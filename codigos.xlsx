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auxestanteria.umsoya\Documents\REQUISICIONES\REQUISICIONES 2026\7-Julio-2026\"/>
    </mc:Choice>
  </mc:AlternateContent>
  <bookViews>
    <workbookView xWindow="0" yWindow="0" windowWidth="16725" windowHeight="8610"/>
  </bookViews>
  <sheets>
    <sheet name="PEDIDO" sheetId="2" r:id="rId1"/>
    <sheet name="REQUISICION-IMPRESION" sheetId="5" r:id="rId2"/>
    <sheet name="PRODUCTO" sheetId="3" state="hidden" r:id="rId3"/>
    <sheet name="C.COST" sheetId="1" r:id="rId4"/>
    <sheet name="BaseMateriales" sheetId="6" r:id="rId5"/>
  </sheets>
  <externalReferences>
    <externalReference r:id="rId6"/>
    <externalReference r:id="rId7"/>
    <externalReference r:id="rId8"/>
  </externalReferences>
  <definedNames>
    <definedName name="_xlnm._FilterDatabase" localSheetId="4" hidden="1">BaseMateriales!$A$1:$A$8055</definedName>
    <definedName name="_xlnm._FilterDatabase" localSheetId="2" hidden="1">PRODUCTO!$A$4:$D$2810</definedName>
    <definedName name="_xlnm._FilterDatabase" localSheetId="1" hidden="1">'REQUISICION-IMPRESION'!$A$16:$AC$17</definedName>
    <definedName name="_xlnm.Print_Area" localSheetId="1">'REQUISICION-IMPRESION'!$A$1:$AC$52</definedName>
    <definedName name="CENTRO_DE_COSTO" localSheetId="0">'[1]C.COST'!$A$2:$B$35</definedName>
    <definedName name="CENTRO_DE_COSTO" localSheetId="1">'[1]C.COST'!$A$2:$B$35</definedName>
    <definedName name="CENTRO_DE_COSTO">'C.COST'!$A$2:$B$35</definedName>
    <definedName name="Cod_Requi_01">PEDIDO!$B$2:$B$22</definedName>
    <definedName name="Cod_Requi_02" localSheetId="4">[2]PEDIDO!#REF!</definedName>
    <definedName name="Cod_Requi_02">PEDIDO!#REF!</definedName>
    <definedName name="CuadroBasicoGral" localSheetId="4">[2]PRODUCTO!$B$5:$D$3000</definedName>
    <definedName name="CuadroBasicoGral">PRODUCTO!$B$5:$D$3000</definedName>
    <definedName name="IMQ">'[3]1'!$E$2:$G$4546</definedName>
    <definedName name="listado" localSheetId="4">'[2]C.COST'!$J$2:$J$35</definedName>
    <definedName name="listado">'C.COST'!$J$2:$J$35</definedName>
    <definedName name="ListadoDetalle2023">ListadoOficial2023[[#All],[DESCRIPICION]:[Unidad Medida]]</definedName>
  </definedNames>
  <calcPr calcId="162913"/>
</workbook>
</file>

<file path=xl/calcChain.xml><?xml version="1.0" encoding="utf-8"?>
<calcChain xmlns="http://schemas.openxmlformats.org/spreadsheetml/2006/main">
  <c r="D4" i="2" l="1"/>
  <c r="D5" i="2"/>
  <c r="D6" i="2"/>
  <c r="D7" i="2"/>
  <c r="D8" i="2"/>
  <c r="D9" i="2"/>
  <c r="D10" i="2"/>
  <c r="D11" i="2"/>
  <c r="D12" i="2"/>
  <c r="D13" i="2"/>
  <c r="D14" i="2"/>
  <c r="D15" i="2"/>
  <c r="D16" i="2"/>
  <c r="D17" i="2"/>
  <c r="D18" i="2"/>
  <c r="D19" i="2"/>
  <c r="D20" i="2"/>
  <c r="D21" i="2"/>
  <c r="D22" i="2"/>
  <c r="D2" i="2"/>
  <c r="C4" i="2"/>
  <c r="C5" i="2"/>
  <c r="C6" i="2"/>
  <c r="C7" i="2"/>
  <c r="C8" i="2"/>
  <c r="C9" i="2"/>
  <c r="C10" i="2"/>
  <c r="C11" i="2"/>
  <c r="C12" i="2"/>
  <c r="C13" i="2"/>
  <c r="C14" i="2"/>
  <c r="C15" i="2"/>
  <c r="C16" i="2"/>
  <c r="C17" i="2"/>
  <c r="C18" i="2"/>
  <c r="C19" i="2"/>
  <c r="C20" i="2"/>
  <c r="C21" i="2"/>
  <c r="C22" i="2"/>
  <c r="C2" i="2"/>
  <c r="F7992" i="6"/>
  <c r="F7993" i="6"/>
  <c r="F7994" i="6"/>
  <c r="F7995" i="6"/>
  <c r="F7996" i="6"/>
  <c r="F7997" i="6"/>
  <c r="F7998" i="6"/>
  <c r="F7999" i="6"/>
  <c r="F8000" i="6"/>
  <c r="F8001" i="6"/>
  <c r="F8002" i="6"/>
  <c r="F8003" i="6"/>
  <c r="F8004" i="6"/>
  <c r="F8005" i="6"/>
  <c r="F8006" i="6"/>
  <c r="F8007" i="6"/>
  <c r="F8008" i="6"/>
  <c r="F8009" i="6"/>
  <c r="F8010" i="6"/>
  <c r="F8011" i="6"/>
  <c r="F8012" i="6"/>
  <c r="F8013" i="6"/>
  <c r="F8014" i="6"/>
  <c r="F8015" i="6"/>
  <c r="F8016" i="6"/>
  <c r="F8017" i="6"/>
  <c r="F8018" i="6"/>
  <c r="F8019" i="6"/>
  <c r="F8020" i="6"/>
  <c r="F8021" i="6"/>
  <c r="F8022" i="6"/>
  <c r="F8023" i="6"/>
  <c r="F8024" i="6"/>
  <c r="F8025" i="6"/>
  <c r="F8026" i="6"/>
  <c r="F8027" i="6"/>
  <c r="F8028" i="6"/>
  <c r="F8029" i="6"/>
  <c r="F8030" i="6"/>
  <c r="F8031" i="6"/>
  <c r="F8032" i="6"/>
  <c r="F8033" i="6"/>
  <c r="F8034" i="6"/>
  <c r="F8035" i="6"/>
  <c r="F8036" i="6"/>
  <c r="F8037" i="6"/>
  <c r="F8038" i="6"/>
  <c r="F8039" i="6"/>
  <c r="F8040" i="6"/>
  <c r="F8041" i="6"/>
  <c r="F8042" i="6"/>
  <c r="F8043" i="6"/>
  <c r="F8044" i="6"/>
  <c r="F8045" i="6"/>
  <c r="F8046" i="6"/>
  <c r="F8047" i="6"/>
  <c r="F8048" i="6"/>
  <c r="F8049" i="6"/>
  <c r="F8050" i="6"/>
  <c r="F8051" i="6"/>
  <c r="F8052" i="6"/>
  <c r="F8053" i="6"/>
  <c r="F8054" i="6"/>
  <c r="F8055" i="6"/>
  <c r="C18" i="5" l="1"/>
  <c r="E18" i="5" s="1"/>
  <c r="D3" i="2"/>
  <c r="C3" i="2"/>
  <c r="R18" i="5" l="1"/>
  <c r="G39" i="5"/>
  <c r="K2" i="2" l="1"/>
  <c r="F12" i="5" s="1"/>
  <c r="L6" i="5"/>
  <c r="D51" i="5"/>
  <c r="C19" i="5" l="1"/>
  <c r="C20" i="5"/>
  <c r="C21" i="5"/>
  <c r="C22" i="5"/>
  <c r="C23" i="5"/>
  <c r="C24" i="5"/>
  <c r="C25" i="5"/>
  <c r="C26" i="5"/>
  <c r="C27" i="5"/>
  <c r="C28" i="5"/>
  <c r="C29" i="5"/>
  <c r="C30" i="5"/>
  <c r="C31" i="5"/>
  <c r="C32" i="5"/>
  <c r="C33" i="5"/>
  <c r="C34" i="5"/>
  <c r="C35" i="5"/>
  <c r="C36" i="5"/>
  <c r="C37" i="5"/>
  <c r="C38" i="5"/>
  <c r="R32" i="5" l="1"/>
  <c r="E32" i="5"/>
  <c r="E37" i="5"/>
  <c r="R37" i="5"/>
  <c r="R33" i="5"/>
  <c r="E33" i="5"/>
  <c r="R28" i="5"/>
  <c r="E28" i="5"/>
  <c r="R21" i="5"/>
  <c r="E21" i="5"/>
  <c r="R38" i="5"/>
  <c r="E38" i="5"/>
  <c r="R34" i="5"/>
  <c r="E34" i="5"/>
  <c r="R30" i="5"/>
  <c r="E30" i="5"/>
  <c r="R20" i="5"/>
  <c r="E20" i="5"/>
  <c r="E36" i="5"/>
  <c r="R36" i="5"/>
  <c r="R35" i="5"/>
  <c r="E35" i="5"/>
  <c r="R31" i="5"/>
  <c r="E31" i="5"/>
  <c r="R29" i="5"/>
  <c r="E29" i="5"/>
  <c r="R27" i="5"/>
  <c r="E27" i="5"/>
  <c r="R26" i="5"/>
  <c r="E26" i="5"/>
  <c r="R25" i="5"/>
  <c r="E25" i="5"/>
  <c r="R24" i="5"/>
  <c r="E24" i="5"/>
  <c r="R23" i="5"/>
  <c r="E23" i="5"/>
  <c r="R22" i="5"/>
  <c r="E22" i="5"/>
  <c r="R19" i="5"/>
  <c r="E19" i="5"/>
  <c r="V18" i="5"/>
  <c r="F6149" i="6" l="1"/>
  <c r="Z19" i="5"/>
  <c r="Z20" i="5"/>
  <c r="Z21" i="5"/>
  <c r="Z22" i="5"/>
  <c r="Z23" i="5"/>
  <c r="Z24" i="5"/>
  <c r="Z25" i="5"/>
  <c r="Z26" i="5"/>
  <c r="Z27" i="5"/>
  <c r="Z28" i="5"/>
  <c r="Z29" i="5"/>
  <c r="Z30" i="5"/>
  <c r="Z31" i="5"/>
  <c r="Z32" i="5"/>
  <c r="Z33" i="5"/>
  <c r="Z34" i="5"/>
  <c r="Z35" i="5"/>
  <c r="Z36" i="5"/>
  <c r="Z37" i="5"/>
  <c r="Z38" i="5"/>
  <c r="V19" i="5"/>
  <c r="V20" i="5"/>
  <c r="V21" i="5"/>
  <c r="V22" i="5"/>
  <c r="V23" i="5"/>
  <c r="V24" i="5"/>
  <c r="V25" i="5"/>
  <c r="V26" i="5"/>
  <c r="V27" i="5"/>
  <c r="V28" i="5"/>
  <c r="V29" i="5"/>
  <c r="V30" i="5"/>
  <c r="V31" i="5"/>
  <c r="V32" i="5"/>
  <c r="V33" i="5"/>
  <c r="V34" i="5"/>
  <c r="V35" i="5"/>
  <c r="V36" i="5"/>
  <c r="V37" i="5"/>
  <c r="V38" i="5"/>
  <c r="A14" i="2" l="1"/>
  <c r="Z18" i="5" l="1"/>
  <c r="D13" i="5" l="1"/>
  <c r="R5" i="5"/>
  <c r="H42" i="5"/>
  <c r="A42" i="5"/>
  <c r="A2" i="2"/>
  <c r="A10" i="2"/>
  <c r="W4" i="5"/>
  <c r="AA14" i="5"/>
  <c r="H3" i="1"/>
  <c r="I3" i="1" s="1"/>
  <c r="H4" i="1"/>
  <c r="I4" i="1" s="1"/>
  <c r="H5" i="1"/>
  <c r="I5" i="1"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2" i="1"/>
  <c r="I2" i="1" s="1"/>
  <c r="J4" i="1" l="1"/>
  <c r="J6" i="1"/>
  <c r="J8" i="1"/>
  <c r="J10" i="1"/>
  <c r="J12" i="1"/>
  <c r="J14" i="1"/>
  <c r="J16" i="1"/>
  <c r="J18" i="1"/>
  <c r="J20" i="1"/>
  <c r="J22" i="1"/>
  <c r="J24" i="1"/>
  <c r="J26" i="1"/>
  <c r="J28" i="1"/>
  <c r="J30" i="1"/>
  <c r="J32" i="1"/>
  <c r="J34" i="1"/>
  <c r="J2" i="1"/>
  <c r="J3" i="1"/>
  <c r="J5" i="1"/>
  <c r="J7" i="1"/>
  <c r="J9" i="1"/>
  <c r="J11" i="1"/>
  <c r="J13" i="1"/>
  <c r="J15" i="1"/>
  <c r="J17" i="1"/>
  <c r="J19" i="1"/>
  <c r="J21" i="1"/>
  <c r="J23" i="1"/>
  <c r="J25" i="1"/>
  <c r="J27" i="1"/>
  <c r="J29" i="1"/>
  <c r="J31" i="1"/>
  <c r="J33" i="1"/>
  <c r="J35" i="1"/>
  <c r="X14" i="5"/>
  <c r="X49" i="5"/>
  <c r="BM25" i="5"/>
  <c r="BM24" i="5"/>
  <c r="BM22" i="5"/>
  <c r="BM20" i="5"/>
  <c r="BM18" i="5"/>
  <c r="BM17" i="5"/>
  <c r="BM27" i="5"/>
  <c r="BM26" i="5"/>
  <c r="BM15" i="5"/>
  <c r="BM13" i="5"/>
  <c r="BM23" i="5"/>
  <c r="BM11" i="5"/>
  <c r="BM21" i="5"/>
  <c r="BM9" i="5"/>
  <c r="BM19" i="5"/>
  <c r="BM16" i="5"/>
  <c r="BM14" i="5"/>
  <c r="BM12" i="5"/>
  <c r="BM10" i="5"/>
  <c r="U14" i="5"/>
  <c r="A19" i="2"/>
  <c r="A21" i="2"/>
  <c r="A18" i="2"/>
  <c r="A17" i="2"/>
  <c r="A16" i="2"/>
  <c r="A22" i="2"/>
  <c r="A7" i="2"/>
  <c r="A15" i="2"/>
  <c r="A5" i="2"/>
  <c r="A8" i="2"/>
  <c r="A4" i="2"/>
  <c r="A9" i="2"/>
  <c r="A13" i="2"/>
  <c r="A3" i="2"/>
  <c r="A12" i="2"/>
  <c r="A11" i="2"/>
  <c r="M14" i="1" l="1"/>
  <c r="Q14" i="5"/>
  <c r="BN7" i="5"/>
</calcChain>
</file>

<file path=xl/comments1.xml><?xml version="1.0" encoding="utf-8"?>
<comments xmlns="http://schemas.openxmlformats.org/spreadsheetml/2006/main">
  <authors>
    <author>Autor</author>
  </authors>
  <commentList>
    <comment ref="E1" authorId="0" shapeId="0">
      <text>
        <r>
          <rPr>
            <b/>
            <sz val="9"/>
            <color indexed="81"/>
            <rFont val="Tahoma"/>
            <family val="2"/>
          </rPr>
          <t>Autor:</t>
        </r>
        <r>
          <rPr>
            <sz val="9"/>
            <color indexed="81"/>
            <rFont val="Tahoma"/>
            <family val="2"/>
          </rPr>
          <t xml:space="preserve">
=SI(D2=A2;"Se mantiene";"Homologado")</t>
        </r>
      </text>
    </comment>
  </commentList>
</comments>
</file>

<file path=xl/sharedStrings.xml><?xml version="1.0" encoding="utf-8"?>
<sst xmlns="http://schemas.openxmlformats.org/spreadsheetml/2006/main" count="51181" uniqueCount="8628">
  <si>
    <t>UNIDAD PRESUPUESTARIA, LINEA Y SUBLINE DE TRABAJO Y CENTRO DE COSTO</t>
  </si>
  <si>
    <t>CENTRO DE COSTO</t>
  </si>
  <si>
    <t>ELABORA PEDIDO</t>
  </si>
  <si>
    <t>JEFE INMEDIATO</t>
  </si>
  <si>
    <t>Autoriza</t>
  </si>
  <si>
    <t>DIRECCION</t>
  </si>
  <si>
    <t>Luz Adela Larreynaga</t>
  </si>
  <si>
    <t>DRA. GRICELDA DE GOMEZ</t>
  </si>
  <si>
    <t>ADMINISTRACION</t>
  </si>
  <si>
    <t xml:space="preserve">Zuleyma Choco </t>
  </si>
  <si>
    <t>LICDO. MARIANO MERLOS</t>
  </si>
  <si>
    <t>LIC. MARIANO MERLOS</t>
  </si>
  <si>
    <t>SERVICIOS GENERALES</t>
  </si>
  <si>
    <t>Lic. Atilio Gonzalez</t>
  </si>
  <si>
    <t>ALMACEN</t>
  </si>
  <si>
    <t>Iluana Peblis Avendaño</t>
  </si>
  <si>
    <t>Francisco Alfredo Rivas</t>
  </si>
  <si>
    <t>LAVANDERIA</t>
  </si>
  <si>
    <t>TRANSPORTE</t>
  </si>
  <si>
    <t>ADMISION Y REGISTROS MEDICOS</t>
  </si>
  <si>
    <t>Licda. Xiomara Machuca</t>
  </si>
  <si>
    <t>RADIOLOGIA E IMÁGENES</t>
  </si>
  <si>
    <t>538A04</t>
  </si>
  <si>
    <t>Licda. Jeannette de Calderón</t>
  </si>
  <si>
    <t>LABORATORIO CLINICO</t>
  </si>
  <si>
    <t>538A08</t>
  </si>
  <si>
    <t>Merlin Aparicio</t>
  </si>
  <si>
    <t>Licda. Kathy Portillo</t>
  </si>
  <si>
    <t>MEDICINA FISICA Y REHABILITACION</t>
  </si>
  <si>
    <t>538A22</t>
  </si>
  <si>
    <t>Licda. Helen Massiel Martinez</t>
  </si>
  <si>
    <t>NUTRICION (DIETOLOGIA CLINICA)</t>
  </si>
  <si>
    <t>538A24</t>
  </si>
  <si>
    <t>Xiomara Alberto</t>
  </si>
  <si>
    <t>EDUCACION PARA LA SALUD</t>
  </si>
  <si>
    <t>538A26</t>
  </si>
  <si>
    <t>Ing. Yohana Laug</t>
  </si>
  <si>
    <t>TERAPIA RESPIRATORIA</t>
  </si>
  <si>
    <t>538A31</t>
  </si>
  <si>
    <t>Licdo. Daniel Hernandez</t>
  </si>
  <si>
    <t>SALUD MENTAL</t>
  </si>
  <si>
    <t>538A38</t>
  </si>
  <si>
    <t>Licda. Yolanda Oporto</t>
  </si>
  <si>
    <t>Licda. Sandra Calles</t>
  </si>
  <si>
    <t>CENTRAL DE ESTERILIZACION Y SUMINISTROS</t>
  </si>
  <si>
    <t>538B01</t>
  </si>
  <si>
    <t>Dania Mejia</t>
  </si>
  <si>
    <t>ENFERMERIA</t>
  </si>
  <si>
    <t>538B02</t>
  </si>
  <si>
    <t>Claudia Perez</t>
  </si>
  <si>
    <t>FARMACIA</t>
  </si>
  <si>
    <t>538B03</t>
  </si>
  <si>
    <t xml:space="preserve">Lica. Maria Elsa </t>
  </si>
  <si>
    <t>TRABAJO SOCIAL</t>
  </si>
  <si>
    <t>538B04</t>
  </si>
  <si>
    <t>Claudia Iris Torrento</t>
  </si>
  <si>
    <t>MEDICINA INTERNA</t>
  </si>
  <si>
    <t>DEMATOLOGIA</t>
  </si>
  <si>
    <t>MEDICINA GENERAL</t>
  </si>
  <si>
    <t>Licda. Lino</t>
  </si>
  <si>
    <t>EMERGENCIA, MEDICINA Y CIRUGIA</t>
  </si>
  <si>
    <t>Licda. Mercedes Hidalgo</t>
  </si>
  <si>
    <t>EMERGENCIA PEDIATRICA</t>
  </si>
  <si>
    <t>CIRUGIA GENERAL</t>
  </si>
  <si>
    <t>Celina Martínez</t>
  </si>
  <si>
    <t>OFTALMOLOGIA</t>
  </si>
  <si>
    <t>OTORRINOLARINGOLOGIA</t>
  </si>
  <si>
    <t xml:space="preserve">GINECOLOGIA Y OBSTETRICIA </t>
  </si>
  <si>
    <t>Licda. Mayra Acosta</t>
  </si>
  <si>
    <t>PEDIATRIA</t>
  </si>
  <si>
    <t>Licda. Iris Vivas</t>
  </si>
  <si>
    <t>ODONTOLOGIA GENERAL</t>
  </si>
  <si>
    <t>Silvia Flamenco</t>
  </si>
  <si>
    <t>Dra. Blanca Fuentes de Vent.</t>
  </si>
  <si>
    <t>CLINICA COMUNAL REPATO MORAZAN</t>
  </si>
  <si>
    <t>538C01</t>
  </si>
  <si>
    <t>Karla Menjivar</t>
  </si>
  <si>
    <t>Dra. Doris Acosta</t>
  </si>
  <si>
    <t>PROYECTO ATENCION CONSULTA EXTERNA NIÑOS, CLINICA COMUNAL REPARTO MORAZAN</t>
  </si>
  <si>
    <t>538CX4</t>
  </si>
  <si>
    <t>CLINICA COMUNAL SAN JOSE</t>
  </si>
  <si>
    <t>538C02</t>
  </si>
  <si>
    <t>Dra. Hernandez</t>
  </si>
  <si>
    <t>Dr- Angel Cortez</t>
  </si>
  <si>
    <t>HOSPITALIZACIÓN PEDIÁTRICA</t>
  </si>
  <si>
    <t>Licdo. Geovvani Torres</t>
  </si>
  <si>
    <t>Otros</t>
  </si>
  <si>
    <t>CODIGOS</t>
  </si>
  <si>
    <t>NOMBRE DEL PRODUCTO</t>
  </si>
  <si>
    <t>PRESENTACION</t>
  </si>
  <si>
    <t>CANTIDAD SOLICITADA</t>
  </si>
  <si>
    <t>CANTIDAD DESPACHADA</t>
  </si>
  <si>
    <t>INSTITUTO SALVADOREÑO DEL SEGURO SOCIAL</t>
  </si>
  <si>
    <t>UNIDAD MEDICA SOYAPANGO</t>
  </si>
  <si>
    <t>BASE DATOS SOBRE CODIGO DE INSUMOS MEDICOS Y ARTICULOS GENERALES</t>
  </si>
  <si>
    <t>CODIGO ANTIGUO</t>
  </si>
  <si>
    <t>CODIGO ACTUAL</t>
  </si>
  <si>
    <t>DESCRIPCION</t>
  </si>
  <si>
    <t>ETER SULFURICO (ETER ETILICO) (C4 H10O)</t>
  </si>
  <si>
    <t>ML</t>
  </si>
  <si>
    <t>ANTIESTREPTOLISINA "O"</t>
  </si>
  <si>
    <t>PROTEINA "C" REACTIVA  (PCR)</t>
  </si>
  <si>
    <t>C/U</t>
  </si>
  <si>
    <t>FACTOR REUMATOIDE  (LATEX R.A.)</t>
  </si>
  <si>
    <t>PRUEB. CUANT DET.REAGINA T. PALLIDUM</t>
  </si>
  <si>
    <t>REACTIVO D. SANGRE OCULTA EN HECES</t>
  </si>
  <si>
    <t>TIRAS REACTS DENSID. SUSTS QCAS ORINA</t>
  </si>
  <si>
    <t>TIRA</t>
  </si>
  <si>
    <t>TIRAS REACTS DETER SUST QCAS EN ORINA</t>
  </si>
  <si>
    <t>PRUEBA</t>
  </si>
  <si>
    <t>TIEMPO DE/TROMBOPLASTINA PARCIAL (TTP)</t>
  </si>
  <si>
    <t>TIRA REACTIVA DETERM. GLUCOSA EN SANGRE</t>
  </si>
  <si>
    <t>TIRAS</t>
  </si>
  <si>
    <t>PRUEBA RAP. S-UNIDAD B-GON.CORIONICA HUM</t>
  </si>
  <si>
    <t>PRUEBA RAP. CUALIT. ANTICUERPO ANTI VIH</t>
  </si>
  <si>
    <t>SLN CONC. 50 G DE GLUCOSA P/CURVA DE TOL</t>
  </si>
  <si>
    <t>SLN CONC. 75 G DE GLUCOSA P/CURVA DE TOL</t>
  </si>
  <si>
    <t>SLN CONC. 100 G DE GLUCOSA P/CURVA TOL.</t>
  </si>
  <si>
    <t>REACT. P/DETERM ANTIGENO-(ANTI A) MONOC.</t>
  </si>
  <si>
    <t>REACT. P/DETEC. ANTIGENO B (ANTI B) MONO</t>
  </si>
  <si>
    <t>REACT.P/DET. ANTIGENO D (ANTI D)(IgG  -</t>
  </si>
  <si>
    <t>ANTIGLOBULINA HUM. POLI-ESPECIF. ANTI Ig</t>
  </si>
  <si>
    <t>ALBUMINA BOVINA AL 22%.</t>
  </si>
  <si>
    <t>DETECCION DIRECTA DE ROTAVIRUS.</t>
  </si>
  <si>
    <t>PLASMA CONTROL NORMAL DE COAGULACION</t>
  </si>
  <si>
    <t>ACIDO NALIDIXICO DISCO 30 mcg.</t>
  </si>
  <si>
    <t>DISCOS</t>
  </si>
  <si>
    <t>AMIKACINA DISCO 30 mcg.</t>
  </si>
  <si>
    <t>PIPERACILINA DISCO 100 mcg .</t>
  </si>
  <si>
    <t>CEFALOTINA DISCO 30 mcg.</t>
  </si>
  <si>
    <t>CLINDAMICINA DISCO 2 mcg.</t>
  </si>
  <si>
    <t>CLORANFENICOL DISCO 30 mcg.</t>
  </si>
  <si>
    <t>ERITROMICINA DISCO 15 mcg.</t>
  </si>
  <si>
    <t>GENTAMICINA DISCO 10 mcg .</t>
  </si>
  <si>
    <t>NITROFURANTOINA DISCO 300 mcg.</t>
  </si>
  <si>
    <t>PENICILINA G DISCO 10 U.</t>
  </si>
  <si>
    <t>BACITRACINA TAXO A  DISCO 0.04 U .</t>
  </si>
  <si>
    <t>TAXO "P" O PRUEBA DE OPTOCHIN.</t>
  </si>
  <si>
    <t>TETRACICLINA DISCO 30 mcg.</t>
  </si>
  <si>
    <t>TRIMETROPRIN SULFAMET. DISCO 1.25/23.75</t>
  </si>
  <si>
    <t>AMPICILINA - SULBACTAN DISCO 10/10 mcg.</t>
  </si>
  <si>
    <t>PIPERACILINA - TAZOBACTAN DISCO 100/10 m</t>
  </si>
  <si>
    <t>SIST. PBAS BIOQCAS. IDENTIFIC. BACILOS G</t>
  </si>
  <si>
    <t>SIST. PBAS BIOQCAS. IDENTIFIC. LEVADURAS</t>
  </si>
  <si>
    <t>CALDO SELENITO F.  FRASCO 100  -  500 G.</t>
  </si>
  <si>
    <t>CALDO DE INFUSION CEREBRO CORAZON.</t>
  </si>
  <si>
    <t>GRAMOS</t>
  </si>
  <si>
    <t>CALDO ROJO DE METILO VOGES PROSKAWER.</t>
  </si>
  <si>
    <t>CALDO TIOGLICOLATO CON INDICADOR.</t>
  </si>
  <si>
    <t>CALDO TRIPTICASA SOYA.</t>
  </si>
  <si>
    <t>AGAR EOSINA AZUL DE METILENO  (EMB) .</t>
  </si>
  <si>
    <t>ENRIQUECIMIENTO ISOVITALEX O SIMILAR,</t>
  </si>
  <si>
    <t>AMPOLLA</t>
  </si>
  <si>
    <t>AGAR MacCKONKEY C/COLORANTE DE VIOLETA</t>
  </si>
  <si>
    <t>AGAR MANITOL ROJO DE FENOL</t>
  </si>
  <si>
    <t>AGAR MICOCEL     FRASCO 100  -  500 G.</t>
  </si>
  <si>
    <t>MEDIO MOVILIDAD.   FRASCO 100  -  500 G.</t>
  </si>
  <si>
    <t>AGAR MUELLER HINTON.</t>
  </si>
  <si>
    <t>AGAR FENIL ETANOL  (P.A.) .</t>
  </si>
  <si>
    <t>AGAR SABOURAUD DEXTROSA.</t>
  </si>
  <si>
    <t>AGAR SALMONELLA SHIGELLA  (S.S.)</t>
  </si>
  <si>
    <t>AGAR TRIPLE AZUCAR Y HIERRO  (TSI) .</t>
  </si>
  <si>
    <t>AGAR TRIPTICASA SOYA. FRASCO 100  -  500</t>
  </si>
  <si>
    <t>GRAMO</t>
  </si>
  <si>
    <t>CIPROFLOXACINA DISCO 5 mcg.</t>
  </si>
  <si>
    <t>CEFTRIAXONA DISCO 30 mcg.</t>
  </si>
  <si>
    <t>CEFOTAXIMA DISCO 30 mcg.</t>
  </si>
  <si>
    <t>DOXICICLINA DISCO 30 mcg.</t>
  </si>
  <si>
    <t>NOVOBIACINA DISCO 5 mcg.</t>
  </si>
  <si>
    <t>AGUA PEPTONADA ALCALINA  (APA)</t>
  </si>
  <si>
    <t>AGAR BILIS ESCULINA.   FRASCO 100  -  50</t>
  </si>
  <si>
    <t>AGAR MacCKONKEY CON SORBITOL</t>
  </si>
  <si>
    <t>AGAR TCBS(TIOSULFATO,CITRATO,BILIS,SUC.)</t>
  </si>
  <si>
    <t>SANGRE OVINA (CARNERO/OVEJA) DESFIBRINAD</t>
  </si>
  <si>
    <t>SIST. PBAS/BIOQCAS. IDENTIF.ESTAFILOCOCC</t>
  </si>
  <si>
    <t>MEDIO DE INFUSION CEREBRO - CORAZON,</t>
  </si>
  <si>
    <t>AGAR XILOSA,  LISINA DEXTROSA  (XLD) .</t>
  </si>
  <si>
    <t>CLARITROMICINA DISCO 15 mcg.</t>
  </si>
  <si>
    <t>CEFIXIME DISCO 5 mcg.</t>
  </si>
  <si>
    <t>GENTAMICINA DISCO 120 mcg.</t>
  </si>
  <si>
    <t>SIST.PBA. BACILO GRAM (-) NO FERMENTADOR</t>
  </si>
  <si>
    <t>MEDIO TRIPTICASA SOYA C/POLIANETOL SULFO</t>
  </si>
  <si>
    <t>CALDO TRIPTICASA SOYA C/POLIANETOL SULF</t>
  </si>
  <si>
    <t>MEDIO TRANSP AMIES/STUART MODIF S/CARBON</t>
  </si>
  <si>
    <t>MEDIO DE TRANSPORTE CARY BLAIR.</t>
  </si>
  <si>
    <t>CEFEPIME DISCO 30 mcg.</t>
  </si>
  <si>
    <t>VANCOMICINA DISCO 30 mcg.</t>
  </si>
  <si>
    <t>AMOXICILINA/ACIDO CLAVULANICO  DISCO 20/</t>
  </si>
  <si>
    <t>DISCO 30 mcg</t>
  </si>
  <si>
    <t>ACEITE DE INMERSION BAJA VISCOSIDAD</t>
  </si>
  <si>
    <t>LAMINA CUBRE OBJETOS DE 22X22</t>
  </si>
  <si>
    <t>PIPETA PARA COAGULOMETRO TIPO CLOT 2. C/U</t>
  </si>
  <si>
    <t>LAMINA PORTA OBJETO  3 X 1" EXTREMO ESMERILADO DE VIDRIO.C/U</t>
  </si>
  <si>
    <t>LAMINA SELLADORA PARA MICROHEMATOCRITO. C/U</t>
  </si>
  <si>
    <t>LAMINILLA CUBRE OBJETOS 22 X 50 mm DE VIDRIO. ONZA</t>
  </si>
  <si>
    <t>ONZA</t>
  </si>
  <si>
    <t>LANCETA DESCARTABLE PARA USO PEDIATRICO.C/U</t>
  </si>
  <si>
    <t>LANCETA DESCARTABLE PUNTO MEDIO. C/U</t>
  </si>
  <si>
    <t>PAPEL FILTRO CORRIENTE # 2. PLIEGO</t>
  </si>
  <si>
    <t>PLIEGO</t>
  </si>
  <si>
    <t>PAPEL PARAFINA DE 4" ANCHO,  125" DE LARGO. APROXIMADAMENTE. ROLLO</t>
  </si>
  <si>
    <t>ROLLO</t>
  </si>
  <si>
    <t>CAJA PETRI DESCARTABLE  (100 X 15 mm APROXIMADAMENTE)  DE 1 COMPARTIMIENTO,  ESTERIL. C/U</t>
  </si>
  <si>
    <t>GOTERO PLASTICO 70 mm APROX. C/BULBO</t>
  </si>
  <si>
    <t>PUNTA PLASTICA DESCARTABLE PARA FIBROSISTEMA. C/U</t>
  </si>
  <si>
    <t>PUNTA PLASTICA DE 1 mL  (1000µL )  PARA USAR CON PIPETA TIPO OXFORD O SIMILAR. C/U</t>
  </si>
  <si>
    <t>PUNTA PLASTICA DE 0.5 mL  (500 µL )  PARA USAR CON PIPETA TIPO OXFORD O SIMILAR. C/U</t>
  </si>
  <si>
    <t>PUNTA PLASTICA DE 0.1 mL  (100 µL )  PARA USAR CON PIPETA TIPO OXFORD O SIMILAR. C/U</t>
  </si>
  <si>
    <t>TUBO CAPILAR HEPARINIZADO PARA MICROHEMATOCRITO 1.3 X 1.5 X 75 mm. C/U</t>
  </si>
  <si>
    <t>TUBO CAPILAR NO HEPARINIZADO PARA MICROHEMATOCRITO 1.3 X 1.5 X 75 mm. C/U</t>
  </si>
  <si>
    <t>PUNTA PLASTICA DE 2  -  100 µl PARA USAR CON PIPETA TIPO BRAND  (TRANSFERPETTE)  O SIMILAR. C/U</t>
  </si>
  <si>
    <t>PUNTA PLASTICA DE 101  -  1000 µl  PARA USAR CON PIPETA TIPO BRAND  (TRANSFERPETTE)  O SIMILAR. C/U</t>
  </si>
  <si>
    <t>CUBETA DE PLASTICO DESCARTABLE, TRANSPARENTE, CON SU RESPECTIVO MAGNETO, PARA COAGULOMETRO DE  MARCA Y MODELO DE EQUIPO INSTITUCIONAL. CUBETA.</t>
  </si>
  <si>
    <t>CUBETA</t>
  </si>
  <si>
    <t xml:space="preserve">CAJA PLASTICA PARA RECOLECCION DE HECES,  COLOR Y TAPADERA BLANCA DE ROSCA,  DIAMETRO 4.5 cm  (APROXIMADAMENTE). C/U </t>
  </si>
  <si>
    <t>FILTRO  PARA  DESMINERALIZADOR  DE  AGUA,  TIPO DEEMINIZER O SIMILAR. C/U</t>
  </si>
  <si>
    <t xml:space="preserve">CAJA PETRI DESCARTABLE  (100 X 15 mm APROXIMADAMENTE)  DE 2 COMPARTIMIENTOS,  ESTERIL. C/U </t>
  </si>
  <si>
    <t xml:space="preserve">CAJA PETRI DESCARTABLE  (100 X 15 mm APROXIMADAMENTE)  DE 3 COMPARTIMIENTOS,  ESTERIL. C/U </t>
  </si>
  <si>
    <t>COPA PLASTICA PARA FIBROSISTEMA. C/U</t>
  </si>
  <si>
    <t>ALAMBRE  CROMADO ( ALEACION DE NIQUEL - CROMO)  # 26 PARA AGUJAS Y ASAS BACTERIOLOGICAS. PIE</t>
  </si>
  <si>
    <t>PIE</t>
  </si>
  <si>
    <t>AGUJA DESCARTABLE PARA RECOLECTAR SANGRE AL VACIO,  DE USO MULTIPLE # 21 X 1 1/2",  ESTERIL. C/U</t>
  </si>
  <si>
    <t>CUBETA DESCARTABLE DE PLASTICO TRANSPARENTE COMPATIBLE CON  ESPECTROFOTOMETRO 4010. C/U</t>
  </si>
  <si>
    <t>CAJA PETRI DESCARTABLE  (150 X 15 mm APROXIMADAMENTE)  DE 1 COMPARTIMIENTO,  ESTERIL. C/U</t>
  </si>
  <si>
    <t>TUBO DESCARTABLE PLASTICO CON TAPADERA DE 12 X 75  mm. C/U</t>
  </si>
  <si>
    <t>CURITA CIRCULAR</t>
  </si>
  <si>
    <t>BOLSA DOBLE PARA RECOLECTAR SANGRE, CON ANTICOAGULANTE CPDA - 1, CON CAPACIDAD  DE 500 mL APROXIMADAMENTE CON AGUJA # 16,  SISTEMA CERRADO,  BOLSA SATELITE PARA PRESERVAR PLAQUETAS POR 5 DIAS, CON CAPACIDAD  DE 300 mL,  ESTERIL,  CON SU RESPECTIVO SISTEMA</t>
  </si>
  <si>
    <t>BOLSA SIMPLE PARA RECOLECCION DE SANGRE CON ANTICOAGULANTE CPDA - 1,  CAPACIDAD DE 500 mL APROXIMADAMENTE CON AGUJA # 16,  ESTERIL,  CON SISTEMA DESCARTABLE PARA TRANSFUSION DE SANGRE Y COMPONENTES,  CON FILTRO STANDARD  (PORO ENTRE 170 - 260 MICRAS) ,  A</t>
  </si>
  <si>
    <t>BOLSA TRIPLE PARA RECOLECCION DE SANGRE CON ANTICOAGULANTE CPDA -  1. CAPACIDAD DE 500 mL APROXIMADAMENTE. CON AGUJA N° 16,  SISTEMA CERRADO,  BOLSA SATELITE PARA PRESERVAR PLAQUETAS POR 5 DIAS,  CON CAPACIDAD DE 300 mL ESTERIL,  CON SU SISTEMA DESCARTABL</t>
  </si>
  <si>
    <t xml:space="preserve">BOLSA TRANSFER SIN ANTICOAGULANTE,  CON CAPACIDAD DE 150 mL,   (APROXIMADAMENTE) ,  ESTERIL. C/U </t>
  </si>
  <si>
    <t>CUBETA COMPATIBLE CON COULTER COUNTER. C/U</t>
  </si>
  <si>
    <t>SISTEMA DESCARTABLE PARA TRANSFUSION  (PLAQUETA,  PLASMA Y CRIO PRECIPITADO) ,  CON FILTRO ESPECIAL ADAPTABLE  A  LA BOLSA  DE RECOLECCION DE SANGRE O COMPONENTES,  ESTERIL,  LIBRE DE PIROGENOS,  CON AGUJA # 18 - G,  USO ENDOVENOSO. C/U</t>
  </si>
  <si>
    <t>SISTEMA DESCARTABLE EN "Y",  PARA TRANSFUSION DE UNIDADES DE GLOBULOS ROJOS,  MEZCLA DE SOLUCION SALINA NORMAL,  CON FILTRO STANDARD  (PORO ENTRE 170  -  260 MICRAS) ,  ADAPTABLE A BOLSA DE RECOLECCION DE SANGRE Y SOLUCION SALINA,  ESTERIL,  LIBRE DE PIRO</t>
  </si>
  <si>
    <t>AGUJA DESCARTABLE PARA RECOLECTAR SANGRE AL VACIO  DE MUESTRAS PEDIATRICAS,  USO MULTIPLE,  ESTERIL,  22 X 1". C/U</t>
  </si>
  <si>
    <t xml:space="preserve">MICROTUBO DE PLASTICO,  CON ANTICOAGULANTE EDTA,  TAPON MORADO P/ RECOLECTAR SANGRE A NEONATOS,  CON CAPAC 0.5 - 1 mL,  MED 10 ± 1 mm DE DIAM SUPERIOR Y 40 - 55 mm DE LARGO,  </t>
  </si>
  <si>
    <t xml:space="preserve">MICROTUBO DE PLASTICO, SIN ANTICOAG,  C/ GEL,  TAPON ROJO, P/ RECOLECTAR SANGRE A NEONATOS,  CON CAPACIDAD DE 0.5 - 1 mL,  MEDIDAS DE 10 ± 1 mm DE DIAMETRO SUPERIOR Y 40 - 55 mm DE LARGO,  </t>
  </si>
  <si>
    <t>FRASCO PLAST. TRANSP. TAPA/ROSCA, 90-150 ml</t>
  </si>
  <si>
    <t xml:space="preserve">MICROTUBO DE PLASTICO, SIN ANTICOAG,  SIN GEL,  TAPON ROJO P/ RECOLECTAR SANGRE A NEONATOS,  CON CAPACIDAD DE 0.5 - 1 mL,  MEDIDAS DE 10 ± 1 mm DE DIAMETRO SUPERIOR Y 40 - 55 mm DE LARGO,  </t>
  </si>
  <si>
    <t xml:space="preserve">MICROTUBO DE PLASTICO, C/ CITRATO D SODIO,  TAPON CELESTE P/ RECOLECTAR SANGRE A NEONATOS,  CON CAPACIDAD DE 0.5  -  1 mL,  MEDIDAS DE 10 ± 1 mm DE DIAMETRO SUPERIOR Y 40  -  55 mm DE LARGO,  </t>
  </si>
  <si>
    <t>FRASCO BOCA ANCHA TAPADERA DE ROSCA 30-50 ML</t>
  </si>
  <si>
    <t>TUBO CONICO PLASTICO CON TAPADERA DE 1.5 X 0.5 mL COMPATIBLE CON CITOCENTRIFUGA DE LABOFUGE. C/U</t>
  </si>
  <si>
    <t>BOLSA DE PAPEL-PLASTICO, PARA ESTERILIZAR MATERIAL A BAJA Y ALTA TEMPERATURA, DE 28 - 32 X 35 - 40 cm CON AUTOSELLANTE.</t>
  </si>
  <si>
    <t>PUNTA PLASTICA CON FILTRO PREESTERILIZADA DE 500 - 1000 µl PARA USAR CON PIPETA AUTOMATICA TIPO FINIPIPETTE O SIMILAR. C/U</t>
  </si>
  <si>
    <t>PUNTA PLASTICA CON FILTRO PREESTERILIZADA DE 10 - 100 µl PARA USAR CON PIPETA AUTOMATICA TIPO FINIPIPETTE O SIMILAR. C/U</t>
  </si>
  <si>
    <t>PUNTA PLASTICA CON FILTRO PREESTERILIZADA DE 1 - 20 µl PARA USAR CON PIPETA AUTOMATICA TIPO FINIPIPETTE O SIMILAR. C/U</t>
  </si>
  <si>
    <t>TUBO CONICO PLASTICO CON TAPADERA INCORPORADA ESTERIL TIPO FISHER O SIMILAR DE 1.5 ML (PARA MICROCENTRIFUGA). C/U</t>
  </si>
  <si>
    <t>TUBO CONICO PLASTICO CON TAPADERA INCORPORADA ESTERIL TIPO FISHER O SIMILAR DE 0.5 ML (PARA MICROCENTRIFUGA). C/U</t>
  </si>
  <si>
    <t xml:space="preserve">TUBO AL VACIO PLASTICO, SIN ANTICOAG,  CON GEL,  TAPON ROJO P/ RECOLECTAR SANGRE,  CAPACIDAD DE 8 - 10 mL,  DE 15 ± 1 mm DE DIAMETRO Y 100 - 116 mm DE LARGO,  </t>
  </si>
  <si>
    <t>PIPETA SEROLOGICA DE 1 mL EN 0.01 mL,  PLASTICA, DESCARTABLE</t>
  </si>
  <si>
    <t>PIPETA SEROLOGICA DE 10  mL EN 0.1 mL,  PLASTICA, DESCARTABLE</t>
  </si>
  <si>
    <t>PIPETA SEROLOGICA DE 5 mL EN 0.1 mL,  PLASTICA, DESCARTABLE</t>
  </si>
  <si>
    <t>PIPETA SEROLOGICA DE 2  mL EN 0.1 mL,  PLASTICA, DESCARTABLE</t>
  </si>
  <si>
    <t>HISOPO DE ALGINATO DE CALCIO ESTERIL,  DESCARTABLE PARA CITOLOGIA DEL MOCO NASAL</t>
  </si>
  <si>
    <t>TUBO CONICO PLASTICO,  CON TAPADERA,  ESTERIL,  CAPACIDAD 2 mL (PARA  MICROCENTRIFUGA)</t>
  </si>
  <si>
    <t>PUNTA PLASTICA DE 1 mL  (1000  µL )  PARA USAR CON  PIPETA TIPO EPPENDORF O SIMILAR</t>
  </si>
  <si>
    <t>PUNTA PLASTICA DE 0.5 mL  (500  µL )  PARA USAR CON PIPETA TIPO EPPENDORF O SIMILAR</t>
  </si>
  <si>
    <t>PUNTA PLASTICA DE 0.1 mL  (100  µL )  PARA USAR CON PIPETA TIPO EPPENDORF O SIMILAR</t>
  </si>
  <si>
    <t>PUNTA PLASTICA DE 0.005 mL  (5  µL )  PARA USAR CON PIPETA TIPO EPPENDORF O SIMILAR</t>
  </si>
  <si>
    <t>COPA PLASTICA PARA COAGULOMETRO TIPO COAG -A - MATE. C/U</t>
  </si>
  <si>
    <t>COPA PLASTICA PARA COAGULOMETRO TIPO HUMA - CLOT. C/U</t>
  </si>
  <si>
    <t>FILTRO DE 9 mm DOBLE ORIFICIO COMPATIBLE CON CITOCENTRIFUGA LABOFUGE. C/U</t>
  </si>
  <si>
    <t>MICRO - PLACA DE POLIESTIRENO TIPO TERASAKI,   ESTERIL,  SIN COMPONENTE ANTIGENICO DE 72 POCILLOS MEDIDAS APROXIMADAS DE 84.2 X 58.6 X 8.7 mm. C/U</t>
  </si>
  <si>
    <t xml:space="preserve">TUBO AL VACIO PLASTICO, CON ANTICOAG EDTA,  TAPON MORADO P/ RECOLECTAR SANGRE,  CAPACIDAD DE 3  -   5 mL,  DE 12 ± 1 mm DE DIAMETRO Y 75  -  110 mm DE LARGO,  </t>
  </si>
  <si>
    <t xml:space="preserve">TUBO AL VACIO PLASTICO, SIN ANTICOAG,  SIN GEL,  TAPON ROJO PARA RECOLECTAR SANGRE,  CAPACIDAD DE 8  -  10 mL,  DE 15 ± 1 mm DE DIAMETRO Y 100  -  116 mm DE LARGO,  </t>
  </si>
  <si>
    <t xml:space="preserve">TUBO AL VACIO PLASTICO, CON ANTICOAG HEPARINA DE LITIO,  TAPON VERDE PARA RECOLECTAR SANGRE,  CAPACIDAD DE 3 - 5 mL,   DE 12  ± 1 mm DE DIAMETRO Y 75 - 110 mm DE LARGO,   </t>
  </si>
  <si>
    <t>TUBO AL VACIO CIT. D/ SODIO TAPON CELESTE</t>
  </si>
  <si>
    <t xml:space="preserve">TUBO AL VACIO PLASTICO, C/ ANTICOAG FLORURO D SODIO,  TAPON GRIS PARA RECOLECTAR SANGRE,  CAPACIDAD DE 3 - 5 mL,  DE 12 ± 1 mm DE DIAMETRO Y 75 - 110  mm DE LARGO,  </t>
  </si>
  <si>
    <t>TUBO DE ENSAYO DESCARTABLE,   12 X 75 mm. C/U</t>
  </si>
  <si>
    <t>LAMINA CUBRE PLACA DE TERASAKI DE PLASTICO TRANSPARENTE. C/U</t>
  </si>
  <si>
    <t>SISTEMA DESCARTABLE PARA TRANSFUSION DE UNIDADES DE GLOBULOS ROJOS,  CON FILTRO STANDARD  (PORO ENTRE 170  -  260 MICRAS) ,  ADAPTABLE A BOLSA DE RECOLECCION DE SANGRE,  ESTERIL,  LIBRE DE PIROGENOS,  CON AGUJA  # 18 - G,  USO ENDOVENOSO. C/U</t>
  </si>
  <si>
    <t>LANCETA CON RETRACCION AUTOMATICA PARA ADULTO. C/U</t>
  </si>
  <si>
    <t>LANCETA CON RETRACCION AUTOMATICA PARA NIÑO. C/U</t>
  </si>
  <si>
    <t>FILTRO PARA DESMINERALIZADOR DE AGUA DE ALTA CAPACIDAD,  COMPATIBLE CON MARCA BARNSTEAD,  MODELO B 4521,  B - PURE. C/U</t>
  </si>
  <si>
    <t>FILTRO ESTERIL DE 0.22 µm,  TIPO MILLIPORE  PARA ADAPTAR A JERINGAS DE TODO TAMAÑO. C/U</t>
  </si>
  <si>
    <t>FILTRO PARA DESMINERALIZADOR DE AGUA DE ALTA CAPACIDAD COMPATIBLE CON MARCA THERMO LYNE  BARNSTEAD,  MODELO   BANTAN D 0800. C/U</t>
  </si>
  <si>
    <t>BOLSA CUADRUPLE PARA RECOLECCION DE SANGRE CON ANTICOAGULANTE CPDA - 1. CAPACIDAD 500 mL APROXIMADAMENTE,  CON AGUJA  # 16,  SISTEMA CERRADO ESTERIL,  BOLSA SATELITE. CAPACIDAD DE 300 mL PARA PRESERVAR PLAQUETAS POR 5 DIAS. C/U</t>
  </si>
  <si>
    <t>TUBO AL VACIO PLASTICO , PARA RECOLECTAR SANGRE,  CAPACIDAD DE 4  -  7 mL,  MEDIDAS:  12 ± 1 X 75 mm CON ANTICOAGULANTE HEPARINA DE SODIO,  TAPON VERDE. C/U</t>
  </si>
  <si>
    <t xml:space="preserve">SISTEMA CERRADO ESTERIL CON FILTRO LEUCORREDUCTOR PARA GLOBULOS ROJOS CON BOLSA DE TRANSFERENCIA PVC GRADO MEDICO, EN LINEA, CON CAPACIDAD DE 600 mL O MAS.C/U  </t>
  </si>
  <si>
    <t xml:space="preserve">SISTEMA CERRADO ESTERIL CON FILTRO LEUCORREDUCTOR PARA PLAQUETAS CON BOLSA DE TRANSFERENCIA PVC GRADO MEDICO, EN LINEA, CON CAPACIDAD DE 600 mL O MAS. C/U  </t>
  </si>
  <si>
    <t>FCOS. PLAS. TRANSPARENTE ESTERIL 90-150ml</t>
  </si>
  <si>
    <t>FRASCO VIAL DE VIDRIO TRANSPARENTE, AL VACIO, ESTERIL, LIBRE DE PIROGENOS, CON CAPACIDAD DE 10 - 25 mL, PARA ELUIR TECNESIO - 99m. FRASCO VIAL.</t>
  </si>
  <si>
    <t>FRASCO VIAL</t>
  </si>
  <si>
    <t>SOLUCION DE CLORURO DE SODIO AL 0.9%, ESTERIL, LIBRE DE PIROGENO. FRASCO VIAL DE VIDRIO TRANSPARENTE, COMPATIBLE CON GENERADOR DE TECNESIO - 99m INSTITUCIONAL. FRASCO VIAL</t>
  </si>
  <si>
    <t>TUBO CAPILAR PLASTICO HEPARINIZADO DE 0.5 X 1.1 X75 MM, PARA MICROHEMATOCRITO DE CENTRIFUGA INSTITUCIONAL</t>
  </si>
  <si>
    <t>ELIM LIST OFICIAL</t>
  </si>
  <si>
    <t>FRASCO CLARO,  DE POLIETILENO,  BOCA ANGOSTA,  8 ONZAS CON TAPON DE ROSCA. C/U</t>
  </si>
  <si>
    <t>TAPON DE HULE SOLIDO # 2,  PARA TUBO DE 16 X 125 mm. C/U</t>
  </si>
  <si>
    <t xml:space="preserve">EMBUDO DE POLIETILENO,   DIAMETRO 75 mm  (APROXIMADAMENTE). C/U  </t>
  </si>
  <si>
    <t xml:space="preserve">EMBUDO DE POLIETILENO,  DIAMETRO  100 mm  (APROXIMADAMENTE). C/U  </t>
  </si>
  <si>
    <t xml:space="preserve">EMBUDO DE POLIETILENO,  DIAMETRO  160 mm  (APROXIMADAMENTE). C/U  </t>
  </si>
  <si>
    <t>FRASCO AMBAR DE POLIETILENO BOCA ANGOSTA,  4 ONZAS CON TAPON DE ROSCA. C/U</t>
  </si>
  <si>
    <t>FRASCO AMBAR DE POLIETILENO,  BOCA ANGOSTA , 16 ONZAS,  CON TAPON DE ROSCA. C/U</t>
  </si>
  <si>
    <t>FRASCO CLARO DE POLIETILENO,  BOCA ANGOSTA,  16 ONZAS,  CON TAPON DE ROSCA. C/U</t>
  </si>
  <si>
    <t>FRASCO AMBAR DE POLIETILENO,  BOCA ANGOSTA,  32 ONZAS CON TAPON DE ROSCA. C/U</t>
  </si>
  <si>
    <t>FRASCO CLARO DE POLIETILENO,  BOCA ANGOSTA,  32 ONZAS,  CON TAPON DE ROSCA. C/U</t>
  </si>
  <si>
    <t>FRASCO AMBAR DE POLIETILENO,  BOCA ANGOSTA,  8 ONZAS CON TAPON DE ROSCA. C/U</t>
  </si>
  <si>
    <t>FRASCO CLARO DE POLIETILENO,  BOCA ANGOSTA,  4 ONZAS,  CON TAPON DE ROSCA. C/U</t>
  </si>
  <si>
    <t>FRASCO LAVADOR,  DE POLIETILENO,  CON PIPETA,  CAPACIDAD 8 ONZAS. C/U</t>
  </si>
  <si>
    <t>FRASCO LAVADOR,  DE POLIETILENO,  CON PIPETA,  CAPACIDAD 16 ONZAS. C/U</t>
  </si>
  <si>
    <t>GARRAFON CLARO DE POLIETILENO,  CAPACIDAD DE 20 - 25 L,  CON AGARRADERA Y TAPON DE ROSCA. C/U</t>
  </si>
  <si>
    <t>GRADILLA CONSTRUIDA DE:  ALUMINIO,  PLASTICO,  ACERO PLASTICO O SIMILARES,  PARA MICROTUBO DE 10 ± 1 mm  DE DIAMETRO Y 40  -   55 mm DE ALTURA,  CAPACIDAD DE 70   -  100 MICROTUBOS. C/U</t>
  </si>
  <si>
    <t>FRASCO LAVADOR,  DE POLIETILENO,  4 ONZAS CON PIPETA. C/U</t>
  </si>
  <si>
    <t>ASA BACTERIOLOGICA 3" DE LARGO APROXIMADAMENTE,  NO CALIBRADA,  DE ALAMBRE CROMADO # 28, C/U</t>
  </si>
  <si>
    <t xml:space="preserve">PIPETA AUTOMATICA  DE 0.005 mL  (5   µl). C/U </t>
  </si>
  <si>
    <t xml:space="preserve">PIPETA AUTOMATICA DE 0.010 mL  (10  µl). C/U </t>
  </si>
  <si>
    <t xml:space="preserve">PIPETA AUTOMATICA  DE 0.020 mL  (20  µl). C/U </t>
  </si>
  <si>
    <t xml:space="preserve">PIPETA AUTOMATICA  DE 0.025 mL  (25  µl). C/U </t>
  </si>
  <si>
    <t xml:space="preserve">PIPETA AUTOMATICA  DE 0.050 mL  (50  µl). C/U </t>
  </si>
  <si>
    <t xml:space="preserve">PIPETA AUTOMATICA  DE 0.1 mL  (100  µl). C/U </t>
  </si>
  <si>
    <t xml:space="preserve">PIPETA AUTOMATICA  DE 0.2 mL  (200  µl). C/U </t>
  </si>
  <si>
    <t>PIPETA AUTOMATICA  DE 0.25 mL  (250  µl). C/U</t>
  </si>
  <si>
    <t xml:space="preserve">PIPETA AUTOMATICA  DE 0.3 mL  (300  µl). C/U </t>
  </si>
  <si>
    <t xml:space="preserve">PIPETA AUTOMATICA DE 0.5 mL  (500  µl). C/U </t>
  </si>
  <si>
    <t xml:space="preserve">PIPETA AUTOMATICA  DE 1 mL  ( 1000  µl). C/U </t>
  </si>
  <si>
    <t xml:space="preserve">EMBUDO DE POLIETILENO,  DIAMETRO  50 mm  (APROXIMADAMENTE). C/U </t>
  </si>
  <si>
    <t>BANDA DE HULE PLANO  (TORNIQUETE) ,  PARA TOMA DE MUESTRAS DE SANGRE. C/U</t>
  </si>
  <si>
    <t>GARRAFA DE VIDRIO CON TAPON,  COLOR AMBAR,  DE 1 GALON  (APROXIMADO) ,  CON AGARRADERA. C/U</t>
  </si>
  <si>
    <t xml:space="preserve">GARRAFA DE POLIETILENO,  COLOR AMBAR,  CON TAPON DE  ROSCA,  DE 1 GALON  (APROXIMADAMENTE). C/U </t>
  </si>
  <si>
    <t>TUBO CONICO GRADUADO PARA CENTRIFUGA,  DE  15 mL, DE POLIETILENO. C/U</t>
  </si>
  <si>
    <t xml:space="preserve">CEPILLO PARA LAVAR TUBO,  LARGO 9 cm. ,   DIAMETRO 1 1/2 cm.  (APROXIMADAMENTE). C/U </t>
  </si>
  <si>
    <t xml:space="preserve">CEPILLO PARA LAVAR TUBO,   LARGO 14 cm.,  DIAMETRO 2 cm.  (APROXIMADAMENTE). C/U </t>
  </si>
  <si>
    <t>CEPILLO DE CERDA TIPO ZAPATO,  PARA LAVAR EQUIPO. C/U</t>
  </si>
  <si>
    <t>CEPILLO DE CERDA TIPO GIGANTE PARA LAVAR MATERIAL  DE LABORATORIO. C/U</t>
  </si>
  <si>
    <t>ASA BACTERIOLOGICA DE IRIDIUM PLATINO,  CALIBRADA A  0.001 mL,  PARA UROCULTIVO. C/U</t>
  </si>
  <si>
    <t>LAMINILLA CUBRE OBJETO 22 X 30 mm. C/U</t>
  </si>
  <si>
    <t>LAMINILLA CUBRE CAMARA PARA RECUENTO DE GLOBULOS 20 X 25 mm ESPESOR 1 mm. C/U</t>
  </si>
  <si>
    <t>PRO - PIPETA PORTABLE ELECTRICA COMPATIBLE CON PIPETA SEROLOGICAS DE DIFERENTES VOLUMENES. C/U</t>
  </si>
  <si>
    <t xml:space="preserve">DISPENSADOR A  REPETICION COMPATIBLE CON JERINGA DE VIDRIO DE 50,  100,  250 Y 500 µL. C/U </t>
  </si>
  <si>
    <t xml:space="preserve">DISPENSADOR A  REPETICION DE 6 CANALES CON JERINGAS PUNTA RECTAS,  DE VIDRIO,  TIPO HAMILTON CAPACIDAD DE 250 µL. C/U </t>
  </si>
  <si>
    <t>TUBO CONICO PLASTICO GRADUADO,  CON TAPADERA,  AUTOCLAVABLES CAPACIDAD 15 mL. C/U</t>
  </si>
  <si>
    <t>TUBO CONICO GRADUADO DE 50 mL CON TAPADERA,  DE POLIPROPILENO. C/U</t>
  </si>
  <si>
    <t xml:space="preserve">DISPENSADOR RAPIDO PARA MICROPLACA QUE CONSISTE EN UNA PISTOLA CON AGARRADERA,  UN ADAPTADOR DE 6 AGUJAS,  INCREMENTOS DE 10,  25 Y 100 µL. C/U </t>
  </si>
  <si>
    <t>CAJA PLASTICA PARA CONGELAR SUEROS CON CELDAS DIVISORIAS,  CON MEDIDAS APROXIMADAS DE 2" DE ALTO X 5.25" DE ANCHO,  PARA 60 UNIDADES O MAS, COMPATIBLE CON GRADILLA DE METAL DE FREEZER HORIZONTAL MARCA REVCO MODELO ULTIMA 101. C/U</t>
  </si>
  <si>
    <t>PIPETA AUTOMATICA DE VOLUMENES VARIABLES DE 0.5 -  10 µL ,  DIGITAL, CON CERTIFICADO DE CALIBRACION,  AUTOCLAVABLE. C/U</t>
  </si>
  <si>
    <t>PIPETA AUTOMATICA DE VOLUMENES VARIABLES DE 10 - 100 µL ,  DIGITAL,  CON CERTIFICADO DE CALIBRACION,  AUTOCLAVABLE. C/U</t>
  </si>
  <si>
    <t>PIPETA AUTOMATICA DE VOLUMENES VARIABLES DE 100 -  1000 µL ,  DIGITAL,  CON CERTIFICADO DE CALIBRACION,  AUTOCLAVABLE. C/U</t>
  </si>
  <si>
    <t xml:space="preserve">JERINGA DE VIDRIO TIPO HAMILTON,  CON PUNTA DE METAL RECTA  ( SIN BISEL) ,  EMBOLO DE ACERO INOXIDABLE Y EXTREMO DE TEFLON, CAPACIDAD DE 50 µL. C/U </t>
  </si>
  <si>
    <t>FRASCO DE VIDRIO CON TAPADERA DE ROSCA AUTOCLAVABLE. PARA CONGELAR SUEROS CAPACIDAD DE     2 - 4 ML C/U</t>
  </si>
  <si>
    <t>BULBO PARA PIPETA PEQUEÑA TIPO PASTEUR,  CAPACIDAD DE 2 mL. C/U</t>
  </si>
  <si>
    <t>PLATO PLASTICO HEXAGONAL PARA PESAR REACTIVOS,  MEDIDAS APROXIMADAS 64 X 51 mm. C/U</t>
  </si>
  <si>
    <t>REMOVEDOR DE TAPONES PARA DIFERENTES TUBOS  AL VACIO. C/U</t>
  </si>
  <si>
    <t>SOSTENEDOR PLASTICO DE TUBO CON DISPARADOR DE AGUJA,  ADAPTABLE A TUBO AL VACIO DE 2 - 10 mL Y AGUJAS MULTIMUESTRAS. C/U</t>
  </si>
  <si>
    <t>JERINGA DE VIDRIO TIPO HAMILTON,  CON PUNTA DE METAL RECTA  ( SIN BISEL ) ,  EMBOLO DE ACERO INOXIDABLE Y EXTREMO DE TEFLON CAPACIDAD DE 100 µL. C/U</t>
  </si>
  <si>
    <t xml:space="preserve">JERINGA DE VIDRIO TIPO HAMILTON,  CON PUNTA DE METAL RECTA  ( SIN BISEL ) ,  EMBOLO DE ACERO INOXIDABLE Y EXTREMO DE TEFLON CAPACIDAD DE 250 µL. C/U </t>
  </si>
  <si>
    <t>GRADILLA ACRILICA, AUTOCLAVABLE  DISEÑADA PARA TUBO DE MICROCENTRIFUGA DE 1.5 mL,  QUE SOSTENGA DE 25 - 50  TUBOS, C/U</t>
  </si>
  <si>
    <t>GRADILLA ACRILICA, AUTOCLAVABLE  DISEÑADA PARA TUBO DE MICROCENTRIFUGA DE 2 mL,  QUE SOSTENGA DE 25 - 50  TUBOS,  VERTICALMENTE, C/U</t>
  </si>
  <si>
    <t>GRADILLA ACRILICA, AUTOCLAVABLE, DISEÑADA PARA TUBO DE MICROCENTRIFUGA DE 0.5 - 0.7 mL,  QUE SOSTENGA DE 25 - 50  TUBOS,  C/U</t>
  </si>
  <si>
    <t>GRADILLA PLASTICA,  AUTOCLAVABLE, PARA TUBO DE CENTRIFUGA DE 15 mL, C/U</t>
  </si>
  <si>
    <t>GRADILLA PLASTICA,  AUTOCLAVABLE PARA TUBO 13 X100 mm,  CAPACIDAD DE 36 O MAS TUBOS. C/U</t>
  </si>
  <si>
    <t>CUBIERTA DE VIDRIO DE 50 X 75 mm GROSOR 0.05 mm. C/U</t>
  </si>
  <si>
    <t>PIPETA AUTOMATICA DE VOLUMENES VARIABLES DE 2 - 20  µL ,  DIGITAL,  CON CERTIFICADO DE CALIBRACION,  AUTOCLAVABLE. C/U</t>
  </si>
  <si>
    <t>PROBETA GRADUADA DE 2000 mL DE POLIETILENO. C/U</t>
  </si>
  <si>
    <t>GRADILLA DE POLIPROPILENO O POLIETILENO DE 70 - 96 MICROTUBOS,  CON MEDIDAS APROXIMADAS DE 19.5 cm. DE LARGO,  POR 12 cm. DE ANCHO,  POR 4 cm. DE ALTURA Y 1.0 cm. DE DIAMETRO POR ORIFICIO. C/U</t>
  </si>
  <si>
    <t>PUNTA PLASTICA UNIVERSAL DE 0.5 - 10 µL, FORMATO LARGO, DESCARTABLE, COMPATIBLE Y FUNCIONAL CON MICROPIPETA DE MARCA INSTITUCIONAL. C/U</t>
  </si>
  <si>
    <t>FRASCO RECOLECTOR DE HECES, PLASTICO TRANSPARENTE, TAPADERA DE ROSCA CON ESPATULA ADHERIDA , NO ESTERIL, MEDIDA 5 ± 1 cm ALTURA x 6 ± 1 cm DIAMETRO.</t>
  </si>
  <si>
    <t>HISOPO DE ALUMINIO ULTRA FINO, FLEXIBLE, CON PUNTA DE ALGINATO DE CALCIO O NYLON, ESTERIL,  DESCARTABLE.</t>
  </si>
  <si>
    <t>HISOPO DE PLASTICO ROMPIBLE O MADERA, CON PUNTA DE DACRON O RAYON, ESTERIL, DESCARTABLE</t>
  </si>
  <si>
    <t xml:space="preserve">TUBO PLASTICO CON SISTEMA DE EXTRACCION DE SANGRE AL VACIO, S/ ANTICOAG,  TAPON ROJO CAPACIDAD DE 2 - 3 mL,  Y MEDIDAS DE 12 ± 1 mm DE DIAMETRO Y 75 - 110  mm DE LARGO,  </t>
  </si>
  <si>
    <t xml:space="preserve"> TUBO PLASTICO CON SISTEMA DE EXTRACCION DE SANGRE AL VACIO, C/ ANTICOAG EDTA,  TAPON MORADO CAPACIDAD DE 2 - 3 mL,  Y MEDIDA DE 12 ± 1 mm DE DIAMETRO Y 75 - 110  mm DE LARGO,  </t>
  </si>
  <si>
    <t xml:space="preserve">TUBO PLASTICO CON SISTEMA DE EXTRACCION DE SANGRE AL VACIO, C/ ANTICOAG CITRATO DE SODIO, AL 3.2 -3.8 %, TAPON CELESTE CAPACIDAD DE 2 - 3 mL,  Y MEDIDAS DE 12 ± 1 mm DE DIAMETRO Y 75 - 110  mm DE LARGO,  </t>
  </si>
  <si>
    <t xml:space="preserve">TUBO PLASTICO PARA TOMAR MUESTRA DE SANGRE AL VACIO,SIN GEL, TAPON AMARILLO CON ANTICOAGULANTE ACD  SOLUCION A  (ACIDO CITRICO, CITRATO TRISODICO Y DEXTROSA), CON CAPACIDAD  DE 8.5 mL, MEDIDAS DE 16 X 100 mm, </t>
  </si>
  <si>
    <t>TUBO CONICO PLASTICO, COLOR AMBAR, CON TAPON DE ROSCA, ESTERIL, CON CAPACIDAD DE 1.5 - 2.0 mL, QUE RESISTA TEMPERATURAS BAJAS DE HASTA  -70 °C, AUTOCLAVABLE. C/U</t>
  </si>
  <si>
    <t>GRADILLA DE PLASTICO AUTOCLAVABLE, CON PESTAÑAS DE SEGURIDAD PARA ADAPTACION DE DIFERENTES MEDIDAS DE DIAMETRO DE 13 - 20 mm, CON CAPACIDAD DE 30 - 50 TUBOS. C/U</t>
  </si>
  <si>
    <t>FRASCO DE VIDRIO TRANSPARENTE, BOCA ANCHA, CON TAPADERA DE ROSCA, DE METAL O PLASTICO, CAPACIDAD 4 -  6 ONZAS, DIAMETRO  4 - 5  cm,  AUTOCLAVABLE. C/U</t>
  </si>
  <si>
    <t>GRADILLA PARA TUBOS DE 30 mm  DE DIAMETRO, PLASTICA, AUTOCLAVABLE, CAPACIDAD DE 10 - 21 TUBOS DE 50 mL. C/U</t>
  </si>
  <si>
    <t>JERINGA DE VIDRIO TIPO HAMILTON,  CON PUNTA  DE METAL RECTA  (SIN BISEL) ,  EMBOLO DE ACERO INOXIDABLE Y EXTREMO DE TEFLON. CAPACIDAD DE 500 µL. C/U</t>
  </si>
  <si>
    <t>FRASCO PLASTICO CON TAPADERA DE ROSCA,   TRANSPARENTE,  GRADUADO DE 100 - 2, 000 mL TIPO NALGENE,  COMPATIBLE CON LAVADOR DE ELISA MARCA HYPERIUM. C/U</t>
  </si>
  <si>
    <t>TORNIQUETE DE HULE CON VELCRO PARA TOMA DE MUESTRA DE SANGRE. C/U</t>
  </si>
  <si>
    <t>BEAKER GRADUADO DE ACERO INOXIDABLE DE 2000 mL. C/U</t>
  </si>
  <si>
    <t>FRASCO DE POLIETILENO,  CON TAPON DE ROSCA DE 16 ± 2 ONZAS,  BOCA ANCHA DE 7  -  10 cm DE DIAMETRO. C/U</t>
  </si>
  <si>
    <t>FRASCO DE POLIETILENO CON TAPON DE ROSCA DE 30 ±  2 ONZAS,  BOCA ANCHA DE 7  -  10 cm DE DIAMETRO. C/U</t>
  </si>
  <si>
    <t>FRASCO DE POLIETILENO CON TAPON DE ROSCA DE 50 ± 5 ONZAS,  BOCA ANCHA DE 10  -  15 cm DE DIAMETRO. C/U</t>
  </si>
  <si>
    <t>FRASCO DE POLIETILENO CON TAPON DE ROSCA DE 100 ±  5 ONZAS,  BOCA ANCHA DE 10 - 15 cm DE DIAMETRO. C/U</t>
  </si>
  <si>
    <t xml:space="preserve">DISPENSADOR A  REPETICION DE 6 CANALES CON JERINGAS DE VIDRIO  PUNTAS  RECTAS,  TIPO HAMILTON. CAPACIDAD DE 50 µL. C/U </t>
  </si>
  <si>
    <t xml:space="preserve">DISPENSADOR A  REPETICION DE 6 CANALES CON JERINGAS DE VIDRIO,  PUNTAS  RECTAS,   TIPO HAMILTON. CAPACIDAD DE 500 µL. C/U </t>
  </si>
  <si>
    <t>PROPIPETA CALIBRADA DE POLIPROPILENO  . CON DOBLE FUNCION:   SUCCION Y DISPENSADO MANUAL  PARA PIPETA SEROLOGICA DE 2 mL. C/U</t>
  </si>
  <si>
    <t>PROPIPETA CALIBRADA DE POLIPROPILENO CON DOBLE FUNCION:   SUCCION Y DISPENSADO MANUAL  PARA PIPETA SEROLOGICA DE  5 mL. C/U</t>
  </si>
  <si>
    <t>PROPIPETA CALIBRADA DE POLIPROPILENO CON DOBLE FUNCION:   SUCCION Y DISPENSADO MANUAL  PARA PIPETA SEROLOGICA DE 10 mL. C/U</t>
  </si>
  <si>
    <t xml:space="preserve">FRASCO VIAL DE VIDRIO COLOR AMBAR DE 10 mL CAPACIDAD TOTAL 12 CC CON TAPON DE GOMA, ESTÉRIL </t>
  </si>
  <si>
    <t>TUBO GRADUADO PARA ERITROSEDIMENTACION,  TIPO WESTERGREEN PARA MUESTRAS PEDIATRICAS. C/U</t>
  </si>
  <si>
    <t xml:space="preserve">FRASCO DE VIDRIO CLARO,  BOCA ANGOSTA DE 4 ONZAS,  TAPON DE ROSCA DE VAQUELITA  (PARA HEMOCULTIVOS). C/U </t>
  </si>
  <si>
    <t>TUBO DE VIDRIO CON TAPON DE ROSCA,  CAPACIDAD DE 12 – 14 X 100 mm,  AUTOCLAVABLE. C/U</t>
  </si>
  <si>
    <t>BALON FONDO PLANO DE 1000 mL,  DE VIDRIO. C/U</t>
  </si>
  <si>
    <t>BALON FONDO PLANO DE  500 mL,  DE VIDRIO. C/U</t>
  </si>
  <si>
    <t>BALON FONDO PLANO DE  250 mL,  DE VIDRIO. C/U</t>
  </si>
  <si>
    <t>BEAKER  DE 1000 mL,  DE VIDRIO. C/U</t>
  </si>
  <si>
    <t>BEAKER DE 500 mL, DE VIDRIO. C/U</t>
  </si>
  <si>
    <t>BEAKER  DE 250 mL,  DE VIDRIO. C/U</t>
  </si>
  <si>
    <t>BEAKER  DE 150 mL,  DE VIDRIO. C/U</t>
  </si>
  <si>
    <t>BEAKER  DE 50 mL,  DE VIDRIO.  C/U</t>
  </si>
  <si>
    <t>BEAKER  DE 2000 mL,  DE VIDRIO. C/U</t>
  </si>
  <si>
    <t>CAMARA PARA RECUENTO DE GLOBULOS,  TIPO NEUBAWER. C/U</t>
  </si>
  <si>
    <t>PROBETA GRADUADA DE 2000 mL,  DE VIDRIO. C/U</t>
  </si>
  <si>
    <t>PROBETA GRADUADA DE 1000 mL,  DE VIDRIO. C/U</t>
  </si>
  <si>
    <t>PROBETA GRADUADA DE 500 mL,  DE VIDRIO. C/U</t>
  </si>
  <si>
    <t>PROBETA GRADUADA DE 250 mL,  DE VIDRIO. C/U</t>
  </si>
  <si>
    <t>ERLENMEYER  DE  2000 mL BOCA ANGOSTA,  DE VIDRIO. C/U</t>
  </si>
  <si>
    <t>ERLENMEYER  DE 1000 mL BOCA ANGOSTA,  DE VIDRIO. C/U</t>
  </si>
  <si>
    <t>ERLENMEYER  DE 500 mL,  BOCA ANGOSTA,  DE VIDRIO. C/U</t>
  </si>
  <si>
    <t>ERLENMEYER DE 250 mL BOCA ANGOSTA,  DE VIDRIO. C/U</t>
  </si>
  <si>
    <t xml:space="preserve">FRASCO GOTERO DE VIDRIO,  DE 60 mL  (APROXIMADAMENTE). C/U </t>
  </si>
  <si>
    <t>FRASCO VOLUMETRICO,  TAPON ESMERILADO DE 2000 mL. C/U</t>
  </si>
  <si>
    <t>FRASCO VOLUMETRICO,  TAPON ESMERILADO DE 1000 mL. C/U</t>
  </si>
  <si>
    <t>FRASCO VOLUMETRICO,  TAPON ESMERILADO DE 500 mL. C/U</t>
  </si>
  <si>
    <t>FRASCO VOLUMETRICO,  TAPON ESMERILADO DE 250 mL. C/U</t>
  </si>
  <si>
    <t>FRASCO VOLUMETRICO,  TAPON  ESMERILADO DE 200 mL. C/U</t>
  </si>
  <si>
    <t>FRASCO VOLUMETRICO,  TAPON ESMERILADO,  DE  100 mL. C/U</t>
  </si>
  <si>
    <t>FRASCO VOLUMETRICO,  TAPON ESMERILADO,  DE   50 mL. C/U</t>
  </si>
  <si>
    <t>PIPETA PARA CONTEO DE GLOBULOS BLANCOS. C/U</t>
  </si>
  <si>
    <t>PIPETA PARA CONTEO DE GLOBULOS ROJOS. C/U</t>
  </si>
  <si>
    <t>PIPETA SEROLOGICA DE 10 mL EN 0.1 mL DE VIDRIO. C/U</t>
  </si>
  <si>
    <t>PIPETA SEROLOGICA DE 5 mL EN 0.1 mL DE VIDRIO. C/U</t>
  </si>
  <si>
    <t>PIPETA SEROLOGICA DE 2 mL EN 0.01 mL DE VIDRIO. C/U</t>
  </si>
  <si>
    <t>PIPETA SEROLOGICA DE 1 mL EN 0.01 mL DE VIDRIO. C/U</t>
  </si>
  <si>
    <t>PIPETA SEROLOGICA DE 0.2 mL EN 0.001 mL DE VIDRIO. C/U</t>
  </si>
  <si>
    <t>PIPETA SEROLOGICA DE 0.1 mL EN 0.001 mL DE VIDRIO. C/U</t>
  </si>
  <si>
    <t>PIPETA VOLUMETRICA DE 5 mL,  DE VIDRIO. C/U</t>
  </si>
  <si>
    <t>PIPETA VOLUMETRICA DE 1 mL DE VIDRIO. C/U</t>
  </si>
  <si>
    <t>TERMOMETRO DE 10° A 100°C. C/U</t>
  </si>
  <si>
    <t>TERMOMETRO DE 5° A  200°C. C/U</t>
  </si>
  <si>
    <t>TUBO CONICO,  GRADUADO DE 15 mL,  DE VIDRIO. C/U</t>
  </si>
  <si>
    <t>TUBO DE ENSAYO DE VIDRIO,  TAPON DE ROSCA,  16 X 125  mm. C/U</t>
  </si>
  <si>
    <t>TUBO DE ENSAYO DE VIDRIO CON BORDE 13 X 100 mm, C/U</t>
  </si>
  <si>
    <t>TUBO DE ENSAYO DE VIDRIO CON BORDE 16 X 125 mm. C/U</t>
  </si>
  <si>
    <t>TUBO DE ENSAYO DE VIDRIO CON BORDE 16 X 150 mm. C/U</t>
  </si>
  <si>
    <t>TUBO  WINTROBE PARA HEMATOCRITO. C/U</t>
  </si>
  <si>
    <t xml:space="preserve">VARILLA DE VIDRIO SOLIDO DE 7 mm X 250 mm  (APROXIMADAMENTE). C/U </t>
  </si>
  <si>
    <t>PERLAS DE VIDRIO. ONZA</t>
  </si>
  <si>
    <t>TUBO GRADUADO  PARA  ERITROSEDIMENTACION,  TIPO WESTERGREEN. C/U</t>
  </si>
  <si>
    <t xml:space="preserve">PIPETA PASTEUR, CORTA,  DE 200 µL,  DE VIDRIO. C/U </t>
  </si>
  <si>
    <t>TUBO DE ENSAYO DE VIDRIO,  TAPON DE ROSCA DE 16 X150 mm. C/U</t>
  </si>
  <si>
    <t>TUBO DE ENSAYO DE VIDRIO, TAPON DE ROSCA 20 X 150 mm. C/U</t>
  </si>
  <si>
    <t>CUBETA PARA TINCION DE LAMINA PORTA OBJETOS,  CON CAPACIDAD PARA 25 LAMINAS  (APROXIMADAMENTE)  DE ACERO INOXIDABLE. C/U</t>
  </si>
  <si>
    <t xml:space="preserve">CUBETA PARA TINCION DE LAMINA PORTA OBJETOS,   CON CAPACIDAD PARA 50 LAMINAS  (APROXIMADAMENTE). C/U </t>
  </si>
  <si>
    <t>VIDRIO DE RELOJ DE 100 mm DE DIAMETRO. C/U</t>
  </si>
  <si>
    <t>BALON FONDO PLANO DE  125 mL,  DE VIDRIO. C/U</t>
  </si>
  <si>
    <t>PROBETA GRADUADA DE  100 mL,  DE VIDRIO. C/U</t>
  </si>
  <si>
    <t>ERLENMEYER DE 200 mL,  DE VIDRIO. C/U</t>
  </si>
  <si>
    <t>ERLENMEYER  DE 100 mL,  DE VIDRIO. C/U</t>
  </si>
  <si>
    <t xml:space="preserve">LAMINA DE VIDRIO PARA ANTIGENOS FEBRILES 26 X 15 cm.  (APROXIMADAMENTE). C/U </t>
  </si>
  <si>
    <t xml:space="preserve">LAMINA DE VIDRIO PARA SEROLOGIA,  PARA VDRL,  10  CAVIDADES  (APROXIMADAMENTE). C/U </t>
  </si>
  <si>
    <t>PROBETA GRADUADA DE 25 mL,  DE VIDRIO. C/U</t>
  </si>
  <si>
    <t>TUBO DE ENSAYO DESCARTABLE,  TAPON DE ROSCA 12 X 100 mm. C/U</t>
  </si>
  <si>
    <t>JARRA  KOPLICK DE VIDRIO DE 47 X 47 mm,  CON TAPADERA BOCA ANCHA DE VIDRIO Y HENDIDURAS INTERNAS. C/U</t>
  </si>
  <si>
    <t>TERMOMETRO PARA TEMPERATURAS BAJAS DE  - 4°  A   -120°C. C/U</t>
  </si>
  <si>
    <t>TUBO DE ENSAYO DE VIDRIO,  TAPON DE ROSCA 9.5 X 1.5 cm. C/U</t>
  </si>
  <si>
    <t>VASIJA Y  TAPADERA DE VIDRIO CON SU RESPECTIVO  RACK METALICO. CAPACIDAD DE 25 LAMINAS. C/U</t>
  </si>
  <si>
    <t>PROBETA GRADUADA 1000 ML POLIETILENO</t>
  </si>
  <si>
    <t>TERMOMETRO DE  - 10° A  100°C. C/U</t>
  </si>
  <si>
    <t>VASIJA COMPLETA CON SU RESPECTIVA TAPADERA DE VIDRIO Y RACK METALICO CON CAPACIDAD DE 50  LAMINAS. C/U</t>
  </si>
  <si>
    <t>CAJA  PORTA LAMINA,  PARA 100 LAMINAS. C/U</t>
  </si>
  <si>
    <t>CAJA PORTA LAMINA,  PARA 25 LAMINAS. C/U</t>
  </si>
  <si>
    <t>CAMPANA PARA ATMOSFERA ANAEROBICA COMPLETA,  CON SU RESPECTIVA TAPADERA,  SIMILAR  GASPAK. C/U</t>
  </si>
  <si>
    <t>VASIJA DE PLASTICO,  FONDO EN “V” CON CAPACIDAD DE 50 mL PARA DISPENSAR REACTIVOS CON PIPETA TIPO HAMILTON. C/U</t>
  </si>
  <si>
    <t>PINZA MANUAL CON RODILLO PARA MEZCLAR SANGRE DEL TUBO DE LA UNIDAD RECOLECTORA DE SANGRE.</t>
  </si>
  <si>
    <t xml:space="preserve">CANASTA CUADRADA DE METAL INOXIDABLE,  6" X  6" X 6".  (APROXIMADAMENTE). C/U </t>
  </si>
  <si>
    <t xml:space="preserve">CANASTA RECTANGULAR DE METAL INOXIDABLE 11 1/2" X 8" X 7"  (APROXIMADAMENTE). C/U </t>
  </si>
  <si>
    <t xml:space="preserve">CANASTA RECTANGULAR DE METAL INOXIDABLE 10" X 6" X 6"  (APROXIMADAMENTE). C/U </t>
  </si>
  <si>
    <t xml:space="preserve">CANASTA REDONDA DE METAL INOXIDABLE 10 "X 6"  (APROXIMADAMENTE). C/U </t>
  </si>
  <si>
    <t xml:space="preserve">CANASTA REDONDA DE METAL INOXIDABLE 6" X 5"  (APROXIMADAMENTE). C/U </t>
  </si>
  <si>
    <t>CONTOMETRO PARA FORMULA DIFERENCIAL DE 8 TECLAS. C/U</t>
  </si>
  <si>
    <t>CONTOMETRO PARA FORMULA DIFERENCIAL DE 5 TECLAS. C/U</t>
  </si>
  <si>
    <t>CONTOMETRO DE MANO PARA CONTEO DE GLOBULOS. C/U</t>
  </si>
  <si>
    <t>CRONOMETRO DE 1 HORA EN 1/10 SEGUNDOS. C/U</t>
  </si>
  <si>
    <t>DISCO CLASIFICADOR DE ANEMIA TIPO BEST. C/U</t>
  </si>
  <si>
    <t xml:space="preserve">ESPATULA DE ACERO INOXIDABLE,  HOJA PLANA 12 cm.,  MANGO 11 cm.  (APROXIMADAMENTE). C/U </t>
  </si>
  <si>
    <t xml:space="preserve">ESPATULA DE ACERO INOXIDABLE,  HOJA PLANA 20 cm.,  MANGO 12 cm.  (APROXIMADAMENTE). C/U </t>
  </si>
  <si>
    <t>GRADILLA CONSTRUIDA DE:  ALUMINIO,  PLASTICO,  ACERO - PLASTICO O SIMILARES,  PARA TUBO DE 12 X 75 mm  CAPACIDAD DE 20 - 40 TUBOS. C/U</t>
  </si>
  <si>
    <t>GRADILLA CONSTRUIDA DE:  ALUMINIO,  PLASTICO,  ACERO - PLASTICO O SIMILARES,  PARA TUBO DE 15 X 100 mm,  CAPACIDAD DE 20 - 40 TUBOS. C/U</t>
  </si>
  <si>
    <t>GRADILLA CONSTRUIDA DE:  ALUMINIO,  PLASTICO,  ACERO - PLASTICO O SIMILARES,  PARA TUBO DE 16 X 150 mm,  CAPACIDAD 24 - 48 TUBOS. C/U</t>
  </si>
  <si>
    <t>GRADILLA CONSTRUIDA DE:  ALUMINIO,  PLASTICO,  ACERO - PLASTICO O SIMILARES,  PARA TUBO DE 20 X 150 mm,  CAPACIDAD DE 24 - 48 TUBOS. C/U</t>
  </si>
  <si>
    <t>LAPICERO PUNTA DE DIAMANTE. C/U</t>
  </si>
  <si>
    <t>MANGO PARA ASAS BACTERIOLOGICAS CON ROSCA DE 10" LARGO  (APROXIMADAMENTE). C/U</t>
  </si>
  <si>
    <t>QUEMADOR DE BUNSEN O SIMILAR. C/U</t>
  </si>
  <si>
    <t>GRADILLA CONSTRUIDA DE:  ALUMINIO,  PLASTICO,  ACERO - PLASTICO O SIMILARES,  PARA TUBO DE 16 X 150 mm,  CAPACIDAD DE 60 - 80 TUBOS. C/U</t>
  </si>
  <si>
    <t>SOPORTE PARA ERITROSEDIMENTACION TIPO WESTERGREEN. C/U</t>
  </si>
  <si>
    <t>CHISPERO DE MANO QUE INCLUYA 12 PIEDRAS DE REPUESTO. C/U</t>
  </si>
  <si>
    <t>AGITADOR MAGNETICO. C/U</t>
  </si>
  <si>
    <t>GRADILLA CONSTRUIDA DE:  ALUMINIO,  PLASTICO,  ACERO - PLASTICO O SIMILARES,  PARA TUBO DE 12 X 75 mm,  CAPACIDAD DE 70 - 100 TUBOS. C/U</t>
  </si>
  <si>
    <t>GRADILLA CONSTRUIDA DE:  ALUMINIO,  PLASTICO,  ACERO - PLASTICO O SIMILARES,  PARA TUBO DE 15 X 100 mm,  CAPACIDAD DE 60 - 80 TUBOS. C/U</t>
  </si>
  <si>
    <t xml:space="preserve">GRADILLA GALVANIZADA CIRCULAR,  PARA EBULLICION,  DE 6 X 5"  (APROXIMADAMENTE). C/U </t>
  </si>
  <si>
    <t xml:space="preserve">CANASTA CUADRADA DE METAL INOXIDABLE,  10" X 10" X 8"  (APROXIMADAMENTE). C/U  </t>
  </si>
  <si>
    <t>GRADILLA CONSTRUIDA DE:  ALUMINIO,  PLASTICO,  ACERO - PLASTICO O SIMILARES,  PARA TUBO DE 20 X 150 mm,  CAPACIDAD DE 20 - 36 TUBOS. C/U</t>
  </si>
  <si>
    <t>GRADILLA DE METAL QUE CONTENGA 11 DEPOSITOS PARA ALMACENAR CAJAS CON SUEROS COMPATIBLES CON FREEZER ULT REVCO O SIMILAR. C/U</t>
  </si>
  <si>
    <t xml:space="preserve"> PORTA LAMINA PARA 50 LAMINAS TIPO LIPSCHAW DE ACERO INOXIDABLE. C/U</t>
  </si>
  <si>
    <t xml:space="preserve"> PORTA LAMINA PARA 25 LAMINAS TIPO LIPSCHAW DE ACERO INOXIDABLE. C/U</t>
  </si>
  <si>
    <t xml:space="preserve">AGUJA DE  WINTROBE CON SU RESPECTIVA PERILLA,  PUNTA DE METAL. C/U </t>
  </si>
  <si>
    <t xml:space="preserve">ACEITE DE OLIVA,  TIPO SASSO,  DE 100 mL  (APROXIMADAMENTE). FRASCO </t>
  </si>
  <si>
    <t>FRASCO</t>
  </si>
  <si>
    <t>PUNTA PLASTICA PARA PIPETA MULTICANAL 1  -  200 mL. C/U</t>
  </si>
  <si>
    <t>TUBO AL VACIO PED. S/ANTIC TAPON ROJO</t>
  </si>
  <si>
    <t>PAPEL TERMICO COMPATIBLE CON  ANALIZADOR DE ELECTROLITOS NOVA 5,  DE 10.7 cm. DE ANCHO. ROLLO</t>
  </si>
  <si>
    <t>DETERGENTE LIQUIDO CONCENTRADO BIODEGRADABLE</t>
  </si>
  <si>
    <t>GALON</t>
  </si>
  <si>
    <t xml:space="preserve">PAPEL TERMICO COMPATIBLE CON  ESPECTROFOTOMETRO HUMALYZER DE 6.3 cm. DE ANCHO.ROLLO  </t>
  </si>
  <si>
    <t xml:space="preserve">TARJETA IMPRESA COMPATIBLE CON  CONTADOR  HEMATOLOGICO,  COULTER COUNTER SS - 80. C/U </t>
  </si>
  <si>
    <t>TUBO AL VACIO PED. C/EDTA, TAPON MORADO</t>
  </si>
  <si>
    <t>TUBO AL VACIO PEDIATRICO TAPON CELESTE</t>
  </si>
  <si>
    <t>CAJA CON GRADILLA Y TAPADERA DE  POLIPROPILENO,  CON CAPACIDAD DE 90 - 100  PUNTAS, DE 2 - 100 µL. C/U</t>
  </si>
  <si>
    <t>CAJA CON GRADILLA Y TAPADERA DE POLIPROPILENO,  CON CAPACIDAD  DE 90 - 100 PUNTAS. DE  500 - 1000  µL. C/U</t>
  </si>
  <si>
    <t>PLUMON MARCADOR CON TINTA DE SECADO RAPIDO E INDELEBLE ,  PUNTA EXTRAFINA. COLOR ROJO. C/U</t>
  </si>
  <si>
    <t>PLUMON MARCADOR  CON TINTA DE SECADO RAPIDO E INDELEBLE,  PUNTA EXTRAFINA. COLOR NEGRO. C/U</t>
  </si>
  <si>
    <t>CAJA PORTATIL  ORGANIZADORA CON GRADILLA Y AGARRADERO DE POLIETILENO,   PARA TOMA DE MUESTRAS,  MEDIDAS 38 X 36 X 27 cm. APROXIMADAMENTE. C/U</t>
  </si>
  <si>
    <t>PAPEL DE REGISTRO DE IMAGENES BLANCO Y NEGRO COMPATIBLE CON  IMPRESOR “CODONICS” MODELO Np – 1660M MEDICAL PRINTER. C/U</t>
  </si>
  <si>
    <t xml:space="preserve">PAPEL DE REGISTRO DE IMAGENES A COLOR  COMPATIBLE CON  IMPRESOR “CODONICS” MODELO Np – 1660M MEDICAL PRINTER. C/U </t>
  </si>
  <si>
    <t>GUANTE PARA LAVAR CRISTALERIA.</t>
  </si>
  <si>
    <t>PAR</t>
  </si>
  <si>
    <t>FRESA PARA PULIR AMALGAMA EN FORMA DE HU</t>
  </si>
  <si>
    <t>FRESA DE CARBURO FISURA EXTREMO PLANO, AGARRE POR FRICCION # 701, ALTA VELOCIDAD</t>
  </si>
  <si>
    <t xml:space="preserve">HUESO LIOFILIZADO PARA TRATAMIENTO DE DEFECTOS OSEOS. FRASCO O BOLSA DE 0.25 MG                     </t>
  </si>
  <si>
    <t>FRASCO Ó BOLSA DE 0.25 MG.</t>
  </si>
  <si>
    <t>LACA FLUORADA COMPUESTA POR FLUORURO DE SODIO Y FLUORURO DE CALCIO</t>
  </si>
  <si>
    <t>ESTUCHE</t>
  </si>
  <si>
    <t>MEMBRANA DE REGENERACION TISULAR REABSORBIBLE PARA USO PERIODONTAL</t>
  </si>
  <si>
    <t>CEMENTO PARA OBSTURACION TEMPORARIA</t>
  </si>
  <si>
    <t>CEMENTO SELLADOR BIOCOMPATIBLE DE CANALES RADICULARES</t>
  </si>
  <si>
    <t>SET</t>
  </si>
  <si>
    <t>CEMENTO TRIOXIDO MINERAL AGREGADO</t>
  </si>
  <si>
    <t>CLOROFORMO SOLUCION</t>
  </si>
  <si>
    <t>FRASCO DE 30 - 60 mL.</t>
  </si>
  <si>
    <t xml:space="preserve">EDTA (ACIDO ETILEN-DIAMINO TETRAACETATO)  FRASCO </t>
  </si>
  <si>
    <t>FRESA ENDO Z</t>
  </si>
  <si>
    <t>FRESA TIPO GATES GLIDDEN (DEL 1 AL 6), DE 25 MM, PARA APERTURA DE CANALES</t>
  </si>
  <si>
    <t>JUEGO</t>
  </si>
  <si>
    <t>GRAPAS PARA ENDODONCIA # 14 A</t>
  </si>
  <si>
    <t>GRAPAS PARA ENDODONCIA # 201</t>
  </si>
  <si>
    <t>GRAPAS PARA ENDODONCIA # 206</t>
  </si>
  <si>
    <t>GRAPAS PARA ENDODONCIA # 210</t>
  </si>
  <si>
    <t>GRAPAS PARA ENDODONCIA # 212</t>
  </si>
  <si>
    <t>GRAPAS PARA ENDODONCIA # 26</t>
  </si>
  <si>
    <t>GRAPAS PARA ENDODONCIA # 8</t>
  </si>
  <si>
    <t>GRAPA PARA ENDODONCIA CON ALAS # 200 Ó # 7</t>
  </si>
  <si>
    <t>GRAPA PARA ENDODONCIA SIN ALAS # 27 Ó W2A</t>
  </si>
  <si>
    <t>HIDROXIDO DE CALCIO MAS PARAMONOCLOROFENOL ALCANFORADO (FORMULA CALEN PMCC)</t>
  </si>
  <si>
    <t xml:space="preserve">LIMAS DE NIQUEL TITANIO DEL SISTEMA ROTATORIO </t>
  </si>
  <si>
    <t>LIMAS MANUALES DE NIQUEL TITANIO DEL 15 AL 40</t>
  </si>
  <si>
    <t>LIMAS MANUALES DE NIQUEL TITANIO DEL 45 AL 80</t>
  </si>
  <si>
    <t>LIMAS TIPO K DE ACERO INOXIDABLE DEL 15 AL 40 DE 25 MM. DE LARGO, CON MANGO</t>
  </si>
  <si>
    <t>LIMAS TIPO K DE ACERO INOXIDABLE DEL 15 AL 40 DE 31 MM. DE LARGO</t>
  </si>
  <si>
    <t>LIMAS TIPO K DE ACERO INOXIDABLE DEL 45 AL 80 DE 25 MM. DE LARGO, CON MANGO</t>
  </si>
  <si>
    <t>LIMAS TIPO K DE ACERO INOXIDABLE DEL 45 AL 80 DE 31 MM. DE LARGO</t>
  </si>
  <si>
    <t>LIMAS TIPO K DE ACERO INOXIDABLE SERIE ACCESORIA (0.6 - 10)</t>
  </si>
  <si>
    <t>LIMA TIPO K NO. 15</t>
  </si>
  <si>
    <t>CAJA</t>
  </si>
  <si>
    <t>LIMA TIPO K NO. 20</t>
  </si>
  <si>
    <t>LIMA TIPO K NO. 25</t>
  </si>
  <si>
    <t>PARAMONOCLOROFENOL SOLUCION</t>
  </si>
  <si>
    <t>FRASCO DE 10-30 mL</t>
  </si>
  <si>
    <t>PELICULA RADIOGRAFICA INTRA-ORAL DOBLE FILM PARA ADULTO</t>
  </si>
  <si>
    <t>PUNTAS DE GUTAPERCHA ACCESORIA FINE MEDIUM</t>
  </si>
  <si>
    <t>PUNTAS DE GUTAPERCHA ACCESORIA MEDIUM</t>
  </si>
  <si>
    <t>PUNTAS DE GUTAPERCHA ACCESORIA MEDIUM FINE</t>
  </si>
  <si>
    <t>PUNTAS DE GUTAPERCHA ACCESORIAS DE 0.04% DEL 20 AL 45</t>
  </si>
  <si>
    <t>PUNTAS DE GUTAPERCHA DEL 15 AL 40</t>
  </si>
  <si>
    <t>PUNTAS DE GUTAPERCHA DEL 45 AL 80</t>
  </si>
  <si>
    <t>PUNTAS DE PAPEL DEL 15 AL 40</t>
  </si>
  <si>
    <t>PUNTAS DE PAPEL DEL 45 AL 80</t>
  </si>
  <si>
    <t>ACRILICO AUTOPOLIMERIZABLE  POLVO Y LIQUIDO.</t>
  </si>
  <si>
    <t>FRESA QUIRURGICA DE TALLO LARGO # 702 PARA ALTA VELOCIDAD, TIPO BUFALO O SIMILAR</t>
  </si>
  <si>
    <t>HILO DE ALAMBRE 0.40 MM. X 0.016" ACERO INOXIDABLE MALEABLE</t>
  </si>
  <si>
    <t>HILO DE ALAMBRE 0.50 MM. X 0.020" ACERO INOXIDABLE MALEABLE</t>
  </si>
  <si>
    <t>MINIPLACAS DE 16 HOLE BATCH O SIMILAR</t>
  </si>
  <si>
    <t>PAQUETE</t>
  </si>
  <si>
    <t>MINIPLACAS DE 4 HOLE, PAQUETE DE 10 UNIDADES</t>
  </si>
  <si>
    <t>MINIPLACAS DE 6 HOLE, PAQUETE DE 10 UNIDADES</t>
  </si>
  <si>
    <t>TORNILLO DE TITANIO DE 2 MM., PAQUETE DE 10 UNIDADES</t>
  </si>
  <si>
    <t>TORNILLO DE TITANIO DE 5 MM., PAQUETE DE 10 UNIDADES</t>
  </si>
  <si>
    <t>TORNILLO DE TITANIO DE 7 MM., PAQUETE DE 10 UNIDADES</t>
  </si>
  <si>
    <t>COPA DE HULE PARA CONTRANGULA DE PASADOR</t>
  </si>
  <si>
    <t>RESINA COMPOSITA, CATALIZADOR Y BASE, DE AUTOCURADO PARA SELLADO DE FOSAS Y FISURAS</t>
  </si>
  <si>
    <t>ACIDO GRABADOR DE ESMALTE EN GEL</t>
  </si>
  <si>
    <t>ADHESIVO PARA RESINA COMPOSITA DE FOTOCURADO</t>
  </si>
  <si>
    <t>AGUJA CARPULE CORTA # 27 DESCARTABLE</t>
  </si>
  <si>
    <t>AGUJA CARPULE CORTA # 30 DESCARTABLE</t>
  </si>
  <si>
    <t>AGUJA CARPULE LARGA # 27 DESCARTABLE</t>
  </si>
  <si>
    <t>ALEACION DE AMALGAMA DE PLATA EN CAPSULA</t>
  </si>
  <si>
    <t>BASE PROTECTORA PULPAL DE FOTOCURADO</t>
  </si>
  <si>
    <t>CARETA DE PROTECCION CON VISOR PLASTICO</t>
  </si>
  <si>
    <t>CELULOIDE EN TIRAS</t>
  </si>
  <si>
    <t>CEMENTO  DE  HIDROXIDO  DE  CALCIO  EN  PASTA     CATALIZADOR Y BASE DE FRAGUADO REGULAR</t>
  </si>
  <si>
    <t>CEMENTO  DE  OXIDO  DE ZINC  CON  EUGENOL POLVO, ENDURECIMIENTO RAPIDO</t>
  </si>
  <si>
    <t>CEMENTO DE FOSFATO DE ZINC LIQUIDO</t>
  </si>
  <si>
    <t>CEMENTO DE FOSFATO DE ZINC POLVO</t>
  </si>
  <si>
    <t>CEMENTO DE OXIDO DE ZINC CON EUGENO LIQUIDO</t>
  </si>
  <si>
    <t>CEMENTO DE POLICARBOXILATO LIQUIDO</t>
  </si>
  <si>
    <t>CEMENTO DE POLICARBOXILATO POLVO</t>
  </si>
  <si>
    <t>CHUCK METALICO P/PIEZA DE MANO DE ALTA</t>
  </si>
  <si>
    <t>CINTA BANDA MATRIZ DE 5 MM. DE ANCHO, METALICA</t>
  </si>
  <si>
    <t>CINTA BANDA MATRIZ DE 7 MM DE ANCHO MET</t>
  </si>
  <si>
    <t>COPA DE HULE DE ATORNILLAR</t>
  </si>
  <si>
    <t>COPA O TAZA DAPPEN DE PLASTICO</t>
  </si>
  <si>
    <t>COPA O TAZA DAPPEN DE VIDRIO</t>
  </si>
  <si>
    <t>CUÑAS DE MADERA</t>
  </si>
  <si>
    <t xml:space="preserve"> CAJA O BOLSA</t>
  </si>
  <si>
    <t>EYECTOR DE SALIVA DERCARTABLE</t>
  </si>
  <si>
    <t>FORMOCRESOL SOLUCION (FORMALDEHIDO 19% CREASETINA 35%)</t>
  </si>
  <si>
    <t>FRESA DE ARKANSAS REDONDA PARA PULIDO DE RESINAS</t>
  </si>
  <si>
    <t>FRESA DE CARBURO FISURA EXTREMO PLANO AGARRE POR  FRICCION # 556</t>
  </si>
  <si>
    <t>FRESA DE CARBURO FISURA EXTREMO PLANO #5</t>
  </si>
  <si>
    <t>FRESA D CARBURO FISURA EXTREMO PLANO #24</t>
  </si>
  <si>
    <t>FRESA DE CARBURO REDONDA #2</t>
  </si>
  <si>
    <t>FRESA DE CARBURO REDONDA #4</t>
  </si>
  <si>
    <t>FRESA DE CARBURO REDONDA, AGARRE POR FRICCION # 6</t>
  </si>
  <si>
    <t>FRESA DE CARBURO REDONDA DE AGARRE POR FRICCION</t>
  </si>
  <si>
    <t>FRESA DE CARBURO, AGARRE POR FRICCION # 330</t>
  </si>
  <si>
    <t>FRESA DE DIAMANTE EN FORMA DE RUEDA</t>
  </si>
  <si>
    <t>FRESA DE DIAMANTE TRONCO CONICA FINA</t>
  </si>
  <si>
    <t>FRESA ESPECIAL DE ALTA VELOCIDAD</t>
  </si>
  <si>
    <t xml:space="preserve">FRESA PARA PULIR AMALGAMA REDONDA No. </t>
  </si>
  <si>
    <t xml:space="preserve">FRESA PARA PULIR AMALGAMA REDONDA No.6 </t>
  </si>
  <si>
    <t>FRESA PARA TERMINADO FINAL DE AMALGAMA EN FORMA DE PERA</t>
  </si>
  <si>
    <t>FRESA QUIMICA CILINDRICA #557 TALLO</t>
  </si>
  <si>
    <t>HIDROXIDO DE CALCIO QUIMICAMENTE PURO, EN POLVO</t>
  </si>
  <si>
    <t>JERINGA CON GRASA PARA LUBRICAR PIEZA DE MANO</t>
  </si>
  <si>
    <t>LENTE DE PROTECCION PARA LAMPARA DE FOTOCURADO</t>
  </si>
  <si>
    <t>LIQUIDOS PARA PROCESAR PELICULAS RADIOGRAFICAS</t>
  </si>
  <si>
    <t>LUBRICANTE EN SPRAY PARA PIEZA DE MANO</t>
  </si>
  <si>
    <t>PELICULA RADIOGRAFICA PERIAPICAL P/ADULTOS</t>
  </si>
  <si>
    <t>PIEDRA DE ARKANSAS EN FORMA DE LLAMA</t>
  </si>
  <si>
    <t>PIEDRA DE ARKANSAS PARA AFILAR # 8-A</t>
  </si>
  <si>
    <t>PINCEL PARA APLICACION DE RESINAS COMPOSITAS</t>
  </si>
  <si>
    <t>RESINA COMPOSITA CURADA POR LUZ VISIBLE, COLOR A3. JERINGA PRELLENADA</t>
  </si>
  <si>
    <t>RESINA COMPOSITA CURADA POR LUZ VISIBLE, COLOR A3.5. JERINGA PRELLENADA</t>
  </si>
  <si>
    <t>RESINA COMPOSITA CURADA COLOR A-2 A-3 A-3,5</t>
  </si>
  <si>
    <t>RODETE DE ALGODÓN</t>
  </si>
  <si>
    <t>TIRANERVIOS DEL 15 AL 40</t>
  </si>
  <si>
    <t>TIRAS DE LIJA SURTIDA</t>
  </si>
  <si>
    <t>COPAS DE HULE PARA CONTRANGULO DE PASADOR</t>
  </si>
  <si>
    <t>ATACADOR DOBLE DE  ACERO INOXIDABLE  # 1</t>
  </si>
  <si>
    <t>CONDENSADOR  DE  AMALGAMA  HOLLENBACK # 3, DOBLE  EXTREMO</t>
  </si>
  <si>
    <t>TALLADOR PARA CERA Y AMALGAMA FRAHM # 6 DE UNO O DOBLE EXTREMO</t>
  </si>
  <si>
    <t>QUITA  Y  PONE  FRESA  PARA  ALTA VELOCIDAD, TIPO STARFLITE</t>
  </si>
  <si>
    <t>QUITA CORONAS CON PUNTAS INTERCAMBIABLES</t>
  </si>
  <si>
    <t>BISTURI INTERDENTAL # 5-6 BUCK DE DOBLE EXTREMO</t>
  </si>
  <si>
    <t>BISTURI KIRKLANND # 15-16 DOBLE EXTREMO</t>
  </si>
  <si>
    <t>CINCEL PARA HUESO # 4 OCHSENBEIN</t>
  </si>
  <si>
    <t>CUCHILLO CRANE KAPLAND CK-3</t>
  </si>
  <si>
    <t>CUCHILLO CRANE KAPLAND DE DOBLE EXTREMO, 5 - 6</t>
  </si>
  <si>
    <t>CURETA MC CALL 13 - 14 S , DOBLE EXTREMO</t>
  </si>
  <si>
    <t>CURETA MC CALL 13 - 14, DOBLE EXTREMO</t>
  </si>
  <si>
    <t>CURETA MC CALL 17 - 18 S , DOBLE EXTREMO</t>
  </si>
  <si>
    <t>CURETA MC CALL 17 - 18, DOBLE EXTREMO</t>
  </si>
  <si>
    <t>INSTRUMENTO DE PROFILAXIS # 103, DARBY PERRY</t>
  </si>
  <si>
    <t>INSTRUMENTO DE PROFILAXIS # 104, DARBY PERRY</t>
  </si>
  <si>
    <t>LIMA PARA HUESO SCHULER</t>
  </si>
  <si>
    <t>PINZA AUXILIAR UNIVERSAL RECTA DE 20 CMS</t>
  </si>
  <si>
    <t>TIJERA PARA ENCIA SEMICURVA GOLDMAN-FO</t>
  </si>
  <si>
    <t>ARCO PARA DIQUE DE GOMA METALICO Ó PLASTICO</t>
  </si>
  <si>
    <t>CUCHARILLA ENDODONTICA</t>
  </si>
  <si>
    <t>ESPACIADOR O CONDENSADOR DE GUTAPERCHA # D-11-T</t>
  </si>
  <si>
    <t>ESTUCHE METALICO ORGANIZADOR DE ENDODONCIA</t>
  </si>
  <si>
    <t>EXPLORADOR PARA ENDODONCIA</t>
  </si>
  <si>
    <t>PERFORADORA DE DIQUE DE GOMA</t>
  </si>
  <si>
    <t>PINZA PORTAGRAPA PARA DIQUE DE GOMA</t>
  </si>
  <si>
    <t>REGLA MILIMETRADA ENDODONTICA</t>
  </si>
  <si>
    <t>VERIFICADOR DE APICES</t>
  </si>
  <si>
    <t>ABREBOCA "DENHART" INOXIDABLE</t>
  </si>
  <si>
    <t>ABREBOCA DE HULE PEQUEÑO, MEDIANO Y GRANDE</t>
  </si>
  <si>
    <t>CANULAS DE ASPIRACION, COUPLAND 24 CMS., 9 1/2"   (APROX.)</t>
  </si>
  <si>
    <t>LEZNA PARA ARCO CIGAMATICO, TIPO " OBWERGESER "   23 CMS., 9" (APROX.)</t>
  </si>
  <si>
    <t>LEZNA PARA MANDIBULA, TIPO " OBWERGESER " 14 CMS.,5 1/2" (APROX.)</t>
  </si>
  <si>
    <t>PINZA TIRA LENGUA,TIPO "COLLIN", 16 CMS., 6 1/4" (APROX.)</t>
  </si>
  <si>
    <t>RETRACTOR ACANALADO, TIPO " OBWERGESER " 16 CMS., 6 1/4" (APROX.)</t>
  </si>
  <si>
    <t>RETRACTOR SIMPLE TIPO " OBWERGESER " 11 X 42 MM.  (APROX.)</t>
  </si>
  <si>
    <t>SEPARADOR DE PERIOSTIO, TIPO " FREER " 19 CMS.,   7 1/2" (APROX.)</t>
  </si>
  <si>
    <t>TIJERA CORTADORA DE ALAMBRE UNIVERSAL 12 CMS., 4 3/4" (APROX.)</t>
  </si>
  <si>
    <t>ANGULO DE ATORNILLAR PARA PROFILAXIS</t>
  </si>
  <si>
    <t>APLICADOR METALICO P/ CEMENTO DE HID</t>
  </si>
  <si>
    <t>APLICADOR CONDENS. DE CEMENTO WOODSON #</t>
  </si>
  <si>
    <t>APLICADOR CONDES. PLASTICO PARA RESINA</t>
  </si>
  <si>
    <t>APLICADOR CONDENSADOR PLASTICO PARA RESINA</t>
  </si>
  <si>
    <t>BRUÑIDOR # 28 - 29, INOXIDABLE</t>
  </si>
  <si>
    <t>BRUÑIDOR ANATOMICO # 2</t>
  </si>
  <si>
    <t>CONDENSADOR DE AMALGAMA CUADRUPLE BENNET</t>
  </si>
  <si>
    <t>CONDENSADOR DE AMALGAMA HOLLENBACK # 4, DOBLE EXTREMO</t>
  </si>
  <si>
    <t>CONDENSADOR DE AMALGAMA SMITH</t>
  </si>
  <si>
    <t>CONTRANGULO DE PASADOR DE BAJA VELOCIDAD PARA PIEZA DE MANO</t>
  </si>
  <si>
    <t>CUCHARILLA O EXCAVADOR PARA DENTINA #14</t>
  </si>
  <si>
    <t>CUCHARILLA O EXCAVADOR PARA DENTINA #17</t>
  </si>
  <si>
    <t>CURETA "LUCAS" # 15, INOXIDABLE</t>
  </si>
  <si>
    <t>CURETA "LUCAS" # 85, INOXIDABLE</t>
  </si>
  <si>
    <t>CURETA "LUCAS" #88 INOXIDABLE</t>
  </si>
  <si>
    <t>CURETA UNIVERSAL MUHLEMANN # 6 INOXIDABLE</t>
  </si>
  <si>
    <t>DENTOFORMO ARMADO PARA ADULTO</t>
  </si>
  <si>
    <t>DENTOFORMO ARMADO PARA NIÑOS</t>
  </si>
  <si>
    <t>DEPRESOR DE LENGUA, TIPO "WIEDER" 32 CMS. (APROX.)</t>
  </si>
  <si>
    <t>ELEVADOR APICAL RECTO TIPO SELDIN # 301, INOXIDABLE</t>
  </si>
  <si>
    <t>ELEVADOR APICAL TIPO SELDIN # 302, INOXIDABLE</t>
  </si>
  <si>
    <t>ELEVADOR APICAL TIPO SELDIN # 305, INOXIDABLE</t>
  </si>
  <si>
    <t>ELEVADOR DE PERIOSTIO MOLT #9 INOXIDABLE</t>
  </si>
  <si>
    <t>ELEVADOR DE RAIZ "BARRY" # 320 INOXIDABLE</t>
  </si>
  <si>
    <t>ELEVADOR DE RAIZ "BARRY" # 321 INOXIDABLE</t>
  </si>
  <si>
    <t>ELEVADOR DE RAIZ "BARRY" # 370, INOXIDABLE</t>
  </si>
  <si>
    <t>ELEVADOR DE RAIZ "BARRY" #371 INOXIDABLE</t>
  </si>
  <si>
    <t>ELEVADOR DE RAIZ "SELDIN" #2 INOXIDABLE</t>
  </si>
  <si>
    <t>ELEVADOR DE RAIZ "SELDIN" #3 INOXIDABLE</t>
  </si>
  <si>
    <t>ELEVADOR PLANO RECTO INOXIDABLE</t>
  </si>
  <si>
    <t xml:space="preserve">ELEVADOR RECTO ACANALADO TIPO SELDIN N° 34 </t>
  </si>
  <si>
    <t>ESPATULA PARA CEMENTO DOBLE EXTREMO</t>
  </si>
  <si>
    <t>ESPEJO # 5 SIN AUMENTO ADAPT A MANGO</t>
  </si>
  <si>
    <t>EXPLORADOR DOBLE # 5</t>
  </si>
  <si>
    <t>FORCEPS DE EXTRACCION # 101, INOXIDABLE</t>
  </si>
  <si>
    <t>FORCEPS DE EXTRACCION # 15, INOXIDABLE</t>
  </si>
  <si>
    <t>FORCEPS DE EXTRACCION # 150, INOXIDABLE</t>
  </si>
  <si>
    <t>FORCEPS DE EXTRACCION # 151, INOXIDABLE</t>
  </si>
  <si>
    <t>FORCEPS DE EXTRACCION # 16 INOXIDABLE</t>
  </si>
  <si>
    <t>FORCEPS DE EXTRACCION # 18 L INOXIDABLE</t>
  </si>
  <si>
    <t>FORCEPS DE EXTRACCION # 18 R, INOXIDABLE</t>
  </si>
  <si>
    <t>FORCEPS DE EXTRACCION # 210</t>
  </si>
  <si>
    <t>FORCEPS DE EXTRACCION # 222  INOXIDABLE</t>
  </si>
  <si>
    <t>FORCEPS DE EXTRACCION # 24, INOXIDABLE</t>
  </si>
  <si>
    <t>FORCEPS DE EXTRACCION # 65 INOXIDABLE</t>
  </si>
  <si>
    <t>FORCEPS DE EXTRACCION # 69, INOXIDABLE</t>
  </si>
  <si>
    <t>FORCEPS DE EXTRACCION # 88 L, LARGO, INOXIDABLE</t>
  </si>
  <si>
    <t>FORCEPS DE EXTRACCION # 88 L-2 INOXIDABLE CORTO</t>
  </si>
  <si>
    <t>FORCEPS DE EXTRACCION # 88 R LARGO INOXIDABLE</t>
  </si>
  <si>
    <t>GANCHOS  COLGADORES  PARA  PELICULAS  DENTALES DE RAYOS X, DE 10 PRECILLAS</t>
  </si>
  <si>
    <t>GANCHOS DE UN CLIP /RADIOGRAFIA PERIA</t>
  </si>
  <si>
    <t>INSTRUMENTO DE PROFILAXIS # 128 USC</t>
  </si>
  <si>
    <t>INSSTRUMENTO DE PROFILAXIS ZERFIN RECTO</t>
  </si>
  <si>
    <t>INSTRUMENTO PARA RESINA COMPOSITA METALICO</t>
  </si>
  <si>
    <t>JERING CARPULE</t>
  </si>
  <si>
    <t>JERINGA TRIPLE</t>
  </si>
  <si>
    <t>LIMA PARA HUESO DOBLE EXTREMO #3 TIPO</t>
  </si>
  <si>
    <t>MANGO # 14 PARA ESPEJO BUCAL # 5</t>
  </si>
  <si>
    <t>PIEZA DE MANO DE ALTA VELOCIDAD, CON DOS ORIFICIOS DE ENTRADA</t>
  </si>
  <si>
    <t xml:space="preserve">PINZA PARA ALGODÓN Y CURACIONES </t>
  </si>
  <si>
    <t>PINZA PARA ENCIA TIPO "MOSLE"</t>
  </si>
  <si>
    <t>PINZA PARA PAPEL ARTICULAR</t>
  </si>
  <si>
    <t>PORTA AMALGAMA GRANDE, CON PUNTA DE METAL DESMONTABLE</t>
  </si>
  <si>
    <t>PORTA AMALGAMA MEDIANO, CON PUNTA DE METAL</t>
  </si>
  <si>
    <t>PORTA MATRIZ DE 1/4" P/BANDAS DE 5 MM</t>
  </si>
  <si>
    <t>PORTA MATRIZ DE 1/4" P/BANDAS DE 7 MM</t>
  </si>
  <si>
    <t>SONDA PERIODONTAL UNIVERSAL TEXAS</t>
  </si>
  <si>
    <t>TALLADOR DISCOIDE CLEOIDE 3/16"</t>
  </si>
  <si>
    <t>TALLADOR DISCOIDE CLEOIDE 1/2"</t>
  </si>
  <si>
    <t>TALLADOR PARA AMALGAMA, HOLLENBACK # 3, INOXIDABLE</t>
  </si>
  <si>
    <t>TALLADOR PARA CERA Y AMALGAMA # 6-10 DOBLE</t>
  </si>
  <si>
    <t>TALLADOR PARA CERA Y AMALGAMA FRAHM # 10</t>
  </si>
  <si>
    <t>TIJERA PARA ENCIA RECTA IRIS 5-17</t>
  </si>
  <si>
    <t>DIQUE DE GOMA, GRUESO, TIPO YOUNG, 6 X 6"</t>
  </si>
  <si>
    <t>LAMPARA DE VIDRIO O DE METAL PARA ALCOHOL</t>
  </si>
  <si>
    <t>AMALGAMADOR DE ALTA VELOCIDAD</t>
  </si>
  <si>
    <t>BOMBILLOS ORIGINALES PARA LAMPARA DENTAL PELTON   FANTASTIC</t>
  </si>
  <si>
    <t>CAJA REVELADORA DE PELICULA PARA RADIOGRAFIAS DENTALES</t>
  </si>
  <si>
    <t>FOCO  HALOGENO  DE  LUZ  FRIA  PARA  LAMPARA FARO COOLBEAM</t>
  </si>
  <si>
    <t>FOCO HALOGENO DE LUZ FRIA PARA LAMPARA PHELTON    FANTASTIC</t>
  </si>
  <si>
    <t>FOCO PARA LAMPARA DE FOTOCURADO TIPO VISILUX</t>
  </si>
  <si>
    <t>HILO DENTAL CON CERA</t>
  </si>
  <si>
    <t>YARDA</t>
  </si>
  <si>
    <t>LAMPARA PARA FOTOCURADO DE RESINAS COMPOSITAS</t>
  </si>
  <si>
    <t>LOSA PLANA DE VIDRIO P/MEZCLAR 6"X3"</t>
  </si>
  <si>
    <t>MICROMOTOR DE BAJA  VELOCIDAD CON ADAPTADOR PARA CONTRANGULO DE PASADOR</t>
  </si>
  <si>
    <t>PAPEL DE ARTICULAR EN LIBRETA</t>
  </si>
  <si>
    <t>PIEDRA POMEZ EN POLVO FINO</t>
  </si>
  <si>
    <t>BOLSA O FRASCO DE 1 LB.</t>
  </si>
  <si>
    <t>PUNTA P-10  30K PARA UNIDAD ULTRASONICA 3000</t>
  </si>
  <si>
    <t>PUNTA P10 25K PARA UNIDAD ULTRASONICA MODELO 700-II C</t>
  </si>
  <si>
    <t>RECIPIENTE METALICO #1 P/ALGODÓN TIPO M</t>
  </si>
  <si>
    <t>TURBINA PARA PIEZA DE MANO DE ALTA VELOCIDAD</t>
  </si>
  <si>
    <t>UNIDAD ULTRASONICA PARA HIGIENE DENTAL</t>
  </si>
  <si>
    <t>VISOR PLASTICO TRANSPARENTE DE REPUESTO</t>
  </si>
  <si>
    <t>MANGUERA FORRADA DE SEDA DE 1/4 X 16 PIES</t>
  </si>
  <si>
    <t>FRASCO DE POLIETILENO  O PVC TRANSPARENTE DE 4 ONZAS</t>
  </si>
  <si>
    <t>FOCOS PARA LAMPARA DE FOTOCURADO MODELOVISOLUX II,III,3 MM</t>
  </si>
  <si>
    <t>PINZA ALLIS  18-20 CM</t>
  </si>
  <si>
    <t>PINZA KOCHER, 13-16 CM.</t>
  </si>
  <si>
    <t>PINZA SIN GARRA 4 3/4" PARA DISECCION ADSON</t>
  </si>
  <si>
    <t>PINZA ADSON DE DISECCION 1X2 GARRAS 4 3/4</t>
  </si>
  <si>
    <t>PINZA KELLY RECTA DE 13-15 cm</t>
  </si>
  <si>
    <t>PINZA MURPHY, CURVA 6"-7"</t>
  </si>
  <si>
    <t>PINZA BACKHAUS DE 8-11 cm.</t>
  </si>
  <si>
    <t>SEPARADOR FARABEUF, DE 11-13 cm</t>
  </si>
  <si>
    <t>TIJ. METZENBAUM, CURVA, DE 22-25 cm</t>
  </si>
  <si>
    <t>TIJ.METZENBAUM, CURVA, DE 13 -15 cm</t>
  </si>
  <si>
    <t>TIJ. QUIRURGICA, CURVA, AGUDA-AGUDA</t>
  </si>
  <si>
    <t>TIJ. QUIRURGICA, CURVA, AGUDA-ROMA</t>
  </si>
  <si>
    <t>ESTETOSCOPIO PEDIATRICO</t>
  </si>
  <si>
    <t>TENSIOMETRO PEDIATRICO ANEROIDE</t>
  </si>
  <si>
    <t>VASO PLASTICO DESCARTABLE DE 4 ONZAS</t>
  </si>
  <si>
    <t>CATGUT SIMPLE 3/0 CON AGUJA 1/2 CIRCULO</t>
  </si>
  <si>
    <t>DOCENA</t>
  </si>
  <si>
    <t>JERINGA DESCARTABLE DE PLASTICO DE 1 CC</t>
  </si>
  <si>
    <t>AGUJA CATETER INTRAVENOSA 14 G, LONGITUD DE CATETER DE 1 1/4" - 2" DE POLIURETANO RADIOPACO, ESTERIL, DESCARTABLE.</t>
  </si>
  <si>
    <t>AGUJA CATETER INTRAVENOSA 16 G, LONGITUD DE CATETER DE 1 1/4" - 2", DE POLIURETANO, RADIOPACO, ESTERIL, DESCARTABLE.</t>
  </si>
  <si>
    <t>AGUJA CATETER INTRAVENOSA 18 G, LONGITUD DE CATETER DE 1 1/4" - 2", DE POLIURETANO, RADIOPACO, ESTERIL, DESCARTABLE.</t>
  </si>
  <si>
    <t>AGUJA CATETER INTRAVENOSA 20 G, LONGITUD DE CATETER DE 1 1/4" - 2", DE POLIURETANO, RADIOPACO, ESTERIL, DESCARTABLE.</t>
  </si>
  <si>
    <t>AGUJA CATETER INTRAVENOSA 22 G, LONGITUD DE CATETER DE 1" - 1¼", DE POLIURETANO, RADIOPACO, ESTERIL, DESCARTABLE.</t>
  </si>
  <si>
    <t>AGUJA CATETER INTRAVENOSA 24 G, LONGITUD DE CATETER DE 3/4" - 1", DE POLIURETANO, RADIOPACO, ESTERIL, DESCARTABLE.</t>
  </si>
  <si>
    <t>AGUJA HIPODERMICA  21 G, 1 1/2" DE LONGITUD,  DESCARTABLE,   ESTERIL.</t>
  </si>
  <si>
    <t>AGUJA HIPODERMICA  26 G, 1/2" DE LONGITUD, DESCARTABLE, ESTERIL</t>
  </si>
  <si>
    <t>AGUJA HIPODERMICA 18 G</t>
  </si>
  <si>
    <t>AGUJA HIPODERMICA 20 G</t>
  </si>
  <si>
    <t>AGUJA HIPODERMICA 22 G</t>
  </si>
  <si>
    <t>AGUJA HIPODERMICA 23 G</t>
  </si>
  <si>
    <t>AGUJA HIPODERMICA 24 G</t>
  </si>
  <si>
    <t>AGUJA PARA INFUSION INTRAVENOSA # 19 DE 3/4", CON TUBO DE EXTENSION DE 12", TIPO MARIPOSA.</t>
  </si>
  <si>
    <t>AGUJA INFUSION INTRAVENOSA #21 DE 3/4</t>
  </si>
  <si>
    <t>AGUJA PARA INFUSION INTRAVENOSA # 23 DE 3/4", CON TUBO DE EXTENSION DE 12", TIPO MARIPOSA.</t>
  </si>
  <si>
    <t>AGUJA ABRAMS PARA BIOPSIA PLEURAL REUTILIZABLE</t>
  </si>
  <si>
    <t>AGUJA CON OBTURADOR, PARED DELGADA # 18 DE 3/64", ESTERIL, DESCARTABLE, TIPO POTTS COURNAND PARA ANGIOGRAFIA CEREBRAL.</t>
  </si>
  <si>
    <t>AGUJA CON RECUBRIMIENTO ESPECIAL TAMANO 20 G  X 150 MM</t>
  </si>
  <si>
    <t>AGUJA CON RECUBRIMIENTO ESPECIAL TAMANO 25 G X 35 MM</t>
  </si>
  <si>
    <t>AGUJA CONCENTRICA L=25 MM; D=0.5 MM</t>
  </si>
  <si>
    <t>AGUJA CONCENTRICA L=35 MM; D=0.5 MM</t>
  </si>
  <si>
    <t>AGUJA CONCENTRICA L=45 MM; D=0.5 MM</t>
  </si>
  <si>
    <t>AGUJA CONCENTRICA L=65 MM D=0.5 MM</t>
  </si>
  <si>
    <t>AGUJA DE ASPIRADO Y BIOPSIA DE MEDULA OSEA TIPO JAMSHIDI, DE ACERO INOXIDABLE, TAMAÑO PARA ADULTO N° 11Ga X 4", REESTERILIZABLE</t>
  </si>
  <si>
    <t>AGUJA PARA PUNCION DE MEDULA OSEA  11 G, 4" DE LONGITUD, CON MANDRIL, ESTERIL, DESCARTABLE.</t>
  </si>
  <si>
    <t>AGUJA PARA ANESTESIA DE PLEXO 0.55 X 25, DE 24G X 1"</t>
  </si>
  <si>
    <t>AGUJA PARA ANESTESIA DE PLEXO 0.70 X 50,DE 22 G X 2"</t>
  </si>
  <si>
    <t>AGUJA PARA ANESTESIA DE PLEXO 0.90 X 150, DE 20G X 6"</t>
  </si>
  <si>
    <t>AGUJA PARA BIOPSIA DE TEJIDOS BLANDOS 14 G X 6" DE LONGITUD, DESCARTABLE, ESTERIL, TIPO TRUCUT.</t>
  </si>
  <si>
    <t>AGUJA PARA MARCAJE HOMMER DE 10 CMS. DE LONGITUD.</t>
  </si>
  <si>
    <t>AGUJA PARA MARCAJE PREOPERATORIO DE LESIONES NO PALPABLES DE MAMA, DE DIFERENTES LONGITUDES Y CALIBRES</t>
  </si>
  <si>
    <t>AGUJA MONOPOLAR S=2 MM; D=0.35 MM; L=35 MM</t>
  </si>
  <si>
    <t>AGUJA PARA PUNCION ESPINAL CON MANDRIL N° 26Ga DE 3 1/2" DESCARTABLE, CON SU CATETER PARA ANESTESIA RAQUIDEA CONTINUA (APROXIMADAMENTE 100 cm )</t>
  </si>
  <si>
    <t>AGUJA PARA PUNCION ESPINAL, PUNTA TIPO "QUINCKE", ESTERIL, DESCARTABLE, 22G Y DE 3½" - 4" DE LONGITUD</t>
  </si>
  <si>
    <t>AGUJA PARA PUNCION ESPINAL, PUNTA TIPO "QUINCKE", ESTERIL, DESCARTABLE, 22G Y DE 4¼" - 5" DE LONGITUD</t>
  </si>
  <si>
    <t>AGUJA PARA PUNCION ESPINAL, PUNTA TIPO "QUINCKE", ESTERIL, DESCARTABLE, 25 G Y DE 3½" - 4" DE LONGITUD</t>
  </si>
  <si>
    <t>AGUJA PARA PUNCION ESPINAL, PUNTA TIPO "QUINCKE", ESTERIL, DESCARTABLE, 25 G Y DE 4¼" - 5" DE LONGITUD</t>
  </si>
  <si>
    <t>AGUJA PARA PUNCION ESPINAL, PUNTA TIPO "QUINCKE", ESTERIL, DESCARTABLE, 27G Y DE 3½" - 4" DE LONGITUD</t>
  </si>
  <si>
    <t>AGUJA PARA PUNCION ESPINAL, PUNTA TIPO "QUINCKE", ESTERIL, DESCARTABLE, 27G Y DE 4¼" - 5" DE LONGITUD</t>
  </si>
  <si>
    <t>AGUJA PARA PUNCION ESPINAL, PUNTA TIPO "WHITACRE", ESTERIL, DESCARTABLE, 25 G Y DE 3½" - 4" DE LONGITUD</t>
  </si>
  <si>
    <t>AGUJA PARA PUNCION ESPINAL, PUNTA TIPO "WHITACRE", ESTERIL, DESCARTABLE, 25 G Y DE 4¼" - 5" DE LONGITUD</t>
  </si>
  <si>
    <t>AGUJAS PARA ESCLEROSIS DE VARICES (DESCARTABLES)</t>
  </si>
  <si>
    <t>AGUJA CON BISEL, TIPO HUBER, PARA PUNCION DE RESERVORIOS IMPLANTABLES</t>
  </si>
  <si>
    <t>AGUJA PARA PUNCION ARTERIAL SIMPLE, SIN MANDRIL NI CAMISA, DE 19 G, QUE PERMITA GUIA 0.035" - 0.038"</t>
  </si>
  <si>
    <t>AGUJA HIPODERMICA 26 G</t>
  </si>
  <si>
    <t>CATETER ARTERIAL QUE INCLUYE AGUJA INTRODUCTORA 20 G, DE 2" DE LONGITUD, ALAMBRE GUIA Y CATETER RADIOPACO, DESCARTABLE ESTERIL.</t>
  </si>
  <si>
    <t>CATETER DE ARTERIA PULMONAR 7 FRENCH CON CUBIERTA PLASTICA 4 LUMEN, PROXIMAL Y DISTAL CON ADAPTADOR LUER LOCK.</t>
  </si>
  <si>
    <t>CATETER DE EXTENSION CON CONECTOR SIMPLES HEMBRA Y MACHO LUER LOCK, DE 30 - 40 CM DE LONGITUD, ESTERIL DESCARTABLE.</t>
  </si>
  <si>
    <t>CATETER DE EXTENSION CON CONECTORES SIMPLES HEMBRA Y MACHO LUER LOCK, DE 150 CM - 200 CM DE LONGITUD, ESTERIL, DESCARTABLE.</t>
  </si>
  <si>
    <t>CATETER DE EXTENSION Y LLAVE DE 3 VIAS</t>
  </si>
  <si>
    <t>CATETER IMPLANTABLE PARA QUIMIOTERAPIA INTRA-ARTERIAL # 6.5</t>
  </si>
  <si>
    <t>CATETER IMPLANTABLE PARA QUIMIOTERAPIA INTRA-VENOSO #8.5</t>
  </si>
  <si>
    <t>CATETER PARA ARTERIA UMBILICAL, CON LINEA CENTINELA RADIOPACA, NUMERADO EN CENTIMETROS, LONGITUD DE 14" - 15", DIAMETRO 3.5 FRENCH</t>
  </si>
  <si>
    <t>CATETER PARA ARTERIA UMBILICAL, CON LINEA CENTINELA RADIOPACA, NUMERADO EN CENTIMETROS, LONGITUD DE 14" - 15", DIAMETRO 5 FRENCH</t>
  </si>
  <si>
    <t>CATETER VENOSO  CENTRAL DE DOS VIAS, PARA INTRODUCCION POR VENA PERIFERICA, 27" - 30" DE LONGITUD, PERCUTANEO, CON MARCADORES RADIOPACOS, GRADUADO, CON DISPOSITIVO DE FIJACIÓN A PIEL, PARA INTRODUCCION POR TECNICA SELDINGER.</t>
  </si>
  <si>
    <t>CATETER VENOSO 7 FR. DE 3 VIAS, 20 - 30 CM DE LONGITUD, CON UNA VIA DE 16 G y DOS VIAS 18 G, CON INTRODUCTOR, AGUJA,  DILATADOR, GUIA METALICA PUNTA EN "J" Y DISPOSITIVOS DE FIJACION A PIEL, ESTERIL.</t>
  </si>
  <si>
    <t>CATETER VENOSO CENTRAL DE 2 VIAS, DIAMETRO 7 FRENCH, 20 - 30 CM DE LONGITUD, CON INTRODUCTOR, AGUJA, DILATADOR, GUIA METALICA PUNTA EN "J", Y DISPOSITIVOS DE FIJACION A PIEL,  ESTERIL.</t>
  </si>
  <si>
    <t>CATETER VENOSO CENTRAL DE 2 VIAS, DIAMETRO 8 FRENCH, 20 - 30 CM DE LONGITUD, CON INTRODUCTOR, AGUJA, DILATADOR, GUIA METALICA PUNTA EN "J" Y DISPOSITIVOS DE FIJACION A PIEL, ESTERIL.</t>
  </si>
  <si>
    <t>CATETER VENOSO CENTRAL DE UNA VIA, DE 20 - 30 CM DE LONGITUD, 5 - 6 FRENCH DE DIAMETRO, CON INTRODUCTOR, AGUJA, DILATADOR, GUIA METALICA PUNTA EN "J" Y DISPOSITIVOS DE FIJACION A PIEL, ESTERIL.</t>
  </si>
  <si>
    <t>CATETER PARA SUCCION, TRANSPARENTE, CON REGULACION DE VACIO, DESCARTABLE, 36 - 42 CM DE LONGITUD, DIAMETRO 8 FRENCH, SUCCION EN LA PUNTA Y 2 VENTANAS LATERALES, ESTERIL</t>
  </si>
  <si>
    <t>CATETER PARA SUCCION, TRANSPARENTE, CON REGULACION DE VACIO, DESCARTABLE, 38 CM DE LONGITUD, DIAMETRO 6 FRENCH, ESTERIL</t>
  </si>
  <si>
    <t>CATETER PARA SUCCION, TRANSPARENTE, CON REGULACION DE VACIO, DESCARTABLE, 54 - 60 CM DE LONGITUD, DIAMETRO 14 FRENCH, ESTERIL, SUCCION EN LA PUNTA Y 2 VENTANAS LATERALES</t>
  </si>
  <si>
    <t>CATETER RADIOPACO, DE 1.3 MM X 80 MM DE LONGITUD, CON AGUJA TOUHY 18 G X 31/4", DESCARTABLE, ESTERIL</t>
  </si>
  <si>
    <t xml:space="preserve">CATETER PARA TROMBOLISIS, CALIBRE 5 FRENCH, COMPATIBLE CON GUIA 0.035", DE 100 - 110 cm DE LONGITUD, CON MARCADORES RADIOPACOS  </t>
  </si>
  <si>
    <t>JERINGA DE 1 mL, CON AGUJA DE 26 - 27 G X 3/8 - 1/2" DE LARGO, ESTERIL DESCARTABLE</t>
  </si>
  <si>
    <t>JERINGA 1ml. AGUJA 28 G X1/2"</t>
  </si>
  <si>
    <t>JERINGA 1ml. AGUJA 27 G X1/2"</t>
  </si>
  <si>
    <t>JERINGA 3 ml. AGUJA 22 G X 1 1/2 "</t>
  </si>
  <si>
    <t>JERINGA 5 ml. AGUJA 22 G X 1 1/2 "</t>
  </si>
  <si>
    <t>JERINGA 10 ml. AGUJA 22 GX 1 1/2</t>
  </si>
  <si>
    <t>JERINGA 20 ml. DESCARTABLE ESTERIL</t>
  </si>
  <si>
    <t>JERINGA CON ADAPTADOR LUER LOCK,  DE 30 mL, DESCARTABLE, ESTERIL.</t>
  </si>
  <si>
    <t>JERINGA CATETER DE 50 - 60 mL DESCARTABLE, ESTERIL</t>
  </si>
  <si>
    <t>JERINGA TRANSPARENTE DE 50 - 60 mL PARA BOMBA PERFUSORA, ANTIREFLUJO, SIN AGUJA, CON ADAPTADOR LUER LOCK, DESCARTABLE, ESTERIL</t>
  </si>
  <si>
    <t>JERINGA NEGRA DE 50 - 60 mL PARA BOMBA PERFUSORA. ANTIREFLUJO, SIN AGUJA, CON ADAPTADOR LUER LOCK, DESCARTABLE, ESTERIL</t>
  </si>
  <si>
    <t>JERINGA DE 3 Ml CON HEPARINA DE LITIO, SIN AGUJA, PARA TOMA DE GASES ARTERIALES</t>
  </si>
  <si>
    <t>ADAPTADOR MACHO PARA AGUJA HIPODERMICA</t>
  </si>
  <si>
    <t>DESCARTABLE COLOR NEGRO PARA BOMBA DE INFUSION VOLUMETRICA, CON ADAPTADOR LUER LOCK, EMPAQUE INDIVIDUAL ESTERIL</t>
  </si>
  <si>
    <t>DESCARTABLE TRANSPARENTE PARA BOMBA DE INFUSION VOLUMETRICA, CON ADAPTADOR LUER LOCK, EMPAQUE INDIVIDUAL ESTERIL</t>
  </si>
  <si>
    <t>DESCARTABLE PARA VENOCLISIS</t>
  </si>
  <si>
    <t>DESCARTABLE PARA BOMBA DE DOLOR DE TIPO PCA, COMPATIBLE CON MARCA Y MODELO DE EQUIPO INSTITUCIONAL</t>
  </si>
  <si>
    <t>EXTENSOR NEGRO, PARA JERINGA DE BOMBA PERFUSORA, CON ADAPTADOR LUER LOCK, LONGITUD DE 140 - 160 cm, DESCARTABLE, ESTERIL</t>
  </si>
  <si>
    <t>INFUSOR INTRAVENOSO, GRADUADO, CON MICROGOTERO DE 0 - 100 ML., ESTERIL, DESCARTABLE.</t>
  </si>
  <si>
    <t>LLAVE  DE 3 VIAS CON  2 ADAPTADORES HEMBRA  LUER LOCK Y UNO MACHO SIMPLE, DESCARTABLE  ESTERIL</t>
  </si>
  <si>
    <t>SET DE INFUSION CON PUERTO EN "Y", Y AGUJA TIPO MARIPOSA DE 19 G. X 3/4" DE LONGITUD, EN ANGULO DE 90 GRADOS CON EXTENSION DE 8".</t>
  </si>
  <si>
    <t>SET DE INFUSION CON PUERTO EN "Y", Y AGUJA TIPO MARIPOSA DE 20 G. X 3/4" DE LONGITUD, EN ANGULO DE 90 GRADOS CON EXTENSION DE 8".</t>
  </si>
  <si>
    <t>SELLO DE HEPARINA</t>
  </si>
  <si>
    <t>SISTEMA DE DRENAJE CERRADO DE SILICON PARA HERIDAS, RESERVORIO DE 50 - 100 ML, QUE INCLUYA TROCAR DE INTRODUCCION</t>
  </si>
  <si>
    <t>C/U.</t>
  </si>
  <si>
    <t>TUBO CONECTOR DE PLASTICO, UNIVERSAL, PARA VARIAS  MEDIDAS DE CATETER, TIPO COCODRILO.</t>
  </si>
  <si>
    <t>UNIDAD DE TRANSFERENCIA PARA LIQUIDOS ESTERILES</t>
  </si>
  <si>
    <t>EXTENSOR TRANSPARENTE, PARA JERINGA DE BOMBA PERFUSORA, CON ADAPTADOR LUER LOCK, LONGITUD DE 140 - 160 cm, DESCARTABLE, ESTERIL</t>
  </si>
  <si>
    <t>JERINGA TRANSPARENTE DE 20 - 30 mL PARA BOMBA PERFUSORA, ANTIREFLUJO, SIN AGUJA, CON ADAPTADOR LUER LOCK, DESCARTABLE, ESTERIL</t>
  </si>
  <si>
    <t>CATETER TORAXICO # 10</t>
  </si>
  <si>
    <t>CATETER TORAXICO # 12</t>
  </si>
  <si>
    <t>CATETER TORAXICO # 14</t>
  </si>
  <si>
    <t>CATETER TORAXICO RECTO, # 28, DESCARTABLE. ESTERIL</t>
  </si>
  <si>
    <t>CATETER TORAXICO RECTO, # 32, DESCARTABLE ESTERIL</t>
  </si>
  <si>
    <t>CATETER TORAXICO RECTO, # 36, DESCARTABLE ESTERIL</t>
  </si>
  <si>
    <t>DRENO BLANDO DE HULE DE 18" X 1", EN EMPAQUE INDIVIDUAL.</t>
  </si>
  <si>
    <t>DRENO BLANDO DE HULE DE 18" X 1/2", EN EMPAQUE INDIVIDUAL.</t>
  </si>
  <si>
    <t>DRENO BLANDO DE HULE DE 18" X 1/4", EN EMPAQUE INDIVIDUAL.</t>
  </si>
  <si>
    <t>DRENO BLANDO DE HULE DE 18" X 3/8", EN EMPAQUE INDIVIDUAL.</t>
  </si>
  <si>
    <t>DRENO BLANDO DE HULE DE 18" X 5/8", EN EMPAQUE INDIVIDUAL ESTERIL.</t>
  </si>
  <si>
    <t>BOLSA DESCARTABLE GRADUADA A 100 mL, PARA RECOLECTAR ORINA EN RECIEN NACIDOS.</t>
  </si>
  <si>
    <t>BOLSA DRENAJE URINARIO 500-600 ML</t>
  </si>
  <si>
    <t>BOLSA RECOLECTORA DE ORINA.LATEX # 16. PARA USO EN PACIENTE PARAPLEJICO</t>
  </si>
  <si>
    <t>FRASCO RECOLECTOR DE PLASTICO PARA SUCCION CON BRACKET Y TAPADERA DE 1300 CC, CON TRAMPA DE SOBREFLUJO</t>
  </si>
  <si>
    <t>HEMOSUCCION CERRADA 400 CC. CON  AGUJA 6 1/4"</t>
  </si>
  <si>
    <t>SISTEMA CERRADO DE DRENAJE TORAXICO, ESTERIL, CON ESCALA MEDIDORA DE PRESION Y DESCARTABLE, 3 CAMARAS, CAPACIDAD DE LA BOLSA DE 1000 - 2500 CC.</t>
  </si>
  <si>
    <t>SISTEMA CERRADO PARA DRENAJE URINARIO CON CAJA CUENTA GOTAS DE 500 - 600 ML, VALVULA ANTIRREFLUJO CON BOLSA RECOLECTORA CON DRENAJE AL EXTERIOR CON CAPACIDAD DE 1500 - 2000 ML CON SISTEMA DE BLOQUEO Y FILTRO BACTERIANO.</t>
  </si>
  <si>
    <t>SISTEMA DE DRENAJE URINARIO CERRADO CON VALVULA DE ANTIRREFLUJO, CON CAPACIDAD DE 1500 - 1600 ML., FILTRO BACTERIOLOGICO, CON TUBO DE CONEXION DE PVC DE 3/8 DE DIAMETRO INTERNO, CON TUBO PARA TOMA DE MUESTRAS Y CLAN INTERRUPTOR. ESTERIL.</t>
  </si>
  <si>
    <t>BOLSA PARA DRENO, CAPACIDAD DE 200 mL, CON ADHESIVO A PIEL Y VALVULA DE VACIADO, DESCARTABLE, ESTERIL</t>
  </si>
  <si>
    <t>SISTEMA DE DRENAJE CERRADO DE SILICON, REDONDO, ACANALADO, PARA USO VASCULAR # 15 RESERVORIO DE 100 ML</t>
  </si>
  <si>
    <t>SISTEMA DE DRENAJE CERRADO DE SILICON, REDONDO, ACANALADO, PARA USO VASCULAR # 19 RESERVORIO DE 100 ML</t>
  </si>
  <si>
    <t>SONDA DE ALIMENTACION # 10, ESTERIL</t>
  </si>
  <si>
    <t>SONDA DE HULE TIPO PEZZER, # 10</t>
  </si>
  <si>
    <t>SONDA DE HULE TIPO PEZZER, # 12</t>
  </si>
  <si>
    <t>SONDA EN "T" # 12, DE SILICONIZADA.</t>
  </si>
  <si>
    <t>SONDA EN "T" # 14, DE SILICONIZADA.</t>
  </si>
  <si>
    <t>SONDA EN "T" # 16, DE SILICONIZADA.</t>
  </si>
  <si>
    <t>SONDA EN "T" # 18, DE  SILICONIZADA.</t>
  </si>
  <si>
    <t>SONDA EN "T" # 20, DE SILICONIZADA.</t>
  </si>
  <si>
    <t>SONDA FOLEY # 10, BALON 3 - 5 mL., SILICONIZADA.</t>
  </si>
  <si>
    <t>SONDA FOLEY # 12, BALON 5 - 15 mL., SILICONIZADA.</t>
  </si>
  <si>
    <t>SONDA FOLEY # 14, BALON 15 - 30 mL., SILICONIZADA.</t>
  </si>
  <si>
    <t>SONDA FOLEY # 16, BALON 15 - 30 mL., SILICONIZADA.</t>
  </si>
  <si>
    <t>SONDA FOLEY # 16, DE 3 VIAS, BALON 14 - 30 mL. SILICONIZADA</t>
  </si>
  <si>
    <t>SONDA FOLEY # 18, BALON 15 - 30 mL., SILICONIZADA.</t>
  </si>
  <si>
    <t>SONDA FOLEY # 20, BALON 15 - 30 mL., SILICONIZADA.</t>
  </si>
  <si>
    <t>SONDA FOLEY # 20, BALON 75mL, SILICONIZADA</t>
  </si>
  <si>
    <t>SONDA FOLEY # 22, BALON 15 - 30 mL., SILICONIZADA.</t>
  </si>
  <si>
    <t>SONDA FOLEY # 22, DE 3 VIAS, BALON 14 - 30 mL. SILICONIZADA</t>
  </si>
  <si>
    <t>SONDA FOLEY # 24, BALON 15 - 30 mL., SILICONIZADA.</t>
  </si>
  <si>
    <t>SONDA FOLEY # 24, BALON 75mL. SILICONIZADA</t>
  </si>
  <si>
    <t>SONDA FOLEY # 24, DE 3 VIAS, BALON 15 - 30 mL.</t>
  </si>
  <si>
    <t>SONDA FOLEY # 26, BALON 15 - 30 mL., SILICONIZADA.</t>
  </si>
  <si>
    <t>SONDA FOLEY # 26, BALON 75mL. SILICONIZADA</t>
  </si>
  <si>
    <t>SONDA FOLEY #22,BALON 75mL. SILICONIZADA</t>
  </si>
  <si>
    <t>SONDA NASOGASTRICA DE REFLUJO DE 2 VIAS, TRANSPARENTE, PARA RECIEN NACIDOS.</t>
  </si>
  <si>
    <t>SONDA NASOGASTRICA LEVIN # 16, DESCARTABLE, ESTERIL</t>
  </si>
  <si>
    <t>SONDA NASOGASTRICA LEVIN # 18, DESCARTABLE, ESTERIL</t>
  </si>
  <si>
    <t>SONDA NASOYEYUNAL DE LARGA DURACION, 10 FRENCH, CON PUNTA DE TUNGSTENO, GUIA METALICA, ESTERIL, PARA COLOCACION MANUAL</t>
  </si>
  <si>
    <t>SONDA NASOYEYUNAL DE LARGA DURACION, 12 FRENCH, CON PUNTA DE TUNGSTENO, GUIA METALICA, ESTERIL, PARA COLOCACION MANUAL</t>
  </si>
  <si>
    <t>SONDA NASOYEYUNAL DE LARGA DURACION, 8 FRENCH, CON PUNTA DE TUNGSTENO, GUIA METALICA, ESTERIL, PARA COLOCACION MANUAL</t>
  </si>
  <si>
    <t>SONDA NELATON #  8, TRANSPARENTE, ESTERIL</t>
  </si>
  <si>
    <t>SONDA NELATON # 10, TRANSPARENTE, ESTERIL</t>
  </si>
  <si>
    <t>SONDA NELATON # 12, TRANSPARENTE, ESTERIL</t>
  </si>
  <si>
    <t>SONDA NELATON # 14, TRANSPARENTE, ESTERIL</t>
  </si>
  <si>
    <t>SONDA NELATON # 16, TRANSPARENTE, ESTERIL</t>
  </si>
  <si>
    <t>SONDA NELATON # 18, TRANSPARENTE, ESTERIL</t>
  </si>
  <si>
    <t>SONDA NELATON # 20, TRANSPARENTE, ESTERIL</t>
  </si>
  <si>
    <t>SONDA DE ALIMENTACION, DIAMETRO 5 FRENCH, DE P. V. C. GRADO MEDICO, MARCADA EN CENTIMETROS, DESCARTABLE, ESTERIL</t>
  </si>
  <si>
    <t>SONDA DE ALIMENTACION, DIAMETRO 8 FRENCH, DE P. V. C. GRADO MEDICO, MARCADA EN CENTIMETROS, DESCARTABLE, ESTERIL</t>
  </si>
  <si>
    <t>SONDA DE HULE TIPO PEZZER, # 18</t>
  </si>
  <si>
    <t>SONDA FOLEY # 26, DE 3 VIAS,  BALON DE 15 - 30 mL. SILICONIZADA</t>
  </si>
  <si>
    <t>SONDA FOLEY # 6, BALON DE 3 - 5 mL., SILICONIZADA.</t>
  </si>
  <si>
    <t>SONDA FOLEY # 8, BALON DE 3 - 5 mL., SILICONIZADA.</t>
  </si>
  <si>
    <t>SONDA NASOGASTRICA TIPO LEVIN, # 5, ESTERIL, DESCARTABLE</t>
  </si>
  <si>
    <t>SONDA NASOGASTRICA TIPO LEVIN, # 8, ESTERIL, DESCARTABLE</t>
  </si>
  <si>
    <t xml:space="preserve">BOLSA PAPEL - PAPEL, GRADO MEDICO, PARA ESTERILIZAR A BAJA Y ALTA TEMPERATURA,  7.5 - 11 cm DE ANCHO X 18 - 23 cm  DE LARGO X 4 - 5 cm DE FUELLE </t>
  </si>
  <si>
    <t xml:space="preserve">BOLSA PAPEL - PAPEL, GRADO MEDICO, PARA ESTERILIZAR A BAJA Y ALTA TEMPERATURA,  12 - 15 cm DE ANCHO X 25 - 30 cm  DE LARGO X 4 - 5 cm DE FUELLE </t>
  </si>
  <si>
    <t xml:space="preserve">BOLSA PAPEL - PAPEL, GRADO MEDICO, PARA ESTERILIZAR A BAJA Y ALTA TEMPERATURA,  25 - 35 cm DE ANCHO X 55 - 65 cm  DE LARGO X 10 - 15 cm DE FUELLE </t>
  </si>
  <si>
    <t>BOLSA COMBINADA PAPEL - PLASTICO, GRADO MEDICO, PARA ESTERILIZAR A BAJA Y ALTA TEMPERATURA, 10 - 15  cm  DE ANCHO X 20 - 30  cm DE LARGO</t>
  </si>
  <si>
    <t>BOLSA COMBINADA PAPEL - PLASTICO, GRADO MEDICO, PARA ESTERILIZAR A BAJA Y ALTA TEMPERATURA, 20 - 30  cm  DE ANCHO X 35 - 40  cm DE LARGO</t>
  </si>
  <si>
    <t>BOLSA COMBINADA PAPEL - PLASTICO, GRADO MEDICO, PARA ESTERILIZAR A BAJA Y ALTA TEMPERATURA, 40 - 50  cm  DE ANCHO X 50 - 60  cm DE LARGO</t>
  </si>
  <si>
    <t>INDICADOR QUIMICO DE CONTROL EXTERNO, PARA ESTERILIZACION A GAS (OXIDO DE ETILENO)</t>
  </si>
  <si>
    <t>INDICADOR QUIMICO DE CONTROL EXTERNO, PARA ESTERILIZACION A VAPOR</t>
  </si>
  <si>
    <t>INDICADOR BIOLOGICO DE LECTURA RAPIDA PARA ESTERILIZACION A GAS (OXIDO DE ETILENO)</t>
  </si>
  <si>
    <t>INDICADOR BIOLOGICO DE LECTURA RAPIDA PARA ESTERILIZACION A VAPOR</t>
  </si>
  <si>
    <t>OXIDO DE ETILENO AL 100% PARA ESTERILIZADOR</t>
  </si>
  <si>
    <t>CARTUCHO</t>
  </si>
  <si>
    <t xml:space="preserve">PAPEL CREPADO GRADO MEDICO, 110X 100CM </t>
  </si>
  <si>
    <t>SOLUCION DE GLUTARALDEHIDO AL 2%</t>
  </si>
  <si>
    <t>SOLUCION DESINFECTANTE NO ESTERILIZANTE  DE USO  PARA LIMPIEZA DE  SUPERFICIES  INANIMADAS A BASE  DE CLORO (pH  6.2).</t>
  </si>
  <si>
    <t>PAPEL CREPADO GRADO MEDICO, HOJA SUELTA DE 60 X 60 cm (24 X 24"), PAQUETE DE 250 HOJAS</t>
  </si>
  <si>
    <t>PAPEL CREPADO GRADO MEDICO, HOJA DE 90 X 90 cm (36 X 36"), PAQUETE DE 250 HOJAS</t>
  </si>
  <si>
    <t>ROLLO COMBINADO PAPEL - PLASTICO GRADO MEDICO, PARA ESTERILIZAR A BAJA Y ALTA TEMPERATURA, DE 10 cm DE ANCHO X 200 mt DE LARGO</t>
  </si>
  <si>
    <t>ROLLO COMBINADO PAPEL - PLASTICO GRADO MEDICO, PARA ESTERILIZAR A BAJA Y ALTA TEMPERATURA, DE 20 cm DE ANCHO X 200 mt DE LARGO</t>
  </si>
  <si>
    <t>ROLLO COMBINADO PAPEL - PLASTICO GRADO MEDICO, PARA ESTERILIZAR A BAJA Y ALTA TEMPERATURA, DE 40 cm DE ANCHO X 200 mt DE LARGO</t>
  </si>
  <si>
    <t>ROLLO COMBINADO PAPEL - PLASTICO GRADO MEDICO, PARA ESTERILIZAR A BAJA Y ALTA TEMPERATURA, DE 50 cm DE ANCHO X 200 mt DE LARGO</t>
  </si>
  <si>
    <t>INDICADOR QUIMICO DE CONTROL INTERNO, PARA ESTERILIZACION A GAS (OXIDO DE ETILENO)</t>
  </si>
  <si>
    <t>INDICADOR QUIMICO DE CONTROL INTERNO, PARA ESTERILIZACION A VAPOR</t>
  </si>
  <si>
    <t>SET DE VALIDACION QUIMICA DE CONTROL INTERNO, PARA ESTERILIZACION POR FORMALDEHIDO</t>
  </si>
  <si>
    <t>SOLUCION DE FORMALDEHIDO AL 2 % PARA ESTERILIZADOR, A BAJA TEMPERATURA, BOLSA DE 2.7 LITROS</t>
  </si>
  <si>
    <t>BOLSA</t>
  </si>
  <si>
    <t>INDICADOR QUIMICO DE CONTROL EXTERNO, PARA ESTERILIZACION POR FORMALDEHIDO, CAJA DE 250 PUNTOS INDICADORES</t>
  </si>
  <si>
    <t>ALCOHOL ETILICO DESNATURALIZADO 70%</t>
  </si>
  <si>
    <t>ALCOHOL ETILICO 90° MINIMO</t>
  </si>
  <si>
    <t xml:space="preserve">CLORHEXIDINA 4% </t>
  </si>
  <si>
    <t>LITRO</t>
  </si>
  <si>
    <t xml:space="preserve">POLIVIDONA IODADA 8 % JABON LIQUIDO     </t>
  </si>
  <si>
    <t xml:space="preserve">POLIVIDONA IODADA 10 % SOLUCION         </t>
  </si>
  <si>
    <t xml:space="preserve">PEROXIDO DE HIDROGENO (3 %)             </t>
  </si>
  <si>
    <t>ALC. ISOPROPILICO 60-90% ó ETILICO 70%</t>
  </si>
  <si>
    <t>POLIVIDONA 10%</t>
  </si>
  <si>
    <t>APOSITO ALGINATO CALCIO 8-12 X 10-20</t>
  </si>
  <si>
    <t xml:space="preserve">APOSITO DE CARBON ACTIVADO IMPREGNADO CON PLATA DE 10 - 12 X 10 - 12 CM </t>
  </si>
  <si>
    <t>APOSITO DE CARBON ACTIVADO IMPREGNADO CON PLATA DE 10 – 15 x 19 - 21CM</t>
  </si>
  <si>
    <t>APOSITO HIDROCOLOIDE  DELG . 5-8" X5-8"</t>
  </si>
  <si>
    <t xml:space="preserve">APOSITO HIDROCOLOIDE DELG.  8-12" </t>
  </si>
  <si>
    <t>APOSITO OCLUSIVO HIDROCOLOIDE, GRUESO ENTRE 5 - 8 " DE ANCHO Y 5 - 8 " DE LARGO</t>
  </si>
  <si>
    <t>APOSITO HICROCOLOIDE DELG. 5-8"X5-8"</t>
  </si>
  <si>
    <t>APOSITO PRIMARIO NO ADHERENTE DE CELULOSA IMPREGNADO CON PETROLATO DE  7.6  X 20.3 CM ± 10%</t>
  </si>
  <si>
    <t>GASA IMPREGNADA CON FUSIDATO DE SODIO, ESTERIL</t>
  </si>
  <si>
    <t>SISTEMA MULTICAPA DE COMPRESION PARA ULCERAS VENOSAS QUE CONSTA DE APOSITO NO ADHERENTE DE 5" X 9" ± 10% VENDA DE ABSORCION DE ALGODON, VENDAJE DE COMPRESION Y VENDAJE DE COMPRESION COHESIVA.</t>
  </si>
  <si>
    <t>VENDA MEDICADA O BOTA DE UNNA.</t>
  </si>
  <si>
    <t xml:space="preserve">GEL HIDROCOLOIDE 100% BIOLOGICA, TUBO 30 - 50 gr </t>
  </si>
  <si>
    <t>ALGODÓN QUIRURGICO HIDROFILIZADO</t>
  </si>
  <si>
    <t xml:space="preserve">APOSITO OCULAR OVALADO, ESTERIL, DE 6.5 - 7.0 X 4.5 - 5.0 cm </t>
  </si>
  <si>
    <t>APOSITO TRANSPARENTE  ADHESIVO, IMPERMEABLE, DE 4 - 6 X 4 - 6 CM, ESTERIL.</t>
  </si>
  <si>
    <t>APOSITO TRANSPARENTE ADHESIVO, IMPERMEABLE, DE 6 - 8 X 7 - 10 CM ESTERIL.</t>
  </si>
  <si>
    <t>APOSITO TRANSPARENTE ADHESIVO, IMPERMEABLE, DE 8 - 13 X 10 - 15 CM ESTERIL.</t>
  </si>
  <si>
    <t>CINTA ADHESIVA DE PAPEL 3" X 10 YARDAS</t>
  </si>
  <si>
    <t>ROLLOS</t>
  </si>
  <si>
    <t>CINTA ADHESIVA DE PAPEL 1" X 10 YARDAS</t>
  </si>
  <si>
    <t>CINTA ADHESIVA DE PAPEL 1/2" X 10 YARDAS</t>
  </si>
  <si>
    <t>CINTA ADHESIVA DE PAPEL 2"X10 YARDAS</t>
  </si>
  <si>
    <t>CINTA QUIRURGICA 1" X 10 YARDAS, ANTIALERGICA,    ACRILICA, TRANSPARENTE</t>
  </si>
  <si>
    <t>CINTA QUIRURGICA 2" X 10 YARDAS, ANTIALERGICA,    ACRILICA, TRANSPARENTE</t>
  </si>
  <si>
    <t>CINTA QUIRURGICA 3" X 10 YARDAS, ANTIALERGICA,    ACRILICA, TRANSPARENTE</t>
  </si>
  <si>
    <t>CINTA QUIRURGICA 4", ADHESIVA, IMPERMEABLE, TELA ASEDADA.</t>
  </si>
  <si>
    <t>GASA QUIRURGICA 20 X 24 HILOS X PULGADA CUADRADA, 36"  DE ANCHO PREDOBLADO EN HOJAS DE 36" , PIEZA DE 100 YARDAS, 100% ALGODON.</t>
  </si>
  <si>
    <t>PIEZA</t>
  </si>
  <si>
    <t>RAYON CON ALGODON ABSORBENTE 3" X 8" ESTERIL (APOSITO).</t>
  </si>
  <si>
    <t>SOBRE</t>
  </si>
  <si>
    <t>RAYON CON PORO 1/2" X4 EN TIRAS</t>
  </si>
  <si>
    <t>VENDA DE GASA DE 2" X 10 YARDAS BORDES CON ACABADO QUE NO DESHILE.</t>
  </si>
  <si>
    <t>VENDA DE GASA DE 3" X 10 YARDAS</t>
  </si>
  <si>
    <t>VENDA DE GASA DE 4" X 10 YARDAS</t>
  </si>
  <si>
    <t>HOJA DE BISTURI # 10, ESTERIL, CAJA SELLADA.</t>
  </si>
  <si>
    <t>HOJA DE BISTURI # 11, ESTERIL, CAJA SELLADA</t>
  </si>
  <si>
    <t>HOJA DE BISTURI # 12, ESTERIL, CAJA SELLADA</t>
  </si>
  <si>
    <t>HOJA DE BISTURI # 15, ESTERIL, CAJA SELLADA</t>
  </si>
  <si>
    <t>HOJA DE BISTURI # 20, ESTERIL, CAJA SELLADA</t>
  </si>
  <si>
    <t>HOJA DE BISTURI # 21, ESTERIL, CAJA SELLADA</t>
  </si>
  <si>
    <t>HOJA DE BISTURI # 22, ESTERIL, CAJA SELLADA</t>
  </si>
  <si>
    <t>HOJA DE BISTURI # 23, ESTERIL, CAJA SELLADA</t>
  </si>
  <si>
    <t>HOJA DE BISTURI # 24, ESTERIL, CAJA SELLADA</t>
  </si>
  <si>
    <t>CUCHILLA DE DOBLE FILO PARA MANGO DE BISTURI 527.40 X 5</t>
  </si>
  <si>
    <t>FRASCO RECOLECTOR PARA EL MANEJO DE HERIDAS ASISTIDO POR VACIO, CAPACIDAD DE 500 Ml, ESTERIL, DESCARTABLE, CON FILTROS HIDROFOBICOS Y DE CARBON INTEGRADO</t>
  </si>
  <si>
    <t>FRASCO RECOLECTOR PARA EL MANEJO DE HERIDAS ASISTIDO POR VACIO, CAPACIDAD DE 1000 Ml, ESTERIL, DESCARTABLE, CON FILTROS HIDROFOBICOS Y DE CARBON INTEGRADO</t>
  </si>
  <si>
    <t>ESPONJA DE POLIURETANO GRADO MEDICO, DE 12.5 X 18 X 3.5 cm, ESTERIL, HIDROFOBICA, CON POROS DE 400 - 600 MICRAS, QUE INCLUYA DOS PELICULAS ADHESIVAS SEMI PERMEABLES Y VENTOSA CON TUBERIA DE CONEXION A SISTEMA DE MANEJO DE HERIDAS ASISTIDO POR VACIO</t>
  </si>
  <si>
    <t>ESPONJA DE POLIURETANO GRADO MEDICO, DE 15 X 26 X 3.5 cm, ESTERIL, HIDROFOBICA, CON POROS DE 400 - 600 MICRAS, QUE INCLUYA DOS PELICULAS ADHESIVAS SEMI PERMEABLES Y VENTOSA CON TUBERIA DE CONEXION A SISTEMA DE MANEJO DE HERIDAS ASISTIDO POR VACIO</t>
  </si>
  <si>
    <t xml:space="preserve">APOSITO DE COLAGENO 90 % Y ALGINATO DE CALCIO 10%, DE 10 – 12 X 10 – 12 CM </t>
  </si>
  <si>
    <t>ARANDELA ADHESIVA TIPO ELECTRODO PARA MONITOREO 28 MM DE DIAMETRO Y ORIFICIO INTERNO DE 9 MM.</t>
  </si>
  <si>
    <t>BRAZALETE PARA TOMA DE TENSION NO INVASIVA EN NEONATOS # 1</t>
  </si>
  <si>
    <t>BRAZALETE PARA TOMA DE TENSION NO INVASIVA EN NEONATOS # 2</t>
  </si>
  <si>
    <t>BRAZALETE PARA TOMA DE TENSION NO INVASIVA EN NEONATOS # 3</t>
  </si>
  <si>
    <t>BRAZALETE PARA TOMA DE TENSION NO INVASIVA EN NEONATOS # 4</t>
  </si>
  <si>
    <t>BRAZALETE PARA TOMA DE TENSION NO INVASIVA EN NEONATOS # 5</t>
  </si>
  <si>
    <t>BRAZALETE PARA TOMA DE TENSION NO INVASIVA PARA NIÑO</t>
  </si>
  <si>
    <t>CONDUCTOR DE PRESION TRANSMEMBRANA.</t>
  </si>
  <si>
    <t>DESCARTABLE PARA MONITOREO HEMODINAMICO CON ADAPTADOR LUER LOCK Y EXTENSION DE 1.5 MT  PARA PACIENTE, DOMO Y VALVULA DE 3 VIAS DESCARTABLE ESTERIL.</t>
  </si>
  <si>
    <t>DISCO ADHESIVO DESCARTABLE PARA ESTETOSCOPIO PRECORDIAL.</t>
  </si>
  <si>
    <t>DOMOS TRANSPARENTES DESCARTABLES ESTERILES PARA TRANSDUCTORES SEGUN MODELO DE EQUIPO</t>
  </si>
  <si>
    <t>ELECTRODO DESCARTABLE DE ESPUMA PARA MONITOREO, ADHESIVO, HIPOALERGICO, GELATINA LUBRICADA, BROCHE STANDAR DE CLORURO DE PLATA, PARA ADULTOS.</t>
  </si>
  <si>
    <t>ELECTRODO DESCARTABLE PARA RECIEN NACIDO, GELATINA SOLIDA HIPOALERGICA.</t>
  </si>
  <si>
    <t>GEL ELECTROLITICA PARA TRASMISION SOLUBLE EN AGUA.</t>
  </si>
  <si>
    <t>JALEA O PASTA ELECTROCONDUCTIVA</t>
  </si>
  <si>
    <t>MANGUERAS CONECTORAS PARA BRAZALETE DE PRESION NO INVASIVA DE NEONATOS COMPATIBLE CON BRAZALETES.</t>
  </si>
  <si>
    <t>MANOMETRO PARA MEDIR PRESION VENOSA CENTRAL DE 25 - 40 CM CON LLAVE DE 3 O 4 VIAS, QUE POSEA ADAPTADOR TIPO PINZA PARA FIJAR AL ATRIL CON EXTENSIONES DE 1.40 - 1.60 MT CON PUNTO DE INYECCION A LA EXTENSION DEL PACIENTE, ESTERIL. DESCARTABLE.</t>
  </si>
  <si>
    <t>PUNTAS DE ELECTROCAUTERIO DESCARTABLES (VARIOS TIPOS)</t>
  </si>
  <si>
    <t>VALVULA O PIEZA T PARA GASTO CARDIACO TRANSPARENTE ESTERIL</t>
  </si>
  <si>
    <t>SENSOR PARA SATURACION DE OXIGENO EN OXIMETRO DE PULSO, PARA ADULTO. CON SUS CONEXIONES Y ADAPTADORES. DIFERENTES MARCAS.</t>
  </si>
  <si>
    <t>BRAZALETE PARA TENSIOMETRO DE ADULTO</t>
  </si>
  <si>
    <t>CATETER PARA MARCAPASO EXTERNO, DIAMETRO 5 FRENCH, CON SU INTRODUCTOR Y BALON</t>
  </si>
  <si>
    <t>DOMUS PARA PRESION INVASIVA, PARA MONITOR MARCA Y MODELO DE USO INSTITUCIONAL</t>
  </si>
  <si>
    <t>ELECTRODO LOOP (ASA PARA ELECTROCIRUGIA)</t>
  </si>
  <si>
    <t xml:space="preserve">PERILLA PARA TENSIOMETRO </t>
  </si>
  <si>
    <t>PLACA AUTOADHESIVA PARA ELECTROCAUTERIO, MARCA Y MODELO DE USO INSTITUCIONAL, DIFERENTES MEDIDAS, DESCARTABLE</t>
  </si>
  <si>
    <t>MARCAPASO FISIOLOGICO TELEMETRICO MULTIPROGRAMABLE CON AUTO SET.</t>
  </si>
  <si>
    <t>MARCAPASO DOBLE CAMARA MULTIPROGRAMABLE CON SU ELECTRODO ENDOCARDICO.</t>
  </si>
  <si>
    <t>MARCAPASO VVIR MULTIPROGRAMABLE CON SU ELECTRODO  ENDOCARDICO.</t>
  </si>
  <si>
    <t>MARCAPASO VVI, TELEMETRICO MULTIPROGRAMABLE</t>
  </si>
  <si>
    <t>APLICADOR DE MADERA CON ALGODON DE 6" ESTERIL, (EN EMPAQUE INDIVIDUAL DE 100 UNIDADES)</t>
  </si>
  <si>
    <t>APLICADOR DE MADERA DE SIN  ALGODÓN</t>
  </si>
  <si>
    <t>BAJALENGUA DE MADERA DE 3/4" X 6" EN EMPAQUE INDIVIDUAL DE 100 UNIDADES.</t>
  </si>
  <si>
    <t>BAÑO DE ASIENTO PLASTICO CON SU BOLSA PLASTICA.</t>
  </si>
  <si>
    <t>BOLSA CERRADA PARA COLOSTOMIA PARA ADULTO, CON FILTRO PARA GASES Y ARO DE FIJACION O PLACA ADHESIVA CON AREA  RECORTABLE DE 60 mm MINIMO, CON ARO DE FIJACION A BOLSA. POR CADA 30 BOLSAS INCLUIR 10 PLACAS</t>
  </si>
  <si>
    <t>BOLSA DE ALIMENTACION PARENTERAL GRADUADA TRANSPARENTE CON CAPACIDAD PARA 1000 mL, PARA USO EN BOMBA DE INFUSION</t>
  </si>
  <si>
    <t>BOLSA DE POLIETILENO DESCARTABLE DE 2 - 3 LITROS, PARA ELIMINACION DE DESECHOS, CON TAPADERA CON SUS CONECTORES (PARA CIRUGIA SEPTICA)</t>
  </si>
  <si>
    <t>BOLSA PARA ALIMENTACION ENTERAL POR GRAVEDAD, EN ADULTO</t>
  </si>
  <si>
    <t>BOLSA PARA ALIMENTACION ENTERAL, EN ADULTO, CON BOMBA DE INFUSION EN COMODATO</t>
  </si>
  <si>
    <t>CANULA NASAL PARA ADULTO 80-100"</t>
  </si>
  <si>
    <t>CEPILLO DE NYLON PARA CIRUJANO</t>
  </si>
  <si>
    <t>CEPILLO ESTERIL DE NYLON PARA CIRUJANO CON 15 - 20 ML DE SOLUCION A BASE DE YODO.</t>
  </si>
  <si>
    <t>CINTA UMBILICAL,TRENZADA 100 YARDAS.</t>
  </si>
  <si>
    <t>CLAMP UMBILICAL, DESCARTABLE</t>
  </si>
  <si>
    <t>GORRO DESCARTABLE PARA ENFERMERA.</t>
  </si>
  <si>
    <t>GORRO DESCARTABLE PARA MEDICOS</t>
  </si>
  <si>
    <t>GUANTE NO ESTERIL DE LATEX TALLA "L"</t>
  </si>
  <si>
    <t>GUANTE NO ESTERIL DE LATEX TALLA "M"</t>
  </si>
  <si>
    <t>GUANTE NO ESTERIL DE LATEX TALLA "S"</t>
  </si>
  <si>
    <t xml:space="preserve">GUANTE QUIRURGICO # 6 1/2, ESTERIL, DE LATEX,  PARA CIRUGIA </t>
  </si>
  <si>
    <t>GUANTE QUIRURGICO # 7 1/2, ESTERIL, DE LATEX,  PARA CIRUGIA.</t>
  </si>
  <si>
    <t>GUANTE QUIRURGICO # 7, ESTERIL, DE LATEX,  PARA CIRUGIA.</t>
  </si>
  <si>
    <t>GUANTE QUIRURGICO # 8 1/2, ESTERIL DE LATEX,  PARA CIRUGIA, ESTERIL</t>
  </si>
  <si>
    <t>GUANTE QUIRUGICO #8 ESTERIL</t>
  </si>
  <si>
    <t>(en blanco)</t>
  </si>
  <si>
    <t>GUANTE QUIRURGICO # 9, ESTERIL DE LATEX,  PARA CIRUGIA.</t>
  </si>
  <si>
    <t>HUATA QUIRURGICA DE 36" X 6 YARDAS</t>
  </si>
  <si>
    <t>INFUSOR A PRESION MANUAL</t>
  </si>
  <si>
    <t>JALEA LUBRICANTE DE USO MEDICO PARA DILATACION, pH NEUTRO, CONTENIDO DE 5 - 8 ONZAS.</t>
  </si>
  <si>
    <t>ONZAS</t>
  </si>
  <si>
    <t>LENTES PROTECTORES QUIRURGICOS</t>
  </si>
  <si>
    <t>MARCARILLA DESCARTABLE CON VICERA</t>
  </si>
  <si>
    <t>MASCARILLA QUIRUGICA DESCARTABLE</t>
  </si>
  <si>
    <t>PERILLA DE HULE DE 2 O 3 ONZAS,  PARA ASPIRAR,    INFANTES.</t>
  </si>
  <si>
    <t>SET DE BANCO DE LLAVES DE 3 VIAS CON EXTENSION</t>
  </si>
  <si>
    <t>SUCCIONADOR DE LEE CON TRAMPA, GRADUADO CON CAPACIDAD DE 20 mL, CON TUBO MOLDEABLE DE  8 FRECH, CON BOQUILLA DESCARTABLE</t>
  </si>
  <si>
    <t>SUSPENSOR ELASTICO CLINICO GRANDE</t>
  </si>
  <si>
    <t>SUSPENSOR ELASTICO CLINICO MEDIANO</t>
  </si>
  <si>
    <t>TERMOMETRO ORAL DE MERCURIO</t>
  </si>
  <si>
    <t>TERMOMETRO RECTAL DE MERCURIO GRADUADO EN GRADOS CENTRIGRADOS.</t>
  </si>
  <si>
    <t xml:space="preserve">TOALLAS SANITARIAS </t>
  </si>
  <si>
    <t>TUBO CONECTOR EN Y, DE 1/4", PLASTICO</t>
  </si>
  <si>
    <t>TUBO DE POLIETILENO PARA ESTERILIZAR SONDAS  3" X 75".</t>
  </si>
  <si>
    <t>TUBO FLEXIBLE  DE POLIURETANO GRADO HOSPITALARIO TRANSPARENTE  3/8" X  1/2"  X 3/32", DE 50 PIES DE LARGO</t>
  </si>
  <si>
    <t>TUBO FLEXIBLE DE POLIURETANO GRADO HOSPITALARIO TRANSPARENTE  1/4" X  3/8"  X 1/16", DE 50 PIES DE LARGO</t>
  </si>
  <si>
    <t>VENDA ELASTICA DE 2" X 3 Ó 5 YARDAS.</t>
  </si>
  <si>
    <t>VENDA ELASTICA DE 3" X 3 Ó 5 YARDAS.</t>
  </si>
  <si>
    <t>VENDA ELASTICA DE 4" X 3 Ó 5 YARDAS.</t>
  </si>
  <si>
    <t>VENDA ELASTICA DE 6" X 3 Ó 5 YARDAS.</t>
  </si>
  <si>
    <t>BOLSA ABIERTA PARA ILEOSTOMIA, CON CLAMP, ANILLO SINTETICO RECORTABLE Y ADHESIVO DE PAPEL</t>
  </si>
  <si>
    <t>PASTA O GEL  SELLADORA Y DE PROTECCION PARA PLACAS O BOLSAS DE OSTOMIA DE DIFERENTES COMPONENTES</t>
  </si>
  <si>
    <t>CANULA NASAL PARA RECIEN NACIDO, CON DOS CONDUCTORES Y TUBO PARA OXIGENO, 80 - 100" DE LONGITUD, EMPAQUE INDIVIDUAL</t>
  </si>
  <si>
    <t>CANULA NASAL PARA ADULTO, CON DOS CONDUCTORES Y TUBO PARA OXIGENO DE 50 PIES, RESISTENTE A  ALTAS PRESIONES DE OXIGENO, AJUSTABLE BAJO LA MANDIBULA.</t>
  </si>
  <si>
    <t>COLCHON DE AIRE CON BOMBA CON SISTEMA ELECTRICO 120 V. ± 10%, 60 HZ..</t>
  </si>
  <si>
    <t>CONECTOR DOBLE, MACHO LUER LOCK/MACHO LUER LOCK EN AMBOS LADOS</t>
  </si>
  <si>
    <t>FILTRO PARA EQUIPO DE SUCCION DE MARCA Y MODELO DE USO INSTITUCIONAL</t>
  </si>
  <si>
    <t>LUBRICANTE CONCENTRADO PARA INSTRUMENTAL QUIRURGICO</t>
  </si>
  <si>
    <t>PISTOLA PARA DISPARAR AGUJA PARA BIOPSIA TIPO TRUCUT</t>
  </si>
  <si>
    <t>NAVAJA DESCARTABLE PARA RASURADO QUIRURGICO, ESTERIL, DE ACERO INOXIDABLE, COMPATIBLE CON RASURADORA ELECTRICA TIPO CLIPPER O SIMILAR, USO HOSPITALARIO</t>
  </si>
  <si>
    <t>BOLSA DE PEGAR PARA COLOSTOMIA, CERRADA, RECORTABLE, CON FILTRO DE CARBÓN</t>
  </si>
  <si>
    <t>PAPEL ABSORBENTE PARA ADULTO</t>
  </si>
  <si>
    <t>PAPEL DE IMPRESION TERMICO DE ALTA DENSIDAD,PARA  EQUIPO ULTRASONOGRAFIA.</t>
  </si>
  <si>
    <t>PAPEL GRAFICADOR PARA ELECTROCARDIOGRAFO DE 1 CANAL, 50 MM., DIAMETRO DE CARRETE 1".</t>
  </si>
  <si>
    <t>PAPEL GRAFICADOR PARA ELECTROCARDIOGRAFO DE 1 CANAL, 50 MM., DIAMETRO DE CARRETE 5/8".</t>
  </si>
  <si>
    <t>PAPEL GRAFICADOR PARA ELECTROCARDIOGRAFO DE 1 CANAL, 63 MM., DIAMETRO DE CARRETE 5/8".</t>
  </si>
  <si>
    <t>PAPEL GRAFICADOR PARA MONITOR DE 3 CANALES, PREDOBLADO, TIPO QUINTON, DOBLE RAYADO.</t>
  </si>
  <si>
    <t>BLOCK</t>
  </si>
  <si>
    <t>PAPEL GRAFICADOR PARA MONITOR FETAL TIPO COROMETRIC O SIMILAR.</t>
  </si>
  <si>
    <t>PAPEL GRAFICADOR PREDOBLADO PARA ELECTROCARDIOGRAFO DE 12 CANALES TIPO QUINTON.</t>
  </si>
  <si>
    <t>PAPEL MILIMETRADO CON ESCALA 240 - 30, DE 15 X 10 CM</t>
  </si>
  <si>
    <t>PAPEL MILIMETRADO EN LIBRETA DE 100 HOJAS</t>
  </si>
  <si>
    <t>LIBRETA</t>
  </si>
  <si>
    <t>PAPEL PARA ELECTROCARDIOGRAFO PORTATIL (5 CMS.DE ANCHO) PARA MARCA Y MODELO INSTITUCIONAL</t>
  </si>
  <si>
    <t>PAPEL PARA ESPIROMETRO, CAJA PARA UN ROLLO</t>
  </si>
  <si>
    <t>PAPEL PARA MONITOR FETAL INTRAPARTUN (SONICAID)</t>
  </si>
  <si>
    <t>PAPEL PARA MONITOR TIPO PAC KARD</t>
  </si>
  <si>
    <t>PAPEL PREDOBLADO MILIMETRADO PARA MONITOREO DE  HOLTER.</t>
  </si>
  <si>
    <t>HOJA</t>
  </si>
  <si>
    <t>PAPEL PREDOBLADO PARA FONOCARDIOGRAFO</t>
  </si>
  <si>
    <t>PAPEL PREDOBLADO PARA MONITOR FETAL MODELO 111.</t>
  </si>
  <si>
    <t>PAPEL TERMICO ANALIZADOR IRMA</t>
  </si>
  <si>
    <t>PAPEL TERMICO 110 MM P/USG MARCA SONY</t>
  </si>
  <si>
    <t xml:space="preserve">ROLLO </t>
  </si>
  <si>
    <t>PAPEL TERMICO DE ALTA DENSIDAD PARA ESPIROMETRO  55 MM DE ANCHO Y 5/8" DIAMETRO DE CARRETE.</t>
  </si>
  <si>
    <t>PAPEL TERMICO DE ALTA DENSIDAD PARA ESPIROMETRO,   11 CM DE ANCHO Y 5/8" DIAMETRO DE CARRETE.</t>
  </si>
  <si>
    <t>PAPEL TERMICO PARA GRAFICADORA COMPATIBLE CON EQUIPO SIEMENS</t>
  </si>
  <si>
    <t>PAPEL TERMICO PARA HUMA CLOT .</t>
  </si>
  <si>
    <t>PAPEL TERMICO PARA PRINTER</t>
  </si>
  <si>
    <t>PAPEL TERMICO PARA PROCESADOR HEMATOLOGICO</t>
  </si>
  <si>
    <t>TABLILLA PARA PAPEL IMPRESOR</t>
  </si>
  <si>
    <t>PAPEL TERMICO PARA ELECTROCARDIOGRAFO DE 3 CANALES, SEGÚN MARCA Y MODELO DE EQUIPO INSTITUCIONAL</t>
  </si>
  <si>
    <t>PAPEL MILIMETRADO, PREDOBLADO, PARA BANDA SIN FIN, SEGÚN MARCA Y MODELO DE EQUIPO INSTITUCIONAL</t>
  </si>
  <si>
    <t>PAPEL TERMICO PARA GASOMETRO SEGÚN MARCA Y MODELO DE USO INSTITUCIONAL, PARA IMPRESIÓN DE 200 MUESTRAS COMO MINIMO</t>
  </si>
  <si>
    <t>BALDE INOXIDABLE DE 15" DIAMETRO SUPERIOR, 12" ALTO.</t>
  </si>
  <si>
    <t>BANDEJA INOXIDABLE  DE  17" X 11 1/2" X 1/2"      .</t>
  </si>
  <si>
    <t>BANDEJA INOXIDABLE DE 13 1/2" X 9 3/4" X 5/8"  .</t>
  </si>
  <si>
    <t>BANDEJA INOXIDABLE DE 15 1/8" X 10 1/2" X 1/2" .</t>
  </si>
  <si>
    <t>BANDEJA INOXIDABLE DE 19" X 12 1/2" X 5/8", PARA MESA MAYO.</t>
  </si>
  <si>
    <t>CAJA PARA ESTERILIZAR INSTRUMENTAL</t>
  </si>
  <si>
    <t>CAJA PARA ESTERILIZAR INSTRUMENTAL DE MICROCIRUGIA</t>
  </si>
  <si>
    <t>CAJA PARA ESTERILIZAR MATERIAL DE ORTOPEDIA</t>
  </si>
  <si>
    <t>CAJA CON TAPADERA PARA MICROINSTRUMENTOS 230 X 130X 50 MM. INOXIDABLE.</t>
  </si>
  <si>
    <t>COMODO INOXIDABLE PARA ADULTO.</t>
  </si>
  <si>
    <t>COPA INOXIDABLE GRADUADA DE  2 ONZAS.</t>
  </si>
  <si>
    <t>COPA INOXIDABLE GRADUADA DE 1000 mL SIN ASA.</t>
  </si>
  <si>
    <t>COPA INOXIDABLE GRADUADA DE 500 mL CON ASA.</t>
  </si>
  <si>
    <t>ESCUDILLA INOXIDABLE DE 4 3/8" X 2 5/8"</t>
  </si>
  <si>
    <t>ESCUDILLA INOXIDABLE DE 5 3/4" X 2 3/8"</t>
  </si>
  <si>
    <t>ESCUDILLA INOXIDABLE DE 6 1/2" X 2 1/2"</t>
  </si>
  <si>
    <t>ESTETOSCOPIO CON CAMPANA Y DIAFRAGMA ADULTO</t>
  </si>
  <si>
    <t>FRASCO DE VIDRIO CON TAPADERA INOXIDABLE, PARA TORUNDAS Y PALILLOS, 5" X 5" .</t>
  </si>
  <si>
    <t>FRASCO DE VIDRIO CON TAPADERA INOXIDABLE, PARA TORUNDAS Y PALILLOS, 7" X 4" .</t>
  </si>
  <si>
    <t>IRRIGADOR INOXIDABLE DE 2 1/4 LITRO .</t>
  </si>
  <si>
    <t>PORTA BALDE, CON RODOS, PARA SALA  DE OPERACIONES (CON BALDE).</t>
  </si>
  <si>
    <t>PORTA EXPEDIENTE,DE ALUMINIO 9" X 12"</t>
  </si>
  <si>
    <t>PORTA PINZA INOXIDABLE 7 1/4" X 3 1/8"</t>
  </si>
  <si>
    <t>RACK PORTA INSTRUMENTO DE ALUMINIO CON TAPADERA.</t>
  </si>
  <si>
    <t>RACK PORTA INSTRUMENTO FINO INOXIDABLE PEQUEÑO.</t>
  </si>
  <si>
    <t>RECIPIENTE INOXIDABLE 12 3/4" X 3 1/2", TIPO HUACAL</t>
  </si>
  <si>
    <t>TAMBO INOXIDABLE CON TAPADERA 7" X 7"</t>
  </si>
  <si>
    <t>TAMBO INOXIDABLE CON TAPADERA, 4 7/8" X 6 7/8"</t>
  </si>
  <si>
    <t>URINAL INOXIDABLE MASCULINO  CON  ASA</t>
  </si>
  <si>
    <t>VASIJA ARRIÑONADA, INOXIDABLE, 8" X 3 1/2" X 2" .</t>
  </si>
  <si>
    <t>VASIJA DE ACERO INOXIDABLE DE 5 X 2 "</t>
  </si>
  <si>
    <t>VASIJA INOXIDABLE, SIN TAPADERA, 10 3/8" X 6 3/8" X 2 1/2" .</t>
  </si>
  <si>
    <t>VASIJA INOXIDABLE, SIN TAPADERA, 10" X 6 1/2" X 2".</t>
  </si>
  <si>
    <t>VASIJA INOXIDABLE, SIN TAPADERA, 12 1/4" X 7 5/8" X 2 1/8" .</t>
  </si>
  <si>
    <t>VASIJA INOXIDABLE SIN TAPADERA 2 1/2" X 9 3/4</t>
  </si>
  <si>
    <t>VASIJA INOXIDABLE SIN TAPADERA 2 1/2" X 6 7/8</t>
  </si>
  <si>
    <t>VASIJA INOXIDABLE, SIN TAPADERA, 20 3/4" X 12 3/4"X 2 1/2" .</t>
  </si>
  <si>
    <t>VASIJA INOXIDABLE, SIN TAPADERA, 8 7/8" X 5" X 2" .</t>
  </si>
  <si>
    <t>BOLSAS PARA ARCHIVAR ESTUDIOS RADIOGRAFICOS DE 19" X 15", CON IDENTIFICACION DE PACIENTE Y LOGO DEL  ISSS.</t>
  </si>
  <si>
    <t>ENEMA DE SULFATO DE BARIO DE ALTA DENSIDAD, CON SU CANULA Y BALON INCORPORADO</t>
  </si>
  <si>
    <t>PELICULA RADIOGRAFICA PARA MAMOGRAFIA DE ALTA RESOLUCION, DENSIDAD Y CONTRASTE, DE UNA SOLA EMULSION, PARA PROCESO AUTOMATICO TAMAÑO 24 X 30 CMS.</t>
  </si>
  <si>
    <t>SUSTANCIA PARA PREPARAR QUIMICO REVELADOR REFORZADOR PARA PROCESADORA AUTOMATICA DE PELICULAS.</t>
  </si>
  <si>
    <t>SUSTANCIA PARA PREPARAR QUIMICO FIJADOR REFORZADOR PARA PROCESADORA AUTOMATICA DE PELICULAS</t>
  </si>
  <si>
    <t>PELICULA RADIOGRAFICA PARA MAMOGRAFIA DE ALTA RESOLUCION DENSIDAD Y CONTRASTE DE UNA SOLA EMULSION, PARA PROCESO AUTOMATICO DE 18 X 24 CM</t>
  </si>
  <si>
    <t>PELICULA DE 7X17 SENSIBLE LUZ VERDE</t>
  </si>
  <si>
    <t>GEL PARA USO EN ULTRASONOGRAFIA</t>
  </si>
  <si>
    <t>MEDIO DE CONTRASTE ENDOVENOSO IONICO PARA USO EN PROCEDIMIENTOS RADIOGRAFICOS. FRASCO DE 30 - 150 mL.</t>
  </si>
  <si>
    <t>SULFATO DE BARIO</t>
  </si>
  <si>
    <t>KG</t>
  </si>
  <si>
    <t>MEDIO DE CONTRASTE ENDOVENOSO NO IONICO   PARA PROCEDIMIENTOS RADIOGRAFICOS. FRASCO DE 30 - 150 mL</t>
  </si>
  <si>
    <t>MEDIO DE CONTRASTE YODADO PARA ESTUDIO DE ARBOL BRONQUIAL.</t>
  </si>
  <si>
    <t>MEDIO DE CONTRASTE ORAL BARITADO DE BAJA DENSIDAD EN SUSPENSION CONCENTRADA. FRASCO DE 150 - 300 mL.</t>
  </si>
  <si>
    <t>MEDIO DE CONTRASTE EFERVECENTE</t>
  </si>
  <si>
    <t>PELICULA DE 8"X 10" SENSIBLE LUZ</t>
  </si>
  <si>
    <t>PELICULA DE 10X12 SENSIBLE LUZ VERDE</t>
  </si>
  <si>
    <t>PELICULA DE 11"X14" SENSIBLE A LA LUZ</t>
  </si>
  <si>
    <t>PELICULA DE 14X14 SENSIBLE LUZ VERDE</t>
  </si>
  <si>
    <t>PELICULA DE 14X17 SENSIBLE LUZ VERDE</t>
  </si>
  <si>
    <t>CATETER RENAL DOBLE CURVA FRENCH 6</t>
  </si>
  <si>
    <t xml:space="preserve">DILATADOR RADIOPACO, DIAMETRO 6 FRENCH, DE 15 CM DE LARGO, ± 3 CM </t>
  </si>
  <si>
    <t xml:space="preserve">DILATADOR RADIOPACO, DIAMETRO 5 FRENCH, DE 15 CM DE LARGO, ± 3 CM </t>
  </si>
  <si>
    <t>EQUIPO PARA SIALOGRAFIA, DESECHABLE, QUE INCLUYA AGUJA Y DILATADORES.</t>
  </si>
  <si>
    <t xml:space="preserve">AGUJA CHIBA DESECHABLE # 19 DE 20 CM  DE LARGO, ± 3 CM </t>
  </si>
  <si>
    <t xml:space="preserve">AGUJA CHIBA DESECHABLE # 20 DE 20 CM  DE LARGO, ± 3 CM </t>
  </si>
  <si>
    <t xml:space="preserve">AGUJA CHIBA DESECHABLE # 21 DE 20 CM  DE LARGO, ± 3 CM </t>
  </si>
  <si>
    <t xml:space="preserve">AGUJA CHIBA DESECHABLE # 22 DE 20 CM  DE LARGO , ± 3 CM </t>
  </si>
  <si>
    <t>AGUJA DESECHABLE FRANSEN PARA BIOPSIA PULMONAR</t>
  </si>
  <si>
    <t>JERINGA ANGIOGRAFICA  TRI-PACK DESECHABLE DE 125 - 200  mL. ADAPTABLE A INYECTOR DE ALTA  PRESION MEDRAD.   C/U</t>
  </si>
  <si>
    <t>JERINGA ANGIOGRAFICA DE BAJA PRESION DESECHABLE DE 200cc. ADAPTABLE A INYECTOR DE PRESION MEDRAD.  C/U</t>
  </si>
  <si>
    <t>PELICULA 8 X 10 PARA RADIOGRAFIA DIGITAL PARA USO EN TERMO IMPRESOR</t>
  </si>
  <si>
    <t>MEDIO DE CONTRASTE ENDOVENOSO PARAMAGNETICO FRASCO DE 10 - 50 mL.</t>
  </si>
  <si>
    <t>CHASIS CON PANTALLAS DE FOSFORO CON MEMORIA 10" X 12"</t>
  </si>
  <si>
    <t>CHASIS CON PANTALLAS DE FOSFORO CON MEMORIA 11" X 14"</t>
  </si>
  <si>
    <t>CHASIS CON PANTALLAS DE FOSFORO CON MEMORIA 14" X 14"</t>
  </si>
  <si>
    <t>CHASIS CON PANTALLAS DE FOSFORO CON MEMORIA 14" X 17"</t>
  </si>
  <si>
    <t>JERINGA TRI-PACK  PARA INYECTOR TIPO MEDRAD DE BAJA PRESION DE DOBLE EMBOLO DE 20 - 50 ml C/U .</t>
  </si>
  <si>
    <t>PELICULA TERMICA 14" X 17" D T 2 B, COMPATIBLE CON  CAMARA SECA AGFA DRYSTAR 5,300</t>
  </si>
  <si>
    <t>TUBO CONECTOR DOBLE EN ESPIRAL DE BAJA PRESION PARA INYECTOR TIPO MEDRAD, DE 50" - 70" DE LONGITUD</t>
  </si>
  <si>
    <t>TUBO CONECTOR EN ESPIRAL DE BAJA PRESION HASTA 355 P.S.I. PARA INYECTOR TIPO MEDRAD DE 50"- 70" DE LONGITUD</t>
  </si>
  <si>
    <t>CASETA RADIOGRAFICA PARA ALTA CARGA DE TRABAJO, CON SU RESPECTIVO PAR DE PANTALLAS INTENSIFICADORAS DE ALTA VELOCIDAD, SENSIBLE A LUZ VERDE 10" X 12". UNIDAD</t>
  </si>
  <si>
    <t>CASETA RADIOGRAFICA PARA ALTA CARGA DE TRABAJO, CON SU RESPECTIVO PAR DE PANTALLAS INTENSIFICADORAS DE ALTA VELOCIDAD, SENSIBLE A LUZ VERDE 11" X 14". UNIDAD</t>
  </si>
  <si>
    <t>CASETA RADIOGRAFICA PARA ALTA CARGA DE TRABAJO, CON SU RESPECTIVO PAR DE PANTALLAS INTENSIFICADORAS DE ALTA VELOCIDAD, SENSIBLE A LUZ VERDE 14" X 14". UNIDAD</t>
  </si>
  <si>
    <t>CASETA RADIOGRAFICA PARA ALTA CARGA DE TRABAJO, CON SU RESPECTIVO PAR DE PANTALLAS INTENSIFICADORAS DE ALTA VELOCIDAD, SENSIBLE A LUZ VERDE 14" X 17". UNIDAD</t>
  </si>
  <si>
    <t>CATETER VISCERAL RENAL DOBLE CURVA, DIAMETRO 6.0 FRENCH, 38MM, LONGITUD 65 CM ± 10%.</t>
  </si>
  <si>
    <t>CATETER VISCERAL RENAL DOBLE CURVA, DIAMETRO 7.0 FRENCH, 38 MM; LONGITUD 65 CM ± 10%</t>
  </si>
  <si>
    <t>DELANTAL PLOMADO CON ESPESOR DE 0.5 - 0.7  MM. DE PLOMO O EQUIVALENTE, SEGÚN NORMA.</t>
  </si>
  <si>
    <t>DEPOSITO PLOMADO PARA ALMACENAR PELICULAS DE DIFERENTES TAMAÑOS EN CUARTO OBSCURO</t>
  </si>
  <si>
    <t>GABINETE PLOMADO DE TRANSFERENCIA PARA EL PASO DE  CASETAS HACIA EL CUARTO OSCURO</t>
  </si>
  <si>
    <t xml:space="preserve">GUANTE PLOMADO FLEXIBLE CON PROTECCION  DE 0.25 mm de Pb. </t>
  </si>
  <si>
    <t>LETRAS  DE PLOMO "R"  Y "L",  O   "DERECHA" E "IZQUIERDA" O " D" E "I."  PAR</t>
  </si>
  <si>
    <t>SET DE SONDAS PARA ESTUDIO DE SIALOGRAFIA, DESECHABLES.</t>
  </si>
  <si>
    <t>CHASIS (CASETA) RADIOGRAFICA CON PARRILLA ANTIDIFUSORA, INOXIDABLE, PARA TRABAJO PESADO, DE 10" X 12" APROXIMADO, CON SU PANTALLA INTENSIFICADORA DE ALTA VELOCIDAD DE EMISION DE LUZ VERDE Y SU RESPECTIVA MARCA DE IDENTIFICACION INCORPORADA.</t>
  </si>
  <si>
    <t>CATETER PARA HISTEROSALPINGOGRAFIA CON BALON DE 6 - 8 FRENCH</t>
  </si>
  <si>
    <t>CHASIS (CASETA) RADIOGRAFICA CON PARRILLA ANTIDIFUSORA, INOXIDABLE, PARA TRABAJO PESADO, DE 11" X 14" APROXIMADO, CON SU PANTALLA INTENSIFICADORA DE ALTA VELOCIDAD DE EMISION DE LUZ VERDE Y SU RESPECTIVA MARCA DE IDENTIFICACION INCORPORADA.</t>
  </si>
  <si>
    <t>CASETA RADIOGRAFICA PARA ALTA CARGA DE TRABAJO, CON SU RESPECTIVO PAR DE PANTALLAS INTENSIFICADORAS DE ALTA VELOCIDAD, SENSIBLE A LUZ VERDE 7" X 17", UNIDAD</t>
  </si>
  <si>
    <t>CHASIS (CASETA) RADIOGRAFICA CON PARRILLA ANTIDIFUSORA, INOXIDABLE, PARA TRABAJO PESADO, DE 14" X 17" APROXIMADO, CON SU PANTALLA INTENSIFICADORA DE ALTA VELOCIDAD DE EMISION DE LUZ VERDE Y SU RESPECTIVA MARCA DE IDENTIFICACION INCORPORADA.</t>
  </si>
  <si>
    <t>CASETA RADIOGRAFICA PARA ALTA CARGA DE TRABAJO, CON SU RESPECTIVO PAR DE PANTALLAS INTENSIFICADORAS DE ALTA VELOCIDAD, SENSIBLE A LUZ VERDE 8" X 10". UNIDAD</t>
  </si>
  <si>
    <t>CHASIS (CASETA) RADIOGRAFICA CON PARRILLA ANTIDIFUSORA, CURVA, INOXIDABLE, PARA TRABAJO PESADO, DE 8" X 10" APROXIMADO, CON SU PANTALLA INTENSIFICADORA DE ALTA VELOCIDAD DE EMISION DE LUZ VERDE Y SU RESPECTIVA MARCA DE IDENTIFICACION INCORPORADA.</t>
  </si>
  <si>
    <t>CUELLO PLOMADO (BAJO NORMA)</t>
  </si>
  <si>
    <t>HELIO LIQUIDO PARA EQUIPO DE RESONANCIA MAGNETICA, CILINDRO DE 250 - 500 LITROS</t>
  </si>
  <si>
    <t>LENTE PLOMADO (BAJO NORMA)</t>
  </si>
  <si>
    <t>PELICULA DRY VIEW PARA CAMARA SECA LASER  14” X 17” BASE DE PLATA</t>
  </si>
  <si>
    <t>PELICULA PARA CAMARA SECA TERMICA 14” X 17”  PARA DRYSTAR 3000</t>
  </si>
  <si>
    <t xml:space="preserve">ALEACION DE BISMUTO, CADMIO, ESTAÑO Y PLOMO. BLOQUE </t>
  </si>
  <si>
    <t xml:space="preserve">BOLSA DE SELLADO AL VACIO DE 50 - 60 cm DE ANCHO Y 70 - 90 cm DE LARGO, DE NYLON REFORZADO </t>
  </si>
  <si>
    <t xml:space="preserve">BOLSA DE SELLADO AL VACIO DE 90 - 110 cm  DE ANCHO Y 130 - 150 cm DE LARGO, DE NYLON REFORZADO </t>
  </si>
  <si>
    <t>ESPUMA PLANA DE ALTA DENSIDAD DE 12" X 12" Y 3" DE GROSOR APROXIMADO</t>
  </si>
  <si>
    <t>BLOQUE</t>
  </si>
  <si>
    <t>ESPUMA PLANA DE ALTA DENSIDAD DE 30.5 X 30.5 cm Y 2 cm DE ESPESOR</t>
  </si>
  <si>
    <t>MASCARAS TERMOFORMABLES 9" X 10" X 2.4" APROXIMADO</t>
  </si>
  <si>
    <t>PELICULA DE VERIFICACION GAMMAGRAFIA 14" X 17"</t>
  </si>
  <si>
    <t>SOPORTE DE MATERIAL ACRILICO DE 30.8 X 30.8 cm, DE 8 mm DE ESPESOR, CON SAQUE DE 8.5 cm DE LARGO X 1.9 cm DE ANCHO</t>
  </si>
  <si>
    <t>SOPORTE DE MATERIAL ACRILICO DE 33 X 33 cm Y DE 0.5 - 1.5 cm DE GROSOR, CON 3 CISAS ALREDEDOR DEL MARCO</t>
  </si>
  <si>
    <t>FERULA DE FIBRA DE VIDRIO O PLASTICO RADIOTRANSLUCENTE, PARA INMOVILIZAR MIEMBROS SUPERIORES</t>
  </si>
  <si>
    <t>TUBO DE FUENTE DE CESIO 137 PARA BRAQUITERAPIA, EQUIVALENTE A 40 mg DE Ra 226. CONTENIDO EN DOS CAPSULAS METALICAS</t>
  </si>
  <si>
    <t>TUBO DE FUENTE DE CESIO 137 PARA BRAQUITERAPIA, EQUIVALENTE A 30 mg DE Ra 226. CONTENIDO EN DOS CAPSULAS METALICAS</t>
  </si>
  <si>
    <t xml:space="preserve">BIOMBO MOVIL PARA PROTECCION RADIOLOGICA DE 0.5 mm DE Pb, AJUSTABLE EN ALTURA </t>
  </si>
  <si>
    <t>COLLAR PLOMADO CON PROTECCION DE 0.5 mm DE Pb. CON CIERRE VELCRO</t>
  </si>
  <si>
    <t>DEPOSITO PLOMADO PARA TRASLADO DE JERINGAS, CON CAPACIDAD PARA MULTIPLES JERINGAS DE 2 A 20 CC</t>
  </si>
  <si>
    <t>GUANTE PLOMADO FLEXIBLE CON PROTECCION  DE 0.5 mm DE Pb. CON CUBIERTA DE VINIL</t>
  </si>
  <si>
    <t>PROTECTOR DE JERINGA DE 10 CC, DE TUNGSTENO CON MANGUITO BLINDADO DESLIZANTE, CON VISOR DE CRISTAL DE PLOMO</t>
  </si>
  <si>
    <t>PROTECTOR DE JERINGA DE 5 CC, DE TUNGSTENO CON MANGUITO BLINDADO DESLIZANTE, CON VISOR DE CRISTAL DE PLOMO</t>
  </si>
  <si>
    <t>KIT DE NEBULIZACION PARA CENTELLOGRAMA PULMONAR-VENTILATORIO</t>
  </si>
  <si>
    <t>KIT</t>
  </si>
  <si>
    <t>CAMPO QUIRURGICO IODADO ESTERIL, AUTOADHESIVO, 90 X 45 CM.</t>
  </si>
  <si>
    <t>CAMPO QUIRURGICO IODADO, AUTOADHESIVO, ESTERIL, DE 60 X 90 CM</t>
  </si>
  <si>
    <t>ESPONJA DE HEMOSTATICO, ABSORBIBLE DE GELATINA DE 7 X 5 X 1 CM</t>
  </si>
  <si>
    <t>ESPONJA DE HEMOSTATICO, ABSORBIBLE DE GELATINA DE 7x 5 x 0.1 CM</t>
  </si>
  <si>
    <t>ESPONJA HEMOSTATICO ABSORBIBLE DE GELATINA 3 x 5 CM.</t>
  </si>
  <si>
    <t>ESPONJA HEMOSTATICO CON GELATINA 5 X 8 CM ABSORBIBLE</t>
  </si>
  <si>
    <t>GARFIO MICHEL 11 MM (25 X GUSANO)</t>
  </si>
  <si>
    <t>GARFIO MICHEL 14 MM (25 X GUSANO)</t>
  </si>
  <si>
    <t>GARFIO MICHEL 16 MM (25 X GUSANO)</t>
  </si>
  <si>
    <t>MEDIAS ELASTICAS PEQUEÑAS, PARA VARICES,TIPO PANTY</t>
  </si>
  <si>
    <t>MEDIAS ELASTICAS MEDIANAS, PARA VARICES,TIPO PANTY</t>
  </si>
  <si>
    <t>MEDIAS ELASTICAS GRANDES PARA VARICES, TIPO PANTY</t>
  </si>
  <si>
    <t>MEDIAS ELASTICAS XL PARA VARICES TIPO PANTY.</t>
  </si>
  <si>
    <t>FERULA PARA DEDO MALEABLE 12 1/2" LARGO X 2 1/2" ANCHO, ± 10%</t>
  </si>
  <si>
    <t>FERULA PARA DEDO, DE ALUMINIO DE 18 PULGADAS DE LARGO X 0.6 ANCHO ± 10%</t>
  </si>
  <si>
    <t>CATETER TRANSURETRAL, DOBLE LUMEN – CONTORNO DE PRESION, DIAMETRO DE 7 – 9 FRENCH, COMPATIBLE CON EQUIPO DE URODINAMIA MARCA Y MODELO DE USO INSTITUCIONAL</t>
  </si>
  <si>
    <t>CEPILLO ENDOCERVICAL</t>
  </si>
  <si>
    <t>CONDON DE USO MASCULINO</t>
  </si>
  <si>
    <t>BANDAS DE OBSTRUCCION TUBARICA (ANILLOS DE YOON), DE SILICONA</t>
  </si>
  <si>
    <t>BOMBA PARA MAMAS (TIRA LECHE)</t>
  </si>
  <si>
    <t xml:space="preserve">DISPOSITIVO ANTICONCEPTIVO INTRAUTERINO DE POLIETILENO EN FORMA DE T, RECUBIERTO DE COBRE (TCu-380A)  </t>
  </si>
  <si>
    <t>ESPATULA  DE MADERA  PARA FROTIS  GINECOLOGICA</t>
  </si>
  <si>
    <t>PEZONERA PLASTICA CON BIBERON.</t>
  </si>
  <si>
    <t xml:space="preserve">ASA CORTE PARA RESECTOSCOPIO, DE 0.3 mm </t>
  </si>
  <si>
    <t>CANULA PARA OBTENCION DE MUESTRAS DE ENDOMETRIO, (CONSTA DE CANULA Y JERINGA DE ASPIRACIÓN), EMPAQUE INDIVIDUAL, DESCARTABLE, ESTERIL</t>
  </si>
  <si>
    <t>ELECTRODO REDONDO PARA USO EN RESECTOSCOPIO</t>
  </si>
  <si>
    <t>ESPECULO VAGINAL DESCARTABLE VARIAS MEDIDAS</t>
  </si>
  <si>
    <t>TAMPON DE ALGODÓN</t>
  </si>
  <si>
    <t>CEMENTO EN POLVO PARA PROTESIS EN ORTOPEDIA</t>
  </si>
  <si>
    <t>CERA PARA HUESOS, ESTERIL.</t>
  </si>
  <si>
    <t>GUIA FEMORAL 2.4 MM 12 O 18 " CON OJAL PARA EQUIPO LIGAMENTO CRUZADO ANTERIOR</t>
  </si>
  <si>
    <t>GUIA FEMORAL CON AGUJERO PIN 2.4 MM DE 12 O 18 " PARA EQUIPO LIGAMENTO FEMORAL ANTERIOR</t>
  </si>
  <si>
    <t>HUESO CORTICAL DE 20 CM.</t>
  </si>
  <si>
    <t>HUESO ULTRAMOLIDO O CHIPS DE HUESO ESPONJOSO.</t>
  </si>
  <si>
    <t>INJERTO OSEO ESPONJOSO HUMANO EN TROZOS CUADRADOS DE MAS O MENOS 1 CM. X LADO</t>
  </si>
  <si>
    <t>JUEGO UNIVERSAL DE TUBOS FLEXIBLES PARA ARTROSCOPIA (8-15 MM)</t>
  </si>
  <si>
    <t>LOCALIZADOR FEMORAL (10 MM/2 MM) PARA EQUIPO LIGAMENTO CRUZADO ANTERIOR</t>
  </si>
  <si>
    <t>LOCALIZADOR FEMORAL (11 MM/2 MM) PARA EQUIPO LIGAMENTO CRUZADO ANTERIOR</t>
  </si>
  <si>
    <t>LOCALIZADOR TUNEL FEMORAL PARA EQUIPO LIGAMENTO CRUZADO ANTERIOR</t>
  </si>
  <si>
    <t>TIRADEDOS CON MAYA DE ALAMBRE PARA LOS 5 DEDOS</t>
  </si>
  <si>
    <t>VENDA DE HULE PARA TORNIQUETE 3" X 10 YARDAS, TIPO SMARSH.</t>
  </si>
  <si>
    <t>VENDA DE YESO, SECADO RAPIDO (NO  MAYOR DE 15 MIN.), 8" X 5 YARDAS.</t>
  </si>
  <si>
    <t>VENDA DE YESO, SECADO RAPIDO (NO MAYOR DE 15 MIN.), 2" X 5 YARDAS.</t>
  </si>
  <si>
    <t>VENDA DE YESO 4" X 5 YARDAS</t>
  </si>
  <si>
    <t>VENDA DE YESO 6" X 5 YARDAS</t>
  </si>
  <si>
    <t>VENDA STOKINETE DE 2" X 25 YARDAS</t>
  </si>
  <si>
    <t>VENDA STOKINETE DE 4" X 25 YARDAS</t>
  </si>
  <si>
    <t>VENDA STOKINETE DE 6" X 25 YARDAS.</t>
  </si>
  <si>
    <t>VENDA STOKINETE DE 8" X 25 YARDAS.</t>
  </si>
  <si>
    <t>VENDAS DE FIBRA DE VIDRIO DE 4" DE ANCHO PARA TRATAMIENTO DE FRACTURA</t>
  </si>
  <si>
    <t>VENDAS DE FIBRA DE VIDRIO DE 5" ANCHO, PARA TRATAMIENTO DE FRACTURA</t>
  </si>
  <si>
    <t>VENDAS DE FIBRA DE VIDRIO DE 6" ANCHO, PARA TRATAMIENTO DE FRACTURA</t>
  </si>
  <si>
    <t>ALMOHADA ABDUCTORA DE CADERA</t>
  </si>
  <si>
    <t>FERULA DE BOHLER-BRAUN MODIFICADA, PARA ADULTO.</t>
  </si>
  <si>
    <t>FERULA DE THOMAS, PARA PIERNA DE ADULTO, ARO COMPLETO</t>
  </si>
  <si>
    <t xml:space="preserve">RODILLERA PREFABRICADA EN NEOPRENE, CON BARRAS LATERALES DE ALUMINIO, CON SUJETADORES EN VELCRO, QUE PERMITA MOVIMIENTO DE FLEXION - EXTENSION </t>
  </si>
  <si>
    <t>VENDAJE EN "8" PARA HOMBROS, TALLA L</t>
  </si>
  <si>
    <t>CUCHILLA DE ULTRA PODER DE DOS ESTRILLAS EN FORMA DE HUSO, DE 2.2 X 16.0 mm, PARA EL SISTEMA DE CRANEOTOMO</t>
  </si>
  <si>
    <t>HAEMOCLIPS DE TITANIO MEDIANO. CAJA DE 250</t>
  </si>
  <si>
    <t>HAEMOCLIPS DE TITANIO PEQUEÑO. CAJA DE 300</t>
  </si>
  <si>
    <t xml:space="preserve">HAEMOCLIPS DE TITANIO GRANDE. CAJA DE 200 </t>
  </si>
  <si>
    <t>CUBIERTA ESTERIL PARA MICROSCOPIO, MEDIDAS SEGUN MARCA Y MODELO DE EQUIPO INSTITUCIONAL</t>
  </si>
  <si>
    <t>ALGODON COMPRIMIDO 1 1/2" X 1 1/2"</t>
  </si>
  <si>
    <t>ALGODON COMPRIMIDO 1" X 1", TIPO COTONOID.</t>
  </si>
  <si>
    <t>ALGODON COMPRIMIDO 1" X 3", TIPO COTONOID.</t>
  </si>
  <si>
    <t>ALGODON COMPRIMIDO 1/2" X 1"</t>
  </si>
  <si>
    <t>ALGODON COMPRIMIDO 1/2" X 1/2"</t>
  </si>
  <si>
    <t>ALGODON COMPRIMIDO 1/2" X 2"</t>
  </si>
  <si>
    <t>ALGODON COMPRIMIDO 1/2" X 3"</t>
  </si>
  <si>
    <t>ALGODON COMPRIMIDO 2" X 6", TIPO COTONOID.</t>
  </si>
  <si>
    <t>ALGODON COMPRIMIDO 3" X 3", TIPO COTONOID.</t>
  </si>
  <si>
    <t>ALGODON COMPRIMIDO 3/4" X 3/4"</t>
  </si>
  <si>
    <t>ALGODON, ESPONJA COLAGENO 3" X 4".</t>
  </si>
  <si>
    <t>CATETER SHUNT DE 91CM  ±  5 CMS PARA SISTEMA HIDROCEFALIA</t>
  </si>
  <si>
    <t>CEMENTO Y DILUYENTE PARA ANEUROPLASTIC.</t>
  </si>
  <si>
    <t>CEMENTO Y DILUYENTE PARA CRANEOPLASTIC.</t>
  </si>
  <si>
    <t>CORSE DORSO LUMBAR CON BALLENAS METALICAS, TALLA XL</t>
  </si>
  <si>
    <t>CORSE EN POLIPROPILENO PARA ESCOLIOSIS DORSAL DERECHA Y LUMBAR IZQUIERDA</t>
  </si>
  <si>
    <t>CORSE LUMBO-SACRO TALLA "S"</t>
  </si>
  <si>
    <t>CORSE LUMBO-SACRO TALLA "M"</t>
  </si>
  <si>
    <t>CORSE LUMBO-SACRO TALLA "L"</t>
  </si>
  <si>
    <t>CORSE LUMBO-SACRO TALLA "XL"</t>
  </si>
  <si>
    <t>CORSE LUMBO-SACRO TALLA "XXL"</t>
  </si>
  <si>
    <t>CORSE TORACO-LUMBAR CON BARRAS TALLA "S"</t>
  </si>
  <si>
    <t>CORSE TORACO-LUMBAR CON BARRAS TALLA "M"</t>
  </si>
  <si>
    <t>CORSE TORACO-LUMBAR CON BARRAS TALLA "L"</t>
  </si>
  <si>
    <t>CUELLO CERVICAL RIGIDO, AJUSTABLE, GRANDE, CON CIERRE VELCRO.</t>
  </si>
  <si>
    <t>CUELLO CERVICAL RIGIDO MEDIANO</t>
  </si>
  <si>
    <t>CUELLO CERVICAL RIGIDO, AJUSTABLE, PEQUEÑO, CON CIERRE VELCRO.</t>
  </si>
  <si>
    <t>COLLAR CERVICAL TIPO FILADELFIA, TALLA "S"</t>
  </si>
  <si>
    <t>CUELLO CERVICAL TIPO FILADELFIA "M".</t>
  </si>
  <si>
    <t>CUELLO CERVICAL TIPO FILADELFIA "L".</t>
  </si>
  <si>
    <t>FAJA LUMBAR SIN BARRAS TALLA "S"</t>
  </si>
  <si>
    <t>FAJA LUMBAR SIN BARRAS TALLA "M"</t>
  </si>
  <si>
    <t>TUBO O MANGUERA PARA TRANSMISION DE PRESION, LONGITUD DE 180 – 190 cm, COMPATIBLE CON EQUIPO DE URODINAMIA MARCA Y MODELO DE USO INSTITUCIONAL</t>
  </si>
  <si>
    <t>CATGUT  CROMICO # 4/0,  AGUJA  PUNTA  REDONDA,</t>
  </si>
  <si>
    <t>CATGUT  CROMICO # 1,  AGUJA  PUNTA  REDONDA, 1/2 CIRCULO, DE 34 - 37 MM, HEBRA  DE 70 - 90 CM</t>
  </si>
  <si>
    <t>CATGUT  CROMICO # 2/0,  AGUJA  PUNTA  REDONDA, 1/2 CIRCULO, DE 34 - 37 MM, HEBRA  DE 70 - 90 CM</t>
  </si>
  <si>
    <t>CATGUT CROMICO # 1,   AGUJA PUNTA ROMA , 1/2 CIRCULO DE 85 - 95 MM, HEBRA DE 70 - 90 CM</t>
  </si>
  <si>
    <t>CATGUT CROMICO  # 2/0, AGUJA PUNTA REDONDA,1/2  CIRCULO DE 25 - 27 MM, HEBRA 70 - 90 CM</t>
  </si>
  <si>
    <t>CATGUT SIMPLE # 2/0, AGUJA PUNTA  REDONDA 1/2 CIRCULO, DE 30 - 35 MM, HEBRA  DE 60 - 90 CM</t>
  </si>
  <si>
    <t>CATGUT CROMICO # 0, SIN AGUJA., HEBRA DE 125 - 150 CMS</t>
  </si>
  <si>
    <t>CATGUT CROMICO # 1, SIN AGUJA., HEBRA DE 125 - 150 CMS</t>
  </si>
  <si>
    <t>CATGUT CROMICO # 2/0, SIN AGUJA., HEBRA DE 125 - 150 CMS</t>
  </si>
  <si>
    <t>CATGUT SIMPLE 2/0, AGUJA 1/2 CIRCULO, 35 A 37 MM,  HEBRA DE 70  -  75 CM</t>
  </si>
  <si>
    <t>CATGUT CROMICO # 2/0,AGUJA PUNTA REDONDA  (AHUSADA) CUERPO REDONDO  1/2 CIRCULO DE 17 - 20 MM. HEBRA DE 70 - 90 CM</t>
  </si>
  <si>
    <t>CINTA DE COLAGENO PARA PARENQUIMA. DOBLE AGUJA, 1/2 CIRCULO, PUNTA ROMA DE 85 - 90 MM. DE 3 - 4 CM DE ANCHO X 40 - 60 CM DE LARGO.</t>
  </si>
  <si>
    <t>SUTURA SINTET ABSORB RECUB 2/0, AGUJA  RERVERSO  CORTANTE 1/2 CIRCULO DE 34 - 37 MM, HEBRA  DE 70-90 CM</t>
  </si>
  <si>
    <t>SUTURA SINTET ABSORB RECUB 2/0, AGUJA  PUNTA REDONDA 1/2 CIRCULO DE 20-22 MM, HEBRA DE 70-90 CM</t>
  </si>
  <si>
    <t>SUTURA SINTET ABSORB RECUB 3/0, AGUJA  PUNTA REDONDA 1/2 CIRCULO DE 34-37 MM,HEBRA DE 60-90 CMS</t>
  </si>
  <si>
    <t>SUTURA SINTET ABSORB RECUB 3/0, AGUJA  PUNTA REDONDA 1/2 CIRCULO DE 26-27 MM,HEBRA DE 60-90 CMS</t>
  </si>
  <si>
    <t>CATGUT SIMPLE 4/0 AGUJA 19-24  MM</t>
  </si>
  <si>
    <t>SUTURA SINTET ABSORB RECUB 0, AGUJA PUNTA REDONDA 1/2 CIRCULO DE 34-37 MM, HEBRA 70-90 CMS</t>
  </si>
  <si>
    <t>SUTURA SINTET ABSORB RECUB 2/0, AGUJA   PUNTA REDONDA 1/2 CIRCULO DE  34-37 MM, HEBRA  DE 70-90 CMS</t>
  </si>
  <si>
    <t>SUTURA SINTET ABSORB RECUB 2/0, AGUJA  REVERSO CORTANTE 3/8 CIRCULO  DE 24-27 MM, HEBRA  DE 60-90 CMS</t>
  </si>
  <si>
    <t>SUTURA SINTET ABSORB RECUB 3/0, AGUJA REVERSO CORTANTE 3/8 CIRCULO DE 19-24 MM. HEBRA DE 45 - 60.</t>
  </si>
  <si>
    <t>SUTURA SINTET ABSORB RECUB 4/0, AGUJA  REVERSO CORTANTE 3/8 CIRCULO  DE 12-13 MM, HEBRA DE 45-60 CMS</t>
  </si>
  <si>
    <t>SUTURA SINTET ABSORB RECUB 7/0, DOBLE  AGUJA MICROPUNTA ESPATULA 3/8 CIRCULO DE  6.0-6.5 MM, HEBRA  45 CMS</t>
  </si>
  <si>
    <t>SUTURA SINTET ABSORB RECUB 5/0, AGUJA  3/8 DE CIRCULO PUNTA DE PRECISION REVERSO PUNTA CORTANTE DE 11 - 15 MM, HEBRA DE 45-60 CMS.</t>
  </si>
  <si>
    <t>SUTURA SINTET ABSORB RECUB MONOF 4/0, DOBLE  AGUJA PUNTA REDONDA 1/2 CIRCULO  DE 15-17 MM, HEBRA  DE 60-90 CMS</t>
  </si>
  <si>
    <t>SUTURA SINTET ABSORB MONOF 5/0, DOBLE AGUJA PUNTA REDONDA 3/8 DE CIRCULO DE 13-15 MM, HEBRA DE 60-90 CMS</t>
  </si>
  <si>
    <t>SUTURA SINTET ABSORB RECUB 7/0 (ACIDO POLIGLICOLICO) DOBLE AGUJA MICRO PUNTA ESPATULADA  1/4 DE CIRCULO DE 6.0-8.0 MM,HEBRA DE 30-45 CMS.</t>
  </si>
  <si>
    <t>SUTURA SINTET ABSORB RECUB 8/0 (ACIDO POLIGLICOLICO) DOBLE AGUJA MICRO PUNTA ESPATULADA  3/4 DE CIRCULO DE 6.0-8.0 MM,HEBRA DE 30-45 CMS.</t>
  </si>
  <si>
    <t>SUTURA SINTET ABSORB MONOF 6/0 DOBLE  AGUJA  PUNTA  REDONDA 3/8  DE  CIRCULO  DE 12-13 MM, HEBRA  DE 60-90 CMS</t>
  </si>
  <si>
    <t>SUTURA SINTET ABSORB RECUB 1 AGUJA PUNTA REDONDA MEDIO CIRCULO DE 34 A 35 MILIMETROS, LARGO DE HEBRA DE 70 A 90,</t>
  </si>
  <si>
    <t>SUTURA SINTET MONOF ABSORB 2/0 CON AGUJA REDONDA 1/2 CIRCULO DE 34-37 MM HEBRA DE 60-90 CMS</t>
  </si>
  <si>
    <t>SUTURA SINTET MONOFILAM ABSORB 1 C/ AGUJA REDONDA 1/2 CIRCULO DE 34 - 37 MM HEBRA DE 60-90 CMS</t>
  </si>
  <si>
    <t>SUTURA SINTET MONOFIL ABSORB 2/0 CON AGUJA REDONDA 1/2 CIRCULO DE 24 - 26 MM HEBRA DE 65 - 75 CMS</t>
  </si>
  <si>
    <t>SUTURA SINTET ABSORB MULTIF RECUB CALIBRE 6-0 CON HEBRA DE 45 - 60 cm DE LARGO AGUJA DE CUERPO ESTRIADO LONGITUDINAL, DE ACERO INOXIDABLE, CON PUNTA REVERSO CORTANTE, CURVATURA DE 3/8 DE CIRCULO CON CUERPO DE 1.1 - 1.5 cm</t>
  </si>
  <si>
    <t>SUTURA SINTET ABSORB MULTIF RECUB CALIBRE 4-0 CON HEBRA DE 45 - 60 cm DE LARGO AGUJA DE CUERPO ESTRIADO LONGITUDINAL, DE ACERO INOXIDABLE, CON PUNTA REVERSO CORTANTE CURVATURA DE 1/2 DE CIRCULO CON CUERPO DE 1.1 - 1.6 cm</t>
  </si>
  <si>
    <t>SUTURA SINTET ABSORB MULTIFIL RECUB CALIB 6-0 CON HEBRA DE 45 - 60 cm DE LARGO AGUJA DE CUERPO ESTRIADO LONGITUDINAL, DE ACERO INOXIDABLE, CON PUNTA REVERSO CORTANTE CURVATURA DE 1/2 DE CIRCULO CON CUERPO DE 1.1 - 1.6 cm</t>
  </si>
  <si>
    <t>SUTURA SINTET ABSORB RECUB MULTIFIL CALIBRE 5-0 CON HEBRA DE 45 - 60 cm DE LARGO AGUJA DE CUERPO ESTRIADO LONGITUDINAL, DE ACERO INOXIDABLE, CON PUNTA REVERSO CORTANTE CURVATURA DE 1/2 DE CIRCULO CON CUERPO DE 1.1 - 1.6 cm</t>
  </si>
  <si>
    <t>SUTURA SINTET ABSORBIB RECUB CALIB 6/0, CON DOBLE AGUJA 1/4 DE CIRCULO, DE 8 - 10 mm DE LONGITUD, HEBRA DE 40 - 50 cm DE LONGITUD</t>
  </si>
  <si>
    <t>SUTURA SINTET ABSORB RECUB CALIB 6/0, CON DOBLE AGUJA 3/8 DE CIRCULO, CORTANTE LATERAL EN ESPATULA, DE 6 - 7 mm DE LONGITUD, HEBRA DE 30 - 50 cm DE LONGITUD</t>
  </si>
  <si>
    <t>SEDA 2/0 AGUJA DE 25-26 MM</t>
  </si>
  <si>
    <t>SEDA 3/0 AGUJA DE 25-26 MM</t>
  </si>
  <si>
    <t>SEDA NEGRA TRENZADA 3/0, AGUJA 1/2 CIRCULO PUNTA  REDONDA  DE  15-22- MM, HEBRA  DE 75-90 CMS</t>
  </si>
  <si>
    <t>SEDA NEGRA TRENZADA 7/0,   DOBLE AGUJA MICRO ESPATULA 3/8  CIRCULO DE 6.0 - 6.5 MM. HEBRA DE 45 - 60 CMS</t>
  </si>
  <si>
    <t>SEDA 4/0 AGUJA REV. CORT 19-20 MM</t>
  </si>
  <si>
    <t>SEDA  NEGRA  TRENZADA 4/0, DOBLE  AGUJA 3/8 DE  CIRCULO,  REVERSO  CORTANTE, MICRO PUNTA  DE 12-13 MM, HEBRA DE 45-60 CMS</t>
  </si>
  <si>
    <t>SEDA  NEGRA  TRENZADA 5/0, DOBLE  AGUJA 3/8 DE  CIRCULO,  REVERSO  CORTANTE,  DE 12-13 MM, HEBRA DE 45-75 CMS</t>
  </si>
  <si>
    <t>SEDA NEGRA TRENZADA 5/0, AGUJA 3/8 CIRCULO REVERSO CORTANTE  DE 19-20 MM, HEBRA  DE 45-75 CMS</t>
  </si>
  <si>
    <t>SEDA NEGRA TRENZADA 0, SIN AGUJA PRECORTADA DE 10-12 HEBRAS DE 60-75 CMS  DE LARGO</t>
  </si>
  <si>
    <t>SEDA NEGRA TRENZADA 1, SIN AGUJA PRECORTADA DE 10-12 HEBRAS DE 60-75 CMS  DE LARGO</t>
  </si>
  <si>
    <t>SEDA NEGRA TRENZADA 2/0, SIN AGUJA PRECORTADA DE 10-12 HEBRAS DE 60-75 CMS  DE LARGO</t>
  </si>
  <si>
    <t>SEDA NEGRA TRENZADA 3/0, SIN AGUJA PRECORTADA DE 10-12 HEBRAS DE 60-75 CMS  DE LARGO</t>
  </si>
  <si>
    <t>SEDA NEGRA TRENZADA 4/0, SIN AGUJA PRECORTADA DE 10-12 HEBRAS DE 60-75 CMS  DE LARGO</t>
  </si>
  <si>
    <t>SEDA NEGRA TRENZADA 1, AGUJA DE 3/8 DE CIRCULO REVERSO CORTANTE DE 35-40 MM. HEBRA DE 45-75 CMS</t>
  </si>
  <si>
    <t>SEDA NEGRA TRENZADA 5-0, CON AGUJA REDONDA ½ CIRCULO DE 13 A 17 MM. HEBRA 45 - 75 CM.</t>
  </si>
  <si>
    <t xml:space="preserve">SEDA NEGRA TRENZADA 4-0, CON AGUJA REDONDA ½ CIRCULO DE 13 A 17 MM. HEBRA 45 - 75 CM. </t>
  </si>
  <si>
    <t xml:space="preserve">ALAMBRE DE ACERO INOXIDABLE 1, AGUJA 1/2 CIRCULO, 40 - 45 MM, PUNTA CORTANTE, HEBRA DE 45 - 50 CM </t>
  </si>
  <si>
    <t>CINTA DE POLIESTER DE 5 MM. DE ANCHO X 30 X 50 CMS DE LARGO. CON DOBLE AGUJA, MEDIO CIRCULO, CUERPO REDONDO, PUNTA ROMA DE 45 MM.</t>
  </si>
  <si>
    <t>MALLA QUIRURGICA DE POLIPROPILENO. PLANA TRIDIMENCIONAL DE 5 - 8 CMS X 11 - 13 CM</t>
  </si>
  <si>
    <t>NYLON 2/0 AGUJA REV CORTA 24-30 MM</t>
  </si>
  <si>
    <t>NYLON  MONOFILAMENTO  9/0,  DOBLE  AGUJA  MICRO   ESPATULA, 3/8 DE CIRCILO, DE 6.0 - 6.5 MM, HEBRA DE 30 - 45 CM</t>
  </si>
  <si>
    <t>NYLON MONOFILAMENTO # 10/0, DOBLE AGUJA, MICRO ESPATULA, CORTE LATERAL 3/8 DE CIRCULO DE 6.0 - 6.5 MM, HEBRA 30-45 CMS, MAS SEDA 4/0, AGUJA MICRO PUNTA REVERSO CORTANTE 3/8 DE CIRCULO DE 13 CM, HEBRA DE 30 A 45 CM</t>
  </si>
  <si>
    <t>NYLON MONOFILAMENTO # 0, AGUJA 1/2 CIRCULO, PUNTA  REDONDA DE 27 - 30 MM, HEBRA  DE 75 - 100 CM</t>
  </si>
  <si>
    <t>NYLON 3/0 AGUJA 3/8 CIRC. CORTA 19-24</t>
  </si>
  <si>
    <t>NYLON MONOFILAMENTO # 1, AGUJA 3/8 CIRCULO, PUNTA  REVERSO CORTANTE DE 75 - 90 MM, HEBRA DE 75 - 100 CM</t>
  </si>
  <si>
    <t>NYLON MONOFILAMENTO 4/0, AGUJA 3/8 CIRCULO, PUNTA DE PRECISION REVERSO CORTANTE, DE 18 - 19 mm, CON ESTRIA LONGITUDINAL EN EL CUERPO, HEBRA DE 45 - 60 cm</t>
  </si>
  <si>
    <t>NYLON 5/0 AGUJA PRECISION</t>
  </si>
  <si>
    <t>NYLON MONOFILAMENTO 6/0, AGUJA 3/8 CIRCULO, PUNTA DE PRECISION REVERSO CORTANTE DE 11 - 15 mm, CON ESTRIA LONGITUDINAL EN EL CUERPO, HEBRA DE 45 - 60 cm</t>
  </si>
  <si>
    <t>NYLON NEGRO TRENZADO 4-0, AGUJA 1/2 CIRCULO PUNTA  REDONDA DE 12-13 MM. HEBRA DE 45 - 60 CMS O PAQUETE DE 8 HEBRAS</t>
  </si>
  <si>
    <t>POLIESTER TRENZADO 3/0, DOBLE AGUJA 1/2 CIRCULO PUNTA REDONDA  DE 15-18 MM, HEBRA  DE 75-90 CMS</t>
  </si>
  <si>
    <t>POLIPROPILENO MONOFILAMENTO 3/0, DOBLE AGUJA 1/2  CIRCULO PUNTA REDONDA  DE 15 -18 MM, HEBRA  DE 75-90 CMS</t>
  </si>
  <si>
    <t>POLIPROPILENO MONOFILAMENTO 4/0, DOBLE AGUJA 1/2  CIRCULO PUNTA REDONDA  DE 15-18 MM.M HEBRA  DE 60-90 CMS</t>
  </si>
  <si>
    <t>POLIPROPILENO MONOFILAMENTO 5/0, DOBLE AGUJA 1/2  CIRCULO PUNTA REDONDA  DE 10-13 MM, HEBRA  DE 60-90 CMS</t>
  </si>
  <si>
    <t>POLIPROPILENO MONOFILAMENTO 6/0, DOBLE AGUJA 3/8  CIRCULO PUNTA REDONDA DE 8-10 MM, HEBRA 60-90 CMS</t>
  </si>
  <si>
    <t>POLIPROPILENO MONOFILAMENTO 7/0, DOBLE AGUJA 3/8  CIRCULO PUNTA REDONDA DE 8-10 MM, HEBRA 60-90 CMS</t>
  </si>
  <si>
    <t>SUTURA MONOFILAMENTO DE POLIPROPILENO 2/0, DOBLE AGUJA 1/2 CIRCULO PUNTA REDONDA DE 25-26 MM, HEBRA  DE 75-90 CMS</t>
  </si>
  <si>
    <t>ACERO MONOFILAR # 7, AGUJA CORTANTE 1/2 CIRCULO DE 120 MM, HEBRA DE 60 CMS ± 10%</t>
  </si>
  <si>
    <t>MALLA QUIRURGICA DE POLIPROPILENO. PLANA  DE 20 - 30 CMS X 30 - 40 CM</t>
  </si>
  <si>
    <t>SET DE PUNTOS DE RETENSION ACERO RECUBIERTO DE 1.3MM DIAMET.,DOBLE AGUJA 3/8 DE CIRCULO CORTANTE DE 100 MM.,HEBRA DE 75-90 CMS Y SUS RESPECTIVAS PLACAS PLASTICAS OVALES.</t>
  </si>
  <si>
    <t>POLYESTER 2/0  DOBLE AGUJA 1/2 CIRCULO REDONDO DE 22-25 MM, HEBRA DE 60-90 CM</t>
  </si>
  <si>
    <t>POLIPROPILENO MONOFILAMENTO 6/0, DOBLE AGUJA 3/8  CIRCULO, PUNTA  CORTANTE  DE 8-10  MM, HEBRA  DE  60-90 CMS</t>
  </si>
  <si>
    <t>POLIPROPILENO MONOFILAMENTO 7/0, DOBLE AGUJA 3/8  CIRCULO, PUNTA  CORTANTE  DE 8-10  MM, HEBRA  DE  60-90 CMS</t>
  </si>
  <si>
    <t>POLIPROPILENO MONOFILAMENTO # 0,  AGUJA 1/2  CIRCULO, PUNTA  REDONDA  DE 35-40  MM, HEBRA  DE 75-100 CMS</t>
  </si>
  <si>
    <t>BANDA QUIRURGICA DE ACERO  INOXIDABLE PARA SUTURA DE EXTERNON 36 - 40 CM DE LONGITUD DOBLE AGUJA N║ V-3 PUNTA CORTANTE</t>
  </si>
  <si>
    <t>POLIESTER TRENZADO 5/0, DOBLE AGUJA 1/4 CIRCULO   PUNTA  ESPATULADA  DE 8.0-9.0 MM, HEBRA  DE 30-45 CMS</t>
  </si>
  <si>
    <t>POLIESTER TRENZADO 6/0, DOBLE AGUJA 1/4 CIRCULO   PUNTA  ESPATULADA  DE 8.0-9.0 MM, HEBRA  DE 30-45 CMS</t>
  </si>
  <si>
    <t>POLIESTER BLANCO TRENZADO 5-0 DOBLE AGUJA PUNTA ESPATULADA DE 1/4, CIRCULO DE 8-9 MM LARGO HEBRA 40-50 CM</t>
  </si>
  <si>
    <t>SUTURA DE SINTETICA NO ABSORBIBLE DE POLIPROPILENO CALIBRE 2/0, HEBRA DE 60 - 75 cm. DE LONGITUD, AGUJA ATRAUMATICA DE 1/2 CIRCULO CON CUERPO DE 2.1 - 2.5 cm</t>
  </si>
  <si>
    <t>SUTURA SINTETICA NO ABSORBIBLE MONO FILAMENTO DE NYLON, CALIBRE 4/0 CON HEBRA DE 45 - 60 cm DE LARGO AGUJA DE CUERPO ESTRIADO LONGITUDINAL DE ACERO INOXIDABLE CON PUNTA REVERSO CORTANTE CURVATURA DE 1/2 CIRCULO CON CUERPO DE 1.1 - 1.6 cm</t>
  </si>
  <si>
    <t>SUTURA SINTETICA NO ABSORBIBLE MONOFILAMENTO DE NYLON, CALIBRE 4/0 CON HEBRA DE 45 - 60 cm DE LARGO AGUJA DE CUERPO ESTRIADO LONGITUDINAL DE ACERO INOXIDABLE CON PUNTA REVERSO CORTANTE CURVATURA DE 3/8 CIRCULO CON CUERPO DE 1.1 - 1.5 cm</t>
  </si>
  <si>
    <t>SUTURA SINTETICA NO ABSORBIBLE, MONOFILAMENTO DE NYLON CALIBRE 6/0, CON HEBRA DE 45 - 60 cm DE LARGO, AGUJA DE CUERPO ESTRIADO LONGITUDINAL DE ACERO INOXIDALBE CON PUNTA REVERSO CORTANTE, CURVATURA DE 1/2 CIRCULO CON CUERPO DE 1.3 - 1.6 cm</t>
  </si>
  <si>
    <t>POLIPROPILENO MONOFILAMENTO 5/0, DOBLE AGUJA 1/2  CIRCULO PUNTA REDONDA  TIPO HEMOSEAL, DE 10 -13 MM, HEBRA  DE 60 - 90 CM</t>
  </si>
  <si>
    <t>ACERO QUIRURGICO # 5 CON AGUJA CORTANTE, 1/2 CIRCULO DE 55 - 65 MM. SOBRE DE 2 HEBRAS X 75 - 85 CMS</t>
  </si>
  <si>
    <t>MASCARA FACIAL PARA APLICACION DE VENTILACIÓN NO INVASIVA, CON PUERTO PARA O2 - CO2 Y VALVULA DE EXHALACIÓN; TAMAÑO "M", QUE INCLUYA ARNE</t>
  </si>
  <si>
    <t>MASCARA FACIAL PARA APLICACION DE VENTILACION NO INVASIVA, CON PUERTO PARA O2 - CO2 Y VALVULA DE EXHALACIÓN; TAMAÑO "L", QUE INCLUYA ARNE</t>
  </si>
  <si>
    <t>CANULA OROFARINGEA TRANSPARENTE DE 60 mm DE LONGITUD</t>
  </si>
  <si>
    <t>CANULA OROFARINGEA TRANSPARENTE DE 70 mm DE LONGITUD</t>
  </si>
  <si>
    <t>CANULA OROFARINGEA TRANSPARENTE DE 80 mm DE LONGITUD</t>
  </si>
  <si>
    <t>CANULA OROFARINGEA TRANSPARENTE DE 90 mm DE LONGITUD</t>
  </si>
  <si>
    <t>CANULA OROFARINGEA TRANSPARENTE DE 100 mm DE LONGITUD</t>
  </si>
  <si>
    <t>TUBO DE LATEX AMBAR 1/4 X 1/2 X 1/8 PIES</t>
  </si>
  <si>
    <t>MANGUERA VERDE PARA VENTILADOR DE ALTA FRECUENCIA</t>
  </si>
  <si>
    <t>MANGUERA ROJA PARA VENTILADOR DE ALTA FRECUENCIA</t>
  </si>
  <si>
    <t>MANGUERA AZUL PARA VENTILADOR DE ALTA FRECUENCIA</t>
  </si>
  <si>
    <t>MASCARILLA DE ALTA EFICIENCIA CON FILTRO</t>
  </si>
  <si>
    <t>VALVULA DE EXHALACION, L</t>
  </si>
  <si>
    <t>SOSTENEDOR DE TUBO ENDOTRAQUEAL SIN MORDEDERA PARA ADULTO</t>
  </si>
  <si>
    <t>ESPACIADOR DE VOLUMEN DESCARTABLE CON SILBATO (ALARMA), BOQUILLA Y ADAPTADOR A LOS VENTILADORES MECANICOS</t>
  </si>
  <si>
    <t>NEBULIZADOR CON SELECTOR DE CONCENTRACION, CON SISTEMA VENTURI, DE ALTO VOLUMEN, DESCARTABLE</t>
  </si>
  <si>
    <t>SET PARA TOMA DE GASES ARTERIALES QUE CONTENGA: JERINGA DE 3 cc Y AGUJA DE 23 G, HEPARINA DE LITIO, TORUNDA CON ALCOHOL Y YODO, VENDA AUTO ADHESIVA Y CON IDENTIFICACION PARA JERINGA</t>
  </si>
  <si>
    <t>COLLAR PARA AEROSOLES EN PACIENTES CON TRAQUEOTOMIA CON SUJETADOR ELASTICO</t>
  </si>
  <si>
    <t>INSPIROMETRO INCENTIVO CON ADAPTADOR PARA O2  DE FLUJO O DE VOLUMEN, DESCARTABLES.</t>
  </si>
  <si>
    <t>NEBULIZADOR CON MASCARILLA PARA NEONATOS, TODA POSICION</t>
  </si>
  <si>
    <t>NEBULIZADOR CON MASCARILLA MEDIANA PARA ADULTOS, TODA POSICION</t>
  </si>
  <si>
    <t>NEBULIZADOR CON PIEZA "T" DE DOBLE TERMINACION, EXTREMOS DE 15 Y 22 mm PARA ADAPTAR A VENTILADOR MECANICO, CON SU LINEA DE OXIGENO</t>
  </si>
  <si>
    <t>NEBULIZADOR CON BOQUILLA Y LINEA DE OXIGENO</t>
  </si>
  <si>
    <t>TAPADERA DE RECIPIENTE DE DESCARTE</t>
  </si>
  <si>
    <t>CANULA OROFARINGEA TRANSPARENTE DE 40 mm DE LONGITUD</t>
  </si>
  <si>
    <t>CANULA OROFARINGEA TRANSPARENTE DE 50 mm DE LONGITUD</t>
  </si>
  <si>
    <t>PERCUTOR NEONATAL DE GOMA CON ADAPTADORES PLASTICOS</t>
  </si>
  <si>
    <t>MASCARILLA NEONATAL ADAPTABLE A RESUCITADOR MANUAL</t>
  </si>
  <si>
    <t>COLCHON DE HULE DE ESPUMA CON FORRO IMPERMEABLE EN EN MEDIDAS DE 1.0 X 1.2 M X 15 CM.</t>
  </si>
  <si>
    <t>PULMON DE PRUEBA DE 1000 - 2000 mL</t>
  </si>
  <si>
    <t>CONDUCTOR MOLDEABLE PARA TUBOS ENDOTRAQUEALES.</t>
  </si>
  <si>
    <t>ENTRENADOR MUSCULAR INSPIRATORIO</t>
  </si>
  <si>
    <t>DISPOSITIVO DE PRESION POSITIVA ESPIRATORIA OSCILATORIA REUTILIZABLE</t>
  </si>
  <si>
    <t>PERCUTOR PARA ADULTO</t>
  </si>
  <si>
    <t>CONECTOR DIAMOND PARA MANGUERA DE VENTILADOR MECANICO PARA OXIGENO.</t>
  </si>
  <si>
    <t>CONECTOR DIAMOND PARA MANGUERA DE VENTILADOR MECANICO PARA AIRE COMPRIMIDO.</t>
  </si>
  <si>
    <t>CANULA OROFARINGEA TRANSPARENTE DE 30 MM DE LONGITUD</t>
  </si>
  <si>
    <t>CEPILLO PARA LAVAR TUBO CORRUGADO, LARGO 50 - 60 cm, DIAMETRO  2 cm (APROXIMADO)</t>
  </si>
  <si>
    <t>CUELLO CERVICAL PARA ADAPTAR CANULA DE TRAQUEOSTOMIA PARA ADULTO</t>
  </si>
  <si>
    <t>ESPACIADOR DE VOLUMEN CON MASCARILLA NEONATAL</t>
  </si>
  <si>
    <t>ESPACIADOR DE VOLUMEN CON MASCARILLA PEDIATRICA PEQUEÑA</t>
  </si>
  <si>
    <t>ESPACIADOR DE VOLUMEN CON MASCARILLA PEDIATRICA MEDIANA</t>
  </si>
  <si>
    <t>ESPACIADOR DE VOLUMEN CON MASCARILLA PEDIATRICA GRANDE</t>
  </si>
  <si>
    <t>FRASCO NEBULIZADOR DE OXIGENO CON SU RESPECTIVO   CALENTADOR.</t>
  </si>
  <si>
    <t>HUMIDIFICADOR DESCARTABLE CON  RESERVORIO TIPO BURBUJA</t>
  </si>
  <si>
    <t>INSPIROMETRO 600 - 1,200 C.C. DE CAPACIDAD INSPIRATORIA DESCARTABLE</t>
  </si>
  <si>
    <t>MANOMETRO DE PRESION DE BALON DE TUBO ENDOTRAQUEAL O ENDOBRONQUIAL, CON INSUFLADOR</t>
  </si>
  <si>
    <t>MASCARA PARA OXIGENO TIPO VENTURI PARA ADULTO CON LINEA  DE OXIGENO DE 6 -  9 PIES</t>
  </si>
  <si>
    <t xml:space="preserve">MASCARA TRANSPARENTE RESERVORIO Nº 5, CON EXTENSION PARA OXIGENO 1.5 - 2 MT. DE LARGO, CON VALVULA DE CONCENTRACION ALTA DE OXIGENO, DESCARTABLE, ESTERIL </t>
  </si>
  <si>
    <t>MASCARILLA DE POLIPROPILENO # 3, ADAPTABLE A RESUCITADOR MANUAL PARA NIÑOS</t>
  </si>
  <si>
    <t>MASCARILLA DE POLIPROPILENO # 4, ADAPTABLE A RESUCITADOR MANUAL PARA ADULTO</t>
  </si>
  <si>
    <t>MASCARILLA DE POLIPROPILENO # 5, ADAPTABLE A RESUCITADOR MANUAL PARA ADULTO</t>
  </si>
  <si>
    <t>NEBULIZADOR CON MASCARILLA GRANDE</t>
  </si>
  <si>
    <t>NEBULIZADOR CON MASCARILLA INFANTES</t>
  </si>
  <si>
    <t>PIEZA EN "T" DE 14 - 16 mm DE DIAMETRO INTERNO, DESCARTABLE</t>
  </si>
  <si>
    <t>PIEZA EN "T" DE 20 - 22 mm DE DIAMETRO INTERNO, DESCARTABLE</t>
  </si>
  <si>
    <t xml:space="preserve">PULMON DE PRUEBA DE 150 - 300 mL                                                                      </t>
  </si>
  <si>
    <t>RESUCITADOR MANUAL INFANTIL, DE SILICON, TRASPARENTE, CON VALVULA LIMITADORA DE PRESION ADAPTABLE A FUENTE DE OXIGENO, CON SU RESPECTIVA BOLSA RESERVORIO.</t>
  </si>
  <si>
    <t>RESUCITADOR MANUAL PARA ADULTO, DE SILICON, TRASPARENTE, CON VALVULA LIMITADORA DE PRESION, ADAPTABLE A FUENTE DE OXIGENO, CON SU RESPECTIVA BOLSA RESERVORIO Y VALVULA PEEP</t>
  </si>
  <si>
    <t>SISTEMA CERRADO DE ASPIRACION BRONQUIAL # 14, FLEXIBLE, CON INTERRUPTOR, PUNTA REDONDA ATRAUMATICA, ESTERIL, DESCARTABLE</t>
  </si>
  <si>
    <t>NEBULIZADOR CON SELECTOR DE CONCENTRACION, CON SISTEMA VENTURI, DE ALTO VOLUMEN, CON SU RESPECTIVO CALENTADOR</t>
  </si>
  <si>
    <t>FILTRO BACTERIANO PARA NEBULIZADOR ULTRASONICO, COMPATIBLE CON EQUIPO INSTITUCIONAL</t>
  </si>
  <si>
    <t>MEDIDOR DE FLUJO EXPIRATORIO MAXIMO (PEAK FLOW)</t>
  </si>
  <si>
    <t>SISTEMA DE PRESION EXPIRATORIA POSITIVA OSCILANTE PARA HIGIENE BRONQUIAL</t>
  </si>
  <si>
    <t>TUBO CORRUGADO, DE 100 PIES DE LONGITUD, DESCARTABLE</t>
  </si>
  <si>
    <t>VALVULA PEEP UNIVERSAL DE 0 - 20 cm DE AGUA PARA RESUCITADOR MANUAL</t>
  </si>
  <si>
    <t>AMPOLLA DE CALIBRACION SLOPE PARA GASOMETRO SEGÚN MARCA Y MODELO DE EQUIPO INSTITUCIONAL</t>
  </si>
  <si>
    <t>ESPACIADOR DE VOLUMEN PARA ADULTO</t>
  </si>
  <si>
    <t>CANULA NASOFARINGEA DE 4.5 mm, IZQUIERDA, DE PLASTICO TRANSPARENTE, FLEXIBLE, DE UNA VIA</t>
  </si>
  <si>
    <t>CANULA NASOFARINGEA DE 5.5 mm, IZQUIERDA, DE PLASTICO TRANSPARENTE, FLEXIBLE, DE UNA VIA</t>
  </si>
  <si>
    <t>CANULA NASOFARINGEA DE 6 mm, IZQUIERDA, DE PLASTICO TRANSPARENTE, FLEXIBLE, DE UNA VIA</t>
  </si>
  <si>
    <t>MASCARA LARINGEA PRO SEAL #3</t>
  </si>
  <si>
    <t>MASCARA LARINGEA PRO SEAL #4</t>
  </si>
  <si>
    <t>MASCARA LARINGEA PRO SEAL #5</t>
  </si>
  <si>
    <t>MASCARA LARINGEA TIPO FAST TRACK #3, QUE INCLUYA ADAPTADOR, ESPACIADOR Y TUBO</t>
  </si>
  <si>
    <t>MASCARA LARINGEA TIPO FAST TRACK #4, QUE INCLUYA ADAPTADOR, ESPACIADOR Y TUBO</t>
  </si>
  <si>
    <t>MASCARA LARINGEA TIPO FAST TRACK #5, QUE INCLUYA ADAPTADOR, ESPACIADOR Y TUBO</t>
  </si>
  <si>
    <t>SET DE ANESTESIA EPIDURAL Y ANALGESICO QUE CONTENGA: AGUJA TIPO TOUHY 18 Ga X 3 1/4" CON CONEXIÓN LUER LOCK, CATETER 20 Ga X ±100 cm FILTRO PLANO ANTIBACTERIAL, CONECTOR PLASTICO, TRANSPARENTE DE ROSCA Y JERINGA CON PERDIDA DE RESISTENCIA DE 10 ml</t>
  </si>
  <si>
    <t>TUBO ENDOTRAQUEAL ORAL DE 4.5 mm, TRANSPARENTE,  CON OJO MURPHY Y LINEA CENTINELA,  DE MATERIAL RADIOPACO QUE PERMITA CONSERVAR SU CURVATURA</t>
  </si>
  <si>
    <t>TUBO ENDOTRAQUEAL ORAL DE 5.0 mm, TRANSPARENTE,  CON OJO MURPHY Y LINEA CENTINELA,  DE MATERIAL RADIOPACO QUE PERMITA CONSERVAR SU CURVATURA</t>
  </si>
  <si>
    <t>TUBO ENDOTRAQUEAL ORAL DE 5.5 mm, TRANSPARENTE,  CON OJO MURPHY Y LINEA CENTINELA,  DE MATERIAL RADIOPACO QUE PERMITA CONSERVAR SU CURVATURA</t>
  </si>
  <si>
    <t>TUBO ENDOTRAQUEAL, CON ALMA DE ACERO, CON BALON DE ALTO VOLUMEN DE BAJA PRESION DE 7.5 mm</t>
  </si>
  <si>
    <t>TUBO TRAQUEOBRONQUIAL PARA VENTILACION INDEPENDIENTE DERECHO, CON BALON DE BAJA PRESION Y ALTO VOLUMEN, 37 FRENCH, TIPO ROBERTSHOW</t>
  </si>
  <si>
    <t>TUBO TRAQUEOBRONQUIAL PARA VENTILACION INDEPENDIENTE DERECHO, CON BALON DE BAJA PRESION Y ALTO VOLUMEN, 38 FRENCH, TIPO ROBERTSHOW</t>
  </si>
  <si>
    <t>TUBO TRAQUEOBRONQUIAL PARA VENTILACION INDEPENDIENTE IZQUIERDO, CON BALON DE BAJA PRESION Y ALTO VOLUMEN, 37 FRENCH, TIPO ROBERTSHOW</t>
  </si>
  <si>
    <t>TUBO TRAQUEOBRONQUIAL PARA VENTILACION INDEPENDIENTE IZQUIERDO, CON BALON DE BAJA PRESION Y ALTO VOLUMEN, 38 FRENCH, TIPO ROBERTSHOW</t>
  </si>
  <si>
    <t>TUBO TRAQUEOBRONQUIAL PARA VENTILACION INDEPENDIENTE IZQUIERDO, CON BALON DE BAJA PRESION Y ALTO VOLUMEN, 39 FRENCH, TIPO ROBERTSHOW</t>
  </si>
  <si>
    <t>BLOQUEO CONTINUO DE PLEXO CON CATETER 0.45 X 0.85 X 400 mm</t>
  </si>
  <si>
    <t>BOLSA DE HULE PARA ANESTESIA, CAPACIDAD 3 LITROS.</t>
  </si>
  <si>
    <t>CAL SODADA.</t>
  </si>
  <si>
    <t>CANULA NASOFARINGEA DE 4.5 mm, DERECHA, DE PLASTICO TRANSPARENTE, FLEXIBLE, DE UNA VIA</t>
  </si>
  <si>
    <t>CANULA NASOFARINGEA DE 5.5 mm, DERECHA, DE PLASTICO TRANSPARENTE, FLEXIBLE, DE UNA VIA</t>
  </si>
  <si>
    <t>CANULA NASOFARINGEA DE 6 mm, DERECHA, DE PLASTICO TRANSPARENTE, FLEXIBLE, DE UNA VIA</t>
  </si>
  <si>
    <t>REPUESTOS PARA CIRCUITOS DE ANESTESIA JACKSON REES DE 1 LITRO.</t>
  </si>
  <si>
    <t xml:space="preserve">REPUESTOS PARA CIRCUITOS DE ANESTESIA JACKSON REES DE 500 ml </t>
  </si>
  <si>
    <t>SISTEMA LINEAL DE ANESTESIA DE 25 ml</t>
  </si>
  <si>
    <t>SISTEMA LINEAL DE ANESTESIA DE 50 ml</t>
  </si>
  <si>
    <t>TUBO ENDOTRAQUEAL CON ALMA DE ACERO DE 6.0 mm DE DIAMETRO, CON BALON DE ALTO VOLUMEN Y BAJA PRESION</t>
  </si>
  <si>
    <t>TUBO ENDOTRAQUEAL CON ALMA DE ACERO DE 7.0 mm DE DIAMETRO, CON BALON ALTO VOLUMEN Y BAJA PRESION</t>
  </si>
  <si>
    <t>TUBO ENDOTRAQUEAL CON ALMA DE ACERO DE 7.5 mm DE DIAMETRO, CON BALON ALTO VOLUMEN Y BAJA PRESION</t>
  </si>
  <si>
    <t>TUBO ENDOTRAQUEAL CON ALMA DE ACERO DE 8.5 mm DE DIAMETRO, CON BALON DE ALTO VOLUMEN Y BAJA PRESION</t>
  </si>
  <si>
    <t>TUBO ENDOTRAQUEAL ORAL DE 10 mm (#40), TRANSPARENTE,CON BALON DE BAJA PRESION Y ALTO VOLUMEN, CON OJO MURPHY, LINEA CENTINELA, DE MATERIAL QUE PERMITA MANTENER SU CURVATURA.</t>
  </si>
  <si>
    <t>TUBO ENDOTRAQUEAL ORAL DE 2.5 mm, TRANSPARENTE,  CON OJO MURPHY, LINEA CENTINELA E IDENTIFICADOR DE CUERDAS VOCALES,  DE MATERIAL RADIOPACO QUE PERMITA MANTENER SU CURVATURA</t>
  </si>
  <si>
    <t>TUBO ENDOTRAQUEAL ORAL DE 3.0 mm, TRANSPARENTE,  CON OJO MURPHY, LINEA CENTINELA E IDENTIFICADOR DE CUERDAS VOCALES,  DE MATERIAL RADIOPACO QUE PERMITA MANTENER SU CURVATURA</t>
  </si>
  <si>
    <t>TUBO ENDOTRAQUEAL ORAL DE 3.5 mm, TRANSPARENTE,  CON OJO MURPHY, LINEA CENTINELA E IDENTIFICADOR DE CUERDAS VOCALES,  DE MATERIAL RADIOPACO QUE PERMITA MANTENER SU CURVATURA</t>
  </si>
  <si>
    <t>TUBO ENDOTRAQUEAL ORAL DE 4.0 mm, TRANSPARENTE,  CON OJO MURPHY, LINEA CENTINELA E IDENTIFICADOR DE CUERDAS VOCALES,  DE MATERIAL RADIOPACO QUE PERMITA MANTENER SU CURVATURA</t>
  </si>
  <si>
    <t>TUBO ENDOTRAQUEAL ORAL DE 6 mm (#24), TRANSPARENTE, CON BALON DE BAJA PRESION Y ALTO VOLUMEN, CON OJO MURPHY, LINEA CENTINELA, DE MATERIAL QUE PERMITA MANTENER SU CURVATURA.</t>
  </si>
  <si>
    <t>TUBO ENDOTRAQUEAL ORAL DE 6.5 mm (#26), TRANSPARENTE, CON BALON DE BAJA PRESION Y ALTO VOLUMEN, CON OJO MURPHY, LINEA CENTINELA, DE MATERIAL QUE PERMITA MANTENER SU CURVATURA.</t>
  </si>
  <si>
    <t>TUBO ENDOTRAQUEAL ORAL DE 7 mm (#28), TRANSPARENTE, CON BALON DE BAJA PRESION Y ALTO VOLUMEN, CON OJO MURPHY, LINEA CENTINELA, DE MATERIAL QUE PERMITA MANTENER SU CURVATURA.</t>
  </si>
  <si>
    <t>TUBO ENDOTRAQUEAL ORAL DE 7.5 mm (#30), TRANSPARENTE, CON BALON DE BAJA PRESION Y ALTO VOLUMEN, CON OJO MURPHY, LINEA CENTINELA, DE MATERIAL QUE PERMITA MANTENER SU CURVATURA.</t>
  </si>
  <si>
    <t>TUBO ENDOTRAQUEAL ORAL DE 8 mm (#32), TRANSPARENTE, CON BALON DE BAJA PRESION Y ALTO VOLUMEN, CON OJO MURPHY, LINEA CENTINELA, DE MATERIAL QUE PERMITA MANTENER SU CURVATURA.</t>
  </si>
  <si>
    <t>TUBO ENDOTRAQUEAL ORAL DE 8.5 mm (#34), TRANSPARENTE, CON BALON DE BAJA PRESION Y ALTO VOLUMEN, CON OJO MURPHY, LINEA CENTINELA, DE MATERIAL QUE PERMITA MANTENER SU CURVATURA.</t>
  </si>
  <si>
    <t>TUBO ENDOTRAQUEAL ORAL DE 9 mm (#36), TRANSPARENTE, CON BALON DE BAJA PRESION Y ALTO VOLUMEN, CON OJO MURPHY, LINEA CENTINELA, DE MATERIAL QUE PERMITA MANTENER SU CURVATURA.</t>
  </si>
  <si>
    <t>TUBO ENDOTRAQUEAL ORAL DE 9.5 mm (#38), TRANSPARENTE,CON BALON DE BAJA PRESION Y ALTO VOLUMEN, CON OJO MURPHY, LINEA CENTINELA, DE MATERIAL QUE PERMITA CONTENER SU CURVATURA.</t>
  </si>
  <si>
    <t>TUBO TRAQUEOBRONQUIAL PARA VENTILACION INDEPENDIENTE DERECHO, CON BALON DE BAJA PRESION Y ALTO VOLUMEN, 39 FRENCH, TIPO ROBERTSHOW</t>
  </si>
  <si>
    <t xml:space="preserve">SET TUBOS CORRUGADOS CON FILTRO, MASCARA, BOLSA DE 3 LITROS Y CODO PARA MAQUINA DE ANESTESIA </t>
  </si>
  <si>
    <t>TUBO ENDOTRAQUEAL, CON ALMA DE ACERO, CON BALON DE ALTO VOLUMEN Y BAJA PRESION DE 5 mm</t>
  </si>
  <si>
    <t>TUBO ENDOTRAQUEAL, CON ALMA DE ACERO, CON BALON DE ALTO VOLUMEN Y BAJA PRESION DE 8 mm</t>
  </si>
  <si>
    <t>CODO PARA CAPNOGRAFO</t>
  </si>
  <si>
    <t>ADAPTADORES NASALES TALLA "M" (2) PARA PROCEDIMIENTOS DE RINOMETRIA</t>
  </si>
  <si>
    <t>ATOMIZADOR PARA APLICAR MEDICAMENTO DURANTE PLEUROSCOPIA</t>
  </si>
  <si>
    <t>BOQUILLA DESCARTABLE PARA ESPIROMETRO PARA MARCA Y MODELO DE USO INSTITUCIONAL</t>
  </si>
  <si>
    <t>CEPILLO DESCARTABLE PEDIATRICO PARA CEPILLADO BRONQUIAL # 51</t>
  </si>
  <si>
    <t>SET DE CEPILLOS PARA CITOLOGIA, PARA FIBROBRONCOSCOPIO CON CANAL DE TRABAJO DE 2 mm</t>
  </si>
  <si>
    <t>FOCO PARA LAMPARA CIELITICA 120  VOLTIOS</t>
  </si>
  <si>
    <t>BOLSA DE PAPEL MANILA SIN CLIP, MEDIDAS  1</t>
  </si>
  <si>
    <t>LIBRETA DE PAPEL PERIODICO TAMAÑO OFICIO</t>
  </si>
  <si>
    <t>LIBRETA DE PAPEL PERIODICO TAMAÑO CARTA</t>
  </si>
  <si>
    <t>PAPEL BOND BLANCO MEMBRETADO A UNA TINTA TAMAÑO OFICIO</t>
  </si>
  <si>
    <t>DESINFECTANTE CONCENTRADO DE TRIPLE ACCION, CON AROMATIZANTE</t>
  </si>
  <si>
    <t>DESOD. PARA INOD., CON SUJETADOR, DE V. FRAG., P/ COLOCAR EN TAZA O TANQUE</t>
  </si>
  <si>
    <t xml:space="preserve">DET. EN POLVO, TIPO INDUST. INOD., SOLUBLE, ESP., C/ PODER DESENGRAS.  </t>
  </si>
  <si>
    <t>LIBRA</t>
  </si>
  <si>
    <t>JABON DE TOCADOR, PASTILLA DE 1 ONZA</t>
  </si>
  <si>
    <t>JABON P/ DISPENS. DE SERVICIOS SANITARIOS,LIQUIDO, AROMATIZADO (PARA MANOS)</t>
  </si>
  <si>
    <t xml:space="preserve">CEPILLO OVALADO, LARGO APROX. DE 18 A 20 CMS.CON FIBRA SINTETICA RESISTENTE,  </t>
  </si>
  <si>
    <t xml:space="preserve">CEPILLO MANGO CORTO, MEDIDA APROX. 30 CM. CONFIBRA SINTETICA , </t>
  </si>
  <si>
    <t>ESCOBA DE FIBRA NATURAL, CON UN MINIMO DE CUATRO AMARRES</t>
  </si>
  <si>
    <t>ESCOBA DE FIBRA SINTETICA, TIPO CEPILLO</t>
  </si>
  <si>
    <t>MASCON DE FIBRA SINTETICA, PARA FREGAR TRASTOS</t>
  </si>
  <si>
    <t xml:space="preserve">PALO P/ TRAPEADOR, METALICO, DE 1.5 MTS. LARGO,CON SOPORTE RESISTENTE </t>
  </si>
  <si>
    <t xml:space="preserve">TRAPEADORES DE TELA ABSORB., DOBLE TELA Y AGUJERO REFORZADO, </t>
  </si>
  <si>
    <t>VASO DE DURAPAX DE 6 ONZAS</t>
  </si>
  <si>
    <t>TRAPEADOR DE MECHA COMPLETO PALO Y MECHA</t>
  </si>
  <si>
    <t>TRAPEADOR DE MOPA COMPLETO PALO Y MOPA</t>
  </si>
  <si>
    <t xml:space="preserve">JABON PARA DISPENSADOR LIQUIDO </t>
  </si>
  <si>
    <t>PAÑALES DESECHABLES DIFERENTES TALLAS</t>
  </si>
  <si>
    <t>PELICULA PARA FAX PANASONIC KX-FHD 351</t>
  </si>
  <si>
    <t>CARTERON DE CUERO</t>
  </si>
  <si>
    <t>LAMPARA DE MANO, SIN BATERIA, CAPACIDAD 2 BATERIAS</t>
  </si>
  <si>
    <t>PILA MEDIANA 1 LP.,C/U.</t>
  </si>
  <si>
    <t>PILA PARA LAMPARA DE MANO 2 LP.</t>
  </si>
  <si>
    <t>PILA PARA TRANSISTORES DE 7 R</t>
  </si>
  <si>
    <t>DISKETTES VARIOS TIPOS Y MEDIDAS</t>
  </si>
  <si>
    <t>DESODORANTE PURIFICADOR EN SPRAY,PARA USO HOSPITALARIO.</t>
  </si>
  <si>
    <t>CERA LIQUIDA INDUSTRIAL ANTIDESLIZANTE,PARA PISOS.</t>
  </si>
  <si>
    <t>CINTA PARA IMPRESOR ESPECIAL DE VIÑETAS</t>
  </si>
  <si>
    <t>UN</t>
  </si>
  <si>
    <t>PILA DE DIFERENTES TAMAÑOS Y CAPACIDADES</t>
  </si>
  <si>
    <t>PLUMONES DE AGUA PARA ESCRIBIR EN PIZARRA VARIAS MARCAS Y COLORES.,C/U.</t>
  </si>
  <si>
    <t>PAPEL PARA FAX DE 30MTS</t>
  </si>
  <si>
    <t>BOLSA PAPEL MANILA SIN CLIP MEDIDA 1</t>
  </si>
  <si>
    <t>GARRAFON PLASTICO CAPACIDAD 1 GALON</t>
  </si>
  <si>
    <t>POST IT 653</t>
  </si>
  <si>
    <t>PAPEL FORMULA CONTINUA DE 3 PARTES</t>
  </si>
  <si>
    <t>PILA DE 9 VOLTIOS.</t>
  </si>
  <si>
    <t>BATERIA 3 AAA ( TRIPLE "A" ).</t>
  </si>
  <si>
    <t>RASTRILLO METALICO PARA JARDINERIA.</t>
  </si>
  <si>
    <t>FORMULA CONTINUA "HOJA DE EMERGENCIA" MEDIDAS DE-91/2 X 11" EN UNA PARTE.</t>
  </si>
  <si>
    <t>CD'S EN BLANCO P. LECTURA Y ESCRIT. V. MARCAS Y MOD. (CD-R SOLO SE GRABA 1 VEZ)</t>
  </si>
  <si>
    <t>INSECTICIDA ADULTICIDA PIRETROIDE</t>
  </si>
  <si>
    <t>BOLSA PLASTICA LECHOSA 14X20</t>
  </si>
  <si>
    <t>DISCO LASER TIPO CD-RW REGRABABLE</t>
  </si>
  <si>
    <t>INSECTICIDA LARVACIDA ORGANO FOSFORADO  AL 1%</t>
  </si>
  <si>
    <t>KILOG</t>
  </si>
  <si>
    <t>PILA DE 1.5 V ALCALINA "AAA"</t>
  </si>
  <si>
    <t>BOLSA  DE PAPEL  MANILA  S / N  CLIP  DE 10*X15</t>
  </si>
  <si>
    <t>BOLSA DE PAPEL MANILA CON CLIP, MEDIDAS 10" X 15"</t>
  </si>
  <si>
    <t>BOLSA DE PAPEL MANILA C/CLIP 7"X10"</t>
  </si>
  <si>
    <t>BOLSA DE PAPEL MANILA S/CLIP 10"X15"</t>
  </si>
  <si>
    <t>BOLSA DE PAPEL MANILA SIN CLIP, MEDIDAS 10" X 13"</t>
  </si>
  <si>
    <t>SOBRE BLANCO SIN MEMBRETE TAMAÑO CARTA DE PAPEL BOND</t>
  </si>
  <si>
    <t>SOBRE BLANCO SIN MEMBRETE TAMAÑO OFICIO DE PAPEL BOND</t>
  </si>
  <si>
    <t>SOBRE DE MANILA CON IMPRECION SEGÚN MUESTRA PARA SERVICIO DE CARDIOLOGIA</t>
  </si>
  <si>
    <t>BOLIGRAFOS DESECHABLES COLOR AZUL</t>
  </si>
  <si>
    <t>BOLIGRAFOS DESECHABLES COLOR NEGRO</t>
  </si>
  <si>
    <t>BOLIGRAFOS DESECHABLES COLOR ROJO</t>
  </si>
  <si>
    <t>BOLIGRAFO  DESECHABLE  COLOR  VERDE</t>
  </si>
  <si>
    <t>BORRADOR PARA PIZARRA</t>
  </si>
  <si>
    <t>BORRADOR SUAVE PARA LAPIZ</t>
  </si>
  <si>
    <t>BORRADOR TIPO LAPIZ PARA TINTA</t>
  </si>
  <si>
    <t>CINTA BICOLOR PARA CALCULADORA</t>
  </si>
  <si>
    <t>CINTA BICOLOR PARA MAQUINA DE ESCRIBIR NO ELECTRICA</t>
  </si>
  <si>
    <t xml:space="preserve">CINTA CORRECTORA P/ MAQUINA DE ESCRIBIR ELECTRICA </t>
  </si>
  <si>
    <t>CINTA METRICA AHULADA.,C/U.</t>
  </si>
  <si>
    <t xml:space="preserve">CINTA PARA  MAQUINA DE ESCRIBIR ELÉCTRICA  </t>
  </si>
  <si>
    <t>CORRECTOR LIQUIDO COLOR BLANCO, PARA PAPEL</t>
  </si>
  <si>
    <t>CORRECTOR PARA MAQUINA DE ESCRIBIR, TIPO LIBRETA</t>
  </si>
  <si>
    <t>FECHADOR DE HULE.</t>
  </si>
  <si>
    <t>FECHADORES DE HULE, MEDIDAS 1 1/2" X 1 3/4"</t>
  </si>
  <si>
    <t>FECHADORES DE HULE, MEDIDAS 1 1/2" X 1"</t>
  </si>
  <si>
    <t>NUMERADORA AUTOMATICA STANDARD</t>
  </si>
  <si>
    <t>LAPIZ BICOLOR, ROJO Y AZUL.</t>
  </si>
  <si>
    <t>LAPIZ DE GRASO, COLOR AZUL</t>
  </si>
  <si>
    <t>LAPIZ DE GRASO, COLOR ROJO</t>
  </si>
  <si>
    <t>LAPIZ NEGRO CON BORRADOR CORRIENTE</t>
  </si>
  <si>
    <t>PEGAMENTO LIQUIDO PARA PAPEL</t>
  </si>
  <si>
    <t>PEGAMENTO PARA FORMAR BLOCK DE PAPEL</t>
  </si>
  <si>
    <t>PLUMON PUNTO GRUESO COLOR AZUL</t>
  </si>
  <si>
    <t>PLUMON PUNTO GRUESO COLOR NEGRO</t>
  </si>
  <si>
    <t>PLUMON PUNTO GRUESO COLOR ROJO</t>
  </si>
  <si>
    <t>PLUMON PUNTO GRUESO COLOR VERDE</t>
  </si>
  <si>
    <t>PLUMONES FLUORESCENTES VARIOS COLORES.,C/U.</t>
  </si>
  <si>
    <t>TINTA PARA ALMOHADILLA (VARIOS COLORES)</t>
  </si>
  <si>
    <t>TINTA  P/NUMERA Y SELLO METALICO</t>
  </si>
  <si>
    <t>YESO DE COLORES</t>
  </si>
  <si>
    <t>ALMOHADILLA PARA SELLO DE HULE, MEDIDAS 4 1/2" X3 1/2", EN CAJA METALICA.</t>
  </si>
  <si>
    <t>ALMOHADILLA PARA SELLO DE HULE, 6"X31/2"</t>
  </si>
  <si>
    <t>ETIQUETAS SELLO TAPE DE COLOR</t>
  </si>
  <si>
    <t>POST IT NO. R-330 AUTOADHESIVO</t>
  </si>
  <si>
    <t>VIÑETAS PARA IMPRESIÓN</t>
  </si>
  <si>
    <t>CARTULINA BRISTOL CORR., BASE 200 GR., PLIEGODE 25 1/2" X 30 1/2", COLOR BLANCO</t>
  </si>
  <si>
    <t>CARTULINA BRISTOL CORR., BASE 200 GR., PLIEGODE 25 1/2" X 30 1/2", COLOR AMARILLA</t>
  </si>
  <si>
    <t>CARTULINA BRISTOL  CORRIENTE., BASE 200 GR., PLIEGODE 25 1/2" X 30 1/2", COLOR ROSADO</t>
  </si>
  <si>
    <t>CARTULINA BRISTOL CTE., BASE 200 GR., PLIEGODE 25 1/2" X 30 1/2", COLOR VERDE</t>
  </si>
  <si>
    <t>CARTULINA BRISTOL CORRIENTE, BASE 200 GR., PLIEGO 25 1/2" X 30 1/2", COL. CELESTE</t>
  </si>
  <si>
    <t>PAPEL BOND BLANCO B-20 DE 26"X34"</t>
  </si>
  <si>
    <t>PLIEGOS</t>
  </si>
  <si>
    <t>PAPEL PERIODICO, PLIEGO DE 26" X 34"</t>
  </si>
  <si>
    <t>PAPEL CRAFT, PLIEGO DE 26" X 34"</t>
  </si>
  <si>
    <t xml:space="preserve">CARTON GRIS BASE 80 PLIEGO DE 30 PULGADAS </t>
  </si>
  <si>
    <t>ARCHIVADOR DE PALANCA, TAMAÑO OFICIO</t>
  </si>
  <si>
    <t>BANDAS DE HULE, EN CAJAS DE 100 UNIDADES</t>
  </si>
  <si>
    <t>CAJAS DE CARTON DE 5 LITROS</t>
  </si>
  <si>
    <t>CARPETA COLGANTE TAMAÑO OFICIO, PARA ARCHIVADOR</t>
  </si>
  <si>
    <t>CARTAPACIO DE CARTULINA MANILA, CON GUSANO,TAMAÑO OFICIO TROQUELADO.</t>
  </si>
  <si>
    <t>CARTAPACIO DE CARTULINA MANILA, SIN GUSANO, TAMAÑO CARTA</t>
  </si>
  <si>
    <t>CARTAPACIO DE CARTULINA MANILA, SIN GUSANO, TAMAÑO OFICIO</t>
  </si>
  <si>
    <t>CINTA ADHESIVA DE 2" ANCHO X 60 YARDAS PARA SELLAR CAJAS</t>
  </si>
  <si>
    <t>CINTA ADHESIVA TRANSP., DE 3/4" ANCHO Y 36 YARDAS DE LARGO APROXIMADAMENTE</t>
  </si>
  <si>
    <t>CINTA DE PAPEL ENGOMADO, DE 2 1/2" ANCHO X 200 YARDAS DE LARGO APROX.</t>
  </si>
  <si>
    <t>CLAMP NO. 1 (TIPO MARIPOSA)</t>
  </si>
  <si>
    <t>CLIP NO. 1, LARGO APROXIMADO 32 MM.</t>
  </si>
  <si>
    <t>CLIP NO. 3, LARGO APROXIMADO 20 MM.</t>
  </si>
  <si>
    <t>CLIP TIPO JUMBO, LARGO APROXIMADO 50 MM.</t>
  </si>
  <si>
    <t>REGLA DE PLASTICO, GRADUADA CON ESCALA DE 12" Y 30 CM.</t>
  </si>
  <si>
    <t>DESENGRAPADOR METALICO</t>
  </si>
  <si>
    <t>FASTENER DE 8 CM.</t>
  </si>
  <si>
    <t>GRAPAS DE MEDIDA STANDARD</t>
  </si>
  <si>
    <t>GRAPAS TIPO PESADO</t>
  </si>
  <si>
    <t xml:space="preserve">MARCO METALICO PARA ARCHIVADOR </t>
  </si>
  <si>
    <t>ROLLOS DE TIRRO.</t>
  </si>
  <si>
    <t>PAPEL BOND BLANCO PARA CONTOMETRO, DE 2 1/4"</t>
  </si>
  <si>
    <t>PAPEL BOND BLANCO PARA FOTOCOPIADORA TAMAÑO CARTA</t>
  </si>
  <si>
    <t>PAPEL BOND BLANCO PARA FOTOCOPIADORA TAMAÑO OFICIO</t>
  </si>
  <si>
    <t>PAPEL CARBON PARA LAPIZ</t>
  </si>
  <si>
    <t>PAPEL CARBON PARA MAQUINA DE ESCRIBIR, TAMAÑO OFICIO.</t>
  </si>
  <si>
    <t>PAPEL PARA FAXCIMIL</t>
  </si>
  <si>
    <t>PAPEL PARA IMPRESOR TMU DE 3 DE ANCHO LONGIT. EN PAPEL BOND BASE 20</t>
  </si>
  <si>
    <t>ACETATO PARA COMPUTADORA</t>
  </si>
  <si>
    <t>ACETATO PARA FOTOCOPIADORA</t>
  </si>
  <si>
    <t>ALMOHADILLA MOJA DEDOS</t>
  </si>
  <si>
    <t>ENGRAPADORA METALICA, PARA GRAPA TAMAÑO STANDARD</t>
  </si>
  <si>
    <t>GLICERINE MOJA DEDOS</t>
  </si>
  <si>
    <t>PAPELERA METALICA DE 3 COMPARTIMIENTOS PARA ESCRITORIO</t>
  </si>
  <si>
    <t>PERFORADORA METALICA DE DOS AGUJEROS DE SEPARACION</t>
  </si>
  <si>
    <t>PERFORADORA METALICA DE DOS AGUJEROS DE SEPARACIONPARA USO PESADO</t>
  </si>
  <si>
    <t>PRENSA PAPELES N0 .40 DE 7 A 8CMS. DE ANCHO</t>
  </si>
  <si>
    <t>SACAPUNTAS DE PARED CON DIAL DE VARIAS MEDIDAS</t>
  </si>
  <si>
    <t>TIJERAS METALICAS (VARIAS MEDIDAS).,C/U.</t>
  </si>
  <si>
    <t>FORMULA CONTINUA 9 1/2"X11" EN UNA PARTE BASE 20</t>
  </si>
  <si>
    <t>FORMULA CONTINUA DE 4 PARTES 9 1/2 X 11"</t>
  </si>
  <si>
    <t>FORMULA CONTINUA EN DOS PARTES 9 1/2 X 11".</t>
  </si>
  <si>
    <t>FORMULA CONTINUA EN TRES  PARTES 9  1/2 X11</t>
  </si>
  <si>
    <t>FORMULA CONTINUA EN UNA PARTE MEDIDA 9½"X11"BASE 20 DE 3 DESPRENDIB.PARA LABORATORIO</t>
  </si>
  <si>
    <t>FORMULARIO "CONTROL DE RECEPIONES" EN UNA PARTE 9 1/2" X 11 PAPEL BOND BLCO. B-20 PARA EMERGENCIAS</t>
  </si>
  <si>
    <t>LIBRETA PARA TOMA DE DICTADOS</t>
  </si>
  <si>
    <t>LIBRO CON PAGINAS RAYADAS DE 500 HOJAS</t>
  </si>
  <si>
    <t>ORDER  BOOK TAMAÑO OFICIO</t>
  </si>
  <si>
    <t>ABRILLANTADOR PARA PISO ANTI-DESLIZANTE.</t>
  </si>
  <si>
    <t>GALON.</t>
  </si>
  <si>
    <t>BALDE PLASTICO CON AGARRADERO METALICO, ALTURA APROXIMADA DE 30 CMS.</t>
  </si>
  <si>
    <t xml:space="preserve">DETERGENTE  LIMPIADOR  ENPOLVO </t>
  </si>
  <si>
    <t>FRASC</t>
  </si>
  <si>
    <t>LIMPIADOR DE AZULEJOS.</t>
  </si>
  <si>
    <t>PALA PLASTICA DE APROX. 28 CMS. ANCHO, CON MANGO APROX. 1 M. LARGO, P/  BASURA</t>
  </si>
  <si>
    <t>PALO PARA MOPA</t>
  </si>
  <si>
    <t>TRAPEADORES DE MOPA</t>
  </si>
  <si>
    <t>VENTOSA DE HULE DIAMETRO APROX. 10CM P/DESTAPAR LAVAMANOS</t>
  </si>
  <si>
    <t>VENTOSA DE HULE DIAMETRO APROX. 15 CM P/DESTAPAR HINODORO</t>
  </si>
  <si>
    <t xml:space="preserve">C/U </t>
  </si>
  <si>
    <t>FRANELA LISA, VARIOS COLORES</t>
  </si>
  <si>
    <t>HIPOCLORITO DE SODIO</t>
  </si>
  <si>
    <t>DETERGENTE EN POLVO</t>
  </si>
  <si>
    <t>DISPENSADOR PARA CONOS</t>
  </si>
  <si>
    <t>TRAPEADOR DE TELA ABSORBENTE DOBLE TELA</t>
  </si>
  <si>
    <t>GUANTE DE HULE LISO PARA HOGAR; PAR</t>
  </si>
  <si>
    <t>VASO CONICO DE 4 ONZAS, PARA AGUA</t>
  </si>
  <si>
    <t>BATON</t>
  </si>
  <si>
    <t>VASO PARAFINADO DE 4 ONZAS</t>
  </si>
  <si>
    <t>VASO PLASTICO DESECHABLE DE 5 ONZAS</t>
  </si>
  <si>
    <t>VASO PLASTICO DE PLASTICO DESECHABLE DE 5 ONZAS</t>
  </si>
  <si>
    <t>BOLSA GRANDE NEGRA DE 34 X 52 PULGADAS</t>
  </si>
  <si>
    <t xml:space="preserve">BOLSA PLASTICA PARA RECOLECTAR BASURA, C. NEGRO, MEDIANA  APROX. 0.70 MT </t>
  </si>
  <si>
    <t>BOLSA PLASTICA, MEDIDA APROX. : ALTO 31 CM.ANCHO 20 CM. Y FUELLE LATERAL DE 6 CM.PARA DESPACHO DE MEDICAMENTO</t>
  </si>
  <si>
    <t>BOLSA PLASTICA TRANSPARENTE DE 5 LIBRAS 20X15CM</t>
  </si>
  <si>
    <t>BOLSA PLASTICA MEDIANA COLOR ROJO PARA RECOLETARBASURA 200 GG.</t>
  </si>
  <si>
    <t>BOLSA PLASTICA 5X8</t>
  </si>
  <si>
    <t>BOLSA PLAST. 14X20</t>
  </si>
  <si>
    <t>BOLSA PLASTICA GRANDE COLOR ROJO PARA RECOLECTAR BASURA.</t>
  </si>
  <si>
    <t xml:space="preserve">CAJA No. 1 CARTONCILLO BLANCO </t>
  </si>
  <si>
    <t xml:space="preserve">CAJA No. 2 CARTONCILLO BLANCO </t>
  </si>
  <si>
    <t>CAJA No. 3 CARTONCILLO BLANCO</t>
  </si>
  <si>
    <t>DYPER DESECHABLE PARA LACTANTE.</t>
  </si>
  <si>
    <t>TOALLAS DE PAPEL DESECHABLES</t>
  </si>
  <si>
    <t>ROL</t>
  </si>
  <si>
    <t>MAQUINA PARA AFEITAR DESECHABLE</t>
  </si>
  <si>
    <t>PAÑUELOS DESECHABLES</t>
  </si>
  <si>
    <t>PAPEL HIGIENICO</t>
  </si>
  <si>
    <t>SERVILLETAS CORRIENTES</t>
  </si>
  <si>
    <t>PAQUET</t>
  </si>
  <si>
    <t>TOALLA DESECHABLE INTERFOLIADA.</t>
  </si>
  <si>
    <t>PAPEL HIGIENICO JUMBO ROLL PARA DISPENSADORES</t>
  </si>
  <si>
    <t>PAPEL BOBINA PARA CANAPE</t>
  </si>
  <si>
    <t>KIT DE PROTECCION PERSONAL MEDIUM</t>
  </si>
  <si>
    <t>FRASCO POLIETILENO O PVC TRANS CAPA 4 OZ</t>
  </si>
  <si>
    <t>TOALLA DE PAPEL INTERFOLIADA (PAQUETE)</t>
  </si>
  <si>
    <t>FRASCO VIDRIO DE 4 ONZAS</t>
  </si>
  <si>
    <t>TONER PARA IMPRESOR LEXMARK E -320</t>
  </si>
  <si>
    <t>TONER PARA IMPRESOR LEXMAR MODELO 232 ORIGINAL</t>
  </si>
  <si>
    <t>TONER PARA IMPRESOR XEROX PHASER  3110</t>
  </si>
  <si>
    <t>CINTA PARA IMPRESOR "EPSON",C/U FX 850</t>
  </si>
  <si>
    <t>CINTA PARA IMPRESOR "EPSON",C/U FX 1180</t>
  </si>
  <si>
    <t>CINTA PARA IMPRESOR EPSON FX1180 MOD.981A</t>
  </si>
  <si>
    <t>CINTA  PARA IMPRESORA EPSON 8750-DP</t>
  </si>
  <si>
    <t>CINTA PARA IMPRESORA EPSON LX-300</t>
  </si>
  <si>
    <t>CINTA PARA IMPRESOR MATRICIAL  EPSON FX-2190 MODELO S015335</t>
  </si>
  <si>
    <t>CINTAS EPSON PURPURA TM ERC -38 ORIGINAL</t>
  </si>
  <si>
    <t>CINTA EPSON PURPURA TM ER-38 ORIGINAL</t>
  </si>
  <si>
    <t>TONER PARA IMPRESOR MARCA LEXMARK MODELO E-120</t>
  </si>
  <si>
    <t>BOLSA PLASTICA VARIA ME Y COL.</t>
  </si>
  <si>
    <t>BATERIA CR 2032 3V DE SERV. DE EMERGENCIA</t>
  </si>
  <si>
    <t>KIT PARA MEDICION DE CLORO LIBRE EN AGUA</t>
  </si>
  <si>
    <t>CLAVO ENDOMEDULAR BLOQUEADO</t>
  </si>
  <si>
    <t>CILINDRO DE GAS CALIBRACION, NIVEL BAJO, CO2 5%, 12% O2, BALANCE N2</t>
  </si>
  <si>
    <t xml:space="preserve">CILINDRO DE GAS DE CALIBRACION, NIVEL ALTO, CO2 0.266 %, He 9.26% </t>
  </si>
  <si>
    <t>CILINDRO DE GAS DE CALIBRACION, NIVEL MEDIO, TIPO E. P. O2 21%, BALANCE N2</t>
  </si>
  <si>
    <t>AUTORIZACION DE PERMISO SALIDA DE OFICINA</t>
  </si>
  <si>
    <t>AUTORIZACION PARA RETIRO Y/O COBRO DE SUBSIDIO. FORM.153-81-129.,BLOCK</t>
  </si>
  <si>
    <t>DESC</t>
  </si>
  <si>
    <t>AVISO DE ACCIDENTE DE TRABAJO. FORM.153-74*-01., BLOCK</t>
  </si>
  <si>
    <t>BOLETIN DE REMISION. FORM. 023-74-05.,BLOCK</t>
  </si>
  <si>
    <t>CONSTANCIA DE 12 SEMANAS</t>
  </si>
  <si>
    <t>CONTRASEÑA RECLAMO ORDEN DE PAGO.*FORM. 153-80-13. ,TARJETA</t>
  </si>
  <si>
    <t>TARJ</t>
  </si>
  <si>
    <t>CONTROL DE TRANSPORTE,FORM.214-91-002.</t>
  </si>
  <si>
    <t>DESCA</t>
  </si>
  <si>
    <t>FICHA DE CONTROL PARA INVENTARIOS. FORM.PROV.75003 ,TARJETA</t>
  </si>
  <si>
    <t>TARJETA</t>
  </si>
  <si>
    <t>HOJA DE CONTROL DE LLAMADAS TELEFONICAS.   FORM.M-70055.,BLOCK</t>
  </si>
  <si>
    <t>CONSTANCIA DE RETIRO POR MATERNIDAD. FORM.400-87-0 05,BLOCK</t>
  </si>
  <si>
    <t>MARBETE PARA CONTROL DE EXISTENCIAS EN ALMACENES.  FORM.100-79-18.,TARJETA</t>
  </si>
  <si>
    <t>TARJET</t>
  </si>
  <si>
    <t>MEMORANDUM. FORM. # G-54004.,BLOCK</t>
  </si>
  <si>
    <t>ORDEN PARA PAGO DE VIATICOS</t>
  </si>
  <si>
    <t>PROPUESTA DE NOMBRAMIENTO  FORM.022-90-008,BLOCK</t>
  </si>
  <si>
    <t>RECIBO DE INGRESO COPIA</t>
  </si>
  <si>
    <t xml:space="preserve">AUTORIZACION- COMPROMISO RECONOCIMIENTO DE OBLIG. Y PROPUESTA DE PAGO </t>
  </si>
  <si>
    <t xml:space="preserve">ANEXO AUTORIZ. - COMPROMISO RECONOCIMIENTO  DE OBLIG. Y PROPUESTA DE PAGO </t>
  </si>
  <si>
    <t>RESUMEN DE CONSUMOS. FORM.035-90-006,BLOCK</t>
  </si>
  <si>
    <t>SOLICITUD DE LICENCIA. FORM. 011-81-149.,BLOCK</t>
  </si>
  <si>
    <t>SOLICITUD PARA TRABAJAR EN TIEMPO EXTRAORDINARIO.  FORM. 041-76-01.,BLOCK</t>
  </si>
  <si>
    <t xml:space="preserve"> TRANSFERENCIA  DE  MOBILIARIO  Y EQUIPO ENTRE DEPENDENCIA</t>
  </si>
  <si>
    <t>VALE DE CONSUMO. FORM.PROV.70003.,BLOCK</t>
  </si>
  <si>
    <t>SOLICITUD DE SERVICIO - ORDEN DE*TRABAJO. FORM.16 1-85-002.,BLOCK</t>
  </si>
  <si>
    <t>CONTROL DE TIEMPO PARA EL REINTEGRO DEL FONDO CIRCIRCULANTE Y CAJA CHICA</t>
  </si>
  <si>
    <t>REPORTE DE PRODUCTOS CON DEFECTO DE CALIDAD, FORM. 230002-94001.</t>
  </si>
  <si>
    <t xml:space="preserve">CONTROL  DE  DESPACHO DE COMBUSTIBLE </t>
  </si>
  <si>
    <t>AUTORIZACION PARA TRATAMIENTO Y/O INTERVENCION QUI RURGICA</t>
  </si>
  <si>
    <t>BACTERIOLOGIA ANTIBIOGRAMA. FORM.*749-80-26.,BLOCK</t>
  </si>
  <si>
    <t>BACTERIOLOGIA DE ACIDO RESISTENTE. FORM. M-72020., BLOCK</t>
  </si>
  <si>
    <t>BALANCE DE LIQUIDOS. FORM. M-59004.,BLOCK</t>
  </si>
  <si>
    <t>BOLETA PARA PRESTAMO DE PLACAS DE RAYOS "X". FORM. M-69018.,BLOCK</t>
  </si>
  <si>
    <t>CARATULA PARA EXPEDIENTE CLINICO,COLOR AMARILLO.FORM. M-74018.</t>
  </si>
  <si>
    <t>CARATULA PARA EXPEDIENTE CLINICO,COLOR CELESTE.F ORM.M-74018.</t>
  </si>
  <si>
    <t xml:space="preserve">CARNET CONTROL DE VACUNACION  (VACUNA TOXOIDE TETANICA) </t>
  </si>
  <si>
    <t xml:space="preserve">CERTIFICADO DE INCAPACIDAD TEMPORAL (GENERA SUBSIDIOS) </t>
  </si>
  <si>
    <t xml:space="preserve">CERTIFICADO DE INCAPACIDAD TEMPORAL (NO GENERA SUBSIDIOS) </t>
  </si>
  <si>
    <t>CONTESTACION DE EXAMEN DE HEMATOLOGIA.</t>
  </si>
  <si>
    <t>CONTESTACION DE EXAMEN DE HECES. FORM.M-54023 REV. 66.,BLOCK</t>
  </si>
  <si>
    <t>CONTESTACION DE EXAMENES DIVERSOS. FORM. M-54022., BLOCK</t>
  </si>
  <si>
    <t xml:space="preserve">CONTESTACION DE EXAMEN GENERAL  DE  ORINA.   </t>
  </si>
  <si>
    <t>SOLICITUD - RESPUESTA DE EXAMEN RADIOLOGICO,FORM.  553-88-006</t>
  </si>
  <si>
    <t>CONTESTACION DE EXAMEN DE INMUNOLOGIA.FORM.749-80- 32.,BLOCK</t>
  </si>
  <si>
    <t>CONTROL DE CITA MEDICA</t>
  </si>
  <si>
    <t xml:space="preserve">CONTROL DE CONTESTACION DE EXAMEN DE LABORATORIO.  </t>
  </si>
  <si>
    <t>CONTROL DE CONTESTACION DE EXAMEN RADIOLOGICO.</t>
  </si>
  <si>
    <t>CONTROL DE LAVADO Y PLANCHADO DE ROPA</t>
  </si>
  <si>
    <t>CONTROL DE PACIENTES PARA FISIOTERAPIA.    FORM.M- 70042</t>
  </si>
  <si>
    <t>CONTROL DE TRABAJOS BACTERIOLOGICOS.FORM.749-79-27 ,TARJETA</t>
  </si>
  <si>
    <t>TARJE</t>
  </si>
  <si>
    <t>CONTROL DE ESTUDIOS RADIOLOGICOS. FORM.220-88-004, LIBRO</t>
  </si>
  <si>
    <t>LIBRO</t>
  </si>
  <si>
    <t>CONTROL PRENATAL DE ASEGURADAS Y BENEFICIARIAS.FORM.M-70024</t>
  </si>
  <si>
    <t>ELECTROCARDIOGRAMA. FORM.M-74009.,BLOCK</t>
  </si>
  <si>
    <t>ELECTROENCEFALOGRAFIA. FORM. M-72015.,BLOCK</t>
  </si>
  <si>
    <t>ESTADISTICA  Y MORBILIDAD  FRONTAL  DE CONSULTA  EXTERNA</t>
  </si>
  <si>
    <t>EVOLUCION DEL CASO. FORM.M-55008 REV/58.,BLOCK</t>
  </si>
  <si>
    <t>FICHA ODONTOLOGICA. FORM.683-74-03.,TARJETA</t>
  </si>
  <si>
    <t>HOJA CLINICA,PAGINAS 1 Y 2. FORM.M-58008-2.</t>
  </si>
  <si>
    <t>HOJA DE EJERCICIOS. FORM.M-69029.,BLOCK</t>
  </si>
  <si>
    <t>HOJA DE EMERGENCIA Y ATENCION DOMICILIARIA. FORM.  M-58012</t>
  </si>
  <si>
    <t>HOJA DE OBSERVACION PARA CUIDADO DE ENFERMERIA.FORM. M-72005</t>
  </si>
  <si>
    <t>DISTRIBUCION  MENSUAL DE TURNOS. FORM.210-81-97.,B LOCK</t>
  </si>
  <si>
    <t>INFORME DE INTERVENCIONES QUIRURGICAS. FORM.550-74- 01 REV.76</t>
  </si>
  <si>
    <t>INFORME DIARIO DE CONSULTA ODONTOLOGICA GENERAL.FORM. 533-90-002</t>
  </si>
  <si>
    <t>INFORME DIARIO DE CONSULTA EXTERNA MEDICA.  FORM.  533-90-005</t>
  </si>
  <si>
    <t>INFORME DIARIO DE CONSULTA ODONTOLOGICA DE ESPECIA LIDAD</t>
  </si>
  <si>
    <t>HOJA DE INVESTIGACION DE ACCIDENTE DE TRABAJO</t>
  </si>
  <si>
    <t xml:space="preserve">INFORME Y REFERENCIA MEDICA </t>
  </si>
  <si>
    <t>MEDICINA FISICA. FORM.M-56002.,BLOCK</t>
  </si>
  <si>
    <t>NOTA DE TRANSFERENCIA DE MEDICAMENTOS. FORM.62-00- 24 REV/77.,BLOCK</t>
  </si>
  <si>
    <t>ORDEN DE ATENCION  PARA  EL  ESPECIALISTA.  FORM.  M-54002 REV/58</t>
  </si>
  <si>
    <t>ORDEN DE HOSPITALIZACION Y ALTA  FORM.533-89-027,B LOCK</t>
  </si>
  <si>
    <t>ORDEN MEDICA Y OBSERVACION DE LA ENFERMERA.  FORM. M-58006.,BLOCK</t>
  </si>
  <si>
    <t>ORDEN PARA CURACIONES. FORM.M-58003.,BLOCK</t>
  </si>
  <si>
    <t>ORDEN PARA INYECCIONES. FORM.M-57006.,BLOCK</t>
  </si>
  <si>
    <t>PRIMERA CONSULTA DE EXAMEN DE OFTALMOLOGIA</t>
  </si>
  <si>
    <t>QUIMICA SANGUINEA PRUEBA FUNCIONAL. FORM. M-54016  REV/72.,BLOCK</t>
  </si>
  <si>
    <t>RECETARIOS,COLOR BLANCO. FORM.M-54013 REV/76.</t>
  </si>
  <si>
    <t>RECETARIOS PARA ESTUPEFACIENTES Y BARBITURICOS.FORM.M-55005.,BLOCK</t>
  </si>
  <si>
    <t>REGISTRO DE CERTIFICADO DE INCAPACIDAD TEMPORAL.FORM. M-67023.,BLOCK</t>
  </si>
  <si>
    <t xml:space="preserve">RECETA MEDICA PARA USO REPETITIVO DE MEDICAMENTOS  DE ESPECIALIDAD </t>
  </si>
  <si>
    <t>REGISTRO OPERATORIO. FORM.M-540074 REV/77.,BLOCK</t>
  </si>
  <si>
    <t>REGISTRO DE OPTOMETRIA DE OFTALMOLOGIA</t>
  </si>
  <si>
    <t>REQUISICION  INTERNA  PARA  MEDICAMENTOS   FORM.  055-74-09 REV/77.,BLOCK</t>
  </si>
  <si>
    <t>SOLICITUD DE ELECTRO-CARDIOGRAMA. FORM.M-74010.,BL OCK</t>
  </si>
  <si>
    <t>SOLICITUD DE ESTUDIO ANATOMOPATOLOGICO CITOLOGICO. FORM. M67025,BLOCK</t>
  </si>
  <si>
    <t>SOLICITUD DE ESTUDIO CITOLOGICO. (GENITAL).  FORM. 710-80-23,BLOCK</t>
  </si>
  <si>
    <t>SOLICITUD DE EXAMENES DE LABORATORIO. FORM.M-54027 ,BLOCK</t>
  </si>
  <si>
    <t>SOLICITUD DE OPERACION. FORM.M-59009.,BLOCK</t>
  </si>
  <si>
    <t>SOLICITUD DE SERVICIO DE AMBULANCIA. FORM.M-54012  REV/58,BLOCK</t>
  </si>
  <si>
    <t>SEGUNDA CONSULTA DE OFTALMOLOGIA</t>
  </si>
  <si>
    <t>TARJETA PARA EL SERVICIO DE RADIOLOGIA. FORM.77003 ,TARJETA</t>
  </si>
  <si>
    <t xml:space="preserve">VALE POR PEDIDO-ENTREGA DE INSTRUMENTAL MEDICO QUI RURGICO (VARIOS).   </t>
  </si>
  <si>
    <t xml:space="preserve">VIÑETAS PARA COLOCAR INDICACIONES MEDICAS EN MEDICAMENTOS </t>
  </si>
  <si>
    <t>ESTUDIO CITOLOGICO EXTRA-GENITAL. FORM.710-80-23REV/81.,BLOCK</t>
  </si>
  <si>
    <t>ESPERMOGRAMA. FORM.749-80-45.,BLOCK</t>
  </si>
  <si>
    <t xml:space="preserve">TARJETA DE REEMPLAZO DE EXPEDIENTE CLINICO  ( EXPE DIENTE MULTIPLE ).  </t>
  </si>
  <si>
    <t xml:space="preserve">HOJA DE ENTREVISTA ALIMENTARIA Y CONTROL DIETETICO </t>
  </si>
  <si>
    <t>RECETA DIETETICA. FORM. 650-81-123.,BLOCK</t>
  </si>
  <si>
    <t>COMPROBANTE DE EXAMEN DE RAYOS "X"* FORM. 754-81-1 70.,BLOCK</t>
  </si>
  <si>
    <t>SOLICITUD  DE  CANCELACION  DE  TRANSPORTE. FORM.  650-82-016.,BLOCK</t>
  </si>
  <si>
    <t>HOJA DE ORDEN DE INGRESO. FORM.650-82-017.,BLOCK</t>
  </si>
  <si>
    <t>REPORTE DE HISTORIA MEDICA. FORM.501-82-021.,BLOCK</t>
  </si>
  <si>
    <t>INFORME DIARIO DE ODONTOLOGIA PREVENTIVA. FORM.533 -90-003.,BLOCK</t>
  </si>
  <si>
    <t>HOJA DE EVALUACION COLPOSCOPICA. FORM.213-83-304., BLOCK</t>
  </si>
  <si>
    <t>AGENDA MEDICA PARA CITA PREVIA.  FORM.400-83-012,B LOCK</t>
  </si>
  <si>
    <t>FACTORES DE RIESGO OBSTETRICO Y REPRODUCTIVO. FORM .510401-92-001,BLOCK</t>
  </si>
  <si>
    <t>FICHA DE ANTECEDENTES OBSTETRICOS,FORM. 510401-92- 005</t>
  </si>
  <si>
    <t>HOJA DE EVOLUCION Y REFERENCIA (SUB-PROGRAMA DE ATENCION MATERNA)</t>
  </si>
  <si>
    <t>HOJA DE ENFERMERIA (SUB-PROGRAMA DE ATENCION MATER NA),FORM. 510401-92-006.</t>
  </si>
  <si>
    <t>HOJA DE ORDEN DE INGRESO. FORM.400-84-09,BLOCK</t>
  </si>
  <si>
    <t>HOJA DE REFERENCIA A MONITOREO FETAL. FORM. 214-84 -04.,BLOCK</t>
  </si>
  <si>
    <t>SUB-PROGRAMA PARA ATENCION MATERNA -PRE-TABULADOR, FORM. 400-83-021.</t>
  </si>
  <si>
    <t>TARJETA ACTIVA,CENTRO DE ATENCION,SUB-PROGRAMA DE  PLANIFICACION FAMILIAR</t>
  </si>
  <si>
    <t>TARJETA REGISTRO CITAS Y CONTROL DE PAP</t>
  </si>
  <si>
    <t>CONSULTA DE INSCRIPCION (PROGRAMA P.F) FORM.713-89 -025.,BLOCK</t>
  </si>
  <si>
    <t>SOLICITUD DE ESTERILIZACION (PROGRAMA P.F) FORM.71 3-89-022.,BLOCK</t>
  </si>
  <si>
    <t>CONSULTA SUB-SECUENTE (PROGRAMA P.F) FORM.713-89-0 24.,BLOCK</t>
  </si>
  <si>
    <t>REGISTRO DIARIO DE CONSULTAS MEDICAS (PROGRAMA P.F ) FORM.713-89-023.,BLOCK</t>
  </si>
  <si>
    <t>REGISTRO DIARIO DE ANTICONCEPCIONES QUIRURGICAS(P ROGRAMA P.F.)</t>
  </si>
  <si>
    <t xml:space="preserve">REGISTRO DIARIO DE ENTREGA DE ANTICONCEPTIVOS(PROGRAMA P.F) </t>
  </si>
  <si>
    <t xml:space="preserve">INFORME MENSUAL-ENTREGA DE ANTICONCEPTIVOS PROGRAM A P.F.) </t>
  </si>
  <si>
    <t>INFORME DIARIO DE MEDICINA FISICA Y REHABILITACION . FORM.261-84-07.,BLOCK</t>
  </si>
  <si>
    <t>FICHA PARA USO DE HIGIENE DENTAL.,TARJETA</t>
  </si>
  <si>
    <t xml:space="preserve">HOJA DE REGISTRO DIARIO DE ATENCION,CRECIMIENTOY  DESARROLLO DEL NINO. </t>
  </si>
  <si>
    <t>INFORME MENSUAL "B" REALIZACIONES DEL PROGRAMA .(P ROGRAMA PLANIF.FAMILIAR)</t>
  </si>
  <si>
    <t>CONSULTA MEDICA 1A. VEZ,HISTORIA CLINICA DE NINO,F ORM.# 536-91-007</t>
  </si>
  <si>
    <t>CONSULTA MEDICA SUBSECUENTE,HISTORIA CLINICA DEL N INO. FORM.# 536-91-008.</t>
  </si>
  <si>
    <t xml:space="preserve">ATENCION DE CRECIMIENTO Y DESARROLLO,HOJA DECONSULTA DEL NINO 1A VEZ. </t>
  </si>
  <si>
    <t>AT. DE CRECIMIENTO Y DESARR.,HOJA DE CONSU LTA SUBSECUENTE DEL NIÑO</t>
  </si>
  <si>
    <t xml:space="preserve">CARNET DE EXAMENES (SUB-PROGRAMA DE ATENCION MATER NA). </t>
  </si>
  <si>
    <t>PROGRAMA DE REDUCCION DE PESO. FORM.535-A24-92-007 .,TARJETA</t>
  </si>
  <si>
    <t>FICHA DE DIAGNOSTICO Y PLAN DE TRATAMIENTO PERIODONTAL FORM.79006.,TARJETA</t>
  </si>
  <si>
    <t xml:space="preserve">HOJA DE EV. Y REFERENCIA (SUB-PROGRAMA DE ATENCION MATERNA) CONTINUACION. </t>
  </si>
  <si>
    <t>HOJA DE IDENTIFICACION Y REGISTRO DEL NINO.  FORM.510401-92-06</t>
  </si>
  <si>
    <t>IDENTIFICACION DE DIABETICO.  FORM.510002-92-021.</t>
  </si>
  <si>
    <t>ESCALA SIMPLIFICADA DE EVALUACION DEL DESARROLLO FORM. 510-401012-05-97</t>
  </si>
  <si>
    <t>REFERENCIA PARA EXAMEN MAMOGRAFICO  FORM.522A04-92-027</t>
  </si>
  <si>
    <t>SOLICITUD DE ULTRASONOGRAFIA Y MONITOREO FETAL.  FORM.0522403-93-001</t>
  </si>
  <si>
    <t>HOJA DE RESPUESTA DE ULTRASONOGRAFIA PELVICA.  FORM.522403-93-003</t>
  </si>
  <si>
    <t>HOJA DE RESPUESTA DE ULTRASONOGRAFIA OBSTETRICA.FORM.522403-93-002</t>
  </si>
  <si>
    <t>EXPEDIENTE PEDIATRICO FORM. 510401-93-013,DE SOLIC. DES. INSTITUC.</t>
  </si>
  <si>
    <t>JUEGOS</t>
  </si>
  <si>
    <t>CARNET DEL NINO, FORM. 51004-93-015SOLIC._DES. INSTITUC.</t>
  </si>
  <si>
    <t>TARJETA CONTROL NINO SANO (FORM.510401-93-01</t>
  </si>
  <si>
    <t>RECETA PARA USO PEDIATRICO FORM.510000-93-021</t>
  </si>
  <si>
    <t>INFORME DIARIO DE CONSULTA EXTERNA DE PEDIATRIA</t>
  </si>
  <si>
    <t>PROGRAM. SEMANAL DE  ACTIV. DE ED.EN SALUD,  DE SOLIC.DES. INSTITUC</t>
  </si>
  <si>
    <t>ACTIV. REALIZADAS DE ED. EN SALUD A NIVEL DE EMPRESAS</t>
  </si>
  <si>
    <t xml:space="preserve">ACTIV. REALIZADAS POR LOS ED. EN SALUD A NIVEL DE EMPRESAS, </t>
  </si>
  <si>
    <t>PROGRAMA SEMANAL DE SESIONES DE EDUCACION .FORM. 510401-94-010.</t>
  </si>
  <si>
    <t>ACTIVIDADES REALIZADAS DE EDUCACION EN SALUD A NIVEL DE CENTRO DE ATENCION</t>
  </si>
  <si>
    <t>RESUMEN DE ACTIV. DE EDUCACION EN SALUD REALIZ. A NIVEL DE CENTRO DE ATENCION</t>
  </si>
  <si>
    <t>REPORTE EPIDEMIOLOGICO SEMANAL  FORM 510401-001-01-96</t>
  </si>
  <si>
    <t>CURVA DE CONTROL PRENATAL. FORM. 510401-007-0696</t>
  </si>
  <si>
    <t>FICHA ODONTOLOGICA INFANTIL</t>
  </si>
  <si>
    <t>INFORME MENSUAL DE INMUNIZACIONES, FORM.510401-006-04-99</t>
  </si>
  <si>
    <t>INFORME MENSUAL DE CONSULTA PEDIATRICA, FORM.510401-005-04-99</t>
  </si>
  <si>
    <t>INFORME MENSUAL DE CRECIMIENTO Y DESARROLLO</t>
  </si>
  <si>
    <t xml:space="preserve">CONTROL DE OTORGAMIENTO DE CITAS,  FORM. CONTINUA DE UNA PARTE, TAM. CARTA,  </t>
  </si>
  <si>
    <t>ESTUDIO EPIDEMIOLOGICO DE CASO. FORM. 510401-007-07-01</t>
  </si>
  <si>
    <t>LISTADO DE INTERCAMBIO DE ALIMENTOS</t>
  </si>
  <si>
    <t>SOLICITUD DE PRUEBAS DE TAMIZAJE : DENSIOMETRIA -MAMOGRAFIA</t>
  </si>
  <si>
    <t>HOJA DE REFERENCIA Y RETORNO</t>
  </si>
  <si>
    <t>HOJA DE INSCRIPCION DE PACIENTES EN EL CLIMATERIO,510401-03-01-04.</t>
  </si>
  <si>
    <t>COMPONENTE DE SALUD MENTAL</t>
  </si>
  <si>
    <t>PRUEBA DE RIESGOS DE DIABETES</t>
  </si>
  <si>
    <t>PROTOCOLO DE CHEQUEO</t>
  </si>
  <si>
    <t>TARJETA DE ATENCIÓN MATERNA</t>
  </si>
  <si>
    <t xml:space="preserve">HOJA DE IDENTIFICACION DEL PACIENTE </t>
  </si>
  <si>
    <t>TABULADOR DIARIO DE ACTIVIDADES SERVICIOS DE PARA TRAT.</t>
  </si>
  <si>
    <t>TABULADOR DIARIO DE ACTIVIDADES SUBPROGRAMA LA AT.MAT.</t>
  </si>
  <si>
    <t>CRECIMIENTO DESAR. Y NUTRICION NIÑO DE 5 A 9 AÑOS</t>
  </si>
  <si>
    <t>CRECIMIENTO DESAR. Y NUTRICION NIÑA DE 5 A 9 AÑOS</t>
  </si>
  <si>
    <t>TABLAS DE PESO PARA NIÑA DE 5 A 9</t>
  </si>
  <si>
    <t>EVALUACION DEL ESTADO NUT.SEGÚN MASA  CORP. HOMBRES 10-19</t>
  </si>
  <si>
    <t>EVALUACION DEL ESTADO NUT.SEGÚN MASA  CORP MUJERES 10-19</t>
  </si>
  <si>
    <t>HOJA DE CONTROL DE SUPLEMENTOS NUTRICIONAL</t>
  </si>
  <si>
    <t xml:space="preserve">RENDIMIENTO REALIZADO  DE CONSULTA PEDIATRICA </t>
  </si>
  <si>
    <t>RECETA MEDICA CONSULTA INTEGRAL ESPECIALIZADA  C.I.E.</t>
  </si>
  <si>
    <t>LABORATORIO CLINICO HEMATOLOGIA CONSULTA C.I.E.</t>
  </si>
  <si>
    <t>LABORATORIO CLINICO BACTERIOLOGIA DE TUBERCULOSIS  C.I.E.</t>
  </si>
  <si>
    <t>LABORATORIO CLINICO INMUNOLOGIA C.I.E.</t>
  </si>
  <si>
    <t>LABORATORIO CLINICO BACTERIOLOGIA  C.I.E.</t>
  </si>
  <si>
    <t>SOLICITUD DE RESPUESTA DE EXAMEN RADIOLOGICO C.I.E.</t>
  </si>
  <si>
    <t>LABORATORIO CLINICO DIVERSOS C.I.E.</t>
  </si>
  <si>
    <t>LABORATORIO CLINICO QUIMICA SANGUINEA PRUEBA FUNCIONAL C.I.E.</t>
  </si>
  <si>
    <t>LABORATORIO CLINICO HECES FECALES  C.I.E.</t>
  </si>
  <si>
    <t>LABORATORIO CLINICO EXAMEN GENERAL DE ORINA C.I.E.</t>
  </si>
  <si>
    <t>CONSTANCIA DE PERMANENCIA</t>
  </si>
  <si>
    <t>RESUMEN DE AVISO DE ACCIDENTE DE TRABAJO</t>
  </si>
  <si>
    <t>HOJA DE CONSULTA SUBSECUENTE DE ATENCION A LA MUJER EN CLIMATERIO</t>
  </si>
  <si>
    <t>SOLICITUD ORDEN DE REPRODUCCION</t>
  </si>
  <si>
    <t>DIARIO MICCIONAL SUBDIRECCION DE SALUD</t>
  </si>
  <si>
    <t>SOLICITUD DE ANTIBIOTICOTERAPIA PREQUIRO</t>
  </si>
  <si>
    <t>BITACORA PARA RECORRIDO DE VEHICULOS INSTITUCIONALES</t>
  </si>
  <si>
    <t>TABLA CALCULO DEL INDICE D/MASA CORPORAL</t>
  </si>
  <si>
    <t>CUESTIONARIO  PARA  LA  IDENTIFICACION  DE  CONSULTA DE  ALTO  RIESGO</t>
  </si>
  <si>
    <t>CONSTANCIA DE  DERECHO P/LA AT. DE EMERG. P/PACIENTES EN CALIDAD DE CESANTES</t>
  </si>
  <si>
    <t>SOLICITUD DE ATENCIÓN MEDICA P/TRABAJADORES CESANTES</t>
  </si>
  <si>
    <t xml:space="preserve">CONSTANCIA DE  DERECHO PARA CITAS SUBSECUENTES </t>
  </si>
  <si>
    <t>DIARIO DE CAMPO</t>
  </si>
  <si>
    <t>CONSTANCIA P/RECLAMO DE VIATICO A DERECHO.</t>
  </si>
  <si>
    <t>CARTILLA DE SALUD Y CITAS MEDICAS</t>
  </si>
  <si>
    <t>INDICADORES DEL CLIMATERIO Y MENOPAUSIA</t>
  </si>
  <si>
    <t>HOJA DE CONSULTA MEDICA Y NOTIFICACION DE EXPOSICION AL PLOMO</t>
  </si>
  <si>
    <t>CUESTIONARIO  PARA  LA  EVALUACION FAMILIAR</t>
  </si>
  <si>
    <t>GRAF.DE INDI DE MAS COR Y TAL NIÑAS 5-19</t>
  </si>
  <si>
    <t>IDENTIFICACION GENERAL DE RIESGO ENFERMEDADES METABOLICAS</t>
  </si>
  <si>
    <t>HOJA DE SEGUIMIENTO DE FACTOR DE RIESGO VASCULAR</t>
  </si>
  <si>
    <t xml:space="preserve">HISTORIA CLINICA PSIQUIATRICA INICIAL </t>
  </si>
  <si>
    <t>ETIQUETA "A" PARA MANEJO DE DESECHOS BIOINFECCIOSOS</t>
  </si>
  <si>
    <t>SOLICITUD DE DONANTE DE SANGRE</t>
  </si>
  <si>
    <t>GRAFICO DE CRECIMIENTO DE NIÑO DE 0-24 MESES</t>
  </si>
  <si>
    <t>GRAFICO DE CRECIMIENTO DE NIÑO DE 2 A 5 AÑOS</t>
  </si>
  <si>
    <t>GRAFICIO DE CRECIMIENTO DE NIÑA DE 0-24 MESES</t>
  </si>
  <si>
    <t>GRAFICIO DE CRECIMIENTO DE NIÑA DE 2 A 5 AÑOS</t>
  </si>
  <si>
    <t>RECETA PEDIATRICA REPETITIVA</t>
  </si>
  <si>
    <t>HISTORIAL CLINICA PSICOLOGICA INICIAL</t>
  </si>
  <si>
    <t>SOLICITUD PARA LA INVESTIGACION ESPECIFICA</t>
  </si>
  <si>
    <t>REPORTE DE RECOMENDACIONES DE ACCIDENTE DE TRABAJO</t>
  </si>
  <si>
    <t>VIÑETA PARA USO INTERNO COLOR AZUL</t>
  </si>
  <si>
    <t>VIÑETA PARA USO INTERNO COLOR AZUL # 4</t>
  </si>
  <si>
    <t>VIÑETA PARA USO INTERNO COLOR AZUL # 5</t>
  </si>
  <si>
    <t>VIÑETA PARA USO INTERNO COLOR AZUL # 6</t>
  </si>
  <si>
    <t>VIÑETA PARA USO EXTERNO COLOR ROJO # 1</t>
  </si>
  <si>
    <t>VIÑETA PARA USO EXTERNO COLOR ROJO # 2</t>
  </si>
  <si>
    <t>VIÑETA PARA USO EXTERNO COLOR ROJO # 3</t>
  </si>
  <si>
    <t>CONTROL DE REFERENCIA Y RETORNO</t>
  </si>
  <si>
    <t>CONTROL DE USO DE ANTIMICROBIANOS</t>
  </si>
  <si>
    <t>CAMISA TELA VERDE, DACRON ESCOTE V, L</t>
  </si>
  <si>
    <t>CAMISA TELA VERDE, DACRON ESCOTE V, XL</t>
  </si>
  <si>
    <t>BATA DE TELA TIPO OXFOR, TALLA L</t>
  </si>
  <si>
    <t>PANTALON DE TELA VERDE, TIPO DACRON, L</t>
  </si>
  <si>
    <t>PANTALON DE TELA VERDE, TIPO DACRON, XL</t>
  </si>
  <si>
    <t>MEDIA SABANA DE MANTA VERDE, DOBLE UNA TELA</t>
  </si>
  <si>
    <t>SABANA GINECOLOGICA DE MANTA</t>
  </si>
  <si>
    <t>SABANA CORRIENTE DE TELA DE MANTA</t>
  </si>
  <si>
    <t>GORRO PARA CIRUGIA DE MANTA VERDE</t>
  </si>
  <si>
    <t>FUNDA PARA MESA MAYO DE MANTA</t>
  </si>
  <si>
    <t>TOALLAS BLANCAS CON LOGO</t>
  </si>
  <si>
    <t>TOALLA BLANCA CON LOGO DEL ISSS</t>
  </si>
  <si>
    <t>GABACHON TELA MANTA BLANCA C ESTOCK L</t>
  </si>
  <si>
    <t>GABACHON TELA MANTA BLANCA, C ESTOCK XL</t>
  </si>
  <si>
    <t>GABACHON P/ CIRUJIA D/TELA VERDE DACRON L</t>
  </si>
  <si>
    <t>GABACHON P/ CIRUJIA D/TELA VERDE DACRON XL</t>
  </si>
  <si>
    <t>GABACHON P/ INFECTOS, TELA DRACRON GRIS L</t>
  </si>
  <si>
    <t>CAMPO CORRIENTE DE MANTA VERDE DE 36X</t>
  </si>
  <si>
    <t>CAMPO HENDIDO PARA OJOS DE MANTA</t>
  </si>
  <si>
    <t>CAMPO HENDI. MANTA BLANCA O CRUDA 1 TELA</t>
  </si>
  <si>
    <t>CAMPO HENDIDO DE MANTA VERDE, DE 32"X36"</t>
  </si>
  <si>
    <t>CUBIERTA DE MANTA VERDE DE TELA 12"X12"</t>
  </si>
  <si>
    <t>CUBIERTA DE MANTA VERDE DE TELA 16"X16"</t>
  </si>
  <si>
    <t>CUBIERTA DE MANTA VERDE DE TELA 24"X24"</t>
  </si>
  <si>
    <t>CUBIERTA DE MANTA VERDE DE TELA 32"X32"</t>
  </si>
  <si>
    <t>CUBIERTA DE MANTA VERDE DE TELA 43½X43½</t>
  </si>
  <si>
    <t>CUBIERTA TELA, MANTA BLANCA DE TELE 36X36</t>
  </si>
  <si>
    <t>MANTILLA DE MANTA BLANCA DE 36"X36"</t>
  </si>
  <si>
    <t>ZAPATERA BLANCA DE TELA DE MANTA</t>
  </si>
  <si>
    <t>PAA</t>
  </si>
  <si>
    <t>ZAPATERA VERDE DE TELA DE MANTA</t>
  </si>
  <si>
    <t xml:space="preserve">BATA P/APACIENTE FEMENINO , DE MANTA </t>
  </si>
  <si>
    <t>!!CODIGO ANTIGUO, VERIFICAR HOJA PRODUCTO!!</t>
  </si>
  <si>
    <t>ERROR</t>
  </si>
  <si>
    <t>APOSITO TRANS. ADHESIVO 8-13 X 10-15 CM</t>
  </si>
  <si>
    <t>DISPOSITIVO PRESION POSITIVA RESPIRATORIA</t>
  </si>
  <si>
    <t xml:space="preserve">RESUCITADOR MANUAL PARA ADULTO </t>
  </si>
  <si>
    <t xml:space="preserve">HOJA DE EMERGENCIA Y ATENCION DOMICILIAR </t>
  </si>
  <si>
    <t xml:space="preserve">GUANTE QUIRURGICO # 9 </t>
  </si>
  <si>
    <t>c/U</t>
  </si>
  <si>
    <t>ROLLO PAPEL PLASTICO GRADO MEDICO 10cmX20mts</t>
  </si>
  <si>
    <t>HISTORIA CLINICA PERINATAL</t>
  </si>
  <si>
    <t>CARNE PERINATAL</t>
  </si>
  <si>
    <t>HOJA FILTRO</t>
  </si>
  <si>
    <t>GRAFICA DE INDIC MAS CORPOR Y TALLA NIÑOS 5-19 AÑOS</t>
  </si>
  <si>
    <t>BANDAS DE HULE</t>
  </si>
  <si>
    <t>A353120</t>
  </si>
  <si>
    <t>IMPRESOR MULTIFUNCIONAL</t>
  </si>
  <si>
    <t>A353301</t>
  </si>
  <si>
    <t>MONITORES (PANTALLA)</t>
  </si>
  <si>
    <t>A701903</t>
  </si>
  <si>
    <t>REFRIGERADORA FRIO SECO</t>
  </si>
  <si>
    <t>A703601</t>
  </si>
  <si>
    <t>TANQUE HIDRONEUMATICO</t>
  </si>
  <si>
    <t>CAMISA TELA BLANCA TIPO OXFORD TALLA XL</t>
  </si>
  <si>
    <t>MEDIA SABANA TIRANTE DE MANTA BLANCA</t>
  </si>
  <si>
    <t>CAMPO ESPECIAL DE 8 TELAS DE GASA DE 18"</t>
  </si>
  <si>
    <t>CUBIERTA DE MANTA VERDE DE TELA 36X36</t>
  </si>
  <si>
    <t>CAMISA TELA BLANCA TIPO OXFORD TALLA L</t>
  </si>
  <si>
    <t>PANTALON DE TELA BLANCA TIPO OXFORD TALLA L</t>
  </si>
  <si>
    <t>PANTALON DE TELA BLANCA TIPO OXFORD TALLA XL</t>
  </si>
  <si>
    <t>SABANA HENDIDA DE MANTA VERDE</t>
  </si>
  <si>
    <t>SABANA PARA LAPAROTOMIA DE MANTA VERDE</t>
  </si>
  <si>
    <t>CUBIERTA TELA, MANTA BLANCA DE TELE 24X24</t>
  </si>
  <si>
    <t>CUBIERTA TELA, MANTA BLANCA DE TELE 43 1/2X43 1/2</t>
  </si>
  <si>
    <t>COMPRESA DE 8 TELAS DE GASA CON ARGOLLA</t>
  </si>
  <si>
    <t>CUBRE MESA DE MANTA VERDE DOBLE TELA</t>
  </si>
  <si>
    <t>FRAZADA PARA ADULTO</t>
  </si>
  <si>
    <t>FRAZADA PEDIATRICA</t>
  </si>
  <si>
    <t>PRUEBA NITROCEFIN  (CEFALOSP. GROMOGENICA)</t>
  </si>
  <si>
    <t>SIST. PRUEB. BIOQCAS IDENTIF. ESTAFILOCOCC</t>
  </si>
  <si>
    <t>AMPLICINA DISCO 10 mcg</t>
  </si>
  <si>
    <t>DISCO</t>
  </si>
  <si>
    <t>GUANTE DE HULE LISO PARA HOGAR; PA</t>
  </si>
  <si>
    <t>DESINFECTANTE CONCENTRADO DE TRIPLE ACCION,</t>
  </si>
  <si>
    <t>JABON LIQUIDO PARA MANOS</t>
  </si>
  <si>
    <t>FRANELA LISA</t>
  </si>
  <si>
    <t>AGUJA CARPULE EXTRA CORTA</t>
  </si>
  <si>
    <t>CONTROL ROPA VERDE</t>
  </si>
  <si>
    <t>CONTROL DE ROPA BLANCA</t>
  </si>
  <si>
    <t>HOJAS DE CONTROL DE VISITAS MED. PROG OLDD</t>
  </si>
  <si>
    <t xml:space="preserve">INFORME DE VISITAS DE TRAB SOC PROG OLDD </t>
  </si>
  <si>
    <t>VISITA SUBSEC. DE TERAP RESPIR PROG OLDD</t>
  </si>
  <si>
    <t>DECLARACION JURADA D/PACIENT PROG OLDD</t>
  </si>
  <si>
    <t>DECLARACION JURADA RESPON PTE. PROG OLDD</t>
  </si>
  <si>
    <t>PLUMON PINTO FINO COLOR AZUL</t>
  </si>
  <si>
    <t>APOSITO TRANS. ADHESIVO 4-6 X 4-6 CM</t>
  </si>
  <si>
    <t>APOSITO TRANS. ADHESIVO 6-8 X 7-10 CM</t>
  </si>
  <si>
    <t>CLORHEXIDINA GLUCONATO 4%</t>
  </si>
  <si>
    <t>TIJERAS METALICAS.</t>
  </si>
  <si>
    <t>SOLICITUD CONFIRMACIÓN DE VIH (FVIN-01)</t>
  </si>
  <si>
    <t>JERINGA 50 ML GRADUADA CON LUER LOOK</t>
  </si>
  <si>
    <t>AMBIENTAL PARA OFICINA SPRAY</t>
  </si>
  <si>
    <t xml:space="preserve">ESCOBA DE FIBRA SINTETICA, </t>
  </si>
  <si>
    <t>MASCON DE FIBRA SISTETICA</t>
  </si>
  <si>
    <t>MEDIOS D TRANSPORT AMIES/STUART  MOD. C/CARBON</t>
  </si>
  <si>
    <t>CONSTANCIA MEDICA PARA CUIDO EN CASA</t>
  </si>
  <si>
    <t>PILAS ALKALINAS DE 1.5 VOLTIOS TIPO "AA"</t>
  </si>
  <si>
    <t>CARTUCHO PARA IMPRESOR CANON NEGRO</t>
  </si>
  <si>
    <t>INSTRUMENTO P/ VISITA DOMICILIAR SUBSECUENTE</t>
  </si>
  <si>
    <t>FICHA RECONOCIMIENTO DE DATOS ENTREGA DOMICILIAR</t>
  </si>
  <si>
    <t>GLUCONATO DE CLORHEXIDINA 4% EN ESPUMA</t>
  </si>
  <si>
    <t>JERINGA DESCARTABLE DE 1CC AGUJA 23</t>
  </si>
  <si>
    <t>PAPEL MEMBRETADO BLANCO A UNA TINTA TAMAÑO CARTA</t>
  </si>
  <si>
    <t>CATGUT CROMICO # 3/0 PUNTA REDONDA</t>
  </si>
  <si>
    <t>TIJERAS METALICAS DE 8 PULGADAS</t>
  </si>
  <si>
    <t>VIGEPES 01: NOTIFIC INDIVID ENFERM D/VIGILANCIA</t>
  </si>
  <si>
    <t>FICHA FAMILIAR FORMULA</t>
  </si>
  <si>
    <t>AEROSOL EL LACA</t>
  </si>
  <si>
    <t>PAÑAL DESECHABLE PARA INFANTE</t>
  </si>
  <si>
    <t>TENSIOMETRO ANEROIDE PARA ADULTO DE 2</t>
  </si>
  <si>
    <t>SLN CONC 50 G D GLUCOSA O' SULLI</t>
  </si>
  <si>
    <t>FRASCOS</t>
  </si>
  <si>
    <t>SLN CONC 100 G D GLUCOSA P/CURVA TOLER.</t>
  </si>
  <si>
    <t>AGAR UREA DE CHRISTENSEN</t>
  </si>
  <si>
    <t>SONDA NASOGASTRICA LEVIN #16</t>
  </si>
  <si>
    <t>TIRAS REACTIV P/DETERMINAR GLUCOSA SANGRE</t>
  </si>
  <si>
    <t>LAMPARA DE MANO CAP 2 PILAS 1.5 V C/U</t>
  </si>
  <si>
    <t>MALETIN IMPERMEABLE P/COLGAR EN HOMBRO</t>
  </si>
  <si>
    <t>CHALECO DE TELA</t>
  </si>
  <si>
    <t>ESTETOSCOPIO CON CAMP.Y DIAFRAG ADULTO</t>
  </si>
  <si>
    <t>ELECTRODOS ADHESIVOS  5 X 5 P/TENS</t>
  </si>
  <si>
    <t>BANDA EJERCITADORA  6 YARDAS AZUL</t>
  </si>
  <si>
    <t>BANDA EJERCITADORA  6 YARDAS ROJO</t>
  </si>
  <si>
    <t>ADAPTADOR NIPLE Y NUT</t>
  </si>
  <si>
    <t>A786006</t>
  </si>
  <si>
    <t>VENTILADORES TIPO TORRE OSCILANTE</t>
  </si>
  <si>
    <t>COMPRESAS CALIENTES STANDARD</t>
  </si>
  <si>
    <t>COMPRESAS FRIAS STANDARD</t>
  </si>
  <si>
    <t>ELECTRODOS DE CARBON PARA TENS</t>
  </si>
  <si>
    <t>QUITA Y PONE FRESA PARA ALTA VELOCIDAD</t>
  </si>
  <si>
    <t xml:space="preserve">TONER PARA IMPRESOR LEXMARK E260 DN </t>
  </si>
  <si>
    <t>VENDA DE YESO DE 2"X 5 YARDAS</t>
  </si>
  <si>
    <t>SLN CONC 75 G D GLUCOSA P/PRUEBA TOLERANCIA</t>
  </si>
  <si>
    <t>INSECTICIDA EN SPRAY</t>
  </si>
  <si>
    <t>GUANTE DE HULE LISO DIFERENTES USOS</t>
  </si>
  <si>
    <t>VIÑETA USO INTERNO COLOR AZUL No. 2</t>
  </si>
  <si>
    <t>HUESO LIOFILIZADO PARA TX DE DEFECT OS</t>
  </si>
  <si>
    <t>TERMOMETRO CON ESCALA DE -40 A +50 ° C</t>
  </si>
  <si>
    <t>ACETATO PARA ESCRIBIR CON PLUMON</t>
  </si>
  <si>
    <t>BLOCK MULTICOLUMNAR DE 8 COLUMNAS</t>
  </si>
  <si>
    <t>TONER PAR IMPRESOR HP LASER  JET 6L C3906A</t>
  </si>
  <si>
    <t>A701701</t>
  </si>
  <si>
    <t>POSTE PARA FILA UNICA</t>
  </si>
  <si>
    <t>CONSTANCIA DE ESTADIA</t>
  </si>
  <si>
    <t>CARTAPACIO DE CARTULINA MANILA C/GUSANO</t>
  </si>
  <si>
    <t>FICHA DE ODONTOLOGIA PEDIATRICA</t>
  </si>
  <si>
    <t xml:space="preserve">ALMOHADILLA P/SELLO DE HULE DE 2 3/4X2 </t>
  </si>
  <si>
    <t xml:space="preserve">TONER PAR IMPRESOR HP LASER  JET 5L </t>
  </si>
  <si>
    <t>CINTA PARA IMPRESOR MATRICIAL EPSON FX-890</t>
  </si>
  <si>
    <t>DETERGENTE ENZIMATICO</t>
  </si>
  <si>
    <t>HOJA DE CONTROL POST-OPERATORIO</t>
  </si>
  <si>
    <t>FASTENERS TIPO GUSANO</t>
  </si>
  <si>
    <t>TOALLA DESECHABLE INTERFOLIADA</t>
  </si>
  <si>
    <t>VISITA INICIAL DE TERAPIA RESP PROGR OLDD</t>
  </si>
  <si>
    <t>HOJA PATRONAL P/HOMOLOGACION DE INCAP PARTICUL</t>
  </si>
  <si>
    <t>CATGUT CROMICO 2/0 AGUJA 25-27 MM</t>
  </si>
  <si>
    <t>COMPROBANTE PARA RETIRO DE TRAMITE</t>
  </si>
  <si>
    <t>PAPEL CREPADO GRADO MEDICO</t>
  </si>
  <si>
    <t>DESCARTABLE TRANSP P/BOMBA CATETER</t>
  </si>
  <si>
    <t>TARJETA DE VISITAS</t>
  </si>
  <si>
    <t>A410801</t>
  </si>
  <si>
    <t>DVD</t>
  </si>
  <si>
    <t>TONER P/IMPRES HP LASER JET PROPIN M401dw</t>
  </si>
  <si>
    <t>HOJA DE USO DE CLONAZEPAN</t>
  </si>
  <si>
    <t>REQUISICION DE DIETA DE PACIENTES</t>
  </si>
  <si>
    <t>FILTRO /LASER ADAPTABLE A MICROSCOPIO</t>
  </si>
  <si>
    <t>MOSQUITERO PARA CAMA HOSPITALARIA</t>
  </si>
  <si>
    <t>FICHA TRATAMIENTO DE TUBERCULOSIS PCT-7</t>
  </si>
  <si>
    <t>CARNET CONTROL CASOS TUBERCULOSIS PCT-7</t>
  </si>
  <si>
    <t>SILLA PLASTICA PARA ADULTO</t>
  </si>
  <si>
    <t>A912101</t>
  </si>
  <si>
    <t>DETECTOR ULTRASONICO DE LATIDO FETAL</t>
  </si>
  <si>
    <t>U</t>
  </si>
  <si>
    <t>*********************        ULTIMA LINEA  *************************</t>
  </si>
  <si>
    <t>*******</t>
  </si>
  <si>
    <t>REQUISICION INTERNA</t>
  </si>
  <si>
    <t>CENTRO DE ATENCION</t>
  </si>
  <si>
    <t>FECHA</t>
  </si>
  <si>
    <t>Correlativo No.</t>
  </si>
  <si>
    <t>DIA</t>
  </si>
  <si>
    <t>MES</t>
  </si>
  <si>
    <t>AÑO</t>
  </si>
  <si>
    <t>=$Z$19</t>
  </si>
  <si>
    <t>VALOR</t>
  </si>
  <si>
    <t>$</t>
  </si>
  <si>
    <t>IDEM</t>
  </si>
  <si>
    <t>MOV</t>
  </si>
  <si>
    <t>DEPEND.DESTINATARIA</t>
  </si>
  <si>
    <t>LOTE Nº.</t>
  </si>
  <si>
    <t>TOTAL CODIGOS</t>
  </si>
  <si>
    <t>(1)</t>
  </si>
  <si>
    <t>(2)</t>
  </si>
  <si>
    <t>(3-4)</t>
  </si>
  <si>
    <t>(12-15)</t>
  </si>
  <si>
    <t>(16-19)</t>
  </si>
  <si>
    <t>(20-21)</t>
  </si>
  <si>
    <t>(22-28)</t>
  </si>
  <si>
    <t>Despachada</t>
  </si>
  <si>
    <t>NO Despachad</t>
  </si>
  <si>
    <t>.</t>
  </si>
  <si>
    <t>PRESEN-</t>
  </si>
  <si>
    <t>CANTIDAD</t>
  </si>
  <si>
    <t>Nº</t>
  </si>
  <si>
    <t>CODIGO</t>
  </si>
  <si>
    <t>TACION</t>
  </si>
  <si>
    <t>SOLICITADA</t>
  </si>
  <si>
    <t>DESPACHADA</t>
  </si>
  <si>
    <t>DOC No.</t>
  </si>
  <si>
    <t>SOLICITO</t>
  </si>
  <si>
    <t>AUTORIZO</t>
  </si>
  <si>
    <t>RECIBIO</t>
  </si>
  <si>
    <t>Nombre</t>
  </si>
  <si>
    <t>Firma</t>
  </si>
  <si>
    <t>PREPARADO POR:</t>
  </si>
  <si>
    <t>COMPROBADO POR:</t>
  </si>
  <si>
    <t>FECHA DE LA INFORMACION</t>
  </si>
  <si>
    <t>No. Doc. SAFISSS</t>
  </si>
  <si>
    <t xml:space="preserve">No. </t>
  </si>
  <si>
    <t>Copia Elaborac Pedido</t>
  </si>
  <si>
    <t>reordenar</t>
  </si>
  <si>
    <t>Listado</t>
  </si>
  <si>
    <t>Debora Escobar</t>
  </si>
  <si>
    <t>desref (j2;0;;contar.si(listado;&lt;&gt;0))</t>
  </si>
  <si>
    <t>No. Correlt de Docum,</t>
  </si>
  <si>
    <t>FECHA/HORA</t>
  </si>
  <si>
    <t xml:space="preserve">Zuleyma Choto de Morán </t>
  </si>
  <si>
    <t>U500</t>
  </si>
  <si>
    <t>U400</t>
  </si>
  <si>
    <t>U300</t>
  </si>
  <si>
    <t>U200</t>
  </si>
  <si>
    <t>Tipo Almacen</t>
  </si>
  <si>
    <t>Licda. Elizabeth  Lino</t>
  </si>
  <si>
    <t>****** ESTOS CAMPOS SON OBLIGATORIOS DE LLENARLOS</t>
  </si>
  <si>
    <t>CENTRO COSTO****:</t>
  </si>
  <si>
    <t>SOLICITA****:</t>
  </si>
  <si>
    <t>AUTORIZA****:</t>
  </si>
  <si>
    <t>Licda. Mercedes  de Hidalgo</t>
  </si>
  <si>
    <t>Licda. Cristina Aguillón</t>
  </si>
  <si>
    <t>Xiomara Gonzales</t>
  </si>
  <si>
    <t>Francisco Rivas</t>
  </si>
  <si>
    <t>Dra. Blanca Fuentes De Ventura</t>
  </si>
  <si>
    <t>Licdo. Daniel Henríquez</t>
  </si>
  <si>
    <t>SOLIC DISPEN DE MED A PAC Q SALEN DEL PAIS</t>
  </si>
  <si>
    <t>SOLIC CONSTANCIA MED/RESUMEN CLINICO</t>
  </si>
  <si>
    <t>SOLICITUD CAMBIO DE MEDICO</t>
  </si>
  <si>
    <t>CONTROL CADENA DE FRIO</t>
  </si>
  <si>
    <t>CONTROL CONSUMO MEDICAMENTOS x V PAREN</t>
  </si>
  <si>
    <t>CONTROL CONSUMO MEDICAMENTEO ORALES</t>
  </si>
  <si>
    <t>CONTROL TRATAMIENTO PACIENT HOSPITALI</t>
  </si>
  <si>
    <t>MOVIMIENTO DIARIO DE PACIENTES HOSPITAL</t>
  </si>
  <si>
    <t>RECETA DE PACIENTE HOSPITALIZADO</t>
  </si>
  <si>
    <t xml:space="preserve">UNIDAD DE TRANSFERENCIA LIQUIDO ESTERIL </t>
  </si>
  <si>
    <t>Lic. Edwin Cáceres</t>
  </si>
  <si>
    <t>Licda. kathia Portillo</t>
  </si>
  <si>
    <t>Licda. Merlin Aparicio</t>
  </si>
  <si>
    <t>A786004</t>
  </si>
  <si>
    <t>VENTILADOR DE TECHO</t>
  </si>
  <si>
    <t>PAPEL BOBINA PARA CANAPE 16 " ANCHO</t>
  </si>
  <si>
    <t>DIQUE DE GOMA GRUESO TIPO YOUNG 6 X6</t>
  </si>
  <si>
    <t>PELICULA DIGITAL DE 8X10"</t>
  </si>
  <si>
    <t>U700</t>
  </si>
  <si>
    <t>PELICULA DIGITAL DE 10" A 11"X 14"</t>
  </si>
  <si>
    <t>PELICULA DIGITAL DE 14"X17"</t>
  </si>
  <si>
    <t>CARTUCHO DE TINTA NEGRO HP LASER JET 1100</t>
  </si>
  <si>
    <t>Veronica Rivera</t>
  </si>
  <si>
    <t xml:space="preserve">SOLUCION ESTANDAR PARA MEDIR PH  4.0 </t>
  </si>
  <si>
    <t>FRESA DE CARBURO No. 1/2  ALTA VELOCIDAD</t>
  </si>
  <si>
    <t>FRESA DE CARBURO No. 1/4 ALTA VELOCIDAD</t>
  </si>
  <si>
    <t>Licda. Marisol Ventura</t>
  </si>
  <si>
    <t>Dr. Luis Alfonso Flores Ponce</t>
  </si>
  <si>
    <t>Licda. Silvia Chevez</t>
  </si>
  <si>
    <t>Dr. Ernesto Alexander Salazar</t>
  </si>
  <si>
    <t>Licda. Sandra Carolina Calles</t>
  </si>
  <si>
    <t>CEMENTO DE OXIDO DE ZINC CON EUGENOL</t>
  </si>
  <si>
    <t>FICHA DE ENDODONCIA</t>
  </si>
  <si>
    <t>BRAZALATE ROSADO RECIEN NACIDO</t>
  </si>
  <si>
    <t>BRAZALATE CELESTE RECIEN NACIDO</t>
  </si>
  <si>
    <t>CONTROL PUERPUERAL</t>
  </si>
  <si>
    <t>PROTOMBINA (TP)</t>
  </si>
  <si>
    <t>OXACILINA SODICA</t>
  </si>
  <si>
    <t>JABON DE BAÑO PASTILLA DE 16 GR. APROX.</t>
  </si>
  <si>
    <t>SOLUCION DE CLORHEXIDINA AL 2%+ ALCOHOL</t>
  </si>
  <si>
    <t>CANULA NASAL P/INFANTES ENTRE 2 A 6 AÑOS</t>
  </si>
  <si>
    <t>CANULA NASAL P/INFANTE ENTRE 7 A 12 AÑOS</t>
  </si>
  <si>
    <t>TUBO ENDOTRAQUEAL ORAL DE 3.5 mm,</t>
  </si>
  <si>
    <t>TUBO ENDOTRAQUEAL ORAL DE 4.0 mm</t>
  </si>
  <si>
    <t>TUBO ENDOTRAQUEAL DE 5.0 mm</t>
  </si>
  <si>
    <t>TUBO ENDOTRAQUEAL ORAL DE 7.5 mm</t>
  </si>
  <si>
    <t>TUBO ENDOTRAQUEAL ORAL DE 8 mm</t>
  </si>
  <si>
    <t>DR. MARVIN ERNESTO HUEZO</t>
  </si>
  <si>
    <t>u</t>
  </si>
  <si>
    <t>BANDAS DE HULE EN PRESENTACION LIBRA</t>
  </si>
  <si>
    <t>CASSETTE MINI DV 700 - 60 MINUTOS</t>
  </si>
  <si>
    <t>PILA DE 9 VOLTIOS ALCALINA</t>
  </si>
  <si>
    <t>PILA RECARGABLE DE 9 VOLTIOS</t>
  </si>
  <si>
    <t>ARCHIVADOR DE PALANCA TAMAÑO CARTA</t>
  </si>
  <si>
    <t>LIMPIADOR DE EQUIPOS DE OFICINA</t>
  </si>
  <si>
    <t>BOLIGRAFO DESECHABLE COLOR AZUL</t>
  </si>
  <si>
    <t>BOLIGRAFO DESECHABLE COLOR NEGRO</t>
  </si>
  <si>
    <t>BOLIGRAFO DESECHABLE COLOR ROJO</t>
  </si>
  <si>
    <t>CINTA PROTECTORA DE CHEQUES</t>
  </si>
  <si>
    <t>CRAYOLAS CAJA DE 12 UNIDADES,C/U.</t>
  </si>
  <si>
    <t>LAPIZ GRASO, COLOR AZUL</t>
  </si>
  <si>
    <t>LAPIZ GRASO, COLOR ROJO</t>
  </si>
  <si>
    <t>PINTURA DE DEDO</t>
  </si>
  <si>
    <t>PLUMON FLUORESCENTE (VARIOS COLORES)</t>
  </si>
  <si>
    <t>PLUMON PARA PIZARRA (VARIOS COLORES)</t>
  </si>
  <si>
    <t>POST-IT AUTOADHESIVO.</t>
  </si>
  <si>
    <t>SET DE ACUARELAS DIFERENTES COLORES</t>
  </si>
  <si>
    <t>TINTA COLOR NEGRO PROCESO</t>
  </si>
  <si>
    <t>CARTAPACIO D/CARTULINA MANI.S/GUS.OFICIO</t>
  </si>
  <si>
    <t>CARTULINA C.AMARI 147-150GR D25.5x30.5</t>
  </si>
  <si>
    <t>PAPEL BOND BLANC 56GR B15ó16 PLI 26X34</t>
  </si>
  <si>
    <t>PAPEL COUCHE BLANCO DE 26"X34"</t>
  </si>
  <si>
    <t>PAPEL LEDGER 26 X 34</t>
  </si>
  <si>
    <t>PAPEL LEDGER 26" X 34"</t>
  </si>
  <si>
    <t>ABRILLANTADOR PARA PISO ANTI-DESLIZANTE</t>
  </si>
  <si>
    <t>AEROSOL LACA PARA FIJACION CITOLOGIAS</t>
  </si>
  <si>
    <t>CEPILLO D FIBRA RESISTEN CON MANGO CORTO</t>
  </si>
  <si>
    <t>CEPILLO DENTAL BASICO PARA NIÑOS</t>
  </si>
  <si>
    <t>CEPILLO DENTAL VARIOS COLORES</t>
  </si>
  <si>
    <t>DELANTAL PLASTICO</t>
  </si>
  <si>
    <t>DESINCRUSTANTE GRADO ALIMENTO</t>
  </si>
  <si>
    <t>DESINCRUSTANTE PARA BAÑOS Y PISOS</t>
  </si>
  <si>
    <t>DESINFECTANTE NEUTRALIZADOR</t>
  </si>
  <si>
    <t>DESODORANTE EN BARRA UNISEX</t>
  </si>
  <si>
    <t>DISPENSADOR AUTOMÁTICO DE AROMA</t>
  </si>
  <si>
    <t>DISPENSADOR PLASTICO DE CONOS 7 OZ</t>
  </si>
  <si>
    <t>ESPONJA DE CELULOSA NATURAL ABSORBENTE</t>
  </si>
  <si>
    <t>ESPONJA PARA BAÑO CON GEL INCORPORADO</t>
  </si>
  <si>
    <t>HIPOCLORITO DE SODIO AL 6%</t>
  </si>
  <si>
    <t>INSECTICIDA  SPRAY</t>
  </si>
  <si>
    <t>JABON PARA LAVAR (DE BOLAS O DE BARRA)</t>
  </si>
  <si>
    <t>JABONERA PLASTICA DIFERENTES TAMAÑOS</t>
  </si>
  <si>
    <t>KIT DE HIGIENE LEY NACER CON CARIÑO</t>
  </si>
  <si>
    <t>LIQUIDO LIMPIADOR DE PISOS DE CERAMICA</t>
  </si>
  <si>
    <t>LIQUIDO PARA LIMPIEZA DE VIDRIOS</t>
  </si>
  <si>
    <t>MANGO DE ALUMINIO PARA MOPA</t>
  </si>
  <si>
    <t>MASCON DE ALAMBRE</t>
  </si>
  <si>
    <t>PAD PARA PULIDORA DE PISOS</t>
  </si>
  <si>
    <t>PALO METALICO PARA TRAPEADOR DE TELA</t>
  </si>
  <si>
    <t>PALO PARA TRAPEADOR DE MECHA (COMPLETO)</t>
  </si>
  <si>
    <t>PASTA PULIDORA PARA METALES</t>
  </si>
  <si>
    <t>PEINE FINO PARA BEBE</t>
  </si>
  <si>
    <t>PINZA PARA TRAPEADOR DE MECHA</t>
  </si>
  <si>
    <t>PORTA TOALLA O TOALLERO</t>
  </si>
  <si>
    <t>RASTRILLO METALICO PARA JARDINERIA</t>
  </si>
  <si>
    <t>RECOGEDOR DE AGUA DE 55 cms.</t>
  </si>
  <si>
    <t>REPELENTE DE MOSQUITOS</t>
  </si>
  <si>
    <t>SHAMPOO Y ACONDICIONADOR 2 EN 1 UNISEX</t>
  </si>
  <si>
    <t>TRAPEADOR DE MOPA</t>
  </si>
  <si>
    <t>VENENO PARA EXTERMINAR RATAS</t>
  </si>
  <si>
    <t>VENENO PARA EXTERMINAR ZANCUDOS</t>
  </si>
  <si>
    <t>TOALLA SANITARIA SUPER ABSORBENTE</t>
  </si>
  <si>
    <t>ALFOMBRA ERGÓNOMICA ANTIFATIGA</t>
  </si>
  <si>
    <t>LISTON DE TELA</t>
  </si>
  <si>
    <t>ACEITE DILUYENTE PARA TINTA</t>
  </si>
  <si>
    <t>ALAMBRE PARA MÁQUINA ENGRAPADORA</t>
  </si>
  <si>
    <t>BORRADOR LIQUIDO PARA PLANCHAS</t>
  </si>
  <si>
    <t>COVER FILM PARA SELLOS DE HULE</t>
  </si>
  <si>
    <t>ESPONJA PARA HUMETAR PLANCHAS</t>
  </si>
  <si>
    <t>FIJADOR DE PELÍCULA DE ACETATO</t>
  </si>
  <si>
    <t>FOTOPOLIMERO GELL PARA SELLOS DE HULE</t>
  </si>
  <si>
    <t>FUNDA PARA RODILLOS MOJADORES</t>
  </si>
  <si>
    <t>GAS PARA LIMPIEZA</t>
  </si>
  <si>
    <t>GOMA CONSERVADORA PARA IMPRENTA</t>
  </si>
  <si>
    <t>HOJA DE SUSTRATO PARA SELLOS DE HULE</t>
  </si>
  <si>
    <t>LISTONES DE CORTES PARA GUILLOTINA</t>
  </si>
  <si>
    <t>MANTILLA INFERIOR PARA MAQUINA KORD</t>
  </si>
  <si>
    <t>MANTILLA INFERIOR PARA MÁQUINA MOE</t>
  </si>
  <si>
    <t>MANTILLA SUPERIOR PARA MAQUINA AB-DICK P</t>
  </si>
  <si>
    <t>MANTILLA SUPERIOR PARA MAQUINA KORD</t>
  </si>
  <si>
    <t>MANTILLA SUPERIOR PARA MÁQUINA MOE</t>
  </si>
  <si>
    <t>PASTA POSCOLOR PARA RODILLOS</t>
  </si>
  <si>
    <t>PELÍCULA DE ACETATO PARA NEGATIVOS</t>
  </si>
  <si>
    <t>PLANCHAS DE ALUMINIO PARA MÁQUINA KORD Y</t>
  </si>
  <si>
    <t>PLIEGO DE DURAPAX</t>
  </si>
  <si>
    <t>SETS DE REVELADOR DE PELÍCULA AYB</t>
  </si>
  <si>
    <t>SOLUCIÓN PARA LA FUENTE EN OFSETT</t>
  </si>
  <si>
    <t>SOLUCIÓN PARA LAVADO DE RODILLOS DE MÁQU</t>
  </si>
  <si>
    <t>TINTA COLOR AMARILLO PROCESO</t>
  </si>
  <si>
    <t>TINTA COLOR BLANCO OPACO</t>
  </si>
  <si>
    <t>TINTA COLOR BLANCO TRANSPARENTE</t>
  </si>
  <si>
    <t>TINTA COLOR ROJO PROCESO</t>
  </si>
  <si>
    <t>TAPADERA PLASTICA P/VASO DESCARTABLE</t>
  </si>
  <si>
    <t>VASO CONICO DE 4 ONZ.</t>
  </si>
  <si>
    <t>VASO DESCARTABLE DE DURAPAX DE 8 ONZAS</t>
  </si>
  <si>
    <t>VASO PLÁSTICO DESECHABLE DE 5 ONZAS</t>
  </si>
  <si>
    <t>PICHEL PLASTICO VARIAS CAPACIDADES</t>
  </si>
  <si>
    <t>PORTAVASOS DIFERENTES TIPOS</t>
  </si>
  <si>
    <t>TAZA DE 6 ONZAS</t>
  </si>
  <si>
    <t>VASO DE VIDRIO DE 16 ONZAS</t>
  </si>
  <si>
    <t>VASO DE VIDRIO DE 8 ONZAS</t>
  </si>
  <si>
    <t>PLATO DIVIDIDO DESECHABLE # 9</t>
  </si>
  <si>
    <t>BOLSA  DE GABACHA DE POLIPEL # 5</t>
  </si>
  <si>
    <t>BOLSA PLASTICA TRANSPARENTE 70 X 50 CM</t>
  </si>
  <si>
    <t>BOLSA PLASTICA TRANSPARENTE DE 5 LIBRAS</t>
  </si>
  <si>
    <t>PAÑAL DESECHABLE PARA PREMATURO</t>
  </si>
  <si>
    <t>PAÑAL DESECHABLE PARA RECIEN NACIDO</t>
  </si>
  <si>
    <t>FOAMY VARIOS COLORES PARA MANUALIDADES</t>
  </si>
  <si>
    <t>FUNDA PLASTICA PARA LAMINAR</t>
  </si>
  <si>
    <t>MANECILLAS DE MADERA PARA SELLOS DE HULE</t>
  </si>
  <si>
    <t>DELANTAL PARA ACIDOS</t>
  </si>
  <si>
    <t>BOLSA PLAST MEDIANA COLOR VERDE</t>
  </si>
  <si>
    <t>FRASCO DE POLIETILENO DE 500 CC</t>
  </si>
  <si>
    <t>PAPEL HIGIENICO P/DISPENSADORES</t>
  </si>
  <si>
    <t>BIBERON PARA RECIEN NACIDO</t>
  </si>
  <si>
    <t>HUACALES PLASTICOS DE DIFERENTES MEDIDAS</t>
  </si>
  <si>
    <t>PELOTA DE 20 CM DE DIAMETRO</t>
  </si>
  <si>
    <t>PELOTA TENIS DE MESA 38 - 40 MM DIAMETRO</t>
  </si>
  <si>
    <t>PISTOLA PARA SILICON</t>
  </si>
  <si>
    <t>SILICON EN BARRA PARA MANUALIDADES</t>
  </si>
  <si>
    <t>TOLDO DE POLYETINELO 12X20 PIES</t>
  </si>
  <si>
    <t>BOTA DE HULE DIFERENTES TALLAS</t>
  </si>
  <si>
    <t>VASO DE  VIDRIO CAPACIDAD 12 ONZAS</t>
  </si>
  <si>
    <t>PAJILLA FORRADA CON ACORDEON.</t>
  </si>
  <si>
    <t>ABRELATAS INDUSTRIAL DE 16"</t>
  </si>
  <si>
    <t>BANDEJA PLASTICA GRANDE MEDIDAS 14X 18</t>
  </si>
  <si>
    <t>CUCHARITA DESCARTABLE; C/U.</t>
  </si>
  <si>
    <t>CUCHILLO DE ACERO INOXIDABLE, DE 4".</t>
  </si>
  <si>
    <t>CUCHILLO DE ACERO INOXIDABLE, DE 9".</t>
  </si>
  <si>
    <t>OLLA DE ALUMINIO, CAP. 30 CMS X 30 CMS</t>
  </si>
  <si>
    <t>OLLA DE ALUMINIO, CAP. 50 CMS X 50 CMS</t>
  </si>
  <si>
    <t>PELADORES DE VERDURAS, MANUALES</t>
  </si>
  <si>
    <t>PLATO PEQUEÑO N- 6  P/ POSTRE</t>
  </si>
  <si>
    <t>RALLADOR ACERO 4 LADOS</t>
  </si>
  <si>
    <t>TIJERA PARA CORTAR POLLOS</t>
  </si>
  <si>
    <t>TINA DE ALUMINIO (TIPO HUACAL)</t>
  </si>
  <si>
    <t>BRAZALETE IDENTIFICACIÓN PARA ADULTO</t>
  </si>
  <si>
    <t>REMOVEDORES PARA BEBIDAS</t>
  </si>
  <si>
    <t>ESTUCHE DE TELEFONO MOVIL</t>
  </si>
  <si>
    <t>TONER HP MODELO C7115A</t>
  </si>
  <si>
    <t>TONER PARA FAX MARCA BROTHER MODELO 575</t>
  </si>
  <si>
    <t>TONER PARA IMPRESOR HP 3420 C8727</t>
  </si>
  <si>
    <t>TONER PARA IMPRESOR HP 3600 Q6471A CYAN</t>
  </si>
  <si>
    <t>TONER PARA IMPRESOR HP DESKJET 122 COLOR</t>
  </si>
  <si>
    <t>TONER PARA IMPRESOR HP LASER JET 1000</t>
  </si>
  <si>
    <t>TONER PARA IMPRESOR HP LASER JET P2014N</t>
  </si>
  <si>
    <t>TONER PARA IMPRESOR LEXMARK E-240</t>
  </si>
  <si>
    <t>TONER PARA IMPRESOR SAMSUNG ML 1665</t>
  </si>
  <si>
    <t>Cinta Impresor Epson TMU 220PA</t>
  </si>
  <si>
    <t>Cinta Impresor Matricial Epson FX 890</t>
  </si>
  <si>
    <t>Cinta Impresor Matricial EPSON LQ 590</t>
  </si>
  <si>
    <t>CINTA IMPRESOR MATRICIAL Lexmark 2400</t>
  </si>
  <si>
    <t>CINTA IMPRESOR MATRICIAL Lexmark 2500</t>
  </si>
  <si>
    <t>CINTA IMPRESORA CITIZEN MOD. GX200</t>
  </si>
  <si>
    <t>CINTA IMPRESORA EPSON 1050</t>
  </si>
  <si>
    <t>CINTA IMPRESORA EPSON LQ- 1170</t>
  </si>
  <si>
    <t>CINTA IMPRESORA EPSON LQ-2070.</t>
  </si>
  <si>
    <t>CINTA IMPRESORA EPSON LQ-2550</t>
  </si>
  <si>
    <t>CINTA P/IMPRESOR PANASONIC KX-P 170</t>
  </si>
  <si>
    <t>CINTA PARA IMPRESOR EPSON  S-015086</t>
  </si>
  <si>
    <t>CINTA PARA IMPRESOR EPSON FX 1170</t>
  </si>
  <si>
    <t>CINTA PARA IMPRESOR EPSON LQ-1070</t>
  </si>
  <si>
    <t>CINTA PARA IMPRESOR KX- P 115 I.</t>
  </si>
  <si>
    <t>CINTA PARA IMPRESOR LASSER XEROX 3320</t>
  </si>
  <si>
    <t>CINTA PARA IMPRESOR MARCA EPSON FX 180</t>
  </si>
  <si>
    <t>CINTA PARA MAQUINA IMPRESORA IBM 6262-01</t>
  </si>
  <si>
    <t>CINTA TIPO PANASONIC KX-P181</t>
  </si>
  <si>
    <t>RIBBON SHIELD PARA IMPRESOR GENICONM.</t>
  </si>
  <si>
    <t>TAPE CARTRIDGE CINTA PARA RESPALDO</t>
  </si>
  <si>
    <t>TONER IMPRESOR EPSON PRO 400</t>
  </si>
  <si>
    <t>CARTUCHO CANON BX-3 NEGRO</t>
  </si>
  <si>
    <t>CARTUCHO DE INYECCION A COLOR HP 51649A</t>
  </si>
  <si>
    <t>CARTUCHO DE INYECCION DE TINTA C.NEGRO</t>
  </si>
  <si>
    <t>CARTUCHO DE TINTA LEXMARK 12A1980 COLOR</t>
  </si>
  <si>
    <t>Cartucho Impresor Canon MP230 NEGRO</t>
  </si>
  <si>
    <t>Cartucho Impresor Canon MX 391 NEGRO</t>
  </si>
  <si>
    <t>Cartucho Impresor HP Desk Jet 6540 NEGRO</t>
  </si>
  <si>
    <t>CARTUCHO P/IMPRESOR HEWLETT DESKJET 610C</t>
  </si>
  <si>
    <t>CARTUCHO PARA IMPRESOR CANON BC-02</t>
  </si>
  <si>
    <t>CARTUCHO PARA IMPRESOR HP 372 C</t>
  </si>
  <si>
    <t>CARTUCHO PARA TAPE BACK-UP.(COLORADO)</t>
  </si>
  <si>
    <t>TINTA PARA IMPRESOR C-3903A</t>
  </si>
  <si>
    <t>TINTA PARA IMPRESOR LASER JET 82298 A</t>
  </si>
  <si>
    <t>G</t>
  </si>
  <si>
    <t>L</t>
  </si>
  <si>
    <t>ACTIVI.REALIZADAS DE EDUCA.EN SALUD C.A.</t>
  </si>
  <si>
    <t>ACTIVIDADES DE TRABAJO SOCIAL (OLDD)</t>
  </si>
  <si>
    <t>BACTERIOLOGIA ANTIBIOGRAMA</t>
  </si>
  <si>
    <t>CITA PARA EXAMENES DE LABORATORIO</t>
  </si>
  <si>
    <t>CLASIFICACION DE RIESGO MENSUAL</t>
  </si>
  <si>
    <t>CONTROL DE BIOLOGICOS A NIVEL LOCAL</t>
  </si>
  <si>
    <t>CONTROL DE MEDICAMENTOS</t>
  </si>
  <si>
    <t>CUESTIONARIO DE EVALUACION FAMILIAR</t>
  </si>
  <si>
    <t>ETIQUETA "A" P/MANEJO DE DESECHOS BIOINF</t>
  </si>
  <si>
    <t>EVALUACION COGNITIVA (MMSE) MODIFICADA</t>
  </si>
  <si>
    <t>EVALUACION PRE-ANESTESICA</t>
  </si>
  <si>
    <t>FICHA DE EVALUACION DE DONANTE</t>
  </si>
  <si>
    <t>FICHA DE ODONTOLOGIA PREVENTIVA INFANTIL</t>
  </si>
  <si>
    <t>FICHA ODONTOLOGICA PEDIATRICA</t>
  </si>
  <si>
    <t>GRAFICOS CRECIMIENTO NIÑA DE 0-24 MESES</t>
  </si>
  <si>
    <t>GRAFICOS CRECIMIENTO NIÑO DE 0-24 MESES</t>
  </si>
  <si>
    <t>HISTORIA CLINICA PSICOLOGICA INICIAL</t>
  </si>
  <si>
    <t>HOJA DE IDENTIFICACION DE PACIENTE</t>
  </si>
  <si>
    <t>HOJA DE INDICACIONES NUTRICIONALES</t>
  </si>
  <si>
    <t>HOJA DE INSATISFACCION DE PACIENTES</t>
  </si>
  <si>
    <t>HOJA DE SINTESIS</t>
  </si>
  <si>
    <t>HOJA DE SUGERENCIA</t>
  </si>
  <si>
    <t>HOJA FILTRO. BLOCK DE 100 HOJAS</t>
  </si>
  <si>
    <t>IDENTIFIC GRAL RIESGO DE ENF CRON MENTAL</t>
  </si>
  <si>
    <t>INFORME DE VISITA DOMICILIAR</t>
  </si>
  <si>
    <t>INFORME SOCIAL</t>
  </si>
  <si>
    <t>MEDICAMENTO NO ENTREGADO</t>
  </si>
  <si>
    <t>PRUEBAS ESPECIALES Y HORMONAS</t>
  </si>
  <si>
    <t>RECETA PEDIATRICA PARA USO REPETITIVO</t>
  </si>
  <si>
    <t>REGISTRO DE LA ATENCION NUTRICIONAL</t>
  </si>
  <si>
    <t>REQUISICION DE MATERIA PRIMA A BODEGA</t>
  </si>
  <si>
    <t>REQUISICION DE USO DE SERVICIO</t>
  </si>
  <si>
    <t>RESUMEN DE TRATAMIENTO. PROGRAMA OLDD</t>
  </si>
  <si>
    <t>SOLICITUD DE CAMBIO DE MEDICO</t>
  </si>
  <si>
    <t>SOLICITUD DE CARGA VIRAL</t>
  </si>
  <si>
    <t>SOLICITUD DE HEMOSTASIA</t>
  </si>
  <si>
    <t>UROANALISIS.</t>
  </si>
  <si>
    <t>VIÑETA USO EXTERNO COLOR ROJO Nº 1</t>
  </si>
  <si>
    <t>VIÑETA USO EXTERNO COLOR ROJO Nº 2</t>
  </si>
  <si>
    <t>VIÑETA USO EXTERNO COLOR ROJO Nº 3</t>
  </si>
  <si>
    <t>VIÑETA USO EXTERNO COLOR ROJO Nº 4</t>
  </si>
  <si>
    <t>VIÑETA USO EXTERNO COLOR ROJO Nº 5</t>
  </si>
  <si>
    <t>VIÑETA USO INTERNO COLOR AZUL Nº 1</t>
  </si>
  <si>
    <t>VIÑETA USO INTERNO COLOR AZUL Nº 2</t>
  </si>
  <si>
    <t>VIÑETA USO INTERNO COLOR AZUL Nº 3</t>
  </si>
  <si>
    <t>VIÑETA USO INTERNO COLOR AZUL Nº 4</t>
  </si>
  <si>
    <t>VIÑETA USO INTERNO COLOR AZUL Nº 5</t>
  </si>
  <si>
    <t>VIÑETA USO INTERNO COLOR AZUL Nº 6</t>
  </si>
  <si>
    <t>VIÑETA USO INTERNO COLOR AZUL Nº 7</t>
  </si>
  <si>
    <t>EMPASTADO Y ENCUADERNADO</t>
  </si>
  <si>
    <t>SOLICITUD INSCRIP. Y/O BAJA BENEFI.COPIA</t>
  </si>
  <si>
    <t>TARJETA DE BENEFICIARIA.,TARJETA.</t>
  </si>
  <si>
    <t>TARJETAS DE INVITACION</t>
  </si>
  <si>
    <t>TARJETAS DE PRESENTACION</t>
  </si>
  <si>
    <t>BATA DE TELA BLANCA TIPO OXFORD, TALLA L</t>
  </si>
  <si>
    <t>MEDIA SABANA DE MANTA VERDE, DOBLE TELA</t>
  </si>
  <si>
    <t>SABANA GINECOLOGICA DE MANTA VERDE</t>
  </si>
  <si>
    <t>SABANA PARA LAPARATOMIA DE MANTA VERDE</t>
  </si>
  <si>
    <t>FUNDA PARA MESA MAYO DE MANTA VERDE</t>
  </si>
  <si>
    <t>TOALLA AZUL CON LOGO DEL ISSS</t>
  </si>
  <si>
    <t>M</t>
  </si>
  <si>
    <t>ACCESORIOS PARA SELLO DE HULE</t>
  </si>
  <si>
    <t>CLIPS PARA CARNET DE IDENTIFICACION</t>
  </si>
  <si>
    <t>DESENGRAPADOR METALICO TIPO PESADO</t>
  </si>
  <si>
    <t>DISPENSADOR PARA CINTA ADHESIVA DE 2".</t>
  </si>
  <si>
    <t>FASTENER TIPO GUSANO</t>
  </si>
  <si>
    <t>MARCO METALICO PARA ARCHIVADOR COLGANTE</t>
  </si>
  <si>
    <t>SELLO AUTOMATICO DE PLASTICO 14 X 38 mm.</t>
  </si>
  <si>
    <t>SELLO DE HULE CON FECHADOR INCORPORADO</t>
  </si>
  <si>
    <t>SELLO NUMERADOR DE 8 DIGITOS 5 MM</t>
  </si>
  <si>
    <t>TABLA PARA SUJETAR PAPEL CON CLIP</t>
  </si>
  <si>
    <t>CARTULINA CORRUGADA PARA MANUALIDADES</t>
  </si>
  <si>
    <t>PAPEL BOND BLANCO PARA CONTOMETRO 2 3/4"</t>
  </si>
  <si>
    <t>PAPEL BOND TAMAÑO CARTA VARIOS COLORES</t>
  </si>
  <si>
    <t>PAPEL CRESPON DE VARIOS COLORES</t>
  </si>
  <si>
    <t>PAPEL DE CHINA, VARIOS COLORES.</t>
  </si>
  <si>
    <t>PAPEL DECORATIVO</t>
  </si>
  <si>
    <t>PAPEL PARA FAX  MARCA PANASONIC KX-FT501</t>
  </si>
  <si>
    <t>PAPEL PARA IMPRESOR TMU DE 2 3/4"</t>
  </si>
  <si>
    <t>PAPEL PARA REGALO DE VARIOS DISEÑOS</t>
  </si>
  <si>
    <t>PAPEL ROTAFOLIO</t>
  </si>
  <si>
    <t>PLIEGO DE CARTONCILLO</t>
  </si>
  <si>
    <t>CAJA DE COLORES (ESPECIFICAR)</t>
  </si>
  <si>
    <t>MINA PARA BOLIGRAFO</t>
  </si>
  <si>
    <t>PINCELES, SET DE 6 UNIDADES</t>
  </si>
  <si>
    <t>RAPIDOGRAF, VARIAS MARCAS Y NUMEROS.</t>
  </si>
  <si>
    <t>RAPIDOGRAFF DESCARTABLES VARIOS NUMEROS</t>
  </si>
  <si>
    <t>ENGRAPADORA TIPO PESADO</t>
  </si>
  <si>
    <t>FICHERO PARA BIBLIOTECA VARIAS MEDIDAS.</t>
  </si>
  <si>
    <t>GLICERINE MOJA DEDOS.</t>
  </si>
  <si>
    <t>PAPELERAS ACRILICAS</t>
  </si>
  <si>
    <t>PORTA SELLOS DE UN PISO</t>
  </si>
  <si>
    <t>ROLLO DE CINTA BANDERA DIFERENTES MEDIDA</t>
  </si>
  <si>
    <t>SACAPUNTA ELECTRICO.</t>
  </si>
  <si>
    <t>TIJERAS METALICAS DE 7 A 8 PULGADAS.</t>
  </si>
  <si>
    <t>BOLLOS DE PITA DE MEZCAL</t>
  </si>
  <si>
    <t>CANASTA NAVIDEÑA</t>
  </si>
  <si>
    <t>DISPENSADOR PARA PAPEL TOALLA</t>
  </si>
  <si>
    <t>GANCHOS DE ROPA DIFERENTES MEDIDAS</t>
  </si>
  <si>
    <t>KIT DE CUERDAS DE NYLON PARA GUITARRA</t>
  </si>
  <si>
    <t>MANTELES PARA MESA DE HONOR</t>
  </si>
  <si>
    <t>PALILLO DE DIENTES (MONDADIENTES)</t>
  </si>
  <si>
    <t>RETAZOS DE TELA PARA MANUALIDADES</t>
  </si>
  <si>
    <t>AGUJA No 16 PARA MAQUINA DE COSER CUERO</t>
  </si>
  <si>
    <t>AGUJA No 18 PARA MAQUINA DE COSER CUERO</t>
  </si>
  <si>
    <t>AGUJA No 20 PARA MAQUINA DE COSER CUERO</t>
  </si>
  <si>
    <t>ALFILERES DIFERENTES MEDIDAS</t>
  </si>
  <si>
    <t>CHALECOS REFLECTIVOS VARIOS COLORES</t>
  </si>
  <si>
    <t>LINTERNA LUMINOSA SEÑALIZACION ROJA</t>
  </si>
  <si>
    <t>BLOCK MULTICOLUMNAR, DE 12 COLUMNAS</t>
  </si>
  <si>
    <t>BLOCK MULTICOLUMNAR, DE 14 COLUMNAS</t>
  </si>
  <si>
    <t>BLOCK MULTICOLUMNAR, DE 16 COLUMNAS.</t>
  </si>
  <si>
    <t>BLOCK MULTICOLUMNAR, DE 18 COLUMNAS</t>
  </si>
  <si>
    <t>BLOCK MULTICOLUMNAR, DE 3 COLUMNAS</t>
  </si>
  <si>
    <t>BLOCK MULTICOLUMNAR, DE 30 COLUMNAS</t>
  </si>
  <si>
    <t>BLOCK MULTICOLUMNAR, DE 8 COLUMNAS.</t>
  </si>
  <si>
    <t>LIBRO DE APRESTO (MATERIAL DIDACTICO)</t>
  </si>
  <si>
    <t>LIBRO PARA COLOREAR</t>
  </si>
  <si>
    <t>ORDER BOOK, TAMAÑO OFICIO</t>
  </si>
  <si>
    <t>PAPEL RAYADO, TAMAÐO OFICIO.</t>
  </si>
  <si>
    <t>CUBRE MESA DE MANTA VERDE, DOBLE TELA</t>
  </si>
  <si>
    <t>MOSQUITERO PARA CUNA</t>
  </si>
  <si>
    <t>CANASTILLA MATERNAL CONFORMADA</t>
  </si>
  <si>
    <t>FORMULA 15-15-15 FÍSICA (TRIPLE 15)</t>
  </si>
  <si>
    <t>GRAMA PARA JARDÍN</t>
  </si>
  <si>
    <t>HERBICIDA LIQUIDO PARA JARDINERIA</t>
  </si>
  <si>
    <t>MACETA CON PLANTA ORNAMENTAL</t>
  </si>
  <si>
    <t>PLANTA VERDE CON BASE COLOR NEGRO 42"</t>
  </si>
  <si>
    <t>PLANTAS ORNAMENTALES</t>
  </si>
  <si>
    <t>SULFATO DE AMONIO ABONO PARA GRAMA</t>
  </si>
  <si>
    <t>BADANA NATURAL (FORRO). PIE</t>
  </si>
  <si>
    <t>CARNAZA SUELA (TIPO CROMO). LIBRA</t>
  </si>
  <si>
    <t>CORCHO DE 3/8". PLIEGO</t>
  </si>
  <si>
    <t>CUERO NAPA COLOR BEIGE. PIE</t>
  </si>
  <si>
    <t>CUERO NAPA COLOR CAFE. PIE</t>
  </si>
  <si>
    <t>CUERO NAPA COLOR NEGRO. PIE</t>
  </si>
  <si>
    <t>CUERO OSCARIA COLOR CAFÉ</t>
  </si>
  <si>
    <t>CUERO OSCARIA COLOR NEGRO. PIE</t>
  </si>
  <si>
    <t>PEGAMENTO CEMENTO PARA CALZADO. GALON</t>
  </si>
  <si>
    <t>SUELA DE CUERO RES CRUPON GRUESA. LIBRA</t>
  </si>
  <si>
    <t>SUELA DE CUERO RES DELGADA. LIBRA</t>
  </si>
  <si>
    <t>TACHUELA #4 PARA ZAPATERIA. LIBRA</t>
  </si>
  <si>
    <t>TINTE BARNIZ PARA CUERO. FRASCO</t>
  </si>
  <si>
    <t>TRICOT (FORRO ESPONJOSO). YARDA</t>
  </si>
  <si>
    <t>YESO EN POLVO. LIBRA</t>
  </si>
  <si>
    <t>ELIMINA CINTA BICOLOR PARA CONTOMETRO</t>
  </si>
  <si>
    <t>ELIMINADO PALO PARA MOPA</t>
  </si>
  <si>
    <t>ELIMINADO. HOJAS DE AFEITAR</t>
  </si>
  <si>
    <t>JERINGA CARPULE</t>
  </si>
  <si>
    <t>FOCO PARA LARINGOSCOPIO</t>
  </si>
  <si>
    <t>CÁNULA DE TRAQUEOSTOMIA METÁLICA # 11</t>
  </si>
  <si>
    <t>CÁNULA PARA TRAQUEOTOMÍA DE 12 MM</t>
  </si>
  <si>
    <t>TUBO STANDAR EN "T" DE MONTGOMERY # 12</t>
  </si>
  <si>
    <t>TUBO STANDAR EN "T" DE MONTGOMERY # 14</t>
  </si>
  <si>
    <t>TUBO STANDAR EN "T" DE MONTGOMERY # 16</t>
  </si>
  <si>
    <t>SISTEMA LINEAL DE ANESTESIA DE 25 ML</t>
  </si>
  <si>
    <t>SISTEMA LINEAL DE ANESTESIA DE 50 ML</t>
  </si>
  <si>
    <t>COPA O TAZA DAPPEN DE PLÁSTICO</t>
  </si>
  <si>
    <t>EYECTOR DE SALIVA DESCARTABLE</t>
  </si>
  <si>
    <t>COPA DE HULE PARA CONTRÁNGULO DE PASADOR</t>
  </si>
  <si>
    <t>PAPEL DE ARTICULAR, EN LIBRETA</t>
  </si>
  <si>
    <t>CALIBRADOR DE GUTAPERCHA</t>
  </si>
  <si>
    <t>MECHERO PARA ALCOHOL, DE VIDRIO O METAL</t>
  </si>
  <si>
    <t>DENTOFORMO ARMADO PARA NIÑO</t>
  </si>
  <si>
    <t>CÁNULA PARA PUNCIÓN AMSLER</t>
  </si>
  <si>
    <t>ASPIRACIÓN  EN MIRINGOCENTESIS 3 FRENCH</t>
  </si>
  <si>
    <t>ASPIRACIÓN EN MIRINGOCENTESIS 5 FRENCH</t>
  </si>
  <si>
    <t>CÁNULA DE SUCCIÓN Y COAGULACIÓN LANDOLT</t>
  </si>
  <si>
    <t>CATÉTER LEFORT METÁLICO DE TORNILLO # 22</t>
  </si>
  <si>
    <t>BUJIA FILIFORME ACODADA # 4</t>
  </si>
  <si>
    <t>BUJIA FILIFORME ACODADA # 5</t>
  </si>
  <si>
    <t>BUJIA FILIFORME ACODADA # 6</t>
  </si>
  <si>
    <t>BUJIA FILIFORME EN ESPIRAL # 4</t>
  </si>
  <si>
    <t>BUJIA FILIFORME EN ESPIRAL # 5</t>
  </si>
  <si>
    <t>BUJIA FILIFORME EN ESPIRAL # 6</t>
  </si>
  <si>
    <t>BUJIA FILIFORME RECTA # 4</t>
  </si>
  <si>
    <t>BUJIA FILIFORME RECTA # 5</t>
  </si>
  <si>
    <t>BUJIA FILIFORME RECTA # 6</t>
  </si>
  <si>
    <t>CATÉTER LEFORT METÁLICO DE TORNILLO # 12</t>
  </si>
  <si>
    <t>CATÉTER LEFORT METÁLICO DE TORNILLO # 14</t>
  </si>
  <si>
    <t>CATÉTER LEFORT METÁLICO DE TORNILLO # 16</t>
  </si>
  <si>
    <t>CATÉTER LEFORT METÁLICO DE TORNILLO # 18</t>
  </si>
  <si>
    <t>CATÉTER LEFORT METÁLICO DE TORNILLO # 20</t>
  </si>
  <si>
    <t>CATÉTER METÁLICO URETRAL FEMENINO # 2</t>
  </si>
  <si>
    <t>CATÉTER METÁLICO URETRAL FEMENINO # 3</t>
  </si>
  <si>
    <t>CATÉTER METÁLICO URETRAL FEMENINO # 7</t>
  </si>
  <si>
    <t>CATÉTER METÁLICO URETRAL FEMENINO #4</t>
  </si>
  <si>
    <t>CATÉTER METÁLICO URETRAL FEMENINO #5</t>
  </si>
  <si>
    <t>CONDUCTOR DE SONDA MALEABLE.</t>
  </si>
  <si>
    <t>DILATADOR LAGRIMAL "BOWMAN" 00-0.</t>
  </si>
  <si>
    <t>SONDA ACANALADA, PUNTA ABOTONADA.</t>
  </si>
  <si>
    <t>DILATADOR TRAQUEAL LABORDE</t>
  </si>
  <si>
    <t>CUCHARILLA CORTANTE BRUNS, RECTA, # 0</t>
  </si>
  <si>
    <t>CUCHARILLA CORTANTE BRUNS, RECTA, # 00</t>
  </si>
  <si>
    <t>CUCHARILLA CORTANTE BRUNS, RECTA, # 000</t>
  </si>
  <si>
    <t>CUCHARILLA CORTANTE BRUNS, RECTA, # 0000</t>
  </si>
  <si>
    <t>CURETA CORTANTE BRUNS, RECTA, # 1</t>
  </si>
  <si>
    <t>CURETA CORTANTE BRUNS, RECTA, # 2</t>
  </si>
  <si>
    <t>CURETA CORTANTE BRUNS, RECTA, # 3</t>
  </si>
  <si>
    <t>CURETA CORTANTE BRUNS, RECTA, # 4</t>
  </si>
  <si>
    <t>CURETA CORTANTE BRUNS, RECTA, # 5</t>
  </si>
  <si>
    <t>CURETA CORTANTE BRUNS, RECTA, # 6</t>
  </si>
  <si>
    <t>CURETA CORTANTE SPRAT # 1</t>
  </si>
  <si>
    <t>CURETA CORTANTE SPRAT # 2</t>
  </si>
  <si>
    <t>CURETA CORTANTE SPRAT # 3</t>
  </si>
  <si>
    <t>CURETA CORTANTE SPRAT # 4</t>
  </si>
  <si>
    <t>CURETA CORTANTE SPRAT, CUCHARILLA # 0</t>
  </si>
  <si>
    <t>CURETA CORTANTE SPRAT, CUCHARILLA # 00</t>
  </si>
  <si>
    <t>CURETA CORTANTE SPRAT, CUCHARILLA # 000</t>
  </si>
  <si>
    <t>CURETA CORTANTE VOLKMANN, COPA DE 8 MM</t>
  </si>
  <si>
    <t>CURETA DE ADENOIDES BARNHILL DE 10 MM</t>
  </si>
  <si>
    <t>CURETA DE ADENOIDES BARNHILL DE 12 MM</t>
  </si>
  <si>
    <t>CURETA DE ADENOIDES BARNHILL DE 14 MM</t>
  </si>
  <si>
    <t>CURETA DE ADENOIDES BARNHILL DE 16 MM</t>
  </si>
  <si>
    <t>CURETA DE ADENOIDES BARNHILL DE 18 MM</t>
  </si>
  <si>
    <t>CURETA DE FUSIÓN ESPINAL, RECTA # 0</t>
  </si>
  <si>
    <t>CURETA DE FUSIÓN ESPINAL, RECTA # 6</t>
  </si>
  <si>
    <t>CURETA ESPINAL COBB # 0</t>
  </si>
  <si>
    <t>CURETA ESPINAL COBB # 00</t>
  </si>
  <si>
    <t>CURETA ESPINAL COBB # 000</t>
  </si>
  <si>
    <t>CURETA ESPINAL COBB # 1</t>
  </si>
  <si>
    <t>CURETA ESPINAL COBB # 2</t>
  </si>
  <si>
    <t>CURETA ESPINAL COBB # 3</t>
  </si>
  <si>
    <t>CURETA ESPINAL COBB # 4</t>
  </si>
  <si>
    <t>CURETA ESPINAL COBB # 5</t>
  </si>
  <si>
    <t>CURETA ESPINAL COBB # 6</t>
  </si>
  <si>
    <t>CURETA LEMPERT, COPA DE 1.8 MM</t>
  </si>
  <si>
    <t>CURETA PARA FUSIÓN ESPINAL, ANGULADA # 0</t>
  </si>
  <si>
    <t>CURETA PARA FUSIÓN ESPINAL, ANGULADA # 1</t>
  </si>
  <si>
    <t>CURETA PARA FUSIÓN ESPINAL, ANGULADA # 2</t>
  </si>
  <si>
    <t>CURETA PARA FUSIÓN ESPINAL, ANGULADA # 3</t>
  </si>
  <si>
    <t>CURETA PARA FUSIÓN ESPINAL, ANGULADA # 4</t>
  </si>
  <si>
    <t>CURETA PARA FUSIÓN ESPINAL, ANGULADA # 5</t>
  </si>
  <si>
    <t>CURETA PARA FUSIÓN ESPINAL, ANGULADA # 6</t>
  </si>
  <si>
    <t>CURETA PARA FUSIÓN ESPINAL, RECTA # 00</t>
  </si>
  <si>
    <t>CURETA PARA FUSIÓN ESPINAL, RECTA # 000</t>
  </si>
  <si>
    <t>CURETA PARA FUSIÓN ESPINAL, RECTA # 1</t>
  </si>
  <si>
    <t>CURETA PARA FUSIÓN ESPINAL, RECTA # 2</t>
  </si>
  <si>
    <t>CURETA PARA FUSIÓN ESPINAL, RECTA # 3</t>
  </si>
  <si>
    <t>CURETA PARA HUESO BUCK # 1</t>
  </si>
  <si>
    <t>CURETA PARA HUESO BUCK # 2</t>
  </si>
  <si>
    <t>CURETA PARA HUESO BUCK # 3</t>
  </si>
  <si>
    <t>CURETA SHEDE, COPA # 0</t>
  </si>
  <si>
    <t>CURETA SHEDE, COPA # 00</t>
  </si>
  <si>
    <t>CURETA SHEDE, COPA # 000</t>
  </si>
  <si>
    <t>CURETA SHEDE, COPA # 1</t>
  </si>
  <si>
    <t>CURETA SHEDE, COPA # 2</t>
  </si>
  <si>
    <t>CURETA SHEDE, COPA # 3</t>
  </si>
  <si>
    <t>CURETA SHEDE, COPA # 4</t>
  </si>
  <si>
    <t>CURETA LUCAS # 85, INOXIDABLE</t>
  </si>
  <si>
    <t>CURETA LUCAS # 88, INOXIDABLE</t>
  </si>
  <si>
    <t>CURETA UTERINA RECAMIER, CORTANTE # 6</t>
  </si>
  <si>
    <t>CURETA UTERINA WALLICH # 2</t>
  </si>
  <si>
    <t>CURETA UTERINA WALLICH # 3</t>
  </si>
  <si>
    <t>EXTRACTOR DOBLE DE COMEDONES UNNA</t>
  </si>
  <si>
    <t>ESPÉCULO NASAL VIENNA # 1</t>
  </si>
  <si>
    <t>ESPÉCULO NASAL VIENNA # 2</t>
  </si>
  <si>
    <t>ESPÉCULO NASAL VIENNA # 3</t>
  </si>
  <si>
    <t>ESPÉCULO NASAL VIENNA #4</t>
  </si>
  <si>
    <t>ESPÉCULO ENDOCERVICAL</t>
  </si>
  <si>
    <t>ESPÉCULO VAGINAL KRISTELLER, GRANDE</t>
  </si>
  <si>
    <t>ESPÉCULO VAGINAL KRISTELLER, MEDIANO</t>
  </si>
  <si>
    <t>ESPÉCULO VAGINAL KRISTELLER, PEQUEÑO</t>
  </si>
  <si>
    <t>ESPEJO LARÍNGEO CON MANGO # 0.</t>
  </si>
  <si>
    <t>ESPEJO LARÍNGEO CON MANGO # 1</t>
  </si>
  <si>
    <t>ESPEJO LARÍNGEO CON MANGO # 3</t>
  </si>
  <si>
    <t>ESPEJO LARÍNGEO CON MANGO # 4</t>
  </si>
  <si>
    <t>ESPEJO LARÍNGEO CON MANGO # 5</t>
  </si>
  <si>
    <t>ESPEJO LARINGEO CON MANGO # 9</t>
  </si>
  <si>
    <t>ESPEJO LARINGEO CON MANGO #00</t>
  </si>
  <si>
    <t>CINCEL LAMINAR, CORTE DE 6 MM</t>
  </si>
  <si>
    <t>CINCEL ALEXANDER, CORTE DE 10 MM</t>
  </si>
  <si>
    <t>CINCEL ALEXANDER, CORTE DE 12 MM</t>
  </si>
  <si>
    <t>CINCEL ALEXANDER, CORTE DE 14 MM</t>
  </si>
  <si>
    <t>CINCEL ALEXANDER, CORTE DE 8 MM</t>
  </si>
  <si>
    <t>CINCEL LAMINAR, CORTE DE 10 MM</t>
  </si>
  <si>
    <t>CINCEL LAMINAR, CORTE DE 2 MM</t>
  </si>
  <si>
    <t>CINCEL LAMINAR, CORTE DE 4 MM</t>
  </si>
  <si>
    <t>CINCEL LAMINAR, CORTE DE 8 MM</t>
  </si>
  <si>
    <t>CINCEL STILLE, CURVO, CORTE DE 10 MM</t>
  </si>
  <si>
    <t>CINCEL STILLE, RECTO, CORTE DE 10 MM</t>
  </si>
  <si>
    <t>CINCEL STILLE, RECTO, CORTE DE 12 MM</t>
  </si>
  <si>
    <t>CINCEL STILLE, RECTO, CORTE DE 15 MM</t>
  </si>
  <si>
    <t>CINCEL STILLE, RECTO, CORTE DE 18 MM</t>
  </si>
  <si>
    <t>CINCEL STILLE, RECTO, CORTE DE 22 MM</t>
  </si>
  <si>
    <t>CINCEL STILLE, RECTO, CORTE DE 24 MM</t>
  </si>
  <si>
    <t>CINCEL STILLE, RECTO, CORTE DE 30 MM</t>
  </si>
  <si>
    <t>CINCEL U. S. ARMY, RECTO, CORTE DE 18 MM</t>
  </si>
  <si>
    <t>CIZALLA LISTÓN KEY (HORSLEY)</t>
  </si>
  <si>
    <t>MARTILLO GERZOG, DE 14-16 ONZAS</t>
  </si>
  <si>
    <t>MARTILLO OMBREDANNE</t>
  </si>
  <si>
    <t>MARTILLO SÓLIDO DE 2 LIBRAS</t>
  </si>
  <si>
    <t>EXTRACTOR DE GRAPAS</t>
  </si>
  <si>
    <t>EXTRACTOR PARA PRÓTESIS DE MOORE</t>
  </si>
  <si>
    <t>ELEVADOR DE PERIOSTIO PRICHARD #3</t>
  </si>
  <si>
    <t>ELEVADOR DE PERIOSTIO HOURIGAN #2</t>
  </si>
  <si>
    <t>COSTOTOMO COLLIN, 17-20 CM DE LONGITUD</t>
  </si>
  <si>
    <t>ELEVADOR DE HUESO BENNETT, GRANDE</t>
  </si>
  <si>
    <t>ELEVADOR DE HUESO BENNETT, PEQUEÑO</t>
  </si>
  <si>
    <t>OSTEÓTOMO KERRISON, CORTE DE 1 MM</t>
  </si>
  <si>
    <t>OSTEÓTOMO KERRISON, CORTE DE 2 MM</t>
  </si>
  <si>
    <t>OSTEÓTOMO KERRISON, CORTE DE 3 MM</t>
  </si>
  <si>
    <t>OSTEÓTOMO KERRISON, CORTE DE 4 MM</t>
  </si>
  <si>
    <t>OSTEÓTOMO LAMBOTTE, CORTE RECTO DE 4 MM</t>
  </si>
  <si>
    <t>OSTEÓTOMO LAMBOTTE, CORTE RECTO DE 8 MM</t>
  </si>
  <si>
    <t>OSTEÓTOMO TIPO COTTLE, RECTO, 4 MM</t>
  </si>
  <si>
    <t>OSTEÓTOMO TIPO COTTLE, RECTO,6MM</t>
  </si>
  <si>
    <t>OSTEÓTOMO TIPO COTTLE, RECTO, 8 MM</t>
  </si>
  <si>
    <t>OSTEÓTOMO U. S. ARMY, CORTE DE 10 MM</t>
  </si>
  <si>
    <t>OSTEÓTOMO U. S. ARMY, CORTE DE 12 MM</t>
  </si>
  <si>
    <t>SOSTENEDOR DE INJERTO ÓSEO</t>
  </si>
  <si>
    <t>PINZA PARA SUJETAR HUESO</t>
  </si>
  <si>
    <t>PINZAS PARA APRISIONAR CUERPOS LIBRES.</t>
  </si>
  <si>
    <t>TUTOR O FIJADOR EXTERNO, PARA TIBIA. SET</t>
  </si>
  <si>
    <t>TUTOR EXTERNO DE PELVIS</t>
  </si>
  <si>
    <t>CEPILLO PARA CANAL MEDULAR</t>
  </si>
  <si>
    <t>GUÍA PARA MEDIR PROFUNDIDAD DE LA RASPA</t>
  </si>
  <si>
    <t>RASPADOR  DE  LANDOLT-REULEN  DE 2.2 MM</t>
  </si>
  <si>
    <t>RASPADOR  DE  LANDOLT-REULEN  DE 3.2 MM</t>
  </si>
  <si>
    <t>INSTRUMENTO DE PROFILAXIS, ZERFIN, RECTO</t>
  </si>
  <si>
    <t>BROCA DE 2 MM DE DIÁMETRO</t>
  </si>
  <si>
    <t>BROCA DE 2.5 MM DE DIÁMETRO</t>
  </si>
  <si>
    <t>BROCA DE 2.7 MM DE DIÁMETRO</t>
  </si>
  <si>
    <t>BROCA DE 2.8 X 50 MM</t>
  </si>
  <si>
    <t>BROCA DE 3.2 MM DE DIÁMETRO</t>
  </si>
  <si>
    <t>BROCA DE 3.5 MM DE DIÁMETRO</t>
  </si>
  <si>
    <t>BROCA DE 4.5 MM DE DIÁMETRO</t>
  </si>
  <si>
    <t>BROCA REDONDA PARA NEURÁTOMO</t>
  </si>
  <si>
    <t>GUÍA DE BROCA 3.2 MM DE DIÁMETRO</t>
  </si>
  <si>
    <t>GUÍA DE BROCA DE 6.5 MM DE DIÁMETRO</t>
  </si>
  <si>
    <t>SIERRA EN HOJA DE REPUESTO</t>
  </si>
  <si>
    <t>SIERRA PARA ABRIR ANILLOS</t>
  </si>
  <si>
    <t>PINZA ALLIS, 15-17 CM DE LONGITUD</t>
  </si>
  <si>
    <t>PINZA ALLIS, 18-20 CM DE LONGITUD</t>
  </si>
  <si>
    <t>PINZA ALLIS, 21-25 CM DE LONGITUD</t>
  </si>
  <si>
    <t>PINZA BABCOCK, DE 16-18 CM DE LONGITUD</t>
  </si>
  <si>
    <t>PINZA BABCOCK, DE 20-22 CM DE LONGITUD</t>
  </si>
  <si>
    <t>PINZA BABCOCK, DE 24-26 CM DE LONGITUD</t>
  </si>
  <si>
    <t>PINZA DE FIJACIÓN VON GRAEFE</t>
  </si>
  <si>
    <t>PINZA EN BAYONETA TIPO LUCAE, CON GARRAS</t>
  </si>
  <si>
    <t>PINZA EN BAYONETA TIPO LUCAE, SIN GARRA</t>
  </si>
  <si>
    <t>PINZA PARA CAPSULOREXIS LARGA</t>
  </si>
  <si>
    <t>PINZA PARA TENDONES BRAND, RECTA</t>
  </si>
  <si>
    <t>PINZA RANDAL #4 (CURVA COMPLETA)</t>
  </si>
  <si>
    <t>PINZA DE ASCH, 22 CM DE LONGITUD</t>
  </si>
  <si>
    <t>PINZA DE SUTURA 1X2 DIENTES 1.5 MM</t>
  </si>
  <si>
    <t>PINZA PORTA AGUJA BARRAQUER, BOCA CURVA</t>
  </si>
  <si>
    <t>PINZA PORTA AGUJA KALT, MODELO STANDAR</t>
  </si>
  <si>
    <t>PINZA PORTA AGUJA TORSEDORA DE ALAMBRE</t>
  </si>
  <si>
    <t>PINZAS DE ANUDAR KELMAN MCPHERSON</t>
  </si>
  <si>
    <t>TRITURADORA DE HUESO COTTLE</t>
  </si>
  <si>
    <t>GUBIA ESPINAL COBB CURVO.</t>
  </si>
  <si>
    <t>PINZA PARA CORTAR INJERTO ÓSEO</t>
  </si>
  <si>
    <t>PINZA PORTA CLAMP BULLDOG JOHNS HOPKINS</t>
  </si>
  <si>
    <t>GANCHO CUSHING 9 X 3/16"</t>
  </si>
  <si>
    <t>SEPARADOR DE TIROIDES LAHEY</t>
  </si>
  <si>
    <t>SEPARADOR SAUERBRUCH # 1, PEQUEÑO</t>
  </si>
  <si>
    <t>SEPARADOR SAUERBRUCH # 2, MEDIANO</t>
  </si>
  <si>
    <t>SEPARADOR SAUERBRUCH # 3, GRANDE</t>
  </si>
  <si>
    <t>SEPARADOR GOSSET, GRANDE</t>
  </si>
  <si>
    <t>SEPARADOR GOSSET, MEDIANO</t>
  </si>
  <si>
    <t>SEPARADOR GOSSET, PEQUEÑO</t>
  </si>
  <si>
    <t>SEPARADOR ISRAEL, 4 GARFIOS ROMOS</t>
  </si>
  <si>
    <t>SEPARADOR LANGENBECK, HOJA DE 35 X 10 MM</t>
  </si>
  <si>
    <t>SEPARADOR LANGENBECK, HOJA DE 60 X 20 MM</t>
  </si>
  <si>
    <t>SEPARADOR OLLIER, 4 GARRAS ROMÁS</t>
  </si>
  <si>
    <t>SEPARADOR SHELDON PARA LAMINECTOMIA.</t>
  </si>
  <si>
    <t>GANCHO DOBLE "KIRBY".</t>
  </si>
  <si>
    <t>GANCHO PARA PIEL GILLIES</t>
  </si>
  <si>
    <t>SEPARADOR CUSHING, VALVA DE 10 MM</t>
  </si>
  <si>
    <t>SEPARADOR CUSHING, VALVA DE 12 MM</t>
  </si>
  <si>
    <t>SEPARADOR CUSHING, VALVA DE 14 MM</t>
  </si>
  <si>
    <t>SEPARADOR CUSHING, VALVA DE 16 MM</t>
  </si>
  <si>
    <t>SEPARADOR CUSHING, VALVA DE 18 MM</t>
  </si>
  <si>
    <t>SEPARADOR DE CUERDAS VOCALES</t>
  </si>
  <si>
    <t>SEPARADOR DE DURAMADRE FRAZIER</t>
  </si>
  <si>
    <t>SEPARADOR DE NERVIO LOVE, ÁNGULO DE 45º</t>
  </si>
  <si>
    <t>SEPARADOR DESMARRES, VALVA DE 10 MM</t>
  </si>
  <si>
    <t>SEPARADOR DESMARRES, VALVA DE 12 MM</t>
  </si>
  <si>
    <t>SEPARADOR DESMARRES, VALVA DE 14 MM</t>
  </si>
  <si>
    <t>SEPARADOR DESMARRES, VALVA DE 16 MM</t>
  </si>
  <si>
    <t>SEPARADOR DESMARRES, VALVA DE 18 MM</t>
  </si>
  <si>
    <t>SEPARADOR DESMARRES, VALVA DE 8 MM</t>
  </si>
  <si>
    <t>SEPARADOR VOLKMAN, 1 GARFIO AGUDO</t>
  </si>
  <si>
    <t>SEPARADOR VOLKMAN, 1 GARFIO ROMO</t>
  </si>
  <si>
    <t>SEPARADOR VOLKMAN, 2 GARFIOS ROMOS</t>
  </si>
  <si>
    <t>SEPARADOR VOLKMAN, 3 GARFIOS ROMOS</t>
  </si>
  <si>
    <t>SEPARADOR VOLKMAN, 4 GARFIOS AGUDOS</t>
  </si>
  <si>
    <t>SEPARADOR VOLKMAN, 4 GARFIOS ROMOS</t>
  </si>
  <si>
    <t>SEPARADOR VOLKMAN, 4 GARFIOS SEMI AGUDOS</t>
  </si>
  <si>
    <t>SEPARADOR VOLKMAN, 5 GARFIOS AGUDOS</t>
  </si>
  <si>
    <t>GRAPA # 14</t>
  </si>
  <si>
    <t>GRAPA # 8</t>
  </si>
  <si>
    <t>SEPARADOR DE YESO, 22-24 CM DE LONGITUD</t>
  </si>
  <si>
    <t>SEPARADOR DE YESO, 28-30 CM DE LONGITUD</t>
  </si>
  <si>
    <t>GRAPA # 212</t>
  </si>
  <si>
    <t>GRAPA # 0</t>
  </si>
  <si>
    <t>GRAPA # 8A</t>
  </si>
  <si>
    <t>GRAPA # 12A</t>
  </si>
  <si>
    <t>GRAPA # 13A</t>
  </si>
  <si>
    <t>GRAPA # 14A</t>
  </si>
  <si>
    <t>GRAPA # 9</t>
  </si>
  <si>
    <t>TIJERA MAYO CURVA, DE 14 A 15 CM</t>
  </si>
  <si>
    <t>TIJERA MAYO CURVA, DE 17 A 18 CM</t>
  </si>
  <si>
    <t>TIJERA MAYO RECTA, DE 14 A 15 CM</t>
  </si>
  <si>
    <t>TIJERA MAYO RECTA, DE 17 A 18 CM</t>
  </si>
  <si>
    <t>TIJERA COTTLE-KNAPP, CURVA, ROMA ROMA</t>
  </si>
  <si>
    <t>TIJERA COTTLE-KNAPP, RECTA, ROMA ROMA</t>
  </si>
  <si>
    <t>TIJERA DELICADA, CURVA</t>
  </si>
  <si>
    <t>TIJERA DELICADA, RECTA</t>
  </si>
  <si>
    <t>TIJERA FRAZIER, 15-17 CM DE LONGITUD</t>
  </si>
  <si>
    <t>TIJERA STORZ, RECTA, AGUDA AGUDA</t>
  </si>
  <si>
    <t>TIJERA STORZ, RECTA, ROMA ROMA</t>
  </si>
  <si>
    <t>TIJERA CORNEAL CASTROVIEJO, ANGULADA</t>
  </si>
  <si>
    <t>TIJERA CORNEAL CASTROVIEJO, CURVA</t>
  </si>
  <si>
    <t>TIJERA DE ENUCLEACION FUERTE Y ROMA</t>
  </si>
  <si>
    <t>TIJERA DE IRIS, RECTA, AGUDA ROMA</t>
  </si>
  <si>
    <t>TIJERA DE IRIS, RECTA, ROMA ROMA</t>
  </si>
  <si>
    <t>TIJERA PARA ESTRABISMO, CURVA</t>
  </si>
  <si>
    <t>TIJERA PARA ESTRABISMO, RECTA</t>
  </si>
  <si>
    <t>TIJERA PARA IRIS CURVA AGUDA AGUDA.</t>
  </si>
  <si>
    <t>TIJERA PARA IRIS RECTA AGUDA AGUDA.</t>
  </si>
  <si>
    <t>TIJERA PARA IRIS, CURVA, AGUDA ROMA</t>
  </si>
  <si>
    <t>TIJERA BRUN PARA YESO</t>
  </si>
  <si>
    <t>TIJERA POTTS SMITH, ANGULADA 25º</t>
  </si>
  <si>
    <t>TIJERA POTTS SMITH, ANGULADA 45º</t>
  </si>
  <si>
    <t>HOJA PARA CRANEÓTOMO</t>
  </si>
  <si>
    <t>MOLDEADORES DE PLACAS 25 CM</t>
  </si>
  <si>
    <t>PERFORADOR ESTÉRIL PARA CRANEÓTOMO</t>
  </si>
  <si>
    <t>PROTECTOR ALAE DE COTTLE</t>
  </si>
  <si>
    <t>BISTURÍ KIRKLAND # 15-16 DOBLE EXTREMO</t>
  </si>
  <si>
    <t>BISTURÍ # 1, LONGITUD 17 CM.</t>
  </si>
  <si>
    <t>AMIGDALOTOMO DE TYDING</t>
  </si>
  <si>
    <t>BISTURÍ ABOTONADO JOSEPH</t>
  </si>
  <si>
    <t>FLEBO EXTRACTOR VARADY DE 180 MM</t>
  </si>
  <si>
    <t>ALICATE 200 MM</t>
  </si>
  <si>
    <t>ABREBOCA McIVOR</t>
  </si>
  <si>
    <t>BAJALENGUA McIVOR, PEQUEÑO</t>
  </si>
  <si>
    <t>ASA  24 FRENCH</t>
  </si>
  <si>
    <t>ASA  27 FRENCH</t>
  </si>
  <si>
    <t>ASA CORTA PARA EXTRACCIÓN DE CRISTALINO</t>
  </si>
  <si>
    <t>ASA CUCHILLA COLLIN 24 FRENCH</t>
  </si>
  <si>
    <t>ASA CUCHILLA COLLIN 27 FRENCH</t>
  </si>
  <si>
    <t>ASA DE COAGULACIÓN 24 FRENCH</t>
  </si>
  <si>
    <t>ASA DE COAGULACIÓN 27 FRENCH.</t>
  </si>
  <si>
    <t>ASA LARGA PARA EXTRACCIÓN DE CRISTALINO</t>
  </si>
  <si>
    <t>CALIBRADOR CASTROVIEJO, ESCALA 15 MM</t>
  </si>
  <si>
    <t>CALIBRADOR INTERVERTEBRAL</t>
  </si>
  <si>
    <t>CLAMP CRANEAL</t>
  </si>
  <si>
    <t>DISECTOR PENFIELD LIGERAMENTE CURVO, # 4</t>
  </si>
  <si>
    <t>ESCLEROTOMO "GUYTONLUNDSGAARD".</t>
  </si>
  <si>
    <t>PUNCH CORNEOESCLERAL 1.5 MM DIÁMETRO</t>
  </si>
  <si>
    <t>ROTADOR DE LENTE INTRAOCULAR DE GANCHO</t>
  </si>
  <si>
    <t>TRABECULOTOMO HARMS</t>
  </si>
  <si>
    <t>CLAVOS DE ORO CALIBRE 20 GAUGE</t>
  </si>
  <si>
    <t>CLAMP STOCKMAN</t>
  </si>
  <si>
    <t>CAJA QUIRÚRGICA PARA CIRUGÍA DE CADERA</t>
  </si>
  <si>
    <t>CAJA QUIRÚRGICA PARA ACETABULO Y PELVIS</t>
  </si>
  <si>
    <t>CAJA QUIRÚRGICA PARA PEQUEÑOS FRAGMENTOS</t>
  </si>
  <si>
    <t>CAJA QUIRÚRGICA PARA CHALAZIÓN</t>
  </si>
  <si>
    <t>CAJA QUIRÚRGICA PARA FRACTURA NASAL</t>
  </si>
  <si>
    <t>CAJA QUIRÚRGICA PARA AMÍGDALA</t>
  </si>
  <si>
    <t>PINZA PARA RETIRO DE GRAPAS DE PIEL</t>
  </si>
  <si>
    <t>CUCHILLETE DE 2.2 MM PARA QUERATECTOMIA</t>
  </si>
  <si>
    <t>SET DE INTUBACION LAGRIMAL</t>
  </si>
  <si>
    <t>RETRACTOR URETRAL DESCARTABLE</t>
  </si>
  <si>
    <t>LENTE DIAGNÓSTICO DE 28 DIOPTRÍAS</t>
  </si>
  <si>
    <t>CLAMP NASAL PARA ADULTO</t>
  </si>
  <si>
    <t>PASADOR DE NUDOS EN HOMBRO (KNOT PUSHER)</t>
  </si>
  <si>
    <t>CUCHILLO FRED</t>
  </si>
  <si>
    <t>ELECTRODO LOOP (ASA PARA ELECTROCIRUGÍA)</t>
  </si>
  <si>
    <t>PINZA PARA BIOPSIA, DE COLONOSCOPIO</t>
  </si>
  <si>
    <t>ASA CORTE PARA RESECTOSCOPIO, DE 0.3 MM</t>
  </si>
  <si>
    <t>BISTURÍ PARA CORTE FRIO, PARA URETRALROTOMO</t>
  </si>
  <si>
    <t>CABLE DE TENS CON PIN DE METAL. PAR</t>
  </si>
  <si>
    <t>CABLE REUSABLE PARA AGUJA MONOPOLAR</t>
  </si>
  <si>
    <t>PINZA ARTROSCOPICA TIPO CASPARI</t>
  </si>
  <si>
    <t>FAJA LUMBAR SIN BARRAS TALLA "L"</t>
  </si>
  <si>
    <t>FAJA PARA TRACCIÓN PELVICA TALLA L</t>
  </si>
  <si>
    <t>FAJA PARA TRACCIÓN PELVICA TALLA M</t>
  </si>
  <si>
    <t>FAJA PARA TRACCIÓN PELVICA TALLA S</t>
  </si>
  <si>
    <t>FAJA PARA TRACCIÓN PELVICA TALLA XL</t>
  </si>
  <si>
    <t>FAJA PARA TRACCIÓN PELVICA TALLA XXL.</t>
  </si>
  <si>
    <t>FRONDA PARA TRACCIÓN CEFÁLICA.</t>
  </si>
  <si>
    <t>PRÓTESIS DE TEFLON Y ALAMBRE PARA OIDO</t>
  </si>
  <si>
    <t>CONTRÁNGULO DE PASADOR PARA MICROMOTOR</t>
  </si>
  <si>
    <t>FOCO PARA LÁMPARA DE UNIDAD DENTAL</t>
  </si>
  <si>
    <t>FOCO LED PARA LÁMPARA DE UNIDAD DENTAL</t>
  </si>
  <si>
    <t>FOCO PARA LÁMPARA DE FOTOCURADO</t>
  </si>
  <si>
    <t>GORRO DESCARTABLE PARA ENFERMERA</t>
  </si>
  <si>
    <t>GORRO DESCARTABLE PARA MÉDICOS</t>
  </si>
  <si>
    <t>TOALLAS SANITARIAS SUPER ABSORBENTE.</t>
  </si>
  <si>
    <t>COLCHONETA PARA MESA QUIRÚRGICA</t>
  </si>
  <si>
    <t>TRANSDUCTOR PARA ESPIRÓMETRO</t>
  </si>
  <si>
    <t>FILTRO PARA INCUBADORA</t>
  </si>
  <si>
    <t>CABLE INTERFAZ PARA MÓDULO DE PACIENTE</t>
  </si>
  <si>
    <t>EXTRACTOR ELECTRICO DE LECHE, PORTATIL</t>
  </si>
  <si>
    <t>ESCUDILLA INOXIDABLE DE61/2" X 2 1/2"</t>
  </si>
  <si>
    <t>TAMBO INOXIDABLE CON TAPADERA 8" X 10"</t>
  </si>
  <si>
    <t>BOMBA PARA MAMÁS (TIRA LECHE)</t>
  </si>
  <si>
    <t>PEZONERA PLÁSTICA CON BIBERON.</t>
  </si>
  <si>
    <t>ALGODÓN COMPRIMIDO 1/2" X 1". SOBRE</t>
  </si>
  <si>
    <t>ALGODÓN COMPRIMIDO 1/2" X 1/2". SOBRE</t>
  </si>
  <si>
    <t>ALGODÓN COMPRIMIDO 1/2" X 2". SOBRE</t>
  </si>
  <si>
    <t>ALGODÓN COMPRIMIDO 1/2" X 3". SOBRE</t>
  </si>
  <si>
    <t>ALGODÓN COMPRIMIDO 3/4" X 3/4". SOBRE</t>
  </si>
  <si>
    <t>VENDA STOKINETE DE 2" X 25 YARDAS.</t>
  </si>
  <si>
    <t>VENDA STOKINETE DE 4" X 25 YARDAS.</t>
  </si>
  <si>
    <t>ESPÉCULO AURICULAR 3 MM</t>
  </si>
  <si>
    <t>ESPÉCULO AURICULAR 5 MM</t>
  </si>
  <si>
    <t>ESPÉCULO AURICULAR 6 MM</t>
  </si>
  <si>
    <t>ESPÉCULO AURICULAR 7 MM</t>
  </si>
  <si>
    <t>FILTRO BIOLÓGICO PARA AUTOCLAVE DE MESA</t>
  </si>
  <si>
    <t>COJIN DE HULE,INFLABLE,REDONDO,MEDIANO</t>
  </si>
  <si>
    <t>COLCHONES DE GELATINA 36" X 66"</t>
  </si>
  <si>
    <t>SOPORTE ARTICULAR DE RODILLAS TALLA "S"</t>
  </si>
  <si>
    <t>TIJERAS PARA MANO IZQUIERDA STANDARD</t>
  </si>
  <si>
    <t>LENTES PROTECTORES QUIRÚRGICOS</t>
  </si>
  <si>
    <t>MASCARILLA DESCARTABLE CON VISERA</t>
  </si>
  <si>
    <t>PUNTAS DE GUTAPERCHA ACCESORIA MEDIANA</t>
  </si>
  <si>
    <t>FORMOCRESOL SOLUCIÓN; FRASCO</t>
  </si>
  <si>
    <t>TUBO ESÓFAGO GASTRICO # 20, SANGSTAKEN.</t>
  </si>
  <si>
    <t>TUBO ESÓFAGO GASTRICO SANGSTAKEN # 16</t>
  </si>
  <si>
    <t>TUBO ESÓFAGO GASTRICO SANGSTAKEN # 18</t>
  </si>
  <si>
    <t>HALO VEST CERVICAL</t>
  </si>
  <si>
    <t>VENDAS DE FIBRA DE VIDRIO DE 5" DE ANCHO</t>
  </si>
  <si>
    <t>SET PARA MEDICION DE PESARIO VAGINAL</t>
  </si>
  <si>
    <t>BARRA DE ERICH</t>
  </si>
  <si>
    <t>MINI TORNILLO DE TITANIO DE 2.0 X 19 MM</t>
  </si>
  <si>
    <t>PLACA 1/3 DE TUBO DE 4 AGUJEROS</t>
  </si>
  <si>
    <t>PLACA 1/3 DE TUBO DE 5 AGUJEROS</t>
  </si>
  <si>
    <t>PLACA 1/3 DE TUBO DE 7AGUJEROS</t>
  </si>
  <si>
    <t>PLACA 1/3 DE TUBO DE 8 AGUJEROS</t>
  </si>
  <si>
    <t>FÉRULA DE POLIPROPILENO OTP/L CORTA BAJO</t>
  </si>
  <si>
    <t>FÉRULA DE POLIPROPILENO OTP/M BAJO</t>
  </si>
  <si>
    <t>FÉRULA PARA CODO, AJUSTABLE, PARA ADULTO</t>
  </si>
  <si>
    <t>CATÉTER DE EXTENSIÓN Y LLAVE DE 3 VÍAS</t>
  </si>
  <si>
    <t>SONDA DE HULE TIPO PEZZER, # 22</t>
  </si>
  <si>
    <t>SONDA DE HULE TIPO PEZZER, # 24</t>
  </si>
  <si>
    <t>FILTRO PARA EQUIPO DE SUCCIÓN</t>
  </si>
  <si>
    <t>INFUSOR A PRESIÓN MANUAL</t>
  </si>
  <si>
    <t>SONDA RECTAL # 26, TRANSPARENTE, ESTÉRIL</t>
  </si>
  <si>
    <t>SONDA RECTAL # 28, TRANSPARENTE, ESTÉRIL</t>
  </si>
  <si>
    <t>CÁNULA ARTERIAL CON PUNTA RECTA # 22 FR.</t>
  </si>
  <si>
    <t>CÁNULA ARTERIAL CON PUNTA RECTA # 24 FR.</t>
  </si>
  <si>
    <t>JERINGA DE 1 CC DE ALTA PRESIÓN</t>
  </si>
  <si>
    <t>PORTA LENTES PARA CAMPIMETRO</t>
  </si>
  <si>
    <t>GLUCÓMETRO</t>
  </si>
  <si>
    <t>TEST PARA DETECTAR RUPTURA DE MEMBRANA</t>
  </si>
  <si>
    <t>SENSOR REUTILIZABLE PARA ESPIRÓMETRO</t>
  </si>
  <si>
    <t>JUEGO DE CABLES PARA ELECTROCARDIOGRAFO</t>
  </si>
  <si>
    <t>E</t>
  </si>
  <si>
    <t>*************ULTIMA LINEA***************</t>
  </si>
  <si>
    <t>******</t>
  </si>
  <si>
    <t>JERINGA DE 1 CC AGUJA 25 G X 3/8-5/8</t>
  </si>
  <si>
    <t>538A45</t>
  </si>
  <si>
    <t>ATENCION PALIATIVA</t>
  </si>
  <si>
    <t>Tito Noé Soriano</t>
  </si>
  <si>
    <t>ALCOHOL ETILICO DESNATURAL 70%</t>
  </si>
  <si>
    <t>Elaborado : FRANCISCO RIVAS</t>
  </si>
  <si>
    <t>Licdo. CARLOS UMAÑA</t>
  </si>
  <si>
    <t>U800</t>
  </si>
  <si>
    <t>DOCUMENTOS GENERADOS</t>
  </si>
  <si>
    <t>DOC . No.</t>
  </si>
  <si>
    <t>DOC.</t>
  </si>
  <si>
    <t>MARCAPASO DESFIBRILADOR CARDIOVERTER, BICAMERAL, IMPLANTABLE, PROGRAMADO CON SISTEMA DE MONITOREO INTRACARDIACO, QUE INCLUYA CABLE AURICULARY VENTRICULAR DE FIJACIÓN ACTIVO Y UNA O DOS BOBINAS</t>
  </si>
  <si>
    <t>MARCAPASO DOBLE CÁMARA MULTIPROGRAMABLE CON SU ELECTRODO ENDOCARDICO AURICULAR Y VENTRICULAR.</t>
  </si>
  <si>
    <t>MARCAPASO VVIR MULTIPROGRAMABLE CON SU ELECTRODO  ENDOCÁRDICO.</t>
  </si>
  <si>
    <t>NEURO-ESTIMULADOR MEDULAR IMPLANTABLE (GENERADOR DEFINITIVO) DE 8 CONTACTOS, QUE INCLUYA ELECTRODO PERCUTÁNEO Y ASISTENCIA TÉCNICA DURANTE LA COLOCACIÓN EN PACIENTE</t>
  </si>
  <si>
    <t>ELECTRODO IMPLANTABLE TRIAL DE 8 CONTACTOS PARA COLOCACIÓN VÍA PERCUTÁNEA ENTRE EL RANGO DE 45 CM A 75 CM, COMPATIBLE CON RESONANCIA MAGNÉTICA Y NEUROESTIMULADOR IMPLANTADO.</t>
  </si>
  <si>
    <t/>
  </si>
  <si>
    <t>CONFORMADOR PERFORADO MEDIANO PARA OCULOPLASTIA</t>
  </si>
  <si>
    <t>CONFORMADOR PERFORADO PEQUEÑO PARA OCULOPLASTIA</t>
  </si>
  <si>
    <t>IMPLANTE ORBITARIO DE 22 MM PARA OCULOPLASTIA</t>
  </si>
  <si>
    <t>IMPLANTE ORBITARIO DE 20 MM PARA OCULOPLASTIA</t>
  </si>
  <si>
    <t>IMPLANTE ORBITARIO DE 18 MM PARA OCULOPLASTIA</t>
  </si>
  <si>
    <t>IMPLANTE ORBITARIO DE 16 MM PARA OCULOPLASTIA</t>
  </si>
  <si>
    <t>CONFORMADOR PERFORADO GRANDE PARA OCULOPLASTIA</t>
  </si>
  <si>
    <t>CARTUCHO PARA ANÁLISIS DE QUÍMICA POR MICROMUESTRA (65 - 95 MICROLITROS)</t>
  </si>
  <si>
    <t>CARTUCHO PARA ANÁLISIS DE QUÍMICA SANGUÍNEA POR MICRO MUESTRA QUE INCLUYA MEDICIÓN DE GASES ARTERIALES SANGUÍNEOS</t>
  </si>
  <si>
    <t>CONECTOR PARA CATÉTER DE HEMODIÁLISIS, BIOCOMPATIBLE, SISTEMA PARA USOSIN AGUJA, CON CIERRE MICROBIOLÓGICO</t>
  </si>
  <si>
    <t>CATÉTER DOBLE LUMEN PARA HEMODIÁLISIS, DE 11 A 12 FRENCH, DE 15 A 16 CM DE LONGITUD, CON EXTENSIÓN CURVA, INCLUYE: GUÍA METÁLICA CON EXTREMOEN "J", AGUJA INTRODUCTORA, DILATADOR Y DOS TAPONES</t>
  </si>
  <si>
    <t>CATÉTER DOBLE LUMEN PARA HEMODIÁLISIS, DE 11.5 A 12 FRENCH, DE 18 A 20CM DE LONGITUD, CON EXTENSIÓN LARGA, INCLUYE: GUÍA METÁLICA CON EXTREMO EN "J", AGUJA INTRODUCTORA, DILATADOR Y DOS TAPONES.</t>
  </si>
  <si>
    <t>KIT PARA COLOCACIÓN PERCUTÁNEA DE CATÉTER BLANDO, QUE CONTENGA: CATÉTER BLANDO DE 56 - 65 CM DE LONGITUD TOTAL, EXTREMO EN ESPIRAL, CON DOBLE COJINETE, ADAPTADOR O CONECTOR CIRCULAR A LÍNEA DE TRANSFERENCIA, CAMISA/DILATADOR DE 16 FRENCH, GUÍA METÁLICA CON EXTREMO EN "J", AGUJA INTRODUCTORA DE 18 GA Y ESTILETE TUNELIZADOR</t>
  </si>
  <si>
    <t>FILTRO DE HEMOADSORCIÓN PARA TRATAR DESEQUILIBRIO INFLAMATORIO PORRESPUESTA INMUNE EXCESIVA, ELABORADO CON COPOLÍMEROS, CAPACIDAD SANGUÍNEAEXTRACORPÓREA DE 95 - 200 ML, BAJA RESISTENCIA AL FLUJO, LIBRE DE LÁTEX, FTALATOS Y PIRÓGENOS, INCLUYE SET DE CONEXIÓN ESTÉRIL CON ACCESORIOS NECESARIOS PARA LA CORRECTA APLICACIÓN DE LA TERAPIA.</t>
  </si>
  <si>
    <t>FILTRO PARA HEMOPERFUSIÓN O HEMOADSORCIÓN PARA TRATAR ENVENENAMIENTO OSOBREDOSIS DE DROGAS, ELABORADO CON COPOLÍMEROS, CAPACIDAD SANGUÍNEAEXTRACORPÓREA DE 95 - 200 ML, BAJA RESISTENCIA AL FLUJO, LIBRE DE LÁTEX, FTALATOS Y PIRÓGENOS, INCLUYE SET DE CONEXIÓN ESTÉRIL CON ACCESORIOS NECESARIOS PARA LA CORRECTA APLICACIÓN DE LA TERAPIA.</t>
  </si>
  <si>
    <t>FILTRO DE HEMOPERFUSIÓN O HEMOADSORCIÓN PARA TRATAR ENFERMEDAD RENAL CRÓNICA, PARA REMOVER TOXINAS URÉMICAS UNIDAS A PROTEÍNAS, ELABORADO CON COPOLÍMEROS, CONTENIDO DE ADSORBENTE ENTRE 130 - 300 ML, CAPACIDAD SANGUÍNEA EXTRACORPÓREA DE 95 - 200 ML, BAJA RESISTENCIA AL FLUJO, LIBRE DE LÁTEX, FTALATOS Y PIRÓGENOS, INCLUYE UN SET DE CONEXIÓN ESTÉRIL CON ACCESORIOS NECESARIOS PARA LA CORRECTA APLICACIÓN DE LA TERAPIA</t>
  </si>
  <si>
    <t>KIT DE TIRA REACTIVA Y LANCETA PARA DETERMINAR GLUCOSA EN SANGRE EN UNIDAD DE MEDIDA MG/DL</t>
  </si>
  <si>
    <t>FILTRO PARA HEMOADSORCIÓN PARA TRATAR DESEQUILIBRIO INFLAMATORIO POR RESPUESTA INMUNE EXCESIVA. ELABORADO CON POLÍMERO RETICULADO CON DIVINILBENCENO, CONTENIDO DE ADSORBENTE DE 300 ML O MÁS, CAPACIDAD SANGUÍNEAEXTRACORPÓREA DE 140-150 ML, BAJA RESISTENCIA AL FLUJO, LIBRE DE LÁTEX, FTALATOS Y PIRÓGENOS, DESCARTABLE, ESTÉRIL</t>
  </si>
  <si>
    <t>CAMPANA PARA RECUPERADOR CELULAR DE 125 A 140 ML, COMPATIBLE CON EQUIPO</t>
  </si>
  <si>
    <t>CONO PARA CENTRÍFUGA, TAMAÑO ADULTO, PARA BOMBA DE CIRCULACIÓN EXTRACORPÓREA.</t>
  </si>
  <si>
    <t>SET PARA ADMINISTRACIÓN DE CARDIOPLEJÍA SANGUÍNEA</t>
  </si>
  <si>
    <t>SISTEMA DE MEMBRANA PARA CIRCULACIÓN EXTRACORPÓREA, ADULTO, CONSTA DE:1 OXIGENADOR DE MEMBRANA CON FILTRO ARTERIAL INTEGRADO, FILTRO DE OXÍGENO, CON SET DE TUBERÍAS SEGÚN DIAGRAMA, HEMOCONCENTRADOR SIN PARAFINA CON LÍNEA DE 1/4", SET PARA ADMINISTRACIÓN DE CARDIOPLEJIA SANGUÍNEA</t>
  </si>
  <si>
    <t>TRANSDUCTOR Y CONO PARA CENTRÍFUGA, TAMAÑO ADULTO, PARA BOMBA DE CIRCULACIÓN EXTRACORPÓREA</t>
  </si>
  <si>
    <t>AGUJA CARPULE CORTA # 27 G, DE 21 MM. DESCARTABLE</t>
  </si>
  <si>
    <t>AGUJA CARPULE CORTA # 30 G, DE 21 MM. DESCARTABLE</t>
  </si>
  <si>
    <t>AGUJA CARPULE LARGA # 27 G, DE 30 A 32 MM. DESCARTABLE</t>
  </si>
  <si>
    <t>AGUJA CARPULE EXTRA CORTA # 30 G, DE 10 A 12 MM, DESCARTABLE</t>
  </si>
  <si>
    <t>AGUJA PARA PUNCIÓN ESPINAL, PUNTA TIPO WHITACRE, 25 G, ENTRE 4 1/4" A5" DE LONGITUD, ESTÉRIL, DESCARTABLE, INCLUYE SU RESPECTIVO INTRODUCTOR</t>
  </si>
  <si>
    <t>AGUJA PARA ANESTESIA DE PLEXO DE 0.55 MM 24G X 1", DESCARTABLE.</t>
  </si>
  <si>
    <t>AGUJA PARA MÉDULA ÓSEA 16G, LONGITUD DE 1 A 2", COMPATIBLE CON CONECTOR LUER SLIP O LUER LOCK, DESCARTABLE.</t>
  </si>
  <si>
    <t>AGUJA PARA ANESTESIA DE PLEXO DE 22 G X 2" DE LONGITUD, CON CABLE PARANEUROESTIMULADOR, PARA SER VISUALIZADO POR ULTRASONIDO, DESCARTABLE</t>
  </si>
  <si>
    <t>AGUJA PARA ANESTESIA DE PLEXO DE 20 G X 6" DE LONGITUD, CON CABLE PARANEUROESTIMULADOR, PARA SER VISUALIZADO POR ULTRASONIDO, DESCARTABLE.</t>
  </si>
  <si>
    <t>AGUJA PARA PUNCIÓN DE MÉDULA ÓSEA  11 G, 4" DE LONGITUD, CON MANDRIL,ESTÉRIL, DESCARTABLE</t>
  </si>
  <si>
    <t>AGUJA PARA PUNCIÓN ESPINAL 22 G, PUNTA TIPO QUINCKE, ENTRE 3 1/2" A 4"DE LONGITUD, ESTÉRIL, DESCARTABLE</t>
  </si>
  <si>
    <t>AGUJA PARA PUNCIÓN ESPINAL 22 G, PUNTA TIPO QUINCKE, ENTRE 4 1/4" A 5"DE LONGITUD, ESTÉRIL, DESCARTABLE</t>
  </si>
  <si>
    <t>AGUJA PARA PUNCIÓN ESPINAL 25 G, PUNTA TIPO QUINCKE, ENTRE 3 1/2" A 4"DE LONGITUD, ESTÉRIL, DESCARTABLE</t>
  </si>
  <si>
    <t>AGUJA PARA PUNCIÓN ESPINAL 25 G, PUNTA TIPO QUINCKE, ENTRE 4 1/4" A 5"DE LONGITUD, ESTÉRIL, DESCARTABLE</t>
  </si>
  <si>
    <t>AGUJA PARA PUNCIÓN ESPINAL 27 G, PUNTA TIPO QUINCKE, ENTRE 3 1/2" A 4"DE LONGITUD, ESTÉRIL, DESCARTABLE</t>
  </si>
  <si>
    <t>AGUJA PARA PUNCIÓN ESPINAL, PUNTA TIPO QUINCKE, ENTRE 4 1/4" - 5" DE LONGITUD. ESTÉRIL, DESCARTABLE</t>
  </si>
  <si>
    <t>AGUJA PARA PUNCIÓN ESPINAL 18 G, PUNTA TIPO QUINCKE, ENTRE 2 1/2" A 3"DE LONGITUD, ESTÉRIL, DESCARTABLE</t>
  </si>
  <si>
    <t>AGUJA PARA PUNCIÓN ESPINAL 20 G, PUNTA TIPO QUINCKE, ENTRE 2 1/2" A 3"DE LONGITUD, ESTÉRIL, DESCARTABLE</t>
  </si>
  <si>
    <t>AGUJA PARA PUNCIÓN ESPINAL 25 G, PUNTA TIPO WHITACRE, ENTRE 3 1/2" A 4" DE LONGITUD, ESTÉRIL, DESCARTABLE, INCLUYE SU RESPECTIVO INTRODUCTOR, DESCARTABLE</t>
  </si>
  <si>
    <t>SISTEMA IMPLANTABLE PARA LA ADMINISTRACIÓN DE FÁRMACOS INTRATECALES, CONSTA DE CATÉTER INTRATECAL, BOMBA PROGRAMABLE Y ACCESORIOS COMPLETOSPARA IMPLANTACIÓN Y PROGRAMACIÓN</t>
  </si>
  <si>
    <t>SISTEMA PARA APLICAR TERAPIA DE PRESIÓN POSITIVA NO INVASIVA PARA ADULTO, CON CAPACIDAD DE MODOS ESPONTÁNEO, ESPONTÁNEO-TIMED Y CPAP, ADEMÁSCAPACIDAD DE PARÁMETROS DE PRESIÓN IPAP, EPAP Y CPAP, QUE INCLUYA ACCESORIOS: TUBO CORRUGADO, HUMIDIFICADOR, MASCARILLA Y ARNÉS DE ACUERDOA CARACTERÍSTICA DEL PACIENTE. SET</t>
  </si>
  <si>
    <t>SENSOR CUTÁNEO PARA MONITOREO DE NIVEL DE CONCIENCIA Y PROFUNDIDAD ANESTÉSICA.</t>
  </si>
  <si>
    <t>LÍNEA DE MUESTREO, ENTRE 190 Y 210 CM DE LONGITUD, PARA CALORÍMETRO INDIRECTO Y VENTILADOR MECÁNICO</t>
  </si>
  <si>
    <t>CONECTOR LUER LOCK PARA CALORÍMETRO INDIRECTO Y VENTILADOR MECÁNICO</t>
  </si>
  <si>
    <t>FILTRO ANTIHUMEDAD PARA CALORÍMETRO INDIRECTO</t>
  </si>
  <si>
    <t>FILTRO INTERNO ANTIHUMEDAD PARA CALORÍMETRO INDIRECTO</t>
  </si>
  <si>
    <t>RESTRICTOR DE ORIFICIO DE CALORÍMETRO</t>
  </si>
  <si>
    <t>ADAPTADORES NIPLE Y NUT</t>
  </si>
  <si>
    <t>CÁNULA NASAL PARA ADULTO, CON DOS CONDUCTORES SUAVES Y SILICONADOS Y TUBO PARA OXÍGENO DE 15 METROS, RESISTENTE A ALTAS PRESIONES DE OXÍGENO, AJUSTABLE BAJO LA MANDÍBULA</t>
  </si>
  <si>
    <t>CÁNULA NASAL PARA ADULTO, CON DOS CONDUCTORES SUAVES Y SILICONADOS Y TUBO PARA OXÍGENO, 200-250 CM AJUSTABLE BAJO LA MANDÍBULA.</t>
  </si>
  <si>
    <t>CÁNULA NASAL PARA RECIÉN NÁCIDO, CON DOS CONDUCTORES SUAVES Y SILICONADOS Y TUBO PARA OXÍGENO DE 200-250 CM, EMPAQUE INDIVIDUAL</t>
  </si>
  <si>
    <t>TUBO CONECTOR EN Y, DE 6 MM, PLÁSTICO</t>
  </si>
  <si>
    <t>TUBO FLEXIBLE DE POLIURETANO GRADO HOSPITALARIO TRANSPARENTE 9 MM X 12MM X 2,4 MM, DE 50 PIES DE LARGO</t>
  </si>
  <si>
    <t>LÍNEA ESTÉRIL DE MUESTREO PARA CALORÍMETRO INDIRECTO Y VENTILADOR MECÁNICO</t>
  </si>
  <si>
    <t>ESPONJA (FILTRO) PARA CAL SODADA, COMPATIBLE CON CANISTER DE MÁQUINA DE ANESTESIA</t>
  </si>
  <si>
    <t>CÁNULA NASAL PARA INFANTES ENTRE 2 A 6 AÑOS, CON DOS CONDUCTORES SUAVES Y SILICONADOS Y TUBO PARA OXÍGENO DE 80 A 100", EMPAQUE INDIVIDUAL.</t>
  </si>
  <si>
    <t>CÁNULA NASAL PARA INFANTES ENTRE 7 A 12 AÑOS, CON DOS CONDUCTORES SUAVES Y SILICONADOS Y TUBO PARA OXÍGENO DE 80 A 100", EMPAQUE INDIVIDUAL.</t>
  </si>
  <si>
    <t>TUBO FLEXIBLE DE PVC GRADO MÉDICO, TRANSPARENTE MEDIDAS 8 MM X 14 MM X3 MM, ROLLO DE 100 PIES</t>
  </si>
  <si>
    <t>CÁNULA NASAL DE OXÍGENO ALTO FLUJO, TAMAÑO PREMATURO, CAUDAL DE FLUJOMÁXIMO 8 L/MIN,  CON ALMOHADILLA ADHESIVA, ADAPTABLE A HUMIDIFICADOR</t>
  </si>
  <si>
    <t>CÁNULA NASAL DE OXÍGENO ALTO FLUJO, TAMAÑO NEONATAL, CAUDAL DE FLUJO MÁXIMO 8 L/MIN, CON ALMOHADILLA ADHESIVA, ADAPTABLE A HUMIDIFICADOR.</t>
  </si>
  <si>
    <t>CÁNULA NASAL DE OXÍGENO ALTO FLUJO, TAMAÑO INFANTE, CAUDAL DE FLUJO MÁXIMO 20 L/MIN, CON ALMOHADILLA ADHESIVA. ADAPTABLE A HUMIDIFICADOR</t>
  </si>
  <si>
    <t>CÁNULA NASAL DE OXÍGENO ALTO FLUJO, TAMAÑO PEDIÁTRICO, CAUDAL DE FLUJOMÁXIMO 25 L/MIN, CON ALMOHADILLA ADHESIVA, ADAPTABLE A HUMIDIFICADOR</t>
  </si>
  <si>
    <t>CÁNULA NASAL DE OXÍGENO ALTO FLUJO, TAMAÑO ADULTO, CAUDAL DE FLUJO MÁXIMO 50 L/MIN, ADAPTABLE A HUMIDIFICADOR</t>
  </si>
  <si>
    <t>CÁNULA PARA CAPNOGRAFÍA DE 2 VÍAS, COMPATIBLE CON EQUIPO DE POLISOMNOGRAFÍA</t>
  </si>
  <si>
    <t>CÁNULA DE PRESIÓN NASAL PARA ADULTO, COMPATIBLE CON EQUIPO DE POLISOMNOGRAFÍA</t>
  </si>
  <si>
    <t>KIT DE CRICOTIROTOMÍA</t>
  </si>
  <si>
    <t>RESPIRADOR REUTILIZABLE DE PROTECCIÓN CARA COMPLETA CON SELLO FACIAL ,LENTE,  BANDAS DE SUJECIÓN A LA CABEZA, COPA NASAL, DIAFRAGMA DE EXHALACIÓN/INHALACIÓN, CARTUCHOS PARA VAPORES ORGÁNICOS, FILTROS N-95</t>
  </si>
  <si>
    <t>HOJA PARA VIDEOLARINGOSCOPIO TIPO MACINTOSH TALLA # 4, NO ESTÉRIL, DESCARTABLE, EMPAQUE INDIVIDUAL.</t>
  </si>
  <si>
    <t>HOJA PARA VIDEOLARINGOSCOPIO TIPO MACINTOSH TALLA # 3, NO ESTÉRIL, DESCARTABLE, EMPAQUE INDIVIDUAL.</t>
  </si>
  <si>
    <t>HOJA PARA VIDEOLARINGOSCOPIO TIPO MACINTOSH HIPERCURVA, NO ESTÉRIL, DESCARTABLE, EMPAQUE INDIVIDUAL.</t>
  </si>
  <si>
    <t>SET PARA TRAQUEOTOMÍA PERCUTÁNEA, INCLUYE DILATADORES Y CÁNULA CON SUCCIÓN SUBGLÓTICA, DESCARTABLE, ESTÉRIL</t>
  </si>
  <si>
    <t>CÁNULA PARA TRAQUEOTOMÍA DE MATERIAL NO FLEXIBLE CON BALÓN DE ALTO CONTENIDO Y BAJA PRESIÓN DE 6 MM DIÁMETRO INTERNO, CON ENDOCÁNULA Y MANDRIL, ESTÉRIL, DESCARTABLE.</t>
  </si>
  <si>
    <t>CÁNULA PARA TRAQUEOTOMÍA DE PLÁSTICO, FENESTRADA, CON BALÓN DE ALTO CONTENIDO Y BAJA PRESIÓN DE 10 MM DIÁMETRO INTERNO, CON ENDOCÁNULA Y MANDRIL, ESTÉRIL, DESCARTABLE</t>
  </si>
  <si>
    <t>CÁNULA PARA TRAQUEOTOMÍA DE PLÁSTICO, FENESTRADA, CON BALÓN DE ALTO CONTENIDO Y BAJA PRESIÓN DE 8 MM DIÁMETRO INTERNO, CON ENDOCÁNULA Y MANDRIL, ESTÉRIL, DESCARTABLE</t>
  </si>
  <si>
    <t>CÁNULA PLÁSTICA DE TRAQUEOSTOMIA # 10, FENESTRADA, CON ADAPTADORES MULTIPLES PARA OXÍGENO TERAPIA, OCLUSION DE CÁNULA Y VÁLVULA PARA   HABLAR</t>
  </si>
  <si>
    <t>CÁNULA PLÁSTICA DE TRAQUEOSTOMIA # 6, FENESTRADA, CON ADAPTADORES MULTIPLES PARA OXÍGENO TERAPIA, OCLUSION DE CÁNULA Y VÁLVULA PARA HABLAR</t>
  </si>
  <si>
    <t>CÁNULA PLÁSTICA DE TRAQUEOSTOMIA # 8, FENESTRADA, CON ADAPTADORES MULTIPLES PARA OXÍGENO TERAPIA, OCLUSION DE CÁNULA Y VÁLVULA PARAH ABLAR</t>
  </si>
  <si>
    <t>TUBO DE VENTILACIÓN TIPO SHEPARD GROMET, DE FLUOROPLASTIC, DE 1.02 MMDE DIÁMETRO INTERNO</t>
  </si>
  <si>
    <t>TAPÓN NASAL EXPANDIBLE, HEMOSTÁTICO, CON TUBO DE VENTILACIÓN Y MECHA,LONGITUD DE 4 A 5 CM</t>
  </si>
  <si>
    <t>CAMPANA (CAJA) PLÁSTICA TRANSPARENTE GRANDE, PARA ADMINISTRAR OXÍGENO</t>
  </si>
  <si>
    <t>CAMPANA (CAJA) PLÁSTICA TRANSPARENTE MEDIANA, PARA ADMINISTRAR OXÍGENO</t>
  </si>
  <si>
    <t>CAMPANA (CAJA) PLÁSTICA TRANSPARENTE PEQUENA, PARA ADMINISTRAR OXÍGENO</t>
  </si>
  <si>
    <t>VÁLVULA INSPIRATORIA PARA VENTILADOR MECÁNICO, REUTILIZABLE.</t>
  </si>
  <si>
    <t>HOJA DE ACERO INOXIDABLE PARA LARINGOSCOPIO DE FIBRA ÓPTICA, TIPO MILLER # 00.</t>
  </si>
  <si>
    <t>HOJA DE ACERO INOXIDABLE PARA LARINGOSCOPIO DE FIBRA ÓPTICA, TIPO MILLER # 0</t>
  </si>
  <si>
    <t>HOJA DE ACERO INOXIDABLE PARA LARINGOSCOPIO DE FIBRA ÓPTICA, TIPO MILLER # 1</t>
  </si>
  <si>
    <t>HOJA DE ACERO INOXIDABLE PARA LARINGOSCOPIO DE FIBRA ÓPTICA, TIPO MILLER # 2</t>
  </si>
  <si>
    <t>HOJA DE ACERO INOXIDABLE PARA LARINGOSCOPIO DE FIBRA ÓPTICA, TIPO MILLER # 3</t>
  </si>
  <si>
    <t>HOJA DE ACERO INOXIDABLE PARA LARINGOSCOPIO DE FIBRA ÓPTICA, TIPO MILLER # 4</t>
  </si>
  <si>
    <t>HOJA DE ACERO INOXIDABLE PARA LARINGOSCOPIO DE FIBRA ÓPTICA, TIPO MILLER # 5</t>
  </si>
  <si>
    <t>HOJA DE ACERO INOXIDABLE PARA LARINGOSCOPIO DE FIBRA ÓPTICA, TIPO MACINTOSH # 1</t>
  </si>
  <si>
    <t>HOJA DE ACERO INOXIDABLE PARA LARINGOSCOPIO DE FIBRA ÓPTICA, TIPO MACINTOSH # 2</t>
  </si>
  <si>
    <t>HOJA DE ACERO INOXIDABLE PARA LARINGOSCOPIO DE FIBRA ÓPTICA, TIPO MACINTOSH # 3</t>
  </si>
  <si>
    <t>HOJA DE ACERO INOXIDABLE PARA LARINGOSCOPIO DE FIBRA ÓPTICA, TIPO MACINTOSH # 4</t>
  </si>
  <si>
    <t>HOJA DE ACERO INOXIDABLE PARA LARINGOSCOPIO DE FIBRA ÓPTICA, TIPO MACINTOSH # 5</t>
  </si>
  <si>
    <t>HOJA DE ACERO INOXIDABLE PARA LARINGOSCOPIO ESTÁNDAR, TIPO MILLER # 1</t>
  </si>
  <si>
    <t>HOJA DE ACERO INOXIDABLE PARA LARINGOSCOPIO ESTÁNDAR, TIPO MILLER # 2</t>
  </si>
  <si>
    <t>HOJA DE ACERO INOXIDABLE PARA LARINGOSCOPIO ESTÁNDAR, TIPO MILLER # 3</t>
  </si>
  <si>
    <t>HOJA DE ACERO INOXIDABLE PARA LARINGOSCOPIO ESTÁNDAR, TIPO MILLER # 4</t>
  </si>
  <si>
    <t>HOJA DE ACERO INOXIDABLE PARA LARINGOSCOPIO ESTÁNDAR, TIPO MILLER # 5</t>
  </si>
  <si>
    <t>HOJA DE ACERO INOXIDABLE PARA LARINGOSCOPIO ESTÁNDAR, TIPO MACINTOSH #1</t>
  </si>
  <si>
    <t>HOJA DE ACERO INOXIDABLE PARA LARINGOSCOPIO ESTÁNDAR, TIPO MACINTOSH #2</t>
  </si>
  <si>
    <t>HOJA DE ACERO INOXIDABLE PARA LARINGOSCOPIO ESTÁNDAR, TIPO MACINTOSH #3</t>
  </si>
  <si>
    <t>HOJA DE ACERO INOXIDABLE PARA LARINGOSCOPIO ESTÁNDAR, TIPO MACINTOSH #4</t>
  </si>
  <si>
    <t>HOJA DE ACERO INOXIDABLE PARA LARINGOSCOPIO ESTÁNDAR, TIPO MACINTOSH #5</t>
  </si>
  <si>
    <t>MÁSCARA TRANSPARENTE PARA INFANTES ENTRE 3 A 12 AÑOS, CON BOLSA RESERVORIO DE 450 A 500 ML, CON EXTENSIÓN PARA OXÍGENO 1.5 A 2 M DE LARGO, CON VÁLVULA DE NO REINHALACIÓN, DESCARTABLE, ESTÉRIL.</t>
  </si>
  <si>
    <t>MÁSCARA FACIAL VENTILADA TAMAÑO "S", PARA APLICACIÓN DE VENTILACIÓN NOINVASIVA, CON BORDES ANATÓMICOS, SUAVES DE SILICÓN Y/O GEL REUTILIZABLE, CON PUERTO O DISPOSITIVO INDEPENDIENTE PARA APLICACIÓN DE O2 Y MEDICIÓN DE CO2 Y VÁLVULA DE EXHALACIÓN; QUE INCLUYA ARNÉS, SIN SOPORTE FRONTAL, ADAPTABLE A VENTILADOR MECÁNICO.</t>
  </si>
  <si>
    <t>MÁSCARA FACIAL VENTILADA TAMAÑO "M", PARA APLICACIÓN DE VENTILACIÓN NOINVASIVA, CON BORDES ANATÓMICOS, SUAVES DE SILICÓN Y/O GEL REUTILIZABLE, CON PUERTO O DISPOSITIVO INDEPENDIENTE PARA APLICACIÓN DE O2 Y MEDICIÓN DE CO2 Y VÁLVULA DE EXHALACIÓN; QUE INCLUYA ARNÉS, SIN SOPORTE FRONTAL, ADAPTABLE A VENTILADOR MECÁNICO.</t>
  </si>
  <si>
    <t>MÁSCARA FACIAL VENTILADA TAMAÑO "L", PARA APLICACIÓN DE VENTILACIÓN NOINVASIVA, CON BORDES ANATÓMICOS, SUAVES DE SILICÓN Y/O GEL REUTILIZABLE, CON PUERTO O DISPOSITIVO INDEPENDIENTE PARA APLICACIÓN DE O2 Y MEDICIÓN DE CO2 Y VÁLVULA DE EXHALACIÓN; QUE INCLUYA ARNÉS, SIN SOPORTE FRONTAL, ADAPTABLE A VENTILADOR MECÁNICO.</t>
  </si>
  <si>
    <t>MÁSCARA TOTAL FACIAL VENTILADA, PARA APLICACIÓN DE VENTILACIÓN NO INVASIVA, CON BORDES ANATÓMICOS, SUAVES DE SILICÓN Y/O GEL REUTILIZABLE, CON PUERTO O DISPOSITIVO INDEPENDIENTE PARA APLICACIÓN DE O2 Y MEDICIÓNDE CO2 Y VÁLVULA DE EXHALACIÓN; QUE INCLUYA ARNÉS, ADAPTABLE A VENTILADOR MECÁNICO.</t>
  </si>
  <si>
    <t>MÁSCARA TOTAL FACIAL NO VENTILADA, PARA APLICACIÓN DE VENTILACIÓN NO INVASIVA, CON BORDES ANATÓMICOS, SUAVES DE SILICÓN Y/O GEL REUTILIZABLE, CON PUERTO O DISPOSITIVO INDEPENDIENTE PARA APLICACIÓN DE O2 Y MEDICIÓN DE CO2 Y VÁLVULA DE EXHALACIÓN; QUE INCLUYA ARNÉS, ADAPTABLE A VENTILADOR MECÁNICO.</t>
  </si>
  <si>
    <t>MÁSCARA FACIAL NO VENTILADA TAMAÑO "S" PARA APLICACIÓN DE VENTILACIÓNNO INVASIVA, CON BORDES ANATÓMICOS,  SUAVES DE SILICÓN Y/O GEL REUTILIZABLE; QUE INCLUYA  ARNÉS,  ADAPTABLE A VENTILADOR MECÁNICO.</t>
  </si>
  <si>
    <t>FLUJÓMETRO PARA OXÍGENO MEDICINAL CON VÁLVULA DE REGULACIÓN DE 0 A 15L/MIN, CON  ADAPTADOR PARA SUMINISTRO A PARED.</t>
  </si>
  <si>
    <t>FLUJÓMETRO PARA AIRE MEDICINAL CON VÁLVULA DE REGULACIÓN DE 0 A 15 L/MIN, CON  ADAPTADOR PARA SUMINISTRO A PARED.</t>
  </si>
  <si>
    <t>HUMIDIFICADOR DESCARTABLE CON RESERVORIO TIPO BURBUJA, UTILIZABLE CONFLUJOS DE OXÍGENO DE 2 A 6 LPM</t>
  </si>
  <si>
    <t>MANGUERA DE ALTA PRESIÓN CON ADAPTADOR A REGULADOR DE OXÍGENO MEDICINAL</t>
  </si>
  <si>
    <t>MANGUERA DE ALTA PRESIÓN PARA AIRE MEDICINAL, CON ADAPTADOR PARA SISTEMA DE GASES MÉDICOS.</t>
  </si>
  <si>
    <t>MANGUERA DE ALTA PRESIÓN CON ADAPTADOR A REGULADOR DE AIRE MEDICINAL</t>
  </si>
  <si>
    <t>MANGUERA DE ALTA PRESIÓN PARA OXÍGENO MEDICINAL, CON ADAPTADOR PARA SISTEMA DE GASES MÉDICOS.</t>
  </si>
  <si>
    <t>CONDUCTOR REUTILIZABLE PARA RE-INTUBACIÒN DE TUBOS ENDOTRAQUEALES, MOLDEABLE, LONGITUD DE 70 A 80 CM, CON PUNTA ATRAUMÁTICA, ACABADO EXTERNODESLIZANTE, CON RECUBRIMIENTO</t>
  </si>
  <si>
    <t>ESPACIADOR DE VOLUMEN PARA ADULTO ADAPTABLE A VENTILADOR MECÁNICO, AEROCÁMARA ANTIESTÁTICA, SIN DISPOSITIVO DE ALARMA</t>
  </si>
  <si>
    <t>ESPACIADOR DE VOLUMEN NEONATAL ADAPTABLE A VENTILADOR MECÁNICO, AEROCÁMARA ANTIESTÁTICA, SIN DISPOSITIVO DE ALARMA</t>
  </si>
  <si>
    <t>SISTEMA VENTURI PARA OXÍGENO, CON MÁSCARA MEDIANA PARA ADULTO, CON LÍNEA DE OXÍGENO DE 1.5 - 2 METROS</t>
  </si>
  <si>
    <t>MÁSCARA MEDIANA TRANSPARENTE PARA ADULTO, CON BOLSA RESERVORIO, CON EXTENSIÓN PARA OXÍGENO 1.5 - 2 METROS DE LARGO, CON VÁLVULA DE NO REINHALACIÓN,DESCARTABLE, ESTÉRIL</t>
  </si>
  <si>
    <t>MÁSCARA PARA OXÍGENO CON SISTEMA VENTURI PARA LACTANTES HASTA 2 AÑOS,CON LÍNEA DE OXÍGENO DE 6 A 9 PIES.</t>
  </si>
  <si>
    <t>MÁSCARA PARA OXÍGENO CON SISTEMA VENTURI PARA INFANTES ENTRE 2 A 6 AÑOS, CON LÍNEA DE OXÍGENO DE 6 A 9 PIES</t>
  </si>
  <si>
    <t>MÁSCARA PARA OXÍGENO CON SISTEMA VENTURI PARA INFANTES ENTRE 7 A 12 AÑOS, CON LÍNEA DE OXÍGENO DE 6 A 9 PIES</t>
  </si>
  <si>
    <t>MÁSCARA TRANSPARENTE PARA INFANTES ENTRE 2 A 6 AÑOS, CON BOLSA RESERVORIO DE 500 A 750 ML, CON EXTENSIÓN PARA OXÍGENO 1.5 A 2 MT DE LARGO, CON VÁLVULA DE NO REINHALACIÓN, DESCARTABLE, ESTÉRIL</t>
  </si>
  <si>
    <t>FLUJÓMETRO DE OXÍGENO PARA TERAPIA DE ALTO FLUJO PARA ADAPTAR A CILINDRO</t>
  </si>
  <si>
    <t>FLUJÓMETRO DE OXÍGENO MEDICINAL PARA TERAPIA DE ALTO FLUJO PARA SALIDADE PARED TIPO CHEMETRON</t>
  </si>
  <si>
    <t>CÁNULA OROFARINGEA TRANSPARENTE DE 100 MM DE LONGITUD, SILICONADA, QUEPERMITA LA ASPIRACIÓN.</t>
  </si>
  <si>
    <t>CÁNULA OROFARINGEA TRANSPARENTE DE 30 MM DE LONGITUD</t>
  </si>
  <si>
    <t>CÁNULA OROFARINGEA TRANSPARENTE DE 40 MM DE LONGITUD, SILICONADA, QUEPERMITA LA ASPIRACIÓN.</t>
  </si>
  <si>
    <t>CÁNULA OROFARINGEA TRANSPARENTE DE 50 MM DE LONGITUD, SILICONADA, QUEPERMITA LA ASPIRACIÓN.</t>
  </si>
  <si>
    <t>CÁNULA OROFARINGEA TRANSPARENTE DE 60 MM DE LONGITUD</t>
  </si>
  <si>
    <t>CÁNULA OROFARINGEA TRANSPARENTE DE 70 MM DE LONGITUD</t>
  </si>
  <si>
    <t>CÁNULA OROFARINGEA TRANSPARENTE DE 80 MM DE LONGITUD SILICONADA, QUE PERMITA LA ASPIRACIÓN.</t>
  </si>
  <si>
    <t>CÁNULA OROFARINGEA TRANSPARENTE DE 90 MM DE LONGITUD SILICONADA, QUE PERMITA LA ASPIRACIÓN</t>
  </si>
  <si>
    <t>CEPILLO PARA LAVAR TUBO CORRUGADO, LARGO 50 - 60 CM, DIÁMETRO 2 CM (APROXIMADO)</t>
  </si>
  <si>
    <t>COLLAR PARA SUMINISTRAR AEROSOL Y OXÍGENO MEDICINAL EN PACIENTES CON TRAQUEOTOMÍA, CON SUJETADOR ELÁSTICO</t>
  </si>
  <si>
    <t>CONDUCTOR PARA TUBOS ENDOTRAQUEALES, MOLDEABLE, LONGITUD DE 45 A 50 CM, CON PUNTA ATRAUMÁTICA, ACABADO EXTERNO DESLIZANTE, CON RECUBRIMIENTO, REUTILIZABLE</t>
  </si>
  <si>
    <t>CONECTOR PARA MANGUERA DE AIRE MEDICINAL DE VENTILADOR MECÁNICO, QUE INCLUYA ACCESORIOS NECESARIOS PARA ADAPTAR, COMPATIBLE CON SISTEMA DE GASES MÉDICOS.</t>
  </si>
  <si>
    <t>CONECTOR PARA MANGUERA DE OXÍGENO MEDICINAL DE VENTILADOR MECÁNICO, QUE INCLUYA ACCESORIOS NECESARIOS PARA ADAPTAR, A SISTEMA DE GASES MÉDICOS</t>
  </si>
  <si>
    <t>CUELLO CERVICAL PARA ADAPTAR CÁNULA DE TRAQUEOSTOMÍA PARA ADULTO</t>
  </si>
  <si>
    <t>DISPOSITIVO DE PRESIÓN POSITIVA ESPIRATORIA REUTILIZABLE</t>
  </si>
  <si>
    <t>CÁMARA DE ESPACIADOR DE VOLUMEN NEONATAL, CON VÁLVULA UNIDIRECCIONAL,AEROCÁMARA ANTIESTÁTICA ENTRE 60 Y 200 ML,  CON MASCARILLA N° 1 DE MATERIAL SUAVE TRANSPARENTE CON BORDES ANATÓMICOS, LIBRE DE LÁTEX.</t>
  </si>
  <si>
    <t>CÁMARA DE ESPACIADOR DE VOLUMEN NEONATAL, CON VÁLVULA UNIDIRECCIONAL,AEROCÁMARA ANTIESTÁTICA ENTRE 60 Y 200 ML, CON MASCARILLA N° 0  DE MATERIAL SUAVE TRANSPARENTE CON BORDES ANATÓMICOS, LIBRE DE LÁTEX</t>
  </si>
  <si>
    <t>ESPACIADOR DE VOLUMEN PARA ADULTO, CON VÁLVULA UNIDIRECCIONAL, AEROCÁMARA ANTIESTÁTICA, VOLUMEN ENTRE 100 A 360 ML, LONGITUD DE 9 A 15 CM, CON DISPOSITIVO DE ALARMA INCORPORADO</t>
  </si>
  <si>
    <t>ESPACIADOR DE VOLUMEN PARA ADULTO, ADAPTABLE A VENTILADOR MECÁNICO, CON VÁLVULA UNIDIRECCIONAL, AEROCÁMARA ANTIESTÁTICA, CON DISPOSITIVO DEALARMA</t>
  </si>
  <si>
    <t>CÁMARA DE ESPACIADOR DE VOLUMEN PEDIÁTRICA, CON VÁLVULA UNIDIRECCIONAL, AEROCÁMARA ANTIESTÁTICA ENTRE 100 Y 360 ML, CON MASCARILLA N ° 4  DEMATERIAL SUAVE TRANSPARENTE CON BORDES ANATÓMICOS, LIBRE DE LÁTEX.</t>
  </si>
  <si>
    <t>CÁMARA DE ESPACIADOR DE VOLUMEN PEDIÁTRICA, CON VÁLVULA UNIDIRECCIONAL, AEROCÁMARA ANTIESTÁTICA ENTRE 60 Y 360 ML, CON MASCARILLA N°  3 DE MATERIAL SUAVE TRANSPARENTE CON BORDES ANATÓMICOS, LIBRE DE LÁTEX</t>
  </si>
  <si>
    <t>CÁMARA DE ESPACIADOR DE VOLUMEN PEDIÁTRICA, CON VÁLVULA UNIDIRECCIONAL, AEROCÁMARA ANTIESTÁTICA ENTRE 60 Y 200 ML, CON MASCARILLA N°  2 DE MATERIAL SUAVE TRANSPARENTE CON BORDES ANATÓMICOS, LIBRE DE LÁTEX</t>
  </si>
  <si>
    <t>FILTRO INSPIRATORIO REUTILIZABLE PARA VENTILADOR MECÁNICO, ALTA FILTRACIÓN BACTERIANA/VIRAL 99.999 %.</t>
  </si>
  <si>
    <t>INTERCAMBIADOR DE CALOR Y HUMEDAD PARA TRAQUEOTOMÍA CON RESISTENCIA  DE 0.08 A 0.30 CMH2O A 30 L/MIN O 1.1 A 1.8 CMH2O A 60 L/MIN, CON APORTE DE HUMEDAD ENTRE 26 A 30 MGH2O/L O MÁS Y ESPACIO MUERTO MENOR A 20 ML, CON PUERTO DE OXÍGENO, DESCARTABLE, LIBRE DE DHP Y DE LÁTEX.</t>
  </si>
  <si>
    <t>INTERCAMBIADOR DE CALOR Y HUMEDAD PARA TRAQUEOTOMÍA CON RESISTENCIA DE0.08 A 0.30 CMH2O A 30 L/MIN O 1.1 A 1.8 CMH2O A 60 L/MIN, CON APORTEDE HUMEDAD ENTRE 26 A 30 MGH2O/L O MÁS Y ESPACIO MUERTO MENOR A 20 ML, SIN PUERTO DE OXÍGENO, DESCARTABLE, LIBRE DE DHP Y DE LÁTEX.</t>
  </si>
  <si>
    <t>HUMIDIFICADOR CON  RESERVORIO TIPO BURBUJA, UTILIZABLE CON FLUJOS DE OXÍGENO DE 2 A 15 LPM, DESCARTABLE</t>
  </si>
  <si>
    <t>INSPIRÓMETRO DE INCENTIVO PARA ADULTO, DE FLUJO O DE VOLUMEN,DESCARTABLE</t>
  </si>
  <si>
    <t>MANÓMETRO DE PRESIÓN DE BALÓN DE TUBO ENDOTRAQUEAL O ENDOBRONQUIAL, CON INSUFLADOR</t>
  </si>
  <si>
    <t>MÁSCARA FACIAL VENTILADA TAMAÑO "L", PARA APLICACIÓN DE VENTILACIÓN NOINVASIVA, CON BORDES ANATÓMICOS SUAVES DE SILICÓN Y/O GEL, REUTILIZABLE, CON PUERTO O DISPOSITIVO INDEPENDIENTE PARA APLICACIÓN DE O2 Y MEDICIÓN DE CO2 Y VÁLVULA DE EXHALACIÓN; QUE INCLUYA ARNÉS CON SOPORTE.</t>
  </si>
  <si>
    <t>MÁSCARA FACIAL VENTILADA TAMAÑO "M", PARA APLICACIÓN DE VENTILACIÓN NOINVASIVA, CON BORDES ANATÓMICOS, SUAVES DE SILICÓN Y/O GEL, R EUTILIZABLE, CON PUERTO O DISPOSITIVO INDEPENDIENTE PARA APLICACIÓN DE O2 Y MEDICIÓN DE CO2 Y VÁLVULA DE EXHALACIÓN; QUE INCLUYA ARNÉS, CON SOPORTE.</t>
  </si>
  <si>
    <t>SISTEMA VENTURI PARA OXÍGENO, CON MÁSCARA GRANDE PARA ADULTO, CON LÍNEA DE OXÍGENO DE 1.5-2.0 METROS</t>
  </si>
  <si>
    <t>MÁSCARA GRANDE, PARA ADULTO, TRANSPARENTE, CON BOLSA RESERVORIO, CON EXTENSIÓN PARA OXÍGENO 1.5 - 2 METROS DE LARGO, CON VÁLVULA DE NO REINHALACIÓN, DESCARTABLE, ESTÉRIL.</t>
  </si>
  <si>
    <t>MASCARILLA TRANSPARENTE # 1, DE MATERIAL SUAVE CON BORDES ANATÓMICOS ,LIBRE DE LÁTEX, ADAPTABLE A RESUCITADOR MANUAL NEONATAL</t>
  </si>
  <si>
    <t>MASCARILLA TRANSPARENTE # 3, DE MATERIAL SUAVE CON BORDES ANATÓMICOS ,LIBRE DE LÁTEX, ADAPTABLE A RESUCITADOR MANUAL NEONATAL</t>
  </si>
  <si>
    <t>MASCARILLA DE POLIPROPILENO # 4 O EQUIVALENTE, ACOLCHONADA, TRANSPARENTE Y SILICONADA, ADAPTABLE A RESUCITADOR MANUAL PARA ADULTO</t>
  </si>
  <si>
    <t>MASCARILLA DE POLIPROPILENO # 5 O EQUIVALENTE, ACOLCHONADA, TRANSPARENTE Y SILICONADA, ADAPTABLE A RESUCITADOR MANUAL PARA ADULTO</t>
  </si>
  <si>
    <t>MEDIDOR DE FLUJO ESPIRATORIO MÁXIMO (PEAK FLOW)</t>
  </si>
  <si>
    <t>NEBULIZADOR CON BOQUILLA Y LÍNEA DE OXÍGENO; DIÁMETRO DE MASA MEDIANAAERODINÁMICA (DMMA) ENTRE 2 A 5 MICRÓMETROS Y VOLUMEN RESIDUAL QUE NOEXCEDA DE 0.5 ML, REUTILIZABLE</t>
  </si>
  <si>
    <t>NEBULIZADOR CON MASCARILLA GRANDE PARA ADULTO, TODA POSICIÓN; DIÁMETRODE MASA MEDIANA AERODINÁMICA (DMMA) ENTRE 2 A 5 MICRÓMETROS Y VOLUMENRESIDUALQUE NO EXCEDA DE 0.5 ML EN TODA POSICIÓN O TODO ÁNGULO</t>
  </si>
  <si>
    <t>NEBULIZADOR CON MASCARILLA MEDIANA PARA ADULTO, TODA POSICIÓN; DIÁMETRO DE MASA MEDIANA AERODINÁMICA (DMMA) ENTRE 2 A 5 MICRÓMETROS Y VOLUMEN  RESIDUAL QUE NO EXCEDA DE 0.5 ML EN TODA POSICIÓN O TODO ÁNGULO</t>
  </si>
  <si>
    <t>NEBULIZADOR CON MASCARILLA PEDIÁTRICA GRANDE, TODA POSICIÓN; DIÁMETRODE MASA MEDIANA AERODINÁMICA (DMMA) ENTRE 2 A 5 MICROMETRO Y VOLUMEN RESIDUAL QUE NO EXCEDA DE 0.5 ML EN TODA POSICIÓN O TODO ÁNGULO. VÁLVULAPEEP DE 0 A 20 CMH2O,QUE PERMITA VERIFICAR EL NIVEL DE PRESIÓN.</t>
  </si>
  <si>
    <t>NEBULIZADOR CON MASCARILLA PARA NEONATOS, TODA POSICIÓN; DIÁMETRO DE MASA MEDIANA AERODINÁMICA (DMMA) ENTRE 2 A 5 MICRÓMETRO Y VOLUMEN RESIDUAL QUE NO EXCEDA DE 0.5 ML EN TODA POSICIÓN O TODO ÁNGULO P DE 0 A 20CMH2O,QUE PERMITA VERIFICAR NIVEL DE PRESIÓN, CON SU LÍNEA</t>
  </si>
  <si>
    <t>NEBULIZADOR CON PIEZA "T" DE DOBLE TERMINACIÓN, EXTREMOS DE 15 Y 22 MMPARA ADAPTAR A VENTILADOR MECÁNICO, CON SU LÍNEA DE OXÍGENO; DIÁMETRODE MASA MEDIANA AERODINÁMICA (DMMA) ENTRE 2 A 5 MICRÓMETROS Y VOLUMENRESIDUAL QUE NO EXCEDA DE 0.5 ML.</t>
  </si>
  <si>
    <t>NEBULIZADOR DE ALTO VOLUMEN, CON SELECTOR DE CONCENTRACIÓN DE OXÍGENO,CON SISTEMA VENTURI, DESCARTABLE</t>
  </si>
  <si>
    <t>PIEZA EN "T" DE 15 MM DE DIÁMETRO INTERNO AL TUBO ENDOTRAQUEAL Y 22 MMDIÁMETRO EXTERNO PARA AMBOS EXTREMOS, DESCARTABLE.</t>
  </si>
  <si>
    <t>PULMÓN DE PRUEBA DE 150 A 300 ML, SIN RESISTENCIA Y COMPLIANCE ESTABLECIDOS</t>
  </si>
  <si>
    <t>PULMÓN DE PRUEBA DE 1000 A 1500 ML, CON RESISTENCIA Y COMPLIANCE ESTABLECIDOS</t>
  </si>
  <si>
    <t>RESUCITADOR MANUAL PEDIÁTRICO, REUTILIZABLE Y DESARMABLE, CON VOLUMENENTRE 250 A 450 ML, CON MASCARILLA FACIAL TRASPARENTE DE BORDES  ANATÓMICOS SUAVES TAMAÑO 2, CON VÁLVULA LIMITADORA DE PRESIÓN HASTA 40 CMH2O, ADAPTABLE A FUENTE DE OXÍGENO, CON SU RESPECTIVA BOLSA  RESERVORIOY VÁLVULA PEEP.</t>
  </si>
  <si>
    <t>RESUCITADOR MANUAL NEONATAL, REUTILIZABLE Y DESARMABLE, CON VOLUMEN DE150  ML, CON MASCARILLA FACIAL TRASPARENTE DE BORDES ANATÓMICOS SUAVES TAMAÑO 0, CON VÁLVULA LIMITADORA DE PRESIÓN HASTA 40 CMH2O, ADAPTABLE A FUENTE DE OXÍGENO, CON SU RESPECTIVA BOLSA RESERVORIO Y VÁLVULA PEEP</t>
  </si>
  <si>
    <t>RESUCITADOR MANUAL PARA ADULTO, REUTILIZABLE Y DESARMABLE, DE SILICÓN,TRASPARENTE, CON VÁLVULA LIMITADORA DE PRESIÓN, ADAPTABLE A FUENTE DEOXÍGENO, CON SU RESPECTIVA BOLSA DE RESERVORIO Y VÁLVULA PEEP DE 0 A20 CMH20, QUE PERMITA VERIFICAR NIVEL DE PRESIÓN, CON ADAPTADOR</t>
  </si>
  <si>
    <t>SET DE ASPIRACIÓN DE TRÁQUEA, PARA ADULTO, CON TAPADERA DE ROSCA</t>
  </si>
  <si>
    <t>CIRCUITO DE TUBOS CORRUGADOS, PARA ADULTO, REUTILIZABLES, PARA VENTILADOR MECÁNICO ESTACIONARIO, SIN TRAMPA DE AGUA.</t>
  </si>
  <si>
    <t>SET PARA TOMA DE GASES ARTERIALES QUE CONTENGA: JERINGA DE 3 CC CON AGUJA DE 23 G X 1", HEPARINA BALANCEADA, TORUNDA CON ALCOHOL Y C LORHEXIDINA AL 2%,VENDA AUTO ADHESIVA Y CON IDENTIFICACIÓN PARA JERINGA, BOLSA PARA DESCARTE Y PROTECTOR DE AGUJA PARA TRASLADO DE MUESTRA.</t>
  </si>
  <si>
    <t>SISTEMA CERRADO DE ASPIRACIÓN BRONQUIAL # 14, FLEXIBLE, CON DISPOSITIVO DE SEGURIDAD QUE EVITE PÉRDIDA DE VOLUMEN PULMONAR,  INTERRUPTOR DESUCCIÓN, PUNTA REDONDA ATRAUMÁTICA, CON ESCALA E INDICADOR NUMÉRICO,ESTÉRIL,DESCARTABLE.</t>
  </si>
  <si>
    <t>SISTEMA CERRADO DE ASPIRACIÓN BRONQUIAL #6, FLEXIBLE, CON INTERRUPTOR,PUNTA REDONDA ATRAUMÁTICA, CON ESCALA E INDICADOR NUMÉRICO, ESTÉRIL,DESCARTABLE. CON VÁLVULA DE SEGURIDAD PARA EVITAR PÉRDIDA DE VOLUMEN EN EL CIRCUITO RESPIRATORIO.</t>
  </si>
  <si>
    <t>SISTEMA CERRADO DE ASPIRACIÓN BRONQUIAL #8, FLEXIBLE, CON INTERRUPTOR,PUNTA REDONDA ATRAUMÁTICA, CON ESCALA E INDICADOR NUMÉRICO, ESTÉRIL,DESCARTABLE.CON VÁLVULA DE SEGURIDAD PARA EVITAR PÉRDIDA DE VOLUMEN ENEL CIRCUITO RESPIRATORIO</t>
  </si>
  <si>
    <t>SISTEMA DE PRESIÓN EXPIRATORIA POSITIVA OSCILANTE PARA HIGIENE BRONQUIAL, CON AJUSTE DE RESISTENCIA, REUTILIZABLE</t>
  </si>
  <si>
    <t>TUBO CORRUGADO, DE 1.5 A 2 METROS DE LONGITUD, CON ADAPTADORES UNIVERSALES FLEXIBLES, REUTILIZABLE</t>
  </si>
  <si>
    <t>TUBO ENDOTRAQUEAL PARA ASPIRACIÓN SUBGLÓTICA CON BALÓN DE ALTO VOLUMENY BAJA PRESIÓN CON LUMEN DE SUCCIÓN Y PUERTO DE EVACUACIÓN  # 7.5</t>
  </si>
  <si>
    <t>TUBO ENDOTRAQUEAL PARA ASPIRACIÓN SUBGLÓTICA CON BALÓN DE ALTO VOLUMENY BAJA PRESIÓN CON LUMEN DE SUCCIÓN Y PUERTO DE EVACUACIÓN  # 8.0</t>
  </si>
  <si>
    <t>TUBO ENDOTRAQUEAL PARA ASPIRACIÓN SUBGLÓTICA CON BALÓN DE ALTO VOLUMENY BAJA PRESIÓN CON LUMEN DE SUCCIÓN Y PUERTO DE EVACUACIÓN  # 8.5</t>
  </si>
  <si>
    <t>TUBO ENDOTRAQUEAL PARA ASPIRACIÓN SUBGLÓTICA CON BALÓN DE ALTO VOLUMENY BAJA PRESIÓN CON LUMEN DE SUCCIÓN Y PUERTO DE EVACUACIÓN  # 9.0</t>
  </si>
  <si>
    <t>VÁLVULA DE EXHALACIÓN PARA VENTILADOR MECÁNICO ESTACIONARIO.</t>
  </si>
  <si>
    <t>MASCARILLA TRANSPARENTE  # 0,  DE MATERIAL SUAVE CON BORDES ANATÓMICOS, LIBRE DE LÁTEX, ADAPTABLE A RESUCITADOR MANUAL NEONATAL.</t>
  </si>
  <si>
    <t>MASCARILLA DE ALTA EFICIENCÍA N-95 SIN VÁLVULA DE EXHALACIÓN.</t>
  </si>
  <si>
    <t>KIT DESCARTABLE DE CIRCUITO PARA EQUIPO DE ÓXIDO NÍTRICO</t>
  </si>
  <si>
    <t>FLUJÓMETRO DE OXÍGENO MEDICINAL PARA TERAPIA DE ALTO FLUJO PARA SALIDADE PARED TIPO DISS</t>
  </si>
  <si>
    <t>FLUJÓMETRO DE OXÍGENO MEDICINAL PARA SALIDA DE PARED TIPO CHEMETRON</t>
  </si>
  <si>
    <t>FLUJÓMETRO DE OXÍGENO MEDICINAL PARA SALIDA DE PARED TIPO DISS</t>
  </si>
  <si>
    <t>SET PARA TOMA DE GASES ARTERIALES QUE CONTENGA: JERINGA DE 1 CC CON AGUJA DE 23 G X 1", HEPARINA BALANCEADA, TORUNDA CON ALCOHOL Y C LORHEXIDINA AL 2%,VENDA AUTO ADHESIVA Y CON IDENTIFICACIÓN PARA JERINGA, BOLSA PARA DESCARTE Y PROTECTOR DE AGUJA PARA TRASLADO DE MUESTRA.</t>
  </si>
  <si>
    <t>FLUJÓMETRO DE OXÍGENO MEDICINAL PARA TERAPIA DE ALTO FLUJO PARA SALIDA DE PARED TIPO OHMEDA</t>
  </si>
  <si>
    <t>FLUJÓMETRO DE OXÍGENO MEDICINAL PARA SALIDA DE PARED TIPO OHMEDA.</t>
  </si>
  <si>
    <t>REGULADOR DE PRESIÓN PARA OXÍGENO MEDICINAL CON ENTRADA CGA-540 Y PRESIÓN DE SALIDA DE 50 PSI</t>
  </si>
  <si>
    <t>REGULADOR DE PRESIÓN PARA OXÍGENO MEDICINAL CON ENTRADA CGA-540 Y RANGO DE FLUJO DE SALIDA 1/2 A 15 LPM</t>
  </si>
  <si>
    <t>REGULADOR DE PRESIÓN PARA OXÍGENO MEDICINAL CON ENTRADA DE YUGO CGA-870 Y PRESIÓN DE SALIDA DE 50 PSI</t>
  </si>
  <si>
    <t>REGULADOR DE PRESIÓN PARA OXÍGENO MEDICINAL CON ENTRADA DE YUGO CGA-870 Y RANGO DE FLUJO DE SALIDA DE 2-15 LPM</t>
  </si>
  <si>
    <t>TUBO TRAQUEOBRONQUIAL IZQUIERDO, TIPO ROBERTSHAW, 35 FRENCH, PARA VENTILACIÓN INDEPENDIENTE, CON BALÓN DE BAJA PRESIÓN Y ALTO VOLUMEN</t>
  </si>
  <si>
    <t>TUBO ENDOTRAQUEAL ORAL DE 2.0 - 2.5 MM, D.I., SIN BALÓN, TRANSPARENTE,CON OJO MURPHY, LÍNEA CENTINELA E IDENTIFICADOR DE CUERDAS VOCALES CON ESCALA E INDICADOR NUMÉRICO, DE MATERIAL RADIOPACO, QUE PERMITA MANTENER SU CURVATURA</t>
  </si>
  <si>
    <t>SENSOR DE FLUJO PARA MÁQUINAS DE ANESTESIA.</t>
  </si>
  <si>
    <t>SET PARA APLICACIÓN DE ANESTESIA COMBINADA ESPINAL-EPIDURAL Y MANEJO DE DOLOR POST OPERATORIO PARA ADULTO, QUE CONTENGA AGUJA ESPINAL, AGUJAEPIDURAL TIPO TOUHY CON ORIFICIO POSTERIOR QUE PERMITA EL PASO DE AGUJA ESPINAL, CATÉTER DE 100 CM DE LONGITUD O MAYOR, FILTRO PLANO ANTIBACTERIAL, CONECTOR PLÁSTICO TRANSPARENTE DE ROSCA Y JERINGA CON PÉRDIDADE RESISTENCIA</t>
  </si>
  <si>
    <t>CAL SODADA EN GRAMOS.</t>
  </si>
  <si>
    <t>CÁNULA NASOFARÍNGEA DE 4.5 MM, DE UNA VÍA FLEXIBLE, LIBRE DE LÁTEX</t>
  </si>
  <si>
    <t>CÁNULA NASOFARÍNGEA DE 4.5 MM, IZQUIERDA, DE PLÁSTICO TRANSPARENTE, FLEXIBLE, DE UNA VÍA</t>
  </si>
  <si>
    <t>CÁNULA NASOFARÍNGEA DE 5.5 MM, DE UNA VÍA FLEXIBLE, LIBRE DE LÁTEX</t>
  </si>
  <si>
    <t>CÁNULA NASOFARÍNGEA DE 6.0 MM, DE UNA VÍA FLEXIBLE, LIBRE DE LÁTEX</t>
  </si>
  <si>
    <t>CÁNULA NASOFARINGEA DE 6 MM, IZQUIERDA, DE PLÁSTICO TRANSPARENTE, FLEXIBLE, DE UNA VÍA</t>
  </si>
  <si>
    <t>MÁSCARA LARÍNGEA #3, CON CANAL DE ASPIRACIÓN GÁSTRICA E INTRODUCTOR</t>
  </si>
  <si>
    <t>MÁSCARA LARÍNGEA #5, TIPO FASTRACH, QUE INCLUYA 2 ESTABILIZADORES</t>
  </si>
  <si>
    <t>MÁSCARA LARÍNGEA #5, CON CANAL DE ASPIRACIÓN GÁSTRICA E INTRODUCTOR</t>
  </si>
  <si>
    <t>MÁSCARA LARÍNGEA #3, TIPO FASTRACH, QUE INCLUYA 2 ESTABILIZADORES</t>
  </si>
  <si>
    <t>MÁSCARA LARÍNGEA #4, CON CANAL DE ASPIRACIÓN GÁSTRICA E INTRODUCTOR</t>
  </si>
  <si>
    <t>MÁSCARA LARÍNGEA #4, TIPO FASTRACH, QUE INCLUYA 2 ESTABILIZADORES</t>
  </si>
  <si>
    <t>MÁSCARA PARA ANESTESIA GRANDE, ANATÓMICA, INFLABLE, DESCARTABLE</t>
  </si>
  <si>
    <t>REPUESTOS PARA CIRCUITOS DE ANESTESIA JACKSON REES DE 500 ML</t>
  </si>
  <si>
    <t>SET DE ANESTESIA EPIDURAL QUE CONTENGA: AGUJA TIPO TUOHY 18G X 3 1/4 CON CONEXIÓN LUER LOCK, CATÉTER 20G X +/- 100 CM, FILTRO PLANO ANTIBACTERIAL, CONECTOR PLÁSTICO, TRANSPARENTE DE ROSCA Y JERINGA CON PÉRDIDADE RESISTENCIA DE 10 ML.</t>
  </si>
  <si>
    <t>CIRCUITO DE TUBOS CORRUGADOS, PARA ADULTO, CON FILTRO, MÁSCARA, BOLSADE 3 LITROS Y CODO PARA MÁQUINA DE ANESTESIA CON ADAPTADOR PARA LÍNEADE CAPNÓGRAFO</t>
  </si>
  <si>
    <t>TUBO ENDOTRAQUEAL CON ALMA DE ACERO DE 6.0 MM DE DIÁMETRO, CON BALÓN DE ALTO VOLUMEN Y BAJA PRESIÓN</t>
  </si>
  <si>
    <t>TUBO ENDOTRAQUEAL CON ALMA DE ACERO DE 7.0 MM DE DIÁMETRO, CON BALÓN ALTO VOLUMEN Y BAJA PRESIÓN</t>
  </si>
  <si>
    <t>TUBO ENDOTRAQUEAL CON ALMA DE ACERO DE 7.5 MM DE DIÁMETRO, CON BALÓN ALTO VOLUMEN Y BAJA PRESIÓN</t>
  </si>
  <si>
    <t>TUBO ENDOTRAQUEAL CON ALMA DE ACERO DE 8.5 MM DE DIÁMETRO, CON BALÓN DE ALTO VOLUMEN Y BAJA PRESIÓN</t>
  </si>
  <si>
    <t>TUBO ENDOTRAQUEAL DE 7MM DIÁMETRO INTERNO, PARA USO CON MÁSCARA LARÍNGEA TIPO FAST-TRACK, CON SU RESPECTIVO INTRODUCTOR</t>
  </si>
  <si>
    <t>TUBO ENDOTRAQUEAL DE 7.5 MM DIÁMETRO INTERNO PARA USO CON MÁSCARA LARÍNGEA TIPO FAST-TRACK, CON SU RESPECTIVO INTRODUCTOR</t>
  </si>
  <si>
    <t>TUBO ENDOTRAQUEAL DE 8 MM DIÁMETRO INTERNO PARA USO CON MÁSCARA LARÍNGEA TIPO FAST-TRACK, CON SU RESPECTIVO INTRODUCTOR</t>
  </si>
  <si>
    <t>TUBO ENDOTRAQUEAL ORAL DE 2.5 MM, TRANSPARENTE, CON OJO MURPHY, LÍNEACENTINELA E IDENTIFICADOR DE CUERDAS VOCALES, DE MATERIAL RADIOPACO QUE PERMITA MANTENER SU CURVATURA</t>
  </si>
  <si>
    <t>TUBO ENDOTRAQUEAL ORAL DE 3.0 MM, TRANSPARENTE, CON OJO MURPHY, LÍNEACENTINELA E IDENTIFICADOR DE CUERDAS VOCALES,  DE MATERIAL RADIOPACO QUE PERMITA MANTENER SU CURVATURA</t>
  </si>
  <si>
    <t>TUBO ENDOTRAQUEAL ORAL DE 3.5 MM, TRANSPARENTE,  CON OJO MURPHY, LÍNEACENTINELA E IDENTIFICADOR DE CUERDAS VOCALES, DE MATERIAL RADIOPACO QUE PERMITA MANTENER SU CURVATURA</t>
  </si>
  <si>
    <t>TUBO ENDOTRAQUEAL ORAL DE 4.0 MM, TRANSPARENTE,  CON OJO MURPHY, LÍNEACENTINELA E IDENTIFICADOR DE CUERDAS VOCALES,  DE MATERIAL RADIOPACOQUE PERMITA MANTENER SU CURVATURA</t>
  </si>
  <si>
    <t>TUBO ENDOTRAQUEAL ORAL DE 4.5 MM, TRANSPARENTE, CON OJO MURPHY Y LÍNEACENTINELA, DE MATERIAL RADIOPACO QUE PERMITA CONSERVAR SU CURVATURA</t>
  </si>
  <si>
    <t>TUBO ENDOTRAQUEAL ORAL DE 5.0 MM, TRANSPARENTE,  CON OJO MURPHY Y LÍNEA CENTINELA,  DE MATERIAL RADIOPACO QUE PERMITA CONSERVAR SU C URVATURA</t>
  </si>
  <si>
    <t>TUBO ENDOTRAQUEAL ORAL DE 5.5 MM, TRANSPARENTE,  CON OJO MURPHY Y LÍNEA CENTINELA, DE MATERIAL RADIOPACO QUE PERMITA CONSERVAR SU CURVATURA</t>
  </si>
  <si>
    <t>TUBO ENDOTRAQUEAL ORAL DE 6 MM (#24), TRANSPARENTE, CON BALÓN DE BAJAPRESIÓN Y ALTO VOLUMEN, CON OJO MURPHY, LÍNEA CENTINELA, DE MATERIAL QUE PERMITA MANTENER SU CURVATURA.</t>
  </si>
  <si>
    <t>TUBO ENDOTRAQUEAL ORAL DE 6.5 MM (#26), TRANSPARENTE, CON BALÓN DE BAJA PRESIÓN Y ALTO VOLUMEN, CON OJO MURPHY, LÍNEA CENTINELA, DE    MATERIALQUE PERMITA MANTENER SU CURVATURA.</t>
  </si>
  <si>
    <t>TUBO ENDOTRAQUEAL ORAL DE 7 MM (#28), TRANSPARENTE, CON BALÓN DE BAJAPRESIÓN Y ALTO VOLUMEN, CON OJO MURPHY, LÍNEA CENTINELA, DE MATERIAL QUE PERMITA MANTENER SU CURVATURA.</t>
  </si>
  <si>
    <t>TUBO ENDOTRAQUEAL ORAL DE 7.5 MM (#30), TRANSPARENTE, CON BALÓN DE BAJA PRESIÓN Y ALTO VOLUMEN, CON OJO MURPHY, LÍNEA CENTINELA, DE MATERIALQUE PERMITA MANTENER SU CURVATURA.</t>
  </si>
  <si>
    <t>TUBO ENDOTRAQUEAL ORAL DE 8 MM (#32), TRANSPARENTE, CON BALÓN DE BAJAPRESIÓN Y ALTO VOLUMEN, CON OJO MURPHY, LÍNEA CENTINELA, DE MATERIAL QUE PERMITA MANTENER SU CURVATURA.</t>
  </si>
  <si>
    <t>TUBO ENDOTRAQUEAL ORAL DE 8.5 MM (#34), TRANSPARENTE, CON BALÓN DE BAJA PRESIÓN Y ALTO VOLUMEN, CON OJO MURPHY, LÍNEA CENTINELA, DE MATERIALQUE PERMITA MANTENER SU CURVATURA.</t>
  </si>
  <si>
    <t>TUBO ENDOTRAQUEAL ORAL DE 9 MM (#36), TRANSPARENTE, CON BALÓN DE BAJAPRESIÓN Y ALTO VOLUMEN, CON OJO MURPHY, LÍNEA CENTINELA, DE MATERIAL QUE PERMITA MANTENER SU CURVATURA.</t>
  </si>
  <si>
    <t>TUBO ENDOTRAQUEAL ORAL DE 9.5 MM (#38), TRANSPARENTE,CON BALÓN DE BAJAPRESIÓN Y ALTO VOLUMEN, CON OJO MURPHY, LÍNEA CENTINELA, DE MATERIALQUE PERMITA CONTENER SU CURVATURA.</t>
  </si>
  <si>
    <t>TUBO ENDOTRAQUEAL, CON ALMA DE ACERO, CON BALÓN DE ALTO VOLUMEN Y BAJAPRESIÓN DE 5 MM</t>
  </si>
  <si>
    <t>TUBO ENDOTRAQUEAL CON ALMA DE ACERO DE 8.0 MM DE DIÁMETRO, CON BALÓN ALTO VOLUMEN Y BAJA PRESIÓN.</t>
  </si>
  <si>
    <t>TUBO TRAQUEOBRONQUIAL DERECHO, TIPO ROBERTSHAW, 37 FRENCH, PARA VENTILACIÓN INDEPENDIENTE, CON BALÓN DE BAJA PRESIÓN Y ALTO VOLUMEN</t>
  </si>
  <si>
    <t>TUBO TRAQUEOBRONQUIAL DERECHO, TIPO ROBERTSHAW, 32 FRENCH, PARA VENTILACIÓN INDEPENDIENTE, CON BALÓN DE BAJA PRESIÓN Y ALTO VOLUMEN</t>
  </si>
  <si>
    <t>TUBO TRAQUEOBRONQUIAL DERECHO, TIPO ROBERTSHAW, 39 FRENCH, PARA VENTILACIÓN INDEPENDIENTE, CON BALÓN DE BAJA PRESIÓN Y ALTO VOLUMEN</t>
  </si>
  <si>
    <t>TUBO TRAQUEOBRONQUIAL IZQUIERDO, TIPO ROBERTSHAW, 37 FRENCH, PARA VENTILACIÓN INDEPENDIENTE, CON BALÓN DE BAJA PRESIÓN Y ALTO VOLUMEN</t>
  </si>
  <si>
    <t>TUBO TRAQUEOBRONQUIAL IZQUIERDO, TIPO ROBERTSHAW, 32 FRENCH, PARA VENTILACIÓN INDEPENDIENTE, CON BALÓN DE BAJA PRESIÓN Y ALTO VOLUMEN</t>
  </si>
  <si>
    <t>TUBO TRAQUEOBRONQUIAL IZQUIERDO, TIPO ROBERTSHAW, 39 FRENCH, PARA VENTILACIÓN INDEPENDIENTE, CON BALÓN DE BAJA PRESIÓN Y ALTO VOLUMEN</t>
  </si>
  <si>
    <t>TUBO TRAQUEOBRONQUIAL DERECHO, TIPO ROBERTSHAW, 35 FRENCH, PARA VENTILACIÓN INDEPENDIENTE, CON BALÓN DE BAJA PRESIÓN Y ALTO VOLUMEN</t>
  </si>
  <si>
    <t>SENSOR DE OXÍGENO PARA MÁQUINA DE ANESTESIA</t>
  </si>
  <si>
    <t>TRAMPA DE AGUA CON FILTRO PARA CAPNÓGRAFO DE MÁQUINA DE ANESTESIA, DESCARTABLE.</t>
  </si>
  <si>
    <t>KIT DE REFILL DE BOMBA PARA ANALGESIA INTRATECAL QUE INCLUYA: UN TUBODE EXTENSIÓN CON ABRAZADERA, UN FILTRO DE 0.22 CM DOS AGUJAS DE CALIBRE 22 SIN NÚCLEO, UNA PLANTILLA PARA RELLENAR.</t>
  </si>
  <si>
    <t>MÁSCARA LARÍNGEA #1, CON CANAL DE ASPIRACIÓN GÁSTRICA E INTRODUCTOR</t>
  </si>
  <si>
    <t>MÁSCARA LARÍNGEA #2, CON CANAL DE ASPIRACIÓN GÁSTRICA E INTRODUCTOR</t>
  </si>
  <si>
    <t>MÁSCARA LARÍNGEA #1.5, CON CANAL DE ASPIRACIÓN GÁSTRICA E INTRODUCTOR</t>
  </si>
  <si>
    <t>MÁSCARA LARÍNGEA #2.5, CON CANAL DE ASPIRACIÓN GÁSTRICA E INTRODUCTOR</t>
  </si>
  <si>
    <t>CIRCUITO DE TUBOS CORRUGADOS PARA MÁQUINA DE ANESTESIA, PARA PACIENTEPEDIÁTRICO, DE 1.5 M DE LONGITUD, DIÁMETRO 22 MM. INCLUYE:  MÁSCARA, BOLSA DE 2000 ML, FILTRO, PIEZA EN "Y", CODO, CON ADAPTADOR PARA LÍNEADE CAPNÓGRAFO, TUBO DE 90 CM DE LONGITUD ADAPTADOR DE 22 MM. LIBRE DELÁTEX. DESCARTABLE.</t>
  </si>
  <si>
    <t>CILINDRO DE GAS DE CALIBRACIÓN PARA ESPIROERGOMETRO, DE DIFERENTES CONCENTRACIONES</t>
  </si>
  <si>
    <t>CIRCUITO DE TUBOS CORRUGADOS, PARA ADULTO, DESCARTABLES DE DOBLE CALEFACCIÓN , CON CÁMARA DE AUTO LLENADO QUE NO PERMITA PERDIDA DE PEEP, ADAPTABLE A BASE CALEFACTORA, LIBRE DE LÁTEX</t>
  </si>
  <si>
    <t>MÁSCARA FACIAL NO VENTILADA TAMAÑO "L" PARA APLICACIÓN DE VENTILACIÓNNO INVASIVA, CON BORDES ANATÓMICOS,  SUAVES DE SILICÓN Y/O GEL REUTILIZABLE; QUE INCLUYA  ARNÉS,  ADAPTABLE A VENTILADOR MECÁNICO</t>
  </si>
  <si>
    <t>MÁSCARA FACIAL NO VENTILADA TAMAÑO "M" PARA APLICACIÓN DE VENTILACIÓNNO INVASIVA, CON BORDES ANATÓMICOS,  SUAVES DE SILICÓN Y/O GEL REUTILIZABLE; QUE INCLUYA ARNÉS,  ADAPTABLE A VENTILADOR MECÁNICO</t>
  </si>
  <si>
    <t>VÁLVULA DE EXHALACIÓN PARA VENTILADOR MECÁNICO DE ALTA FRECUENCIA</t>
  </si>
  <si>
    <t>LÍNEA SENSORA DE TEMPERATURA PARA CIRCUITO DE TUBOS CORRUGADOS, PARA ADULTO, ADAPTABLE A BASE CALEFACTORA DE VENTILADOR MECÁNICO.</t>
  </si>
  <si>
    <t>LÍNEA SENSORA DE TEMPERATURA PARA CIRCUITO DE TUBOS CORRUGADOS, PARA NEONATO, ADAPTABLE A BASE CALEFACTORA DE VENTILADOR MECÁNICO.</t>
  </si>
  <si>
    <t>LÍNEA  CONTROL DE TEMPERATURA DE DOBLE CALEFACCIÓN, PARA ADAPTAR A BASE CALEFACTORA DE VENTILADOR MECÁNICO.</t>
  </si>
  <si>
    <t>LÍNEA CONTROL DE TEMPERATURA, PARA ADAPTAR A BASE CALEFACTORA DE VENTILADOR MECÁNICO</t>
  </si>
  <si>
    <t>FILTRO ELECTROSTÁTICO BACTERIANO-VIRAL PARA NEONATOS, BAJA RESISTENCIAAL FLUJO DE 1.5 A 1.9   CM/H20 A 30 L/MIN, CON FILTRACIÓN DE AL MENOS99.999%, LIBRE DE LÁTEX, Y FTALATOS, CON ESPACIO MUERTO ENTRE 8 A 30ML, VOLUMEN TIDAL NO MAYOR A 8 ML, PESO NO MAYOR A 20 GRAMOS, DESCARTABLE.</t>
  </si>
  <si>
    <t>SENSOR DE FLUJO PARA VENTILADOR MECÁNICO DE PRESIÓN NEONATAL</t>
  </si>
  <si>
    <t>ADAPTADOR PARA VENTILADOR CON PUERTA PARA SUCCIÓN, CON DIAFRAGMA QUE EVITE PÉRDIDA DE VOLUMEN PULMONAR, DIÁMETRO INTERNO DE 15 MM AL TUBO ENDOTRAQUEAL Y DIÁMETRO EXTERNO DE 22 MM A PIEZA EN "Y".</t>
  </si>
  <si>
    <t>ADAPTADOR ANGULADO PARA VENTILADOR CON PUERTA PARA SUCCIÓN, CON DIÁMETRO INTERNO DE 15 MM EN ADAPTADOR AL TUBO ENDOTRAQUEAL Y EL EXTREMO QUEADAPTE A LA PIEZA EN "Y" DE 22 MM DE DIÁMETRO EXTERNO</t>
  </si>
  <si>
    <t>CIRCUITO DE TUBOS CORRUGADOS, DESCARTABLES, PARA VENTILADOR DE TRANSPORTE DE ADULTO, CON VÁLVULA EXHALATORIA Y SENSOR DE FLUJO, LIBRE DE LÁTEX.</t>
  </si>
  <si>
    <t>CIRCUITO DE TUBOS CORRUGADOS, REUTILIZABLES, PARA VENTILADOR DE TRANSPORTE DE ADULTO, CON VÁLVULA EXHALATORIA Y SENSOR DE FLUJO, LIBRE DE LÁTEX.</t>
  </si>
  <si>
    <t>CIRCUITO DE TUBOS CORRUGADOS, PARA ADULTO, LIBRE DE LÁTEX, DESCARTABLES</t>
  </si>
  <si>
    <t>CIRCUITO DE TUBOS CORRUGADOS, TAMAÑO NEONATAL, DE DOBLE CALEFACCIÓN, CON CÁMARA DE AUTO LLENADO CON VÁLVULA INTERNA  DE PEEP, LIBRE DE LÁTEX, DESCARTABLE, ADAPTABLE A BASE CALEFACTORA.</t>
  </si>
  <si>
    <t>DIAFRAGMA DE VÁLVULA EXHALATORIA, COMPATIBLE CON VENTILADOR MECÁNICO ESTACIONARIO.</t>
  </si>
  <si>
    <t>FILTRO BACTERIANO PARA TRANSDUCTOR DE FLUJO EXPIRATORIO.</t>
  </si>
  <si>
    <t>FILTRO MECÁNICO BACTERIANO-VIRAL , RESISTENCIA AL FLUJO DE 1.5 A 3.2 CMH2O A 60 L/MIN; CON ALTO PORCENTAJE DE FILTRACIÓN MAYOR O IGUAL 99.999%, ESPACIO MUERTO DE 30 A 60 ML, LIBRE DE LÁTEX Y DEHP, ESTÉRIL, DESCARTABLE.</t>
  </si>
  <si>
    <t>FILTRO ELECTROSTÁTICO CON INTERCAMBIADOR DE CALOR Y HUMEDAD, BAJA RESISTENCIA AL FLUJO DE 1.5 A 2.7 CMH2O A 60 L/MIN; FILTRACIÓN BAC TERIANA/VIRAL MAYOR O IGUAL 99.999%; HUMEDAD ENTRE 33 A 40 MG H2O/L, PARA UNVOLUMEN TIDAL ENTRE 500 A 1000 ML, CON PUERTO DE MUESTREO, ESPACIO MUERTO DE 49 A 95 ML, CON TUBO CORRUGADO CON MEMORIA DE FORMA, AMBOS ESTÉRILES EN UN SOLO EMPAQUE, LIBRE DE LÁTEX Y DEHP, DESCARTABLE</t>
  </si>
  <si>
    <t>FILTRO ELECTROSTÁTICO CON INTERCAMBIADOR DE CALOR Y HUMEDAD, BAJA RESISTENCIA AL FLUJO DE 1.5 A 2.7 CMH2O A 60 L/MIN; FILTRACIÓN BAC TERIANA/VIRAL MAYOR O IGUAL 99.999%; HUMEDAD ENTRE 33 A 40 MG H2O/L, PARA UNVOLUMEN TIDAL ENTRE 500 A 1000 ML, CON PUERTO DE MUESTREO, ESPACIO MUERTO DE 49 A 95 ML, SIN TUBO CORRUGADO, ESTÉRIL, LIBRE DE LÁTEX Y DEHP,DESCARTABLE</t>
  </si>
  <si>
    <t>MÁSCARA FACIAL VENTILADA TAMAÑO "S", PARA APLICACIÓN DE VENTILACIÓN NOINVASIVA, CON BORDES ANATÓMICOS, SUAVES DE SILICÓN Y/O GEL REUTILIZABLE, CON PUERTO O DISPOSITIVO INDEPENDIENTE PARA APLICACIÓN DE O2 Y MEDICIÓN DE CO2 Y VÁLVULA DE EXHALACIÓN; QUE INCLUYA ARNÉS, CON SOPORTE FRONTAL REGULABLE, ADAPTABLE A VENTILADOR MECÁNICO</t>
  </si>
  <si>
    <t>MÁSCARA NASAL VENTILADA TAMAÑO "L", PARA APLICACIÓN DE VENTILACIÓN NOINVASIVA, CON BORDES ANATÓMICOS, SUAVES DE SILICÓN Y/O GEL REUTILIZABLE, CON PUERTO O DISPOSITIVO INDEPENDIENTE PARA APLICACIÓN DE O2 Y MEDICIÓN DE CO2 Y VÁLVULA DE EXHALACIÓN; QUE INCLUYA ARNÉS, ADAPTABLE A VENTILADOR MECÁNICO</t>
  </si>
  <si>
    <t>MÁSCARA NASAL VENTILADA TAMAÑO "M", PARA APLICACIÓN DE VENTILACIÓN NOINVASIVA, CON BORDES ANATÓMICOS, SUAVES DE SILICÓN Y/O GEL REUTILIZABLE, CON PUERTO O DISPOSITIVO INDEPENDIENTE PARA APLICACIÓN DE O2 Y MEDICIÓN DE CO2 Y VÁLVULA DE EXHALACIÓN; QUE INCLUYA ARNÉS, ADAPTABLE A VENTILADOR MECÁNICO.</t>
  </si>
  <si>
    <t>MÁSCARA NASAL VENTILADA TAMAÑO "S", PARA APLICACIÓN DE VENTILACIÓN NOINVASIVA, CON BORDES ANATÓMICOS, SUAVES DE SILICÓN Y/O GEL REUTILIZABLE, CON PUERTO O DISPOSITIVO INDEPENDIENTE PARA APLICACIÓN DE O2 Y MEDICIÓN DE CO2 Y VÁLVULA DE EXHALACIÓN; QUE INCLUYA ARNÉS, ADAPTABLE A VENTILADOR MECÁNICO</t>
  </si>
  <si>
    <t>SENSOR DE FLUJO PARA VENTILADOR MECÁNICO ESTACIONARIO</t>
  </si>
  <si>
    <t>CÉLULA O SENSOR DE OXÍGENO PARA VENTILADOR MECÁNICO ESTACIONARIO</t>
  </si>
  <si>
    <t>SET DE COJINETE NASAL PARA APLICACIÓN DE VENTILACIÓN NO INVASIVA, QUECONTENGA: VÁLVULA DE EXHALACIÓN Y ARNÉS, CON ALMOHADILLAS (SUAVES) TAMAÑO "L", "M" Y "S", LIBRE DE LÁTEX.</t>
  </si>
  <si>
    <t>SISTEMA PARA VENTILACIÓN MECÁNICA NO INVASIVA, PARA RECIÉN NÁCIDO CONMARGEN DE PESO MENOR A 700 GRAMOS. SET QUE INCLUYA: GORRO, ARNÉS, ACCESORIOS PARA APLICAR PRESIÓN A VÍA AÉREA DE MATERIAL SUAVE, LIBRE DE LÁTEX (INTERFASE POR MÁSCARA Y CÁNULA NASAL, LONGITUD DE NARINAS CORTAS)</t>
  </si>
  <si>
    <t>SISTEMA PARA VENTILACIÓN MECÁNICA NO INVASIVA, PARA RECIÉN NÁCIDO CONMARGEN DE PESO ENTRE 700 A 1000 GRAMOS. SET QUE INCLUYA: GORRO, ARNÉS,ACCESORIOS PARA APLICAR PRESIÓN A VÍA AÉREA DE MATERIAL SUAVE, LIBREDE LÁTEX (INTERFASE POR MÁSCARA Y CÁNULA NASAL, LONGITUD DE NARINAS CORTAS).</t>
  </si>
  <si>
    <t>SISTEMA PARA VENTILACIÓN MECÁNICA NO INVASIVA, PARA RECIÉN NÁCIDO CONMARGEN DE PESO ENTRE 1000 A 1300 GRAMOS. SET QUE INCLUYA: GORRO, ARNÉS, ACCESORIOS PARA APLICAR PRESIÓN A VÍA AÉREA DE MATERIAL SUAVE, LIBREDE LÁTEX (INTERFASE POR MÁSCARA Y CÁNULA NASAL, LONGITUD DE NARINAS CORTAS).</t>
  </si>
  <si>
    <t>SISTEMA PARA VENTILACIÓN MECÁNICA NO INVASIVA, PARA RECIÉN NÁCIDO CONMARGEN DE PESO ENTRE 1300 A 1600 GRAMOS. SET QUE INCLUYA: GORRO, ARNÉS, ACCESORIOS PARA APLICAR PRESIÓN A VÍA AÉREA DE MATERIAL SUAVE, LIBREDE LÁTEX (INTERFASE POR MÁSCARA Y CÁNULA NASAL, LONGITUD DE NARINAS CORTAS).</t>
  </si>
  <si>
    <t>CABLE DE SENSOR DE FLUJO PARA VENTILADOR MECÁNICO NEONATAL</t>
  </si>
  <si>
    <t>DIAFRAGMA DE VÁLVULA EXHALATORIA CON TRAMPA DE AGUA. COMPATIBLE CON VENTILADOR MECÁNICO ESTACIONARIO</t>
  </si>
  <si>
    <t>GORRO DE VENTILACIÓN MECÁNICA NO INVASIVA PARA RECIÉN NÁCIDO, TALLA "XL"</t>
  </si>
  <si>
    <t>KIT DE FILTROS INTERNOS DE LA RAMA INSPIRATORIA Y EXPIRATORIA DE VENTILADOR MECÁNICO</t>
  </si>
  <si>
    <t>SENSOR DE FLUJO PARA VENTILADOR MECÁNICO DE TRANSPORTE</t>
  </si>
  <si>
    <t>SENSOR DE FLUJO PARA VENTILADOR MECÁNICO NO INVASIVO</t>
  </si>
  <si>
    <t>VÁLVULA DE EXHALACIÓN PARA VENTILADOR MECÁNICO DE TRANSPORTE, ADULTO.</t>
  </si>
  <si>
    <t>VÁLVULA DE EXHALACIÓN PARA VENTILADOR MECÁNICO NO INVASIVO</t>
  </si>
  <si>
    <t>CÉLULA O SENSOR DE OXÍGENO PARA VENTILADOR MECÁNICO DE TRANSPORTE, ADULTO.</t>
  </si>
  <si>
    <t>CÁMARA HUMIDIFICADORA DE AUTOLLENADO, CON SELLO O VÁLVULA PARA MANTENER PEEP, DESCARTABLE, PARA SER UTILIZADA EN BASE CALEFACTORA</t>
  </si>
  <si>
    <t>SISTEMA PARA VENTILACIÓN MECÁNICA NO INVASIVA, PARA RECIÉN NÁCIDO CONMARGEN DE PESO ENTRE 1600 A 2400 GRAMOS.SET QUE INCLUYA: GORRO, ARNÉS,ACCESORIOS PARA APLICAR DE PRESIÓN A VÍA AÉREA DE MATERIAL SUAVE, LIBRE DE LÁTEX (INTERFASE POR MÁSCARA Y CÁNULA NASAL, LONGITUD DE NARINASCORTAS).</t>
  </si>
  <si>
    <t>SISTEMA PARA VENTILACIÓN MECÁNICA NO INVASIVA, PARA RECIÉN NÁCIDO CONMARGEN DE PESO MAYOR A 2400 GRAMOS. SET QUE INCLUYA: GORRO, ARNÉS, ACCESORIOS PARA APLICAR PRESIÓN A VÍA AÉREA DE MATERIAL SUAVE, LIBRE DE LÁTEX (INTERFASE POR MÁSCARA Y CÁNULA NASAL, LONGITUD DE NARINAS CORTAS).</t>
  </si>
  <si>
    <t>CÉLULA O SENSOR DE OXÍGENO PARA VENTILADOR MECÁNICO NO INVASIVO.</t>
  </si>
  <si>
    <t>GORRO DE VENTILACIÓN MECÁNICA NO INVASIVA PARA RECIÉN NÁCIDO, TALLA "L"</t>
  </si>
  <si>
    <t>GORRO DE VENTILACIÓN MECÁNICA NO INVASIVA PARA RECIÉN NÁCIDO, TALLA "M"</t>
  </si>
  <si>
    <t>GORRO DE VENTILACION MECANICA NO INVASIVA PARA RECIEN NÁCIDO, TALLA "S"</t>
  </si>
  <si>
    <t>GORRO DE VENTILACION MECANICA NO INVASIVA PARA RECIEN NÁCIDO, TALLA "XS"</t>
  </si>
  <si>
    <t>DIAFRAGMA DE VÁLVULA EXHALATORIA COMPATIBLE CON VENTILADOR MECÁNICO DETRANSPORTE</t>
  </si>
  <si>
    <t>CABLE DE SENSOR DE CAPNOGRAFÍA PARA VENTILADOR MECÁNICO NEONATAL.</t>
  </si>
  <si>
    <t>SENSOR PARA CAPNOGRAFÍA, TAMAÑO NEONATAL, PESO MENOR A 20 GRAMOS, REUTILIZABLE.</t>
  </si>
  <si>
    <t>SENSOR PARA CAPNOGRAFÍA, TAMAÑO ADULTO, REUTILIZABLE.</t>
  </si>
  <si>
    <t>CÁNULA NASAL PARA CAPNOGRAFÍA, DESCARTABLE, TAMAÑO NEONATAL, CON FILTRO DE HUMEDAD INCORPORADO.</t>
  </si>
  <si>
    <t>CÁNULA NASAL PARA CAPNOGRAFÍA, DESCARTABLE, TAMAÑO ADULTO, CON FILTRODE HUMEDAD INCORPORADO</t>
  </si>
  <si>
    <t>LÍNEA PARA CAPNOGRAFÍA, DESCARTABLE, LONGITUD DE 2 A 2.5 M, CON ADAPTADORES</t>
  </si>
  <si>
    <t>ADAPTADOR DE VÍA RESPIRATORIA, PARA CAPNOGRAFÍA EN PACIENTE VENTILADO,DESCARTABLE, TAMAÑO ADULTO, CON FILTRO DE HUMEDAD INCORPORADO.</t>
  </si>
  <si>
    <t>CIRCUITO DE TUBOS CORRUGADOS, DESCARTABLES, PARA VENTILADOR DE TRANSPORTE DE ADULTO, LONGITUD MAYOR A 3.5 M, CON VÁLVULA EXHALATORIA Y SENSOR DE FLUJO, PARA USO EN RESONANCIA MAGNÉTICA, COMPATIBLE CON VENTILADOR MECÁNICO</t>
  </si>
  <si>
    <t>CIRCUITO DE TUBOS CORRUGADOS REUTILIZABLES PARA VENTILADOR DE TRANSPORTE DE ADULTO, LONGITUD MAYOR A 3.5 M, CON VÁLVULA EXHALATORIA Y SENSORDE FLUJO, PARA USO EN RESONANCIA MAGNÉTICA, COMPATIBLE CON VENTILADORMECÁNICO</t>
  </si>
  <si>
    <t>ADAPTADOR DE VÍA RESPIRATORIA, PARA CAPNOGRAFÍA EN PACIENTE VENTILADO,DESCARTABLE, TAMAÑO ADULTO.</t>
  </si>
  <si>
    <t>FILTRO DE AGUA PARA LÍNEA DE CAPNOGRAFÍA, DESCARTABLE COMPATIBLE CON VENTILADOR MECÁNICO</t>
  </si>
  <si>
    <t>TRAMPA DE AGUA PARA VÁLVULA EXHALATORIA.</t>
  </si>
  <si>
    <t>CIRCUITO DE TUBOS CORRUGADOS, TAMAÑO NEONATAL, PARA TERAPIA DE ALTO FLUJO,CON SU VÁLVULA DE PEEP DEL CIRCUITO, LIBRE DE LÁTEX, DESCARTABLESCALEFACTADO, CON CÁMARA DE AUTO LLENADO CON SELLO O VÁLVULA PARA MANTENER PEEP, ADAPTABLE A BASE CALEFACTORA.</t>
  </si>
  <si>
    <t>CIRCUITO DE TUBOS CORRUGADOS, TAMAÑO ADULTO, PARA TERAPIA DE ALTO FLUJO ,CON SU VÁLVULA DE PEEP DEL CIRCUITO, LIBRE DE LÁTEX, DESCARTABLES CALEFACTADO, CON CÁMARA DE AUTO LLENADO CON SELLO O VÁLVULA PARA MANTENER PEEP, ADAPTABLE A BASE CALEFACTORA.</t>
  </si>
  <si>
    <t>LÍNEA DE MUESTREO PARA CAPNOGRAFÍA SIN TRAMPA DE AGUA CON FILTRO BACTERIOLÓGICO E HIDROFÓBICO.</t>
  </si>
  <si>
    <t>FILTRO MECÁNICO CON INTERCAMBIADOR DE CALOR Y HUMEDAD, BAJA RESISTENCIA AL FLUJO DE 2.0 A 2.7 CMH2O A 60 L/MIN; FILTRACIÓN BACTERIANA/VIRALMAYOR O IGUAL 99.999%; HUMEDAD ENTRE 33 A 40 MG H2O/L, PARA UN VOLUMENTIDAL ENTRE 500 A 1000 ML, CON PUERTO DE MUESTREO, ESPACIO MUERTO DE49 A 95 ML, CON TUBO CORRUGADO CON MEMORIA DE FORMA, AMBOS ESTÉRILES EN UN SOLO EMPAQUE, LIBRE DE LÁTEX Y DEHP, DESCARTABLE</t>
  </si>
  <si>
    <t>FILTRO MECÁNICO CON INTERCAMBIADOR DE CALOR Y HUMEDAD, BAJA RESISTENCIA AL FLUJO DE 2.0 A 2.7 CMH2O A 60 L/MIN; FILTRACIÓN BACTERIANA/VIRALMAYOR O IGUAL 99.999%; HUMEDAD ENTRE 33 A 40 MG H2O/L, PARA UN VOLUMENTIDAL ENTRE 500 A 1000 ML, CON PUERTO DE MUESTREO, ESPACIO MUERTO DE49 A 96 ML, SIN TUBO CORRUGADO, ESTÉRIL, LIBRE DE LÁTEX Y DEHP, DESCARTABLE</t>
  </si>
  <si>
    <t>FILTRO  DE AIRE, BACTERIANO-VIRAL REUTILIZABLE  HASTA PARA UN PERÍODODE 1,000 HORAS, PARA EQUIPO DE OXÍGENOTERAPIA DE ALTO FLUJO, CON PORCENTAJE DE FILTRACIÓN BACTERIAL DE 99.999% O MÁS Y FILTRACIÓN VIRAL 99.99% O MÁS, LIBRE DE LÁTEX Y DEHP.</t>
  </si>
  <si>
    <t>FILTRO BACTERIANO/VIRAL COMPATIBLE CON ESPIRÓMETRO, CON CAPACIDAD DE FILTRACIÓN BACTERIAL DE 99.999% Y VIRAL DE 99.99%, RESISTENCIA AL  FLUJO INFERIOR A 1.5 CM/H2O/L/SEG A 14 L/SEG.</t>
  </si>
  <si>
    <t>SENSOR DE FLUJO ARTERIAL PARA BOMBA DE CIRCULACIÓN EXTRACORPÓREA</t>
  </si>
  <si>
    <t>CÁNULA NEBULIZADORA / INSUFLADORA PARA CO2</t>
  </si>
  <si>
    <t>LÍNEA SENSORA DE TEMPERATURA PARA CIRCUITO REUTILIZABLE, PARA ADAPTARA BASE CALEFACTORA DE VENTILADOR MECÁNICO</t>
  </si>
  <si>
    <t>CIRCUITO DE TUBO CORRUGADO PARA CPAP/BPAP, SIN CALEFACCIÓN.</t>
  </si>
  <si>
    <t>CIRCUITO DE TUBO CORRUGADO PARA CPAP/BPAP, CON CALEFACCIÓN.</t>
  </si>
  <si>
    <t>TUBO FLEXIBLE DE POLIURETANO GRADO HOSPITALARIO TRANSPARENTE  6MM X  9MM X 1,5MM, DE 50 A 100 PIES DE LARGO</t>
  </si>
  <si>
    <t>SOPORTE DE TUBOS OROTRAQUEALES, DE FÁCIL FIJACIÓN Y QUE EVITAN DAÑOS EN LA PIEL DEL RECIÉN NACIDO.</t>
  </si>
  <si>
    <t>LIMAS DE NÍQUEL TITANIO DEL SISTEMA ROTATORIO DE 25 MM; SET</t>
  </si>
  <si>
    <t>LIMAS MANUALES DE NIQUEL TITANIO DEL 15 AL 40 DE 25 MM; SET</t>
  </si>
  <si>
    <t>LIMAS MANUALES DE NÍQUEL TITANIO DEL 45 AL 80 DE 25 MM;  SET</t>
  </si>
  <si>
    <t>LIMAS TIPO K DE ACERO INOXIDABLE DEL 15 AL 40 DE 25 MM; SET</t>
  </si>
  <si>
    <t>LIMAS TIPO K DE ACERO INOXIDABLE DEL 15 AL 40 DE 31 MM; SET</t>
  </si>
  <si>
    <t>LIMAS TIPO K DE ACERO INOXIDABLE DEL 45 AL 80 DE 25 MM. SET</t>
  </si>
  <si>
    <t>LIMAS TIPO K DE ACERO INOXIDABLE DEL 45 AL 80 DE 31 MM. SET</t>
  </si>
  <si>
    <t>LIMAS TIPO K DE ACERO INOXIDABLE  06  DE 25 MM; SET</t>
  </si>
  <si>
    <t>LIMA TIPO K N° 15 DE 25 MM; SET</t>
  </si>
  <si>
    <t>LIMA TIPO K N° 20 DE 25 MM; SET</t>
  </si>
  <si>
    <t>LIMA TIPO K N° 25 DE 25 MM; SET</t>
  </si>
  <si>
    <t>PUNTAS DE PAPEL DEL 15 AL 40; CAJA</t>
  </si>
  <si>
    <t>PUNTAS DE PAPEL DEL 45 AL 80; CAJA</t>
  </si>
  <si>
    <t>LIMAS TIPO K DE ACERO INOXIDABLE  08 DE 25 MM; SET</t>
  </si>
  <si>
    <t>LIMAS TIPO K DE ACERO INOXIDABLE   10 DE 25 MM; SET</t>
  </si>
  <si>
    <t>BROCHA O APLICADOR PARA ÁCIDO Y ADHESIVO DENTAL, PRESENTACIÓN DESDE 100 UNIDADES</t>
  </si>
  <si>
    <t>MANDRIL METÁLICO PARA DISCOS DE PULIDO, SIN ROSCA</t>
  </si>
  <si>
    <t>BANDA DE CELULOIDE EN TIRAS, PRESENTACIÓN DESDE 100 UNIDADES</t>
  </si>
  <si>
    <t>CHUCK METÁLICO PARA PIEZA DE MANO DE ALTA VELOCIDAD</t>
  </si>
  <si>
    <t>CINTA BANDA MATRIZ DE 5 MM DE ANCHO, METÁLICA; CAJA O ROLLO</t>
  </si>
  <si>
    <t>CINTA BANDA MATRIZ DE 7 MM DE ANCHO, METÁLICA; CAJA O ROLLO</t>
  </si>
  <si>
    <t>TIRAS DE LIJA PARA TERMINACIÓN Y PULIDO DE RESINA COMPOSITA, PRESENTACIÓN DESDE 100 UNIDADES</t>
  </si>
  <si>
    <t>TIRANERVIOS EN COLORES ISO, BLANCO, AMARILLO Y ROJO (OBLIGATORIO), MORADO AZUL, VERDE Y NEGRO (OPCIONALES). LARGO DE 21MM A 25MM. PR ESENTACIÓN EN BLÍSTER O CAJA DESDE 6 UNIDADES, PRESENTACIÓN SET.</t>
  </si>
  <si>
    <t>ANILLO PARA MATRIZ SECCIONAL PRE FORMADA, METÁLICO DE 6 A 8 MM ALTO DEPARTE ACTIVA, REUTILIZABLE</t>
  </si>
  <si>
    <t>MATRICES SECCIONALES PRE FORMADAS, METÁLICAS O TRANSPARENTES MEDIDA 5MM DE ALTURA. PRESENTACIÓN DESDE  40 MATRICES</t>
  </si>
  <si>
    <t>MATRICES SECCIONALES PRE FORMADAS, METÁLICAS O TRANSPARENTES DE   5 A7 MM DE ALTURA, CON 2 ANILLOS, CAJA DESDE  40 MATRICES, KIT</t>
  </si>
  <si>
    <t>MATRICES SECCIONALES PRE FORMADAS, METÁLICAS O TRANSPARENTES MEDIDA 7MM DE ALTURA, PRESENTACIÓN DESDE  40 MATRICES</t>
  </si>
  <si>
    <t>CONTRÁNGULO DESCARTABLE PARA PROFILAXIS DE BAJA VELOCIDAD TIPO COPA</t>
  </si>
  <si>
    <t>CÁNULA PLÁSTICA DE 1/16" DESCARTABLE PARA EYECTOR QUIRÚRGICO</t>
  </si>
  <si>
    <t>CÁNULA PLÁSTICA DE 1/8" DESCARTABLE PARA EYECTOR QUIRÚRGICO</t>
  </si>
  <si>
    <t>PIEDRA PÓMEZ EN POLVO FINO; BOLSA O FRASCO DE 1 LB.</t>
  </si>
  <si>
    <t>DIQUE DE GOMA, MEDIANO 0.20 MM, 15.24 X 15.24 CM</t>
  </si>
  <si>
    <t>DIQUE DE GOMA, MEDIANO, 0.20 MM, PEDIÁTRICO DE 12.7 X 12.7 CM</t>
  </si>
  <si>
    <t>REGLA MILIMETRADA ENDODONTICA, METÁLICA</t>
  </si>
  <si>
    <t>CONTRÁNGULO QUIRÚRGICO PARA UNIDAD DE CONTROL PARA MICROMOTOR DENTAL</t>
  </si>
  <si>
    <t>LOSA PLANA DE VIDRIO PARA MEZCLAR, 6" X 3" X 1/2" (APROX.)</t>
  </si>
  <si>
    <t>MICROMOTOR DE BAJA VELOCIDAD CON ADAPTADOR PARA CONTRÁNGULO DE PASADOR</t>
  </si>
  <si>
    <t>PUNTA P10 25K PARA UNIDAD ULTRASÓNICA</t>
  </si>
  <si>
    <t>ABREBOCA DE HULE PEQUEÑO, MEDIANO Y GRANDE; SET</t>
  </si>
  <si>
    <t>PUNTA PARA EQUIPO DE ULTRASONIDO CON ROSCA G1 O EQUIVALENTE</t>
  </si>
  <si>
    <t>PUNTA PARA EQUIPO DE ULTRASONIDO CON ROSCA G4 O EQUIVALENTE</t>
  </si>
  <si>
    <t>PUNTA PARA EQUIPO DE ULTRASONIDO CON ROSCA P1 O EQUIVALENTE</t>
  </si>
  <si>
    <t>PIEZA DE MANO DE ALTA VELOCIDAD CON CABEZA HIGIÉNICA, CON QUITA FRESAO PUSH BUTTON, CON DOS ORIFICIOS DE ENTRADA, ESTÉRILIZABLE</t>
  </si>
  <si>
    <t>QUITA Y PONE FRESA PARA PIEZA DE MANO DE ALTA VELOCIDAD</t>
  </si>
  <si>
    <t>PUNTA METÀLICA ESTÉRILIZABLE PARA JERINGA TRIPLE, INOXIDABLE.</t>
  </si>
  <si>
    <t>CÁNULA METÁLICA PARA INTUBACIÓN VÍA LAGRIMAL 19 G, CURVA</t>
  </si>
  <si>
    <t>CÁNULA METÁLICA PARA INTUBACIÓN VÍA LAGRIMAL 20 G, CURVA</t>
  </si>
  <si>
    <t>CÁNULA METÁLICA PARA INTUBACIÓN VÍA LAGRIMAL 21 G, CURVA</t>
  </si>
  <si>
    <t>BULBO DE SILICÓN PARA IRRIGACIÓN EN CÁMARA ANTERIOR CON SU RESPECTIVOADAPTADOR</t>
  </si>
  <si>
    <t>CÁNULA TROUTMAN, 25 G. PARA CÁMARA ANTERIOR</t>
  </si>
  <si>
    <t>CÁNULA PARA INYECCIÓN DE AIRE 27 G 3/4 ROMA</t>
  </si>
  <si>
    <t>CÁNULA PARA INYECCIÓN DE AIRE EN CÁMARA ANTERIOR, ROMA 30 G</t>
  </si>
  <si>
    <t>CÁNULA PARA SALPINGOGRAFÍA KAHN COMPLETA</t>
  </si>
  <si>
    <t>CÁNULA METÁLICA PARA INTUBACIÓN VÍA LAGRIMAL 23G, CURVA</t>
  </si>
  <si>
    <t>CÁNULA METÁLICA PARA INTUBACIÓN VÍA LAGRIMAL 25G, CURVA</t>
  </si>
  <si>
    <t>CÁNULA METÁLICA PARA INTUBACIÓN VÍA LAGRIMAL 27G, CURVA</t>
  </si>
  <si>
    <t>CÁNULA METÁLICA PARA INTUBACIÓN VÍA LAGRIMAL 29G, CURVA</t>
  </si>
  <si>
    <t>CÁNULA DE SUCCIÓN ADSON, SEMICURVA, 12 FRENCH DE DIÁMETRO INTERNO</t>
  </si>
  <si>
    <t>CÁNULA DE SUCCIÓN FRAZIER, ANGULADA,9 FRENCH</t>
  </si>
  <si>
    <t>CÁNULA DE SUCCIÓN FRAZIER, ANGULADA, 10 FRENCH</t>
  </si>
  <si>
    <t>CÁNULA DE SUCCIÓN FRAZIER, ANGULADA, 11 FRENCH</t>
  </si>
  <si>
    <t>CÁNULA DE SUCCIÓN FRAZIER, ANGULADA, 14 FRENCH</t>
  </si>
  <si>
    <t>CÁNULA DE SUCCIÓN HARDY, CURVA DERECHA, DIÁMETRO 7 FRENCH</t>
  </si>
  <si>
    <t>CÁNULA DE SUCCIÓN HARDY, CURVA IZQUIERDA, DIÁMETRO 7 FRENCH</t>
  </si>
  <si>
    <t>CÁNULA DE IRRIGACIÓN CURVA PARA SENO MAXILAR DE 2.5 MM</t>
  </si>
  <si>
    <t>CÁNULA DE IRRIGACIÓN CURVA PARA SENO MAXILAR DE 3.0 MM</t>
  </si>
  <si>
    <t>CÁNULA DE IRRIGACIÓN CURVA PARA SENO MAXILAR DE 4.0 MM</t>
  </si>
  <si>
    <t>CÁNULA DE ASPIRACIÓN, COUPLAND 24 CM</t>
  </si>
  <si>
    <t>SUCCIÓN RASPATORIA, DIÁMETRO DE PUERTO DE 4.0 Y 5.0 MM, LONGITUD DE 20CM.</t>
  </si>
  <si>
    <t>ASPIRACIÓN EN MIRINGOCENTESIS 7 FRENCH</t>
  </si>
  <si>
    <t>CÁNULA DE IRRIGACIÓN EN ASA KNOLLE PEARCE, ASA DE 6 X 9 MM, CON 3 ORIFICIOS, CALIBRE DE ASA 23 G</t>
  </si>
  <si>
    <t>CÁNULA DE IRRIGACIÓN EN ASA VECTIS, ASA DE 4 MM DE ANCHO, CON 2 ORIFICIOS FRONTALES, CALIBRE DE ASA 25 G</t>
  </si>
  <si>
    <t>CÁNULA DE SILICÓN, CON 2 ORIFICIOS, MANDRIL REMOVIBLE Y LLAVE DE CONTROL TIPO ZELETZ, DIÁMETRO 10 FRENCH, DE 8-10 CM DE LONGITUD</t>
  </si>
  <si>
    <t>CÁNULA DE SUCCIÓN ADSON, SEMICURVA, 11 FRENCH DE DIÁMETRO INTERNO</t>
  </si>
  <si>
    <t>CÁNULA DE SUCCIÓN ADSON, SEMICURVA, 14 FRENCH DE DIÁMETRO INTERNO</t>
  </si>
  <si>
    <t>CÁNULA DE SUCCIÓN FRAZIER, ANGULADA, 12 FRENCH</t>
  </si>
  <si>
    <t>CÁNULA DE SUCCIÓN FRAZIER, ANGULADA, 5 FRENCH</t>
  </si>
  <si>
    <t>CÁNULA DE SUCCIÓN FRAZIER, ANGULADA, 6 FRENCH</t>
  </si>
  <si>
    <t>CÁNULA DE SUCCIÓN FRAZIER, ANGULADA,7 FRENCH</t>
  </si>
  <si>
    <t>CÁNULA DE SUCCIÓN FRAZIER, ANGULADA, 8 FRENCH</t>
  </si>
  <si>
    <t>CÁNULA DE SUCCIÓN YASARGIL, 1.5 MM DE DIÁMETRO,  21-23CM DE LONGITUD</t>
  </si>
  <si>
    <t>CÁNULA DE SUCCIÓN YASARGIL, 1.5 MM DE DIÁMETRO, 15-18 CM DE LONGITUD</t>
  </si>
  <si>
    <t>CÁNULA DE SUCCIÓN YASARGIL, 2.0 MM DE DIÁMETRO, 15-18 CM DE LONGITUD</t>
  </si>
  <si>
    <t>CÁNULA DE SUCCIÓN YASARGIL, 2.5 MM DE DIÁMETRO, 15-18 CM DE LONGITUD</t>
  </si>
  <si>
    <t>CÁNULA DE SUCCIÓN YASARGIL, 2.5 MM DE DIÁMETRO, 21-23 CM DE LONGITUD</t>
  </si>
  <si>
    <t>CÁNULA DE SUCCIÓN YASARGIL, 3.5 MM DE DIÁMETRO, 15-18 CM DE LONGITUD</t>
  </si>
  <si>
    <t>CÁNULA DE SUCCIÓN YASARGIL, 3.5 MM DE DIÁMETRO, 21-23 CM DE LONGITUD</t>
  </si>
  <si>
    <t>CÁNULA PARA ASPIRACIÓN E IRRIGACIÓN SINCOE, DERECHA</t>
  </si>
  <si>
    <t>CÁNULA PARA SUCCIÓN DE OÍDO BARRON, DE 3 FRENCH DE DIÁMETRO</t>
  </si>
  <si>
    <t>CÁNULA PARA SUCCIÓN DE OÍDO BARRON, DE 5 FRENCH DE DIÁMETRO</t>
  </si>
  <si>
    <t>CÁNULA PARA SUCCIÓN POOLE, CURVA, DE 7-8 MM (23-26 FRENCH) DE DIÁMETROINTERNO Y DE 21-23 CM DE LONGITUD</t>
  </si>
  <si>
    <t>CÁNULA PARA SUCCIÓN POOLE, RECTA, DE 9-10 MM DE DIÁMETRO INTERNO (30-32 FRENCH) Y DE 21-23 CM DE LONGITUD</t>
  </si>
  <si>
    <t>CÁNULA PARA SUCCIÓN YANKAUER DE 26-30 CM DE LONGITUD, CON PERFORACIONCENTRAL DE 2 a 4 MM DE DIÁMETRO</t>
  </si>
  <si>
    <t>CÁNULA PARA SUCCIÓN YANKAUER, DE 20-25 CM (8-10) DE LONGITUD</t>
  </si>
  <si>
    <t>CÁNULA DE SUCCIÓN Y COAGULACIÓN TIPO INMERGUR CON ADAPTADOR PARA TUBODE SUCCIÓN</t>
  </si>
  <si>
    <t>DILATADOR UTERINO DE HEGAR, DOBLE EXTREMO 1-2 MM</t>
  </si>
  <si>
    <t>SONDA URETRAL LEFORT DE TORNILLO #10, METÁLICA.</t>
  </si>
  <si>
    <t>SONDA URETRAL MC GREA FEMENINA # 34 METÁLICA.</t>
  </si>
  <si>
    <t>SONDA URETRAL MC GREA FEMENINA,#36,METÁLICA.</t>
  </si>
  <si>
    <t>SONDA PARA DILATAR EN COLA DE CERDO, CON AGUJERO DISTAL PARA SUTURA, DIÁMETRO DE 7MM, LONGITUD DE 12 CM</t>
  </si>
  <si>
    <t>SONDA PARA DILATAR EN COLA DE CERDO, CON AGUJERO DISTAL PARA SUTURA, DIÁMETRO DE 9 MM, LONGITUD DE 12 CM</t>
  </si>
  <si>
    <t>SONDA PARA DILATAR EN COLA DE CERDO, CON AGUJERO DISTAL PARA SUTURA, DIÁMETRO DE 11 MM, LONGITUD DE 12 CM</t>
  </si>
  <si>
    <t>PASADOR DE ALAMBRE, HOJA CURVA, DIÁMETRO DE 4 MM O MÁS, LONGITUD DE 21A 22 CM</t>
  </si>
  <si>
    <t>SET DE 9 DILATADORES BAKES DE VÍA BILIAR, DIÁMETRO DE PUNTA DE 3.0 A 11.0 MM, PUNTA OVOIDE EN FORMA DE SONDA, LONGITUD DE 32 CM.</t>
  </si>
  <si>
    <t>CATÉTER DILATADOR URETRAL CON TORNILLO, GRADUADO  PARA R X.</t>
  </si>
  <si>
    <t>CATÉTER URETRALERAL TIPO DORMIA PARA EXTRACCIÓN DE CÁLCULOS DE 3-5 FRENCH Y CANASTILLA DE 3-4 FILAMENTOS.</t>
  </si>
  <si>
    <t>CATÉTER Y SONDA METÁLICO URETRAL FEMENINO 8 FR.</t>
  </si>
  <si>
    <t>DILATADOR LAGRIMAL BOWMAN 0000-000.</t>
  </si>
  <si>
    <t>DILATADOR LAGRIMAL BOWMAN 1-2.</t>
  </si>
  <si>
    <t>DILATADOR LAGRIMAL BOWMAN 3-4.</t>
  </si>
  <si>
    <t>DILATADOR LAGRIMAL BOWMAN 5-6.</t>
  </si>
  <si>
    <t>DILATADOR LAGRIMAL BOWMAN 7-8</t>
  </si>
  <si>
    <t>DILATADOR LAGRIMAL WILDER PUNTA MEDIO ROMA.</t>
  </si>
  <si>
    <t>DILATADOR LAGRIMAL DOBLE, CASTROVIEJO.</t>
  </si>
  <si>
    <t>DILATADOR UTERINO DE HEGAR, DOBLE EXTREMO 11-12 MM</t>
  </si>
  <si>
    <t>DILATADOR UTERINO DE HEGAR, DOBLE EXTREMO 13-14 MM</t>
  </si>
  <si>
    <t>DILATADOR UTERINO DE HEGAR, DOBLE EXTREMO 15-16 MM</t>
  </si>
  <si>
    <t>DILATADOR UTERINO DE HEGAR, DOBLE EXTREMO 17-18 MM</t>
  </si>
  <si>
    <t>DILATADOR UTERINO DE HEGAR, DOBLE EXTREMO 3-4 MM</t>
  </si>
  <si>
    <t>DILATADOR UTERINO DE HEGAR, DOBLE EXTREMO 5-6 MM</t>
  </si>
  <si>
    <t>DILATADOR UTERINO DE HEGAR, DOBLE EXTREMO 7-8 MM</t>
  </si>
  <si>
    <t>DILATADOR UTERINO DE HEGAR, DOBLE EXTREMO 9-10 MM</t>
  </si>
  <si>
    <t>DILATADOR VASCULAR DE BAKEY DE 19 CM X 0.5 MM DEDIÁMETRO</t>
  </si>
  <si>
    <t>DILATADOR VASCULAR DE BAKEY DE 19 CM X 1.0 MM DE DIMETRO</t>
  </si>
  <si>
    <t>DILATADOR VASCULAR DE BAKEY DE 19 CM X 1.5 MM DE DIÁMETRO</t>
  </si>
  <si>
    <t>DILATADOR VASCULAR DE BAKEY DE 19 CM X 2.0 MM DE DIÁMETRO</t>
  </si>
  <si>
    <t>SET COMPLETO DE CATÉTER PHILIPS 8FR AL 20FR</t>
  </si>
  <si>
    <t>SET DE DILATADORES BENIQUE CURVADOS SIN CANAL</t>
  </si>
  <si>
    <t>SONDA ACANALADA 25-28CM DE LONGITUD</t>
  </si>
  <si>
    <t>SONDA ACANALADA 12-15CM DE LONGITUD</t>
  </si>
  <si>
    <t>SONDA DILATADORA DE METAL VAN BUREN # 16</t>
  </si>
  <si>
    <t>SONDA DILATADORA DE METAL VAN BUREN # 18</t>
  </si>
  <si>
    <t>SONDA DILATADORA DE METAL VAN BUREN # 22</t>
  </si>
  <si>
    <t>SONDA DILATADORA DE METAL VAN BUREN # 24</t>
  </si>
  <si>
    <t>SONDA DILATADORA DE METAL VAN BUREN # 28</t>
  </si>
  <si>
    <t>SONDA DILATADORA DE METAL VAN BUREN # 30</t>
  </si>
  <si>
    <t>SONDA DILATADORA DE METAL VAN BUREN # 32</t>
  </si>
  <si>
    <t>SONDA DILATADORA DE METAL VAN BUREN # 34</t>
  </si>
  <si>
    <t>SONDA DILATADORA DE METAL VAN BUREN # 36</t>
  </si>
  <si>
    <t>SONDA DILATADORA DE METAL VAN BUREN # 38</t>
  </si>
  <si>
    <t>SONDA DILATADORA DE METAL VAN BUREN #20</t>
  </si>
  <si>
    <t>SONDA DILATADORA DE METAL VAN BUREN #26</t>
  </si>
  <si>
    <t>TUNELIZADORES VASCULARES CON PUNTA REMOVIBLE Y QUE CONTENGA OLIVAS DE3MM - 6MM-7MM - 8 MM COMO MÍNIMO. SET</t>
  </si>
  <si>
    <t>DILATADOR VASCULAR DE BAKEY 19 CM X2.5 MM</t>
  </si>
  <si>
    <t>DILATADOR VASCULAR DE BAKEY 19CM X3.0 MM</t>
  </si>
  <si>
    <t>DILATADOR VASCULAR DE BAKEY 19CM X3.5 MM</t>
  </si>
  <si>
    <t>CURETA PARA CHALAZIÓN MEYHOEFER 4.0 MM</t>
  </si>
  <si>
    <t>CURETA PARA CHALAZIÓN MEYHOEFER, # 2 (2.0 MM)</t>
  </si>
  <si>
    <t>CURETA PARA CHALAZIÓN MEYHOEFER, # 0 (1.5 MM)</t>
  </si>
  <si>
    <t>CURETA PARA CHALAZIÓN MEYHOEFER, # 00 (1.0 MM)</t>
  </si>
  <si>
    <t>CURETA PARA CHALAZIÓN MEYHOEFER, # 000 (0.5 MM)</t>
  </si>
  <si>
    <t>CURETA PARA CHALAZIÓN MEYHOEFER, # 1 (1.8 MM)</t>
  </si>
  <si>
    <t>CURETA PARA CHALAZIÓN MEYHOEFER, # 3 (2.5 MM)</t>
  </si>
  <si>
    <t>CURETA PARA CHALAZIÓN MEYHOEFER, # 4 (3.5 MM)</t>
  </si>
  <si>
    <t>CURETA PARA CHALAZIÓN MEYHOEFER 4.5 MM</t>
  </si>
  <si>
    <t>CURETA PARA FUSIÓN ESPINAL, ANGULADA # 3.</t>
  </si>
  <si>
    <t>CURETA GRACEY 1/2, DOBLE EXTREMO, INOXIDABLE</t>
  </si>
  <si>
    <t>CURETA GRACEY 7/8, DOBLE EXTREMO, INOXIDABLE</t>
  </si>
  <si>
    <t>CURETA MCCALL 13 S - 14 S, DOBLE EXTREMO</t>
  </si>
  <si>
    <t>CURETA MCCALL 13 - 14S, DOBLE EXTREMO</t>
  </si>
  <si>
    <t>CURETA MCCALL 17S - 18 S, DOBLE EXTREMO</t>
  </si>
  <si>
    <t>CUCHARILLA CORTANTE BRUNS, RECTA, # 00000</t>
  </si>
  <si>
    <t>CURETA DOBLE VOLKMANN DE 5-6 DE LONGITUD</t>
  </si>
  <si>
    <t>CURETA EN BAYONETA HARDY, ANGULADO HACIA ABAJO, 3 MM DE DIÁMETRO</t>
  </si>
  <si>
    <t>CURETA EN BAYONETA HARDY, ANGULADO HACIA ABAJO, 5 MM DE DIÁMETRO</t>
  </si>
  <si>
    <t>CURETA EN BAYONETA HARDY, ANGULADO HACIA ARRIBA, 3 MM DE DIÁMETRO</t>
  </si>
  <si>
    <t>CURETA EN BAYONETA HARDY, ANGULADO HACIA ARRIBA, 5 MM DE DIÁMETRO</t>
  </si>
  <si>
    <t>CURETA EN BAYONETA HARDY, ÁNGULO DE 45º DERECHA, 3 MM DE DIÁMETRO</t>
  </si>
  <si>
    <t>CURETA EN BAYONETA HARDY, ÁNGULO DE 45º DERECHA, 5 MM DE DIÁMETRO</t>
  </si>
  <si>
    <t>CURETA EN BAYONETA HARDY, ÁNGULO DE 90º IZQUIERDA, 3 MM DE DIÁMETRO</t>
  </si>
  <si>
    <t>CURETA EN BAYONETA HARDY, ÁNGULO DE 90º IZQUIERDA, 5 MM DE DIÁMETRO</t>
  </si>
  <si>
    <t>CURETA HOUSE, DOBLE TERMINACIÓN, LIGERAMENTE ANGULADA</t>
  </si>
  <si>
    <t>CURETA PARA FUSIÓN ESPINAL, ANGULADA # 00</t>
  </si>
  <si>
    <t>CURETA PARA FUSIÓN ESPINAL, ANGULADA # 000</t>
  </si>
  <si>
    <t>CURETA RÍGIDA LANDOLT-REULEN, ANILLO DE 2.5 MM</t>
  </si>
  <si>
    <t>CURETA SCOVILLE PARA EXTIRPAR DISCOS ROTOS, ANGULADA, CORTE ABAJO</t>
  </si>
  <si>
    <t>CURETA SCOVILLE PARA EXTIRPAR DISCOS ROTOS, ANGULADA, CORTE ARRIBA</t>
  </si>
  <si>
    <t>CURETA SCOVILLE PARA EXTIRPAR DISCOS ROTOS, RECTA.</t>
  </si>
  <si>
    <t>INSTRUMENTOS PARA MICRO DISECCIÓN ÓSEA. SET</t>
  </si>
  <si>
    <t>MICROCURETA  EN BAYONETA  HARDY,  ÁNGULO HACIA ABAJO, ARO DE 3 MM</t>
  </si>
  <si>
    <t>MICROCURETA EN BAYONETA, DE 18-20 CM DE LONGITUD</t>
  </si>
  <si>
    <t>SET DE CURETAS EN BAYONETA HARDY, QUE CONTENGA: 2 CURETAS ANGULADAS HACIA ARRIBA DE 3 Y 5 MM, 2 CURETAS ANGULADAS HACIA ABAJO DE 3 Y  5 MM,2CURETAS 90º A LA IZQUIERDA DE 3 Y 5 MM, 2 CURETAS 45º A LA DERECHA DE3 Y 5 MM, 1 CURETA CURVA A LA IZQUIERDA DE 5 MM Y 1 C URETRALA CURVAALA DERECHA DE 5 MM</t>
  </si>
  <si>
    <t>SET DE INSTRUMENTOS KARLIN PARA MICRODISCECTOMIA CERVICAL</t>
  </si>
  <si>
    <t>SET DE INSTRUMENTOS KARLIN PARA MICRODISCECTOMIA LUMBAR</t>
  </si>
  <si>
    <t>SET DE INSTRUMENTOS KARLIN PARA ULTRA MICRODISCECTOMIA CERVICAL</t>
  </si>
  <si>
    <t>CUCHARILLA O EXCAVADOR PARA DENTINA #14, INOXIDABLE</t>
  </si>
  <si>
    <t>CUCHARILLA O EXCAVADOR PARA DENTINA #17, INOXIDABLE</t>
  </si>
  <si>
    <t>CUCHARILLA ENDODONCIA; PARTE ACTIVA 1.5 A 2.0 MM DE DIÁMETRO Y LARGO DE CUELLO 15 MM</t>
  </si>
  <si>
    <t>CURETA PARA HUESO, CORTE PEQUEÑO, MANGO FUERTE.</t>
  </si>
  <si>
    <t>CURETA PARA HUESO CORTE GRANDE, MANGO FUERTE, DE 37 CM DE LONGITUD</t>
  </si>
  <si>
    <t>CURETA PARA HIPOFISECTOMÍA FAHLBUSCH, MALEABLE, 2.5 MM DE DIÁMETRO DECURETA, DE 25-27 CM DE LONGITUD TOTAL</t>
  </si>
  <si>
    <t>CURETA PARA HIPOFISECTOMÍA FAHLBUSCH, MALEABLE, DE COPA, DE 25-27 CM DE LONGITUD TOTAL</t>
  </si>
  <si>
    <t>CURETA OVALADA PARA OIDO # 0, 19-21 CM DE LONGITUD</t>
  </si>
  <si>
    <t>CURETA OVALADA PARA OIDO # 1, 19-21 CM DE LONGITUD</t>
  </si>
  <si>
    <t>CURETA OVALADA PARA OIDO # 2/0, 19-21 CM DE LONGITUD</t>
  </si>
  <si>
    <t>CURETA OVALADA PARA OIDO # 3/0, 19-21 CM DE LONGITUD</t>
  </si>
  <si>
    <t>CURETA OVALADA PARA OIDO # 4/0, 19-21 CM DE LONGITUD</t>
  </si>
  <si>
    <t>CURETA OVALADA PARA OIDO # 5/0, 19-21 CM DE LONGITUD</t>
  </si>
  <si>
    <t>CURETA HOUSE GRANDE, DOBLE EXTREMO, CUCHARAS DE 2 X 3.2 MM Y 1.6 X 2.6MM,  LONGITUD 15 CM.</t>
  </si>
  <si>
    <t>CURETA HOUSE MEDIANA, DOBLE EXTREMO, CUCHARAS DE 2 X 2.8 MM Y 1 X 1.8MM,  LONGITUD 15 CM.</t>
  </si>
  <si>
    <t>CURETA UTERINA HEANEY, BORDE DENTADO, DE 22-28 CM DE LONGITUD</t>
  </si>
  <si>
    <t>CURETA UTERINA SIMS, MALEABLE, CORTANTE # 1 (7.5 MM)</t>
  </si>
  <si>
    <t>CURETA UTERINA SIMS, MALEABLE, CORTANTE # 2 (8.5 MM)</t>
  </si>
  <si>
    <t>CURETA UTERINA SIMS, MALEABLE, CORTANTE # 3 (10 MM)</t>
  </si>
  <si>
    <t>CURETA UTERINA SIMS, MALEABLE, CORTANTE # 4 (11.5 MM)</t>
  </si>
  <si>
    <t>CURETA UTERINA SIMS, MALEABLE, CORTANTE # 5 (13.5 MM)</t>
  </si>
  <si>
    <t>CURETA UTERINA SIMS, MALEABLE, CORTANTE #6(14.5 MM)</t>
  </si>
  <si>
    <t>CURETA UTERINA SIMS, RÍGIDA,  ROMA  # 1 (7.5 MM)</t>
  </si>
  <si>
    <t>CURETA UTERINA SIMS, RÍGIDA,  ROMA  # 2 (8.5 MM)</t>
  </si>
  <si>
    <t>CURETA UTERINA SIMS, RÍGIDA,  ROMA  # 3 (10 MM)</t>
  </si>
  <si>
    <t>CURETA UTERINA SIMS, RÍGIDA,  ROMA  # 4 (11.5 MM)</t>
  </si>
  <si>
    <t>CURETA UTERINA SIMS, RÍGIDA,  ROMA  # 5 (13.5 MM)</t>
  </si>
  <si>
    <t>CURETA UTERINA SIMS, RÍGIDA,  ROMA #6(14.5 MM)</t>
  </si>
  <si>
    <t>CURETA UTERINA SIMS, RÍGIDA, CORTANTE # 1 (7.5 MM)</t>
  </si>
  <si>
    <t>CURETA UTERINA SIMS, RÍGIDA, CORTANTE # 2 (8.5 MM)</t>
  </si>
  <si>
    <t>CURETA UTERINA SIMS, RÍGIDA, CORTANTE # 3 (10 MM)</t>
  </si>
  <si>
    <t>CURETA UTERINA SIMS, RÍGIDA, CORTANTE # 4 (11.5 MM)</t>
  </si>
  <si>
    <t>CURETA UTERINA SIMS, RÍGIDA, CORTANTE # 5 (13.5 MM)</t>
  </si>
  <si>
    <t>CURETA Y SONDA ENDOMETRIAL TIPO NOVAK, DE 9-10 DE LONGITUD, 2 MM DE DIÁMETRO</t>
  </si>
  <si>
    <t>CURETA Y SONDA ENDOMETRIAL TIPO NOVAK, DE 9-10 DE LONGITUD, 4 MM DE DIÁMETRO</t>
  </si>
  <si>
    <t>EXTRACTOR DOBLE DE COMEDONES SCHAMBERG</t>
  </si>
  <si>
    <t>EXTRACTOR DOBLE DE COMEDONES  CON LANCETA  EN UN EXTREMO SAALFELD</t>
  </si>
  <si>
    <t>ESPÁTULA ABDOMINAL/INTESTINAL MALEABLE, ANCHO DE 12 MM, LONGITUD DE 20CM.</t>
  </si>
  <si>
    <t>ESPÁTULA ABDOMINAL/INTESTINAL MALEABLE, ANCHO DE 17 MM, LONGITUD DE 20CM.</t>
  </si>
  <si>
    <t>ESPÁTULA ABDOMINAL MALEABLE DE 25 A 35 CM DE LARGO Y 25 MM DE ANCHO</t>
  </si>
  <si>
    <t>ESPÁTULA ABDOMINAL MALEABLE DE 25 A 35 CM DE LARGO Y 30 A 35 MM DE ANCHO</t>
  </si>
  <si>
    <t>ESPÁTULA ABDOMINAL MALEABLE DE 25 A 35 CM DE LARGO Y 36 A 40 MM DE ANCHO</t>
  </si>
  <si>
    <t>ESPÁTULA ABDOMINAL MALEABLE DE 25 A 35 CM DE LARGO Y 45 A 50 MM DE ANCHO</t>
  </si>
  <si>
    <t>ESPÁTULA ABDOMINAL MALEABLE DE 25 A 35 CM DE LARGO Y 55 A 65 MM DE ANCHO</t>
  </si>
  <si>
    <t>ESPÁTULA ABDOMINAL MALEABLE DE 25 A 35 CM DE LARGO Y 75 A 85 MM DE ANCHO</t>
  </si>
  <si>
    <t>ESPÁTULA CEREBRAL DAVIS, MALEABLE , 19MM DE ANCHO</t>
  </si>
  <si>
    <t>ESPÁTULA CEREBRAL DAVIS, MALEABLE , 25MM DE ANCHO</t>
  </si>
  <si>
    <t>ESPÁTULA CEREBRAL DAVIS, MALEABLE , 32MM DE ANCHO</t>
  </si>
  <si>
    <t>ESPÁTULA CEREBRAL DAVIS, MALEABLE , 38MM DE ANCHO</t>
  </si>
  <si>
    <t>ESPÁTULA CEREBRAL DAVIS, MALEABLE, 6MM DE ANCHO</t>
  </si>
  <si>
    <t>ESPÁTULA CEREBRAL DAVIS, MALEABLE, 13MM DE ANCHO</t>
  </si>
  <si>
    <t>ESPÁTULA CEREBRAL MALEABLE SCOVILLE, HOJAS DE 10 Y 13 MM</t>
  </si>
  <si>
    <t>ESPÁTULA CEREBRAL MALEABLE SCOVILLE, HOJAS DE 16 Y 19 MM</t>
  </si>
  <si>
    <t>ESPÁTULA CEREBRAL MALEABLE T.G.H. 13MM, # 3, DOBLE CURVA.</t>
  </si>
  <si>
    <t>ESPÁTULA CEREBRAL MALEABLE T.G.H. 6MM, # 1, DOBLE CURVA.</t>
  </si>
  <si>
    <t>ESPÁTULA CEREBRAL MALEABLE T.G.H. 9MM, # 2, DOBLE CURVA.</t>
  </si>
  <si>
    <t>ESPÁTULA CEREBRAL MALEABLE T.G.H.16MM, # 4, DOBLE CURVA.</t>
  </si>
  <si>
    <t>ESPÁTULA CEREBRAL OLIVECRONA, EXTREMOS CONCAVOS, EN ÁNGULO, 9 X 8 MM</t>
  </si>
  <si>
    <t>ESPÁTULA CEREBRAL RÍGIDA T.G.H. 6MM, # 1.</t>
  </si>
  <si>
    <t>ESPÁTULA CEREBRAL RÍGIDA T.G.H. 9MM, # 2.</t>
  </si>
  <si>
    <t>ESPÁTULA CEREBRAL RÍGIDA T.G.H., 13MM, #3.</t>
  </si>
  <si>
    <t>ESPÁTULA CEREBRAL RÍGIDA T.G.H., 16MM, # 4.</t>
  </si>
  <si>
    <t>ESPÁTULA CEREBRAL RÍGIDA T.G.H., 22MM, #5.</t>
  </si>
  <si>
    <t>ESPÁTULA CEREBRAL SCOVILLE, MALEABLE, DOBLE TERMINACIÓN, 16 Y 22 MM</t>
  </si>
  <si>
    <t>ESPÁTULA Y CURETA CEREBRAL CUSHING, DE DOBLE COPA, COPAS DE 13-16 MM Y19-21 MM</t>
  </si>
  <si>
    <t>ESPÁTULA Y CURETA CEREBRAL CUSHING, DE DOBLE COPA, COPAS DE 19-21 MM Y25-27 MM</t>
  </si>
  <si>
    <t>ESPÁTULA Y CURETA CEREBRAL CUSHING, DE DOBLE COPA, COPAS DE 27-29 MM Y41-43 MM</t>
  </si>
  <si>
    <t>ESPÁTULA DOBLE CASTROVIEJO  DE CICLODIÁLISIS</t>
  </si>
  <si>
    <t>ESPÁTULA PARA CICLODIÁLISIS BANGERTER DE 10 MM</t>
  </si>
  <si>
    <t>ESPÁTULA PARA CICLODIÁLISIS BANGERTER DE 6MM</t>
  </si>
  <si>
    <t>PLACA PARA PÁRPADOS JAEGER, BORDES ROMOS, HOJA CÓNCAVA, LONGITUD DE 11CM.</t>
  </si>
  <si>
    <t>REPOSITOR DE IRIS, ESPÁTULA D-E, ANGULADA DE 2 MM DE ANCHO, LONGITUD DE 13 CM.</t>
  </si>
  <si>
    <t>ESPÉCULO ANAL CHELSEA-EATON CON HOJA DE 6 A 7CM DE LARGO Y 30 A 35 MMDE DIÁMETRO</t>
  </si>
  <si>
    <t>ESPÉCULO ANAL FANSLER, DE 5 A 7 CM DE LARGO Y 3 A 4 CM  DE DIÁMETRO</t>
  </si>
  <si>
    <t>ESPÉCULO RECTAL PRATT,CON VALVAS DE 8 A 10 CM DE LARGO Y 2 A 3 CM DE DIÁMETRO</t>
  </si>
  <si>
    <t>ESPÉCULO NASAL HARTMANN-HALE, VALVA DE 31 MM, LONGITUD DE 15 - 16 MM.</t>
  </si>
  <si>
    <t>ESPÉCULO NASAL BIVALVA HARDY MEDIANO 8 - 9 CM DE LONGITUD</t>
  </si>
  <si>
    <t>ESPÉCULO NASAL BIVALVA HARDY MEDIANO 7 - 8 CM DE LONGITUD</t>
  </si>
  <si>
    <t>ESPÉCULO NASAL COTTLE, CON VALVAS DE 35-40 MM, SIN TORNILLO DE SEGURIDAD</t>
  </si>
  <si>
    <t>ESPÉCULO NASAL COTTLE, CON VALVAS DE 55-60MM, SIN TORNILLO DE SEGURIDAD</t>
  </si>
  <si>
    <t>ESPÉCULO NASAL COTTLE, CON VALVAS DE 75-80 MM, SIN TORNILLO DE SEGURIDAD</t>
  </si>
  <si>
    <t>ESPÉCULO NASAL COTTLE, CON VALVAS DE 90 MM, SIN TORNILLO DE SEGURIDAD</t>
  </si>
  <si>
    <t>ESPÉCULO NASAL COTTLE, VALVA DE 20-25 MM, CON TORNILLO DE SEGURIDAD</t>
  </si>
  <si>
    <t>ESPÉCULO NASAL COTTLE, VALVA DE 26-35 MM, CON TORNILLO DE SEGURIDAD</t>
  </si>
  <si>
    <t>ESPÉCULO NASAL COTTLE, VALVA DE 36-55 MM, CON TORNILLO DE SEGURIDAD</t>
  </si>
  <si>
    <t>ESPÉCULO NASAL COTTLE, VALVA DE 36-55 MM, SIN TORNILLO DE SEGURIDAD, CON ILUMINACION DE FIBRA OPTICA DISTAL</t>
  </si>
  <si>
    <t>ESPÉCULO NASAL COTTLE, VALVA DE 56-75 MM, SIN TORNILLO DE SEGURIDAD, CON ILUMINACION DE FIBRA OPTICA DISTAL</t>
  </si>
  <si>
    <t>ESPÉCULO NASAL KILLIAN, VALVA DE 45-50 MM DE LONGITUD</t>
  </si>
  <si>
    <t>ESPÉCULO PARA HIPOFISECTOMÍA CUSHING-LANDOLT, 110 X 15 MM</t>
  </si>
  <si>
    <t>ESPÉCULO RETRACTOR AUFRICHT, DE 16-17 CM DE LONGITUD</t>
  </si>
  <si>
    <t>ESPÉCULO DE ALAMBRE BARRAQUER, HOJAS CERRADAS DE 9 MM, PEDIÁTRICO.</t>
  </si>
  <si>
    <t>ESPÉCULO BARRAQUER, TIPO COLIBRÍ , PARA ADULTO</t>
  </si>
  <si>
    <t>ESPÉCULO CASTROVIEJO, AJUSTABLE, CON TORNILLO</t>
  </si>
  <si>
    <t>ESPÉCULO LIEBERMAN, ALAMBRE EN V, HOJAS DE ALAMBRE ABIERTO, TAMAÑO DEHOJA DE 65 MM X 15 MM.</t>
  </si>
  <si>
    <t>ESPÉCULO LANCASTER NO MAGNÉTICO</t>
  </si>
  <si>
    <t>ESPÉCULO VAGINAL GRAVES, DE 7-10 CM DE LONGITUD, 2-5CM DE ANCHO APROXIMADAMENTE</t>
  </si>
  <si>
    <t>ESPÉCULO VAGINAL GRAVES, DE 10-12 CM DE LONGITUD, 2-5CM DE ANCHO APROXIMADAMENTE</t>
  </si>
  <si>
    <t>VALVA ESPÉCULO TIPO SIMS, DOBLE TERMINACIÓN 2X 6CM Y 3 X 7CM APROXIMADAMENTE</t>
  </si>
  <si>
    <t>VALVA ESPÉCULO TIPO SIMS, DOBLE TERMINACIÓN 12 X 7CM Y 3 X 9CM APROXIMADAMENTE</t>
  </si>
  <si>
    <t>VALVA ESPÉCULO TIPO SIMS, DOBLE TERMINACIÓN 2 X 8CM Y 8 X 10 CM APROXIMADAMENTE</t>
  </si>
  <si>
    <t>VALVA VAGINAL DOYEN 4X 5CM APROXIMADAMENTE</t>
  </si>
  <si>
    <t>VALVA VAGINAL DOYEN 8X 4CM APROXIMADAMENTE</t>
  </si>
  <si>
    <t>VALVA VAGINAL DE AUVARD DE 2 LIBRAS, VALVA RECTA DE 4 X 8 CM APROXIMADAMENTE, LIGERAMENTE ANGULADA DE 75º</t>
  </si>
  <si>
    <t>VALVA VAGINAL DOYEN, DE 15-55 MM DE ANCHO X 90-120 MM DE LONGITUD</t>
  </si>
  <si>
    <t>ESPEJO LARÍNGEO CON AGARRADERO, ESPEJO DE 20 MM DE DIAMETRO</t>
  </si>
  <si>
    <t>ESPEJO LARÍNGEO CON AGARRADERO, ESPEJO DE 25 MM DE DIÁMETRO</t>
  </si>
  <si>
    <t>ESPEJO PARA HIPOFISECTOMÍA LANDOLT, ANGULADO A 45º, DIÁMETRO DE ESPEJO10 MM</t>
  </si>
  <si>
    <t>ESPEJO PARA HIPOFISECTOMÍA LANDOLT, ANGULADO A 75º, DIÁMETRO DE ESPEJO10 MM</t>
  </si>
  <si>
    <t>CINCEL  GUBIA  ESPINAL COBB, CURVO, CORTE DE 6 MM</t>
  </si>
  <si>
    <t>CINCEL GUBIA ESPINAL COBB SEMICURVO, DE 27-30 CM DE LONGITUD</t>
  </si>
  <si>
    <t>CINCEL U. S. ARMY, RECTO, CORTE DE 6 MM</t>
  </si>
  <si>
    <t>CINCEL GUBIA SMITH PETERSEN, CURVO, CORTE ENTRE 2-3 CM, LONGITUD MAXIMA DE 30 CM.</t>
  </si>
  <si>
    <t>CINCEL  GUBIA  ESPINAL COBB, CURVO, CORTE DE 6MM</t>
  </si>
  <si>
    <t>CINCEL ALEXANDER, CORTE DE 4MM</t>
  </si>
  <si>
    <t>CINCEL ALEXANDER, CORTE DE 6MM</t>
  </si>
  <si>
    <t>CINCEL COTTLE, COLA DE PEZ, GRADUADO, CORTE DE 16 MM</t>
  </si>
  <si>
    <t>CINCEL COTTLE, CURVO, DELGADO, GRADUADO, CORTE DE 6MM, 18-20 CM DE LONGITUD</t>
  </si>
  <si>
    <t>CINCEL COTTLE, DELGADO, GRADUADO, CORTE DE 12 MM, 18-20 CM DE LONGITUDTOTAL</t>
  </si>
  <si>
    <t>CINCEL COTTLE, DELGADO, GRADUADO, CORTE DE 4 MM, 18-20 CM DE LONGITUDTOTAL</t>
  </si>
  <si>
    <t>CINCEL COTTLE, DELGADO, GRADUADO, CORTE DE 7MM, 18-20 CM DE LONGITUDTOTAL</t>
  </si>
  <si>
    <t>CINCEL COTTLE, DELGADO, GRADUADO, CORTE DE 9 MM, 18-20 CM DE LONGITUDTOTAL</t>
  </si>
  <si>
    <t>CINCEL COTTLE, RECTO, DELGADO, GRADUADO, CORTE DE 6MM, 18-20 CM DE LONGITUD</t>
  </si>
  <si>
    <t>CINCEL GUBIA ESPINAL COBB RECTA, DE 27-30 CM DE LONGITUD</t>
  </si>
  <si>
    <t>ESPÉCULO RECTAL CZERNY CON LONGITUD DE 20-23 CM</t>
  </si>
  <si>
    <t>CINCEL GUBIA LEXER, MANGO SINTETICO, CORTE DE 30 MM</t>
  </si>
  <si>
    <t>CINCEL GUBIA SMITH PETERSEN, RECTO, CORTE DE 25 MM</t>
  </si>
  <si>
    <t>CINCEL GUBIA SMITH PETERSEN, RECTO, CORTE DE 6 MM</t>
  </si>
  <si>
    <t>CINCEL GUBIA SMITH PETERSEN, RECTO, CORTE DE 32 MM</t>
  </si>
  <si>
    <t>CINCEL GUBIA STILLE, RECTO, CORTE DE 24 MM</t>
  </si>
  <si>
    <t>CINCEL GUBIA STILLE, RECTO, CORTE DE 9 MM</t>
  </si>
  <si>
    <t>CINCEL HIBBS, RECTO, CORTE DE 25MM</t>
  </si>
  <si>
    <t>CINCEL HIBBS, RECTO, CORTE DE 12MM</t>
  </si>
  <si>
    <t>CINCEL HIBBS, RECTO, CORTE DE 6MM</t>
  </si>
  <si>
    <t>CINCEL HIBBS, RECTO, CORTE DE 32MM</t>
  </si>
  <si>
    <t>CINCEL HIBBS, RECTO, CORTE DE 19MM</t>
  </si>
  <si>
    <t>CINCEL PARA SACO LAGRIMAL WEST</t>
  </si>
  <si>
    <t>CINCEL PARA TABIQUE NASAL FREER, CURVO, 15-18 CM DE LONGITUD</t>
  </si>
  <si>
    <t>CINCEL PARA TABIQUE NASAL FREER, RECTO, 15-18 CM DE LONGITUD</t>
  </si>
  <si>
    <t>CINCEL STILLE, RECTO, CORTE DE 6MM</t>
  </si>
  <si>
    <t>TALLADOR INTERPROXIMAL METÁLICO ANTIADHERENTE</t>
  </si>
  <si>
    <t>TALLADOR ANATÓMICO ANTIADHERENTE, EN FORMA DE BELLOTA</t>
  </si>
  <si>
    <t>BRUÑIDOR METÁLICO CON SUPERFICIE ANTIADHERENTE DOBLE EXTREMO (UN EXTREMO EN FORMA DE BOLA Y UN EXTREMO EN FORMA DE HUEVO), PARA OBTURACIONESDE RESINA</t>
  </si>
  <si>
    <t>CIZALLA LISTÓN STILLE, DE DOBLE ACCIÓN, CORTE ANGULADO, DE 26-28 CM DELONGITUD</t>
  </si>
  <si>
    <t>CIZALLA LISTÓN STILLE, DE DOBLE ACCIÓN, CORTE RECTO, DE 26-28 CM DE LONGITUD</t>
  </si>
  <si>
    <t>CIZALLA LISTÓN, CURVA, DE 14-17 CM DE LONGITUD</t>
  </si>
  <si>
    <t>CIZALLA LISTÓN, CURVA, DE 19-21 CM DE LONGITUD</t>
  </si>
  <si>
    <t>CIZALLA LISTÓN, CURVA, DE 25-28 CM  DE LONGITUD</t>
  </si>
  <si>
    <t>CIZALLA LISTÓN, RECTA, DE 14-17 CM DE LONGITUD</t>
  </si>
  <si>
    <t>CIZALLA LISTÓN, RECTA, DE 19-21 CM DE LONGITUD</t>
  </si>
  <si>
    <t>CIZALLA LISTÓN, RECTA, DE 25-28 CM DE LONGITUD</t>
  </si>
  <si>
    <t>CIZALLA LITTAUER, DE 15-17 CM DE LONGITUD</t>
  </si>
  <si>
    <t>MARTILLO METÁLICO, PESO DE 1 LIBRA, MANGO DE ALUMINIO.</t>
  </si>
  <si>
    <t>MARTILLO COTTLE, DIÁMETRO DE 30 MM, PESO DE 320 GRS, LONGITUD DE 18 -19 CM.</t>
  </si>
  <si>
    <t>DESTORNILLADOR HEXAGONAL, CON MANGO, PARA TORNILLO CANULADO DE 2.5 MM</t>
  </si>
  <si>
    <t>DESTORNILLADOR HEXAGONAL, CON MANGO, PARA TORNILLO CANULADO DE 3.5 MM</t>
  </si>
  <si>
    <t>DESTORNILLADOR HEXAGONAL, CON MANGO, PARA TORNILLO CANULADO DE 4.5 MM</t>
  </si>
  <si>
    <t>MANGO UNIVERSAL PARA USAR CON DESTORNILLADOR</t>
  </si>
  <si>
    <t>MARTILLO MEAD, CON MANGO METÁLICO Y CARAS INTERCAMBIABLES DE NYLON</t>
  </si>
  <si>
    <t>MARTILLO METÁLICO DE COTTLE, UN LADO PLANO Y OTRO CONVEXO</t>
  </si>
  <si>
    <t>EXTRACTOR DE CLAVOS KUNTCHER, CON JUEGO DE 4 GANCHOS</t>
  </si>
  <si>
    <t>IMPACTADOR Y EXTRACTOR DE CLAVO RUSH # 1 (2MM APROXIMADAMENTE).</t>
  </si>
  <si>
    <t>IMPACTADOR Y EXTRACTOR DE CLAVO RUSH # 2 (3MM APROXIMADAMENTE)</t>
  </si>
  <si>
    <t>IMPACTADOR Y EXTRACTOR DE CLAVO RUSH # 3 (4MM APROXIMADAMENTE)</t>
  </si>
  <si>
    <t>IMPACTADOR Y EXTRACTOR DE CLAVO RUSH # 4</t>
  </si>
  <si>
    <t>IMPACTADOR Y EXTRACTOR DE CLAVOS SMITH PETERSEN</t>
  </si>
  <si>
    <t>SET DE 4 GANCHOS PARA EL EXTRACTOR DE CLAVOS KUNTCHER</t>
  </si>
  <si>
    <t>PUNZONADOR PARA HUESO, CON DENTADO CRUZADO, DIÁMETRO DE CABEZA DE 10 -14 MM, LONGITUD DE 20 - 25 CM.</t>
  </si>
  <si>
    <t>PUNZONADOR PARA HUESO, CON DENTADO CRUZADO, DIÁMETRO DE CABEZA DE 14 -18 MM, LONGITUD DE 20 - 25 CM.</t>
  </si>
  <si>
    <t>PUNZONADOR DENTADO CANULADO WOERRLEIN, LONGITUD DE 15 A 20 CM.</t>
  </si>
  <si>
    <t>OSTEÓTOMO STILLE, RECTO, CORTE DE 19 MM)</t>
  </si>
  <si>
    <t>OSTEÓTOMO TIPO COTTLE, CURVO, GRADUADO, 8 MM</t>
  </si>
  <si>
    <t>SEPARADOR DE PERIOSTIO TIPO FREER, DE 18 A 20 CM DE LONGITUD; ACERO INOXIDABLE</t>
  </si>
  <si>
    <t>ELEVADOR APICAL RECTO ACANALADO PARTE ACTIVA EN PUNTA DE LANZA DE 2 A3MM, ACERO INOXIDABLE</t>
  </si>
  <si>
    <t>ELEVADOR APICAL ANGULADO IZQUIERDO PARTE ACTIVA EN PUNTA DE LANZA DE 2A 3 MM, ACERO INOXIDABLE</t>
  </si>
  <si>
    <t>ELEVADOR DE PERIOSTIO MOLT # 9 INOXIDABLE</t>
  </si>
  <si>
    <t>ELEVADOR DE RAÍZ TIPO BARRY PARTE ACTIVA DE 5 A 12 MM, DERECHO, ACEROINOXIDABLE</t>
  </si>
  <si>
    <t>COSTOTOMO GLUCK</t>
  </si>
  <si>
    <t>DESPRENDEDOR DE PERIOSTIO  ALEXANDER FARABEUF</t>
  </si>
  <si>
    <t>DESPRENDEDOR DE PERIOSTIO SEDILLOT</t>
  </si>
  <si>
    <t>ELEVADOR COSTAL Y DESPRENDEDOR DE PERIOSTIO TIPO MATSON, 20-22 CM DE LONGITUD</t>
  </si>
  <si>
    <t>ELEVADOR COSTAL Y DESPRENDEDOR DE PERIOSTIO TIPO MATSON, DE 22-24 CM DE LONGITUD</t>
  </si>
  <si>
    <t>ELEVADOR COTTLE, DOBLE TERMINACIÓN, GRADUADO, PUNTAS ROMÁS, DE 19-21 CM DE LONGITUD</t>
  </si>
  <si>
    <t>ELEVADOR DE DURAMADRE FRAZIER, AGUDO, DE 12-14 CM DE LONGITUD</t>
  </si>
  <si>
    <t>ELEVADOR DE PERIOSTIO ADSON, HOJA CURVA CORTANTE, # 3</t>
  </si>
  <si>
    <t>ELEVADOR DE PERIOSTIO ADSON, HOJA CURVA CORTANTE, # 4</t>
  </si>
  <si>
    <t>ELEVADOR DE PERIOSTIO ADSON, HOJA CURVA ROMA, # 2</t>
  </si>
  <si>
    <t>ELEVADOR DE PERIOSTIO COTTLE, CURVO, AGUDO</t>
  </si>
  <si>
    <t>ELEVADOR DE PERIOSTIO COTTLE, RECTO, 13-15 CM DE LONGITUD</t>
  </si>
  <si>
    <t>ELEVADOR DE PERIOSTIO CREGO, HOJA CURVA COMPLETA, DE 14-16 MM DE ANCHO</t>
  </si>
  <si>
    <t>ELEVADOR DE PERIOSTIO CREGO, HOJA MEDIO CURVA, DE 14-16 MM DE ANCHO</t>
  </si>
  <si>
    <t>ELEVADOR DE PERIOSTIO CREGO, HOJA MEDIO CURVA, DE 7-9 MM DE ANCHO</t>
  </si>
  <si>
    <t>ELEVADOR DE PERIOSTIO CUSHING, HOJA DE 15MM</t>
  </si>
  <si>
    <t>ELEVADOR DE PERIOSTIO FARABEUF, CORTE CURVO</t>
  </si>
  <si>
    <t>ELEVADOR DE PERIOSTIO FARABEUF, HOJA RECTA</t>
  </si>
  <si>
    <t>ELEVADOR DE PERIOSTIO LAMBOTTE, CORTE DE 25 MM</t>
  </si>
  <si>
    <t>ELEVADOR DE PERIOSTIO LANGENBECK, HOJA ANCHA</t>
  </si>
  <si>
    <t>ELEVADOR DE PERIOSTIO LANGENBECK, HOJA ANGOSTA</t>
  </si>
  <si>
    <t>ELEVADOR DE PERIOSTIO LEMPERT, HOJA MEDIO CURVA DE 2 MM</t>
  </si>
  <si>
    <t>ELEVADOR DE PERIOSTIO LEMPERT, HOJA MEDIO CURVA DE 3 MM</t>
  </si>
  <si>
    <t>ELEVADOR DE PERIOSTIO LEMPERT, ROMO, DE 16-18 CM DE LONGITUD</t>
  </si>
  <si>
    <t>ELEVADOR DE PERIOSTIO MCKENTY, CURVO, PUNTA DE 4 MM</t>
  </si>
  <si>
    <t>ELEVADOR DE PERIOSTIO MCKENTY, DOBLE PUNTA, CURVO, PUNTA DE 4.5 MM Y 5.0 MM</t>
  </si>
  <si>
    <t>ELEVADOR DE SEPTUM FREER, DOBLE, ROMO-AGUDO, 18-19 CM DE LONGITUD</t>
  </si>
  <si>
    <t>ELEVADOR DE SEPTUM FREER, ROMO, HOJA DE 4-6 MM</t>
  </si>
  <si>
    <t>ELEVADOR PARA HUESO HOHMANN, PUNTA CORTA Y ESTRECHA DE 8MM DE ANCHO, DE21 A 23 CM DE LONGITUD</t>
  </si>
  <si>
    <t>ELEVADOR PARA HUESO LANGE HOHMANN MODIFICADO, DE 27 A 29 CM DE LONGITUD</t>
  </si>
  <si>
    <t>ELEVADOR PARA HUESO LANGE HOHMANN, MODELO PEQUEÑO</t>
  </si>
  <si>
    <t>OSTEÓTOMO LAMBOTTE, CORTE CURVO DE 18 MM</t>
  </si>
  <si>
    <t>OSTEÓTOMO LAMBOTTE, CORTE CURVO DE 30 MM</t>
  </si>
  <si>
    <t>OSTEÓTOMO LAMBOTTE, CORTE CURVO DE 38 MM</t>
  </si>
  <si>
    <t>OSTEÓTOMO LAMBOTTE, CORTE RECTO DE 13 MM</t>
  </si>
  <si>
    <t>OSTEÓTOMO LAMBOTTE, CORTE RECTO DE 18 MM</t>
  </si>
  <si>
    <t>ESPÉCULO RECTAL PRATT CON LONGITUD DE 17-21 CM</t>
  </si>
  <si>
    <t>OSTEÓTOMO LAMBOTTE, CORTE RECTO DE 30 MM</t>
  </si>
  <si>
    <t>OSTEÓTOMO LAMBOTTE, CORTE RECTO DE 38 MM</t>
  </si>
  <si>
    <t>OSTEÓTOMO LAMBOTTE, CURVO, CORTE DE 25 MM</t>
  </si>
  <si>
    <t>OSTEÓTOMO LAMBOTTE, CURVO, CORTE DE 13 MM</t>
  </si>
  <si>
    <t>OSTEÓTOMO LAMBOTTE, CURVO, CORTE DE 6 MM</t>
  </si>
  <si>
    <t>OSTEÓTOMO LAMBOTTE, CURVO, CORTE DE 19 MM</t>
  </si>
  <si>
    <t>OSTEÓTOMO LAMBOTTE, RECTO, CORTE DE 25 MM</t>
  </si>
  <si>
    <t>OSTEÓTOMO LAMBOTTE, RECTO, CORTE DE 6 MM</t>
  </si>
  <si>
    <t>OSTEÓTOMO LAMBOTTE, RECTO, CORTE DE 4 MM</t>
  </si>
  <si>
    <t>OSTEÓTOMO LAMBOTTE, RECTO, CORTE DE 19 MM</t>
  </si>
  <si>
    <t>OSTEÓTOMO LAMBOTTE, RECTO, CORTE DE 10 MM</t>
  </si>
  <si>
    <t>OSTEÓTOMO LAMBOTTE, RECTO, CORTE DE 16 MM</t>
  </si>
  <si>
    <t>OSTEÓTOMO SMITH PETERSON, CURVO, CORTE DE 25 MM</t>
  </si>
  <si>
    <t>OSTEÓTOMO SMITH PETERSON, CURVO, CORTE DE 19 MM</t>
  </si>
  <si>
    <t>OSTEÓTOMO SMITH PETERSON, CURVO, CORTE DE 10 MM</t>
  </si>
  <si>
    <t>OSTEÓTOMO SMITH PETERSON, CURVO, CORTE DE 16 MM</t>
  </si>
  <si>
    <t>OSTEÓTOMO STILLE, CURVO, CORTE DE 25 MM</t>
  </si>
  <si>
    <t>OSTEÓTOMO STILLE, CURVO, CORTE DE 10 MM</t>
  </si>
  <si>
    <t>OSTEÓTOMO STILLE, RECTO, CORTE DE 25 MM</t>
  </si>
  <si>
    <t>OSTEÓTOMO STILLE, RECTO, CORTE DE 13 MM</t>
  </si>
  <si>
    <t>OSTEÓTOMO STILLE, RECTO, CORTE DE 10 MM</t>
  </si>
  <si>
    <t>OSTEÓTOMO TIPO COTTLE, CURVO, GRADUADO, 10 MM</t>
  </si>
  <si>
    <t>OSTEÓTOMO TIPO COTTLE, CURVO, GRADUADO, 4 MM</t>
  </si>
  <si>
    <t>OSTEÓTOMO TIPO COTTLE, CURVO, GRADUADO,6MM</t>
  </si>
  <si>
    <t>OSTEÓTOMO TIPO COTTLE, RECTO, GRADUADO, 12 MM</t>
  </si>
  <si>
    <t>PERIOSTOTOMO COSTAL DOBLE, ALEXANDER, DE 21-22 CM DE LONGITUD</t>
  </si>
  <si>
    <t>PERIOSTOTOMO DOYEN, CURVA DERECHA, 16-17 CM DE LONGITUD</t>
  </si>
  <si>
    <t>PERIOSTOTOMO DOYEN, CURVA DERECHA, 24-25 CM DE LONGITUD</t>
  </si>
  <si>
    <t>PERIOSTOTOMO DOYEN, CURVA IZQUIERDA, 16-17 CM DE LONGITUD</t>
  </si>
  <si>
    <t>PERIOSTOTOMO DOYEN, CURVA IZQUIERDA, 24-25 CM DE LONGITUD</t>
  </si>
  <si>
    <t>ELEVADOR APICAL RECTO ACANALADO, PARTE ACTIVA CON BORDE REDONDEADO DE3 MM</t>
  </si>
  <si>
    <t>ELEVADOR DE RAÍZ TIPO BARRY PARTE ACTIVA DE 5 A 12 MM, IZQUIERDO, ACERO INOXIDABLE</t>
  </si>
  <si>
    <t>ELEVADOR DE RAÍZ RECTO ACANALADO BORDE REDONDEADO PARTE ACTIVA DE 2 A3 MM, ACERO INOXIDABLE</t>
  </si>
  <si>
    <t>ELEVADOR DE RAÍZ RECTO ACANALADO BORDE REDONDEADO PARTE ACTIVA DE 4  A5 MM, ACERO INOXIDABLE</t>
  </si>
  <si>
    <t>ELEVADOR PLANO RECTO, PARTE ACTIVA DE 3 A 4 MM, INOXIDABLE.</t>
  </si>
  <si>
    <t>ELEVADOR RECTO ACANALADO PARTE ACTIVA CURVA BORDE REDONDEADO DE 2 A 2.5 MM, ACERO INOXIDABLE</t>
  </si>
  <si>
    <t>ELEVADOR APICAL ANGULADO DOBLE EXTREMO, PARTE ACTIVA EN PUNTA DE LANZADE 1 A 2 MM. ACERO INOXIDABLE</t>
  </si>
  <si>
    <t>ELEVADOR APICAL ANGULADO DERECHO, PARTE ACTIVA EN PUNTA DE LANZA DE 2A 3 MM, ACERO INOXIDABLE</t>
  </si>
  <si>
    <t>OSTEÓTOMO NASAL MASING, CURVO A LA DERECHA, CON PROTECCIÓN SIMPLE DE PUNTA, LONGITUD DE 17 A 18 CM.</t>
  </si>
  <si>
    <t>OSTEÓTOMO NASAL MASING, CURVO A LA IZQUIERDA, CON PROTECCIÓN SIMPLE DEPUNTA, LONGITUD DE 17 A 18 CM.</t>
  </si>
  <si>
    <t>OSTEÓTOMO NASAL MASING, RECTO, CON PROTECCIÓN SIMPLE DE PUNTA, LONGITUD DE 17 A 18 CM</t>
  </si>
  <si>
    <t>PINZA BENSON PARA PILOROMIOTOMÍA, CON MEDIDA DE 12-15 CM DE LONGITUD</t>
  </si>
  <si>
    <t>PINZA KLEINSCHMIDT PARA APENDICETOMIA, CON MEDIDA DE 12-15 CM DE LONGITUD</t>
  </si>
  <si>
    <t>CLAMP PARA HUESO LAMBOTTE, DE 21-23 CM DE LONGITUD</t>
  </si>
  <si>
    <t>CLAMP PARA HUESO LOWMAN HOGLUND, GRADUADO, DE 12-14 CM DE LONGITUD</t>
  </si>
  <si>
    <t>CLAMP PARA HUESO LOWMAN HOGLUND, GRADUADO, DE 17-19 CM DE LONGITUD</t>
  </si>
  <si>
    <t>CLAMP PARA HUESO LOWMAN HOGLUND, GRADUADO, DE 20-23 CM DE LONGITUD</t>
  </si>
  <si>
    <t>CLAMP PARA HUESO LOWMAN, GRADUADO, DE 12-14 CM DE LONGITUD</t>
  </si>
  <si>
    <t>CLAMP PARA HUESO LOWMAN, GRADUADO, DE 17-19 CM DE LONGITUD</t>
  </si>
  <si>
    <t>CLAMP PARA HUESO LOWMAN, GRADUADO, DE 20-23 CM DE LONGITUD</t>
  </si>
  <si>
    <t>COMPRESOR COSTAL BAILEY-GIBBON, 16-18 CM DE LONGITUD</t>
  </si>
  <si>
    <t>COMPRESOR COSTAL BAILEY-GIBBON, 20-21 CM DE LONGITUD</t>
  </si>
  <si>
    <t>ESTRIBO  CRANEAL  GARDNER  WELLS  PARA  TRACCIÓN CERVICAL.</t>
  </si>
  <si>
    <t>ESTRIBO DE EXTENSIÓN BOHLER, MODELO GRANDE (PARA FÉMUR Y RODILLA), DE20-22 CM X 10-12 CM</t>
  </si>
  <si>
    <t>ESTRIBO DE EXTENSIÓN BOHLER, MODELO PEQUEÑO (PARA BRAZO) de 16-18 CM X8-10 CM</t>
  </si>
  <si>
    <t>ESTRIBO O ARCO PARA TRACCIÓN CON CLAVOS DE STEIMAN  CON ABERTURA ENTRE80 A  90 MM.</t>
  </si>
  <si>
    <t>ESTRIBO O ARCO PARA TRACCIÓN CON CLAVOS DE STEIMAN CON ABERTURA  ENTRE100 A  110 MM.</t>
  </si>
  <si>
    <t>PINZA PARA HUESO FARABEUF LAMBOTTE, DE 25-28 CM DE LONGITUD</t>
  </si>
  <si>
    <t>PINZA PARA HUESO FARABEUF, DE 24-26 CM DE LONGITUD</t>
  </si>
  <si>
    <t>PINZA PARA HUESO LAMBOTTE, CON CREMALLERA, DE 26-28 CM DE LONGITUD</t>
  </si>
  <si>
    <t>PINZA PARA HUESO LANE, CON CREMALLERA, DE 30-35 CM DE LONGITUD</t>
  </si>
  <si>
    <t>PINZA PARA HUESO LANE, CON CREMALLERA, DE 42-46 CM DE LONGITUD</t>
  </si>
  <si>
    <t>PINZA PARA HUESO MARTIN, DE 16-19 CM DE LONGITUD</t>
  </si>
  <si>
    <t>PINZA PARA HUESO VAN BUREN, CURVADA LATERAL, DE 20-23 CM DE LONGITUD</t>
  </si>
  <si>
    <t>PINZA PARA HUESO VAN BUREN, RECTA, DE 20-23 CM DE LONGITUD</t>
  </si>
  <si>
    <t>TUTOR O FIJADOR EXTERNO, PARA FÉMUR. SET</t>
  </si>
  <si>
    <t>TUTOR O FIJADOR EXTERNO, PARA MIEMBRO SUPERIOR</t>
  </si>
  <si>
    <t>TUTOR EXTERNO DE MUÑECA, CON PINES DE SCHANZ INCLUIDOS. SET</t>
  </si>
  <si>
    <t>SUJETADOR DOBLE PARA DISTRACCIÓN COMPRESIÓN, FORMA DE T SIMETRICA, CONUNA BARRA CENTRAL Y DOS FUSTES LATERALES.</t>
  </si>
  <si>
    <t>RASPADOR DOBLE, CON PLACAS DE CARBURO DE TUNGSTENO 1-2</t>
  </si>
  <si>
    <t>RASPADOR DOBLE, CON PLACAS DE CARBURO DE TUNGSTENO 3-4</t>
  </si>
  <si>
    <t>RASPADOR DOBLE, CON PLACAS DE CARBURO DE TUNGSTENO 5-6</t>
  </si>
  <si>
    <t>RASPADOR DOBLE, CON PLACAS DE CARBURO DE TUNGSTENO 7-8</t>
  </si>
  <si>
    <t>RASPADOR DOBLE, CON PLACAS DE CARBURO DE TUNGSTENO 9-10</t>
  </si>
  <si>
    <t>RASPADOR MCKENTY, CORTANTE, 15-16 CM DE LONGITUD</t>
  </si>
  <si>
    <t>LIMA PARA HUESO SCHLUGER, ACERO INOXIDABLE</t>
  </si>
  <si>
    <t>LIMA PARA HUESO, DOBLE EXTREMO (UN EXTREMO RECTANGULAR CURVO Y OTRO EXTREMO REDONDEADO) TIPO MILLER; ACERO INOXIDABLE</t>
  </si>
  <si>
    <t>LIMA PARA HUESO PUTTI, HOJAS DENTADAS DIMINUTAS Y AFILADAS, ANCHO DE HOJAS DE 18 MM Y 20 MM, LONGITUD DE 27 A 30 CM.</t>
  </si>
  <si>
    <t>LIMA PARA HUESO RECTANGULAR, HOJA REDONDEADA Y DENTADA, DIENTES FINOSENTRECRUZADOS, ANCHO DE HOJA DE 1.5 - 2.5 CM, LONGITUD DE 18 A 25 CM.</t>
  </si>
  <si>
    <t>LIMA PARA HUESO FOMON, DOBLE PUNTA DENTADA EN CRUZ, ANCHO DE HOJAS DE6.5 Y 7.5 MM, LONGITUD 21 - 22 CM</t>
  </si>
  <si>
    <t>RASPADOR PARA HUESO FOMON, DOBLE EXTREMO DENTADO FINO GRUESO, ANCHO DEHOJAS DE 6.5 MM Y 7.5 MM, LONGITUD DE 20 - 22 CM.</t>
  </si>
  <si>
    <t>RASPADOR DE PALADAR, CURVADO A LA IZQUIERDA, ANCHO DE 4 MM, LONGITUD DE 14 CM.</t>
  </si>
  <si>
    <t>RASPADOR DE PALADAR, CURVADO A LA DERECHA, ANCHO DE 4 MM, LONGITUD DE14 CM.</t>
  </si>
  <si>
    <t>FRESA PARA CRANEÓTOMO CON PUNTA DE DIAMANTE, TAMAÑO PEQUEÑO, DIÁMETRODE CABEZA DE 3.0 MM</t>
  </si>
  <si>
    <t>BROCA INICIADORA PARA CRÁNEO, MEDIDAS:14 MM X OD 11 MM X 3 MM DIÁMETRO</t>
  </si>
  <si>
    <t>ESCARIADOR CUADRANGULAR PERTHES, LONGITUD DE 20 - 25 CM.</t>
  </si>
  <si>
    <t>SIERRA PARA CORTAR HUESO SATTERLEE, LONGITUD DE 29 A 30 CM.</t>
  </si>
  <si>
    <t>BROCA D'ERRICO TREPHINA AJUSTABLE 3X10 CM APROXIMADAMENTE</t>
  </si>
  <si>
    <t>BROCA D'ERRICO TREPHINA AJUSTABLE 5 X 10CM APROXIMADAMENTE</t>
  </si>
  <si>
    <t>BROCA PASADORA DE ALAMBRE PARA USAR CON CRANEÓTOMO</t>
  </si>
  <si>
    <t>FRESA PARA CRANEÓTOMO CON PUNTA DE CARBURO DE TUNGSTENO, TAMAÑO LARGO,DIÁMETRO DE CABEZA DE 4.0 MM</t>
  </si>
  <si>
    <t>FRESA PARA CRANEÓTOMO CON PUNTA DE CARBURO DE TUNGSTENO, TAMAÑO LARGO,DIÁMETRO DE CABEZA DE 5.0 MM</t>
  </si>
  <si>
    <t>FRESA PARA CRANEÓTOMO CON PUNTA DE CARBURO DE TUNGSTENO, TAMAÑO LARGO,DIÁMETRO DE CABEZA DE 6.5 MM</t>
  </si>
  <si>
    <t>FRESA PARA CRANEÓTOMO CON PUNTA DE CARBURO DE TUNGSTENO, TAMAÑO MEDIANO, DIÁMETRO DE CABEZA DE 3.0 MM</t>
  </si>
  <si>
    <t>FRESA PARA CRANEÓTOMO CON PUNTA DE CARBURO DE TUNGSTENO, TAMAÑO MEDIANO, DIÁMETRO DE CABEZA DE 4.0 MM</t>
  </si>
  <si>
    <t>FRESA PARA CRANEÓTOMO CON PUNTA DE CARBURO DE TUNGSTENO, TAMAÑO MEDIANO, DIÁMETRO DE CABEZA DE 5.0 MM</t>
  </si>
  <si>
    <t>FRESA PARA CRANEÓTOMO CON PUNTA DE CARBURO DE TUNGSTENO, TAMAÑO MEDIANO, DIÁMETRO DE CABEZA DE 6.5 MM</t>
  </si>
  <si>
    <t>FRESA PARA CRANEÓTOMO CON PUNTA DE CARBURO DE TUNGSTENO, TAMAÑO PEQUEÑO, DIÁMETRO DE CABEZA DE 3.0 MM</t>
  </si>
  <si>
    <t>FRESA PARA CRANEÓTOMO CON PUNTA DE CARBURO DE TUNGSTENO, TAMAÑO PEQUEÑO, DIÁMETRO DE CABEZA DE 4.0 MM</t>
  </si>
  <si>
    <t>FRESA PARA CRANEÓTOMO CON PUNTA DE CARBURO DE TUNGSTENO, TAMAÑO PEQUEÑO, DIÁMETRO DE CABEZA DE 5.0 MM</t>
  </si>
  <si>
    <t>FRESA PARA CRANEÓTOMO CON PUNTA DE DIAMANTE, TAMAÑO MEDIANO, DIÁMETRODE CABEZA DE 4.0 MM</t>
  </si>
  <si>
    <t>FRESA PARA CRANEÓTOMO CON PUNTA DE DIAMANTE, TAMAÑO PEQUEÑO, DIÁMETRODE CABEZA DE 0.5 MM</t>
  </si>
  <si>
    <t>FRESA PARA CRANEÓTOMO CON PUNTA DE DIAMANTE, TAMAÑO PEQUEÑO, DIÁMETRODE CABEZA DE 0.7 MM</t>
  </si>
  <si>
    <t>FRESA PARA CRANEÓTOMO CON PUNTA DE DIAMANTE, TAMAÑO PEQUEÑO, DIÁMETRODE CABEZA DE 1.5 MM</t>
  </si>
  <si>
    <t>FRESA PARA CRANEÓTOMO CON PUNTA DE DIAMANTE, TAMAÑO PEQUEÑO, DIÁMETRODE CABEZA DE 4.0 MM</t>
  </si>
  <si>
    <t>FRESA PARA CRANEÓTOMO CON PUNTA DE DIAMANTE, TAMAÑO PEQUEÑO, DIÁMETRODE CABEZA DE 5.0 MM</t>
  </si>
  <si>
    <t>GUÍA CURVA DE 30CM, BALEY GIGLI</t>
  </si>
  <si>
    <t>GUÍA FLEXIBLE PARA SIERRA GIGLI, 27 CM DE LONGITUD</t>
  </si>
  <si>
    <t>GUÍA FLEXIBLE PARA SIERRA GIGLI, 30CM DE LONGITUD</t>
  </si>
  <si>
    <t>GUÍA FLEXIBLE PARA SIERRA GIGLI, 35CM DE LONGITUD</t>
  </si>
  <si>
    <t>HOJA DE REPUESTO DE 5CM DE DIÁMETRO, DE SIERRA OSCILATORIA PARA YESO</t>
  </si>
  <si>
    <t>HOJA DE REPUESTO DE 6CM DE DIÁMETRO, DE SIERRA OSCILATORIA PARA YESO</t>
  </si>
  <si>
    <t>MANGOS PARA SIERRA GIGLI, SÓLIDOS, UNO EN T Y OTRO EN FORMA DE ARO.PAR</t>
  </si>
  <si>
    <t>SIERRA ENGEL PARA CORTAR YESO</t>
  </si>
  <si>
    <t>SIERRA PARA CORTAR HIERRO 30 CM X 12 MM</t>
  </si>
  <si>
    <t>SIERRA TIPO GIGLE 30 CM</t>
  </si>
  <si>
    <t>SIERRA TIPO GIGLE 40 CM</t>
  </si>
  <si>
    <t>SIERRA TIPO GIGLE 50 CM</t>
  </si>
  <si>
    <t>GUÍA DE ALAMBRE KIRSCHNER DE 1.6 X 150 MM PARA TORNILLO CANULADO DE 3.5 MM</t>
  </si>
  <si>
    <t>PINZA MICRO PORTA AGUJAS, MANGO REDONDO SIN SEGURO, MEDIDA 14-16 CM, DE ACERO INOXIDABLE</t>
  </si>
  <si>
    <t>PINZA MICRO PORTA AGUJAS CON MANGOS DE PLÁSTICO LIGERO DE MULLER, PUNTA CURVA, LONGITUD 14-16 CM DE ACERO INOXIDABLE</t>
  </si>
  <si>
    <t>PINZA MICRO PORTA AGUJAS, MANGO REDONDO PUNTA RECTA,LONGITUD 14 - 16 CM CON INJERTO DE TUNGSTENO,DE ACERO INOXIDABLE</t>
  </si>
  <si>
    <t>PINZA MICRO PORTA AGUJAS, MANGO REDONDO, CURVO, SIN SEGURO, DIÁMETRO DE PUNTA 0.8 MM LARGO 15 CM DE ACERO, TITANIO.</t>
  </si>
  <si>
    <t>MICROPINZA RECTA BALANCEADA TIPO DE BAKEY ATRAUMÁTICA,MANGO REDONDO, DIÁMETRO PUNTA 1.2 MM LONGITUD 15 CM, ACERO, TITANIO</t>
  </si>
  <si>
    <t>MICROPINZA RECTA, BALANCEADA TIPO DE  BAKEY , MANGO REDONDO CON PUNTADE 1 MM, LONGITUD 18.5 CM RECUBRIMIENTO DE POLVO DE DIAMANTE.</t>
  </si>
  <si>
    <t>MICROPINZA RECTA DE RELOJERO PARA ANUDAR SUTURAS, MANGO REDONDO PUNTA0.3 MM, PLATAFORMA, 15 MM LARGO, ACERO, TITANIO.</t>
  </si>
  <si>
    <t>MICROPINZA RECTA PARA MICROCIRUGÍA PERIFÉRICA CON DIENTES DE 1 X 2 DE0.3 MM Y 9.5 CM DE LARGO</t>
  </si>
  <si>
    <t>MICROPINZA RECTA, BALANCEAD, MANGO REDONDO, PLATAFORMA,DIÁMETRO DE PUNTA 0.5 MM,LONGITUD  DE 18 CM,ACERO, TITANIO.</t>
  </si>
  <si>
    <t>COMPRESOR ORBITAL ANTONY</t>
  </si>
  <si>
    <t>FORCEPS PARA AMÍGDALA ALLIS COAKLEY, CURVO, DE 17-20 CM (7-8) DE LONGITUD</t>
  </si>
  <si>
    <t>PINZA  CORNEAL BARRAQUER, TIPO COLIBRÍ , 0.12 MM, 1 X 2 GARRAS.</t>
  </si>
  <si>
    <t>PINZA  MIXTER, ESTRÍAS TRANSVERSALES, DE 13-14 CM DE LONGITUD</t>
  </si>
  <si>
    <t>PINZA  MIXTER, ESTRÍAS TRANSVERSALES, DE 16-19 CM DE LONGITUD</t>
  </si>
  <si>
    <t>PINZA  MIXTER, ESTRÍAS TRANSVERSALES, DE 21-23 CM DE LONGITUD</t>
  </si>
  <si>
    <t>PINZA CLAMP BUIE, CURVA, DE 21-23 CM DE LONGITUD</t>
  </si>
  <si>
    <t>PINZA CLAMP WERTHEIM, CURVA, DE 22-25 CM DE LONGITUD</t>
  </si>
  <si>
    <t>PINZA CORNEOESCLERAL KIRBY, 1 X 2 GARRA, ANGULADA, FINA</t>
  </si>
  <si>
    <t>PINZA CURVA PARA HISTERECTOMIA HEANEY, CON UN DIENTE, DE 20-25 CM DE LONGITUD.</t>
  </si>
  <si>
    <t>PINZA DE DISECCIÓN BISHOP-HARMON, RECTA,SIN GARRA.</t>
  </si>
  <si>
    <t>PINZA DE DISECCIÓN BROWN ADSON, ANGULADA, GARRA MÚLTIPLE</t>
  </si>
  <si>
    <t>PINZA DE DISECCIÓN BROWN ADSON, RECTA, GARRA MULTIPLE</t>
  </si>
  <si>
    <t>PINZA DE DISECCIÓN CUSHING, 1 X 2 GARRAS, RECTA, DE 17-18 CM  DE LONGITUD</t>
  </si>
  <si>
    <t>PINZA DE DISECCIÓN CUSHING, 1 X 2 GARRAS, RECTA, MANGO ACANALADO, DE 17-18 CM  DE LONGITUD</t>
  </si>
  <si>
    <t>PINZA DE DISECCIÓN CUSHING, EN BAYONETA, SIN GARRA, DE 18-19 CM DE LONGITUD</t>
  </si>
  <si>
    <t>PINZA DE DISECCIÓN CUSHING, SIN GARRAS, CON PLACAS DE CARBURO TUNGSTENO, RECTA, DE 12-13 CM  DE LONGITUD</t>
  </si>
  <si>
    <t>PINZA DE DISECCIÓN CUSHING, SIN GARRAS, CON PLACAS DE CARBURO TUNGSTENO, RECTA, DE 17-18 CM  DE LONGITUD</t>
  </si>
  <si>
    <t>PINZA DE DISECCIÓN EN BAYONETA JANSEN, SIN GARRA, DE 16-17 CM DE LONGITUD</t>
  </si>
  <si>
    <t>PINZA DE DISECCIÓN EN BAYONETA JANSEN, SIN GARRA, DE 19-21 CM DE LONGITUD</t>
  </si>
  <si>
    <t>PINZA DE DISECCIÓN MARTIN 7X 8 GARRAS, 13-15 CM DE LONGITUD</t>
  </si>
  <si>
    <t>PINZA DE DISECCIÓN RUSSIAN DE,  24 A 26 CM DE LARGO.</t>
  </si>
  <si>
    <t>PINZA DE DISECCIÓN RUSSIAN, DE  20 A 22 CM DE LARGO.</t>
  </si>
  <si>
    <t>PINZA DE DISECCIÓN, 1 X 2 GARRA, DE 10-12 CM DE LONGITUD</t>
  </si>
  <si>
    <t>PINZA DE DISECCIÓN, 1 X 2 GARRA, DE 13-15 CM DE LONGITUD</t>
  </si>
  <si>
    <t>PINZA DE DISECCIÓN, 1 X 2 GARRA, DE 16-18 CM DE LONGITUD</t>
  </si>
  <si>
    <t>PINZA DE DISECCIÓN, 1 X 2 GARRA, DE 20-21 CM DE LONGITUD</t>
  </si>
  <si>
    <t>PINZA DE DISECCIÓN, 1 X 2 GARRA, DE 25 -26 CM DE LONGITUD</t>
  </si>
  <si>
    <t>PINZA DE DISECCIÓN, 1 X 2 GARRA, DE 30-31 CM DE LONGITUD</t>
  </si>
  <si>
    <t>PINZA DE DISECCIÓN, SIN GARRA, DE 10-12 CM DE LONGITUD</t>
  </si>
  <si>
    <t>PINZA DE DISECCIÓN, SIN GARRA, DE 13-15 CM DE LONGITUD</t>
  </si>
  <si>
    <t>PINZA DE DISECCIÓN, SIN GARRA, DE 16-18 CM DE LONGITUD</t>
  </si>
  <si>
    <t>PINZA DE DISECCIÓN, SIN GARRA, DE 20-21 CM DE LONGITUD</t>
  </si>
  <si>
    <t>PINZA DE DISECCIÓN, SIN GARRA, DE 25-26 CM DE LONGITUD</t>
  </si>
  <si>
    <t>PINZA DE DISECCIÓN, SIN GARRA, DE 30-31 CM DE LONGITUD</t>
  </si>
  <si>
    <t>PINZA EN BAYONETA CUSHING DE DISECCIÓN, 1 X 2 GARRAS, DE 18-19 CM LONGITUD TOTAL</t>
  </si>
  <si>
    <t>PINZA EN BAYONETA PARA HIPÓFISIS ADSON, CURVA HACIA ABAJO,  21-23 CM DE LONGITUD TOTAL</t>
  </si>
  <si>
    <t>PINZA EN BAYONETA PARA HIPÓFISIS ADSON, CURVA HACIA ARRIBA,  21-23 CMDE LONGITUD TOTAL</t>
  </si>
  <si>
    <t>PINZA EN BAYONETA PARA HIPÓFISIS ADSON, RECTA,  21-23 CM DE LONGITUD TOTAL</t>
  </si>
  <si>
    <t>PINZA EN BAYONETA RHOTON, ANILLO ASERRADO, DE 23-25 CM DE LONGITUD</t>
  </si>
  <si>
    <t>PINZA EN BAYONETA TIPO LUCAE, FINA, SIN GARRA</t>
  </si>
  <si>
    <t>PINZA EN BAYONETA YASARGIL (MICROFORM), PARA AGARRE DE TUMOR, QUIJADAEN FORMA DE CUCHARA DE 3 MM DE DIÁMETRO</t>
  </si>
  <si>
    <t>PINZA EN BAYONETA YASARGIL (MICROFORM), PARA AGARRE DE TUMOR, QUIJADAEN FORMA DE CUCHARA DE 5 MM DE DIÁMETRO</t>
  </si>
  <si>
    <t>PINZA EN BAYONETA YASARGIL (MICROPORM), PARA AGARRE DE TUMOR, QUIJADAPLANA ASERRADA DE 3 MM DE DIÁMETRO</t>
  </si>
  <si>
    <t>PINZA ESSRING, CURVA, DE 20-23 CM DE LONGITUD</t>
  </si>
  <si>
    <t>PINZA KOCHER, CURVA, DE 13 A 16 CM DE LONGITUD</t>
  </si>
  <si>
    <t>PINZA KOCHER, CURVA, DE 17-21 CM DE LONGITUD</t>
  </si>
  <si>
    <t>PINZA KOCHER, CURVA, DE 24-28 CM DE LONGITUD</t>
  </si>
  <si>
    <t>PINZA KOCHER, RECTA, DE 13-16 CM DE LONGITUD</t>
  </si>
  <si>
    <t>PINZA KOCHER, RECTA, DE 17-21 CM DE LONGITUD</t>
  </si>
  <si>
    <t>PINZA KOCHER, RECTA, DE 24-28 CM DE LONGITUD</t>
  </si>
  <si>
    <t>PINZA LARÍNGEA FRAENKEL, APERTURA DE AMBAS QUIJADAS, DE 22-24 CM DE LONGITUD</t>
  </si>
  <si>
    <t>PINZA MIXTER,  ESTRÍAS LONGITUDINALES, DE 21-23 CM DE LONGITUD</t>
  </si>
  <si>
    <t>PINZA MIXTER,  ESTRÍAS LONGITUDINALES, DE 25-28 CM DE LONGITUD</t>
  </si>
  <si>
    <t>PINZA NASAL FENESTRADA BLAKESLEY # 0.</t>
  </si>
  <si>
    <t>PINZA NASAL FENESTRADA BLAKESLEY # 1.</t>
  </si>
  <si>
    <t>PINZA NASAL FENESTRADA BLAKESLEY # 2</t>
  </si>
  <si>
    <t>PINZA PARA CÁPSULA ARRUGA, CURVA STANDARD</t>
  </si>
  <si>
    <t>PINZA PARA DISECCIÓN TIPO ADSON, 1 X 2 GARRAS, DE 11-13 CM DE LONGITUD</t>
  </si>
  <si>
    <t>PINZA PARA DISECCIÓN TIPO ADSON, 1 X 2 GARRAS, DE 11-13 CM DE LONGITUD. DISECCIÓN DELICADA</t>
  </si>
  <si>
    <t>PINZA PARA DISECCIÓN TIPO ADSON, 2 X 3 GARRAS, DE 11-13 CM DE LONGITUD</t>
  </si>
  <si>
    <t>PINZA PARA DISECCIÓN TIPO ADSON, 2 X 3 GARRAS, DE 16-18 CM DE LONGITUD</t>
  </si>
  <si>
    <t>PINZA PARA DISECCIÓN TIPO ADSON, SIN GARRA, DE 11-13 CM DE LONGITUD</t>
  </si>
  <si>
    <t>PINZA PARA DISECCIÓN TIPO ADSON, SIN GARRA, DE 16-18 CM DE LONGITUD</t>
  </si>
  <si>
    <t>PINZA PARA MÚSCULO BERKE HOJAS ESTRIADAS 20 MM.</t>
  </si>
  <si>
    <t>PINZA PARA MÚSCULO BERKE HOJAS ESTRIADAS 27 MM.</t>
  </si>
  <si>
    <t>PINZA PARA PEDÍCULO DE 17-20 CM DE LONGITUD</t>
  </si>
  <si>
    <t>PINZA PARA PEDÍCULO WERTHEIM-CULLEN, RECTA ANGULADA, DE 20-22CM, CON ÁNGULO DE 5</t>
  </si>
  <si>
    <t>PINZA PARA PITUITARIA CLOWARD, LONGITUD DE 18 A 22CM</t>
  </si>
  <si>
    <t>PINZA PARA PITUITARIA GRUENWALD RECTA, LONGITUD DE 18 A 22CM</t>
  </si>
  <si>
    <t>PINZA PARA RECTO SUPERIOR  TROUTMAN  ÁNGULO 45º</t>
  </si>
  <si>
    <t>PINZA PARA SEPTUM ASH, 22-24 CM DE LONGITUD</t>
  </si>
  <si>
    <t>PINZA PARA TENDONES BRAND, CURVA. DE 15-16 CM DE LONGITUD</t>
  </si>
  <si>
    <t>PINZA PARA TENDONES BRAND, CURVA. DE 19-20 CM DE LONGITUD</t>
  </si>
  <si>
    <t>PINZA PUNTA RECTA, DE 20 CM, PARA MICRODISECCIÓN.</t>
  </si>
  <si>
    <t>PINZA RANDAL # 2 (12 MM CURVA)</t>
  </si>
  <si>
    <t>PINZA RANDAL #1 (6 MM DE CURVA)</t>
  </si>
  <si>
    <t>PINZA RANDAL #3 (19 MM DE CURVA)</t>
  </si>
  <si>
    <t>PINZA ROCHESTER OCHSNER CURVA, DE 13 A 16 CM</t>
  </si>
  <si>
    <t>PINZA ROCHESTER OCHSNER CURVA, DE 18 A 21 CM</t>
  </si>
  <si>
    <t>PINZA ROCHESTER OCHSNER CURVA, DE 22 A 26 CM</t>
  </si>
  <si>
    <t>PINZA ROCHESTER OCHSNER CURVA, DE 29  A 31 CM</t>
  </si>
  <si>
    <t>PINZA ROCHESTER-OCHSNER RECTA, DE 13 A 16 CM.</t>
  </si>
  <si>
    <t>PINZA ROCHESTER-OCHSNER RECTA, DE 18 A 21 CM.</t>
  </si>
  <si>
    <t>PINZA ROCHESTER-OCHSNER RECTA, DE 22 A 26 CM.</t>
  </si>
  <si>
    <t>PINZA ROCHESTER-OCHSNER RECTA, DE 29 A 31 CM.</t>
  </si>
  <si>
    <t>PINZA SCHROEDER RECTA, TENACULO SIMPLE, DE 22-27 CM DE LONGITUD</t>
  </si>
  <si>
    <t>PINZA SCHROEDER, ANGULADA, TENACULO DOBLE, DE 22-27 CM DE LONGITUD</t>
  </si>
  <si>
    <t>PINZA SCHROEDER, RECTA, TENACULO DOBLE, DE 22-27 CM DE LONGITUD</t>
  </si>
  <si>
    <t>PINZA SCHROEDER O BRAUN TENACULO SIMPLE, RECTA, DE 22-27 CM DE LONGITUD</t>
  </si>
  <si>
    <t>PINZA SCHROEDER O DUPLAY, TENACULO SIMPLE, DOBLE CURVA DE 22-27 CM DELONGITUD</t>
  </si>
  <si>
    <t>PINZA TENACULO PARA TIROIDES  LAHEY  DE 15-18 CM DE LONGITUD</t>
  </si>
  <si>
    <t>PINZA TENACULO PARA TIROIDES LAHEY  DE 20-22 CM DE LONGITUD</t>
  </si>
  <si>
    <t>PINZA UTERINA BOZEMAN, ESTRÍADA, DOBLE CURVA, DE 25-27 CM DE LONGITUD</t>
  </si>
  <si>
    <t>PINZA UTERINA BOZEMAN, ESTRÍADA, RECTA, DE 25-27 CM DE LONGITUD</t>
  </si>
  <si>
    <t>PINZA UTERINA JACOBS, CURVA LATERAL, DE 20-22 CM DE LONGITUD</t>
  </si>
  <si>
    <t>PINZA UTERINA JACOBS, RECTA, DE 20-22 CM DE LONGITUD.</t>
  </si>
  <si>
    <t>PINZA-CLAMP INTESTINAL DOYEN, CURVA, DE 16 -18 CM DE LONGITUD</t>
  </si>
  <si>
    <t>PINZA-CLAMP INTESTINAL DOYEN, CURVA, DE 21 -23 CM DE LONGITUD</t>
  </si>
  <si>
    <t>PINZA-CLAMP INTESTINAL DOYEN, CURVA, DIENTES PARA TEJIDO VASCULAR, DE21 -23 CM DE LONGITUD</t>
  </si>
  <si>
    <t>PINZA-CLAMP INTESTINAL DOYEN, RECTA, DE 16 -18 CM DE LONGITUD</t>
  </si>
  <si>
    <t>PINZA-CLAMP INTESTINAL DOYEN, RECTA, DE 21 -23 CM DE LONGITUD</t>
  </si>
  <si>
    <t>PINZA-CLAMP INTESTINAL DOYEN, RECTA, DIENTES PARA TEJIDO VASCULAR, DE21 -23 CM DE LONGITUD</t>
  </si>
  <si>
    <t>TIRA-MIOMA DE DOYEN, DE 15-20 CM DE LONGITUD</t>
  </si>
  <si>
    <t>MICRO PINZA RECTA CON MANGOS DE PLÁSTICO LIGERO DE MULLER PARA MICROCIRUGÍA PERIFERICA SIN DIENTES DE 0.2 MM Y 11 CM DE LARGO</t>
  </si>
  <si>
    <t>PINZA PARA SENO MAXILAR CON ACCIÓN RECTA DE 10-16 CM HACIA LA DERECHA</t>
  </si>
  <si>
    <t>PINZA PARA SENO MAXILAR CON ACCIÓN RECTA DE 10-16 CM HACIA LA IZQUIERDA</t>
  </si>
  <si>
    <t>PINZA PARA SENO FRONTAL TIPO JIRAFA 10-16 CM</t>
  </si>
  <si>
    <t>PINZA DE DISECCIÓN TIPO SINGLEY-TUTTLE, DE 15 CM A 18 CM DE LONGITUD.</t>
  </si>
  <si>
    <t>PINZA DE DISECCIÓN Y LIGADURAS  OVERHOLT- GEISENDÖRFER, MODELO FINO, LONGITUD 210 a 220 MM, DE ACERO INOXIDABLE</t>
  </si>
  <si>
    <t>PINZA DE DISECCIÓN Y LIGADURAS  OVERHOLT- GEISSENDÖRFER, LONGITUD DE 200 a 210 MM, DE ACERO INOXIDABLE</t>
  </si>
  <si>
    <t>PINZA DE DISECCIÓN ATRAUMATICA DEBAKEY RECTA, PUNTA 3.5 MM, LONGITUD DE 200 MM, DE ACERO INOXIDABLE</t>
  </si>
  <si>
    <t>PINZA MICRO PORTA AGUJA RECTO, MANGO PLANO, PARA SUTURA 5/0,  LONGITUD14 A 15 CM, DE ACERO INOXIDABLE, DIAMANTADO</t>
  </si>
  <si>
    <t>PINZA MICRO PORTA AGUJA RECTO PARA SUTURA 7/0, LONGITUD 21 CM, DE ACERO INOXIDABLE, CON SEGURO,NEGRO  ANTIREFLECTANTE</t>
  </si>
  <si>
    <t>PINZA MICRO PORTA AGUJA RECTO PARA SUTURA 7/0, LONGITUD 23 CM, DE ACERO INOXIDABLE, CON SEGURO,NEGRO ANTIREFLECTANTE</t>
  </si>
  <si>
    <t>PINZA MICRO PORTA AGUJA  RECTO MANGO PLANO PARA SUTURA 7/0, LONGITUD 17 CM, ACERO INOXIDABLE, DIAMANTADO</t>
  </si>
  <si>
    <t>PINZA DE DISECCIÓN ATRAUMATICA DEBAKEY RECTA, PUNTA 3,5 MM, LONGITUD DE 300 MM, DE ACERO INOXIDABLE</t>
  </si>
  <si>
    <t>PINZA DE DISECCIÓN Y LIGADURA MICRO- ADSON, CURVA, LONGITUD 140 MM, DEACERO INOXIDABLE</t>
  </si>
  <si>
    <t>PINZA PARA CLAMPAR TUBOS, BOCA  ESTRÍADA, LONGITUD DE  200 MM, DE ACERO INOXIDABLE</t>
  </si>
  <si>
    <t>PINZA TIRA LENGUA, TIPO COLLIN, 16 CM.</t>
  </si>
  <si>
    <t>FÓRCEPS DE EXTRACCIÓN # 101, INOXIDABLE.</t>
  </si>
  <si>
    <t>FÓRCEPS DE EXTRACCIÓN # 150, INOXIDABLE.</t>
  </si>
  <si>
    <t>FÓRCEPS DE EXTRACCIÓN # 15, INOXIDABLE.</t>
  </si>
  <si>
    <t>FÓRCEPS DE EXTRACCIÓN # 151, INOXIDABLE.</t>
  </si>
  <si>
    <t>FÓRCEPS DE EXTRACCIÓN # 16 INOXIDABLE.</t>
  </si>
  <si>
    <t>FÓRCEPS DE EXTRACCIÓN # 18 L, INOXIDABLE.</t>
  </si>
  <si>
    <t>FÓRCEPS DE EXTRACCIÓN # 18 R, INOXIDABLE.</t>
  </si>
  <si>
    <t>FÓRCEPS DE EXTRACCIÓN # 210.</t>
  </si>
  <si>
    <t>FÓRCEPS DE EXTRACCIÓN # 222 INOXIDABLE</t>
  </si>
  <si>
    <t>FÓRCEPS DE EXTRACCIÓN # 24, INOXIDABLE</t>
  </si>
  <si>
    <t>FÓRCEPS DE EXTRACCIÓN # 65 INOXIDABLE</t>
  </si>
  <si>
    <t>FÓRCEPS DE EXTRACCIÓN # 69, INOXIDABLE</t>
  </si>
  <si>
    <t>FÓRCEPS DE EXTRACCIÓN # 88 L, ACERO INOXIDABLE</t>
  </si>
  <si>
    <t>FÓRCEPS DE EXTRACCIÓN # 88 R, ACERO INOXIDABLE</t>
  </si>
  <si>
    <t>PORTA MATRIZ PARA BANDAS DE 5 MM DE ANCHO</t>
  </si>
  <si>
    <t>PORTA MATRIZ PARA BANDAS DE 7 MM DE ANCHO</t>
  </si>
  <si>
    <t>PINZA PORTAGRAPA TIPO BREWER, PALMER O WHITE</t>
  </si>
  <si>
    <t>PINZA REPOSICION PARA HUESO CON CREMALLERA, 10 A 15 CM DE LONGITUD.</t>
  </si>
  <si>
    <t>PINZA PATELLA, #15, 20 CM DE LONGITUD</t>
  </si>
  <si>
    <t>FÓRCEPS VERBRUGGE, BLOQUEO CON CREMALLERA, LONGITUD DE 24 - 25 CM.</t>
  </si>
  <si>
    <t>TENSOR MÓVIL DE ALAMBRE DE LOUTE, LONGITUD DE 20 A 25 CM</t>
  </si>
  <si>
    <t>PINZA REPOSICIÓN PARA HUESO CON CASQUILLO O TUBO GUÍA DE 2 A 4 MM, MANDÍBULAS CURVAS, CREMALLERA LARGA.</t>
  </si>
  <si>
    <t>PINZA REPOSICION PARA HUESO, CREMALLERA LARGA, LONGITUD DE 19 A 25 CM.</t>
  </si>
  <si>
    <t>PINZA DE DISECCIÓN EN BAYONETA JANSEN, SIN GARRA, DE 10 - 12 CM DE LONGITUD.</t>
  </si>
  <si>
    <t>PINZA DE MAGILL PARA LA INTRODUCCIÓN DE TUBOS TRAQUEALES PARA ADULTO ,LONGITUD DE 25 CM.</t>
  </si>
  <si>
    <t>PINZA DE MAGILL PARA LA INTRODUCCIÓN DE TUBOS TRAQUEALES, PEDIÁTRICAS,LONGITUD DE 20 CM.</t>
  </si>
  <si>
    <t>PINZA DE JOYERO # 1, STANDARD, RECTA, PUNTA FINA, SIN GARRA.</t>
  </si>
  <si>
    <t>PINZA DE JOYERO # 5, STANDARD, ANGULADA, PUNTA FINA, SIN GARRA.</t>
  </si>
  <si>
    <t>PINZA REPOSICIÓN PARA HUESO CON TOPE TORNILLO, DE 20 A 25 CM DE LONGITUD.</t>
  </si>
  <si>
    <t>PINZA BONE HOLDING FORCEPS, PEQUEÑAS, MANDÍBULAS DENTADAS ATRAUMÁTICAS, MECANISMO DE BLOQUEO CON TORNILLO.</t>
  </si>
  <si>
    <t>PINZA COTTLE EN FORMA DE BAYONETA CON MORDAZAS DENTADAS Y CERRADAS, LONGITUD DE 14 - 15 CM.</t>
  </si>
  <si>
    <t>PINZA PARA TENSAR ALAMBRE DEMEL, LONGITUD DE 25 - 30 CM.</t>
  </si>
  <si>
    <t>PINZA GUÍA DE BROCA ADSON PARA TALADRO Y PROTECTOR DE DURAMADRE, LONGITUD DE 15 - 16 CM.</t>
  </si>
  <si>
    <t>PINZA DE DISECCIÓN DEBAKEY, SIN GARRA, ATRAUMÁTICA, TAMAÑO DE MORDAZADE 1.5 MM, LONGITUD DE 15 - 16 CM</t>
  </si>
  <si>
    <t>PINZA DE DISECCIÓN DEBAKEY, SIN GARRA, ATRAUMÁTICA, ANCHO DE MANDÍBULADE 2.0 MM, LONGITUD DE 20 CM.</t>
  </si>
  <si>
    <t>PINZA BABY ADSON, RECTA, CON GARRA 1 X 2, ANCHO DE MANDÍBULA DE 1.5 MM, LONGITUD DE 14- 15 CM</t>
  </si>
  <si>
    <t>PINZA BABY ADSON, RECTA, CON GARRA 1 X 2, ANCHO DE MANDÍBULA DE 2.5 MM, LONGITUD DE 18 CM.</t>
  </si>
  <si>
    <t>PINZAS DE DISECCIÓN MICRO ADSON, RECTA, CON GARRA DE 1 X 2, ANCHO DE MANDÍBULA DE 0.9 MM, LONGITUD DE 15 CM.</t>
  </si>
  <si>
    <t>PINZA DE DISECCIÓN GERALD, RECTA, CON GARRA 1 X 2, LONGITUD DE 17 - 18CM.</t>
  </si>
  <si>
    <t>PINZAS DE DISECCIÓN MIXTER BABY, FUERTEMENTE CURVADAS, 18 CM</t>
  </si>
  <si>
    <t>PINZAS ALLIS, MANDÍBULAS CON DENTADO DEBAKEY, RECTA, LONGITUD DE 16 CM</t>
  </si>
  <si>
    <t>PINZA CZERNY, RECTA, DIENTES 4 X 4, ANCHO 11 MM, LONTIGUD DE 20 - 21 CM</t>
  </si>
  <si>
    <t>PINZA MICRO PORTA AGUJA TIPO CASTROVIEJO, MANGO PLANO SIN FIJACIÓN, ENTRE 20 Y 22 CM</t>
  </si>
  <si>
    <t>PINZA MICRO PORTA-AGUJA TIPO CASTRO VIEJO, MANGO PLANO CON FIJACIÓN, ENTRE 20 Y 22 CM</t>
  </si>
  <si>
    <t>PINZA MICRO PORTA-AGUJA TIPO CASTRO VIEJO, MANGO PLANO SIN FIJACIÓN, ENTRE 18 Y 19 CM</t>
  </si>
  <si>
    <t>PINZA PORTA AGUJAS CONVERSE DUROGRIP, RECTO, CON PASO DENTADO DE 0,2 MM, PARA SUTURAS 6/0-10/0, LONGITUD DE 13 - 14 CM.</t>
  </si>
  <si>
    <t>PINZA MICRO PORTA AGUJA CASTROVIEJO, RECTO, MANGO REDONDO, PARA SUTURA5/0 O MENOR, CON TRINQUETE, LONGITUD DE 15 - 16 CM.</t>
  </si>
  <si>
    <t>PINZA MICRO PORTA AGUJA CASTROVIEJO, RECTO, MANGO REDONDO, PARA SUTURA5/0 O MENOR, CON TRINQUETE, LONGITUD DE 18 - 19 CM.</t>
  </si>
  <si>
    <t>PINZA PORTAGUJA TIPO CASTROVIEJO, RECTO, ANCHO DE LA PUNTA DE 0.2 MM,CON LONGITUD ENTRE 18 A 20 CM, CON O SIN CIERRE</t>
  </si>
  <si>
    <t>PASA-HILOS,  ABOTONADO,  CURVATURA 3/4, 18-19 CM.,</t>
  </si>
  <si>
    <t>PASA-HILOS,  ABOTONADO,  RECTANGULAR,  18-19  CM.</t>
  </si>
  <si>
    <t>PASA-HILOS,  ABOTONADO, CURVATURA 1/2, 18-19 CM.</t>
  </si>
  <si>
    <t>PASA-HILOS, ABOTONADO, CURVATURA PEQUENA 18-19 CM.</t>
  </si>
  <si>
    <t>PINZA CASTROVIEJO, 1 X 2 DIENTES, 0.12 MM, 10 CM DE LONGITUD</t>
  </si>
  <si>
    <t>PINZA CASTROVIEJO, 1 X 2 DIENTES, 0.3 MM,  10 CM DE LONGITUD</t>
  </si>
  <si>
    <t>PINZA CLAMP PARA LIGADURA DE DE BAKEY, 15-16 CM DE LONGITUD</t>
  </si>
  <si>
    <t>PINZA CLAMP PARA LIGADURA DE DE BAKEY, 24-26 CM DE LONGITUD</t>
  </si>
  <si>
    <t>PINZA PARA SUTURA CASTROVIEJO 0.12 MM</t>
  </si>
  <si>
    <t>PINZA PARA SUTURA CASTROVIEJO 0.5 MM.</t>
  </si>
  <si>
    <t>PINZA PORTA AGUJA CASTROVIEJO, CURVO, DE 14-15 CM DE LONGITUD, CON FIJACIÓN</t>
  </si>
  <si>
    <t>PINZA PORTA AGUJA CASTROVIEJO, CURVO, DE 14-15 CM DE LONGITUD, SIN FIJACIÓN</t>
  </si>
  <si>
    <t>PINZA PORTA AGUJA CASTROVIEJO, CURVO, DE 17-18 CM DE LONGITUD, CON FIJACIÓN</t>
  </si>
  <si>
    <t>PINZA PORTA AGUJA CASTROVIEJO, CURVO, DE 9-10 CM DE LONGITUD</t>
  </si>
  <si>
    <t>PINZA PORTA AGUJA CASTROVIEJO, RECTO, DE 14-15 CM DE LONGITUD, CON FIJACIÓN</t>
  </si>
  <si>
    <t>PINZA PORTA AGUJA CASTROVIEJO, RECTO, DE 14-15 CM DE LONGITUD, SIN FIJACIÓN</t>
  </si>
  <si>
    <t>PINZA PORTA AGUJA CASTROVIEJO, RECTO, DE 17-18 CM DE LONGITUD, CON FIJACIÓN</t>
  </si>
  <si>
    <t>PINZA PORTA AGUJA CASTROVIEJO, RECTO, DE 9-10 CM DE LONGITUD</t>
  </si>
  <si>
    <t>PINZA PORTA AGUJA CRILE WOOD, MODELO FINO, 15-18 CM DE LONGITUD</t>
  </si>
  <si>
    <t>PINZA PORTA AGUJA CRILLE WOOD, RECTO, DE 14-16 CM DE LONGITUD</t>
  </si>
  <si>
    <t>PINZA PORTA AGUJA CRILLE WOOD, RECTO, DE 18-20 CM DE LONGITUD</t>
  </si>
  <si>
    <t>PINZA PORTA AGUJA CRILLE WOOD, RECTO, DE 22-25 CM DE LONGITUD</t>
  </si>
  <si>
    <t>PINZA PORTA AGUJA DEBAKEY, DE 16-18 CM DE LONGITUD</t>
  </si>
  <si>
    <t>PINZA PORTA AGUJA DEBAKEY, DE 22-25 CM DE LONGITUD</t>
  </si>
  <si>
    <t>PINZA PORTA AGUJA DEBAKEY, DE 28-30 CM DE LONGITUD</t>
  </si>
  <si>
    <t>PINZA PORTA AGUJA DERF, BOCA ESTRIADA, DE 10-14 CM DE LONGITUD</t>
  </si>
  <si>
    <t>PINZA PORTA AGUJA FINOCHIETO, DE 20-23 CM DE LONGITUD</t>
  </si>
  <si>
    <t>PINZA PORTA AGUJA FINOCHIETO, DE 25-27 CM DE LONGITUD</t>
  </si>
  <si>
    <t>PINZA PORTA AGUJA HALSEY, DE 13-15 CM DE LONGITUD</t>
  </si>
  <si>
    <t>PINZA PORTA AGUJA HEGAR, CON RANURA EN LA BOCA, 12-15 CM DE LONGITUD</t>
  </si>
  <si>
    <t>PINZA PORTA AGUJA HEGAR, CON RANURA EN LA BOCA, DE 22-25 CM DE LONGITUD</t>
  </si>
  <si>
    <t>PINZA PORTA AGUJA HEGAR, SIN RANURA EN LA BOCA, 12-15 CM DE LONGITUD</t>
  </si>
  <si>
    <t>PINZA PORTA AGUJA HEGAR, SIN RANURA EN LA BOCA, DE 22-25 CM DE LONGITUD</t>
  </si>
  <si>
    <t>PINZA PORTA AGUJA MAYO HEGAR, CON PLACAS DE CARBURO DE TUNGSTENO, DE 17-20 CM DE LONGITUD</t>
  </si>
  <si>
    <t>PINZA PORTA AGUJA MAYO HEGAR, MODELO CORRIENTE, DE 15-18 CM DE LONGITUD</t>
  </si>
  <si>
    <t>PINZA PORTA AGUJA MAYO HEGAR, MODELO CORRIENTE, DE 22-25 CM DE LONGITUD</t>
  </si>
  <si>
    <t>PINZA PORTA AGUJA RYDER DE 17-18 CM DE LARGO.</t>
  </si>
  <si>
    <t>PINZA PORTA AGUJA RYDER, 13-14 CM DE LARGO.</t>
  </si>
  <si>
    <t>PINZA PORTA AGUJA RYDER, CON PLACAS DE CARBURO DE TUNGSTENO, 17-18 CMDE LARGO</t>
  </si>
  <si>
    <t>PINZA PORTA AGUJA RYDER BOCA 5/0 DIAMANTE, LONGITUD 18 CM, DE ACERO INOXIDABLE</t>
  </si>
  <si>
    <t>PINZA PORTA AGUJA BABY CRILE- WOOD, BOCA 0.4MM,  LONGITUD 15CM,  DE ACERO INOXIDABLE CON INSERTO DE TUNGSTENO</t>
  </si>
  <si>
    <t>PINZA PORTA AGUJA DEBAKEY, BOCA 0.4 MM LONGITUD DE 25 A 26 CM, DE ACERO INOXIDABLE CON INSERTO DE TUNGSTENO.</t>
  </si>
  <si>
    <t>PINZA PORTA AGUJA DEBAKEY BOCA 0.4 MM LONGITUD DE 30 A 31 CM, DE ACEROINOXIDABLE CON INSERTO DE TUNGSTENO.</t>
  </si>
  <si>
    <t>PINZA PORTA AGUJAS DEBAKEY, BOCA 0.4 MM, LONGITUD DE 18 CM, ACERO INOXIDABLECON INSERTO DE TUNGSTENO</t>
  </si>
  <si>
    <t>PINZA PORTA AGUJA DEBAKEY BOCA 0.4 MM LONGITUD DE 15 CM, ACERO INOXIDABLE CON INSERTO DE TUNGSTENO.</t>
  </si>
  <si>
    <t>PINZA PORTA ALAMBRE LONGITUD 180 A 190 MM, DE ACERO INOXIDABLE CON INSERTO DE TUNGSTENO</t>
  </si>
  <si>
    <t>PINZA HEMOSTÁTICA PEAN, CURVA, 25-30 CM DE LONGITUD</t>
  </si>
  <si>
    <t>PINZA HALSTED MOSQUITO, CURVA, DE 20-22 CM DE LONGITUD</t>
  </si>
  <si>
    <t>PINZA HALSTED MOSQUITO, RECTA, DE 20-22 CM DE LONGITUD</t>
  </si>
  <si>
    <t>PINZA HEMOSTÁTICA CRILE O CRILE-RANKIN, CURVA, DE 14-16 CM DE LONGITUD</t>
  </si>
  <si>
    <t>PINZA HEMOSTÁTICA CRILE O CRILE-RANKIN, RECTA, DE 14-16 CM DE LONGITUD</t>
  </si>
  <si>
    <t>PINZA HEMOSTÁTICA HALSTEAD (MOSQUITO), CURVA, 8 - 12 CM DE LONGITUD</t>
  </si>
  <si>
    <t>PINZA HEMOSTÁTICA HALSTEAD (MOSQUITO), RECTA, 8 - 12 CM DE LONGITUD</t>
  </si>
  <si>
    <t>PINZA HEMOSTÁTICA HALSTEAD, CURVA, 18 - 20 CM DE LONGITUD</t>
  </si>
  <si>
    <t>PINZA HEMOSTÁTICA HALSTEAD, RECTA, 18 - 20 CM DE LONGITUD</t>
  </si>
  <si>
    <t>PINZA HEMOSTÁTICA KELLY, CURVA, DE 13 - 15 CM DE LONGITUD</t>
  </si>
  <si>
    <t>PINZA HEMOSTÁTICA KELLY, RECTA, DE 13 - 15 CM DE LONGITUD</t>
  </si>
  <si>
    <t>PINZA HEMOSTÁTICA PARA AMÍGDALA SCHINDT-BOETTCHER, 18 - 20 CM DE LONGITUD</t>
  </si>
  <si>
    <t>PINZA HEMOSTÁTICA PEAN, CURVA, 25 - 30 CM DE LONGITUD</t>
  </si>
  <si>
    <t>PINZA HEMOSTÁTICA PEAN, CURVA, 13 - 15 CM DE LONGITUD</t>
  </si>
  <si>
    <t>PINZA HEMOSTÁTICA PEAN, RECTA, 13 - 15 CM DE LONGITUD</t>
  </si>
  <si>
    <t>PINZA HEMOSTÁTICA PEAN, RECTA, 20 - 22 CM DE LONGITUD</t>
  </si>
  <si>
    <t>PINZA MURPHY, CURVA 10 - 12 CM DE LONGITUD</t>
  </si>
  <si>
    <t>PINZA MURPHY, CURVA 15 - 18 CM DE LONGITUD</t>
  </si>
  <si>
    <t>PINZA MURPHY, RECTA 10 - 12 CM DE LONGITUD</t>
  </si>
  <si>
    <t>PINZA MURPHY, RECTA 15 - 18 CM DE LONGITUD</t>
  </si>
  <si>
    <t>PINZA ROCHESTER PEAN, RECTA DE 25 - 30 CM DE LONGITUD</t>
  </si>
  <si>
    <t>PINZA DE DISECCIÓN TIPO HEMOSTÁTICA SIN ESTRÍAS CURVA, CON QUIJADAS PLANAS Y PUNTA MUY FINA, AGUDIZADA, LONGITUD DE 14 CM.</t>
  </si>
  <si>
    <t>PINZA HEMOSTÁTICA ROCHESTER-PEAN RECTA. LONGITUD DE 22 A 23 CM. DE ACERO INOXIDABLE</t>
  </si>
  <si>
    <t>PINZA HEMOSTÁTICA ROCHESTER-PEAN CURVA. LONGITUD DE  22 A 23 CM. DE ACERO INOXIDABLE</t>
  </si>
  <si>
    <t>PINZA HEMOSTÁTICA KOCHER-OCHSNER RECTA 1 X 2. LONGITUD DE 22 A 23 CM.DE ACERO INOXIDABLE</t>
  </si>
  <si>
    <t>PINZA HEMOSTÁTICA KOCHER-OCHSNER CURVA 1 X 2. LONGITUD DE 22 A 23 CM DE ACERO INOXIDABLE</t>
  </si>
  <si>
    <t>PINZA HEMOSTÁTICA DANDY, CURVA, SIN GARRA DE 13 A 15 CM DE LONGITUD</t>
  </si>
  <si>
    <t>PINZAS HEMOSTÁTICAS HALSTED, RECTA DELICADA, CON GARRA 1 X 2, LONGITUDDE 18 - 19 CM.</t>
  </si>
  <si>
    <t>PINZA HEMOSTÁTICA HALSTED, CURVA DELICADA, LONGITUD DE 18 - 19 CM</t>
  </si>
  <si>
    <t>CLAMP DE FIJACIÓN PARA DERIVACIÓN DE CARÓTIDA BORST, ENTRE 21 Y 22 CMDE LONGITUD TOTAL</t>
  </si>
  <si>
    <t>DISPOSITIVO DE ASISTENCIA PARA ANASTOMOSIS VASCULAR PROXIMAL PARA REVASCULARIZACIÓN CORONARIA. KIT QUE CONSTA DEL DISPOSITIVO, ACTIVADOR, AGUJA Y PUNCH AÓRTICO</t>
  </si>
  <si>
    <t>PINZA DE DISECCIÓN CON CARBURO DE TUNGSTENO ESTÁNDAR DE 13CM</t>
  </si>
  <si>
    <t>PINZA CLAMP BULLDOG TIPO DEBAKEY, CURVA, EN FORMA DE S, DENTADO, ATRAUMÁTICA, BLOQUEO CON CREMALLERA, LONGITUD DE BOCA DE 53 MM, LONGITUD TOTAL DE 12 - 13 CM.</t>
  </si>
  <si>
    <t>PINZA CLAMP BULLDOG, TIPO DEBAKEY, CON ÁNGULO DE 45°, DENTADO, ATRAUMÁTICO, MANGO CON ANILLOS, BLOQUEO CON CREMALLERA, LONGITUD DE 12 - 13 CM.</t>
  </si>
  <si>
    <t>PINZA CLAMP BULLDOG, TIPO DEBAKEY, CON ÁNGULO DE 90°, DENTADO, ATRAUMÁTICA, MANGO CON ANILLOS, BLOQUEO CON CREMALLERA, LONGITUD DE 10 - 11 CM.</t>
  </si>
  <si>
    <t>PINZA VASCULAR COOLEY, ATRAUMÁTICA, ANGULADA 90°, PATRÓN PEDIÁTRICO ,DENTADO DEBAKEY, LONGITUD DE MANDÍBULA DE 30 MM , LONGITUD TOTAL DE 15CM.</t>
  </si>
  <si>
    <t>PINZA VASCULAR COOLEY, ATRAUMÁTICA, ANGULADA 60 °, PATRÓN PEDIÁTRICO ,DENTADO DEBAKEY, LONGITUD DE MANDÍBULA DE 30 MM , LONGITUD TOTAL DE 15- 16 CM.</t>
  </si>
  <si>
    <t>PINZA VASCULAR COOLEY, ATRAUMÁTICA, PATRÓN PEDIÁTRICO, CON ÁNGULO DE 30°, LONGITUD DE MANDÍBULA DE 30 MM, LONGITUD TOTAL DE 16 - 17 CM.</t>
  </si>
  <si>
    <t>CLAMP BULLDOG DEBAKEY, CURVO, 50 MM DE LONGITUD TOTAL</t>
  </si>
  <si>
    <t>CLAMP BULLDOG DEBAKEY, CURVO, 80 MM DE LONGITUD TOTAL</t>
  </si>
  <si>
    <t>CLAMP BULLDOG DEBAKEY, CURVO, 90 MM DE LONGITUD TOTAL</t>
  </si>
  <si>
    <t>CLAMP BULLDOG DEBAKEY, RECTO, 50 MM DE LONGITUD TOTAL</t>
  </si>
  <si>
    <t>CLAMP BULLDOG DEBAKEY, RECTO, 105 MM DE LONGITUD TOTAL</t>
  </si>
  <si>
    <t>CLAMP BULLDOG DEBAKEY, CURVO, 68 MM DE LONGITUD TOTAL</t>
  </si>
  <si>
    <t>CLAMP BULLDOG DEBAKEY, CURVO, 75 MM DE LONGITUD TOTAL</t>
  </si>
  <si>
    <t>CLAMP BULLDOG DEBAKEY, CURVO, 100 MM DE LONGITUD TOTAL</t>
  </si>
  <si>
    <t>CLAMP BULLDOG DEBAKEY, CURVO, 120 MM DE LONGITUD TOTAL</t>
  </si>
  <si>
    <t>CLAMP BULLDOG DEBAKEY, CURVO, 125 MM DE LONGITUD TOTAL</t>
  </si>
  <si>
    <t>CLAMP BULLDOG DEBAKEY, RECTO, 75 MM DE LONGITUD TOTAL</t>
  </si>
  <si>
    <t>CLAMP BULLDOG DE DEBAKEY, RECTO, 90 MM DE LONGITUD TOTAL</t>
  </si>
  <si>
    <t>CLAMP BULLDOG DEBAKEY, RECTO, 125 MM DE LONGITUD TOTAL</t>
  </si>
  <si>
    <t>CLAMP BULLDOG GLOVER, CURVO, 60 MM DE LONGITUD TOTAL</t>
  </si>
  <si>
    <t>CLAMP BULLDOG GLOVER, CURVO, 90 MM DE LONGITUD TOTAL</t>
  </si>
  <si>
    <t>CLAMP BULLDOG GLOVER, CURVO, 65-70 MM DE LONGITUD TOTAL</t>
  </si>
  <si>
    <t>CLAMP BULLDOG DEBAKEY, CURVO, 3 3/8" DE LONGITUD TOTAL</t>
  </si>
  <si>
    <t>CLAMP BULLDOG GLOVER, CURVO, 95-100 MM DE LONGITUD TOTAL</t>
  </si>
  <si>
    <t>CLAMP BULLDOG GLOVER, RECTO, 60 MM DE LONGITUD TOTAL</t>
  </si>
  <si>
    <t>CLAMP BULLDOG DEBAKEY, CURVO, 4 1/8" DE LONGITUD TOTAL</t>
  </si>
  <si>
    <t>CLAMP BULLDOG GLOVER, RECTO, 68 MM DE LONGITUD TOTAL</t>
  </si>
  <si>
    <t>CLAMP BULLDOG GLOVER, RECTO, 90 MM DE LONGITUD TOTAL</t>
  </si>
  <si>
    <t>CLAMP BULLDOG GLOVER, RECTO, 95 MM DE LONGITUD TOTAL</t>
  </si>
  <si>
    <t>CLAMP BULLDOG GLOVER, RECTO, 115 MM DE LONGITUD TOTAL</t>
  </si>
  <si>
    <t>CLAMP BULLDOG GLOVER, RECTO, 65-70 MM DE LONGITUD TOTAL</t>
  </si>
  <si>
    <t>CLAMP BULLDOG GLOVER, RECTO, 95-100 MM DE LONGITUD TOTAL</t>
  </si>
  <si>
    <t>CLAMP BULLDOG GLOVER, ANGULADO 75º, 2 3/8" DE LONGITUD TOTAL</t>
  </si>
  <si>
    <t>CLAMP BULLDOG GREGORY EN ÁNGULO, LARGO TOTAL 90-95 MM</t>
  </si>
  <si>
    <t>CLAMP BULLDOG GREGORY EN ÁNGULO, LARGO TOTAL 110-115 MM</t>
  </si>
  <si>
    <t>CLAMP BULLDOG JOHNS HOPKINS, CURVO, 50 MM DE LONGITUD TOTAL</t>
  </si>
  <si>
    <t>CLAMP BULLDOG JOHNS HOPKINS, CURVO, 55 MM DE LONGITUD TOTAL</t>
  </si>
  <si>
    <t>CLAMP BULLDOG JOHNS HOPKINS, CURVO, 60 MM DE LONGITUD TOTAL</t>
  </si>
  <si>
    <t>CLAMP BULLDOG JOHNS HOPKINS, RECTO, 50 MM DE LONGITUD TOTAL</t>
  </si>
  <si>
    <t>CLAMP BULLDOG JOHNS HOPKINS, RECTO, 55 MM DE LONGITUD TOTAL</t>
  </si>
  <si>
    <t>CLAMP BULLDOG JOHNS HOPKINS, RECTO, 60 MM DE LONGITUD TOTAL</t>
  </si>
  <si>
    <t>CLAMP BULLDOG, CURVO, 75 MM DE LONGITUD TOTAL</t>
  </si>
  <si>
    <t>CLAMP DE COLUMELA COTTLE, DE 10-11 CM DE LONGITUD</t>
  </si>
  <si>
    <t>CLAMP SELVERSTONE, PARA OCLUSION DE ARTERIA CARÓTIDA, TAMAÑO GRANDE</t>
  </si>
  <si>
    <t>MINI PINZA  ATRAUMÁTICA  PARA RECIEN  NACIDOS;  MEDIANA.</t>
  </si>
  <si>
    <t>MINI PINZA  ATRAUMÁTICA  PARA  RECIEN  NACIDOS;  PEQUEÑA.</t>
  </si>
  <si>
    <t>MINI PINZA ATRAUMÁTICA PARA RECIEN NACIDOS; GRANDE</t>
  </si>
  <si>
    <t>PINZA  PARA AORTA Y ARTERIA ILIACA  ATRAUMÁTICA   DEBAKEY 25.5 CM. CURVA.</t>
  </si>
  <si>
    <t>PINZA ARTERIAL RUMELL, CURVA "A", 23-25 CM DE LONGITUD</t>
  </si>
  <si>
    <t>PINZA ARTERIAL RUMELL, CURVA "B", 23-25 CM DE LONGITUD</t>
  </si>
  <si>
    <t>PINZA ARTERIAL RUMELL, CURVA "C", 23-25 CM DE LONGITUD</t>
  </si>
  <si>
    <t>PINZA ARTERIAL RUMELL, CURVA "D", 23-25 CM DE LONGITUD</t>
  </si>
  <si>
    <t>PINZA CLAMP COOLEY MULTIPROPÓSITO, ÁNGULO DE 30º, 16 CM DE LONGITUD TOTAL</t>
  </si>
  <si>
    <t>PINZA CLAMP COOLEY MULTIPROPÓSITO, ÁNGULO DE 30º, 20 CM DE LONGITUD TOTAL</t>
  </si>
  <si>
    <t>PINZA CLAMP COOLEY MULTIPROPÓSITO, ÁNGULO DE 60º, 14 CM DE LONGITUD TOTAL</t>
  </si>
  <si>
    <t>PINZA CLAMP COOLEY MULTIPROPÓSITO, ÁNGULO DE 60º, 16 CM DE LONGITUD TOTAL</t>
  </si>
  <si>
    <t>PINZA CLAMP COOLEY MULTIPROPÓSITO, ÁNGULO DE 60º, 20 CM DE LONGITUD TOTAL</t>
  </si>
  <si>
    <t>PINZA CLAMP COOLEY MULTIPROPÓSITO, ÁNGULO DE 90º, 16  CM DE LONGITUD TOTAL</t>
  </si>
  <si>
    <t>PINZA CLAMP COOLEY MULTIPROPÓSITO, ÁNGULO DE 90º, BOCA GRADUADA, 14 CMDE LONGITUD TOTAL</t>
  </si>
  <si>
    <t>PINZA CLAMP COOLEY MULTIPROPÓSITO, RECTA, 16 CM DE LONGITUD TOTAL</t>
  </si>
  <si>
    <t>PINZA CLAMP DEBAKEY CLASSIC, ÁNGULO DE 90º, 9-10 CM DE LONGITUD TOTAL</t>
  </si>
  <si>
    <t>PINZA CLAMP DEBAKEY, 1 X 2 DIENTES VASCULARES, 25-28 CM DE LONGITUD TOTAL</t>
  </si>
  <si>
    <t>PINZA CLAMP DEBAKEY, 1 X 2 DIENTES VASCULARES, 28-30 CM DE LONGITUD TOTAL</t>
  </si>
  <si>
    <t>PINZA CLAMP PARA ANASTOMOSIS COOLEY, ÁNGULO DE 90º, 16-17 CM DE LONGITUD</t>
  </si>
  <si>
    <t>PINZA CLAMP PARA ANASTOMOSIS COOLEY-DERRA, 16-17 CM DE LONGITUD</t>
  </si>
  <si>
    <t>PINZA CLAMP PARA ANASTOMOSIS COOLEY-DERRA, 18-19 CM DE LONGITUD</t>
  </si>
  <si>
    <t>PINZA CLAMP PARA ANASTOMOSIS GLOVER, CURVATURA DE 44-47 MM, LONGITUD TOTAL DE 18-20 CM</t>
  </si>
  <si>
    <t>PINZA CLAMP PARA ANASTOMOSIS GLOVER, CURVATURA DE 63-65 MM, LONGITUD TOTAL DE 21-24 CM</t>
  </si>
  <si>
    <t>PINZA CLAMP PARA AORTA DIETRICH, 20-22 CM DE LONGITUD</t>
  </si>
  <si>
    <t>PINZA CLAMP PARA AORTA OCHSNER, 24-26 CM DE LONGITUD TOTAL</t>
  </si>
  <si>
    <t>PINZA CLAMP SATINSKY, LONGITUD DE QUIJADA DE 55-57 MM, LONGITUD TOTAL15-16 CM</t>
  </si>
  <si>
    <t>PINZA CLAMP SATINSKY, LONGITUD DE QUIJADA DE 55-58 MM, LONGITUD TOTAL24-26 CM</t>
  </si>
  <si>
    <t>PINZA CLAMP SATINSKY, LONGITUD DE QUIJADA DE 62-65 MM, LONGITUD TOTAL15-16 CM</t>
  </si>
  <si>
    <t>PINZA CLAMP SATINSKY, LONGITUD DE QUIJADA DE 62-65 MM, LONGITUD TOTAL24-26 CM</t>
  </si>
  <si>
    <t>PINZA CLAMP SATINSKY, LONGITUD DE QUIJADA DE 67-70 MM, LONGITUD TOTAL24-26 CM</t>
  </si>
  <si>
    <t>PINZA CLAMP VASCULAR LELAND JONES, CURVA, DE 18-20 CM DE LONGITUD</t>
  </si>
  <si>
    <t>PINZA DE DISECCIÓN DEBAKEY, ANGULADA A 40º, PUNTA FINA, 15 CM DE LONGITUD TOTAL</t>
  </si>
  <si>
    <t>PINZA DE DISECCIÓN DE BAKEY, RECTA, PUNTA FINA, 20 CM DE LONGITUD TOTAL</t>
  </si>
  <si>
    <t>PINZA DE DISECCIÓN DEBAKEY, RECTA, PUNTA REGULAR, 20 CM DE LONGITUD TOTAL</t>
  </si>
  <si>
    <t>PINZA DE DISECCIÓN DEBAKEY, ANGULADA A 40º, PUNTA FINA, 20 CM DE LONGITUD TOTAL</t>
  </si>
  <si>
    <t>PINZA DE DISECCIÓN DEBAKEY, ANGULADA, PUNTA FINA, 30 CM DE LONGITUD TOTAL</t>
  </si>
  <si>
    <t>PINZA DE DISECCIÓN DEBAKEY, RECTA, PUNTA FINA, 15 CM DE LONGITUD TOTAL</t>
  </si>
  <si>
    <t>PINZA DE DISECCIÓN DEBAKEY, RECTA, PUNTA FINA, 23 CM DE LONGITUD TOTAL</t>
  </si>
  <si>
    <t>PINZA DE DISECCIÓN DEBAKEY, RECTA, PUNTA REGULAR, 15 CM DE LONGITUD TOTAL</t>
  </si>
  <si>
    <t>PINZA DE DISECCIÓN PARA PULMÓN NELSON 7 X 6  GARRAS, 15 CM</t>
  </si>
  <si>
    <t>PINZA DE DISECCIÓN POTTS SMITH, GARRA 1 X 2, 18-20 CM DE LONGITUD</t>
  </si>
  <si>
    <t>PINZA DE DISECCIÓN POTTS SMITH, GARRA 1 X 2, 21-23 CM DE LONGITUD</t>
  </si>
  <si>
    <t>PINZA DE DISECCIÓN POTTS SMITH, SIN GARRAS, 18-20 CM DE LONGITUD</t>
  </si>
  <si>
    <t>PINZA DE DISECCIÓN POTTS SMITH, SIN GARRAS, 21-23 CM DE LONGITUD</t>
  </si>
  <si>
    <t>PINZA DE DISECCIÓN POTTS SMITH, SIN GARRAS, 24-26 CM DE LONGITUD</t>
  </si>
  <si>
    <t>PINZA PARA ANEURISMA AÓRTICA ATRAUMATICA DEBAKEY, 25 CM. MEDIA CURVA.</t>
  </si>
  <si>
    <t>PINZA PARA ANEURISMA AÓRTICO DEBAKEY, MEDIA CURVA, 30 CM DE LONGITUD TOTAL</t>
  </si>
  <si>
    <t>PINZA PARA ARTERIA Y TEJIDOS COLLIN (TUMORES) BOCA OVALADA 16 CM</t>
  </si>
  <si>
    <t>PINZA PARA OCLUSIÓN TANGENCIAL DEBAKEY, ANCHO DE BOCA DE 35 MM, LONGITUD TOTAL DE 20-21 CM</t>
  </si>
  <si>
    <t>PINZA PARA OCLUSIÓN TANGENCIAL DE DE "De BAKEY", ANCHO DE BOCA DE 60 MM, PROFUNDIDAD DE 14-15 MM, LONGITUD TOTAL DE 26-27 CM</t>
  </si>
  <si>
    <t>PINZA PARA PULMÓN DUVAL, DE 18-21 CM DE LONGITUD</t>
  </si>
  <si>
    <t>PINZA PARA PULMÓN DUVAL, DE 23-25 CM DE LONGITUD</t>
  </si>
  <si>
    <t>PINZA PARA TEJIDOS COLLIN DUVAL, DE 18 CM DE LONGITUD</t>
  </si>
  <si>
    <t>PINZA PARA TEJIDOS COLLIN DUVAL, DE 20 CM DE LONGITUD</t>
  </si>
  <si>
    <t>PINZA PARA TEJIDOS COLLIN DUVAL, DE 22 CM DE LONGITUD</t>
  </si>
  <si>
    <t>PINZA POTTS, ANGULADA, DE 19-21 CM DE LONGITUD</t>
  </si>
  <si>
    <t>PINZA POTTS, ANGULADA, DE 22-24 CM DE LONGITUD</t>
  </si>
  <si>
    <t>PINZA POTTS, RECTA, DE 19-21 CM DE LONGITUD</t>
  </si>
  <si>
    <t>PINZA VASCULAR DEBAKEY, MANDÍBULA DE 50 MM, LONGITUD TOTAL DE 22-24 CM</t>
  </si>
  <si>
    <t>CLAMP BULLDOG DEBAKEY ATRAUMÁTICO. ÁNGULO DE 55° MANDÍBULA DE 20 MM. LONGITUD DE 55 MM, DE ACERO INOXIDABLE</t>
  </si>
  <si>
    <t>CLAMP BULLDOG DEBAKEY ATRAUMÁTICO. ÁNGULO DE 55° MANDÍBULA DE 10 MM. LONGITUD DE 55 MM, DE ACERO INOXIDABLE</t>
  </si>
  <si>
    <t>CLAMP VASCULAR DEBAKEY ATRAUMÁTICO. ÁNGULO DE 60° BOCA DE 77 MM, LONGITUD DE 180 MM, DE ACERO INOXIDABLE</t>
  </si>
  <si>
    <t>CLAMP VASCULAR  DE OCLUSIÓN TANGENCIAL DEBAKEY, BOCA DE 38 MM, LONGITUD DE 220 MM, DE ACERO INOXIDABLE</t>
  </si>
  <si>
    <t>CLAMP VASCULAR  DE OCLUSIÓN TANGENCIAL DEBAKEY, BOCA DE 48 MM, LONGITUD DE 260 A 270 MM, DE ACERO INOXIDABLE</t>
  </si>
  <si>
    <t>CLAMP VASCULAR  DE OCLUSIÓN TANGENCIAL DEBAKEY BOCA DE 75 MM, LONGITUDDE 280 MM, DE ACERO INOXIDABLE</t>
  </si>
  <si>
    <t>PINZA CORTANTE INTERVERTEBRAL CUSHING, RECTA , COPA DE 2 X 10 MM</t>
  </si>
  <si>
    <t>PINZA CORTANTE PARA LAMINECTOMÍA CLOWARD, CORTE HACIA ARRIBA, 5"-6" DELONGITUD</t>
  </si>
  <si>
    <t>PINZA GUBIA RUSKIN, CURVA, MORDIDA DE 6 MM, DE 18-20 CM DE LONGITUD</t>
  </si>
  <si>
    <t>GUBIA STILLE RECTA 1.5 CM, LONGITUD DE  20 A 21 CM.</t>
  </si>
  <si>
    <t>PINZA GUBIA WEIL-BLAKESLEY, RECTA, OVALADA, FENESTRADA. ANCHO DE 4.0 A4.2 MM, LONGITUD DE 12 CM.</t>
  </si>
  <si>
    <t>PINZA GUBIA WEIL-BLAKESLEY, 140° CORTE HACIA ARRIBA, OVALADA, FENESTRADA, ANCHO DE 4.0 - 4.2 MM, LONGITUD DE 11 - 12 CM.</t>
  </si>
  <si>
    <t>PINZA CORTANTE DE HUESO INTERVERTEBRAL JACKSON, CURVA HACIA ARRIBA, COPA DE 4 X 8 MM</t>
  </si>
  <si>
    <t>PINZA CORTANTE DE HUESO PARA LAMINECTOMÍA KERRISON, CORTE DE 40º HACIAARRIBA, MORDIDA DE 5 MM</t>
  </si>
  <si>
    <t>PINZA CORTANTE DE HUESO PARA LAMINECTOMÍA KERRISON, CORTE DE 90º HACIAABAJO, MORDIDA DE 6 MM</t>
  </si>
  <si>
    <t>PINZA CORTANTE DE HUESO PARA LAMINECTOMÍA KERRISON, CORTE DE 90º HACIAARRIBA, MORDIDA DE 2 MM</t>
  </si>
  <si>
    <t>PINZA CORTANTE DE HUESO PARA LAMINECTOMÍA KERRISON, CORTE DE 90º HACIAARRIBA, MORDIDA DE 3 MM</t>
  </si>
  <si>
    <t>PINZA CORTANTE DE HUESO PARA LAMINECTOMÍA KERRISON, CORTE DE 90º HACIAARRIBA, MORDIDA DE 4 MM</t>
  </si>
  <si>
    <t>PINZA CORTANTE DE HUESO PARA LAMINECTOMÍA KERRISON, CORTE DE 90º HACIAARRIBA, MORDIDA DE 5 MM</t>
  </si>
  <si>
    <t>PINZA CORTANTE DE HUESO PARA LAMINECTOMÍA MICRO KERRISON, CORTE AL LADO, MORDIDA DE 2 MM, LONGITUD DE TALLO DE 18-20CM</t>
  </si>
  <si>
    <t>PINZA CORTANTE DE HUESO PARA LAMINECTOMÍA MICRO KERRISON, CORTE ANGULADO 40° HACIA ABAJO, MORDIDA DE 2 MM</t>
  </si>
  <si>
    <t>PINZA CORTANTE DE HUESO PARA LAMINECTOMÍA MICRO KERRISON, CORTE DE 40ºHACIA ARRIBA, MORDIDA DE 2 MM LONGITUD DE TALLO DE 18-20CM</t>
  </si>
  <si>
    <t>PINZA CORTANTE DE HUESO PARA LAMINECTOMÍA MICRO KERRISON, CORTE DE 90ºHACIA ABAJO, MORDIDA DE 2 MM LONGITUD DE TALLO DE 18-20CM</t>
  </si>
  <si>
    <t>PINZA CORTANTE DE HUESO PARA LAMINECTOMÍA MICRO KERRISON, CORTE DE 90ºHACIA ARRIBA, MORDIDA DE 2 MM LONGITUD DE TALLO DE 18-20CM</t>
  </si>
  <si>
    <t>PINZA CORTANTE ETMOIDAL WEIL-BLAKESLEY, ANGULADA, COPA DE 3.6 MM</t>
  </si>
  <si>
    <t>PINZA CORTANTE ETMOIDAL WEIL-BLAKESLEY, RECTA, COPA DE 3.6 MM</t>
  </si>
  <si>
    <t>PINZA CORTANTE ETMOIDAL WEIL-BLAKESLEY, RECTA, COPA DE 4.8 MM</t>
  </si>
  <si>
    <t>PINZA CORTANTE FERRIS SMITH KERRISON, CORTE HACIA ABAJO  DE 3 MM</t>
  </si>
  <si>
    <t>PINZA CORTANTE FERRIS SMITH KERRISON, CORTE HACIA ABAJO  DE 5 MM</t>
  </si>
  <si>
    <t>PINZA CORTANTE FERRIS SMITH KERRISON, CORTE HACIA ARRIBA DE 3 MM</t>
  </si>
  <si>
    <t>PINZA CORTANTE FERRIS SMITH KERRISON, CORTE HACIA ARRIBA DE 5 MM</t>
  </si>
  <si>
    <t>PINZA CORTANTE FERRIS SMITH KERRISON, CORTE HACIA ARRIBA, CORTE DE 2 MM</t>
  </si>
  <si>
    <t>PINZA CORTANTE FERRIS SMITH KERRISON, CORTE HACIA ARRIBA, CORTE DE 4 MM</t>
  </si>
  <si>
    <t>PINZA CORTANTE INTERVERTEBRAL CUSHING, ANGULADA HACIA ABAJO, COPA DE 2X 10 MM</t>
  </si>
  <si>
    <t>PINZA CORTANTE INTERVERTEBRAL CUSHING, ANGULADA HACIA ARRIBA, COPA DE2 X 10 MM</t>
  </si>
  <si>
    <t>PINZA CORTANTE INTERVERTEBRAL FERRIS SMITH, CURVA HACIA ABAJO, COPA DE4 X 10 MM</t>
  </si>
  <si>
    <t>PINZA CORTANTE INTERVERTEBRAL FERRIS SMITH, CURVA HACIA ARRIBA, COPA DE 2 X 10 MM</t>
  </si>
  <si>
    <t>PINZA CORTANTE INTERVERTEBRAL OLDBERG, COPA DE 3 MM</t>
  </si>
  <si>
    <t>PINZA CORTANTE INTERVERTEBRAL OLDBERG, COPA DE 6 MM</t>
  </si>
  <si>
    <t>PINZA CORTANTE LOVE GRUENWALD, ANGULADA HACIA ABAJO, MORDIDA DE 3 X 10MM</t>
  </si>
  <si>
    <t>PINZA CORTANTE LOVE GRUENWALD, ANGULADA HACIA ARRIBA, MORDIDA DE 3 X 10 MM</t>
  </si>
  <si>
    <t>PINZA CORTANTE LOVE GRUENWALD, CORTE RECTO, MORDIDA DE 3 X 10 MM</t>
  </si>
  <si>
    <t>PINZA CORTANTE PARA BIOPSIA RECTAL, MORDIDA DE 19 MM, LONGITUD DE 41 A43 CM</t>
  </si>
  <si>
    <t>PINZA CORTANTE PARA DISECTOMIA WILLIAMS, MORDIDA DE 2 MM</t>
  </si>
  <si>
    <t>PINZA CORTANTE PARA LAMINECTOMÍA CLOWARD, CORTE HACIA ABAJO, 12-15 CMDE LONGITUD</t>
  </si>
  <si>
    <t>PINZA CORTANTE PARA LAMINECTOMÍA CLOWARD, CORTE HACIA ARRIBA, 12-15 CMDE LONGITUD</t>
  </si>
  <si>
    <t>PINZA CORTANTE PARA LAMINECTOMÍA KERRISON, CORTE DE 40º HACIA ARRIBA,MORDIDA DE 2 MM</t>
  </si>
  <si>
    <t>PINZA CORTANTE PARA LAMINECTOMÍA KERRISON, CORTE DE 40º HACIA ARRIBA,MORDIDA DE 3 MM</t>
  </si>
  <si>
    <t>PINZA CORTANTE PARA LAMINECTOMÍA KERRISON, CORTE DE 40º HACIA ARRIBA,MORDIDA DE 4 MM</t>
  </si>
  <si>
    <t>PINZA CORTANTE PARA LAMINECTOMÍA KERRISON, CORTE DE 40º HACIA ARRIBA,MORDIDA DE 6 MM</t>
  </si>
  <si>
    <t>PINZA CORTANTE PARA LAMINECTOMIA KERRISON, CORTE DE 90º HACIA ARRIBA,MORDIDA DE 6 MM</t>
  </si>
  <si>
    <t>PINZA FLEXIBLE PARA BIOPSIA, PARA CISTOSCOPIO, MANGO UNIVERSAL.</t>
  </si>
  <si>
    <t>PINZA GUBIA ADSON, MORDIDA REGULAR DE 8 MM</t>
  </si>
  <si>
    <t>PINZA GUBIA ADSON, RECTA, MORDIDA EN DIENTES DE RATA DE 8 MM</t>
  </si>
  <si>
    <t>PINZA GUBIA DE DOBLE ACCIÓN STILLE HORSLEY, 24-26 CM DE LONGITUD</t>
  </si>
  <si>
    <t>PINZA GUBIA ECHLIN, ANGULADA DOBLE ACCIÓN, CORTE  2 MM</t>
  </si>
  <si>
    <t>PINZA GUBIA ECHLIN, ANGULADA DOBLE ACCIÓN, CORTE  3 MM</t>
  </si>
  <si>
    <t>PINZA GUBIA ECHLIN, ANGULADA DOBLE ACCIÓN, CORTE  4 MM</t>
  </si>
  <si>
    <t>PINZA GUBIA ECHLIN, ANGULADA DOBLE ACCIÓN, CORTE  5 MM. 23 CM.</t>
  </si>
  <si>
    <t>PINZA GUBIA HIBBS, CURVA, CORTE DE 30-32 MM</t>
  </si>
  <si>
    <t>PINZA GUBIA LEKSELL, CURVA COMPLETA, MORDIDA DE 3 MM</t>
  </si>
  <si>
    <t>PINZA GUBIA LEKSELL, CURVA COMPLETA, MORDIDA DE 5 MM</t>
  </si>
  <si>
    <t>PINZA GUBIA LEKSELL, CURVA COMPLETA, MORDIDA DE 8 MM</t>
  </si>
  <si>
    <t>PINZA GUBIA LEKSELL, SEMI CURVA COMPLETA, MORDIDA DE 8 MM</t>
  </si>
  <si>
    <t>PINZA GUBIA LEKSELL, SEMI CURVA, MORDIDA DE 5 MM</t>
  </si>
  <si>
    <t>PINZA GUBIA LEMPERT, CURVA, MORDIDA DE 2.0-2.5 MM X 10 MM, LONGITUD DE15-16 CM</t>
  </si>
  <si>
    <t>PINZA GUBIA LEMPERT, CURVA, MORDIDA DE 2.0-2.5 MM X 10 MM, LONGITUD DE18-19 CM</t>
  </si>
  <si>
    <t>PINZA GUBIA LEMPERT, RECTA, MORDIDA DE 2.0-2.5 MM X 10 MM, LONGITUD DE15-16 CM</t>
  </si>
  <si>
    <t>PINZA GUBIA LEMPERT, RECTA, MORDIDA DE 2.0-2.5 MM X 10 MM, LONGITUD DE18-19 CM</t>
  </si>
  <si>
    <t>PINZA GUBIA LUER, CURVA, DE 15-17 CM DE LONGITUD</t>
  </si>
  <si>
    <t>PINZA GUBIA LUER, CURVA, DE 18-20 CM DE LONGITUD</t>
  </si>
  <si>
    <t>PINZA GUBIA SAUERBRUCH, BOCA CUADRADA CORTE 13 MM</t>
  </si>
  <si>
    <t>PINZA GUBIA SAUERBRUCH, BOCA CUADRADA CORTE 20 MM</t>
  </si>
  <si>
    <t>PINZA GUBIA SAUERBRUCH, BOCA REDONDA CORTE 13 MM</t>
  </si>
  <si>
    <t>PINZA GUBIA SAUERBRUCH, BOCA REDONDA CORTE 20 MM</t>
  </si>
  <si>
    <t>PINZA GUBIA SMITH PETERSON DE DOBLE ACCIÓN, CURVA COMPLETA, MORDIDA DE3 MM</t>
  </si>
  <si>
    <t>PINZA GUBIA SMITH PETERSON DE DOBLE ACCIÓN, MEDIO CURVO, MORDIDA DE 3MM</t>
  </si>
  <si>
    <t>PINZA GUBIA SMITH PETERSON DE DOBLE ACCIÓN, MEDIO CURVO, MORDIDA DE 5MM</t>
  </si>
  <si>
    <t>PINZA GUBIA STILLE LUER, CURVA, CORTE DE 10 MM, LONGITUD TOTAL DE 21-22 CM</t>
  </si>
  <si>
    <t>PINZA GUBIA STILLE LUER, CURVA, CORTE DE 5 MM, LONGITUD TOTAL DE 21-22CM</t>
  </si>
  <si>
    <t>PINZA GUBIA STILLE LUER, CURVA, DE 18-20 CM DE LONGITUD</t>
  </si>
  <si>
    <t>PINZA GUBIA STILLE LUER, RECTA, CORTE DE 10 MM, LONGITUD TOTAL DE 21-22 CM</t>
  </si>
  <si>
    <t>PINZA GUBIA STILLE LUER, RECTA, CORTE DE 5 MM, LONGITUD TOTAL DE 21-22CM</t>
  </si>
  <si>
    <t>PINZA INTERVERTEBRAL FERRIS SMITH, COPA HACIA ARRIBA DE 2 X 10 MM</t>
  </si>
  <si>
    <t>PINZA INTERVERTEBRAL FERRIS SMITH, COPA HACIA ARRIBA DE 4 X 10 MM</t>
  </si>
  <si>
    <t>PINZA INTERVERTEBRAL FERRIS SMITH, CURVA HACIA ABAJO, COPA DE 2 X 10 MM</t>
  </si>
  <si>
    <t>PINZA INTERVERTEBRAL FERRIS SMITH, CURVA HACIA ABAJO, COPA DE 3 X 10 MM</t>
  </si>
  <si>
    <t>PINZA INTERVERTEBRAL FERRIS SMITH, CURVA HACIA ARRIBA, COPA DE 4 X 10MM</t>
  </si>
  <si>
    <t>PINZA INTERVERTEBRAL FERRIS SMITH, RECTA, COPA DE 2 X 10 MM</t>
  </si>
  <si>
    <t>PINZA INTERVERTEBRAL FERRIS SMITH, RECTA, COPA DE 3 X 10 MM</t>
  </si>
  <si>
    <t>PINZA INTERVERTEBRAL FERRIS SMITH, RECTA, COPA DE 4 X 10 MM</t>
  </si>
  <si>
    <t>PINZA INTERVERTEBRAL FERRIS SMITH, RECTA, COPA DE 6X 10 MM</t>
  </si>
  <si>
    <t>PINZA INTERVERTEBRAL FERRIS SMITH, RECTA, COPA DE 6X 12 MM</t>
  </si>
  <si>
    <t>PINZA INTERVERTEBRAL SPURLING, CORTE ANGULADO HACIA ABAJO DE 3 MM</t>
  </si>
  <si>
    <t>PINZA INTERVERTEBRAL SPURLING, CORTE ANGULADO HACIA ABAJO DE 4 MM</t>
  </si>
  <si>
    <t>PINZA INTERVERTEBRAL SPURLING, CORTE ANGULADO HACIA ARRIBA DE 3 MM</t>
  </si>
  <si>
    <t>PINZA INTERVERTEBRAL SPURLING, CORTE ANGULADO HACIA ARRIBA DE 4 MM</t>
  </si>
  <si>
    <t>PINZA INTERVERTEBRAL SPURLING, CORTE RECTO DE 3 MM</t>
  </si>
  <si>
    <t>PINZA INTERVERTEBRAL SPURLING, CORTE RECTO DE 4 MM</t>
  </si>
  <si>
    <t>PINZA INTERVERTEBRAL WILDE, CORTE RECTO O ANGULADO HACIA ARRIBA, CORTEDE 3 MM</t>
  </si>
  <si>
    <t>PINZA INTERVERTEBRAL WILDE, CORTE RECTO O ANGULADO HACIA ARRIBA, CORTEDE 4 MM</t>
  </si>
  <si>
    <t>PINZA INTERVERTEBRAL WILDE, CORTE RECTO O ANGULADO HACIA ARRIBA, CORTEDE 5 MM</t>
  </si>
  <si>
    <t>PINZA INTERVERTEBRAL WILDE, CORTE RECTO O ANGULADO HACIA ARRIBA, CORTEDE 6MM</t>
  </si>
  <si>
    <t>PINZA KERRISON JACOBI DE 130º, MORDIDA HACIA ARRIBA DE 1 MM DE DIÁMETRO ,DE BASE DELGADA, DE 180 MM DE LONGITUD APROXIMADA, PUNTA CON INSERTO DE CARBURO DE TUNGSTENO.</t>
  </si>
  <si>
    <t>PINZA KERRISON JACOBI DE 130º, MORDIDA HACIA ARRIBA DE 3MM DE DIÁMETRO,DE BASE DELGADA, DE 180MM DE LONGITUD APROXIMADA, PUNTA CON INSERTODE CARBURO DETUGSTENO.</t>
  </si>
  <si>
    <t>PINZA LARÍNGEA "KLEINSTASSER" DERECHA 24 - 25 CM</t>
  </si>
  <si>
    <t>PINZA LARÍNGEA "KLEINSTASSER" IZQUIERDA 24 - 25 CM</t>
  </si>
  <si>
    <t>PINZA P/ BIOPSIA LARÍNGEA KLEINSTASSER IZQUIERDA 25 CM</t>
  </si>
  <si>
    <t>PINZA PARA BIOPSIA DE CUELLO UTERINO TIPO KEVORKIAN</t>
  </si>
  <si>
    <t>PINZA PARA BIOPSIA LARÍNGEA KLEINSTASSER DERECHA 25 CM</t>
  </si>
  <si>
    <t>PINZA PARA BIOPSIA UTERINA FAURE, DE 20 - 26 CM DE LONGITUD</t>
  </si>
  <si>
    <t>PINZA PARA BIOPSIA UTERINA KEVORKIAN, MORDIDA DE 3 X 8 MM Y 25-28 CM DE DISTANCIA DE TRABAJO.</t>
  </si>
  <si>
    <t>PINZA PARA BIOPSIA UTERINA SCHUBERT, ANGULADA, DE 25-30 CM DE LONGITUD</t>
  </si>
  <si>
    <t>PINZA PARA BIOPSIA UTERINA SCHUBERT, RECTA, DE 25-30 CM DE LONGITUD</t>
  </si>
  <si>
    <t>PINZA PARA BIOPSIA UTERINA SCHUBERT, RECTA, DE 20-22 CM DE LONGITUD</t>
  </si>
  <si>
    <t>PINZA PARA BIOPSIA UTERINA THOMS GAYLOR, FORMA DE "S", DE 8"-10" DE LONGITUD</t>
  </si>
  <si>
    <t>PINZA PARA BIOPSIA UTERINA THOMS GAYLOR, RECTA, DE 20-25 CM DE LONGITUD</t>
  </si>
  <si>
    <t>PINZA PARA ETMOIDES WATSON-WILLIAMS, CUCHARILLA DE 5 MM</t>
  </si>
  <si>
    <t>PINZA PARA ETMOIDES WATSON-WILLIAMS, CUCHARILLA DE 7MM</t>
  </si>
  <si>
    <t>TRITURADOR DE CARTÍLAGO</t>
  </si>
  <si>
    <t>PINZA PARA ALGODÓN Y CURACIONES MANGO LISO O ESTRÍADO, PUNTA ACTIVA ESTRÍADA Y MONO ANGULADA LONGITUD DE 15 A 17 CM INCLUYENDO LA PARTE ACTIVA</t>
  </si>
  <si>
    <t>PINZA PARA TOALLAS, CURVA, MORDAZAS HACIA ADENTRO NO PERFORANTE, LONGITUD DE 12 - 13 CM.</t>
  </si>
  <si>
    <t>PINZA FOERSTER CURVA, BOCA ESTRIADA, DE  17 A 18 CM DE LARGO.</t>
  </si>
  <si>
    <t>PINZA FOERSTER CURVA, BOCA ESTRIADA, DE  23 A 25 CM DE LARGO.</t>
  </si>
  <si>
    <t>PINZA FOERSTER RECTA, BOCA ESTRIADA, DE  17 A 18 CM DE LARGO.</t>
  </si>
  <si>
    <t>PINZA FOERSTER RECTA, BOCA ESTRIADA, DE  23 A 25 CM DE LARGO.</t>
  </si>
  <si>
    <t>PINZA HARTMAN PARA CURACIONES, 18-21 CM DE LONGITUD</t>
  </si>
  <si>
    <t>PINZA PARA CAMPO BACKHAUS, DE 13-15 CM DE LONGITUD</t>
  </si>
  <si>
    <t>PINZA PARA CAMPO BACKHAUS, DE 8-11 CM DE LONGITUD</t>
  </si>
  <si>
    <t>PINZA APLICADORA DE CLIP VASCULAR PEQUEÑO DE 4.0 X 3.1 MM PARA CIRUGÍAABIERTA, LONGITUD ENTRE 15 A 19 CM DE ACERO INOXIDABLE</t>
  </si>
  <si>
    <t>PINZA APLICADORA DE MICROCLIPS/ CLAMPS VASCULARES, RECTA, SIN CLIPS.</t>
  </si>
  <si>
    <t>PINZA  PARA  BIOPSIA  LARÍNGEA 2 VALVAS  REDONDAS MÓVILES, 30 CM DE LONGITUD.</t>
  </si>
  <si>
    <t>PINZA BIPOLAR PARA COAGULACIÓN E IRRIGACIÓN EN BAYONETA MALLIS, DE 21-23 CM DE LONGITUD X 1.5 MM</t>
  </si>
  <si>
    <t>PINZA EXTRACTORA DE CEMENTO, ESTRECHA Y ALARGADA</t>
  </si>
  <si>
    <t>PINZA KELMAN CURVA, PARA COLOCACIÓN DE LENTE INTRAOCULAR</t>
  </si>
  <si>
    <t>PINZA MICHEL, PARA GARFIOS, DE 12-14 CM DE LONGITUD</t>
  </si>
  <si>
    <t>PINZA PARA CLIP RANEY</t>
  </si>
  <si>
    <t>PINZA PARA CUERPO EXTRAÑO SCHAAF MEDIO CURVA.</t>
  </si>
  <si>
    <t>PINZA PARA CUERPO EXTRAÑO EN OIDO HARTMANN</t>
  </si>
  <si>
    <t>PINZA PARA INTRODUCIR LENTE CON PRESIÓN INFERIOR  CURVO SIN SEGURO</t>
  </si>
  <si>
    <t>PINZA PARA TAPONAMIENTO JANSE, 16-18 CM DE LONGITUD</t>
  </si>
  <si>
    <t>PINZA PORTA CLIPS SUNDT SLIM APLICADORA DE MINICLIPS #1</t>
  </si>
  <si>
    <t>PINZA PORTA CLIPS SUNDT SLIM APLICADORA DE MINICLIPS #2</t>
  </si>
  <si>
    <t>PINZA PORTA CLIPS SUNDT SLIM APLICADORA DE MINICLIPS #3</t>
  </si>
  <si>
    <t>PINZA PORTA CLIPS SUNDT SLIM APLICADORA DE MINICLIPS #4</t>
  </si>
  <si>
    <t>PINZA PORTA CLIPS SUNDT SLIM APLICADORA DE MINICLIPS #5</t>
  </si>
  <si>
    <t>PINZA PORTA CLIPS SUNDT SLIM APLICADORA DE MINICLIPS #6</t>
  </si>
  <si>
    <t>PINZA PORTA CLIPS SUNDT SLIM APLICADORA DE MINICLIPS #7</t>
  </si>
  <si>
    <t>PINZA APLICADORA DE CLIP VASCULAR MEDIANO DE 6.2 X 4.9 MM PARA CIRUGÍAABIERTA LONGITUD ENTRE 15 A 20 CM DE ACERO INOXIDABLE</t>
  </si>
  <si>
    <t>PINZA APLICADORA DE CLIP MEDIANO, ÁNGULO DE 25°, LONGITUD DE 200 A 210MM, DE ACERO INOXIDABLE</t>
  </si>
  <si>
    <t>PINZA APLICADORA DE CLIP MEDIANO/GRANDE. ÁNGULO DE 25°, LONGITUD DE 200 MM A 210 MM, DE ACERO INOXIDABLE</t>
  </si>
  <si>
    <t>PINZA APLICADORA DE CLIP PEQUEÑO. ÁNGULO DE  25°, LONGITUD DE 200 a 210 MM, DE ACERO INOXIDABLE</t>
  </si>
  <si>
    <t>PINZA APLICADORA DE CLIP MEDIANO. ÁNGULO DE  25°, LONGITUD DE 150 MM,DE ACERO INOXIDABLE</t>
  </si>
  <si>
    <t>PINZA APLICADORA DE CLIP PEQUEÑO. ÁNGULO DE  25°, LONGITUD DE 150 MM,DE ACERO INOXIDABLE</t>
  </si>
  <si>
    <t>RETRACTOR DE FISCH, 2 X 2 DIENTES, LONGITUD ENTRE 12 Y 14 CM</t>
  </si>
  <si>
    <t>RETRACTOR SIMPLE PARA CARRILLO Y TEJIDO BLANDO, PARTE ACTIVA EXTERNA DE 10 A 13 MM X 40 A 45 MM</t>
  </si>
  <si>
    <t>SEPARADOR AUTORETENTIVO ADSON-BABY, SEMI AGUDO DE 14 CM DE LONGITUD</t>
  </si>
  <si>
    <t>SEPARADOR BECKMANN-ADSON SEMI AGUDO, 31 CM DE LONGITUD DE LONGITUD</t>
  </si>
  <si>
    <t>RETRACTOR ACANALADO PARA ESCOTADURA MANDÍBULAR, PARTE ACTIVA DE 8 A 10MM, TIPO OBWEGESER</t>
  </si>
  <si>
    <t>RETRACTOR SIMPLE PARA CARRILLO Y TEJIDO BLANDO PARTE ACTIVA INTERNA DE10 A 13 MM X 40 A 45 MM</t>
  </si>
  <si>
    <t>RETRACTOR DE ESPINA NASAL Y RAMA, PARTE ACTIVA DE 9 A 12 DE ANCHO Y 40X 72 MM DE LARGO, ACERO INOXIDABLE</t>
  </si>
  <si>
    <t>BRAZO FLEXIBLE DE 48 X 2,5 CM PARA EL SISTEMA DE RETRACTOR PARA CEREBRO LEYLA YASARGIL</t>
  </si>
  <si>
    <t>BRAZO FLEXIBLE RETRACTOR PARA EL HALO DE GREENBERG 24 CM DE LARGO</t>
  </si>
  <si>
    <t>EYECTOR DE HOJAS PARA CAMBIAR LAS HOJAS DEL RETRACTOR CASPAR</t>
  </si>
  <si>
    <t>GANCHO CON RESORTE DE YASARGIL CON CLIP BULLDOG PARA FIJAR LA GALEA APONEUROTICA DE CUERO CABELLUDO DE 31 CM</t>
  </si>
  <si>
    <t>GANCHO CON SOPORTE DE YASARGIL CON CLIP BULLDOG PARA FIJAR LA GALEA APONEURÓTICA DE CUERO CABELLUDODE 40 CM</t>
  </si>
  <si>
    <t>GANCHO TRAQUEAL BOSE, AGUDO, GANCHO A LA IZQUIERDA, 16-18 CM DE LONGITUD</t>
  </si>
  <si>
    <t>JUEGO DE RETRACTOR CRANEAL LEYLA YASSARGIL. SET</t>
  </si>
  <si>
    <t>PLACA CERVICAL DE 24 MM DE LARGO PARA EL SISTEMA DE FIJACIÓN DE COLUMNA CERVICAL POR VÍA ANTERIOR CODMAN, QUE INCLUYAN SUS RESPECTIVOS TORNILLOS</t>
  </si>
  <si>
    <t>PLACA CERVICAL DE 26 MM DE LARGO PARA EL SISTEMA DE FIJACIÓN DE COLUMNA CERVICAL POR VÍA ANTERIOR CODMAN, QUE INCLUYAN SUS RESPECTIVOS TORNILLOS</t>
  </si>
  <si>
    <t>PLACA CERVICAL DE 28 MM DE LARGO PARA EL SISTEMA DE FIJACIÓN DE COLUMNA CERVICAL POR VÍA ANTERIOR CODMAN, QUE INCLUYAN SUS RESPECTIVOS TORNILLOS</t>
  </si>
  <si>
    <t>PLACA CERVICAL DE 30 MM DE LARGO PARA EL SISTEMA DE FIJACIÓN DE COLUMNA CERVICAL POR VÍA ANTERIOR CODMAN, QUE INCLUYAN SUS RESPECTIVOS TORNILLOS</t>
  </si>
  <si>
    <t>PLACA CERVICAL DE 32 MM DE LARGO PARA EL SISTEMA DE FIJACIÓN DE COLUMNA CERVICAL POR VÍA ANTERIOR CODMAN, QUE INCLUYAN SUS RESPECTIVOS TORNILLOS</t>
  </si>
  <si>
    <t>PLACA CERVICAL DE 34 MM DE LARGO PARA EL SISTEMA DE FIJACIÓN DE COLUMNA CERVICAL POR VÍA ANTERIOR CODMAN, QUE INCLUYAN SUS RESPECTIVOS TORNILLOS</t>
  </si>
  <si>
    <t>PLACA CERVICAL DE 36 MM DE LARGO PARA EL SISTEMA DE FIJACIÓN DE COLUMNA CERVICAL POR VÍA ANTERIOR CODMAN, DE CUATRO ORIFICIOS, QUE INCLUYA SUS RESPECTIVOS TORNILLOS</t>
  </si>
  <si>
    <t>PLACA CERVICAL DE 38 MM DE LARGO PARA EL SISTEMA DE FIJACIÓN DE COLUMNA CERVICAL POR VÍA ANTERIOR CODMAN, QUE INCLUYAN SUS RESPECTIVOS TORNILLOS</t>
  </si>
  <si>
    <t>PLACA CERVICAL DE 50 MM DE LARGO PARA EL SISTEMA DE FIJACIÓN DE COLUMNA CERVICAL POR VÍA ANTERIOR CODMAN, QUE INCLUYAN SUS RESPECTIVOS TORNILLOS</t>
  </si>
  <si>
    <t>PLACA CERVICAL DE 54 MM DE LARGO PARA EL SISTEMA DE FIJACIÓN DE COLUMNA CERVICAL POR VÍA ANTERIOR CODMAN, DE SEIS ORIFICIOS, QUE INCLUYA SUSRESPECTIVOS TORNILLOS</t>
  </si>
  <si>
    <t>PLACA CERVICAL DE 58 MM DE LARGO PARA EL SISTEMA DE FIJACIÓN DE COLUMNA CERVICAL POR VÍA ANTERIOR CODMAN, DE SEIS ORIFICIOS, QUE INCLUYA SUSRESPECTIVOS TORNILLOS</t>
  </si>
  <si>
    <t>PLACA CERVICAL DE 60 MM DE LARGO PARA EL SISTEMA DE FIJACIÓN DE COLUMNA CERVICAL POR VÍA ANTERIOR CODMAN, DE SEIS ORIFICIOS, QUE INCLUYA SUSRESPECTIVOS TORNILLOS</t>
  </si>
  <si>
    <t>RETRACTOR CEREBELAR AUTOMÁTICO CON SU BRAZO FLEXIBLE. QUE INCLUYE: A)CUERPO DEL RETRACTOR CON SUS RAMOS CON GARRAS 4X4 Y DOS POSTES, ABERTURA TOTAL DE LOS RAMOS 110 MM O MÁS, 17 A 18 CM. DE LARGO; B) BRAZO FLEXIBLE DE 24 A 25 CM. DE LONGITUD Y C) TRES HOJAS RETRACTORAS: 1 CON ESCOTADURA DERECHA, 1 CON ESCOTADURA IZQUIERDA, 1 CON DOBLE ESCOTADURA,ANCHO DE LA HOJA 10 MM APROXIMADO, LARGO DE LA HOJA DE 10 A 11 CM</t>
  </si>
  <si>
    <t>RETRACTOR CEREBELAR MALIS, GARRAS 4 X 4  AGUDAS, CON ADAPTADOR PARA SEPARADOR CEREBRAL MALIS</t>
  </si>
  <si>
    <t>RETRACTOR CEREBELAR MISKIMON, DE 19-21 CM DE LONGITUD TOTAL, HOJA DE 32 X 35 MM</t>
  </si>
  <si>
    <t>RETRACTOR CEREBRAL CLOWARD, CON AUTO RETENCIÓN, QUE INCLUYA JUEGO DE 3HOJAS MALEABLES DE DIFERENTES TAMAÑOS</t>
  </si>
  <si>
    <t>RETRACTOR DE LABIO DE HARDY PARA COLOCAR ALREDEDOR DEL BORDE SUPERIORDEL ESPÉCULO NASAL DE HARDY DURANTE LA CIRUGÍA TRANSESFENOIDAL</t>
  </si>
  <si>
    <t>RETRACTOR LONGITUDINAL DE COLUMNA CASPAR, CON JUEGO DE 5 HOJAS LONGITUDINALES DE FIBRA DE CARBÓN</t>
  </si>
  <si>
    <t>RETRACTOR MICROLUMBAR WILLIAMS DE 70X20 MM DERECHO</t>
  </si>
  <si>
    <t>RETRACTOR MICROLUMBAR WILLIAMS DE 70X20 MM IZQUIERDO</t>
  </si>
  <si>
    <t>RETRACTOR MICROLUMBAR WILLIAMS DE  70X10 MM DERECHO</t>
  </si>
  <si>
    <t>RETRACTOR MICROLUMBAR WILLIAMS DE 70X10 MM IZQUIERDO</t>
  </si>
  <si>
    <t>RETRACTOR TIPO MARKHAM-MEYERDING PARA HEMILAMINECTOMÍA, DERECHO</t>
  </si>
  <si>
    <t>RETRACTOR TIPO MARKHAM-MEYERDING PARA HEMILAMINECTOMÍA, IZQUIERDO</t>
  </si>
  <si>
    <t>RETRACTOR TRANSVERSO DE COLUMNA CERVICAL CASPAR, CON JUEGO DE 5 HOJASROMAS DE 45-50-55-60 Y 65 MM DE PROFUNDIDAD</t>
  </si>
  <si>
    <t>RETRACTOR VAGINAL JACKSON, KRISTELLER O  EASTAMN, HOJA DE 10CM DE LARGO X 4 CM DE ANCHO.</t>
  </si>
  <si>
    <t>SEPARADOR AUTOSTÁTICO JANSEN, GARRAS 3 X 3  AGUDAS, 9-10 CM  DE LONGITUD</t>
  </si>
  <si>
    <t>SEPARADOR AUTOSTÁTICO JANSEN, GARRAS 3 X 3 ROMAS, 9-10 CM  DE LONGITUD</t>
  </si>
  <si>
    <t>SEPARADOR AUTOSTÁTICO JANSEN, GARRAS 4X4  ROMAS, 11-12 CM  DE LONGITUD</t>
  </si>
  <si>
    <t>SEPARADOR AUTOSTÁTICO WEITLANER, GARRAS 2X3  AGUDAS, 10-12 CM DE LONGITUD</t>
  </si>
  <si>
    <t>SEPARADOR AUTOSTÁTICO WEITLANER, GARRAS 2 X 3  ROMAS, 10-12 CM DE LONGITUD</t>
  </si>
  <si>
    <t>SEPARADOR AUTOSTÁTICO WEITLANER, GARRAS 3 X 4  AGUDAS, 15-18 CM DE LONGITUD</t>
  </si>
  <si>
    <t>SEPARADOR AUTOSTÁTICO WEITLANER, GARRAS  3 X 4  ROMAS, 15-18 CM DE LONGITUD</t>
  </si>
  <si>
    <t>SEPARADOR AUTOSTÁTICO WEITLANER,GARRAS  3 X 4 ROMAS, 20-22  CM DE LONGITUD</t>
  </si>
  <si>
    <t>SEPARADOR BECKMANN-ADSON, GARRAS 4 X 4  AGUDAS, DE 2.5-3.0 CM DE PROFUNDIDAD</t>
  </si>
  <si>
    <t>SEPARADOR BECKMANN-ADSON, GARRAS 4 X 4  AGUDAS, DE 4.0-4.5 CM DE PROFUNDIDAD</t>
  </si>
  <si>
    <t>SEPARADOR DAVIS, HOJA DE 17 MM DE LONGITUD APROXIMADA</t>
  </si>
  <si>
    <t>SEPARADOR DE TIROIDES GMS 230MM.</t>
  </si>
  <si>
    <t>SEPARADOR NASAL AUFRICHT VALVA DE 45 MM X 18 CM.</t>
  </si>
  <si>
    <t>SEPARADOR NASAL TIPO CONVERSE, 10 X 14 MM</t>
  </si>
  <si>
    <t>SEPARADOR TRAQUEAL BOSE, DE 7CM</t>
  </si>
  <si>
    <t>SISTEMA COMPLETO DE RETRACCIÓN CRANEAL DOBLE RAMO, TIPO LEYLA</t>
  </si>
  <si>
    <t>SISTEMA DE RETRACTOR CRANEAL/ESPINAL TEW QUE CONTENGA 1 BARRA GUÍA, 2BARRAS RETRACTORAS, 2 SOPORTES DEL BRAZO MICRO, 1 CAJA ESTÉRIL ZADORA</t>
  </si>
  <si>
    <t>SOPORTE DE ESPÁTULAS PLANAS PARA CEREBRO DE 12 MM PARA EL SISTEMA RETRACTOR PARA CEREBRO LEYLA YASARGIL</t>
  </si>
  <si>
    <t>SEPARADOR COSTAL FINOCHIETTO BURFORD, CON CUATRO VALVAS INTERCAMBIABLES, APERTURA TOTAL APROXIMADA DE 21 CM</t>
  </si>
  <si>
    <t>SEPARADOR COSTAL FINOCHIETTO BURFORD, CON CUATRO VALVAS INTERCAMBIABLES, APERTURA TOTAL APROXIMADA DE 25 CM</t>
  </si>
  <si>
    <t>SEPARADOR COSTAL FINOCHIETTO BURFORD, CON CUATRO VALVAS INTERCAMBIABLES, APERTURA TOTAL APROXIMADA DE 30 CM</t>
  </si>
  <si>
    <t>SEPARADOR COSTAL FINOCHIETTO INFANTIL, APERTURA TOTAL APROXIMADA DE 10CM</t>
  </si>
  <si>
    <t>SEPARADOR COSTAL FINOCHIETTO, APERTURA TOTAL APROXIMADA DE 16 CM</t>
  </si>
  <si>
    <t>SEPARADOR KOERTE AGUDO, DE 40 X 30 MM Y 22-24 CM DE LONGITUD</t>
  </si>
  <si>
    <t>RETRACTOR ILÍACO ALLENBERG CON HOJA LATERAL 30 X 30 MM Y HOJA MEDIAL 90 X 60 MM</t>
  </si>
  <si>
    <t>RETRACTOR COSTAL FINOCHIETTO. VALVAS DE 28MM x 30MM, APERTURA 14 A 15CM. DE ACERO INOXIDABLE</t>
  </si>
  <si>
    <t>RETRACTOR COSTAL FINOCHIETTO. VALVAS DE 42MM x 61MM, APERTURA 24 A 25CM. DE ACERO INOXIDABLE</t>
  </si>
  <si>
    <t>RETRACTOR DE ESTERNÓN STRUCK PEDIÁTRICO JUEGO COMPLETO, LONGITUD DE 6.0 A 6.5 CM, ANCHO DE 10.0 A 10.5 CM, ANCHO DE APERTURA DE HASTA 7.0 CMCON PAR HOJAS DE SEPARACIÓN  PARA LACTANTES DE 10 X 10 MM Y UN PAR DE10 X 15 MM.</t>
  </si>
  <si>
    <t>SEPARADOR GELPI, 18-20 CM DE LONGITUD</t>
  </si>
  <si>
    <t>SEPARADOR VAGINAL O'SULLIVAN  O'CONNOR, CON TRES VALVAS</t>
  </si>
  <si>
    <t>RETRACTOR DE POLÍMERO PARA USO GINECOLÓGICO EN FORMA DE HOMBRE DE NIEVE, QUE INCLUYA 8 ELÁSTICOS TIPO GANCHO DE 5 MM PARA SUJETAR EL TEJIDO,ESTÉRIL.</t>
  </si>
  <si>
    <t>RETRACTOR DE POLÍMERO PARA USO GINECOLÓGICO EN FORMA CUADRADA, QUE INCLUYA 8 ELÁSTICOS TIPO GANCHO DE 5 MM PARA SUJETAR EL TEJIDO, ESTÉRIL.</t>
  </si>
  <si>
    <t>SEPARADOR ABDOMINAL BALFOUR, CON DOS JUEGOS DE HOJAS LATERALES, DIFERENTES PROFUNDIDADES DE HOJAS, FENESTRADAS, INTERCAMBIABLES,  AP ERTURATOTAL DE 18-20 CM</t>
  </si>
  <si>
    <t>SEPARADOR ABDOMINAL BALFOUR, HOJAS LATERALES FENESTRADAS DE 90-100 MMDE PROFUNDIDAD, APERTURA TOTAL DE 25-27 CM, CON VALVA SEMI CURVA DE 85-90 MM DE PROFUNDIDAD.</t>
  </si>
  <si>
    <t>SEPARADOR ABDOMINAL BALFOUR, HOJAS LATERALES SÓLIDAS, APERTURA TOTAL DE 18-20 CM</t>
  </si>
  <si>
    <t>SEPARADOR ABDOMINAL BALFOUR, INFANTIL, APERTURA TOTAL DE 9-10 CM</t>
  </si>
  <si>
    <t>SEPARADOR ABDOMINAL KELLY,  DE  50 X 65 MM, CON  MANGO.</t>
  </si>
  <si>
    <t>SEPARADOR ABDOMINAL KELLY,  DE  75 X 90 MM, CON  MANGO.</t>
  </si>
  <si>
    <t>SEPARADOR COLLIN HARTMANN DE 125-150 MM DE LONGITUD</t>
  </si>
  <si>
    <t>SEPARADOR DEAVER, CON MANGO, HOJA DE 25 MM DE ANCHO</t>
  </si>
  <si>
    <t>SEPARADOR DEAVER, CON MANGO, HOJA DE 50 MM DE ANCHO</t>
  </si>
  <si>
    <t>SEPARADOR DEAVER, CON MANGO, HOJA DE 75 MM DE ANCHO</t>
  </si>
  <si>
    <t>SEPARADOR DEAVER, HOJA DE 25 MM DE ANCHO</t>
  </si>
  <si>
    <t>SEPARADOR DEAVER, HOJA DE 50 MM DE ANCHO</t>
  </si>
  <si>
    <t>SEPARADOR DEAVER, HOJA DE 75 MM DE ANCHO</t>
  </si>
  <si>
    <t>SEPARADOR FARABEUF, DE 11-13 CM DE LONGITUD, SET DE DOS HOJAS</t>
  </si>
  <si>
    <t>SEPARADOR FARABEUF, DE 15-16 CM DE LONGITUD, SET DE DOS HOJAS</t>
  </si>
  <si>
    <t>SEPARADOR GELPI, 12-15 CM DE LONGITUD</t>
  </si>
  <si>
    <t>SEPARADOR GELPI, 17-20 CM DE LONGITUD</t>
  </si>
  <si>
    <t>SEPARADOR HARRINGTON, HOJA DE 60-64 MM DE ANCHO</t>
  </si>
  <si>
    <t>SEPARADOR MAYO COLLIN, DE 16-18 CM DE LONGITUD, SET DE 2 HOJAS</t>
  </si>
  <si>
    <t>SEPARADOR PARKER LANGENBECK (U.S. ARMY), DOBLE TERMINACIÓN, LONGITUD DE 20-22 CM, HOJAS DE 30-34 MM DE PROFUNDIDAD X 12-16 MM DE ANC HO Y DE42-46 MM DE PROFUNDIDAD X 12-16 MM DE ANCHO</t>
  </si>
  <si>
    <t>SEPARADOR RICHARDSON, HOJA DE 30-34 MM DE PROFUNDIDAD X 25-29 MM DE ANCHO</t>
  </si>
  <si>
    <t>SEPARADOR RICHARDSON, HOJA DE 37-39 MM DE PROFUNDIDAD X 37-39 MM DE ANCHO</t>
  </si>
  <si>
    <t>SEPARADOR RICHARDSON, HOJA DE 50-52 MM DE PROFUNDIDAD X 20-22 MM DE ANCHO</t>
  </si>
  <si>
    <t>SEPARADOR RICHARDSON-EASTMAN DE 25-28 CM DE LARGO.</t>
  </si>
  <si>
    <t>SEPARADOR RICHARDSON-EASTMAN DE 20-22 CM DE LARGO.</t>
  </si>
  <si>
    <t>SEPARADOR ROUX # 1 PEQUEÑO</t>
  </si>
  <si>
    <t>SEPARADOR ROUX # 2 MEDIANO</t>
  </si>
  <si>
    <t>SEPARADOR ROUX # 3 GRANDE</t>
  </si>
  <si>
    <t>SEPARADOR SUPRAPÚBICO MILLIN</t>
  </si>
  <si>
    <t>SEPARADOR VESICAL COMPLETO MILLIN, CON SUS VALVAS DE 55 X 25 MM, 80 X25 MM, 115 X 45 MM Y VALVAS  "C"</t>
  </si>
  <si>
    <t>RETRACTOR HOHMANN CADERA, DOBLE PUNTA, ANCHO DE LA HOJA 1.5 CM, LONGITUD DE LA HOJA 7 A 8 CM, LONGITUD TOTAL DE 31 A 32 CM.</t>
  </si>
  <si>
    <t>SEPARADOR LANGENBECK-KOCHER, HOJA DE 7 MM X 30 MM, 21 CM DE LONGITUD.</t>
  </si>
  <si>
    <t>RETRACTOR HOHMANN DE 23,5 CM X 25 MM, CURVO</t>
  </si>
  <si>
    <t>RETRACTOR  PARA  DISECTOMIA MICROLUMBAR  TIPO WILLIAMS 5 CM X 2 CM. DERECHO</t>
  </si>
  <si>
    <t>RETRACTOR PARA DISECTOMIA MICROLUMBAR WILLIAMS 5 CM X 2 CM IZQUIERDO</t>
  </si>
  <si>
    <t>SEPARADOR DE LAMINA MEYERDING, HOJA DE 2.5 CM DE ANCHO Y 7.5 CM DE PROFUNDIDAD</t>
  </si>
  <si>
    <t>SEPARADOR DE LAMINA MEYERDING, HOJA DE 5 CM DE ANCHO Y 9 CM DE PROFUNDIDAD</t>
  </si>
  <si>
    <t>SEPARADOR DE LAMINA MEYERDING, HOJA DE 1.5 CM DE ANCHO Y 5 CM DE PROFUNDIDAD</t>
  </si>
  <si>
    <t>SEPARADOR ESCAPULAR DAVIDSON, HOJA DE 75 X 90 MM</t>
  </si>
  <si>
    <t>SEPARADOR ESPINAL TAYLOR 75 MM</t>
  </si>
  <si>
    <t>SEPARADOR ESPINAL TAYLOR 100 MM</t>
  </si>
  <si>
    <t>SEPARADOR HIBBS, HOJA DE 25 X 75 MM</t>
  </si>
  <si>
    <t>SEPARADOR INTERVERTEBRAL CLOWARD # 2, 75 MM X 40 MM</t>
  </si>
  <si>
    <t>SEPARADOR INTERVERTEBRAL CLOWARD #1, 125 X 20MM</t>
  </si>
  <si>
    <t>SEPARADOR ISRAEL, 6 GARFIOS ROMOS</t>
  </si>
  <si>
    <t>SEPARADOR PARA LAMINECTOMIA SCOVILLE, BRAZOS CON ARTICULACIÓN, QUE INCLUYA JUEGO COMPLETO DE 4 PARES DE VALVAS</t>
  </si>
  <si>
    <t>SEPARADOR PARA LAMINECTOMIA SCOVILLE, BRAZOS SIN ARTICULACIÓN, QUE INCLUYA JUEGO COMPLETO DE 4 PARES DE VALVAS</t>
  </si>
  <si>
    <t>SISTEMA DE DISTRACCIÓN  DE CUERPOS VERTEBRALES CERVICAL CASPAR</t>
  </si>
  <si>
    <t>RETRACTOR, 4 GARFIOS, ROMO, MODELO FINO, LONGITUD 160 A 170 MM, DE ACERO INOXIDABLE</t>
  </si>
  <si>
    <t>RETRACTOR PARA LAMINECTOMIA  ADSON, SEMI-AGUDO 4 X 5 GARRAS, LONGITUD320 MM,  DE ACERO INOXIDABLE</t>
  </si>
  <si>
    <t>RETRACTOR HOHMANN CADERA, UNA PUNTA, ANCHO DE HOJA DE 19 MM, LONGITUDDE 22 A 23 CM.</t>
  </si>
  <si>
    <t>RETRACTOR DE AMPUTACIÓN PERCY, CENTRO FENESTRADO, DESMONTABLE, DIÁMETRO DE 30 - 31 CM.</t>
  </si>
  <si>
    <t>GANCHO PARA BASE DEL ESTRIBO DE FISCH, ANGULADO 90° HACIA ARRIBA, 0.2MM, LONGITUD ENTRE 16 Y 17 CM</t>
  </si>
  <si>
    <t>GANCHO DE FIJACIÓN DOBLE PARA ESTRABISMO, MUY AFILADO Y CORTO, LONGITUD DE 12 A 13 CM.</t>
  </si>
  <si>
    <t>RETRACTOR ORBITAL SCHEPENS, HOJA LISA DE 14 X 56 MM CON MUESCA DE 4.5MM, LONGITUD DE 14 A 15 CM.</t>
  </si>
  <si>
    <t>SEPARADOR SENN-MILLER, AGUDO/ROMO, UN EXTREMO CON 3 DIENTES AFILADOS DE 8 X 7 MM Y EL OTRO EXTREMO EN FORMA DE "L" DE 18 X 5.5 MM O MÁS, LONGITUD DE 16 - 17 CM</t>
  </si>
  <si>
    <t>SEPARADOR WALTER, DOBLE EXTREMO, MANDÍBULA DE 2 PUNTAS ROMAS.</t>
  </si>
  <si>
    <t>RETRACTOR COTTLE, DOBLE EXTREMOS ROMOS, UN EXTREMO CON HOJA DELICADA DE  3.6 MM x 14.1 MM Y EL OTRO EXTREMO CON GANCHO RANURADO Y PUNTAS ESFERICAS DE 10 MM DE ANCHO, LONGITUD DE 20 CM.</t>
  </si>
  <si>
    <t>RETRACTOR  COTTLE, VALVA CON ANCHO DE 12 MM Y PROFUNDIDAD DE 10 MM, LONDITUD DE 14 CM.</t>
  </si>
  <si>
    <t>GANCHO DE PIEL COTTLE, ANGULADO 180°, UNA PUNTA FUERTEMENTE CURVADO, LONGITUD DE 16 CM.</t>
  </si>
  <si>
    <t>SEPARADOR VOLKMANN, 3 GARFIOS SEMIAGUDO, LONGITUD DE 22 CM</t>
  </si>
  <si>
    <t>GANCHO PARA PIEL FREER, 2 PUNTAS, AGUDO, PROFUNDIDAD DE 2 MM, LONGITUD DE 15 CM.</t>
  </si>
  <si>
    <t>GANCHO PARA PIEL KILNER, 1 PUNTA, AGUDO, LONGITUD DE 16 CM.</t>
  </si>
  <si>
    <t>RETRACTOR TIPO OBWEGESER, CURVADO HACIA ABAJO, PROFUNDIDAD DE 25 MM YANCHO DE 7 MM, LONGITUD DE 21 - 22 CM</t>
  </si>
  <si>
    <t>GANCHO  PARA  CUERO  CABELLUDO CON PINZA TIPO RANEY, GRANDE</t>
  </si>
  <si>
    <t>GANCHO PARA CUERO CABELLUDO CON PINZA TIPO RANEY, PEQUEÑO</t>
  </si>
  <si>
    <t>GANCHO ADSON AGUDO PARA DURAMADRE, 200 MM</t>
  </si>
  <si>
    <t>GANCHO GUÍA PARA MICROLIGADURA MEDIO CURVO SLIGHTRY DE 18 CM</t>
  </si>
  <si>
    <t>GANCHO PARA ALAS DE LA NARIZ COTTLE, BOTÓN A LA DERECHA</t>
  </si>
  <si>
    <t>GANCHO PARA ESTRABISMO VON GRAEFE, # 2</t>
  </si>
  <si>
    <t>GANCHO PARA MÚSCULO CULLER</t>
  </si>
  <si>
    <t>GANCHO PARA PIEL TIPO JOSEPH, GARFIO DOBLE DE 10 MM DE ANCHO, 14-17 CMDE LONGITUD</t>
  </si>
  <si>
    <t>GANCHO PARA PIEL TIPO JOSEPH, GARFIO DOBLE DE 4-7 MM DE ANCHO, DE 14-17 CM DE LONGITUD</t>
  </si>
  <si>
    <t>GANCHO PARA PIEL TIPO JOSEPH, GARFIO UNICO, DE 14-17 CM DE LONGITUD</t>
  </si>
  <si>
    <t>GANCHO PARA TENOTOMÍA, HARDESTY, 180 GRADOS.</t>
  </si>
  <si>
    <t>GANCHO Y DISECTOR CRILE, PARA NERVIO, 32 CM</t>
  </si>
  <si>
    <t>SEPARADOR CORYLLOS # 1 PEQUEÑO</t>
  </si>
  <si>
    <t>SEPARADOR CORYLLOS # 3 GRANDE</t>
  </si>
  <si>
    <t>SEPARADOR ADSON, GARRAS 4X4 AGUDAS, 18-20 CM DE LONGITUD</t>
  </si>
  <si>
    <t>SEPARADOR DE NERVIO KRAYENBUHL, GANCHO GRANDE, DE  21-22 CM DE LONGITUD</t>
  </si>
  <si>
    <t>SEPARADOR DE NERVIO KRAYENBUHL, GANCHO PEQUEÑO, DE  18-20 CM DE LONGITUD</t>
  </si>
  <si>
    <t>SEPARADOR DE NERVIOS LOVE, RECTO, 19-20 CM DE LONGITUD</t>
  </si>
  <si>
    <t>SEPARADOR DE SACO LAGRIMAL KNAPP 4 GARRAS ROMAS.</t>
  </si>
  <si>
    <t>SEPARADOR DE TENDON BUNNELL ANGULADO 5 3/8"</t>
  </si>
  <si>
    <t>SEPARADOR DOBLE BABY-SENN MILLER, GARRAS AGUDAS</t>
  </si>
  <si>
    <t>SEPARADOR DOBLE BABY-SENN MILLER, GARRAS ROMA</t>
  </si>
  <si>
    <t>SEPARADOR JEFERSON, CURVO, 3 X 4 GARRAS ROMA</t>
  </si>
  <si>
    <t>SEPARADOR MEYERDING, CON 3 GARRAS AGUDAS, HOJA DE 3-4 MM DE ANCHO Y 6-7 MM DE PROFUNDIDAD</t>
  </si>
  <si>
    <t>SEPARADOR MEYERDING, CON 3 GARRAS AGUDAS, HOJA DE 5-6 MM DE ANCHO Y 16-17 MM DE PROFUNDIDAD</t>
  </si>
  <si>
    <t>SEPARADOR MEYERDING, CON 3 GARRAS AGUDAS, HOJA DE 5-6 MM DE ANCHO Y 9-10 MM DE PROFUNDIDAD</t>
  </si>
  <si>
    <t>SEPARADOR MEYERDING, SIN GARRAS, HOJA DE 3-4 MM DE ANCHO Y 7-8 MM DE PROFUNDIDAD</t>
  </si>
  <si>
    <t>SEPARADOR MEYERDING, SIN GARRAS, HOJA DE 3-4 MM DE ANCHO Y 9-10 MM DEPROFUNDIDAD</t>
  </si>
  <si>
    <t>SEPARADOR MEYERDING, SIN GARRAS, HOJA DE 6-7 MM DE ANCHO Y 17-18 MM DEPROFUNDIDAD</t>
  </si>
  <si>
    <t>SEPARADOR VOLKMAN, 6 GARFIOS AGUDOS</t>
  </si>
  <si>
    <t>SEPARADOR VOLKMAN, 6 GARFIOS ROMOS</t>
  </si>
  <si>
    <t>SEPARADOR VOLKMAN, 6 GARFIOS SEMI AGUDOS</t>
  </si>
  <si>
    <t>SEPARADOR DOBLE SENN MILLER, GARRAS AGUDAS</t>
  </si>
  <si>
    <t>SEPARADOR DOBLE SENN MILLER, GARRAS ROMAS</t>
  </si>
  <si>
    <t>RETRACTOR DE ATRIO IZQUIERDO COOLEY 25 MM  DE PROFUNDIDAD x 20 MM DE ANCHO Y LONGITUD DE 240 A 250 MM, DE ACERO INOXIDABLE</t>
  </si>
  <si>
    <t>RETRACTOR DE ATRIO IZQUIERDO COOLEY 25 MM  DE PROFUNDIDAD x 30 MM DE ANCHO Y LONGITUD DE 240 A 250 MM, DE ACERO INOXIDABLE</t>
  </si>
  <si>
    <t>RETRACTOR DE ATRIO IZQUIERDO COOLEY 25 MM  DE PROFUNDIDAD x 35 MM DE ANCHO Y LONGITUD DE 240 A 250 MM, DE ACERO INOXIDABLE</t>
  </si>
  <si>
    <t>RETRACTOR DE ATRIO DERECHO COOLEY 25 MM DE PROFUNDIDAD x 20 MM DE ANCHO, LONGITUD DE  230 A 240 MM, DE ACERO INOXIDABLE</t>
  </si>
  <si>
    <t>RETRACTOR DE ATRIO DERECHO COOLEY 40 MM DE PROFUNDIDAD x 30 MM DE ANCHO, LONGITUD DE  230 A 240 MM, DE ACERO INOXIDABLE</t>
  </si>
  <si>
    <t>RETRACTOR DE ATRIO DERECHO COOLEY 40 MM DE PROFUNDIDAD x 35 MM DE ANCHO, LONGITUD DE  230 A 240 MM, DE ACERO INOXIDABLE</t>
  </si>
  <si>
    <t>RETRACTOR TIPO OBWEGESER, CURVADO HACIA ABAJO, PROFUNDIDAD DE 31 - 35MM Y ANCHO DE 10 MM, LONGITUD DE 21 - 22 CM</t>
  </si>
  <si>
    <t>RETRACTOR TIPO OBWEGESER, CURVADO HACIA ABAJO, PROFUNDIDAD DE 42 MM YANCHO DE 10- 11 MM, LONGITUD DE 21 - 22 CM.</t>
  </si>
  <si>
    <t>RETRACTOR TIPO OBWEGESER, CURVADO HACIA ABAJO, PROFUNDIDAD DE 55 MM YANCHO DE 12 MM, LONGITUD DE 21 - 22 CM</t>
  </si>
  <si>
    <t>RETRACTOR TIPO OBWEGESER, CURVADO HACIA ABAJO, PROFUNDIDAD DE 70 MM YANCHO DE 14 MM, LONGITUD DE 21 - 22 CM</t>
  </si>
  <si>
    <t>GRAPA W2A</t>
  </si>
  <si>
    <t>ARCO PARA DIQUE DE GOMA DE 12.5 X 12.5CM, METÁLICO O PLÁSTICO</t>
  </si>
  <si>
    <t>GRAPA # 210</t>
  </si>
  <si>
    <t>GRAPA # 2</t>
  </si>
  <si>
    <t>GRAPA # 6</t>
  </si>
  <si>
    <t>ARCO PARA DIQUE DE GOMA DE 15 X 15 CM, METÁLICO O PLÁSTICO</t>
  </si>
  <si>
    <t>TIJERA SCHMIDEN TAYLOR PARA DURAMADRE DE 15 A 17 CM DE LONGITUD</t>
  </si>
  <si>
    <t>TIJERA DE DISECCIÓN JOSEPH, CURVA, PATRÓN DELICADO, PUNTA AGUDA, LONGITUD 14-15 CM.</t>
  </si>
  <si>
    <t>TIJERA DE DISECCIÓN KILNER, CURVA, PATRÓN DELICADO, PUNTA ROMA, LONGITUD 15 CM.</t>
  </si>
  <si>
    <t>TIJERA DE DISECCIÓN  METZENBAUM, CURVA, DE 17-20 CM DE LONGITUD</t>
  </si>
  <si>
    <t>TIJERA DE DISECCIÓN  METZENBAUM, CURVA, DE 22-25 CM DE LONGITUD</t>
  </si>
  <si>
    <t>TIJERA DE DISECCIÓN  METZENBAUM, RECTA, DE 13-15 CM DE LONGITUD</t>
  </si>
  <si>
    <t>TIJERA DE DISECCIÓN  METZENBAUM, RECTA, DE 17-20 CM DE LONGITUD</t>
  </si>
  <si>
    <t>TIJERA DE DISECCIÓN METZENBAUM, CURVA, DE 13 -15 CM DE LONGITUD</t>
  </si>
  <si>
    <t>TIJERA DE DISECCIÓN METZENBAUM, RECTA, DE 22-25 CM DE LONGITUD</t>
  </si>
  <si>
    <t>TIJERA MAYO UTERINA, CURVA, DE 20-25 CM  DE LONGITUD</t>
  </si>
  <si>
    <t>TIJERA MAYO, RECTA DE 20-25  CM  DE LONGITUD</t>
  </si>
  <si>
    <t>TIJERA NELSON METZENBAUM, CURVA, DE 27-30 CM DE LONGITUD</t>
  </si>
  <si>
    <t>TIJERA NELSON METZENBAUM, RECTA, DE 27-30 CM DE LONGITUD</t>
  </si>
  <si>
    <t>TIJERA NELSON, CURVA, DE 20- 23 CM DE LONGITUD</t>
  </si>
  <si>
    <t>TIJERA NELSON, RECTA, DE 20-23 CM DE LONGITUD</t>
  </si>
  <si>
    <t>MICROTIJERA AGUDA PUNTA RECTA MANGO REDONDO LONGITUD 14 - 16 CM, HOJADE ACERO INOXIDABLE</t>
  </si>
  <si>
    <t>TIJERA DE DISECCIÓN NELSON- METZENBAUM, CURVA, LONGITUD DE 230 MM, DEACERO INOXIDABLE</t>
  </si>
  <si>
    <t>TIJERA QUIRÚRGICA, RECTA, ROMA, ROMA, DE 100-125 MM DE LONGITUD</t>
  </si>
  <si>
    <t>TIJERA COTTLE MASING, CURVA, AGUDA AGUDA, DE 10-12 CM DE  LONGITUD</t>
  </si>
  <si>
    <t>TIJERA COTTLE MASING, CURVA, ROMA ROMA, DE 10-12 CM DE  LONGITUD</t>
  </si>
  <si>
    <t>TIJERA DE DISECCIÓN METZENBAUM, CURVA, CORTE DELICADO, DE 13-17 CM DELONGITUD</t>
  </si>
  <si>
    <t>TIJERA EN BAYONETA MALIS, CURVA HACIA ABAJO, PUNTA REGULAR</t>
  </si>
  <si>
    <t>TIJERA EN BAYONETA MALIS, CURVA HACIA ARRIBA, PUNTA REGULAR</t>
  </si>
  <si>
    <t>TIJERA EN BAYONETA MALIS, RECTA, PUNTA FINA</t>
  </si>
  <si>
    <t>TIJERA GORNEY, CURVA, SEMI AGUDA, HOJA CERRADA, DE 125-150 MM DE LONGITUD</t>
  </si>
  <si>
    <t>TIJERA GORNEY, RECTA, SEMI AGUDA, HOJA CERRADA, DE 125-150 MM DE LONGITUD</t>
  </si>
  <si>
    <t>TIJERA KNAPP, AGUDA, CURVA, 10-11 CM DE LONGITUD</t>
  </si>
  <si>
    <t>TIJERA PARA DISECCIÓN FINA, CURVA, 12-14 CM DE LONGITUD</t>
  </si>
  <si>
    <t>TIJERA PARA DISECCIÓN FINA, RECTA, 12-14 CM DE LONGITUD</t>
  </si>
  <si>
    <t>TIJERA PARA TENOTOMÍA STEVENS, CURVA, AGUDA AGUDA</t>
  </si>
  <si>
    <t>TIJERA PARA TENOTOMÍA STEVENS, RECTA, AGUDA AGUDA</t>
  </si>
  <si>
    <t>TIJERA PARA TENOTOMÍA WESTCOTT, CURVA HACIA LA DERECHA, ROMA ROMA</t>
  </si>
  <si>
    <t>TIJERA PARA TENOTOMÍA WESTCOTT, CURVA HACIA LA IZQUIERDA, ROMA ROMA</t>
  </si>
  <si>
    <t>TIJERA QUIRÚRGICA, CURVA, AGUDA-AGUDA, 100-125 MM DE LONGITUD</t>
  </si>
  <si>
    <t>TIJERA QUIRÚRGICA, CURVA, AGUDA-ROMA, 100-125 MM DE LONGITUD</t>
  </si>
  <si>
    <t>TIJERA QUIRÚRGICA, RECTA, AGUDA-AGUDA, 100-125 MM DE LONGITUD</t>
  </si>
  <si>
    <t>TIJERA QUIRÚRGICA, RECTA, AGUDA-ROMA, 100-125 MM DE LONGITUD</t>
  </si>
  <si>
    <t>MICRO TIJERA 60° PUNTA AGUDO/AGUDO, LONGITUD 165 MM, NEGRO SUPREMO, DEACERO INOXIDABLE ANTIREFLECTANTE.</t>
  </si>
  <si>
    <t>MICRO TIJERA 90° PUNTA AGUDO/AGUDO, LONGITUD 165 MM, NEGRO SUPREMO, DEACERO INOXIDABLE ANTIREFLECTANTE.</t>
  </si>
  <si>
    <t>MICRO TIJERA 125° PUNTA AGUDO/AGUDO, LONGITUD 165MM, NEGRO SUPREMO, DEACERO INOXIDABLE ANTIREFLECTANTE.</t>
  </si>
  <si>
    <t>MICRO TIJERA 25° PUNTA AGUDO/AGUDO, LONGITUD 165MM, NEGRO SUPREMO, DEACERO INOXIDABLE ANTIREFLECTANTE.</t>
  </si>
  <si>
    <t>MICRO TIJERA 45° PUNTA AGUDO/AGUDO, LONGITUD 165MM, NEGRO SUPREMO, DEACERO INOXIDABLE ANTIREFLECTANTE.</t>
  </si>
  <si>
    <t>TIJERA PARA ENCÍA, CURVA DENTADA GOLDMAN-FOX</t>
  </si>
  <si>
    <t>TIJERA CORTADORA DE ALAMBRE CON MUESCA, DE 11 A 13 CM DE LONGITUD</t>
  </si>
  <si>
    <t>TIJERA PARA ENCÍA IRIS, RECTA, DE 11 A 12 CM DE LONGITUD</t>
  </si>
  <si>
    <t>TIJERA PARA TENECTOMÍA ESTÁNDAR, CURVA CON PUNTA ROMA, LONGITUD DE 11A 12 CM.</t>
  </si>
  <si>
    <t>TIJERA FISCH PARA CRUROTOMIA, CURVA A LA DERECHA, LONGITUD UTIL ENTRE7 Y 8 CM</t>
  </si>
  <si>
    <t>TIJERA FISCH-BELLUCCI, HOJA EXTRA DELICADA, LONGITUD DE CORTE 7 MM, LONGITUD ÚTIL 8 A 9 CM</t>
  </si>
  <si>
    <t>TIJERA NASAL HEYMANN-KNIGHT, RECTA, VÁSTAGOS EN ÁNGULO, ROMA-ROMA, LONGITUD DE 17 - 19 CM</t>
  </si>
  <si>
    <t>TIJERA GRAEFE, ANGULADA, PUNTAS ROMA-ROMA, DELICADA, MORDAZA EN ÁNGULO60°, LONGITUD DE 10 CM</t>
  </si>
  <si>
    <t>TIJERA KLEINSTASSER DERECHA 25CM</t>
  </si>
  <si>
    <t>TIJERA KLEINSTASSER RECTA 25CM</t>
  </si>
  <si>
    <t>TIJERA CASTROVIEJO PARA CAPSULOTOMÍA AGUDA ROMA.</t>
  </si>
  <si>
    <t>TIJERA BRAUN PARA EPISIOTOMÍA, DE 12-15CM DE LONGITUD</t>
  </si>
  <si>
    <t>TIJERA BRAUN PARA EPISIOTOMÍA, DE 20-22CM DE LONGITUD</t>
  </si>
  <si>
    <t>TIJERA CORNEAL TROUTMAN CASTROVIEJO DERECHA CON FIJACIÓN.</t>
  </si>
  <si>
    <t>TIJERA CORNEAL TROUTMAN CASTROVIEJO IZQUIERDO CON FIJACIÓN.</t>
  </si>
  <si>
    <t>TIJERA DE KERATOPLASTIA Y KERATECTOMIA, CASTROVIEJO, PUNTA 17 MM, MANUBRIO ANCHO ASERRADO</t>
  </si>
  <si>
    <t>TIJERA PARA ESTRABISMO KNAPP, MEDIO CURVA.</t>
  </si>
  <si>
    <t>TIJERA PARA ESTRABISMO KNAPP, RECTA</t>
  </si>
  <si>
    <t>TIJERA PARA IRIDECTOMÍA VANNAS, CORTE ANGULADO.</t>
  </si>
  <si>
    <t>TIJERA PARA IRIDECTOMÍA VANNAS, CORTE RECTO.</t>
  </si>
  <si>
    <t>TIJERA PARA KERATOPLASTIA CASTROVIEJO ANGULADA.</t>
  </si>
  <si>
    <t>TIJERA PARA TENOTOMÍA STEVENS, CURVA, ROMA ROMA</t>
  </si>
  <si>
    <t>TIJERA PARA TENOTOMÍA STEVENS, RECTA, ROMA ROMA</t>
  </si>
  <si>
    <t>TIJERA SIMS, RECTA, 20-22CM DE LONGITUD</t>
  </si>
  <si>
    <t>TIJERAS NASALES LONGITUD UTIL 13-15 CM CURVA A LA DERECHA</t>
  </si>
  <si>
    <t>TIJERAS NASALES LONGITUD UTIL 13-15 CM CURVA A LA IZQUIERDA</t>
  </si>
  <si>
    <t>TIJERAS NASALES LONGITUD UTIL 13-15 CM RECTAS</t>
  </si>
  <si>
    <t>TIJERA CURVA PARA CUELLO UTERINO TIPO BOZEMAN</t>
  </si>
  <si>
    <t>TIJERA DE SUTURA, CURVA, ROMA/ROMA, LONGITUD 18 CM.</t>
  </si>
  <si>
    <t>TIJERA QUIRÚRGICA, RECTA, PUNTA AGUDA/ROMA, LONGITUD DE 14 - 15 CM.</t>
  </si>
  <si>
    <t>TIJERA DE SUTURA, CURVA, PUNTA ROMA/ROMA, LONGITUD 14-15 CM</t>
  </si>
  <si>
    <t>TIJERA PARA CURACIÓN TIPO LISTER, 125-175 MM DE LONGITUD</t>
  </si>
  <si>
    <t>TIJERA PARA CURACIÓN TIPO LISTER, 20-22 CM DE LONGITUD</t>
  </si>
  <si>
    <t>TIJERA SPENCER O LITTAUER,  PARA RETIRO DE PUNTOS, DE 125-150 MM DE LONGITUD</t>
  </si>
  <si>
    <t>MICROTIJERA PUNTA CURVA ROMA MANGO REDONDO LONGITUD DE 14 - 16 CM DE ACERO INOXIDABLE</t>
  </si>
  <si>
    <t>MICROTIJERA DE MULLER CURVA CON MANGOS DE PLÁSTICO LIGERO  CON PUNTA ROMA, LONGITUD 12 CM.</t>
  </si>
  <si>
    <t>MICROTIJERA DE ADVENTICIA, AGUDA CERRADA, HOJA DE 14 MM, LONGITUD 15 CM, MANGO REDONDO, ACERO, TITANIO.</t>
  </si>
  <si>
    <t>MICROTIJERA MALIS DE TITANIO EN FORMA DE BAYONETA, LONGITUD 23 - 24 CM,DISTANCIA DE TRABAJO 95MM, RECTA, HOJAS FINAS.</t>
  </si>
  <si>
    <t>MICROTIJERA MALIS DE TITANIO EN FORMA DE BAYONETA, LONGITUD 23 - 24 CM, DISTANCIA DE TRABAJO 95 MM, RECTA, HOJAS REGULARES.</t>
  </si>
  <si>
    <t>MICROTIJERA NEUROVASCULAR DE SPETZLER DE TITANIO EN FORMA DE BAYONETA,LONGITUD 24 - 25 CM, DISTANCIA DE TRABAJO 100MM, TAMAÑO HOJA 100 MM PUNTA RECTA.</t>
  </si>
  <si>
    <t>MICROTIJERA RHOTON DE TITANIO DE 24 - 25 CM DE LONGITUD, DISTANCIA DETRABAJO 89 MM PUNTA RECTA.</t>
  </si>
  <si>
    <t>MICROTIJERA WACHTEL PARA CORTAR SUTURA DE 18 - 19 CM DE LARGO, HOJAS CURVAS.</t>
  </si>
  <si>
    <t>MICROTIJERA YASARGIL EN FORMA DE BAYONETA, HOJAS RECTAS DE 22 - 23 CMDE LONGITUD, CON TRES AGUJEROS EN LOS MANGOS</t>
  </si>
  <si>
    <t>TIJERA PARA MICROBIOPSIA, VALVA SUPERIOR MOVIL, 18 CM</t>
  </si>
  <si>
    <t>TIJERA PARA MICROCIRUGÍA EN BAYONETA MALIS, PUNTA FINA, CURVA HACIA ARRIBA, DE 22-24 CM DE LONGITUD</t>
  </si>
  <si>
    <t>TIJERA PARA MICROCIRUGÍA EN BAYONETA MALIS, PUNTA REGULAR, CURVA HACIAARRIBA, DE 22-24 CM DE LONGITUD</t>
  </si>
  <si>
    <t>TIJERA PARA MICROCIRUGÍA EN BAYONETA RHOTON, CURVA, DE 20-22 CM DE LONGITUD</t>
  </si>
  <si>
    <t>TIJERA PARA MICROCIRUGÍA EN BAYONETA RHOTON, RECTA, DE 20-22 CM DE LONGITUD</t>
  </si>
  <si>
    <t>TIJERA PARA MICROCIRUGÍA LARÍNGEA CURVA A LA IZQUIERDA</t>
  </si>
  <si>
    <t>TIJERA PARA MICROCIRUGÍA MILLESI, DE RESORTE, RECTA, DE 15-17 CM DE LONGITUD</t>
  </si>
  <si>
    <t>TIJERA PARA MICROCIRUGÍA MILLESI, RECTA, HOJAS ASERRADAS, 16-17 CM DELONGITUD</t>
  </si>
  <si>
    <t>TIJERA PARA MICROCIRUGÍA, EN BAYONETA RECTA, REGULAR, DE 23-25 CM DE LONGITUD TOTAL</t>
  </si>
  <si>
    <t>TIJERA PARA MICRONEUROCIRUGÍA,CURVA,CORTE COMPLETO DE 18 CM</t>
  </si>
  <si>
    <t>TIJERA PARA DISECCIÓN FOMON 13 CM</t>
  </si>
  <si>
    <t>MICROTIJERA FISCH-BELLUCCI, HOJA EXTRA DELICADA, LONGITUD DE CORTE 3 MM, LONGITUD ÚTIL 8 A 9 CM</t>
  </si>
  <si>
    <t>TIJERA PARA LIGADURA CON INSERTO CARBURO DE TUNGSTENO DE 18 CM</t>
  </si>
  <si>
    <t>MICROTIJERA DE RESORTE PARA CIRUGÍA DE ARTERIAS CORONARIAS, RECTA, CONANGULACIÓN DE LA PUNTA DE 45°, ENTRE 16 A 18 CM DE LONGITUD</t>
  </si>
  <si>
    <t>MICROTIJERA DE RESORTE PARA CIRUGÍA DE ARTERIAS CORONARIAS, RECTA, CONANGULACIÓN DE LA PUNTA DE 60°, ENTRE 16 A 18 CM DE LONGITUD</t>
  </si>
  <si>
    <t>MICROTIJERA DE RESORTE PARA CIRUGÍA DE ARTERIAS CORONARIAS, RECTA, CONANGULACIÓN DE LA PUNTA DE 90°, ENTRE 16 A 18 CM DE LONGITUD</t>
  </si>
  <si>
    <t>MICROTIJERA DE RESORTE PARA CIRUGÍA DE ARTERIAS CORONARIAS, RECTA, CONANGULACIÓN DE LA PUNTA DE 125°, ENTRE 16 A 18 CM DE LONGITUD</t>
  </si>
  <si>
    <t>TIJERA MILLS, ANGULADA A 60º, 21-22 CM DE LONGITUD</t>
  </si>
  <si>
    <t>TIJERA POTTS DE MARTEL, ANGULADA A 45º, 18-19 CM DE LONGITUD</t>
  </si>
  <si>
    <t>TIJERA POTTS DE MARTEL, ANGULADA A 60º, 18-19 CM DE LONGITUD</t>
  </si>
  <si>
    <t>TIJERA POTTS DE MARTEL, ANGULADA A 60º, 21-22 CM DE LONGITUD</t>
  </si>
  <si>
    <t>TIJERA VASCULAR SATINSKY, CURVA, DE 23-25 CM DE LONGITUD</t>
  </si>
  <si>
    <t>TIJERA WESTCOTT, CURVA HACIA LA DERECHA, AGUDA AGUDA</t>
  </si>
  <si>
    <t>TIJERA WESTCOTT, CURVA HACIA LA DERECHA, AGUDA ROMA</t>
  </si>
  <si>
    <t>TIJERA WESTCOTT, CURVA HACIA LA IZQUIERDA, AGUDA AGUDA</t>
  </si>
  <si>
    <t>TIJERA WESTCOTT, CURVA HACIA LA IZQUIERDA, AGUDA ROMA</t>
  </si>
  <si>
    <t>TIJERA WESTCOTT, RECTA, AGUDA ROMA</t>
  </si>
  <si>
    <t>TIJERA WESTCOTT, RECTA, ROMA ROMA</t>
  </si>
  <si>
    <t>TTIJERA DEBAKEY  ANGULADO 60°, LONGITUD 220 A 230 MM, ACERO INOXIDABLECON INSERTO DE TUNGSTENO</t>
  </si>
  <si>
    <t>PERFORADOR DE FISCH, DIÁMETRO 0.3 MM, LONGITUD ENTRE 16 Y 17 CM</t>
  </si>
  <si>
    <t>PERFORADOR DE FISCH, DIÁMETRO 0.6 MM, LONGITUD ENTRE 16 Y 17 CM</t>
  </si>
  <si>
    <t>PERFORADOR DE FISCH, DIÁMETRO 0.8 MM, LONGITUD ENTRE 16 Y 17 CM</t>
  </si>
  <si>
    <t>TENOTOMO DE FISCH, FALCIFORME, EXTRA FINO, LONGITUD ENTRE 16 Y 17 CM</t>
  </si>
  <si>
    <t>DOBLADORA MANUAL DE PLACAS ESTÁNDAR, DE DOBLE EXTREMO, 25 CM DE LONGITUD, 6 MM DE DIÁMETRO EN UN EXTREMO Y 4 MM DE DIÁMETRO EN EL OTRO EXTREMO</t>
  </si>
  <si>
    <t>EXTENSOR DE 20° ESTÁNDAR, PARA EL SISTEMA DE CRANEÓTOMO</t>
  </si>
  <si>
    <t>EXTENSOR DE 20° EXTRALARGO, PARA EL SISTEMA DE CRANEÓTOMO</t>
  </si>
  <si>
    <t>HOJAS DE MICROBISTURÍ KARLIN DE 1.5 MM. SET</t>
  </si>
  <si>
    <t>INSTRUMENTAL PARA EXTRACCIÓN DE CLAVO BLOQUEADO DE FÉMUR, CONSISTENTEEN INSTRUMENTO DE EXTRACCIÓN Y ADAPTADOR PARA LA PIEZA EXTRACTORA</t>
  </si>
  <si>
    <t>MEDIDOR DE PROFUNDIDAD VERTEBRAL, DE 20-22 CM DE LONGITUD</t>
  </si>
  <si>
    <t>MOLDEADOR PARA RECTÁNGULO HARTSHILL DE 5 MM</t>
  </si>
  <si>
    <t>PROTECTOR DEL PASADOR DE ALAMBRE DEL NEURÁTOMO</t>
  </si>
  <si>
    <t>SET PARA EXTRACCIÓN DE VENA TIPO NABATOFF, QUE CONTENGA MANGO SUELTO,CABLE DE TRACCIÓN FLEXIBLE, PUNTA PLÁSTICA Y OLIVAS METÁLICAS EXTRACTORAS DE VENA</t>
  </si>
  <si>
    <t>DIAPASON ALUMINIO SIN PESO 12X30MM</t>
  </si>
  <si>
    <t>BROCA REDONDA PARA CRANEÓTOMO ENTRE 1.0 MM A 6.0 MM DE LONGITUD CORTANTE AMARILLA</t>
  </si>
  <si>
    <t>PIN GUÍA DE PERFORACIÓN DE 2.4 MM CON PUNTA TIPO ESPADA DE 4 MM CON OJAL ABIERTO</t>
  </si>
  <si>
    <t>FRESA DE BAJO PERFIL  DE DOBLE ASPA, CON DIÁMETRO DE PERFORACIÓN DE 7MM DE DIÁMETRO</t>
  </si>
  <si>
    <t>FRESA DE BAJO PERFIL  DE DOBLE ASPA, CON DIÁMETRO DE PERFORACIÓN DE 9MM DE DIÁMETRO</t>
  </si>
  <si>
    <t>FRESA DE BAJO PERFIL  DE DOBLE ASPA, CON DIÁMETRO DE PERFORACIÓN DE 10 MM DE DIÁMETRO</t>
  </si>
  <si>
    <t>FRESA DE BAJO PERFIL  DE DOBLE ASPA, CON DIÁMETRO DE PERFORACIÓN DE 8MM DE DIÁMETRO</t>
  </si>
  <si>
    <t>SISTEMA DE FIJACIÓN CORTICAL DE LONGITUD AJUSTABLE PARA REPARO DE LIGAMENTO CRUZADO ANTERIOR, CON BOTÓN DE TITANIO DE 3.4 MM Y LAZO DE POLIETILENO</t>
  </si>
  <si>
    <t>BRAZALETE DE 45 CM PARA TORNIQUETE NEUMÁTICO, CON VELCRO.</t>
  </si>
  <si>
    <t>BRAZALETE DE 85 CM PARA TORNIQUETE NEUMÁTICO, CON VELCRO.</t>
  </si>
  <si>
    <t>POSICIONADOR Y SOSTENEDOR PARA CIRUGÍA DE RODILLA, MODELO ALVARADO</t>
  </si>
  <si>
    <t>CAJA ORGANIZADORA AUTOCLAVABLE PARA ALMACENAMIENTO VERTICAL DE LIMAS DE ENDODONCIA</t>
  </si>
  <si>
    <t>GANCHOS COLGADORES DE 10 CLIPS, PARA RADIOGRAFÍAS   DENTALES</t>
  </si>
  <si>
    <t>GANCHOS DE UN CLIP, PARA RADIOGRAFÍAS DENTALES</t>
  </si>
  <si>
    <t>BANDEJA DE POLIETILENO DE ALTA DENSIDAD PARA INMERSIÓN DE INSTRUMENTALQUIRÚRGICO DE 2 LITROS, DE 325 X 176 X 150 MM INCLUYE CUBIERTA TRANSPARENTE CON CIERRE HERMÉTICO, BANDEJA PERFORADA REMOVIBLE Y UNA BASE.</t>
  </si>
  <si>
    <t>BANDEJA DE POLIETILENO DE ALTA DENSIDAD PARA INMERSIÓN  DE INSTRUMENTAL QUIRÚRGICO DE 10 LITROS, DE 530 X 235 X 150 MM INCLUYE CUBIERTA TRANSPARENTE CON CIERRE HERMÉTICO, BANDEJA PERFORADA REMOVIBLE Y UNA BASE.</t>
  </si>
  <si>
    <t>EXPANSOR MECANICO PARA INJERTOS DE PIEL (MALLADOR)</t>
  </si>
  <si>
    <t>CUCHILLO CRANE KAPLAN O  CRANE CAPLAN, DE DOBLE EXTREMO, CK 6</t>
  </si>
  <si>
    <t>CUCHILLO RECTO  COTTLE, HOJA RÍGIDA, FILO REDONDEADO, LONGITUD DE 14 -15 CM</t>
  </si>
  <si>
    <t>CUCHILLO PARA CORTAR CARTÍLAGO MASING, PUNTA EN FORMA DE FECHA, LONGITUD DE 13 - 14 CM</t>
  </si>
  <si>
    <t>CUCHILLO EN LANCETA ROSEN, TRIANGULAR, PUNTA REDONDEADA EN ÁNGULO HACIA ARRIBA 45°, TAMAÑO 3 X 3 MM, LONGITUD 15 - 17 CM.</t>
  </si>
  <si>
    <t>AGUJA DE WULLSTEIN, LEVE CURVATURA, PUNTA PUNTIAGUDA, LONGITUD DE 16 -17 CM.</t>
  </si>
  <si>
    <t>AGUJA DE WULLSTEIN, CURVA, PUNTA PUNTIAGUDA, LONGITUD DE 16 - 17 CM.</t>
  </si>
  <si>
    <t>AGUJA PARA SUTURA REVERDIN, RECTA, LONGITUD DE 24 - 25 CM.</t>
  </si>
  <si>
    <t>AGUJA PARA SUTURA REVERDIN, CURVA, LONGITUD DE 24 - 25 CM.</t>
  </si>
  <si>
    <t>AGUJA EXPLORADORA ELSBERG, GRADUADA, DIÁMETRO 7 FRENCH, 14-16 CM DE LONGITUD</t>
  </si>
  <si>
    <t>AGUJA EXPLORADORA ELSBERG, GRADUADA, DIÁMETRO 9 FRENCH, 14-16 CM DE LONGITUD</t>
  </si>
  <si>
    <t>AGUJA PARA PUNCIÓN VENTRICULAR FRAZIER, CON MANDRIL,  GRADUADA EN CENTIMETROS, DIÁMETRO 9 FRENCH (3MM), 9-10 CM DE LONGITUD</t>
  </si>
  <si>
    <t>BISTURÍ ABOTONADO JOSEPH, RECTO.</t>
  </si>
  <si>
    <t>BISTURÍ ABOTONADO CONVERSE, CURVO, 15-18 CM DE LONGITUD</t>
  </si>
  <si>
    <t>BISTURÍ DE DOBLE FILO, JOSEPH, PUNTA AGUDA.</t>
  </si>
  <si>
    <t>BISTURÍ LARÍNGEO OVAL, RECTO, LONGITUD 23 CM</t>
  </si>
  <si>
    <t>BISTURÍ LARÍNGEO PUNTIAGUDO CURVO LONGITUD 23 CM</t>
  </si>
  <si>
    <t>BISTURÍ LARÍNGEO REDONDO, CORTE VERTICAL LONGITUD 23CM</t>
  </si>
  <si>
    <t>BISTURÍ LARÍNGEO REDONDO, CURVO HACIA ARRIBA LONGITUD 23 CM</t>
  </si>
  <si>
    <t>CUCHILLO AGNEW</t>
  </si>
  <si>
    <t>CUCHILLO EN BAYONETA BALLENGER 4MM, HOJA MÓVIL.</t>
  </si>
  <si>
    <t>CUCHILLO EN BAYONETA KILLIAN-CLAUS, 17 - 18 CM DE LONGITUD</t>
  </si>
  <si>
    <t>CUCHILLO PARA MUCOSA FREER, HOJA ANGULADA, DE 15-18 CM DE LONGITUD</t>
  </si>
  <si>
    <t>CUCHILLO PARA OIDO ROYCE ANGULAR NO REVERSIBLE 18 CM</t>
  </si>
  <si>
    <t>CUCHILLO PARA RINOPLASTIA, DOBLE FILO, 13-14 CM DE LONGITUD</t>
  </si>
  <si>
    <t>CUCHILLO PARA SEPTUM COTTLE, CON PUNTA REDONDEADA, 14-15 CM DE LONGITUD</t>
  </si>
  <si>
    <t>CUCHILLO Y DISECTOR DE AMÍGDALA FISHER, 20-22 CM DE LONGITUD</t>
  </si>
  <si>
    <t>ESTERNOTOMO LEBSCHE</t>
  </si>
  <si>
    <t>MANGO DE BISTURÍ # 3, DE 12 A 13 CM DE LARGO</t>
  </si>
  <si>
    <t>MANGO DE BISTURÍ # 4, DE 12 A 13 CM DE LARGO</t>
  </si>
  <si>
    <t>MANGO PARA BISTURÍ # 3L, DE 20  A 22 CM DE LARGO</t>
  </si>
  <si>
    <t>MANGO PARA BISTURÍ # 4L, DE 20 CM A 22 CM DE LARGO</t>
  </si>
  <si>
    <t>MANGO PARA BISTURÍ # 7, DE 16 A 17 CM DE LARGO</t>
  </si>
  <si>
    <t>PINZA LARÍNGEA JACKSON PARA CUERPO EXTRAÑO 34 CM</t>
  </si>
  <si>
    <t>DERMÁTOMO DE WATSON, ESPESOR DE CORTE AJUSTABLE DE 0.1 MM A 1.2 MM, ANCHO MÁXIMO DE CORTE 157 MM, LONGITUD TOTAL DE 30 - 31 CM.</t>
  </si>
  <si>
    <t>ALICATE PARA CORTAR ALAMBRE, CORTE FRONTAL Y LATERAL, PARA ALAMBRE DEUN DIÁMETRO MÁXIMO DE 3.0 MM</t>
  </si>
  <si>
    <t>ALICATE PARA CORTAR ALAMBRE, CORTE FRONTAL, PARA ALAMBRE DE UN DIÁMETRO MÁXIMO DE 1.0 MM</t>
  </si>
  <si>
    <t>ALICATE PARA CORTAR ALAMBRE, CORTE FRONTAL, PARA ALAMBRE DE UN DIÁMETRO MÁXIMO DE 2.0 MM</t>
  </si>
  <si>
    <t>ALICATE PARA CORTAR ALAMBRE, CORTE FRONTAL, PARA ALAMBRE DE UN DIÁMETRO MÁXIMO DE 3.0 MM</t>
  </si>
  <si>
    <t>ALICATE PARA CORTAR ALAMBRE, CORTE FRONTAL, PARA ALAMBRE DE UN DIÁMETRO MÁXIMO DE 7.5 MM</t>
  </si>
  <si>
    <t>ALICATE PARA CORTAR ALAMBRE, CORTE LATERAL, PARA ALAMBRE DE UN DIÁMETRO MÁXIMO DE 1.0 MM</t>
  </si>
  <si>
    <t>ALICATE PARA CORTAR ALAMBRE, CORTE LATERAL, PARA ALAMBRE DE UN DIÁMETRO MÁXIMO DE 2.0 MM</t>
  </si>
  <si>
    <t>ALICATE PARA CORTAR ALAMBRE, CORTE LATERAL, PARA ALAMBRE DE UN DIÁMETRO MÁXIMO DE 3.0 MM</t>
  </si>
  <si>
    <t>ALICATE PARA CORTAR ALAMBRE, CORTE LATERAL, PARA ALAMBRE DE UN DIÁMETRO MÁXIMO DE 7.5 MM</t>
  </si>
  <si>
    <t>TENAZA PARA COGER ALAMBRE, DE 15-18 CM DE LONGITUD</t>
  </si>
  <si>
    <t>TENAZA PARA CORTAR ALAMBRE, CORTE LATERAL,  LONGITUD DE 16 - 17 CM.</t>
  </si>
  <si>
    <t>ABREBOCA DINGMAN, COMPLETO CON SUS HOJAS BAJALENGUA</t>
  </si>
  <si>
    <t>ABREBOCA WHITHEAD-JENNINGS, DE 4½"-5" (11-13 CM)</t>
  </si>
  <si>
    <t>APLICADOR DE ALGODÓN FARRELL, METÁLICO, EN ESPIRAL, DE 11-14 CM DE LONGITUD</t>
  </si>
  <si>
    <t>APLICADOR DE ALGODÓN FARRELL, METÁLICO, EN ESPIRAL, DE 18-20 CM DE LONGITUD</t>
  </si>
  <si>
    <t>APLICADOR DE ALGODÓN LATHBURY-FARRELL, METÁLICO, TRIANGULAR, DE 11-14CM DE LONGITUD</t>
  </si>
  <si>
    <t>APLICADOR DE ALGODÓN LATHBURY-FARRELL, METÁLICO, TRIANGULAR, DE 18-20CM DE LONGITUD</t>
  </si>
  <si>
    <t>ESPACIADOR PALMAR DE GUTAPERCHA PARTE ACTIVA DE 0.20 A 0.25 MM DE DIÁMETRO, DE 27 A 31 MM DE LONGITUD</t>
  </si>
  <si>
    <t>CONDENSADOR Y APLICADOR METÁLICO DE MATERIAL ANTIADHERENTE, DOBLE EXTREMO PARA OBTURACIONES DE RESINA</t>
  </si>
  <si>
    <t>ESPACIADOR PALMAR DE GUTAPERCHA PARTE ACTIVA DE 0.23 A 0.25 MM DE DIÁMETRO Y DE 21 A 25 MM DE LONGITUD</t>
  </si>
  <si>
    <t>SEPARADOR TIPO MINNESOTA O CAWOOD MINNESOTA</t>
  </si>
  <si>
    <t>ABREBOCA DENHART INOXIDABLE</t>
  </si>
  <si>
    <t>LEZNA PARA ARCO CIGAMATICO, TIPO OBWEGESER, DE 22 A 24 CM DE LONGITUD</t>
  </si>
  <si>
    <t>LEZNA PARA MANDÍBULA TIPO OBWEGESER, DE 13 A 15 CM DE LONGITUD</t>
  </si>
  <si>
    <t>DEPRESOR DE LENGUA, TIPO WIEDER DE 14 A 15 CM, PARTE ACTIVA ANCHO DE 25 A 40 MM</t>
  </si>
  <si>
    <t>APLICADOR METÁLICO PARA CEMENTO DE HIDRÓXIDO DE CALCIO (CA(OH)2)</t>
  </si>
  <si>
    <t>APLICADOR Y CONDENSADOR DE CEMENTO, TIPO WOODSON# 2, INOXIDABLE</t>
  </si>
  <si>
    <t>ESPÁTULA PARA CEMENTO DOBLE EXTREMO INOXIDABLE</t>
  </si>
  <si>
    <t>APLICADOR METÁLICO ANTIADHERENTE DE DOBLE EXTREMO PARA OBTURACIONES DERESINA</t>
  </si>
  <si>
    <t>CONDENSADOR METÁLICO DE MATERIAL ANTIADHERENTE DOBLE EXTREMO PARA OBTURACIONES DE RESINA</t>
  </si>
  <si>
    <t>BAJA LENGUA METÁLICO RUSSEL #DAVIS # 1, HOJA ESTRECHA DE 19 X 62 MM O18 X 60 MM, CON RANURA CENTRAL, LONGITUD DE 13 - 14 CM.</t>
  </si>
  <si>
    <t>BAJA LENGUA METÁLICO RUSSEL # DAVIS # 2, HOJA ESTRECHA DE 22 X 67 MM O22 X 71 MM, CON RANURA CENTRAL, LONGITUD DE 13 - 14 CM.</t>
  </si>
  <si>
    <t>BAJA LENGUA METÁLICO RUSSEL # DAVIS # 3, HOJA ESTRECHA DE 25 X 75 MM O25 X 80 MM, CON RANURA CENTRAL, LONGITUD DE 13 - 14 CM.</t>
  </si>
  <si>
    <t>BAJA LENGUA METÁLICO RUSSEL # DAVIS # 4, HOJA ESTRECHA DE 27 X 83 MM,CON RANURA CENTRAL, LONGITUD DE 13 - 14 CM.</t>
  </si>
  <si>
    <t>BAJA LENGUA METÁLICO RUSSEL  DAVIS # 5, HOJA ESTRECHA DE 34 X 90 MM,CON RANURA CENTRAL, LONGITUD DE 13 - 14 CM.</t>
  </si>
  <si>
    <t>DEPRESOR DE LENGUA BRUENINGS, CURVO, FENESTRADO, LONGITUD 19 CM.</t>
  </si>
  <si>
    <t>PINZA PARA VENDAJE Y TORUNDAS, CURVA, MANDÍBULAS DENTADAS, LONGITUD DE18 CM.</t>
  </si>
  <si>
    <t>CLIP DE ANEURISMA MCFADDEN, ANGULADO 30º HACIA ADELANTE, 15 MM DE LONGITUD DE QUIJADA, 7 MM DE APERTURA</t>
  </si>
  <si>
    <t>CLIP DE ANEURISMA MCFADDEN, ANGULADO 30º HACIA DELANTE, 12 MM DE LONGITUD DE QUIJADA, 7 MM DE APERTURA</t>
  </si>
  <si>
    <t>CLIP DE ANEURISMA MCFADDEN, ANGULADO 30º, 7 MM DE LONGITUD DE QUIJADA,6 MM DE APERTURA</t>
  </si>
  <si>
    <t>CLIP DE ANEURISMA MCFADDEN, ANGULADO 30º, 9 MM DE LONGITUD DE QUIJADA,6 MM DE APERTURA</t>
  </si>
  <si>
    <t>CLIP DE ANEURISMA MCFADDEN, ANGULADO A LA DERECHA, 15 MM DE LONGITUD DE QUIJADA, 6 MM DE APERTURA</t>
  </si>
  <si>
    <t>CLIP DE ANEURISMA MCFADDEN, ÁNGULO DERECHO, 7.5 MM DE LONGITUD DE QUIJADA, 6 MM DE APERTURA</t>
  </si>
  <si>
    <t>CLIP DE ANEURISMA MCFADDEN, CURVO HACIA ADELANTE, 16 MM DE LONGITUD DEQUIJADA, 6 MM DE APERTURA</t>
  </si>
  <si>
    <t>CLIP DE ANEURISMA MCFADDEN, CURVO, 12 MM DE LONGITUD DE QUIJADA, 8 MMDE APERTURA</t>
  </si>
  <si>
    <t>CLIP DE ANEURISMA MCFADDEN, EN BAYONETA, 30º CURVO IZQUIERDO, 9 MM DELONGITUD DE QUIJADA, 5 MM DE APERTURA</t>
  </si>
  <si>
    <t>CLIP DE ANEURISMA MCFADDEN, EN BAYONETA, ANGULADO 30º, CURVO A LA DERECHA, 7 MM DE LONGITUD DE QUIJADA, 5 MM DE APERTURA</t>
  </si>
  <si>
    <t>CLIP DE ANEURISMA MCFADDEN, EN BAYONETA, ANGULADO 30º, CURVO A LA IZQUIERDA, 7 MM DE LONGITUD DE QUIJADA, 5 MM DE APERTURA</t>
  </si>
  <si>
    <t>CLIP DE ANEURISMA MCFADDEN, EN BAYONETA, RECTO, 12 MM DE LONGITUD DE QUIJADA, 8 MM DE APERTURA</t>
  </si>
  <si>
    <t>CLIP DE ANEURISMA MCFADDEN, EN BAYONETA, RECTO, 15 MM DE LONGITUD DE QUIJADA, 8 MM DE APERTURA</t>
  </si>
  <si>
    <t>CLIP DE ANEURISMA MCFADDEN, EN BAYONETA, RECTO, 7 MM DE LONGITUD DE QUIJADA, 7 MM DE APERTURA</t>
  </si>
  <si>
    <t>CLIP DE ANEURISMA MCFADDEN, EN BAYONETA, RECTO, 9 MM DE LONGITUD DE QUIJADA, 7 MM DE APERTURA</t>
  </si>
  <si>
    <t>CLIP DE ANEURISMA MCFADDEN, FENESTRADO, ANGULADO 45°, 20 MM DE LONGITUD DE QUIJADA, 5 MM DE APERTURA</t>
  </si>
  <si>
    <t>CLIP DE ANEURISMA MCFADDEN, FENESTRADO, ANGULADO 45º, 16 MM DE LONGITUD DE QUIJADA, 5 MM DE APERTURA</t>
  </si>
  <si>
    <t>CLIP DE ANEURISMA MCFADDEN, FENESTRADO, ANGULADO 45º, 24 MM DE LONGITUD DE QUIJADA, 5 MM DE APERTURA</t>
  </si>
  <si>
    <t>CLIP DE ANEURISMA MCFADDEN, FENESTRADO, ANGULADO 45º, 6 MM DE LONGITUDDE QUIJADA, 4 MM DE APERTURA</t>
  </si>
  <si>
    <t>CLIP DE ANEURISMA MCFADDEN, FENESTRADO, ANGULADO 90º, 6 MM DE LONGITUDDE QUIJADA, 5 MM DE APERTURA</t>
  </si>
  <si>
    <t>CLIP DE ANEURISMA MCFADDEN, FENESTRADO, ANGULADO 90º, 9 MM LONGITUD DEQUIJADA, 5 MM DE APERTURA</t>
  </si>
  <si>
    <t>CLIP DE ANEURISMA MCFADDEN, FENESTRADO, ANGULADO 90º, 9 MM LONGITUD DEQUIJADA, 6 MM DE APERTURA</t>
  </si>
  <si>
    <t>CLIP DE ANEURISMA MCFADDEN, FENESTRADO, ANGULADO A 90º, 6 MM DE LONGITUD DE QUIJADA, 6 MM DE APERTURA</t>
  </si>
  <si>
    <t>CLIP DE ANEURISMA MCFADDEN, FENESTRADO, EN BAYONETA, 12 MM DE LONGITUDDE QUIJADA, 5 MM DE APERTURA</t>
  </si>
  <si>
    <t>CLIP DE ANEURISMA MCFADDEN, FENESTRADO, RECTO, 12 MM DE LONGITUD DE QUIJADA, 5 MM DE APERTURA</t>
  </si>
  <si>
    <t>CLIP DE ANEURISMA MCFADDEN, FENESTRADO, RECTO, 20 MM DE LONGITUD DE QUIJADA, 5 MM DE APERTURA</t>
  </si>
  <si>
    <t>CLIP DE ANEURISMA MCFADDEN, FENESTRADO, RECTO, 24 MM DE LONGITUD DE QUIJADA, 4 MM DE APERTURA</t>
  </si>
  <si>
    <t>CLIP DE ANEURISMA MCFADDEN, FENESTRADO, RECTO, 24 MM DE LONGITUD DE QUIJADA, 5 MM DE APERTURA</t>
  </si>
  <si>
    <t>CLIP DE ANEURISMA MCFADDEN, FENESTRADO, RECTO, 6 MM DE LONGITUD DE QUIJADA, 5 MM DE APERTURA</t>
  </si>
  <si>
    <t>CLIP DE ANEURISMA MCFADDEN, FENESTRADO, RECTO, 9 MM DE LONGITUD DE QUIJADA, 5 MM DE APERTURA</t>
  </si>
  <si>
    <t>CLIP DE ANEURISMA MCFADDEN, LEVEMENTE CURVO, 12 MM DE LONGITUD DE QUIJADA, 8 MM DE APERTURA</t>
  </si>
  <si>
    <t>CLIP DE ANEURISMA MCFADDEN, LEVEMENTE CURVO, 14 MM DE LONGITUD DE QUIJADA, 7 MM DE APERTURA</t>
  </si>
  <si>
    <t>CLIP DE ANEURISMA MCFADDEN, LEVEMENTE CURVO, 16 MM DE LONGITUD DE QUIJADA, 9 MM DE APERTURA</t>
  </si>
  <si>
    <t>CLIP DE ANEURISMA MCFADDEN, LEVEMENTE CURVO, 20 MM DE LONGITUD DE QUIJADA, 10 MM DE APERTURA</t>
  </si>
  <si>
    <t>CLIP DE ANEURISMA MCFADDEN, LEVEMENTE CURVO, 8 MM DE LONGITUD DE QUIJADA, 7 MM DE APERTURA</t>
  </si>
  <si>
    <t>CLIP DE ANEURISMA MCFADDEN, LEVEMENTE CURVO, 9 MM DE LONGITUD DE QUIJADA, 7 MM DE APERTURA</t>
  </si>
  <si>
    <t>CLIP DE ANEURISMA MCFADDEN, RECTO, 12 MM DE LONGITUD DE QUIJADA, 8 MMDE APERTURA</t>
  </si>
  <si>
    <t>CLIP DE ANEURISMA MCFADDEN, RECTO, 15 MM DE LONGITUD DE QUIJADA, 9 MMDE APERTURA</t>
  </si>
  <si>
    <t>CLIP DE ANEURISMA MCFADDEN, RECTO, 20 MM DE LONGITUD DE QUIJADA, 10 MMDE APERTURA</t>
  </si>
  <si>
    <t>CLIP DE ANEURISMA MCFADDEN, RECTO, 25 MM DE LONGITUD DE QUIJADA, 11 MMDE APERTURA</t>
  </si>
  <si>
    <t>CLIP PARA ANEURISMA MCFADDEN, CURVO, 10 MM DE LONGITUD DE QUIJADA, 7 MM DE APERTURA</t>
  </si>
  <si>
    <t>CLIP PARA ANEURISMA MCFADDEN, LEVEMENTE CURVO, 12 MM DE LONGITUD DE QUIJADA, 7 MM DE APERTURA</t>
  </si>
  <si>
    <t>CLIP PARA ANEURISMA MCFADDEN, RECTO, 5 MM LONGITUD DE QUIJADA, 5 MM DEAPERTURA</t>
  </si>
  <si>
    <t>CLIP PARA ANEURISMA MCFADDEN, RECTO, 7 MM LONGITUD DE QUIJADA, 6 MM DEAPERTURA</t>
  </si>
  <si>
    <t>CLIP PARA ANEURISMA MCFADDEN, RECTO, 9 MM LONGITUD DE QUIJADA, 7 MM DEAPERTURA</t>
  </si>
  <si>
    <t>CLIP TEMPORAL SUNDT, NO MAGNÉTICO, COMPATIBLE CON RMN, COLOR ORO, CONFIGURACION # 6, RECTO, 0.5 X 4 MM</t>
  </si>
  <si>
    <t>CLIP TEMPORAL SUNDT, NO MAGNÉTICO, COMPATIBLE CON RMN, COLOR ORO, CONFIGURACIÓN # 7, ANGULADO HACIA UN LADO, 0.6 X 10 MM</t>
  </si>
  <si>
    <t>CLIP TEMPORAL SUNDT, NO MAGNÉTICO, COMPATIBLE CON RMN, COLOR ORO, CONFIGURACIÓN # 7, CURVO HACIA ADELANTE, 0.6 X 9.5 MM</t>
  </si>
  <si>
    <t>CLIP TEMPORAL SUNDT, NO MAGNÉTICO, COMPATIBLE CON RMN, COLOR ORO, CONFIGURACIÓN # 7, RECTO, 0.6 X 10 MM</t>
  </si>
  <si>
    <t>CLIP TEMPORAL SUNDT, NO MAGNÉTICO, COMPATIBLE CON RMN, COLOR ORO, CONFIGURACIÓN # 7, RECTO, 0.6 X 15 MM</t>
  </si>
  <si>
    <t>ASA PARA OÍDO</t>
  </si>
  <si>
    <t>CALIBRADOR CASTROVIEJO MODIFICADO, ESCALA 20 MM</t>
  </si>
  <si>
    <t>CALIBRADOR DE PUNTAL, MARCA DE 5 MM DESDE LA PUNTA, LONGITUD DE 16 - 17 CM.</t>
  </si>
  <si>
    <t>CALIBRADOR DE PUNTAL, MARCA DE 4.5 MM DESDE LA PUNTA, LONGITUD DE 16 -17 CM.</t>
  </si>
  <si>
    <t>CALIBRADOR DE PUNTAL, MARCA DE 0.66 MM DESDE LA PUNTA, LONGITUD DE 16-17 CM.</t>
  </si>
  <si>
    <t>ELEVADOR/MOVILIZADOR DE CÚPULA VAGINAL DE ACERO INOXIDABLE</t>
  </si>
  <si>
    <t>ELEVADOR DE DURAMADRE FRAZIER, AGUDO, DE 16-18 CM DE LONGITUD</t>
  </si>
  <si>
    <t>ELEVADOR DE DURAMADRE FRAZIER, ROMO, DE 16-18 CM DE LONGITUD</t>
  </si>
  <si>
    <t>ELEVADOR UTERINO TIPO SOMER, DE 22-28CM DE LONGITUD</t>
  </si>
  <si>
    <t>ELEVADOR UTERINO, DE 22-28CM DE LONGITUD</t>
  </si>
  <si>
    <t>SONDA PARA EXAMEN Y REGISTRO PERIODONTAL, TIPO OMS, EXTREMO CON BOLA DE 0.5MM</t>
  </si>
  <si>
    <t>INSTRUMENTO DE DIAGNÓSTICO COMBINADO, EXPLORADOR Y SONDA PERIODONTAL.</t>
  </si>
  <si>
    <t>MICRODISCECTOR JACOBSON DE UNA BOLA EN EL EXTREMO PROXIMAL DE 18 - 19CM DE LARGO, BOLA DE 1.0 MM DE DIÁMETRO.</t>
  </si>
  <si>
    <t>MICRODISCECTOR JACOBSON DE UNA BOLA EN EL EXTREMO PROXIMAL DE 18 - 19CM DE LARGO, BOLA DE 1.5 MM DE DIÁMETRO DIÁMETRO.</t>
  </si>
  <si>
    <t>SONDA PERIODONTAL UNIVERSIDAD DE TEXAS 19 MM CATTONI</t>
  </si>
  <si>
    <t>EXPLORADOR PARA ENDODONCIA DOBLE EXTREMO AMBAS PARTES ACTIVAS RECTAS YDIFERENTE ANGULACIÓN</t>
  </si>
  <si>
    <t>DISECTOR DE PÍLORO BENSON, 15 - 16 CM.</t>
  </si>
  <si>
    <t>DISECTOR DE AMÍGDALA Y SEPARADOR DE PILAR HURD, DE 10 MM, 20-22 CM DELONGITUD</t>
  </si>
  <si>
    <t>DISECTOR DE AMÍGDALA Y SEPARADOR DE PILAR HURD, DISECTOR DE 6 MM, 20-22 CM DE LONGITUD</t>
  </si>
  <si>
    <t>DISECTOR DOBLE OLIVECRONA,  4 Y 5 MM, 18 CM DE LONGITUD TOTAL</t>
  </si>
  <si>
    <t>DISECTOR DOBLE OLIVECRONA,  4 Y 5 MM, 23 CM DE LONGITUD TOTAL</t>
  </si>
  <si>
    <t>DISECTOR DOBLE OLIVECRONA, 2 Y 3 MM, 18 CM DE LONGITUD TOTAL</t>
  </si>
  <si>
    <t>DISECTOR DOBLE OLIVECRONA, 2 Y 3 MM, 24 CM DE LONGITUD TOTAL</t>
  </si>
  <si>
    <t>DISECTOR MACDONALD, ROMO ROMO, UN EXTREMO RECTO Y OTRO CURVO</t>
  </si>
  <si>
    <t>DISECTOR PARA SEPTUM NASAL FREER, DE DOBLE EXTREMO CORTANTE Y ROMO, ANCHO DE LA HOJA 4.5 MM</t>
  </si>
  <si>
    <t>DISECTOR PENFIELD CURVO, DOBLE TERMINACIÓN, # 1</t>
  </si>
  <si>
    <t>DISECTOR PENFIELD CURVO, DOBLE TERMINACIÓN, # 2</t>
  </si>
  <si>
    <t>DISECTOR PENFIELD CURVO, DOBLE TERMINACIÓN, # 3</t>
  </si>
  <si>
    <t>DISECTOR PENFIELD CURVO, DOBLE TERMINACIÓN, # 5</t>
  </si>
  <si>
    <t>ESTILETE DE 2 MM DE DIÁMETRO, DE 14 A 16 CM DE LARGO, CON DOBLE PUNTA</t>
  </si>
  <si>
    <t>ESTILETE DE 2 MM DE DIÁMETRO, DE 14 A 16 CM DE LARGO, CON HOJAL</t>
  </si>
  <si>
    <t>MICRO DISECTOR HARDY, ANGULADO HACIA ABAJO</t>
  </si>
  <si>
    <t>MICRO DISECTOR HARDY, ANGULADO HACIA ARRIBA</t>
  </si>
  <si>
    <t>MICRODISCECTOR JACOBSON DE DOS BOLAS EN EL EXTREMO PROXIMAL DE 18 - 19CM DE LARGO, BOLAS DE 1.0 MM DE DIAMETRO.</t>
  </si>
  <si>
    <t>MICRODISCECTOR JACOBSON DE DOS BOLAS EN EL EXTREMO PROXIMAL DE 18 - 19CM DE LARGO, BOLAS DE 1.5 MM DE DIAMETRO.</t>
  </si>
  <si>
    <t>MICRODISCECTOR JACOBSON DE UNA BOLA EN EL EXTREMO PROXIMAL DE 18 - 19CMDE LARGO, BOLA DE 1.0 MM DE DIÁMETRO.</t>
  </si>
  <si>
    <t>MICRODISCECTOR JACOBSON DE UNA BOLA EN EL EXTREMO PROXIMAL DE 18 - 19CMDE LARGO, BOLA DE 1.5 MM DE DIAMETRO DIÁMETRO.</t>
  </si>
  <si>
    <t>INSTRUMENTO CON IMÁN PARA CIRUGÍA DE RETINA EN LA EXTRACCIÓN DE CUERPOS EXTRAÑOS INTRAOCULARES METÁLICOS.</t>
  </si>
  <si>
    <t>TIJERA PARA MICROCIRUGÍA OFTALMOLOGICA INTRAOCULAR CALIBRE 23 GAUGE</t>
  </si>
  <si>
    <t>TIJERA PARA MICROCIRUGÍA OFTALMOLOGICA INTRAOCULAR CALIBRE 25 GAUGE</t>
  </si>
  <si>
    <t>PINZAS INTRAOCULARES PARA EXTRACCIÓN DE CUERPO EXTRAÑO TIPO CANASTA PARA MICROCIRUGÍA OFTÁLMICA</t>
  </si>
  <si>
    <t>PINZA FRAGMENTADORA DE NÚCLEO 4.5 MM. CON MANDÍBULAS LARGAS,DELICADASY AGUDAS TIPO AKAHOSHI.</t>
  </si>
  <si>
    <t>PINZA BIPOLAR PARA CAUTERIZAR PUNTA ANGULADA Y ROMA,DELGADA TIPO MCPHERSON</t>
  </si>
  <si>
    <t>PINZA PARA HILOS 8-0 A 11-0,MUY FINA CON PLATAFORMA 6MM RECTA, TAMAÑODE 10-11 CM</t>
  </si>
  <si>
    <t>PINZA PARA CAPSULOREXIS MUY FINA, CON PUNTA DE AGARRE TRIANGULAR, MUYDELGADA DE DIENTES LARGOS DE 11MM Y MANGO REDONDO, TIPO UTRATA PARA INSICIÓN DE 2 MM</t>
  </si>
  <si>
    <t>ANILLO DE FIJACIÓN TIPO THORNTON, ANILLO EN C, CON MARCAS GRADUADAS EN15° DE INCREMENTO, 13 MM DE DIÁMETRO, GIRATORIO</t>
  </si>
  <si>
    <t>FRAGMENTADOR DE NÚCLEO ERNEST, CON CIERRE CRUZADO, PARA FRAGMENTAR NÚCLEO A TRAVÉS DE UNA INCISIÓN DE 2.5 MM</t>
  </si>
  <si>
    <t>GANCHO PARA INSERCIÓN DE LENTES INTRAOCULARES</t>
  </si>
  <si>
    <t>PUNTAS PARA VITRECTOMÍA ANTERIOR UNIVERSAL.</t>
  </si>
  <si>
    <t>ROTADOR DE LENTE INTRAOCULAR DE DOS PUNTAS</t>
  </si>
  <si>
    <t>ROTADOR DE NÚCLEO KELLAN</t>
  </si>
  <si>
    <t>TREFINA CORNEL CASTROVIEJO CON MANGO Y ESTUCHE.</t>
  </si>
  <si>
    <t>PIEZA DE MANO DE IRRIGACIÓN /ASPIRACIÓN BIMANUAL CON RANGO DE 22 O 23GAUGE</t>
  </si>
  <si>
    <t>PINZA PARA ANUDAR HILOS 8/0 A 11/0, MUY FINA CON PLATAFORMA 6 MM CURVA, TAMAÑO 10-11 CM.</t>
  </si>
  <si>
    <t>GONIOSCOPIO DE CUATRO ESPEJOS PARA EVALUAR CÁMARA ANTERIOR 360° DE CONTACTO</t>
  </si>
  <si>
    <t>DEPRESOR ESCLERAL DE SCHOCKET, DOBLE EXTREMO, CON CLIP DE BOLSILLO, LONGITUD DE 13 A 14 CM.</t>
  </si>
  <si>
    <t>PINZA PARA CHALAZIÓN HUNT O LAMBERT, DIÁMETRO INTERNO DE MANDÍBULA DE8 MM (PEQUEÑA), LONGITUD DE 9 A 10 CM.</t>
  </si>
  <si>
    <t>PINZA PARA CHALAZIÓN HUNT O LAMBERT, DIÁMETRO INTERNO DE MANDÍBULA DE12 MM (MEDIANA), LONGITUD DE 9 A 10 CM.</t>
  </si>
  <si>
    <t>PUNCH PARA TRABECULECTOMÍA PARA MEMBRANA DE DESCEMENT CABEZA DE 1 MM DE DIÁMETRO Y 0.75 MM DE PROFUNDIDAD.</t>
  </si>
  <si>
    <t>CÁNULA SUB TENON DE 19-20 GAUGE CURVA, SIN CAPAS TIP, ORIFICIOS LATERALES DE ACERO INOXIDABLE</t>
  </si>
  <si>
    <t>CÁNULA PARA HIDRODISECCIÓN CON PUNTA ROMA PLANA DE ACERO INOXIDABLE CALIBRE 25 O 27 GAUGE</t>
  </si>
  <si>
    <t>MARCADOR DE CAPSULORREXIS CON ANILLO DE 5.5 - 6.6 MM DIÁMETRO PARA CENTRADO SOBRE CÓRNEA.</t>
  </si>
  <si>
    <t>TIJERA CURVA PARA CAPSULORREXIS PARA INCISIÓN DE 22 A 23 G DE ACERO INOXIDABLE</t>
  </si>
  <si>
    <t>TIJERA RECTA DE ACERO INOXIDABLE O TITANIO PARA CORTAR LENTE INTRAOCULAR DE SILICONA O ACRÍLICO</t>
  </si>
  <si>
    <t>TIJERA CURVA PARA MICROCIRUGÍA OFTÁLMICA INTRAOCULAR CALIBRE 23 GAUGEMANUALES.</t>
  </si>
  <si>
    <t>TIJERA CURVA PARA MICROCIRUGÍA OFTÁLMICA INTRAOCULAR CALIBRE 25 GAUGEMANUALES.</t>
  </si>
  <si>
    <t>TIJERA VERTICAL PARA MICROCIRUGÍA OFTÁLMICA INTRAOCULAR CALIBRE 23 GAUGE MANUALES.</t>
  </si>
  <si>
    <t>TIJERA VERTICAL  PARA MICROCIRUGÍA OFTÁLMICA INTRAOCULAR CALIBRE 25  GAUGE MANUALES.</t>
  </si>
  <si>
    <t>GANCHO PARA MANIPULAR IRIS Y CRISTALINO TIPO KUGLEN DE TITANIO O ACEROINOXIDABLE PARA INCISIÓN DE 22 A 23 GAUGE</t>
  </si>
  <si>
    <t>PICADOR PHACO TIPO CHOPPER CON BORDES TOTALMENTE AFILADOS 1 MM</t>
  </si>
  <si>
    <t>DILATADOR PUPILAR CURVADO DE 2 A 4 PUNTOS  DE DILATACIÓN CON UNA INCISIÓN DE 2 MM</t>
  </si>
  <si>
    <t>MICROTIJERA DE IRIS TIPO MC PERSON-VANNAS CON PUNTAS CURVAS AFILADAS DE ACERO INOXIDABLE O TITANIO PARA INCISIÓN DE 2 MM</t>
  </si>
  <si>
    <t>CUCHILLO TIPO CRESENT DE DIAMANTE MEDIA LUNA ANGULADO CON HOJA DE 2 A2.5 MM DE DIÁMETRO</t>
  </si>
  <si>
    <t>PINZA PARA CAPSULORREXIS MUY FINA, CON PUNTA DE AGARRE TRIANGULAR MUYDELGADA DE DIENTES LARGOS DE 11 MM PARA INCISIÓN DE 2 MM TIPO I NAMURA</t>
  </si>
  <si>
    <t>PINZA PARA CHALAZIÓN FRANCIS, DIÁMETRO INTERNO DE MANDÍBULA DE 11 X 14MM, LONGITUD DE 9 A 10 CM.</t>
  </si>
  <si>
    <t>PIEZA DE MANO PARA REALIZAR ESCLEROTOMÍA EN COLOCACIÓN DE BANDA 41</t>
  </si>
  <si>
    <t>RASPADOR DE PUNTA DE SILICONA ATRAUMÁTICA DE DIAMANTE PARA ILM Y MTC DE 25 G</t>
  </si>
  <si>
    <t>PINZA FORCEPS CON MANDÍBULAS DENTADAS TIPO NUGENT PUNTA ANGULADA PARAMICROCIRUGÍA</t>
  </si>
  <si>
    <t>PINZA TIPO WATZKE SEPARADORA DE CAMISA ACCIÓN CRUZADA PUNTA LARGA DE 10 MM ASERRADA, ANGULADA A 30°, LONGITUD 11.2 CM</t>
  </si>
  <si>
    <t>GANCHO DE FIJACIÓN ESCLERAL IZQUIERDO CON MANGO DE 10 A 11 CM PUNTA ENFORMA DE V BORDES PICUDOS PERO ROMOS.</t>
  </si>
  <si>
    <t>GANCHO DE FIJACIÓN ESCLERAL DERECHO CON MANGO DE 10 A 11 CM PUNTA EN FORMA DE V BORDES PICUDOS PERO ROMOS.</t>
  </si>
  <si>
    <t>GANCHO CHOPPER IZQUIERDO EN FACOEMULSIFICACIÓN TIPO CHANG CON DOBLE PUNTA EN FORMA DE MICRODEDO ROMO Y OTRA PUNTA CON DIENTE TRIANGULAR CONFILO 1 MM</t>
  </si>
  <si>
    <t>PINZA FORCEP PARA MEMBRANA EPIRRETINIANA #23</t>
  </si>
  <si>
    <t>PINZA FORCEP PARA MEMBRANA LIMITANTE INTERNA #25 GAUGE</t>
  </si>
  <si>
    <t>PINZA FORCEP PARA MEMBRANA EPIRRETINIANA #25</t>
  </si>
  <si>
    <t>LENTE DE MAGNIFICACIÓN MACHENER PARA MÁCULA</t>
  </si>
  <si>
    <t>PINZA DE CONJUNTIVA DELICADA CON PUENTES EN FORMA DE ANILLO, TIPO FLECHTNER 0.5 A 2 MM</t>
  </si>
  <si>
    <t>REMOVEDOR DE CUERPO EXTRAÑO CORNEAL EN PALO DE GOLF, LIGERAMENTE ANGULADA.</t>
  </si>
  <si>
    <t>PINZA PARA ENTROPIÓN SNELLEN CON TORNILLO, PALA SÓLIDA DE 28 MM, IZQUIERDA, LONGITUD DE 9.5 CM.</t>
  </si>
  <si>
    <t>PINZA PARA ENTROPIÓN SNELLEN CON TORNILLO, PALA SÓLIDA DE 28 MM, DERECHA, LONGITUD DE 9.5 CM.</t>
  </si>
  <si>
    <t>PINZA PARA PÁRPADOS TIPO DOWNES, UNA HOJA TIPO RASTRILLO, BLOQUEO CONTORNILLO, LONGITUD DE 9 A 10 CM.</t>
  </si>
  <si>
    <t>CORTADORA DE LENTE INTRAOCULAR, TIJERA CON HOJAS CERRADAS DE 6 MM DE LONGITUD.</t>
  </si>
  <si>
    <t>RETRACTOR DE IRIS, FLEXIBLE, MICROGANCHO DE 10 MM DE LONGITUD, REUTILIZABLE, SET DE 6.</t>
  </si>
  <si>
    <t>EXTRACTOR DE CÁLCULO JOHNSON CON BUJÍA FILIFORME DE 4 FRENCH</t>
  </si>
  <si>
    <t>HISTEROMETRO SIMS, MALEABLE, CURVO, GRADUADO, DE 28-33CM DE LONGITUD</t>
  </si>
  <si>
    <t>HISTEROMETRO SIMS, RÍGIDO, CURVO, GRADUADO, DE 28-33CM DE LONGITUD</t>
  </si>
  <si>
    <t>CAJA QUIRÚRGIGA PARA COLUMNA LUMBAR BÁSICA</t>
  </si>
  <si>
    <t>CAJA QUIRÚRGIGA PARA CRANEOTOMÍA BÁSICA</t>
  </si>
  <si>
    <t>CAJA QUIRÚRGICA PARA PEQUEÑA CIRUGÍA DE OFTALMOLOGÍA</t>
  </si>
  <si>
    <t>CAJA QUIRÚRGICA PARA TRAQUEOSTOMÍA</t>
  </si>
  <si>
    <t>CAJA QUIRÚRGICA PARA CIRUGÍA DE AMPUTACIÓN</t>
  </si>
  <si>
    <t>CAJA QUIRÚRGICA PARA CIRUGÍA DE FÉMUR</t>
  </si>
  <si>
    <t>CAJA QUIRÚRGICA PARA CIRUGÍA HEPATOBILIAR</t>
  </si>
  <si>
    <t>CAJA QUIRÚRGICA DE CIRUGÍA CARDIOVASCULAR NEONATAL.</t>
  </si>
  <si>
    <t>CAJA QUIRÚRGICA PARA APENDICECTOMÍA.</t>
  </si>
  <si>
    <t>CAJA QUIRÚRGICA PARA CIRUGÍA CARDIOVASCULAR</t>
  </si>
  <si>
    <t>CAJA QUIRÚRGICA COMPLEMENTO PARA CIRUGÍA CARDIOVASCULAR</t>
  </si>
  <si>
    <t>CAJA QUIRÚRGICA PARA COLECISTECTOMÍA.</t>
  </si>
  <si>
    <t>CAJA QUIRÚRGICA PARA CIRUGÍA ABDOMINAL.</t>
  </si>
  <si>
    <t>CAJA QUIRÚRGICA PARA CURA DE HERNIA Y CORRIENTE.</t>
  </si>
  <si>
    <t>CAJA QUIRÚRGICA PARA TRAUMA DE GLOBO OCULAR.</t>
  </si>
  <si>
    <t>CAJA QUIRÚRGICA DE TRAUMA DE PÁRPADO Y VÍA LAGRIMAL</t>
  </si>
  <si>
    <t>CAJA QUIRÚRGICA DE JUEGOS DE PINZAS PARA ARTROSCOPIA</t>
  </si>
  <si>
    <t>CAJA QUIRÚRGICA PARA CESÁREA.</t>
  </si>
  <si>
    <t>CAJA QUIRÚRGICA PARA ESTERLIZACIÓN QUIRÚRGICA.</t>
  </si>
  <si>
    <t>CAJA QUIRÚRGICA CIRUGÍA MAXILOFACIAL 1.</t>
  </si>
  <si>
    <t>HOJA DE BISTURÍ # 10, ESTÉRIL, DESCARTABLE</t>
  </si>
  <si>
    <t>HOJA DE BISTURÍ # 11, ESTÉRIL, DESCARTABLE</t>
  </si>
  <si>
    <t>HOJA DE BISTURÍ # 12, ESTÉRIL, DESCARTABLE</t>
  </si>
  <si>
    <t>HOJA DE BISTURÍ # 15, ESTÉRIL, DESCARTABLE</t>
  </si>
  <si>
    <t>HOJA DE BISTURÍ # 20, ESTÉRIL, DESCARTABLE</t>
  </si>
  <si>
    <t>HOJA DE BISTURÍ # 21, ESTÉRIL, DESCARTABLE</t>
  </si>
  <si>
    <t>HOJA DE BISTURÍ # 22, ESTÉRIL, DESCARTABLE</t>
  </si>
  <si>
    <t>HOJA DE BISTURÍ # 23, ESTÉRIL, DESCARTABLE</t>
  </si>
  <si>
    <t>HOJA DE BISTURÍ # 24, ESTÉRIL, DESCARTABLE</t>
  </si>
  <si>
    <t>LUBRICANTE EN SPRAY PARA INSTRUMENTAL QUIRÚRGICO, SIN SILICONA, PARA ALTAS TEMPERATURAS, FRASCO DE 240-400 ML.</t>
  </si>
  <si>
    <t>CAJA CON TAPADERA PARA INSTRUMENTOS QUE CONSTE DE: UNA CUBETA DE ALUMINIO ANODIZADO PARA PARA MICROINSTRUMENTOS, CON FONDOS PERFORADO MEDIDAS 470MM LARGO X 274MM ANCHO X 120MM ALTO; UNA TAPADERA DE ALUMINIO ANODIZADO CON SISTEMA DE FILTRADO COLOR ROJO, UNA CESTA PARA INSTRUMENTOSDE ACERO INOXIDABLE MEDIDA 406MM LARGO X 253MM ANCHO X 76MM ALTO, UNAESTÉRILLA DE SILICONA ANTIDESLIZANTE QUE EVITE QUE LOS INSTRUMENTOS SE MUEVAN, FILTRO DE PTFE, REUTILIZABLE, ETIQUETA INDICADOR ADHESIVA CO</t>
  </si>
  <si>
    <t>CONTENEDOR PARA INSTRUMENTAL QUIRÚRGICO CON FONDO PERFORADO ELABORADOCON ALUMINIO ANONIZADO CON MEDIDAS DE 590 A 600 MM DE LARGO X 270  A 300 MM DE ANCHO X 185 A 200  MM DE ALTO TAPA DE ALUMINIO ANONIZADO CONSISTEMA DE FILTRADO, CESTA PARA INSTRUMENTO DE ACERO INOXIDABLE DE ACUERDO A LAS MEDIDAS DEL CONTENEDOR, ESTÉRILLA DE SILICONA ANTIDESLIZANTEA LAS MEDIDADAS DEL CONTENEDOR, FILTRO DE PTFE, REUTILIZABLE, ETIQUETAINDICADORA ADHESIVA CON INDICADOR PARA  PROCESO DE  ESTERILIZADOR POR</t>
  </si>
  <si>
    <t>TAPETE DE SILICÓN ANTIDESLIZANTE PARA CONTENEDOR DE INSTRUMENTAL QUIRÚRGICO.</t>
  </si>
  <si>
    <t>CESTA PERFORADA DE ACERO INOXIDABLE PARA INSTRUMENTAL QUIRÚRGICO, COMPATIBLE CON CONTENEDOR.</t>
  </si>
  <si>
    <t>PRECINTO TIPO CANDADO QUE ASEGURA EL CIERRE DEL CONTENEDOR CONTRA UNAAPERTURA NO CONTROLADA, CON INDICADOR PARA PROCESO DE ESTeRILIZACIÓN ,COMPATIBLE CON CONTENEDOR.</t>
  </si>
  <si>
    <t>CONTENEDOR PARA INSTRUMENTAL QUIRÚRGICO, SIN FONDO PERFORADO, ELABORADO CON ALUMINIO ANODIZADO, CON MEDIDAS: 450 A 500 MM DE LARGO X 270 A 300 MM DE ANCHO X 130 A 150 MM DE ALTO;  TAPA DE ALUMINIO ANODIZADO CONSISTEMA DE FILTRADO, CESTA PARA INSTRUMENTOS DE ACERO INOXIDABLE DE ACUERDO A LAS MEDIDAS DEL CONTENEDOR; ESTÉRILLA DE SILICONA ANTIDESLIZANTE DE ACUERDO A LAS MEDIDAS DEL CONTENEDOR; FILTRO DE PTFE, REUTILIZABLE, ETIQUETA INDICADORA ADHESIVA CON INDICADOR PARA PROCESO DE ESTÉRI</t>
  </si>
  <si>
    <t>CONTENEDOR PARA INSTRUMENTAL QUIRÚRGICO, CON FONDO PERFORADO, ELABORADO CON ALUMINIO ANODIZADO, CON MEDIDAS: 450 A 500 MM DE LARGO X 270 A 300 MM DE ANCHO X 130 A 150 MM DE ALTO;  TAPA DE ALUMINIO ANODIZADO CONSISTEMA DE FILTRADO, CESTA PARA INSTRUMENTOS DE ACERO INOXIDABLE DE ACUERDO A LAS MEDIDAS DEL CONTENEDOR; ESTÉRILLA DE SILICONA ANTIDESLIZA NTE DE ACUERDO A LAS MEDIDAS DEL CONTENEDOR; FILTRO DE PTFE, REUTILIZA BLE, ETIQUETA INDICADORA ADHESIVA CON INDICADOR PARA PROCESO DE EST</t>
  </si>
  <si>
    <t>CONTENEDOR PARA INSTRUMENTAL QUIRÚRGICO CON FONDO PERFORADO ELABORADOCON ALUMINIO ANONIZADO CON MEDIDAS DE 270 A 300 MM DE LARGO X 270  A 300 MM DE ANCHO X 180 A 250 MM DE ALTO TAPA DE ALUMINIO ANONIZADO CON SISTEMA DE FILTRADO; CESTA PARA INSTRUMENTO DE ACERO INOXIDABLE DE ACUERDO A LAS MEDIDAS DEL CONTENEDOR; ESTÉRILLA DE SILICONA ANTIDESLIZANTEA LAS MEDIDADAS DEL CONTENEDOR; FILTRO DE PTFE; REUTILIZABLE; ETIQUETAINDICADORA ADHESIVA CON INDICADOR PARA  PROCESO DE  ESTERILIZADOR POR</t>
  </si>
  <si>
    <t>CONTENEDOR PARA INSTRUMENTAL QUIRÚRGICO, SIN FONDO PERFORADO, ELABORADO CON ALUMINIO ANODIZADO, CON MEDIDAS: 590 A 600 MM DE LARGO X 270 A 300 MM DE ANCHO X 185 A 200 MM DE ALTO;  TAPA DE ALUMINIO ANODIZADO CONSISTEMA DE FILTRADO, CESTA PARA INSTRUMENTOS DE ACERO INOXIDABLE DE ACUERDO A LAS MEDIDAS DEL CONTENEDOR; ESTÉRILLA DE SILICONA ANTIDESLIZANTE DE ACUERDO A LAS MEDIDAS DEL CONTENEDOR; FILTRO DE PTFE, REUTILIZABLE, ETIQUETA INDICADORA ADHESIVA CON INDICADOR PARA PROCESO DE ESTÉRI</t>
  </si>
  <si>
    <t>GANCHO ORGANIZADOR DE INSTRUMENTAL QUIRÚRGICO COMPATIBLE CON CONTENEDOR.</t>
  </si>
  <si>
    <t>CARTUCHO O RECARGA DE 6 LINEAS DE GRAPAS PARA ENGRAPADORA LINEAL CORTANTE PARA CIRUGÍA ABIERTA, DE 55 A 60 MM PARA TEJIDO GRUESO, DE SCARTABLE</t>
  </si>
  <si>
    <t>CARTUCHO O RECARGA DE 6 LINEAS DE GRAPAS PARA ENGRAPADORA LINEAL CORTANTE PARA CIRUGÍA ABIERTA, DE 55 A 60 MM PARA TEJIDO REGULAR/GRUESO, DESCARTABLE</t>
  </si>
  <si>
    <t>CARTUCHO O RECARGA DE 6 LINEAS DE GRAPAS PARA PARA ENGRAPADORA LINEALCORTANTE PARA CIRUGÍA ABIERTA, DE 75 A 90 MM PARA TEJIDO REGULA R/GRUESO, DESCARTABLE</t>
  </si>
  <si>
    <t>CLIPADORA AUTOMÁTICA PARA CIRUGÍA ABIERTA, DESCARTABLE, QUE INCLUYA SURESPECTIVO CARTUCHO CON 20 A 30 CLIPS DE TITANEO TAMAÑO MEDIANO, DESCARTABLE</t>
  </si>
  <si>
    <t>CLIPADORA AUTOMÁTICA PARA CIRUGÍA ABIERTA, DESCARTABLE, QUE INCLUYA SURESPECTIVO CARTUCHO CON 20 A 30 CLIPS DE TITANEO TAMAÑO PEQUEÑO, DESCARTABLE</t>
  </si>
  <si>
    <t>ENGRAPADORA PARA PIEL, PREMONTADA CON SU CARGA DE GRAPAS, ESTÉRIL, DESCARTABLE</t>
  </si>
  <si>
    <t>CUCHILLA DESCARTABLE PARA MICRÓTOMO</t>
  </si>
  <si>
    <t>CUCHILLA PARA DERMATOMO DE WATSON, DESCARTABLE</t>
  </si>
  <si>
    <t>AGUJA MAYO PARA SUTURA, MEDIO CIRCULO, PUNTA REDONDA, ENTRE 35 Y 37 MM</t>
  </si>
  <si>
    <t>PERFORADOR DE MEMBRANA AMNIOTICA, DESCARTABLE</t>
  </si>
  <si>
    <t>ESPÉCULO REVESTIDO DE AISLANTE PARA REALIZAR PROCEDIMIENTOS ELECTROQUIRÚRGICOS</t>
  </si>
  <si>
    <t>CUCHILLA PARA EL SISTEMA DE CRANEÓTOMO, DESCARTABLE</t>
  </si>
  <si>
    <t>PASADOR SUBCUTANEO DE CATÉTER PARA LA COLOCACIÓN DE SISTEMA DE DERIVACIÓN VENTRÍCULO PERITONEAL</t>
  </si>
  <si>
    <t>SET DE CRANEOTOMIA, QUE CONTENGA 1 BROCA CON CLUTCH, 1 CUCHILLA DE CRANEÓTOMO, 1 CUCHILLA PASA ALAMBRE</t>
  </si>
  <si>
    <t>SET DE ACCESORIOS PARA INSERCIÓN Y RETIRO DE SILICÓN INTRAOCULAR, COMPATIBLE CON EQUIPO DE VITRECTOMIA.</t>
  </si>
  <si>
    <t>PINZAS FORCEPS PARA MEMBRANA LIMITANTE INTERNA PARA CIRUGÍA DE RETINAEN 23 GAUGE Y 25 GAUGE CALIBRE.</t>
  </si>
  <si>
    <t>RETRACTOR DE IRIS PARA REALIZAR CIRUGÍA DE CATARATAS</t>
  </si>
  <si>
    <t>CUCHILLETE PARA TUNELIZACION EN QUERATECTOMIA</t>
  </si>
  <si>
    <t>GAS DE USO INTRAOCULAR PERFLUOROPROPANO (C3F8). CILINDRO</t>
  </si>
  <si>
    <t>LANCETA 15° PARA REALIZAR EXTRACCIÓN DE CATARATAS PARA QUERATECTOMIA,DESCARTABLE</t>
  </si>
  <si>
    <t>TAPON DE SILICÓN DE 0.5 MM, DESCARTABLE</t>
  </si>
  <si>
    <t>TAPON DE SILICÓN DE 0.6 MM, DESCARTABLE</t>
  </si>
  <si>
    <t>TAPON DE SILICÓN DE 0.7 MM, DESCARTABLE</t>
  </si>
  <si>
    <t>TUBO DE SILICÓN DE 0.25 A 0.035 MM, DESCARTABLE</t>
  </si>
  <si>
    <t>MEDIDOR DE PROFUNDIDAD CORTO PARA TORNILLO CANULADO DE 3.5 MM</t>
  </si>
  <si>
    <t>CORTA FRIO PARA CORTAR ALAMBRE Y TORNILLOS CAPACIDAD PARA 6MM, LONGITUD 48CM</t>
  </si>
  <si>
    <t>ESPACIADOR PARA CIRUGÍA DE REVISION DE PRÓTESIS DE CADERA, CON ANTIBIÓTICO. DIFERENTES MEDIDAS.</t>
  </si>
  <si>
    <t>ESPACIADOR PARA CIRUGÍA DE REVISION DE PRÓTESIS RODILLA, CON ANTIBIOTICO. DIFERENTES MEDIDAS.</t>
  </si>
  <si>
    <t>PUNTA DESECHABLE PARA RASURADOR, PARA CARTILAGO.</t>
  </si>
  <si>
    <t>PUNTA DESECHABLE PARA RASURADOR, PARA HUESO, DE 3.5 A 4.5 MM DE DIÁMETRO.</t>
  </si>
  <si>
    <t>PUNTA DESECHABLE PARA RASURADOR, PARA MENISCO, DE 3.5 A 4.5 MM DE DIÁMETRO.</t>
  </si>
  <si>
    <t>PUNTA DESCARTABLE PARA RASURADOR, PARA TEJIDO SINOVÍAL.</t>
  </si>
  <si>
    <t>SISTEMA DE IMPLANTE PATELOFEMORAL BIO COMPUESTO, EL KIT INCLUYE PLANTILLA PARA LIGAMENTO PATELOFEMORAL, 2 ANCLAS SWIVELOCK BIO COMPU ESTAS DE 4.75 MM, 1 TORNILLO DE INTERFERENCÍA BIOCOMPUESTO DE 6 MM, 1 PIN GUÍA DE 2.4 MM CON OJAL DE SUTURA, 2 PUNTAS DE PERFORACION DE PIN GUÍA DE2.4 MM, BROCA DE BAJO PERFIL DE 7 MM Y BROCA DE 4.5 MM</t>
  </si>
  <si>
    <t>DISPOSITIVO DE CAPTURA DE SUTURA PARA LIGAMENTO SACROESPINOSO</t>
  </si>
  <si>
    <t>DILATADOR URETRAL FILIFORME, DIVERSAS MEDIDAS. SET</t>
  </si>
  <si>
    <t>PINZA DE ANILLO PARA VASECTOMIA CON TECNICA DE DR. LEE (SIN BISTURÍ) DE 5 Y MEDIA PULGADAS</t>
  </si>
  <si>
    <t>PUNTA ESTÉRIL Y DESECHABLE DE 7.95 CM DE LONGITUD Y DIÁMETRO INTERNO DE 2.64 MM, PARA PIEZA DE MANO, DEL SISTEMA DE ASPIRACIÓN ULTRASÓNICA ,INCLUYENDO EL CONDUCTO QUE CUBRE LA PUNTA Y LIMPIADOR DE PUNTA.</t>
  </si>
  <si>
    <t>PINZA CON PUNTA DE ÁNGULO DE 90° DERECHO WIDEBITER, 2.75 MM DE DIÁMETRO, REUTILIZABLE.</t>
  </si>
  <si>
    <t>PINZA CON PUNTA DE ÁNGULO DE 90° IZQUIERDO WIDEBITER, 2.75 MM DE DIÁMETRO, REUTILIZABLE.</t>
  </si>
  <si>
    <t>LENTE PARA VISUALIZACIÓN DE SEGMENTO POSTERIOR TRANSOPERATORIO PARA RETINA Y MÁCULA.</t>
  </si>
  <si>
    <t>LENTE PARA REALIZAR IRIDECTOMÍA/CAPSULOTOMÍA CON EQUIPO DE YAG LASER</t>
  </si>
  <si>
    <t>MANGO PARA MANIPULAR LENTE DE CIRUGÍA DE RETINA</t>
  </si>
  <si>
    <t>LENTE CUADRASFÉRICO DE CAMPO AMPLIO (MAYOR A 120°) PARA VISUALIZACIÓNDE RETINA PARA USO EN LÁSER ARGÓN.</t>
  </si>
  <si>
    <t>LENTE DIAGNÓSTICO DE 20 DIOPTRÍAS PARA OFTALMOLOGÍA</t>
  </si>
  <si>
    <t>LENTE DIAGNÓSTICO DE 78 DIOPTRÍAS PARA OFTALMOLOGÍA</t>
  </si>
  <si>
    <t>LENTE DIAGNÓSTICO DE 90 DIOPTRÍAS PARA OFTALMOLOGÍA</t>
  </si>
  <si>
    <t>PACK O PUNTA PARA VITRECTOMÍA ANTERIOR BIMANUAL CALIBRE 20G - 25G, REUTILIZABLE.</t>
  </si>
  <si>
    <t>HOJA DE SIERRA SAGITAL ESTERNAL, CON LAS SIGUIENTES MEDIDAS: 50 MM DELONGITUD, 15 MM DE ANCHO, 0.5 MM DE GROSOR, DESCARTABLE</t>
  </si>
  <si>
    <t>HOJA DE SIERRA SAGITAL ESTERNAL, CON LAS SIGUIENTES MEDIDAS: 35 MM DELONGITUD, 20 MM DE ANCHO, 0.5 MM DE GROSOR.</t>
  </si>
  <si>
    <t>HOJA DE SIERRA RECIPROCANTE ESTERNAL, CON LAS SIGUIENTES MEDIDAS: 34 MM DE LONGITUD, 0.7 MM DE GROSOR, DESCARTABLE</t>
  </si>
  <si>
    <t>HOJA DE SIERRA SAGITAL ESTERNAL, CON LAS SIGUIENTES MEDIDAS: 45° DE ANGULACIÓN, 50 MM DE LONGITUD, 15 MM DE ANCHO, 0.5 MM DE GROSOR, DESCARTABLE</t>
  </si>
  <si>
    <t>HOJA DE SIERRA SAGITAL ESTERNAL, CON LAS SIGUIENTES MEDIDAS: 35 MM DELONGITUD, 75 MM DE ANCHO, 0.7 MM DE GROSOR, DESCARTABLE</t>
  </si>
  <si>
    <t>PUNTA PARA PHACO EMULSIFICACIÓN DE CATARATAS TIPO ESTÁNDAR, MINI FLAIRE ABS 45º.</t>
  </si>
  <si>
    <t>ADAPTADOR ROTATORIO PARA PIEZA DE MANO DE CRANEOTOMÍA CON PROTECTOR DEDURAMADRE, REUTILIZABLE.</t>
  </si>
  <si>
    <t>ADAPTADOR ANGULADO PARA PIEZA DE MANO DEL CRANEOTOMÍA, LONGITUD DE 14CM AJUSTABLE, QUE VARÍE LA EXPOSICIÓN DE FRESAS PARA MEJOR VISIBILIDAD, REUTILIZABLE.</t>
  </si>
  <si>
    <t>PINZA ÓPTICA TIPO COCODRILO PARA BIOPSIA, TAMAÑO 5 MM, PARA UTILIZAR CON ÓPTICA DE 4 MM DE DIÁMETRO Y DE 28 A 30 CM DE LONGITUD</t>
  </si>
  <si>
    <t>ADAPTADOR GUÍA DE AGUJA PARA TRANSDUCTOR DE ULTRASONIDO, REUTILIZABLE.</t>
  </si>
  <si>
    <t>BOQUILLA DESCARTABLE PARA ESPIRÓMETRO.</t>
  </si>
  <si>
    <t>INSTRUMENTO PARA FIBRA LÁSER PARA BRONCOSCOPIA RÍGIDA, APROPIADO PARAFIBRAS DESNUDAS COMPATIBLE CON BRONCOSCOPIO RÍGIDO</t>
  </si>
  <si>
    <t>SET DE PREPARACIÓN DE FIBRAS LÁSER, DEBE INCLUIR PELACABLES DE 300, 400 Y 600 µM, ALFOMBRILLA DE SILICONA, CUCHILLA PARA FIBRAS COMPATIBLE CON EQUIPO LASER ENDOBRONQUIAL.</t>
  </si>
  <si>
    <t>PUNTA DE ACOPLAMIENTO CORTA PARA APLICADOR "CLIP-ON" PARA MANGO PARA SOPORTE DE FIBRA LÁSER COMPATIBLE CON EQUIPO LÁSER ENDOBRONQUIAL.</t>
  </si>
  <si>
    <t>MANGO DE EFOQUE PARA FIBRA LÁSER, CON FIBRA DE ADMISIÓN 400 µM, AUTOCLAVABLE, COMPATIBLE CON EQUIPO LÁSER ENDOBRONQUIAL</t>
  </si>
  <si>
    <t>MANGO PARA SOPORTE DE FIBRA LÁSER, COMPATIBLE CON EQUIPO LÁSER ENDOBRONQUIAL</t>
  </si>
  <si>
    <t>ESTABILIZADOR CARDÍACO POR SUCCIÓN</t>
  </si>
  <si>
    <t>PUNCH AÓRTICO DE 4.0 A 4.8 MM, DESCARTABLE</t>
  </si>
  <si>
    <t>PUNCH AÓRTICO DE 5.2 MM, DESCARTABLE</t>
  </si>
  <si>
    <t>GONIÓMETRO METÁLICO PARA MEDICIÓN DE ARTICULACIONES DE DEDOS DE MANOS</t>
  </si>
  <si>
    <t>GONIOMETRO PARA MEDICIÓN DE ARTICULACIONES GRANDES, PARA MIEMBROS SUPERIORES E INFERIORES</t>
  </si>
  <si>
    <t>APLICADOR AUTOMATICO DE CLIP, DESCARTABLE, DE 10 MM DE DIÁMETRO,30 A 35 CM DE LARGO , CON CABEZA GIRATORIA 360 GRADOS, QUE INCLUYA 2 0 CLIPSM-L, DE TITANIO.</t>
  </si>
  <si>
    <t>APLICADOR AUTOMATICO DE CLIP, DESCARTABLE, DE 5 MM DE DIÁMETRO, 30 A 35 CM DE LARGO , CON CABEZA GIRATORIA 360 GRADOS, QUE INCLUYA 2 0 CLIPSM-L, DE TITANIO.</t>
  </si>
  <si>
    <t>SONDA DE FIJACIÓN INTRAUTERINA PARA PROCEDIMIENTOS DE LAPAROSCOPIA, CON CANAL DE LÍQUIDOS Y SOPORTE PARA PINZAS DE GANCHO CON DIÁMETRO DE 4A5 MM Y LARGO DE 56 A 240 MM, QUE INCLUYA DOS OLIVAS DE DISTINTO TAMAÑO</t>
  </si>
  <si>
    <t>SELLOS DE INSTRUMENTO,  PARA MORCELADOR.</t>
  </si>
  <si>
    <t>SELLOS DE TEJIDO,  PARA MORCELADOR.</t>
  </si>
  <si>
    <t>APLICADOR REUSABLE DE CLIPS M-L, DE 10 MM DE DIÁMETRO, 30 -  35 CM DELARGO, CABEZA GIRATORIA 360 GRADOS.</t>
  </si>
  <si>
    <t>APLICADOR DE ANILLOS DE 5 - 10 MM Y 27 - 38 CM DE LONGITUD, CON CAPACIDAD DE CARGA DE 2 ANILLOS DE PLÁSTICO, PARA UTILIZAR CON ÓPTIC A DE 10MM DE DIÁMETRO, QUE CUENTE CON CANAL DE TRABAJO INCORPORADO.</t>
  </si>
  <si>
    <t>BAJA NUDOS METÁLICO DE 5 MM DE DIÁMETRO Y 30 - 35 CM DE LARGO</t>
  </si>
  <si>
    <t>CANASTA PARA EXTRACCIÓN DE CÁLCULOS DE VÍA BILIAR DE 70 CM LONGITUD,2.2 MM DIÁMETRO,4 ALAMBRES DE MONOFILAMENTO,20 - 40 MM LARGOD E CANASTILLA Y CON MANGO ERGONÓMICO.</t>
  </si>
  <si>
    <t>CÁNULA ARTROSCOPICA ENTRE 4 - 5 MM DE DIÁMETRO,  CON CONECTOR LUER Y OBTURADOR</t>
  </si>
  <si>
    <t>CÁNULA ARTROSCOPICA ENTRE 8 - 10 MM DE DIÁMETRO,  CON CONECTOR LUER YOBTURADOR</t>
  </si>
  <si>
    <t>GANCHO CROCHETE PARA ARTROSCOPIA DE HOMBRO</t>
  </si>
  <si>
    <t>MOVILIZADOR UTERINO PARA CIRUGÍA LAPAROSCÓPICA, CON OBTURADOR DE VAGINA</t>
  </si>
  <si>
    <t>PROTECTOR DE HERIDAS PARA CIRUGÍA DE MÍNIMA INVASION, CON RETRACCIÓN ELASTICA CIRCUNFERENCÍAL, ANILLO PROXIMAL ADAPTABLE A DIFERENTES ESPESORES DE LA PARED TORACICA Y ABDOMINAL, ANILLO DISTAL FLEXIBLE PARA FACIL INSERCION EN LA INCISION. TAMAÑO ADECUADO PARA USO EN INCISIONES DE5A 9 CM</t>
  </si>
  <si>
    <t>AGUJA DE USO PERCUTANEO PARA CAPTURA DE SUTURA INTRAABDOMINAL, CON SISTEMA DE CIERRE AUTOMATICO</t>
  </si>
  <si>
    <t>PINZA DE CONCHOTOMIA TIPO STRUYCKEN LONGITUD ÚTIL10-12 CM</t>
  </si>
  <si>
    <t>PINZA "KAHLER" PARA CUERPO EXTRANO LARINGEO 30 CM.</t>
  </si>
  <si>
    <t>PUENTE DE TRABAJO DE DOS VÍAS PARA CISTOSCOPIO</t>
  </si>
  <si>
    <t>PINZA PARA PLACENTA COREY, MORDAZA DENTADA, 24 - 25 CM DE LONGITUD.</t>
  </si>
  <si>
    <t>CAJA QUIRÚRGICA PARA LEGRADO.</t>
  </si>
  <si>
    <t>VALVA VAGINAL DOYEN, 5 - 6 CM DE PROFUNDIDAD X 3.5 - 4.5 CM DE ANCHO,23 - 25 cm DE LONGITUD.</t>
  </si>
  <si>
    <t>PORTA AGUJAS STRATTE 21 CM DE LONGITUD, DENTADO DE 0.5 MM</t>
  </si>
  <si>
    <t>CAJA QUIRÚRGICA PARA FACOEMULSIFICACIÓN</t>
  </si>
  <si>
    <t>CAJA QUIRÚRGICA DE PTERIGIÓN</t>
  </si>
  <si>
    <t>CAJA QUIRÚRGICA PARA CATARATA CONVENCIONAL</t>
  </si>
  <si>
    <t>CAJA QUIRÚRGICA PARA OCULOPLASTÍA</t>
  </si>
  <si>
    <t>ESTILETE MALEABLE ACERO INOXIDABLE, LONGITUD DE 14-20 CM, DIAMETRO DE1-3 MM</t>
  </si>
  <si>
    <t>CAJA QUIRÚRGICA PARA EXTRACCIÓN DE TORNILLOS</t>
  </si>
  <si>
    <t>CONTRAÁNGULO PARA APARATO ROTATORIO DE ENDODONCIA</t>
  </si>
  <si>
    <t>SET DE INSTRUMENTAL PARA CURACIONES</t>
  </si>
  <si>
    <t>SET DE INSTRUMENTAL PARA ONICECTOMÍA</t>
  </si>
  <si>
    <t>SET DE INSTRUMENTAL PARA RETIRO DE PUNTOS</t>
  </si>
  <si>
    <t>SET DE INSTRUMENTAL PARA SUTURA DE HERIDA</t>
  </si>
  <si>
    <t>CONTENEDOR PARA INSTRUMENTAL QUIRÚRGICO FINO</t>
  </si>
  <si>
    <t>CUCHILLO CORNEAL TIPO HOCKEY, DE DOBLE FILO, BORDE CON FILO DE 3 MM YBORDE CON SEMI FILO DE 6 MM.</t>
  </si>
  <si>
    <t>TRÉPANO CORNEAL LASEK CON POZO, TIPO CAMELLÍN, TRÉPANO CON BORDE SEMIAFILADO, ANGULADO, DIÁMETRO DE 7 - 9 MM Y POZO CORNEAL, ANGULADO, CON DIÁMETRO 7.5 - 9.5 MM</t>
  </si>
  <si>
    <t>ANILLO DE FIJACIÓN TIPO THORNTON, ANILLO CERRADO, 16 MM DE DIÁMETRO, FIJO</t>
  </si>
  <si>
    <t>CAJA QUIRÚRGICA PARA MICROCIRUGÍA LARÍNGEA</t>
  </si>
  <si>
    <t>CAJA QUIRÚRGICA PARA CIRUGÍA ENDOSCÓPICA DE SENOS PARANASALES</t>
  </si>
  <si>
    <t>CAJA QUIRÚRGICA PARA SEPTOPLASTIA</t>
  </si>
  <si>
    <t>CAJA QUIRÚRGICA PARA CIRUGÍA DE OÍDO</t>
  </si>
  <si>
    <t>FRESA TIPO GATES GLIDDEN (DEL 1 AL 6), DE 25  A  32 MM, PARA APERTURADE CANALES; SET</t>
  </si>
  <si>
    <t>FRESAS TIPO GATES GLIDDEN # 2 PARA APERTURA DE CANALES, DE 25 A 32 MM;SET</t>
  </si>
  <si>
    <t>FRESAS TIPO GATES GLIDDEN # 3 PARA APERTURA DE CANALES, DE 25 A 32 MM;SET</t>
  </si>
  <si>
    <t>FRESAS TIPO GATES GLIDDEN # 4 PARA APERTURA DE CANALES, DE 25 A 32 MM;SET</t>
  </si>
  <si>
    <t>FRESA 702 TALLO DE 43 A 46 MM, PARA MICROMOTOR</t>
  </si>
  <si>
    <t>FRESA 702 TALLO DE 70 A 75 MM, PARA MICROMOTOR</t>
  </si>
  <si>
    <t>FRESA QUIRÚRGICA DE TALLO LARGO # 702 PARA ALTA VELOCIDAD, TIPO BÚFALOO SIMILAR</t>
  </si>
  <si>
    <t>FRESA DE CARBURO FISURA EXTREMO PLANO AGARRE POR FRICCIÓN # 556</t>
  </si>
  <si>
    <t>FRESA DE CARBURO FISURA EXTREMO PLANO AGARRE POR FRICCIÓN # 557</t>
  </si>
  <si>
    <t>FRESA DE CARBURO FISURA EXTREMO PLANO AGARRE POR FRICCIÓN # 558</t>
  </si>
  <si>
    <t>FRESA DE CARBURO REDONDA AGARRE POR FRICCIÓN # 2</t>
  </si>
  <si>
    <t>FRESA DE CARBURO REDONDA AGARRE POR FRICCIÓN # 4</t>
  </si>
  <si>
    <t>FRESA DE CARBURO REDONDA, AGARRE POR FRICCIÓN # 6</t>
  </si>
  <si>
    <t>FRESA DE CARBURO, AGARRE POR FRICCIÓN # 245</t>
  </si>
  <si>
    <t>FRESA DE CARBURO, AGARRE POR FRICCIÓN # 330</t>
  </si>
  <si>
    <t>FRESA DE DIAMANTE EN FORMA DE RUEDA PARA PULIR RESINA</t>
  </si>
  <si>
    <t>FRESA DE DIAMANTE TRONCO CÓNICA DELGADA, GRANO FINO O EXTRAFINO</t>
  </si>
  <si>
    <t>FRESA DE CARBURO PARA ACABADO REDONDA  N° 4, DE ALTA VELOCIDAD, MULTILAMINADA DE 12 A 30 HOJAS</t>
  </si>
  <si>
    <t>FRESA DE CARBURO PARA ACABADO REDONDA N° 6 DE ALTA VELOCIDAD, MULTILAMINADA DE 12 A 30 HOJAS</t>
  </si>
  <si>
    <t>FRESA QUIRÚRGICA DE ALTA VELOCIDAD, CILÍNDRICA # 557, TALLO LARGO, 25MM</t>
  </si>
  <si>
    <t>FRESA DE CARBURO PARA ACABADO, EN FORMA DE HUEVO, MULTILAMINADA DE 12A30 HOJAS</t>
  </si>
  <si>
    <t>FRESA DE CARBURO PARA ACABADO, EN FORMA DE BALA, MULTILAMINADA DE 12 A30 HOJAS</t>
  </si>
  <si>
    <t>FRESA DE DIAMANTE CILÍNDRICA, EXTREMO REDONDEADO</t>
  </si>
  <si>
    <t>FRESA DE CARBURO # ¼ DE ALTA VELOCIDAD</t>
  </si>
  <si>
    <t>FRESA DE CARBURO # ½ DE ALTA VELOCIDAD</t>
  </si>
  <si>
    <t>PINZA DE MAGILL PARA LA EXTRACCIÓN DE CUERPO EXTRAÑO VÍA ENDOSCÓPICA ,ADULTO, LONGITUD DE 25 CM.</t>
  </si>
  <si>
    <t>PINZA DE MAGILL PARA LA EXTRACCIÓN DE CUERPO EXTRAÑO VÍA ENDOSCÓPICA ,PEDIÁTRICO, LONGITUD DE 20 CM.</t>
  </si>
  <si>
    <t>PINZA DE JIRAFA PARA CIRUGÍA ENDOSCÓPICA, ÁNGULO DE 55°, LONGITUD DE TRABAJO 11 - 13 CM, DIÁMETRO DE COPA DE 2 MM, APERTURA VERTICAL</t>
  </si>
  <si>
    <t>PINZA NASAL DE COAGULACIÓN BIPOLAR CON CANAL DE SUCCIÓN INTEGRADO, ANGULADA, LONGITUD DE TRABAJO DE 18 - 20 CM, CON CABLE DE CONEXIÓN  A EQUIPO DE COAGULACIÓN</t>
  </si>
  <si>
    <t>PINZA NASAL PARA CIRUGÍA ENDOSCÓPICA TIPO BLAKESLEY, CORTANTE, ÁNGULODE 45°, LONGITUD DE TRABAJO 12- 14 CM, APERTURA HACIA ARRIBA, DIÁMETRO3 MM</t>
  </si>
  <si>
    <t>PINZA NASAL PARA CIRUGÍA ENDOSCOPICA TIPO STUEMPEL-VOSS, CORTANTE, ÁNGULO DE 45°, LONGITUD DE TRABAJO 12 - 14 CM, APERTURA HACIA ARRIBA</t>
  </si>
  <si>
    <t>PINZA PARA CIRUGIA ENDOSCÓPICA DE SENO MAXILAR, CURVATURA DE 90°, LONGITUD DE TRABAJO DE 9 - 11 CM, UNA QUIJADA MÓVIL Y APERTURA DE 120°</t>
  </si>
  <si>
    <t>PINZA BIPOLAR, EN BAYONETA, TIPO ANTIADHERENTE, DE 21-23 CM DE LONGITUD X 1.0 MM</t>
  </si>
  <si>
    <t>PINZA PARA COAGULACIÓN BIPOLAR LANDOLT, ÁNGULO DE 90º</t>
  </si>
  <si>
    <t>PINZA PARA COAGULACIÓN BIPOLAR, EN BAYONETA PUNTA AGUDA, 15 CM</t>
  </si>
  <si>
    <t>PINZA PARA COAGULACIÓN BIPOLAR, EN BAYONETA, PUNTA AGUDA, 18 CM.</t>
  </si>
  <si>
    <t>PINZA PARA COAGULACIÓN BIPOLAR, EN BAYONETA, PUNTA AGUDA, 20 CM.</t>
  </si>
  <si>
    <t>CAMISA DE RESECTOSCOPIO DE 20.5 FR CON OBTURADOR FLEXIBLE, DE DOBLE FLUJO Y ROTACION DE 360 GRADOS</t>
  </si>
  <si>
    <t>CAMISA DE RESECTOSCOPIO DE 26 FR CON OBTURADOR FLEXIBLE, DE DOBLE FLUJO Y ROTACION DE 360 GRADOS</t>
  </si>
  <si>
    <t>ELECTRODO PARA COAGULACIÓN MC KARTY COKNI CUCHILLO # 8.</t>
  </si>
  <si>
    <t>ELECTRODO PARA COAGULACIÓN MC KARTY KETAT CUCHILLO # 8.</t>
  </si>
  <si>
    <t>ELECTRODO PARA COAGULACIÓN KAECB # 8</t>
  </si>
  <si>
    <t>ELECTRODO PARA COAGULACIÓN KAEDC # 6</t>
  </si>
  <si>
    <t>ELECTRODO PARA COAGULACIÓN KAEDC # 8</t>
  </si>
  <si>
    <t>ELECTRODO PARA COAGULACIÓN KENTI # 6</t>
  </si>
  <si>
    <t>ELECTRODO PARA COAGULACIÓN MC KARTY</t>
  </si>
  <si>
    <t>ELECTRODO PARA COAGULACIÓN MC KARTY COLIG.</t>
  </si>
  <si>
    <t>ELECTRODO PARA COAGULACIÓN SHAFT # 10</t>
  </si>
  <si>
    <t>ELEMENTO DE TRABAJO PARA RESECTOSCOPIO, COMPATIBLE CON RESECTOSCOPIO.</t>
  </si>
  <si>
    <t>HISTEROSCOPIO COMPACTO DE IRRIGACIÓN CONTINUA, RÍGIDO, 3.2 A 4.4 MM DEDIÁMETRO, DIVERSOS ÁNGULOS DE VISIÓN, CON CANAL DE TRABAJO PARA INSTRUMENTOS CON SISTEMA DE OBTURACIÓN, 20 A 25 CM DE LONGITUD, EXTREMO DEVAINA DISTAL ATRAUMÁTICA, CON PUNTA REDONDEADA, CON SUS ACCESORIOS: JUNTAS PARA CANAL DE TRABAJO, CONECTORES PARA TUBOS, CAJA O ESTUCHE PARAESTERILIZACIÓN Y ADAPTADORES DE LIMPIEZA</t>
  </si>
  <si>
    <t>VAINA INTERNA PARA RESECTOSCOPIO QUIRÚRGICO, DIÁMETRO 22.5 CHARR, EXTREMO DISTAL CON AISLAMIENTO CERÁMICO.</t>
  </si>
  <si>
    <t>FIBRA LASSER HOLMIUN YAG  DE 200 µM X 2 A 3 M DE LONGITUD.</t>
  </si>
  <si>
    <t>FIBRA LASSER HOLMIUM YAG  DE 550 µM X 2 A 3 M DE LONGITUD.</t>
  </si>
  <si>
    <t>FIBRA LASSER HOLMIUN YAG  DE 272 µM X 2 A 3 M DE LONGITUD.</t>
  </si>
  <si>
    <t>FIBRA LASSER HOLMIUN YAG  DE 365 µM X 2 A 3 M DE LONGITUD.</t>
  </si>
  <si>
    <t>LENTE DE 30° 4 MM PARA URETRALEROCISTOCOPIA CON ADAPTADOR A SISTEMA BIPOLAR.</t>
  </si>
  <si>
    <t>CABLE DE TRES DERIVACIONES PARA PACIENTE</t>
  </si>
  <si>
    <t>SONDA DE FIBRA ÓPTICA DE ENDOLUZ XENON DE 25 GAUGE TIPO CHANDELIER</t>
  </si>
  <si>
    <t>SONDA DE FIBRA ÓPTICA DE ENDOLUZ XENON DE 23 GAUGE TIPO CHANDELIER</t>
  </si>
  <si>
    <t>ELEMENTO DE TRABAJO MONOPOLAR, CORTE MEDIANTE TENSION DE RESORTE ANILLA MÓVIL PARA EL PULGAR, PARA UTILIZAR CON ÓPTICAS DE VISIÓN FOROBLICUAHOPKINS Y ELECTRODOS CON UNA VARILLA GUÍA PARA URETRÓTOMO</t>
  </si>
  <si>
    <t>VAINA DE URETRÓTOMO DE SACHSE, 21 CHARR, CON CANAL PARA BUJÍAS DILATADORAS FILIFORM PARA URETRÓTOMO</t>
  </si>
  <si>
    <t>CUCHILLO ENDOSCOPICO DE HOZ O FALCIFORME</t>
  </si>
  <si>
    <t>DISECTOR ENDOSCÓPICO 15-20 CM</t>
  </si>
  <si>
    <t>PUNTA CURVA PARA ENDOLÁSER DE 23 GAUGE, ESTÉRIL,COMPATIBLE CON EQUIPODE FOTOCOAGULACIÓN</t>
  </si>
  <si>
    <t>ELECTRODO MONOPOLAR PARA CIRUGÍA ARTROSCÓPICA, ÁNGULO DE 90°, DESCARTABLE, ESTÉRIL, CON SU CABLE CONECTOR COMPATIBLE CON ELECTROCAUT ERIO</t>
  </si>
  <si>
    <t>PLACA (ELECTRODO NEUTRO) CON SUS RESPECTIVOS CABLES CONECTORES PARA ELECTROCAUTERIO, DIFERENTES MEDIDAS, REUTILIZABLE</t>
  </si>
  <si>
    <t>PLACA AUTOADHESIVA (ELECTRODO NEUTRO) PARA ADULTO, CON SUS RESPECTIVOSCABLES CONECTORES PARA ELECTROCAUTERIO, DIFERENTES MEDIDAS, DESCARTABLE</t>
  </si>
  <si>
    <t>PLACA AUTOADHESIVA (ELECTRODO NEUTRO) PARA RECIÉN NÁCIDO, CON SUS RESPECTIVOS CABLES CONECTORES PARA ELECTROCAUTERIO, DIFERENTES MEDIDAS, DESCARTABLE</t>
  </si>
  <si>
    <t>PUNTA (LAPIZ) DE ELECTROCAUTERIO, DESCARTABLE, ESTÉRIL, CON SU CABLE CONECTOR PARA ELECTROCAUTERIO.</t>
  </si>
  <si>
    <t>PUNTAS PARA LAPIZ DE ELECTROCAUTERIO, DE 2 A 3 PULGADAS DE LONGITUD, RECUBIERTAS DE TEFLÓN, DIFERENTES ÁNGULOS Y FORMAS. SET</t>
  </si>
  <si>
    <t>CUCHILLA (SHAVER) RECTA PARA LARINGE, DIÁMETRO 4 MM, LONGITUD DE 20 A25 CM, CON IRRIGACIÓN; COMPATIBLE CON PIEZA DE MANO DE SISTEMA DE CORTEELÉCTRICO</t>
  </si>
  <si>
    <t>CUCHILLA (SHAVER) CURVA PARA SENOS PARANASALES, ANGULACIÓN ENTRE 30 A70 GRADOS, CON IRRIGACIÓN,COMPATIBLE CON PIEZA DE MANO DE SISTEMA DE CORTE ELÉCTRICO</t>
  </si>
  <si>
    <t>CUCHILLA (SHAVER) RECTA PARA SENOS PARANASALES, CON IRRIGACIÓN, COMPATIBLE CON PIEZA DE MANO DE SISTEMA DE CORTE ELÉCTRICO</t>
  </si>
  <si>
    <t>FRESA CURVA PARA SENO FRONTAL, ANGULACIÓN ENTRE 30 A 70 GRADOS, CON IRRIGACIÓN, COMPATIBLE CON PIEZA DE MANO DE SISTEMA DE CORTE ELÉCTRICO</t>
  </si>
  <si>
    <t>LÁPIZ DE CAUTERIO DE EVACUACIÓN DE HUMO PARA CIRUGÍA ABIERTA CON ACTIVACIÓN DE BOTÓN PARA CORTE Y COAGULACIÓN CON CÁNULA DE CAPTURA Y EXTRACTORA DE HUMO PRODUCIDO CON SU ACTIVACIÓN CONECTADO A EQUIPO FILTRADORDE PARTÍCULAS, DESCARTABLE.</t>
  </si>
  <si>
    <t>LUBRICANTE ESPECIAL PARA SISTEMAS DE CORTE QUIRÚRGICO, A BASE DE ACEITE BLANCO LIBRE DE SILICONA, ESTERILIZABLE A VAPOR</t>
  </si>
  <si>
    <t>TAPÓN DE HERMETICIDAD PARA ENDOSCOPIO</t>
  </si>
  <si>
    <t>VÁLVULA DE SUCCIÓN PARA USO EN ENDOSCOPIO</t>
  </si>
  <si>
    <t>DEPÓSITO PARA DESINFECCIÓN DE ENDOSCOPIOS Y COLONOSCOPIOS, MEDIDAS 30A 32 PULGADAS DE LARGO, 18 A 20 PULGADAS DE ANCHO Y 6 A 8 PULGADAS DEPROFUNDIDAD, AGARRADORES CON CIERRE AUTOMÁTICO Y RUEDAS PARA FACILITARSU MANEJO</t>
  </si>
  <si>
    <t>ELECTRODO DE RADIOFRECUENCIA PUNTA ÚNICA, DIÁMETRO DE 17 GAUGE Y 15 CMO MÁS DE LONGITUD, PERÍMETRO DE ABLACIÓN DE 3 CM, CON PLACA DE RETORNO PARA PACIENTE, DESCARTABLE</t>
  </si>
  <si>
    <t>ELECTRODO DE RADIOFRECUENCIA CON APERTURA DE 5 PUNTAS, CON PERÍMETRO DE ABLACIÓN DE 3 CM O MÁS, CON TIEMPO DE RADIOFRECUENCIA MENOR DE 10 MINUTOS, CON PLACA DE RETORNO PARA PACIENTE, DESCARTABLE</t>
  </si>
  <si>
    <t>ELECTRODO DESCARTABLE CON MANDÍBULA DE 2.5 CM, SUPERFICIE CON RALLADURA SIN DENTADAS GRUESAS, COMPATIBLE CON PINZA DE 23 CM DE LARGO</t>
  </si>
  <si>
    <t>PIEZA DE MANO DESCARTABLE PARA CIRUGÍA ABIERTA, DE PRECISIÓN, CON SU RESPECTIVO CABLE ADAPTADOR A EQUIPO DE SELLADO DE VASOS.</t>
  </si>
  <si>
    <t>PINZA DESCARTABLE PARA CIRUGÍA LAPAROSCÓPICA, VÁSTAGO DE 34 - 40 CM DELONGITUD, DIÁMETRO 10 MM, GIRATORIO, CON SU RESPECTIVO CABLE A DAPTADOR A EQUIPO DE SELLADO DE VASOS.</t>
  </si>
  <si>
    <t>PINZA DESCARTABLE PARA CIRUGÍA LAPAROSCÓPICA, VÁSTAGO DE 34 - 40 CM DELONGITUD, DIÁMETRO 5 MM, GIRATORIO, CON SU RESPECTIVO CABLE ADAPTADORCON EQUIPO DE SELLADO DE VASOS</t>
  </si>
  <si>
    <t>SET PARA APLICACIÓN DE BANDAS DE HEMORROIDES SIN ASPIRACIÓN, QUE INCLUYE: LIGADOR DE HEMORROIDES, CONO DE CARGA PARA LIGADOR DE HEMO RROIDESY PINZA DE TRACCIÓN DE HEMORROIDES</t>
  </si>
  <si>
    <t>PINZA DESCARTABLE PARA CIRUGÍA ABIERTA EN ESPACIOS PEQUEÑOS, DE 14 A 19 CM, CON SU RESPECTIVO CABLE ADAPTADOR. CON EQUIPO DE SELLADO DE VASOS</t>
  </si>
  <si>
    <t>TIJERA PARA CIRUGÍA ABIERTA EN ESPACIOS PEQUEÑOS, CON PUNTA CURVA Y FINA, LARGO DE VÁSTAGO DE 8 A 10 CM Y MANGO TIPO TIJERA, CONTROL  DE ACTIVACÍON MANUAL.</t>
  </si>
  <si>
    <t>PINZA DESCARTABLE PARA CIRUGÍA ABIERTA, DE 18 A 25 CM, MANDÍBULAS CURVAS, VÁSTAGO GIRATORIO, CON SU RESPECTIVO CABLE ADAPTADOR. CON EQUIPO DE SELLADO DE VASOS</t>
  </si>
  <si>
    <t>PINZA BIPOLAR PARA AMIGDALECTOMÍA, CON SU RESPECTIVO CABLE ADAPTADOR AEQUIPO DE SELLADO DE VASOS.</t>
  </si>
  <si>
    <t>ANTENA DE ABLACIÓN POR MICROONDAS O RADIOFRECUENCIAS DE ENTRE 15 A 30CM. DE LONGITUD Y UNA ZONA ACTIVA DE 2 A 4 CM.</t>
  </si>
  <si>
    <t>PINZA TIPO MARYLAND (MANDÍBULA CURVA) PARA CIRUGÍA LAPAROSCÓPICA, VÁSTAGO GIRATORIO DE 33 A 37 CM DE LONGITUD, DIÁMETRO DE 5 MM, CON EQUIPODE SELLADO DE VASOS</t>
  </si>
  <si>
    <t>CARTUCHO DE 6 LINEAS DE GRAPA PARA ENGRAPADORA LINEAL CORTANTE ARTICULADA LAPAROSCÓPICA, DE 35 - 45 MM DE LARGO DE CARTUCHO, PARA TE JIDO REGULAR.</t>
  </si>
  <si>
    <t>CARTUCHO DE 6 LINEAS DE GRAPA PARA ENGRAPADORA LINEAL CORTANTE ARTICULADA LAPAROSCÓPICA, DE 50 - 60 MM DE LARGO DE CARTUCHO, PARA TE JIDO GRUESO</t>
  </si>
  <si>
    <t>CARTUCHO DE 6 LINEAS DE GRAPAS PARA ENGRAPADORA LINEAL CORTANTE ARTICULADA LAPAROSCÓPICA DE 50 - 60 MM DE LARGO DE CARTUCHO, PARA TEJIDO VASCULAR</t>
  </si>
  <si>
    <t>CARTUCHO DE 6 LINEAS DE GRAPAS PARA ENGRAPADORA LINEAL CORTANTE ARTICULADA LAPAROSCÓPICA DE 35 - 45 MM DE LARGO DE CARTUCHO, PARA TEJIDO VASCULAR CON SU RESPECTIVA ENGRAPADORA</t>
  </si>
  <si>
    <t>CARTUCHO PARA DISPOSITIVO ARTICULADO PARA FIJACIÓN DE MALLA LAPAROSCÓPICA, CARGA DE 10 TACKERS ABSORBIBLES TAMAÑO GRANDE O PROFUNDO</t>
  </si>
  <si>
    <t>ENGRAPADORA CIRCULAR INTRALUMINAL, CURVA, DIÁMETRO DE CABEZA DE 29 - 33 MM, CABEZA DESMONTABLE, PARA TEJIDO GRUESO</t>
  </si>
  <si>
    <t>ENGRAPADORA CIRCULAR INTRALUMINAL, CURVA, DIÁMETRO DE CABEZA DE 25 - 26 MM, CABEZA DESMONTABLE, PARA TEJIDO REGULAR</t>
  </si>
  <si>
    <t>ENGRAPADORA CURVO CORTANTE PARA ACCESO A PELVIS BAJA, CON PIN DE FIJACIÓN DE TEJIDO, CAPACIDAD DE MONTAR CARTUCHOS PARA TEJIDO GRUESO Y REGULAR</t>
  </si>
  <si>
    <t>ENGRAPADORA LINEAL CORTANTE PARA CIRUGÍA ABIERTA, PARA USO DE CARTUCHODE 55 - 60 MM, CON MECANISMO DE SEGURIDAD</t>
  </si>
  <si>
    <t>ENGRAPADORA LINEAL CORTANTE PARA CIRUGÍA ABIERTA, PARA USO DE CARTUCHODE 75 - 90 MM, CON MECANISMO DE SEGURIDAD</t>
  </si>
  <si>
    <t>ENGRAPADORA LINEAL CORTANTE LAPAROSCÓPICA, ARTICULADA, GIRATORIA 360 GRADOS, DE 10 - 12 MM DE DIÁMETRO, 30 - 35 CM DE LARGO, PARA CARTUCHO DE 50 - 60 MM</t>
  </si>
  <si>
    <t>ENGRAPADORA LINEAL CORTANTE LAPAROSCÓPICA, ARTICULADA, GIRATORIA 360 GRADOS, DE 10 - 12 MM DE DIÁMETRO, 30 - 35 CM DE LARGO, PARA CARTUCHO DE 35 - 45 MM.</t>
  </si>
  <si>
    <t>DISPOSITIVO PARA FIJACIÓN DE MALLA LAPAROSCÓPICA, CON CARGA DE 25 A 30TACKERS NO ABSORBIBLES INCLUIDA, , DE 5 MM DE DIÁMETRO Y VÁSTAGO DE 30 A 35 CM DE LARGO</t>
  </si>
  <si>
    <t>KIT DE GRAPEO PARA PROLAPSO RECTAL Y HEMORROIDES, CONSISTENTE EN:  ENGRAPADORA CIRCULAR RECTA DE 33 MM, DILATADOR ANAL, ANOSCOPIO Y GANCHO PARA SUTURA</t>
  </si>
  <si>
    <t>ENGRAPADORA LINEAL NO CORTANTE LAPAROSCÓPICA, DESCARTABLE, GIRATORIA 360 GRADOS, DE 10 - 12 MM DE DIÁMETRO, 30 - 37 CM DE LARGO, CON SU RESPECTIVO CARTUCHO VASCULAR DE SEIS LINEAS</t>
  </si>
  <si>
    <t>DISPOSITIVO PARA FIJACIÓN DE MALLA LAPAROSCÓPICA, CON CARGA DE 25 A 35TACKERS ABSORBIBLES, DE 5 MM DE DIÁMETRO Y 30 - 35 CM DE LARGO</t>
  </si>
  <si>
    <t>CARTUCHO DE 6 LINEAS DE GRAPA PARA ENGRAPADORA LINEAL CORTANTE ARTICULADA LAPAROSCÓPICA, DE 50 - 60 MM DE LARGO DE CARTUCHO, PARA TE JIDO REGULAR</t>
  </si>
  <si>
    <t>TIJERA PARA CIRUGÍA ABIERTA, CON PUNTA CURVA Y FINA, LARGO DE VÁSTAGODE 16 A 19 CM Y MANGO TIPO TIJERA, CONTROL DE ACTIVACÍON MANUAL.</t>
  </si>
  <si>
    <t>LAPIZ PARA BISTURÍ ARMONICO CON CUCHILLA TIPO LAMINA CURVA, CONSTA DEPUNTA PLANA, SUPERFICIE CONVEXA ROMA Y SUPERFICIE CONCAVA, PARA CORTE-COAGULACIÓN Y SELLADO DE VASOS, CON LONGITUD DEL EJE AJUSTABLE</t>
  </si>
  <si>
    <t>PIEZA DE MANO (TRANSDUCTOR ACÚSTICO) PARA TIJERAS DE BISTURÍ ARMONICOOPCION CIRUGÍA ABIERTA</t>
  </si>
  <si>
    <t>CARTUCHO DE 6 LINEAS DE GRAPA PARA ENGRAPADORA LINEAL CORTANTE ARTICULADA LAPAROSCÓPICA, DE 50 - 60 MM DE LARGO DE CARTUCHO, PARA TE JIDO REGULAR GRUESO</t>
  </si>
  <si>
    <t>SONDA DE ELECTROCOAGULACIÓN BIPOLAR PARA HEMOSTASIA EN SANGRADOS DE TUBO DIGESTIVO DE 350 CM, 7-10 FR</t>
  </si>
  <si>
    <t>SISTEMA EN SPRAY PARA HEMOSTASIA EN HEMORRAGIAS DIGESTIVAS ALTAS NO VARICIALES PARA USO ENDOSCÓPICO.</t>
  </si>
  <si>
    <t>BISTURÍ ENDOSCÓPICO PARA INCISIÓN Y DISECCIÓN DE MÍNIMA INVACIÓN DE LESIONES, PARA USO ENDOSCÓPICO,  COMPATIBLE CON CANAL DE TRABAJO DE 2.8MM, LONGITUD DE TRABAJO MÍNIMA DE 165 CM.</t>
  </si>
  <si>
    <t>KIT PARA RESECCIÓN MUCOSAL DE LESIONES NEOPLASICAS, PARA USO ENDOSCÓPICO, COMPATIBLE CON CANAL DE TRABAJO DE 2.8 MM, LONGITUD DE TRA BAJO MÍNIMA DE 230 CM, ADAPTABLE A EQUIPO.</t>
  </si>
  <si>
    <t>KIT PARA RESECCIÓN MUCOSAL DE LESIONES NEOPLASICAS, PARA USO ENDOSCÓPICO, COMPATIBLE CON CANAL DE TRABAJO DE 2.8 MM, LONGITUD DE TRA BAJO MÍNIMA DE 165 CM, ADAPTABLE A EQUIPO.</t>
  </si>
  <si>
    <t>CATÉTER PARA APLICACIÓN DE GAS ARGON EN HEMORRAGIAS DIGESTIVAS, PARA USO ENDOSCÓPICO, COMPATIBLE CON CANAL DE TRABAJO DE 2.8 MM, LONGITUD DETRABAJO ENTRE 165 Y 230 CM, ADAPTABLE A EQUIPO.</t>
  </si>
  <si>
    <t>AGUJA PARA ASPIRACIÓN, GUIADA POR ULTRASONIDO ENDOSCÓPICO, PARA PUNCIÓN DE PSEUDOQUISTES Y TUMORES QUÍSTICOS DEL TUBO DIGESTIVO</t>
  </si>
  <si>
    <t>AGUJA PARA ASPIRACIÓN Y BIOPSIA, GUIADA POR ULTRASONIDO ENDOSCÓPICO, PARA PUNCIÓN DE TUMORES SÓLIDOS DEL TUBO DIGESTIVO</t>
  </si>
  <si>
    <t>AGUJA PARA HEMOSTASIA Y ESCLEROSIS PARA USO EN VIDEO COLONOSCOPIO, LONGITUD  DE 230 CM O MÁS</t>
  </si>
  <si>
    <t>AGUJA PARA HEMOSTASIA Y ESCLEROSIS PARA USO EN VIDEO GASTROSCOPIO, LONGITUD DE 165 CM O MÁS</t>
  </si>
  <si>
    <t>ANILLOS DE LIGADURA PARA HEMORROIDES (BANDAS ELÁSTICAS), FRASCO CON 100 BANDAS ELÁSTICAS</t>
  </si>
  <si>
    <t>BALÓN DE DILATACIÓN ESOFÁGICA CON DIÁMETRO ENTRE 18 A 20 MM Y DE 5 A 8CM DE LONGITUD, CON 2 PUERTOS: UNO PARA INSUFLAR EL BALÓN Y OTRO PARAEL PASO DE GUÍA HIDROFÍLICA DE 0.35 PULGADAS</t>
  </si>
  <si>
    <t>BALÓN DE DILATACIÓN PARA COLON, DESCARTABLE, DIÁMETRO DE INFLADO MÍNIMODE 16 MM (48 FRENCH), LONGITUD DE BALÓN DE 5.5 CM, LONGITUD D E CATÉTERDE 240 CM O MÁS</t>
  </si>
  <si>
    <t>CANASTA EXTRACTORA DE CÁLCULOS PARA DUODENOSCOPIO, 4 FILAMENTOS, CON PUERTO DE INYECCION, DIÁMETRO DE CANASTA DE 20 A 40 MM, LONGITUD DE TRABAJO DE 190 A 250 CM, COMPATIBLE CON LITOTRIPTOR MECANICO</t>
  </si>
  <si>
    <t>CANASTA LITOTRIPTORA DE CÁLCULOS PARA DUODENOSCOPIO, 4 FILAMENTOS, CONPUERTO DE INYECCION Y COMPATIBLE CON GUÍA HIDROFÍLICA DE 0.035", DIÁMETRO DE APERTURA DE CANASTA DE 30 MM, COMPATIBLE CON PISTOLA MECANICADE LITOTRIPCIA</t>
  </si>
  <si>
    <t>CANASTILLA DE EXTRACCIÓN DE PÓLIPOS POR COLONOSCOPIA, DIÁMETRO MÍNIMODE LA CESTA DE 2 CM, LONGITUD MÍNIMA DE LA CESTA MAYOR O IGUAL A 4 CM ,LONGITUD MÍNIMA DEL EXTRACTOR 240 CM, REUTILIZABLE</t>
  </si>
  <si>
    <t>CÁNULA DIAGNÓSTICA PARA ERCP, COMPATIBLE CON GUÍA HIDROFÍLICA DE 0.035"</t>
  </si>
  <si>
    <t>CATÉTER CON BALÓN PARA DILATACIÓN DE ACALASIA, DIÁMETRO DE BALÓN ENTRE30 A 40 MM, COMPATIBLE CON GUÍA DE 0.038" O GUÍA SAVARY-GUILLIARD</t>
  </si>
  <si>
    <t>CATÉTER CISTÓTOMO PARA ABORDAJE TRANS GÁSTRICO DE PSEUDOQUISTE PANCREÁTICO, COMPATIBLE CON UNIDAD ELECTROQUIRÚRGICA.</t>
  </si>
  <si>
    <t>CEPILLO DE LIMPIEZA DEL CANAL DE AIRE/AGUA, LONGITUD MÍNIMA DE 200 MM,REUTILIZABLE, PARA USO EN VIDEO COLONOSCOPIO.</t>
  </si>
  <si>
    <t>CEPILLO DE LIMPIEZA DEL CANAL DE INSTRUMENTACION, LONGITUD MÍNIMA DE 200MM, REUTILIZABLE, PARA USO EN VIDEO COLONOSCOPIO.</t>
  </si>
  <si>
    <t>CEPILLO DE LIMPIEZA PARA CILINDRO DE VÁLVULA DE ASPIRACIÓN DE AIRE/AGUA, LONGITUD MÍNIMA DE 200 MM, REUTILIZABLE, PARA USO EN VIDEO C OLONOSCOPIO.</t>
  </si>
  <si>
    <t>CEPILLO PARA CITOLOGIA PARA COLONOSCOPIO, PARA USO EN CANAL DE 2.8 MM</t>
  </si>
  <si>
    <t>CEPILLO PARA CITOLOGIA PARA DUODENOSCOPIO, PARA USO EN CANAL DE 2.8 MM</t>
  </si>
  <si>
    <t>CEPILLO PARA LIMPIEZA DE CANALES DE VIDEO GASTROSCOPIO, CANAL DE 2.8 MMDE DIÁMETRO, LONGITUD DE 165 CM APROXIMADO</t>
  </si>
  <si>
    <t>CLIP PREMONTADO PARA HEMOSTASIA PARA USO EN ENDOSCOPIO DE TUBO DIGESTIVO INFERIOR, LONGITUD 230 CM APROXIMADAMENTE</t>
  </si>
  <si>
    <t>CLIP PREMONTADO PARA HEMOSTASIA PARA USO EN ENDOSCOPIO DE TUBO DIGESTIVO SUPERIOR, LONGITUD 165 CM APROXIMADAMENTE</t>
  </si>
  <si>
    <t>ESFINTEROTOMO CONVENCIONAL, TRIPLE LUMEN, NARIZ CORTA (2 A 3 MM), LONGITUD DE ALAMBRE DE CORTE DE 20 A 30 MM, COMPATIBLE CON GUÍA DE 0.035"</t>
  </si>
  <si>
    <t>ESFINTEROTOMO DE PRECORTE O AGUJA, TRIPLE LUMEN, PUNTA DE ALAMBRE DE CORTE DE 3 A 5 MM, COMPATIBLE CON GUÍA DE 0.035"</t>
  </si>
  <si>
    <t>GUÍA BILIAR HIDROFÍLICA ENTRE 0.021" A 0.035" Y 450 A 480 CM DE LONGITUD</t>
  </si>
  <si>
    <t>KIT DE GASTROSTOMÍA ENDOSCOPICA PERCUTANEA, QUE CONTENGA TUBO DE ALIMENTACION DE SILICÓN, BANDEJA DE PREPARACION y LAZO O GUÍA DE TR ACCIÓN</t>
  </si>
  <si>
    <t>KIT DE LIGADURA DE VARICES ESOFÁGICAS, QUE CONTENGA 6- 8 BANDAS ELÁSTICAS, MANGO LIGADOR MULTIBANDA, CORDÓN DISPARADOR Y DISPOSITIVO CON BANDAS PREVÍAMENTE CARGADAS, CATÉTER DE CARGA Y ADAPTADOR DE IRRIGACIÓN</t>
  </si>
  <si>
    <t>KIT DE SONDA DE RECAMBIO PARA GASTROSTOMÍA</t>
  </si>
  <si>
    <t>PINZA DE AGARRE PARA USO EN VIDEO GASTROSCOPIO, EN FORMA DE CUCHARA REDONDA CON DIENTES, LONGITUD DE 160 CM O MAYOR, PARA CANAL DE 2 .8</t>
  </si>
  <si>
    <t>PINZA DE AGARRE TIPO TRIPODE PARA USO EN VIDEO GASTROSCOPIO, LONGITUDDE 160 CM O MAYOR, PARA CANAL DE 2.8</t>
  </si>
  <si>
    <t>PINZA DE EXTRACCIÓN DE CUERPO EXTRAÑO POR COLONOSCOPIA, MORDIDA MÍNIMADE 1.8 MM, LONGITUD MAYOR O IGUAL A 225 CM, REUTILIZABLE</t>
  </si>
  <si>
    <t>PINZA PARA BIOPSIA RECTAL TIPO CAIMÁN, MORDIDA DE 4 MM DE DIÁMETRO Y LONGITUD DE TRABAJO MAYOR DE 27 CM</t>
  </si>
  <si>
    <t>PINZA PARA TOMA DE BIOPSIA PARA DUODENOSCOPIO, REUTILIZABLE, CON MANDÍBULAS TIPO DIENTES DE RATON Y AGUJA</t>
  </si>
  <si>
    <t>PINZA PARA TOMA DE BIOPSIA POR VIDEO GASTROSCOPIO, CANAL DE TRABAJO DE2.8 MM</t>
  </si>
  <si>
    <t>PINZA PORTA TORUNDAS Y EXTRACCIÓN DE CUERPO EXTRAÑO EN RECTO, DE 3 MMDE DIÁMETRO Y LONGITUD ÚTIL MAYOR DE 30 CM</t>
  </si>
  <si>
    <t>POLIPECTOTOMO DIATÉRMICO PARA VIDEO COLONOSCOPIO, DIFERENTES FORMAS YTAMAÑOS</t>
  </si>
  <si>
    <t>POLIPECTOTOMO DIATÉRMICO PARA VIDEO GASTROSCOPIO, DIFERENTES FORMAS YTAMAÑOS</t>
  </si>
  <si>
    <t>SET DE LIGADURA DE LAZO PARA HEMOSTASIA ENDOSCOPICA PARA USO EN COLONOSCOPIA</t>
  </si>
  <si>
    <t>SET PARA APLICACIÓN DE BANDAS DE HEMORROIDES ASISTIDO POR ASPIRACIÓN,QUE INCLUYE INSTRUMENTAL PARA LIGADURA POR ASPIRACIÓN, UN CABEZAL DE ASPIRACIÓN GRANDE, UN CABEZAL DE ASPIRACIÓN PEQUEÑO, CONO DE CARGA PARALIGADOR DE HEMORROIDES</t>
  </si>
  <si>
    <t>SET PARA COLOCACION DE PRÓTESIS ESOFÁGICA, QUE CONTENGA: PRÓTESIS ESOFÁGICA CON VÁLVULA ANTIRREFLUJO, DIVERSAS LONGITUDES Y DIÁMETRO S, CATÉTER INTERNO RADIOPACO, VAINA EXTERNA CON MARCAS GRADUADAS, CATÉTER GUÍA, DILATADOR CONPUNTA RADIOPACA Y GUÍA SAVARY GUILLIARD</t>
  </si>
  <si>
    <t>CATÉTER CON BALÓN DE EXTRACCIÓN DE CÁLCULOS BILIARES DE DOBLE O TRIPLELUMEN, ENTRE 8.5 A 18 MM DE LONGITUD DE BALÓN Y ENTRE 1.5 A 5.0 ML DEVOLUMEN DE AIRE, LONGITUD DE CATÉTER MAYOR O IGUAL A 160 CM</t>
  </si>
  <si>
    <t>CATÉTER DILATADOR DE VÍAS BILIARES, BALÓN DE 6 A 10 MM DE DIÁMETRO Y 3A 6 CM DE LONGITUD</t>
  </si>
  <si>
    <t>SOBRETUBO MONOBALÓN PARA VIDEO ENTEROSCOPIO.</t>
  </si>
  <si>
    <t>VÁLVULA DE AGUA-AIRE PARA VIDEO ENDOSCOPIO.</t>
  </si>
  <si>
    <t>TAPON DE HULE PARA CANAL DE TRABAJO PARA VIDEO ENDOSCOPIO. PAQUETE DE10 UNIDADES</t>
  </si>
  <si>
    <t>VÁLVULA DE SUCCIÓN PARA VIDEO ENDOSCOPIO.</t>
  </si>
  <si>
    <t>AGUJA PARA IMPLANTE DE MARCADORES FIDUCIALES, DIÁMETRO DE 20 A 22 G. ESTÉRIL, DESCARTABLE. PARA USO CON ULTRASONIDO ENDOSCOPICO</t>
  </si>
  <si>
    <t>AGUJA PARA NEUROLISIS DE PLEXO CELIACO, CALIBRE DE 20 A 22 G. ESTÉRIL,DESCARTABLE. PARA USO CON ULTRASONIDO ENDOSCOPICO</t>
  </si>
  <si>
    <t>BALÓN, ESTÉRIL, DESCARTABLE. PARA USO CON ULTRASONIDO ENDOSCOPICO RADIAL.</t>
  </si>
  <si>
    <t>BALÓN, ESTÉRIL, DESCARTABLE. PARA USO CON ULTRASONIDO ENDOSCOPICO LINEAL.</t>
  </si>
  <si>
    <t>SET DE DILATADORES DE VÍAS BILIARES, TIPO SOEHENDRA, RANGO DE DIÁMETROS DE 5 A 12 FRENCH,  LONGITUD DE 200 A 250 CM, CON BANDA RADIOPACA. REUTILIZABLE.</t>
  </si>
  <si>
    <t>TAPÓN PARA CANAL DE BIOPSIA, REUTILIZABLE, PARA ULTRASONIDO ENDOSCOPICO LINEAL Y RADIAL.</t>
  </si>
  <si>
    <t>VÁLVULA PARA CANAL AIRE-AGUA, REUTILIZABLE, PARA ULTRASONIDO ENDOSCOPICO.</t>
  </si>
  <si>
    <t>VÁLVULA PARA CANAL DE SUCCIÓN, REUTILIZABLE, PARA ULTRASONIDO ENDOSCOPICO LINEAL Y RADIAL.</t>
  </si>
  <si>
    <t>CÁPSULA ENDOSCÓPICA PARA INTESTINO DELGADO, CÁMARA QUE TOME DE 2 A 6 IMÁGENES POR SEGUNDO, CON VELOCIDAD DE CAPTURA DE IMÁGENES ADAPTATIVA</t>
  </si>
  <si>
    <t>BALÓN DE DILATACIÓN ESOFÁGICA CON DIÁMETRO ENTRE 10 A 12 MM Y DE 5 A 8CM DE LONGITUD, CON 2 PUERTOS: UNO PARA INSUFLAR EL BALÓN Y OTRO PARAEL PASO DE GUÍA HIDROFÍLICA DE 0.35 PULGADAS.</t>
  </si>
  <si>
    <t>BALÓN DE DILATACIÓN ESOFÁGICA CON DIÁMETRO ENTRE 12 - 15 MM Y DE 5 A 8CM DE LONGITUD, CON 2 PUERTOS: UNO PARA INSUFLAR EL BALÓN Y OTRO PARAEL PASO DE GUÍA HIDROFÍLICA DE 0.35 PULGADAS.</t>
  </si>
  <si>
    <t>BALÓN DE DILATACIÓN ESOFÁGICA CON DIÁMETRO ENTRE 15 - 18 MM Y DE 5 A 8CM DE LONGITUD, CON 2 PUERTOS: UNO PARA INSUFLAR EL BALÓN Y OTRO PARAEL PASO DE GUÍA HIDROFÍLICA DE 0.35 PULGADAS.</t>
  </si>
  <si>
    <t>ASA DE POLIPECTOMIA PARA USO EN HISTEROSCOPIO DIAGNOSTICO, UNIPOLAR ,DIÁMETRO 5 CHARR, LONGITUD DE 30 A 35 CM</t>
  </si>
  <si>
    <t>CABLE BIPLAR Y TUBO DE IRRIGACIÓN INTEGRADO MALLIS. JUEGO</t>
  </si>
  <si>
    <t>PUNTA PARA ENDOCAUTERIO COMPATIBLE CON EQUIPO.</t>
  </si>
  <si>
    <t>CORDON PARA CONECTAR A BIPOLAR (CABLE  BIPOLAR), COMPATIBLE  CON EQUIPO</t>
  </si>
  <si>
    <t>CASSETTE PARA EQUIPO FACOEMULSIFICADOR,COMPATIBLE CON SISTEMA DE IRRIGACIÓN PRESURIZADO, MANEJO DE PRESIÓN INTRAOCULAR</t>
  </si>
  <si>
    <t>CASSETTE PARA EQUIPO FACOEMULSIFICADOR,COMPATIBLE  CON SISTEMA DE IRRIGACIÓN POR  GRAVEDAD</t>
  </si>
  <si>
    <t>PUNTA PARA PIEZA DE MANO FACOFRAGMENTADORA, COMPATIBLE CON EQUIPO DE FACOEMULSIFICACIÓN.</t>
  </si>
  <si>
    <t>CARTUCHO B PARA INYECTOR DE PIEZA DE MANO PARA COLOCACION DE LIO PLEGABLE</t>
  </si>
  <si>
    <t>CASSETTE PARA EQUIPO PHACO EMULSIFICADOR.</t>
  </si>
  <si>
    <t>PUNTA (TIP) IRRIGACIÓN # ASPIRACIÓN PARA PIEZA DE MANO PARA PHACO</t>
  </si>
  <si>
    <t>PUNTA PARA PHACO EMULSIFICACION DE CATARATAS TIPO ESTÁNDAR, KELMAN A 30°</t>
  </si>
  <si>
    <t>PUNTA PARA VITRECTOMIA ANTERIOR CON IRRIGACIÓN.</t>
  </si>
  <si>
    <t>PIEZA DE MANO IRRIGACIÓN ASPIRACIÓN PARA PHACO, CURVA</t>
  </si>
  <si>
    <t>CASSETTE CON SISTEMA COMPLETO PARA CIRUGÍA COMBINADA DE VITRECTOMIA +FACOEMULSIFICACION, 25G, COMPATIBLE CON EQUIPO.</t>
  </si>
  <si>
    <t>CASSETTE CON SISTEMA COMPLETO PARA CIRUGÍA DE VITRECTOMIA POSTERIOR 25G - 5000 CPM. PAQUETE</t>
  </si>
  <si>
    <t>SISTEMA DE ILUMINACION CHANDELIER 25GA W/RFID 12 S, QUE INCLUYA TROCARDE 25 G PARA INSERCIÓN, AREA DE ILUMINACION DE 106° PARA EQUIPO.</t>
  </si>
  <si>
    <t>CASSETTE O PACK COMBINADO PARA VITRECTOMÍA Y FACOEMULSIFICADOR, CALIBRE 25 G, CON EQUIPO.</t>
  </si>
  <si>
    <t>CASSETTE O PACK PARA VITRECTOMÍA POSTERIOR, CALIBRE 25 G, CON EQUIPO.</t>
  </si>
  <si>
    <t>CASSETTE O PACK FACOEMULSIFICADOR, CON EQUIPO.</t>
  </si>
  <si>
    <t>IMPLANTE DE PEEK DE BAJO PÉRFIL PARA MENISCO, CARGADO EN UNA SUTURA DE2.0, MONTADO EN UNA PINZA PARA INSERCION EN LA ARTICULACIÓN, TECNICAARTROSCOPICA TODO ADENTRO, EMPAQUE INDIVIDUAL, ESTÉRIL</t>
  </si>
  <si>
    <t>AGUJA PARA PASAR UNA O DOS SUTURAS HACIA ADENTRO Y HACIA ATRÁS, PARA USO CON PINZA ARTROSCÓPICA, DESCARTABLE, ESTÉRIL</t>
  </si>
  <si>
    <t>PINZA RECTA CORTADORA DE SUTURA ARTROSCOSPICA, PARA CORTE DE SUTURA DEALTA RESISTENCIA DE AL MENOS 2 MM DE ANCHO</t>
  </si>
  <si>
    <t>ELECTRODO DE VAPORIZACION, BIPOLAR, COMPATIBLE CON EQUIPO DE ELECTROCIRUGÍA.</t>
  </si>
  <si>
    <t>ASA PARA CORTE - COAGULACIÓN COMPATIBLE CON EQUIPO DE ELECTROCIRUGÍA MONOPOLAR</t>
  </si>
  <si>
    <t>SONDA MÁSIVA URETEROSCOPIO, DIÁMETRO DE 0.8 MM Y DIVERSAS LONGITUDES.COMPATIBLE CON URETEROSCOPIO.</t>
  </si>
  <si>
    <t>ASA PARA CORTE - COAGULACIÓN COMPATIBLE CON EQUIPO DE ELECTROCIRUGÍA BIPOLAR</t>
  </si>
  <si>
    <t>CANASTA DE NITINOL PARA EXTRACCIÓN DE CÁLCULOS URETERALES, APERTURA DECANASTA DE 10 A 20 MM, DIÁMETRO 1.5 A 2.4 FRENCH, LONGITUD DE 110 A 120 CM, SIN PUNTA</t>
  </si>
  <si>
    <t>FORCEPS PARA AGARRE Y RETIRO DE CÁLCULOS EN LA PELVIS RENAL, TRESGRASPING, APERTURA DE 15 MM O MÁS, DIÁMETRO 5 - 10 FR Y LONGITUD EN TRE 38O MÁS CM</t>
  </si>
  <si>
    <t>CANASTA DE NITINOL PARA EXTRACCIÓN DE CÁLCULOS EN LA PELVIS RENAL A TRAVES DE NEFROSCOPIO, APERTURA DE CANASTA DE 20 MM, DIÁMETRO 10 A 12 FRENCH, LONTIGUD DE 38 A 40 CM, SIN PUNTA</t>
  </si>
  <si>
    <t>SISTEMA DE IRRIGACIÓN CONTINUA PARA URETEROSCOPIA Y CISTOSCOPIA, CON VÁLVULA DE NO RETORNO Y DOBLE EXTENSIÓN PARA COLOCACION DE SUER OS, ADAPTADOR LUER LOOK</t>
  </si>
  <si>
    <t>PINZA URETRAL DE AGARRE DE FRAGMENTOS DE CÁLCULOS, ABERTURA BILATERAL,DIÁMETRO 5 FRENCH (CHARR), LONGITUD 60 CM O MAYOR</t>
  </si>
  <si>
    <t>CANASTILLA PARA EXTRACCIÓN DE CUERPO EXTRAÑO EN URETRAL, 4 FILAMENTOS,1.5 - 2.4 - 3 FR, NITINOL, SIN PUNTA, APERTURA DE LA CESTA DE 10 HASTA 20 MM, LONGITUD 90 CM O MÁS</t>
  </si>
  <si>
    <t>URETERORRENOSCOPIO FLEXIBLE (FIBRA ENDOSCÓPICA), COMPATIBLE CON EQUIPOURETEROSCOPÍA.</t>
  </si>
  <si>
    <t>CAMISA DE ACCESO URETRAL CON ALMA EN ESPIRAL, FLEXIBLE, DIÁMETRO INTERNO MAYOR A 10.5 FRENCH, LONGITUD DE 35 CM, INCLUYE VAINA DILATADORA CÓNICA LUER LOCK Y CONECTOR CON TAPA PLANA Y BLOQUEO LUER MACHO; COMPATIBLE CON URETEROSCOPIO.</t>
  </si>
  <si>
    <t>CAMISA DE ACCESO URETRAL CON ALMA EN ESPIRAL, FLEXIBLE, DIÁMETRO INTERNO MAYOR A 10.5 FRENCH, LONGITUD DE 45 CM, INCLUYE VAINA DILATADORA CÓNICA LUER LOCK Y CONECTOR CON TAPA PLANA Y BLOQUEO LUER MACHO; COMPATIBLE CON URETEROSCOPIO.</t>
  </si>
  <si>
    <t>INTRODUCTOR RENAL AMPLATZ DIÁMETRO 18 O 24 FR POR 30 CM DE LONGITUD, INCLUYE VAINA 16 CM DE LONGITUD, ADAPTABLES A EQUIPO.</t>
  </si>
  <si>
    <t>SONDA PARA UNIDAD DE LITOTRICIA INTRACORPÓREA DIÁMETRO ENTRE 2 MM Y 4MM Y LONGITUD ENTRE 300 MM Y 650 MM ADAPTABLES A EQUIPO.</t>
  </si>
  <si>
    <t>SONDA PARA UNIDAD DE LITOTRICIA INTRACORPÓREA DIÁMETRO ENTRE 1 MM Y 2MM Y LONGITUD ENTRE 400 MM Y 650 MM, ADAPTABLES A EQUIPO.</t>
  </si>
  <si>
    <t>CAMISA AMPLATZ TRANSPARENTE CON FRANJA RADIO-OPACA PARA MANTENER TRACTO DE NEFROSTOMIA 18FR, ADAPTABLES A EQUIPO.</t>
  </si>
  <si>
    <t>PINZA PARA LA EXTRACCIÓN DE CUERPOS EXTRAÑOS, ABERTURA BILATERAL, 7 CHARR, LONGITUD 40 CM.</t>
  </si>
  <si>
    <t>MÓDULO DE ELECTROCIRUGÍA, ESTÉRIL Y DESECHABLE PARA PIEZA DE MANO DELSISTEMA DE ASPIRACIÓN ULTRASÓNICA, QUE PERMITA LA CONEXIÓN CON EQUIPODE ELECTROCIRUGÍA.</t>
  </si>
  <si>
    <t>CAMISA O VAINA EXTERNA ROTABLE PARA RESECTOSCOPIO, REUTILIZABLE.</t>
  </si>
  <si>
    <t>NEFROSCOPIO PERCUTÁNEO CON VAINAS DE IRRIGACIÓN Y ASPIRACIÓN CONTINUA,REUTILIZABLE.</t>
  </si>
  <si>
    <t>CISTOURETRALROFIBROSCOPIO FLEXIBLE.</t>
  </si>
  <si>
    <t>URETRALERORENOSCOPIO RÍGIDO.</t>
  </si>
  <si>
    <t>VIDEOCOLONOSCOPIO FLEXIBLE REUTILIZABLE.</t>
  </si>
  <si>
    <t>VIDEOGASTROSCOPIO FLEXIBLE REUTILIZABLE.</t>
  </si>
  <si>
    <t>BRONCOSCOPIO FLEXBLE, DESCARTABLE.</t>
  </si>
  <si>
    <t>CORTADOR DE SUTURA TIPO FIBER TAPE, RECTA PARA ARTROSCOPIA, REUTILIZABLE.</t>
  </si>
  <si>
    <t>VIDEODUODENOSCOPIO FLEXIBLE REUTILIZABLE.</t>
  </si>
  <si>
    <t>PIEZA DE MANO PARA EQUIPO DE FACOEMULSIFICACIÓN, REUTILIZABLE.</t>
  </si>
  <si>
    <t>VIDEOBRONCOSCOPIO TERAPÉUTICO, REUTILIZABLE.</t>
  </si>
  <si>
    <t>VIDEOBRONCOSCOPIO DIAGNÓSTICO, REUTILIZABLE.</t>
  </si>
  <si>
    <t>PUNTA DE RADIOFRECUENCIA BIPOLAR PARA ABLACIÓN ARTROSCÓPICA, ÁNGULO DE50°, DESCARTABLE.</t>
  </si>
  <si>
    <t>PUNTA DE RADIOFRECUENCIA BIPOLAR PARA ABLACIÓN ARTROSCÓPICA, ÁNGULO DE90°, DESCARTABLE.</t>
  </si>
  <si>
    <t>CABLE DE FIBRA ÓPTICA PARA ARTROSCOPIO, DIÁMETRO DE 5 MM, LONGITUD DEAL MENOS 2.5 M.</t>
  </si>
  <si>
    <t>PIEZA DE MANO SHAVER PARA ARTROSCOPÍA, REUTILIZABLE.</t>
  </si>
  <si>
    <t>PUNTA RECTA PARA ENDOLASER 25G, ESTÉRIL,PARA EQUIPO DE FOTOCOAGULACIÓN.</t>
  </si>
  <si>
    <t>PUNTA CURVA PARA ENDOLASER 25G, ESTÉRIL, PARSA EQUIPO DE FOTOCOAGULACIÓN</t>
  </si>
  <si>
    <t>PIEZA DE MANO IRRIGACIÓN ASPIRACIÓN PARA PHACO, RECTA.</t>
  </si>
  <si>
    <t>ADAPTADOR PARA VÁLVULA DE BIOPSIA, DESCARTABLE, COMPATIBLE CON BRONCOSCOPIO TIPO EBUS.</t>
  </si>
  <si>
    <t>FIBROSCOPIO DE INTUBACIÓN PARA TUBOS ENDOTRAQUEALES</t>
  </si>
  <si>
    <t>FRASCO DESCARTABLE CON TAPADERA DE ROSCA PARA TOMA DE PRUEBAS DE SECRECIÓN TRAQUEAL, ADAPTABLE A BRONCOSCOPIO</t>
  </si>
  <si>
    <t>PINZA FLEXIBLE DE BIOPSIA, ESTÁNDAR, CON AGUJA CENTRAL, PARA BRONCOSCOPIO FLEXIBLE.</t>
  </si>
  <si>
    <t>PINZA PARA BIOPSIA TRANSBRONQUIAL TIPO COCODRILO, PARA BRONCOSCOPIO FLEXIBLE.</t>
  </si>
  <si>
    <t>SET DE CEPILLOS PARA CITOLOGÍA, PARA BRONCOSCOPIO FLEXIBLE.</t>
  </si>
  <si>
    <t>AGUJA PARA BIOPSIA PULMONAR GUIADA POR ULTRASONIDO, DE PUNTA ECOGÉNICA, DIÁMETRO 14G X 15 CM, MUESCA DE BIOPSIA DE 20 MM; CON INTRODUCTOR COAXIAL, CON AGUJA DE 13.5G X 10 CM Y MARCAS LOCALIZADORAS ECOGÉNICAS. SEMIAUTOMÁTICA</t>
  </si>
  <si>
    <t>AGUJA PARA BIOPSIA PULMONAR GUIADA POR ULTRASONIDO DE PUNTA ECOGÉNICA,DIÁMETRO 16G X 15 CM, MUESCA DE BIOPSIA DE 20 MM; CON INTRODUCTOR COAXIAL, CON AGUJA DE 15G X 10 CM Y MARCAS LOCALIZADORAS ECOGÉNICAS. SEMIAUTOMÁTICA.</t>
  </si>
  <si>
    <t>BALÓN PARA BRONCOSCOPIO ULTRASÓNICO, ESTÉRIL, DESCARTABLE.</t>
  </si>
  <si>
    <t>CANASTA DE EXTRACCIÓN DE CUERPO EXTRAÑO, REUTILIZABLE, PARA BRONCOSCOPIO FLEXIBLE</t>
  </si>
  <si>
    <t>CEPILLO REUTILIZABLE PARA CITOLOGÍA BRONQUIAL, PARA BRONCOSCOPIO FLEXIBLE, CANAL DE TRABAJO DE 2.0 MM.</t>
  </si>
  <si>
    <t>DISPOSITIVO GUÍA PARA VAINA DE TOMA DE BIOPSIA TRANSBRONQUIAL, ROTABLE, LONGITUD DE TRABAJO MAYOR 1100 MM, DIÁMETRO DE 1.95 MM, COMPATIBLE CON BRONCOSCOPIO ULTRASÓNICO</t>
  </si>
  <si>
    <t>DISPOSITIVO GUÍA PARA VAINA DE TOMA DE BIOPSIA TRANSBRONQUIAL, ROTABLE, LONGITUD DE TRABAJO MAYOR 1100 MM, DIÁMETRO DE 2.55 MM, COMPATIBLE CON BRONCOSCOPIO ULTRASÓNICO.</t>
  </si>
  <si>
    <t>PINZA ÓPTICA RÍGIDA  DE BIOPSIA, TIPO COCODRILO, PARA BRONCOSCOPIO RÍGIDO 6.5 A 8.5.</t>
  </si>
  <si>
    <t>PINZA ÓPTICA RÍGIDA PARA EXTRACCIÓN DE CUERPO EXTRAÑO, COPA PEQUEÑA, PARA BRONCOSCOPIO RÍGIDO 6.5 A 8.5.</t>
  </si>
  <si>
    <t>PINZA FLEXIBLE DE BIOPSIA, ESTÁNDAR, SIN AGUJA, PARA BRONCOSCOPIO FLEXIBLE.</t>
  </si>
  <si>
    <t>PINZA FLEXIBLE PARA EXTRAER CUERPO EXTRAÑO, 1 X 2 DIENTES, REUTILIZABLE, PARA BRONCOSCOPIO FLEXIBLE.</t>
  </si>
  <si>
    <t>PINZA FLEXIBLE PARA EXTRAER CUERPO EXTRAÑO, DENTADA, REUTILIZABLE, PARA BRONCOSCOPIO FLEXIBLE.</t>
  </si>
  <si>
    <t>TAPÓN PARA CANAL DE BIOPSIA, REUTILIZABLE, PARA BRONCOSCOPIO FLEXIBLE.</t>
  </si>
  <si>
    <t>TROCAR FLEXIBLE 11 CON CAMISA FLEXIBLE, PARA PLEUROSCOPIO  RÍGIDO.</t>
  </si>
  <si>
    <t>TUBO DE IRRIGACIÓN Y ASPIRACIÓN PARA PLEUROSCOPIO RÍGIDO. CON ABERTURAS LATERALES, TAMAÑO 5MM, LONGITUD 28 CM</t>
  </si>
  <si>
    <t>TUBO DE IRRIGACIÓN Y ASPIRACIÓN PARA PLEUROSCOPIO RÍGIDO. CON ABERTURAS LATERALES, VAINA ACODADA DISTALMENTE. TAMAÑO 5MM, LONGITUD 28 CM</t>
  </si>
  <si>
    <t>TUBO FLEXIBLE PARA SUCCIÓN, PARA BRONCOSCOPIO RÍGIDO.</t>
  </si>
  <si>
    <t>TUBO RÍGIDO PARA SUCCIÓN DE 4 MM DE DIÁMETRO, COMPATIBLE CON BRONCOSCOPIO RÍGIDO</t>
  </si>
  <si>
    <t>TUBO RÍGIDO PARA SUCCIÓN DE 5 MM DE DIÁMETRO, COMPATIBLE CON BRONCOSCOPIO RÍGIDO</t>
  </si>
  <si>
    <t>VAINA PARA SONDA DE BALÓN, ESTÉRIL, DESCARTABLE, COMPATIBLE CON SONDADE BRONCOSCOPIO ULTRASÓNICO.</t>
  </si>
  <si>
    <t>VÁLVULA DE BIOPSIA, REUTILIZABLE, COMPATIBLE CON BRONCOSCOPIO TIPO EBUS.</t>
  </si>
  <si>
    <t>VÁLVULA DE SUCCIÓN, REUTILIZABLE, PARA BRONCOSCOPIO FLEXIBLE</t>
  </si>
  <si>
    <t>VÁLVULA DE UNA SOLA VÍA, TIPO HEIMLICH O EQUIVALENTE, PARA ADAPTAR A TUBO DE TORACOTOMÍA</t>
  </si>
  <si>
    <t>VÁLVULA PARA CANAL DE BIOPSIA, DESCARTABLE, PARA BRONCOSCOPIO TIPO EBUS.</t>
  </si>
  <si>
    <t>PINZA ÓPTICA RÍGIDA DE BIOPSIA, ESTÁNDAR, PARA BRONCOSCOPIO RÍGIDO 6.5A 8.5.</t>
  </si>
  <si>
    <t>PINZA ÓPTICA RÍGIDA PARA EXTRACCIÓN DE CUERPO EXTRAÑO DE GRAN TAMAÑO ,TIPO COCODRILO, PARA BRONCOSCOPIO RÍGIDO 6.5 A 8.5</t>
  </si>
  <si>
    <t>PINZA REUTILIZABLE PARA BIOPSIA TRANSBRONQUIAL TIPO COCODRILO,  CON AGUJA CENTRAL, PARA BRONCOSCOPIO FLEXIBLE, CANAL DE TRABAJO DE 2.0 MM.</t>
  </si>
  <si>
    <t>SET DE LIMPIEZA PARA PLEUROSCOPIO RÍGIDO. INCLUYE: PORTA ALGODÓN DE 35CM, PORTA ESPONJA DE 35 CM, CEPILLO PLANO PARA LIMPIEZA DE MANDÍBULAS,CEPILLO REDONDO DE 35 CM.</t>
  </si>
  <si>
    <t>SET DE CEPILLOS DE LIMPIEZA REUTILIZABLES PARA BRONCOSCOPIO FLEXIBLE,INCLUYE: CEPILLO DE LIMPIEZA PARA CANAL DE TRABAJO, VÁLVULAS Y TAPONES.</t>
  </si>
  <si>
    <t>SET DE CEPILLOS DE LIMPIEZA REUTILIZABLES PARA BRONCOSCOPIO RÍGIDO</t>
  </si>
  <si>
    <t>SET DE FUNDA GUÍA PARA BIOPSIA GUIADA POR EBUS RADIAL. CONTIENE: VAINAGUÍA PARA CANAL DE TRABAJO DE 2.6 MM, CEPILLO DE 1.5 MM DE DIÁMETRO EXTERNO PARA CITOLOGÍA BRONQUIAL, PINZA DE BIOPSIA TRANSBRONQUIAL DE 1.9 MM DE DIÁMETRO EXTERNO. MARCADORES NECESARIOS PARA SONDA RADIAL E INSTRUMENTOS.</t>
  </si>
  <si>
    <t>SET DE SUCCIÓN PARA BRONCOSCOPIO DE AUTOFLUORESCENCÍA.</t>
  </si>
  <si>
    <t>SET DE TAPONES PARA BRONCOSCOPIO RÍGIDO,  INCLUYE TAPÓN PRINCIPAL, TAPÓN Y GUÍA PARA SUCCIÓN, ADAPTADOR PARA VENTILADOR MECÁNICO Y GUÍA PARAINFILTRACIÓN DE SOLUCIÓNES</t>
  </si>
  <si>
    <t>SET DE TAPONES PARA PLEUROSCOPIO RÍGIDO,INCLUYE: ADAPTADOR CON VÁLVULADE LABIOS DE SILICONA PARA CANAL DE TRABAJO, LLAVE DE FRICCIÓN PARA IRRIGACIÓN, TAPON DE ESTANQUEIDAD, TAPA MUELLE, JUNTA DE LABIOS DE SILICONA.</t>
  </si>
  <si>
    <t>APLICADOR "CLIP-ON" PARA ASPIRACIÓN DE GASES DE COMBUSTIÓN COMPATIBLECON EQUIPO LÁSER ENDOBRONQUIAL.</t>
  </si>
  <si>
    <t>TUBO DE ASPIRACIÓN VAC, COMPATIBLE CON EQUIPO LÁSER ENDOBRONQUIAL.</t>
  </si>
  <si>
    <t>FIBRA DESNUDA LÁSER, UNIVERSAL, 600 µm, COMPATIBLE CON EQUIPO LÁSER ENDOBRONQUIAL</t>
  </si>
  <si>
    <t>FIBRA DESNUDA LÁSER, UNIVERSAL, 400 µm, COMPATIBLE CON EQUIPO LÁSER ENDOBRONQUIAL</t>
  </si>
  <si>
    <t>INSTRUMENTO PARA CIRUGÍA TORACOSCÓPICA CON CONECTOR LUER-LOCK DIÁMETROEXTERNO DE 5 MM, DIÁMETRO DE CANAL DE FIBRA DE 1.3 MM COMPATIBLE CONEQUIPO LÁSER ENDOBRONQUIAL</t>
  </si>
  <si>
    <t>FIBRA DESNUDA, UNIVERSAL, HT, 400 µM, RE-ESTERILIZABLE, UTILIZABLE 10X400 µM X 3M COMPATIBLE CON EQUIPO LÁSER ENDOBRONQUIAL</t>
  </si>
  <si>
    <t>FIBRA PARA MANGO DE ENFOQUE, 400 µM, AUTOCLAVABLE, COMPATIBLE CON EQUIPO LÁSER ENDOBRONQUIAL.</t>
  </si>
  <si>
    <t>FIBRA PURGADA PARA LÁSER, UNIVERSAL, 400 µM, COMPATIBLE CON EQUIPO LÁSER ENDOBRONQUIAL</t>
  </si>
  <si>
    <t>UNIDAD DE TRANSMISIÓN SONDA EBUS RADIAL, COMPATIBLE CON CONSOLA DE ULTRASONIDO</t>
  </si>
  <si>
    <t>SONDA DE ULTRASONIDO RADIAL, PARA CANAL DE TRABAJO DE 2.0 MM, CON GUÍAS PARA BIOPSIA, COMPATIBLE CON PROCESADOR DE ULTRASONIDO ENDOBRONQUIAL</t>
  </si>
  <si>
    <t>BRONCOSCOPIO PARA ULTRASONIDO ENDOBRONQUIAL, DIFERENTES MEDIDAS, COMPATIBLE CON CONSOLA</t>
  </si>
  <si>
    <t>LÁPIZ DE ELECTROCAUTERIO CON PUNTA DE 16 A 20 CM DE LONGITUD, DESCARTABLE, ESTÉRIL, CON SU CABLE CONECTOR COMPATIBLE CON ELECTROCAUT ERIO</t>
  </si>
  <si>
    <t>CABLE PARA ELECTRODO PARA APARATO DE DIATERMIA.</t>
  </si>
  <si>
    <t>CABLES DE DOS SALIDAS TIPO HEMBRA PIN DE HULE 36" PARA TENS. PAR</t>
  </si>
  <si>
    <t>CABLE DE TENS CON PIN DE HULE O PLÁSTICO. PAR</t>
  </si>
  <si>
    <t>TUBO DE CONEXIÓN PARA LA EVACUACIÓN DE HUMOS Y GAS, DESCARTABLE, ESTÉRIL, CONECTADO A UN TROCAR ESTÁNDAR DURANTE LOS PROCEDIMIENTOS LAPAROSCÓPICOS QUE SE CONECTE A EXTRACTOR DE HUMO</t>
  </si>
  <si>
    <t>FILTRO PARA ASPIRACIÓN PASIVA DE HUMO DE TROCARES CON CONEXIONES LUER-LOCK CON PROTECCIÓN A VIRUS ,BACTERIAS Y SUSTANCIAS NOCIVAS PARA VIDEOLAPAROSCOPIA, DESCARTABLE, ESTÉRIL</t>
  </si>
  <si>
    <t>TROCAR DE 10 MM DE DIÁMETRO Y 70 A 100 MM DE LARGO CON BALÓN TRANSPARENTE Y OVALADO</t>
  </si>
  <si>
    <t>TROCAR DE 10 MM DE DIÁMETRO Y 70 A 100 MM DE LARGO CON REDUCTOR DE 10A5 MM</t>
  </si>
  <si>
    <t>TROCAR DE 12 MM DE DIÁMETRO Y 70 A 100 MM DE LARGO CON REDUCTOR DE 12A5 MM</t>
  </si>
  <si>
    <t>TROCAR DE 15 A 18 MM DE DIÁMETRO Y 70 A 100 MM DE LARGO CON REDUCTOR DE 15 - 18 MM A 10 MM, QUE INCLUYA VARILLA DE INTERCAMBIO.</t>
  </si>
  <si>
    <t>TROCAR DE 5 MM DE DIÁMETRO Y 70 A 100 MM DE LARGO</t>
  </si>
  <si>
    <t>TROCAR DE 10 A 12 MM DE DIÁMETRO Y DE 130 A 150 MM DE LARGO</t>
  </si>
  <si>
    <t>TROCAR DE 5 MM DE DIÁMETRO Y DE 130 A 150 MM DE LARGO</t>
  </si>
  <si>
    <t>TROCAR PARA TORAX DE 10 - 12 MM DE DIÁMETRO</t>
  </si>
  <si>
    <t>CABLE REUSABLE PARA ELECTRODO MONOPOLAR PARA UNIDAD DE ELECTROCIRUGÍA</t>
  </si>
  <si>
    <t>TROCAR REUTILIZABLE PARA CIRUGÍA  LAPAROSCÓPICA, DE 5 MM DE DIÁMETRO Y70 A 100 MM DE LARGO; INCLUYE JUEGO DE ACCESORIOS EXTRA (PUNZÓN Y VÁLVULA)</t>
  </si>
  <si>
    <t>TROCAR REUTILIZABLE PARA CIRUGÍA  LAPAROSCÓPICA, DE 10 MM DE DIÁMETROY70 A 100 MM DE LARGO, CON SISTEMA REDUCTOR PARA 5 MM; INCLUYE JUEGODEACCESORIOS EXTRA (PUNZÓN, VÁLVULA Y REDUCTOR 5/10 MM)</t>
  </si>
  <si>
    <t>LENTE DE 70°, DIÁMETRO 4 MM, LONGITUD 22-24 CM, PARA ARTROSCOPIA</t>
  </si>
  <si>
    <t>LENTE DE 0 GRADOS, 4 MM DE DIÁMETRO, PANTALLA COMPLETA, COMPATIBLE CONBRONCOSCOPIO RÍGIDO.</t>
  </si>
  <si>
    <t>OPTICA DE VISIÓN FRONTAL DE 0 GRADOS CON OCULAR PARALELO, DIÁMETRO DE10 MM, LONGITUD DE 27 A 30 CM, ESTERELIZABLE, CANAL DE TRABAJO DE 6 MMINCORPORADO, QUE ADAPTE APLICADOR DE ANILLOS.</t>
  </si>
  <si>
    <t>LENTE DE 30 GRADOS, 4 MM DE DIÁMETRO, PANTALLA COMPLETA, COMPATIBLE CON BRONCOSCOPIO RÍGIDO.</t>
  </si>
  <si>
    <t>CABLE DE CONEXIÓN DE ALTA FRECUENCIA MONOPOLAR PARA RESECTOSCOPIO</t>
  </si>
  <si>
    <t>SET DE ANTICONCEPCIÓN QUIRÚRGICA VOLUNTARIA, QUE INCLUYA APLICADOR DEANILLOS CON LENTE DE "0" GRADOS, CON OCULAR PARALELO Y CANAL DE TRABAJO DE 6 MM, LONGITUD ENTRE 27 A 30 CM, DIÁMETRO DE 10 MM, ESTERELIZABLE</t>
  </si>
  <si>
    <t>TUBO CORTANTE 12 MM, PARA MORCELADOR.</t>
  </si>
  <si>
    <t>ADAPTADOR PARA INSTRUMENTAL ULTRASONICO DE 5 MM DE DIÁMETRO</t>
  </si>
  <si>
    <t>CABLE DE ALTA FRECUENCÍA, MONOPOLAR, PARA PINZA LAPAROSCÓPICA, CON SURESPECTIVO CONECTOR</t>
  </si>
  <si>
    <t>GANCHO EN "L" PARA COAGULACIÓN, REUTILIZABLE, CON ADAPTADOR PARACONECTAR CABLE DE ELECTROCAUTERIO MONOPOLAR, DE 5 MM DE DIÁMETRO, 30   -35 CMDE LARGO</t>
  </si>
  <si>
    <t>LENTE DE 0 GRADOS, 10 MM DE DIÁMETRO, 300 - 350 MM DE LONGITUD, PANTALLA COMPLETA, DE ALTA DEFINICION, CON ADAPTADORES PARA DIVERSOS  CABLESDE FUENTE DE LUZ</t>
  </si>
  <si>
    <t>LENTE DE 0 GRADOS, 4 MM DE DIÁMETRO, PARA CIRUGÍA ENDOSCOPICA DE OTORRINOLARINGOLOGIA, DE 170 A 200 MM DE LONGITUD. CON ADAPTADORES PARA DIVERSOS CABLES DE FUENTE DE LUZ</t>
  </si>
  <si>
    <t>LENTE DE 0 GRADOS, 4 MM. DE DIÁMETRO, PARA CISTOSCOPIA, 300 - 350 MM DE LONGITUD, PANTALLA COMPLETA, CON ADAPTADORES PARA DIVERSOS CABLES DEFUENTE DE LUZ.</t>
  </si>
  <si>
    <t>LENTE DE 0 GRADOS, 5 MM. DE DIÁMETRO, 300 - 350 MM DE LONGITUD, PANTALLA COMPLETA, DE ALTA DEFINICION, CON ADAPTADORES PARA DIVERSOS CABLESDEFUENTE DE LUZ</t>
  </si>
  <si>
    <t>LENTE DE 30 GRADOS, 10 MM. DE DIÁMETRO, 300 - 350 MM DE LONGITUD ,PANTALLA COMPLETA, CON ADAPTADORES PARA DIVERSOS CABLES DE FUENTE D  E LUZ</t>
  </si>
  <si>
    <t>LENTE DE 30 GRADOS, 4 MM DE DIÁMETRO, PARA CIRUGÍA ENDOSCOPICA DE OTORRINOLARINGOLOGIA, DE 170 A 200 MM DE LONGITUD. CON ADAPTADORES PARA DIVERSOS CABLES DE FUENTE DE LUZ</t>
  </si>
  <si>
    <t>LENTE DE 30 GRADOS, 4 MM. DE DIÁMETRO, PARA CISTOSCOPIA, 300 - 350 MMDE LONGITUD, PANTALLA COMPLETA, CON ADAPTADORES PARA DIVERSOS CABLES DEFUENTE DE LUZ.</t>
  </si>
  <si>
    <t>LENTE DE 30 GRADOS, 5 MM. DE DIÁMETRO, 300 - 350 MM DE LONGITUD, PANTALLA COMPLETA, CON ADAPTADORES PARA DIVERSOS CABLES DE FUENTE D E LUZ</t>
  </si>
  <si>
    <t>LENTE DE 30°, DIÁMETRO 4 MM, LONGITUD 22-24 CM, PARA ARTROSCOPIA</t>
  </si>
  <si>
    <t>PINZA ARTROSCOPICA DE 45° ÁNGULO A LA DERECHA, ENTRE 3.0 - 3.5 MM DE DIÁMETRO</t>
  </si>
  <si>
    <t>PINZA ARTROSCOPICA DE 45° ÁNGULO A LA IZQUIERDA, ENTRE 3.0 - 3.5 MM DEDIÁMETRO</t>
  </si>
  <si>
    <t>PINZA ARTROSCOPICA PARA MANIPULAR SUTURAS DE HOMBRO TIPO CANGREJO</t>
  </si>
  <si>
    <t>PINZA ARTROSCOPICA RECTA, ENTRE 2.5 - 3.0 MM DE DIÁMETRO</t>
  </si>
  <si>
    <t>PINZA ARTROSCOPICA RECTA, ENTRE 3.0 - 3.5 MM DE DIÁMETRO</t>
  </si>
  <si>
    <t>PINZA BABCOCK CON SEGURO, 10 MM DE DIÁMETRO Y 30 - 35 CM DE LARGO, GIRATORIA 360 GRADOS</t>
  </si>
  <si>
    <t>PINZA BABCOCK CON SEGURO, 5 MM DE DIÁMETRO Y 30 - 35 CM DE LARGO, GIRATORIA 360 GRADOS</t>
  </si>
  <si>
    <t>PINZA TIPO CLAMP INTESTINAL, ATRAUMÁTICA PARA MANEJO DE LAS ASAS INTESTINALES EN CIRUGÍA LAPAROSCÓPICA AVANZADA Y BARIÁTRICA DE 5 MM DE DIÁMETRO Y VÁSTAGO DE 40 A 50 CM DE LARGO. GIRATORIA 360°</t>
  </si>
  <si>
    <t>PINZA DE AGARRE RECTA CON DIENTES ATRAUMÁTICOS, CON SEGURO, VÁSTAGO DE25 - 28 CM DE LARGO Y 5 MM DE DIÁMETRO, GIRATORIO 360 GRADOS.</t>
  </si>
  <si>
    <t>PINZA DE AGARRE RECTA CON DIENTES ATRAUMÁTICOS, CON SEGURO, VÁSTAGO DE30 - 35 CM DE LARGO Y 5 MM DE DIÁMETRO, GIRATORIO 360 GRADOS.</t>
  </si>
  <si>
    <t>PINZA DE AGARRE REUTILIZABLE DE 5 MM, PUNTA ROMA ATRAUMATICA, MANGO ROTATIVO DE 360°, 35 - 45 CM DE LONGITUD</t>
  </si>
  <si>
    <t>PINZA DE AGARRE Y BIOPSIA PARA USO EN HISTEROSCOPIO DIAGNOSTICO, SEMIRÍGIDA, DIÁMETRO 5 CHARR, LONGITUD DE 37 A 40 CM</t>
  </si>
  <si>
    <t>PINZA REUTILIZABLE DE COAGULACIÓN BIPOLAR DE 5 MM DE DIÁMETRO, 25 A 35CM DE LARGO CON CABLE DE CONEXIÓN A ELECTROCAUTERIO.</t>
  </si>
  <si>
    <t>PINZA DE DISECCIÓN CURVA, TIPO MARYLAND, CON DIENTES ATRAUMÁTICOS, ADAPTADOR PARA CONECTAR CABLE DE ELECTROCAUTERIO MONOPOLAR, VASTAGO DE 42- 45 CM DE LARGO Y 5 MM DE DIÁMETRO, GIRATORIO 360°</t>
  </si>
  <si>
    <t>PINZA DE DISECCIÓN CURVA, TIPO MARYLAND, CON DIENTES ATRAUMÁTICOS, ADAPTADOR PARA CONECTAR CABLE DE ELECTROCAUTERIO MONOPOLAR, VASTA GO DE 30A 35 CM DE LARGO Y 5 MM DE DIÁMETRO, GIRATORIO 360°</t>
  </si>
  <si>
    <t>PINZA EXTRACTORA, REUTILIZABLE, CON SEGURO, VÁSTAGO DE 30 - 35 CM. DELARGO Y 10 MM DE DIÁMETRO, GIRATORIO 360 GRADOS</t>
  </si>
  <si>
    <t>PINZA LAPAROSCÓPICA TIPO TENACULO, REUTILIZABLE, CON SEGURO, VÁSTAGO DE 30 - 35 CM. DE LARGO Y 10 MM DE DIÁMETRO, GIRATORIO 360 GRADO S</t>
  </si>
  <si>
    <t>PINZA PARA BIOPSIA TIPO CUCHARA CON DIENTE, VÁSTAGO DE 30 - 35 CM DE LARGO Y 5 MM DE DIÁMETRO, GIRATORIO 360 GRADOS.</t>
  </si>
  <si>
    <t>PINZA PARA BIOPSIA TIPO CUCHARA SIN DIENTE, VÁSTAGO DE 30 - 35 CM DE LARGO Y 5 MM DE DIÁMETRO, GIRATORIO 360 GRADOS.</t>
  </si>
  <si>
    <t>PINZA TIPO GRASPER, MANDÍBULA ATRAUMATICA DE 22 - 24 MM DE LONGITUD, REUSABLE, CON SEGURO, VÁSTAGO DE 42 - 45 CM DE LARGO, 5 MM DE D IAMETRO, GIRATORIO 360°</t>
  </si>
  <si>
    <t>PINZA TIPO GRASPER, MANDÍBULA ATRAUMATICA DE 38 - 40 MM DE LONGITUD, REUSABLE, CON SEGURO, VÁSTAGO DE 42 - 45 CM DE LARGO, 5 MM DE D IAMETRO, GIRATORIO 360°</t>
  </si>
  <si>
    <t>PINZA TIPO GRASPER, MANDÍBULA CON ORIFICIOS, APLANADA, REUSABLE, CON SEGURO, VÁSTAGO DE 42 - 45 CM DE LARGO, 5 MM DE DIÁMETRO, GIRAT ORIO 360°</t>
  </si>
  <si>
    <t>PORTA AGUJAS LAPAROSCOPICO, REUSABLE, TIPO CASTRO VIEJO, MANDÍBULAS CON CURVA HACIA LA DERECHA, VÁSTAGO DE 32 - 35 CM DE LONGITUD, 5   MM DEDIÁMETRO</t>
  </si>
  <si>
    <t>PORTA AGUJAS LAPAROSCOPICO, REUSABLE, TIPO CASTRO VIEJO, MANDÍBULAS CON CURVA HACIA LA IZQUIERDA, VÁSTAGO DE 32 - 35 CM DE LONGITUD,   5 MMDE DIÁMETRO</t>
  </si>
  <si>
    <t>PORTA AGUJAS PUNTA RECTA DE LAPAROSCOPICO REUSABLE, VÁSTAGO DE 32 - 35CM DE LARGO, 5 MM DE DIÁMETRO, MANGO PALMAR</t>
  </si>
  <si>
    <t>RETRACTOR O SEPARADOR HEPÁTICO CON MECANISMO GOLD FINGER, DE 5 MM DE DIÁMETRO, DE 30 - 40 CM DE LARGO, PARA USO EN CIRUGÍA LAPAROSCÓPICA BARIÁTRICA Y AVANZADA, QUE ADOPTA FORMA TRIANGULAR O REDONDA AL APLICAR MECANISMO DE ROTACIÓN EN EL MANGO DEL INSTRUMENTO.</t>
  </si>
  <si>
    <t>TIJERA ARTROSCOPICA RECTA CON PUNTA DE GANCHO, ENTRE 3.0 - 3.5 MM DE DIÁMETRO</t>
  </si>
  <si>
    <t>TIJERA CURVA CON ADAPTADOR PARA CONECTAR CABLE DE ELECTROCAUTERIO MONOPOLAR, VÁSTAGO DE 25 - 28 CM DE LARGO Y 5 MM DE DIÁMETRO, GIRA TORIO 360 GRADOS.</t>
  </si>
  <si>
    <t>TIJERA CURVA MONOPOLAR, VÁSTAGO DE 30 - 36 CM DE LARGO Y 5 MM DE DIÁMETRO,GIRATORIO 360 GRADOS.</t>
  </si>
  <si>
    <t>TIJERA CURVA TIPO METZENBAUM, REUSABLE,  VÁSTAGO DE 42 - 45 CM DE LARGO Y 5 MM DE DIÁMETRO, GIRATORIO 360°</t>
  </si>
  <si>
    <t>TIJERA SEMIRÍGIDA ROMA PARA HISTEROSCOPIA, UNILATERAL, DIÁMETRO 5 CHARR ,LONGITUD DE 37 A 40 CM</t>
  </si>
  <si>
    <t>TIJERA ULTRASONICA DE 5 MM DE DIÁMETRO Y DE 35 A 45 CM DE LARGO,</t>
  </si>
  <si>
    <t>PIEZA DE MANO (TRANSDUCTOR ACÚSTICO) PARA TIJERAS DE BISTURÍ ARMONICOOPCIÓN CIRUGÍA LAPAROSCÓPICA</t>
  </si>
  <si>
    <t>CABLE DE ALTA FRECUENCÍA BIPOLAR, CON CLAVIJA BANANA 2x4 PARA COAGULADOR, LONGITUD 300 CM.</t>
  </si>
  <si>
    <t>SISTEMA DE RESECTOSCOPIA QUIRÚRGICA, QUE INCLUYA LENTE DE VISION DE 30GRADOS CON ELEMENTO DE TRABAJO Y VAINAS, COMPATIBLE CON TORRE ENDOSCÓPICA.</t>
  </si>
  <si>
    <t>PINZA TIPO MARYLAND (MANDÍBULA CURVA), VÁSTAGO GIRATORIO DE 23 A 27 CMDE LONGITUD, DIÁMETRO DE 5 MM, PARA USO EN EQUIPO DE SELLADO DE VASOS.</t>
  </si>
  <si>
    <t>CABLE DE FIBRA OPTICA PARA LAPAROSCOPIO, QUE ADAPTE A FUENTE DE LUZ PARA EQUIPO.</t>
  </si>
  <si>
    <t>CABLE DE FIBRA OPTICA PARA RESECTOSCOPIO, QUE ADAPTE A FUENTE DE LUZ.</t>
  </si>
  <si>
    <t>CEPILLO PARA LIMPIEZA DE TROCARES DE 10 MM DE DIÁMETRO</t>
  </si>
  <si>
    <t>CEPILLO PARA LIMPIEZA DE TROCARES DE 12 MM. DE DIÁMETRO.</t>
  </si>
  <si>
    <t>CEPILLO PARA LIMPIEZA DE TROCARES DE 5 MM DE DIÁMETRO</t>
  </si>
  <si>
    <t>TUBO PARA INSUFLADOR DE CO2, CON FILTRO, ADAPTABLE A INSUFLADOR PARA CIRUGÍA LAPAROSCÓPICA.</t>
  </si>
  <si>
    <t>NASOFARINGOLARINGOSCOPIO FLEXIBLE CON UN CANAL DE TRABAJO CON ANGULACIÓN DE 2.5 A 5 MM DE DIAMETRO, CON DOS PINZAS INTRACANAL DE COPAS Y DOSPINZAS DE SUJECIÓN Y CEPILLO DE LAVADO.</t>
  </si>
  <si>
    <t>NASOFARINGOLARINGOSCOPIO FLEXIBLE, CON ANGULACIÓN, DE 2.5 A 4 MM DE DIAMETRO.</t>
  </si>
  <si>
    <t>PINZA DE AGARRE Y DISECCIÓN TIPO ÁNGULO, CON CLAVIJA DE CONEXIÓN PARACOAGULACIÓN UNIPOLAR GIRATORIA</t>
  </si>
  <si>
    <t>ECOENDOSCOPIO LINEAL </t>
  </si>
  <si>
    <t>VIDEOGASTROSCOPIO TERAPÉUTICO FLEXIBLE REUTILIZABLE</t>
  </si>
  <si>
    <t>ECOENDOSCOPIO RADIAL</t>
  </si>
  <si>
    <t>ELECTRODO DE DESFIBRILACIÓN/PAD PARA USO EN EQUIPO DE DESFIBRILACIÓN</t>
  </si>
  <si>
    <t>CABLE ELECTRODO DE ESTIMULACIÓN EPICARDICA PARA  MARCAPASO PERMANENTE</t>
  </si>
  <si>
    <t>ELECTRODO DE PRUEBA TRIAL DE 8 CONTACTOS PARA COLOCACIÓN VÍA PERCUTÁNEA, PARA USO CON NEUROESTIMULADOR EXTERNO</t>
  </si>
  <si>
    <t>TRANSDUCTOR O CABEZAL DE 1 CM, MULTIFRECUENCIA (ENTRE 1 A 3 MHZ) PARAEQUIPO DE ULTRASONIDO TERAPÉUTICO O ULTRASONIDO COMBINADO CON ELECTROTERAPIA.</t>
  </si>
  <si>
    <t>ELECTRODO ADHESIVO PARA MARCAPASO EXTERNO O DESFIBRILACION EXTERNA</t>
  </si>
  <si>
    <t>LARINGÓFONO (LARINGE ELECTRÓNICA), QUE INCLUYA CARGADOR RÁPIDO DE BATERÍAS, 1 BATERÍA RECARGABLE Y ACCESORIOS NECESARIOS PARA FUNCIO NAMIENTO Y PORTABILIDAD POR PACIENTE</t>
  </si>
  <si>
    <t>SISTEMA DE COMPRESIÓN NEUMÁTICO INTERMITENTE PARA PROFILAXIS DE TROMBOSIS VENOSA PROFUNDA. QUE INCLUYA MANGAS DE 2 COMPARTIMIENTOS COMO MÍNIMO PARA PIERNAS Y/O MUSLOS, TUBOS PARA CONEXIÓN Y MEDIAS DE COMPRESIÓNGRADUADA ANTI EMBOLICAS DE DIVERSAS TALLAS.</t>
  </si>
  <si>
    <t>PAR DE ELECTRODOS REUTILIZABLES DE ANILLO PARA ESTIMULACIÓN DE NERVIOSENSORIAL, USO EN DEDOS DURANTE ELECTROMIOGRAFÍA O POTENCIALES EVOCADOS.</t>
  </si>
  <si>
    <t>ELECTRODO BIPOLAR REUTILIZABLE CON ALMOHADILLA, PARA ELECTROMIOGRAFÍAY POTENCIALES EVOCADOS</t>
  </si>
  <si>
    <t>PUNTA REUSABLE ESTIMULADORA BIPOLAR PARA ELECTROMIOGRAFÍA Y POTENCIALES EVOCADOS</t>
  </si>
  <si>
    <t>ESTIMULADOR BIPOLAR PARA ELECTROMIOGRAFÍA Y POTENCIALES EVOCADOS</t>
  </si>
  <si>
    <t>ELECTRODO  DE CARBÓN 6X8 CM, PARA EQUIPO COMBINADO DE ULTRASONIDO CONELECTROTERAPIA.</t>
  </si>
  <si>
    <t>TRANSDUCTOR DE 5 CM, MULTIFRECUENCIA (ENTRE 1 A 3 MHZ) PARA EQUIPO DEULTRASONIDO TERAPÉUTICO O ULTRASONIDO COMBINADO CON ELECTROTERAPIA</t>
  </si>
  <si>
    <t>FUENTE RADIOACTIVA DE IRIDIO 192 DE ALTA TASA DE DOSIS, PARA LA APLICACIÓN DE BRAQUITERAPIA INTRACAVITARIA E INSTERTICIAL.</t>
  </si>
  <si>
    <t>PAR DE MEDIAS ELÁSTICAS GRANDES PARA VARICES, COMPRESIÓN DE 15 A 20 MMHG, TIPO CALCETAS HASTA LA RODILLA</t>
  </si>
  <si>
    <t>MEDIAS ELÁSTICAS GRANDES PARA VARICES, COMPRESIÓN DE 15 A 20 MMHG, TIPO PANTY</t>
  </si>
  <si>
    <t>MEDIAS ELÁSTICAS MEDIANAS, PARA VARICES, COMPRESIÓN DE 15 A 20 MMHG TIPO PANTY</t>
  </si>
  <si>
    <t>MEDIAS ELÁSTICAS PEQUEÑAS, PARA VARICES, COMPRESIÓN DE 15 A 20 MMHG, TIPO PANTY</t>
  </si>
  <si>
    <t>MEDIAS ELÁSTICAS XL, PARA VARICES, COMPRESIÓN DE 15 A 20 MMHG, TIPO PANTY.</t>
  </si>
  <si>
    <t>PAR DE MEDIAS ELÁSTICAS MEDIANAS, PARA VARICES, COMPRESIÓN DE 15 A 20MMHG, TIPO CALCETAS HASTA LA RODILLA</t>
  </si>
  <si>
    <t>PAR DE MEDIAS ELÁSTICAS PEQUEÑAS, PARA VARICES, COMPRESIÓN DE 15 A 20MMHG, TIPO CALCETAS HASTA LA RODILLA</t>
  </si>
  <si>
    <t>PAR DE MEDIAS ELÁSTICAS XL PARA VARICES, COMPRESIÓN DE 15 A 20 MMHG, TIPO CALCETAS HASTA LA RODILLA</t>
  </si>
  <si>
    <t>CORSE DORSO LUMBAR CON BALLENAS METÁLICAS, TALLA XL</t>
  </si>
  <si>
    <t>CORSE LUMBO-SACRO CON BALLENAS METÁLICAS, TALLA "L"</t>
  </si>
  <si>
    <t>CORSE LUMBO-SACRO CON BALLENAS METÁLICAS, TALLA "M"</t>
  </si>
  <si>
    <t>CORSE LUMBO-SACRO CON BALLENAS METÁLICAS, TALLA "S"</t>
  </si>
  <si>
    <t>CORSE LUMBO-SACRO CON BALLENAS METÁLICAS,TALLA "XL"</t>
  </si>
  <si>
    <t>CORSE LUMBO-SACRO CON BALLENAS METÁLICAS,TALLA "XXL"</t>
  </si>
  <si>
    <t>CORSE TORACO-LUMBAR CON BALLENAS METÁLICAS, TALLA "L"</t>
  </si>
  <si>
    <t>CORSE TORACO-LUMBAR CON BALLENAS METÁLICAS, TALLA "M"</t>
  </si>
  <si>
    <t>CORSE TORACO-LUMBAR CON BALLENAS METÁLICAS, TALLA "S"</t>
  </si>
  <si>
    <t>CUELLO CERVICAL RIGIDO, AJUSTABLE, MEDIANO, CON CIERRE VELCRO.</t>
  </si>
  <si>
    <t>SOPORTE PARA RODILLA DERECHA CON APOYO MEDIAL, PARA MANEJO DE GENU VALGUM POST TRAUMATICO SEVERO</t>
  </si>
  <si>
    <t>SOPORTE PARA RODILLA IZQUIERDA CON APOYO MEDIAL, PARA MANEJO DE GENU VALGUM POST TRAUMATICO SEVERO</t>
  </si>
  <si>
    <t>FÉRULA DE BOHLER-BRAUN MODIFICADA, PARA ADULTO.</t>
  </si>
  <si>
    <t>SOPORTE ARTICULAR DE RODILLA TALLA "L", FABRICADA EN NEOPRENE, CON BARRAS LATERALES DE ALUMINIO Y SUJETADORES, QUE PERMITA MOVIMIENTO DE FLEXIÓN -EXTENSIÓN</t>
  </si>
  <si>
    <t>TIRADEDOS CON MALLA DE ALAMBRE PARA LOS 5 DEDOS</t>
  </si>
  <si>
    <t>INMOVILIZADOR UNIVERSAL DE RODILLA DE 16" DE LARGO, CON AMARRE DE VELCROY BARRAS POSTERIORES DE ALUMINIO, TALLA "L"</t>
  </si>
  <si>
    <t>INMOVILIZADOR UNIVERSAL DE RODILLA DE 16" DE LARGO, CON AMARRE DE VELCROY BARRAS POSTERIORES DE ALUMINIO, TALLA "M"</t>
  </si>
  <si>
    <t>INMOVILIZADOR UNIVERSAL DE RODILLA DE 16" DE LARGO, CON AMARRE DE VELCROY BARRAS POSTERIORES DE ALUMINIO, TALLA "S"</t>
  </si>
  <si>
    <t>INMOVILIZADOR UNIVERSAL DE RODILLA DE 19" DE LARGO CON AMARRE DE VELCROY BARRAS POSTERIORES DE ALUMINIO, TALLA "L"</t>
  </si>
  <si>
    <t>INMOVILIZADOR UNIVERSAL DE RODILLA DE 19" DE LARGO CON AMARRE DE VELCROY BARRAS POSTERIORES DE ALUMINIO, TALLA "M"</t>
  </si>
  <si>
    <t>INMOVILIZADOR UNIVERSAL DE RODILLA DE 19" DE LARGO CON AMARRE DE VELCROY BARRAS POSTERIORES DE ALUMINIO, TALLA "S"</t>
  </si>
  <si>
    <t>ESPONJA ABSORBENTE EXPANDIBLE PARA FERULIZACIÓN INTERNA DE OIDO, EXPANDIBLE ADE 8 A 20 MM</t>
  </si>
  <si>
    <t>FÉRULA DE SEPTUM NASAL, BLANDA, CON ÁREA PARA SUTURA TRANSEPTAL</t>
  </si>
  <si>
    <t>FÉRULA NASAL EXTERNA, MOLDEABLE, TALLA MEDIANA</t>
  </si>
  <si>
    <t>COLLAR CERVICAL BLANDO PEDIÁTRICO, PERÍMETRO DE 25 A 30 CM, ALTURA DE5CM</t>
  </si>
  <si>
    <t>COLLAR CERVICAL BLANDO PEDIÁTRICO, PERÍMETRO DE 30 A 35 CM, ALTURA DE6.5 CM</t>
  </si>
  <si>
    <t>ORTESIS DE ABDUCCIÓN Y FLEXIÓN DE CADERA PARA LA DISPLASIA DE CADERA</t>
  </si>
  <si>
    <t>BANDA PARA CONTROL DE INCONTINENCÍA URINARIA MÁSCULINA, REUTILIZABLE,CON BALÓN, JERINGA Y VÁLVULA PARA INFLACION Y DEFLACIÓN</t>
  </si>
  <si>
    <t>SONDA ANAL DE 8.3 CM PARA ELECTROMIOGRAFIA DE UNA SALIDA Y ESTIMULACIÓN COMPATIBLE CON EQUIPO.</t>
  </si>
  <si>
    <t>SONDA VAGINAL CLÁSICA DE 10 CM PARA ELECTROMIOGRAFIA DE UNA SALIDA Y ESTIMULACIÓN COMPATIBLE CON EQUIPO.</t>
  </si>
  <si>
    <t>BANDA EJERCITADORA DE ALTA RESISTENCIA, 6 YARDAS DE LARGO</t>
  </si>
  <si>
    <t>BANDA EJERCITADORA DE BAJA RESISTENCIA, 6 YARDAS DE LARGO</t>
  </si>
  <si>
    <t>BANDA EJERCITADORA DE MEDIANA RESISTENCIA, 6 YARDAS DE LARGO</t>
  </si>
  <si>
    <t>COMPRESA CALIENTE PARA REGIÓN LUMBAR</t>
  </si>
  <si>
    <t>COMPRESA FRÍA PARA REGIÓN LUMBAR</t>
  </si>
  <si>
    <t>ELECTRODO DE CAUCHO PARA EQUIPO DE DIATERMIA, FLEXIBLE.</t>
  </si>
  <si>
    <t>ELECTRODO DE CAUCHO FLEXIBLE, PARA ELECTROTERAPIA, REUTILIZABLE.</t>
  </si>
  <si>
    <t>ELECTRODO DE DISCO PARA EQUIPO DE DIATERMIA, REUTILIZABLE</t>
  </si>
  <si>
    <t>ELECTRODO MONOPOLAR PARA EQUIPO DE ELECTROTERAPIA, REUTILIZABLE.</t>
  </si>
  <si>
    <t>ELECTRODOS ADHESIVOS CON GEL DE 5 X 5 CM PARA TENS (SET DE 4 ELECTRODOS). SET</t>
  </si>
  <si>
    <t>ELECTRODOS DE CARBÓN PARA APARATO TENS, FLEXIBLE, REUSABLE. (SET DE 4ELECTRODOS)</t>
  </si>
  <si>
    <t>SET DE JUEGO DE PESAS CON VELCRO EN PARES DE 1 A 5 LIBRAS.</t>
  </si>
  <si>
    <t>SET DE JUEGO DE PESAS DE MANO DE 1 A 10 LIBRAS.</t>
  </si>
  <si>
    <t>PLASTILINA TERAPÉUTICA PARA TERAPIA DE MANOS COLOR AMARILLA. FRASCO 8ONZAS ± 10%</t>
  </si>
  <si>
    <t>PLASTILINA TERAPÉUTICA PARA TERAPIA DE MANOS COLOR AZUL. FRASCO 8 ONZAS ± 10%</t>
  </si>
  <si>
    <t>PLASTILINA TERAPÉUTICA PARA TERAPIA DE MANOS COLOR ROJO. FRASCO. 8 ONZAS± 10%.</t>
  </si>
  <si>
    <t>PLASTILINA TERAPÉUTICA PARA TERAPIA DE MANOS COLOR VERDE. FCO.  8 ONZAS ± 10%</t>
  </si>
  <si>
    <t>SET DE SISTEMA DE TRACCIÓN CERVICAL QUE COMPRENDE FRONDA, BARRA, GARRUCHA Y BOLSA DE ARENA.</t>
  </si>
  <si>
    <t>COMPRESA CALIENTE PARA REGIÓN DORSO LUMBAR</t>
  </si>
  <si>
    <t>JUEGO DIDÁCTICO TIPO ENSAMBLE EN FORMA DE CUBO PARA TERAPIA OCUPACIONAL, DIFERENTES COLORES</t>
  </si>
  <si>
    <t>JUEGO DIDÁCTICO TIPO CADENA DENTADAS PARA TERAPIA OCUPACIONAL, DIFERENTES COLORES</t>
  </si>
  <si>
    <t>PAR DE MEDIAS ELÁSTICAS PEQUEÑAS PARA VARICES, COMPRESIÓN DE 20 A 30 MMHG, TIPO CALCETAS HASTA LA RODILLA</t>
  </si>
  <si>
    <t>PAR DE MEDIAS ELÁSTICAS MEDIANAS PARA VARICES, COMPRESIÓN DE 20 A 30 MMHG, TIPO CALCETAS HASTA LA RODILLA</t>
  </si>
  <si>
    <t>PAR DE MEDIAS ELÁSTICAS GRANDES PARA VARICES, COMPRESIÓN DE 20 A 30 MMHG, TIPO CALCETAS HASTA LA RODILLA</t>
  </si>
  <si>
    <t>PAR DE MEDIAS ELÁSTICAS TALLA XL PARA VARICES, COMPRESIÓN DE 20 A 30 MMHG, TIPO CALCETAS HASTA LA RODILLA</t>
  </si>
  <si>
    <t>PAR DE MEDIAS ELÁSTICAS TALLA 2XL PARA VARICES, COMPRESIÓN DE 15 A 20MMHG, TIPO CALCETAS HASTA LA RODILLA</t>
  </si>
  <si>
    <t>PAR DE MEDIAS ELÁSTICAS TALLA 3XL PARA VARICES, COMPRESIÓN DE 15 A 20MMHG, TIPO CALCETAS HASTA LA RODILLA</t>
  </si>
  <si>
    <t>PAR DE MEDIAS ELÁSTICAS TALLA 4XL PARA VARICES, COMPRESIÓN DE 15 A 20MMHG, TIPO CALCETAS HASTA LA RODILLA</t>
  </si>
  <si>
    <t>PAR DE MEDIAS ELÁSTICAS TALLA 2XL PARA VARICES, COMPRESIÓN DE 20 A 30MMHG, TIPO CALCETAS HASTA LA RODILLA</t>
  </si>
  <si>
    <t>PAR DE MEDIAS ELÁSTICAS TALLA 3XL PARA VARICES, COMPRESIÓN DE 20 A 30MMHG, TIPO CALCETAS HASTA LA RODILLA</t>
  </si>
  <si>
    <t>PAR DE MEDIAS ELÁSTICAS TALLA 4XL PARA VARICES, COMPRESIÓN DE 20 A 30MMHG, TIPO CALCETAS HASTA LA RODILLA</t>
  </si>
  <si>
    <t>CABLE DE CONEXIÓN A INTERFAZ DE PACIENTE PARA ELECTROTERAPIA PARA EQUIPO DE TERAPIA COMBINADA.</t>
  </si>
  <si>
    <t>PIEDRA PARA AFILAR, ARKANSAS, GRANO FINO O COMBINADO, PARA AFILADO DEINSTRUMENTOS</t>
  </si>
  <si>
    <t>CUÑAS DE MADERA O PLÁSTICA SURTIDAS DE DIFERENTES TAMAÑOS, PRESENTACIÓN DESDE 100 UNIDADES</t>
  </si>
  <si>
    <t>LÍQUIDOS PARA PROCESAR PELÍCULAS RADIOGRÁFICAS    ORALES (REVELADOR YFIJADOR); SET</t>
  </si>
  <si>
    <t>LUBRICANTE EN SPRAY, PARA PIEZA DE MANO DE ALTA   VELOCIDAD; FRASCO</t>
  </si>
  <si>
    <t>PELÍCULA RADIOGRÁFICA PERIAPICAL PARA ADULTO</t>
  </si>
  <si>
    <t>PIEDRA DE ARKANSAS EN FORMA DE LLAMA PARA PULIR RESINAS</t>
  </si>
  <si>
    <t>BABERO DESCARTABLE PLASTIFICADO, MÍNIMO DOS CAPAS, CON UN LADO ABSORBENTE Y UN LADO IMPERMEABLE DE USO ODONTOLÓGICO</t>
  </si>
  <si>
    <t>PINZA PORTA BABERO, CON CORDÓN O CADENA METÁLICA O PLÁSTICA Y SUJETADORES METÁLICOS EN AMBOS EXTREMOS, FABRICADO EN TODOS SUS COMPON ENTES CON MATERIAL ESTÉRILIZABLE</t>
  </si>
  <si>
    <t>PELÍCULA RADIOGRÁFICA INTRA ORAL, PERIAPICAL PARA NIÑO</t>
  </si>
  <si>
    <t>FLUORURO DE FOSFATO ACIDULADO-APF 1.2 A 1.23%, DE ION FLUORURO, GEL, FRASCO PLÁSTICO DE 200 - 500 ML.</t>
  </si>
  <si>
    <t>HILO DENTAL CON CERA Y/O TEFLÓN; CAJA DISPENSADORA DE 50 A 130 METROS</t>
  </si>
  <si>
    <t>RADIOVISIOGRAFO INTRAORAL PARA SISTEMA DE RAYOS "X" DIGITAL PARA ODONTOLOGÍA TAMAÑO 30-34 MM X 42-45 MM</t>
  </si>
  <si>
    <t>CAJA REVELADORA DE PELÍCULA PARA RADIOGRAFÍAS DENTALES</t>
  </si>
  <si>
    <t>RECIPIENTE METÁLICO #1 PARA ALGODÓN TIPO METHOT</t>
  </si>
  <si>
    <t>VISOR PLÁSTICO TRANSPARENTE DE REPUESTO PARA CARETA DE PROTECCIÓN</t>
  </si>
  <si>
    <t>CARETA DE PROTECCIÓN CON VISOR PLÁSTICO INTERCAMBIABLE TRANSPARENTE</t>
  </si>
  <si>
    <t>ESPEJO # 5 SIN AUMENTO (AUTOCLAVABLE) ADAPTABLE A MANGO # 14</t>
  </si>
  <si>
    <t>DIAPASÓN DE 128 HZ VIBRACIONES, CON SORDINAS</t>
  </si>
  <si>
    <t>CONECTOR O PUERTO DE INYECCIÓN DE DOBLE LUMEN SIN UTILIZACIÓN DE AGUJA, COMPATIBLE CON CONECTORES LUER</t>
  </si>
  <si>
    <t>JERINGA CATÉTER DE 50 - 60 ML DESCARTABLE, ESTÉRIL, PUNTA TIPO TIP.</t>
  </si>
  <si>
    <t>JERINGA CON ADAPTADOR LUER LOCK,  DE 10 ML CON AGUJA INCORPORADA  22 GX  1 1/2", DESCARTABLE, ESTÉRIL.</t>
  </si>
  <si>
    <t>JERINGA CON ADAPTADOR LUER LOCK,  DE 20 ML, DESCARTABLE, ESTÉRIL.</t>
  </si>
  <si>
    <t>JERINGA CON ADAPTADOR LUER LOCK,  DE 3 ML CON AGUJA INCORPORADA  22 GX 1 1/2", DESCARTABLE, ESTÉRIL.</t>
  </si>
  <si>
    <t>JERINGA CON ADAPTADOR LUER LOCK,  DE 30 ML, DESCARTABLE, ESTÉRIL.</t>
  </si>
  <si>
    <t>JERINGA CON ADAPTADOR LUER LOCK, DE 5 ML CON AGUJA INCORPORADA 22 G X1 1/2", DESCARTABLE, ESTÉRIL.</t>
  </si>
  <si>
    <t>JERINGA DE 1 ML CON ADAPTADOR LUER SLIP, AGUJA INCORPORADA, ESCALA DEMEDICIÓN CON INTERVALOS DE 0.01 ML, AGUJA 23 G X  1", DESCARTABLE, ESTÉRIL.</t>
  </si>
  <si>
    <t>JERINGA DE 1 ML CON ADAPTADOR LUER SLIP, AGUJA INCORPORADA, ESCALA DEMEDICIÓN CON INTERVALOS DE 0.01 ML, AGUJA 25 G X 3/8 - 5/8", D ESCARTABLE, ESTÉRIL.</t>
  </si>
  <si>
    <t>JERINGA DE 1 ML CON ADAPTADOR LUER SLIP, AGUJA INCORPORADA, ESCALA DEMEDICIÓN CON INTERVALOS DE 0.01 ML, AGUJA 26 - 28 G X 3/8 - 1/ 2", DESCARTABLE, ESTÉRIL.</t>
  </si>
  <si>
    <t>JERINGA DE 3 ML CON HEPARINA DE LITIO, SIN AGUJA, PARA TOMA DE GASES ARTERIALES.</t>
  </si>
  <si>
    <t>JERINGA DE 50 ML, GRADUADA, CON ADAPTADOR LUER LOCK, DESCARTABLE, ESTÉRIL.</t>
  </si>
  <si>
    <t>JERINGA OSCURA DE 50 A 60 ML PARA USO CON BOMBA PERFUSORA. ANTIREFLUJO, SIN AGUJA, CON ADAPTADOR LUER LOCK, GRADUADA, DESCARTABLE, ESTÉRIL,PARA LA ADMINISTRACION DE MEDICAMENTO FOTOSENSIBLE.</t>
  </si>
  <si>
    <t>DESINFECTANTE Y DESCONTAMINANTE DE AREAS CRITICAS CON PRINCIPIO ACTIVODE DICLOROISOCIANURATO, POLVO GRANULADO. SOBRE</t>
  </si>
  <si>
    <t>TAPÓN DESINFECTANTE CON ROSCA UNIVERSAL Y RESPALDO O SELLO DE ALUMINIOPARA CATÉTER VENOSO CENTRAL, ALMOHADILLA IMPREGNADA CON ALCOHOL ISOPROPÍLICO AL 70%, DESCARTABLE, ESTÉRIL.</t>
  </si>
  <si>
    <t>APÓSITO TRANSPARENTE ADHESIVO, IMPERMEABLE, DE 4-6 X 4-6 CM, ESTÉRIL.</t>
  </si>
  <si>
    <t>APÓSITO TRANSPARENTE ADHESIVO, IMPERMEABLE, DE 6- 8 X 7- 10 CM ESTÉRIL.</t>
  </si>
  <si>
    <t>APÓSITO TRANSPARENTE ADHESIVO, IMPERMEABLE, DE 8 - 13 X 10 - 15 CM ESTÉRIL.</t>
  </si>
  <si>
    <t>CINTA ADHESIVA DE PAPEL USO QUIRÚRGICO DE 75MM X 9 METROS, ANTIALÉRGICA. ROLLO</t>
  </si>
  <si>
    <t>CINTA ADHESIVA DE PAPEL, USO QUIRÚRGICO, DE 25MM X 9 METROS, ANTIALÉRGICA. ROLLO</t>
  </si>
  <si>
    <t>CINTA ADHESIVA DE PAPEL, USO QUIRÚRGICO, DE 12,5MM X 9 METROS, ANTIALÉRGICA. ROLLO</t>
  </si>
  <si>
    <t>CINTA ADHESIVA DE PAPEL, USO QUIRÚRGICO, DE 50MM X 9METROS, ANTIALÉRGICA. ROLLO</t>
  </si>
  <si>
    <t>CINTA QUIRÚRGICA 25 MM X 9 METROS, ANTIALÉRGICA,    ACRÍLICA ,TRANSPARENTE. ROLLO</t>
  </si>
  <si>
    <t>CINTA QUIRÚRGICA 50MM X 9 METROS, ANTIALÉRGICA, ACRÍLICA, TRANSPARENTE. ROLLO</t>
  </si>
  <si>
    <t>CINTA QUIRÚRGICA 75MM X 9METROS, ANTIALÉRGICA, ACRÍLICA, TRANSPARENTE.ROLLO</t>
  </si>
  <si>
    <t>CINTA QUIRÚRGICA 75MM, ADHESIVA, IMPERMEABLE, TELA ASEDADA. ROLLO</t>
  </si>
  <si>
    <t>CINTA QUIRÚRGICA 100MM, ADHESIVA, IMPERMEABLE, TELA ASEDADA. ROLLO</t>
  </si>
  <si>
    <t>FRASCO RECOLECTOR PARA EL MANEJO DE HERIDAS ASISTIDO POR VACÍO, CAPACIDAD DE 300 A 500 ML, DESCARTABLE, CON FILTROS HIDROFÓBICOS Y DE CARBÓNINTEGRADO</t>
  </si>
  <si>
    <t>FRASCO RECOLECTOR PARA EL MANEJO DE HERIDAS ASISTIDO POR VACÍO, CAPACIDAD DE 600 A 1000 ML, DESCARTABLE, CON FILTROS HIDROFÓBICOS Y DE CARBÓN INTEGRADO</t>
  </si>
  <si>
    <t>GASA QUIRÚRGICA 20 X 24 HILOS X PULGADA CUADRADA, 90 CM DE ANCHO PREDOBLADO EN HOJAS DE 90 CM, PIEZA DE 100 YARDAS, 100% ALGODÓN.</t>
  </si>
  <si>
    <t>RAYÓN CON ALGODÓN ABSORBENTE 75X200MM ESTÉRIL (APÓSITO). SOBRE</t>
  </si>
  <si>
    <t>RAYÓN CON PORO PARA CIERRE DE PIEL 12,5MM X 100MM EN TIRAS ESTÉRILES.SOBRE</t>
  </si>
  <si>
    <t>VENDA DE GASA DE 5CM X 9 METROS BORDES CON ACABADO QUE NO DESHILE.</t>
  </si>
  <si>
    <t>VENDA DE GASA DE 7CM X 9 METROS BORDES CON ACABADO QUE NO DESHILE.</t>
  </si>
  <si>
    <t>VENDA DE GASA DE 10CM X 9 METROS BORDES CON ACABADO QUE NO DESHILE</t>
  </si>
  <si>
    <t>APOSITO TRANSPARENTE, ADHESIVO E IMPERMEABLE DE 9-10 X 25-30CM. ESTÉRIL.</t>
  </si>
  <si>
    <t>APÓSITO IMPREGNADO DE ALCOHOL ISOPROPÍLICO AL 70%, DE 6-8 X 3-4 CM, EMPAQUE INDIVIDUAL</t>
  </si>
  <si>
    <t>HISOPO IMPREGNADO DE ALCOHOL ISOPROPÍLICO  AL 70%  Y CLORHEXIDINA AL 2%, LONGITUD DE 10 A 15 CM, EMPACADO DE FORMA INDIVIDUAL, CON PESTAÑA PARA APERTURA QUE EVITE CONTAMINACIÓN</t>
  </si>
  <si>
    <t>TORUNDA DE GASA DE 20 X 24 HILOS, ELABORADA CON PLIEGOS DE 20 X 20 CMOELABORADA CON OTRO MATERIAL ABSORBENTE NO TEJIDO, NO ESTÉRIL,  EMPAQUE DE 100 TORUNDAS</t>
  </si>
  <si>
    <t>TOALLITA IMPREGNADA DE ALCOHOL ISOPROPILICO AL 70% + CLORHEXIDINA AL 2%, DE 8 A 12 CM X 10 A 20 CM, EMPAQUE INDIVIDUAL, CON PESTAÑA PARA APERTURA QUE EVITE CONTAMINACIÓN.</t>
  </si>
  <si>
    <t>SISTEMA DE CARGA INALÁMBRICO PARA NEUROESTIMULADOR IMPLANTABLE PARA MANEJO DE DOLOR; QUE CONSTE DE CARGADOR INALÁMBRICO, BASE DE CARGA Y SISTEMA DE ALIMENTACIÓN</t>
  </si>
  <si>
    <t>CAPUCHÓN DE SILICÓN O POLIURETANO PARA CABLE ELECTRODO DE MARCAPASOS PERMANENTE Y DESFIBRILADOR, COMPATIBLE CON CABLES IS-1, DF-4 Y DF-1</t>
  </si>
  <si>
    <t>DOMOS TRANSPARENTES DESCARTABLES ESTÉRILES PARA MEDICIÓN DE PRESIONESINVASIVAS</t>
  </si>
  <si>
    <t>GEL ELECTROLÍTICA PARA TRANSMISIÓN SOLUBLE EN AGUA. LITRO</t>
  </si>
  <si>
    <t>JALEA O PASTA ELECTROCONDUCTIVA PARA ELECTRODO CONTENIDO DE 200 - 300GRAMOS. DISPENSADOR</t>
  </si>
  <si>
    <t>JUEGOS DE TENAZAS CON CONECTOR UNIVERSAL, PARA ELECTRODOS DE ELECTROCARDIÓGRAFO</t>
  </si>
  <si>
    <t>MANGUERAS CONECTORAS PARA BRAZALETE DE PRESIÓN NO INVASIVA DE NEONATOS, COMPATIBLE CON BRAZALETES.</t>
  </si>
  <si>
    <t>ESTETOSCOPIO PEDIÁTRICO CON CAMPANA Y DIAFRAGMA</t>
  </si>
  <si>
    <t>ESTETOSCOPIO PARA ADULTO, CON CAMPANA Y DIAFRAGMA</t>
  </si>
  <si>
    <t>SISTEMA DE CARGA INALÁMBRICO PARA NEUROESTIMULADOR CEREBRAL PROFUNDO PARA MANEJO DE ENFERMEDAD DE PARKINSON, QUE CONSTE DE CARGADOR INALÁMBRICO, BASE DE CARGA Y SISTEMA DE ALIMENTACIÓN DE NEUROESTIMULADOR</t>
  </si>
  <si>
    <t>BATERÍA O GENERADOR ELÉCTRICO PARA NEUROESTIMULADOR CEREBRAL PROFUNDO</t>
  </si>
  <si>
    <t>APLICADOR DE MADERA SIN ALGODÓN DE 15CM EN EMPAQUE INDIVIDUAL NO MAYORDE 1000 UNIDADES.</t>
  </si>
  <si>
    <t>BAÑO EN CAMA, COMPUESTO DE PAÑOS PRE-EMPACADOS DE UN SÓLO USO IMPREGNADO CON AGUA PURIFICADA. PAQUETE CON 8 PAÑOS O MÁS</t>
  </si>
  <si>
    <t>APLICADOR DE MADERA DE 15 CM CON ALGODÓN EN EMPAQUE INDIVIDUAL, ESTÉRIL</t>
  </si>
  <si>
    <t>APLICADOR DE MADERA DE 15 CM CON ALGODÓN, NO ESTÉRIL, EMPAQUE NO MAYORDE 1000 UNIDADES.</t>
  </si>
  <si>
    <t>BAJALENGUA DE MADERA DE 2 X 15CM EN EMPAQUE INDIVIDUAL DE 100 UNIDADES.</t>
  </si>
  <si>
    <t>BAÑO DE ASIENTO PLÁSTICO CON SU BOLSA PLÁSTICA.</t>
  </si>
  <si>
    <t>BOLSA CERRADA PARA COLOSTOMÍA PARA ADULTO, CON FILTRO PARA GASES Y ARODE FIJACIÓN O PLACA ADHESIVA CON ÁREA  RECORTABLE DE 60 MM MÍNIMO, CON ARO DE FIJACIÓN A BOLSA. POR CADA 30 BOLSAS INCLUIR 10 PLACAS</t>
  </si>
  <si>
    <t>BOLSA DE PEGAR PARA COLOSTOMÍA, CERRADA, RECORTABLE, CON FILTRO DE CARBÓN</t>
  </si>
  <si>
    <t>BOLSA DE POLIETILENO DESCARTABLE DE 2 - 3 LITROS, PARA ELIMINACIÓN DEDESECHOS, CON TAPADERA CON SUS CONECTORES (PARA CIRUGÍA SÉPTICA)</t>
  </si>
  <si>
    <t>CINTA UMBILICAL, TRENZADA 90 METROS</t>
  </si>
  <si>
    <t>COLCHÓN DE AIRE ANTIESCARAS, CON BOMBA DE SISTEMA ELÉCTRICO</t>
  </si>
  <si>
    <t>GUANTE NO ESTÉRIL DE LÁTEX TALLA L</t>
  </si>
  <si>
    <t>GUANTE NO ESTÉRIL DE LÁTEX TALLA M</t>
  </si>
  <si>
    <t>GUANTE NO ESTÉRIL DE LÁTEX TALLA S</t>
  </si>
  <si>
    <t>PAR DE GUANTE QUIRÚRGICO #6 1/2, ESTÉRIL, DE LÁTEX</t>
  </si>
  <si>
    <t>PAR DE GUANTE QUIRÚRGICO #7 1/2, ESTÉRIL, DE LÁTEX</t>
  </si>
  <si>
    <t>PAR DE GUANTE QUIRÚRGICO # 7, ESTÉRIL, DE LÁTEX</t>
  </si>
  <si>
    <t>PAR DE GUANTE QUIRÚRGICO # 8 1/2, ESTÉRIL DE LÁTEX</t>
  </si>
  <si>
    <t>PAR DE GUANTE QUIRÚRGICO # 8, ESTÉRIL, DE LÁTEX</t>
  </si>
  <si>
    <t>PAR DE GUANTE QUIRÚRGICO # 9, ESTÉRIL, DE LÁTEX</t>
  </si>
  <si>
    <t>HUATA QUIRÚRGICA DE 90CM X 5,5METROS. ROLLO</t>
  </si>
  <si>
    <t>NAVAJA DESCARTABLE PARA RASURADO QUIRÚRGICO, ESTÉRIL, DE ACERO INOXIDABLE, COMPATIBLE CON RASURADORA ELÉCTRICA TIPO CLIPPER O SIMILAR, USO HOSPITALARIO</t>
  </si>
  <si>
    <t>PASTA O GEL  SELLADORA Y DE PROTECCIÓN PARA PLACAS O BOLSAS DE OSTOMÍADE DIFERENTES COMPONENTES</t>
  </si>
  <si>
    <t>PERILLA DE HULE DE 2 O 3 ONZAS, PARA ASPIRAR, INFANTES.</t>
  </si>
  <si>
    <t>SUSPENSOR ELÁSTICO, CLÍNICO, GRANDE.</t>
  </si>
  <si>
    <t>SUSPENSOR ELÁSTICO, CLÍNICO, MEDIANO.</t>
  </si>
  <si>
    <t>TERMÓMETRO CON ESCALA DE -40 A +50 °C, PARA MONITOREO DE CADENA DE FRÍO</t>
  </si>
  <si>
    <t>TERMÓMETRO PARA MEDIR TEMPERATURAS ENTRE -40ºC A 50ºC</t>
  </si>
  <si>
    <t>TUBO DE POLIETILENO PARA ESTERILIZAR SONDAS 75MM X 190CM. ROLLO</t>
  </si>
  <si>
    <t>PREFILTRO PARA CABINA DE FLUJO LAMINAR HORIZONTAL CLASE 100</t>
  </si>
  <si>
    <t>FILTRO HEPA PARA CABINA DE FLUJO LAMINAR HORIZONTAL CLASE 100</t>
  </si>
  <si>
    <t>COLCHONETA PARA CARRO CAMILLA, SIN COSTURA, FORRADA CON MATERIAL IMPERMEABLE, RESISTENTE A DESINFECTANTES HOSPITALARIOS, GROSOR 8 CM COMO MÍNIMO</t>
  </si>
  <si>
    <t>TRANSDUCTOR LINEAL PARA EQUIPO DE ULTRASONIDO</t>
  </si>
  <si>
    <t>CABLE ADAPTADOR DE DOS CANALES, PARA EQUIPO DE ELECTROTERAPIA O COMBINADO DE ULTRASONIDO CON ELECTROTERAPIA</t>
  </si>
  <si>
    <t>CABLE DE FIBRA ÓPTICA PARA COLPOSCOPIO</t>
  </si>
  <si>
    <t>TRANSDUCTOR CONVEXO PARA EQUIPO DE ULTRASONÓGRAFO</t>
  </si>
  <si>
    <t>TRANSDUCTOR ENDOCAVITARIO PARA EQUIPO DE ULTRASONIDO</t>
  </si>
  <si>
    <t>LAPIZ MARCADOR QUIRÚRGICO DE PIEL, CON REGLA GRADUADA PARA MEDIR DISTANCIA</t>
  </si>
  <si>
    <t>LAPIZ MARCADOR QUIRÚRGICO DE PIEL, SIN REGLA</t>
  </si>
  <si>
    <t>BOLSA RECOLECTORA  DE PVC, CON TUBO COLECTOR Y CONECTOR DISTAL EN MACHO CON CAPACIDAD DE 100 cc O MÁS</t>
  </si>
  <si>
    <t>CINTURÓN PARA BOLSAS DE COLOSTOMÍA, ELÁSTICO, AUTOAJUSTABLE, CON SUJETADORES DE BOLSA</t>
  </si>
  <si>
    <t>PROTECTOR BUCAL PARA TERAPIA ELECTROCONVULSIVA</t>
  </si>
  <si>
    <t>BASE Y ESTABILIZADOR PARA OJOS ESQUEMÁTICOS</t>
  </si>
  <si>
    <t>KIT DE INMOVILIZACIÓN NEONATAL. INCLUYE: TABLA ESPINAL, ARNÉS CUERPO COMPLETO, INMOVILIZADOR LATERAL DE CABEZA Y BRAZOS.</t>
  </si>
  <si>
    <t>KIT DE INMOVILIZACIÓN PEDIÁTRICO. INCLUYE: TABLA ESPINAL, ARNÉS CUERPOCOMPLETO, INMOVILIZADOR LATERAL DE CABEZA Y BRAZOS.</t>
  </si>
  <si>
    <t>CUCHILLA DE DOBLE FILO PARA MANGO DE BISTURÍ, PARA ESTUDIOS PATOLÓGICOS</t>
  </si>
  <si>
    <t>PAR DE GUANTE QUIRÚRGICO #7 1/2, ESTÉRIL, DE DOBLE CAPA O SUPERIOR PARA USO EN CIRUGÍA ORTOPÉDICA, DE LÁTEX O MATERIAL SINTETICO CON ESPESORDE ALMENOS 0.2 MM</t>
  </si>
  <si>
    <t>PAR DE GUANTE QUIRÚRGICO # 8, ESTÉRIL, DE DOBLE CAPA O SUPERIOR PARA USO EN CIRUGÍA ORTOPÉDICA, DE LÁTEX O MATERIAL SINTETICO CON ESPESOR DEAL MENOS 0.2 MM</t>
  </si>
  <si>
    <t>PAR DE GUANTE QUIRÚRGICO # 8 1/2, , ESTÉRIL, DE DOBLE CAPA O SUPERIORPARA USO EN CIRUGÍA ORTOPÉDICA, DE LÁTEX O MATERIAL SINTETICO CON ESPESOR DEAL MENOS 0.2 MM</t>
  </si>
  <si>
    <t>KIT DE ENSAMBLE PARA LO FLOW, COMPATIBLE CON EQUIPO DE POLISOMNOGRAFÍA.</t>
  </si>
  <si>
    <t>GABACHÓN PROTECTOR NO ESTÉRIL DESCARTABLE TALLA M</t>
  </si>
  <si>
    <t>GABACHÓN PROTECTOR NO ESTÉRIL DESCARTABLE TALLA L</t>
  </si>
  <si>
    <t>GABACHÓN PROTECTOR NO ESTÉRIL DESCARTABLE TALLA XL</t>
  </si>
  <si>
    <t>GABACHÓN PROTECTOR NO ESTÉRIL DESCARTABLE TALLA XXL</t>
  </si>
  <si>
    <t>TRAJE DE BIOSEGURIDAD, COMPUESTO POR OVEROL CON CAPUCHA  MANGA LARGA ,TALLA L</t>
  </si>
  <si>
    <t>TRAJE DE BIOSEGURIDAD, COMPUESTO POR OVEROL CON CAPUCHA  MANGA LARGA ,TALLA XL</t>
  </si>
  <si>
    <t>TRAJE DE BIOSEGURIDAD, COMPUESTO POR OVEROL CON CAPUCHA  MANGA LARGA ,TALLA XXL</t>
  </si>
  <si>
    <t>ATENUADOR DE SONIDOS, LIBRE DE LÁTEX, DEHP Y BPA, DESCARTABLE, CAPAZ DE REDUCIR LOS NIVELES DE RUIDOS AL MENOS 7 DECIBELIOS (dB) Y LOS NIVELES DEL SONIDO HASTA MÁS DE UN 50%. PARA NEONATOS PREMATUROS, INGRESADOS EN UCIN. PAR.</t>
  </si>
  <si>
    <t>INMOVILIZADORES PARA USO EN MIEMBROS SUPERIORES E INFERIORES IZQUIERDOO DERECHO, COMPUESTO POR: 1 INMOVILIZADOR DE: BRAZO COMPLETO, ANTEBRAZO, MUÑECA, PIERNA COMPLETA, TOBILLO, CODO EN ÁNGULO DE 90°, BOLSA  PARA TRANSPORTE. KIT.</t>
  </si>
  <si>
    <t>BOLSA DE PEGAR PARA COLOSTOMÍA ABIERTA CON FILTRO PARA GASES, CON PLACA ADHESIVA CON ÁREA RECORTABLE DE 60 MM MÍNIMO. POR CADA 30 BOLSAS INCLUIR 10 CLIPS.</t>
  </si>
  <si>
    <t>INMOVILIZADOR DE CABEZA, PARA TABLA DE INMOVILIZACIÓN ESPINAL, ADULTO.</t>
  </si>
  <si>
    <t>TRAJE DE BIOSEGURIDAD, COMPUESTO POR OVEROL CON CAPUCHA  MANGA LARGA.</t>
  </si>
  <si>
    <t>ZAPATERA, DESCARTABLE, TALLA ÚNICA, CON SUPERFICIE ANTIDESLIZANTE, PAR</t>
  </si>
  <si>
    <t>CAJA DE PROTECCIÓN DE AEROSOLES, ELABORADO CON MATERIAL ACRÍLICO</t>
  </si>
  <si>
    <t>ESCAFANDRA QUIRÚRGICA PARA PROTECCIÓN DE CABEZA, CON ABERTURA FRONTALDE CARA COMPLETA O MEDIA CARA, DESECARTABLE.</t>
  </si>
  <si>
    <t>ZAPATERA DESCARTABLE TIPO BOTA CON SUPERFICIE ANTIDESLIZANTE, TALLA ÚNICA, PAR.</t>
  </si>
  <si>
    <t>PAPEL PARA ESPIRÓMETRO, CAJA PARA UN ROLLO</t>
  </si>
  <si>
    <t>PAPEL TÉRMICO ANALIZADOR IRMA. ROLLO</t>
  </si>
  <si>
    <t>PAPEL HERMÉTICO PARA IMPRESOR DE SIGNOS VITALES. ROLLO</t>
  </si>
  <si>
    <t>PAPEL TÉRMICO PARA REGISTRO DE ECG, ANCHO 80 MM, ROLLO</t>
  </si>
  <si>
    <t>PAPEL TÉRMICO PARA REGISTRO DE ECG, ANCHO 210 MM, ROLLO</t>
  </si>
  <si>
    <t>PAPEL DE IMPRESIÓN TÉRMICO DE ALTO BRILLO PARA EQUIPO DE ULTRASONOGRAFÍA,  ANCHO 11O MM. ROLLO</t>
  </si>
  <si>
    <t>PAPEL TÉRMICO PARA REGISTRO DE ECG, ANCHO 50 MM, ROLLO</t>
  </si>
  <si>
    <t>PAPEL TÉRMICO PARA REGISTRO DE ECG, ANCHO 58 MM, ROLLO</t>
  </si>
  <si>
    <t>PAPEL MILIMETRADO, PREDOBLADO, PARA BANDA SIN FIN.</t>
  </si>
  <si>
    <t>PAPEL PARA MONITOR FETAL.</t>
  </si>
  <si>
    <t>PAPEL TÉRMICO DE 110 MM DE BAJA DENSIDAD PARA  ULTRASONOGRAFÍA.. ROLLO</t>
  </si>
  <si>
    <t>PAPEL PARA GRAFICAR TEMPERATURA EN REFRIGERADORA PARA BIOLOGICOS, DISCO</t>
  </si>
  <si>
    <t>FILTRO REUTILIZABLE DE PTFE PARA CONTENEDOR DE INSTRUMENTAL QUIRÚRGICO.</t>
  </si>
  <si>
    <t>FILTRO DESCARTABLE PARA CONTENEDOR DE INSTRUMENTAL QUIRÚRGICO, CON INDICADOR DE PROCESO DE ESTERILIZACIÓN</t>
  </si>
  <si>
    <t>ETIQUETA INDICADORA ADHESIVA CON INDICADOR PARA PROCESO DE ESTÉRILIZACION POR VAPOR, COMPATIBLE CON CONTENEDOR.</t>
  </si>
  <si>
    <t>BALDE INOXIDABLE DE 15" DIÁMETRO SUPERIOR, 12" ALTO.</t>
  </si>
  <si>
    <t>BANDEJA INOXIDABLE  DE  17" X 11 1/2" X 1/2"      DE CUERDO A LAS MEDIDAS DEL CONTENEDOR; ESTÉRILLA DE SILICONA ANTIDESLIZANTE</t>
  </si>
  <si>
    <t>COPA INOXIDABLE GRADUADA DE 1000 ML CON ASA, GRADUADA CON INTERVALOS DE 50 ML.</t>
  </si>
  <si>
    <t>COPA INOXIDABLE GRADUADA DE 500 ML CON ASA.</t>
  </si>
  <si>
    <t>VASIJA INOXIDABLE, SIN TAPADERA, 10" X61/2" X 2".</t>
  </si>
  <si>
    <t>VASIJA INOXIDABLE, SIN TAPADERA, 12 1/4" X75/8" X 2 1/8" .</t>
  </si>
  <si>
    <t>VASIJA INOXIDABLE, SIN TAPADERA, 16 3/4" X 9 3/4" X 2 1/2".</t>
  </si>
  <si>
    <t>PELÍCULA SECA DE 8" X 10" PARA IMPRESIÓN DIGITAL</t>
  </si>
  <si>
    <t>PELÍCULA SECA DE 10" A 11" X 14" PARA IMPRESIÓN DIGITAL</t>
  </si>
  <si>
    <t>PELÍCULA SECA DE 14" X 17" PARA IMPRESIÓN DIGITAL</t>
  </si>
  <si>
    <t>PAPEL PARA IMPRESIÓN DE ESTUDIOS RADIOLÓGICOS, BRILLANTE (GLOSSY), ANCHO ENTRE 12" A 14" Y LARGO ENTRE 16" A 18"</t>
  </si>
  <si>
    <t>PLATO ACRÍLICO PARA COMPRESIÓN DE MAMA EN EQUIPO DE MAMOGRAFÍA, TAMAÑODE 18" X 24".</t>
  </si>
  <si>
    <t>PLATO ACRÍLICO PARA COMPRESIÓN DE MAMA EN EQUIPO DE MAMOGRAFÍA, TAMAÑODE 24 X 30 CM.</t>
  </si>
  <si>
    <t>PLATO COMPRESOR PARA BIOPSIA, PARA USO EN EQUIPO DE MAMOGRAFÍA.</t>
  </si>
  <si>
    <t>CANISTER DE VACÍO DE REEMPLAZO DE 800 CC PARA BIOPSIA DE MAMA AL VACÍO.</t>
  </si>
  <si>
    <t>BOLSAS PARA ARCHIVAR ESTUDIOS RADIOGRÁFICOS DE 19" X 15", CON IDENTIFICACION DE PACIENTE Y LOGO DEL  ISSS.</t>
  </si>
  <si>
    <t>CUELLO PLOMADO, DE 0.50 MM DE PLOMO EQUIVALENTE</t>
  </si>
  <si>
    <t>DELANTAL PLOMADO CON ESPESOR DE 0.5 - 0.7 MM. DE PLOMO O EQUIVALENTE</t>
  </si>
  <si>
    <t>GUANTE PLOMADO FLEXIBLE CON PROTECCIÓN  DE 0.25 MM de Pb.</t>
  </si>
  <si>
    <t>HELIO LÍQUIDO PARA EQUIPO DE RESONANCIA MAGNETICA, CILINDRO DE 250 - 500 LITROS</t>
  </si>
  <si>
    <t>LENTE PLOMADO, DE 0.75 MM DE PLOMO EQUIVALENTE, CON PROTECCIÓN LATERAL</t>
  </si>
  <si>
    <t>MEDIO DE CONTRASTE EFERVESCENTE, PARA ESTUDIO DE TUBO DIGESTIVO SUPERIOR</t>
  </si>
  <si>
    <t>PELÍCULA BASE AZUL PARA IMPRESOR, FORMATO 14" X 17" DVB, BLANCO Y NEGRO.</t>
  </si>
  <si>
    <t>BOLSAS PARA ARCHIVAR ESTUDIOS RADIOGRÁFICOS DE 11" X 15", CON IDENTIFICACION DE PACIENTE Y LOGO DEL ISSS</t>
  </si>
  <si>
    <t>SISTEMA DE FIJACIÓN PARA INMOVILIZACIÓN DE CABEZA Y CUELLO EN SIMULACIONES Y TRATAMIENTOS EN 2 Y 3 DIMENSIONES PARA PACIENTES CON TU MORES DE CABEZA Y CUELLO, COMPATIBLES CON TAC Y RMN, DIFERENTES MATERIALES, CON SISTEMA DE SUJECIÓN PARA MÁSCARA DE TERMOPLÁSTICO</t>
  </si>
  <si>
    <t>REPOSA CABEZA PARA SIMULACIONES Y TRATAMIENTOS EN 2 Y 3 DIMENSIONES PARA PACIENTES CON CÁNCER DE CABEZA Y CUELLO, MATERIAL RESISTENTE Y ERGONÓMICO CON RECUBRIMIENTO LAVABLE, PARA DIFERENTES ALTURAS Y ÁNGULOS DECUELLO. SET</t>
  </si>
  <si>
    <t>SISTEMA DE FIJACIÓN PARA INMOVILIZACIÓN DE CABEZA Y CUELLO EN SIMULACIONES Y TRATAMIENTOS EN 2 Y 3 DIMENSIONES PARA PACIENTES CON TU MORES CEREBRALES, GLIOBLASTOMÁS Y DE HIPÓFISIS, CON CAPACIDAD DE AJUSTAR ÁNGULOS ENTRE 0 A 45 GRADOS, COMPATIBLES CON TAC Y RMN, MATERIAL ACRÍLICOCON RECORTE DE BASE CUADRADA PARA CAMPOS DE TRATAMIENTO POSTERIOR Y CON SISTEMA DE SUJECIÓN DE MÁSCARA DE TERMOPLÁSTICO</t>
  </si>
  <si>
    <t>BOLSA DE SELLADO AL VACÍO DE 75 CM DE ANCHO X 100 CM DE LARGO, DE NYLON ,PARA SIMULACIÓN EN TOMOGRAFÍA COMPUTARIZADA Y TRATAMIENTOS INTENSIDAD MODULADA (IMRT) EN ACELERADOR LINEAL, EN PACIENTES CON CÁNCER TORÁXICO, ABDOMINALES Y PELVICOS</t>
  </si>
  <si>
    <t>PELÍCULA RADIOCRÓMICA PARA CONTROL DE CALIDAD EN RADIOTERAPIA, MEDIDASDE 10" X 10"</t>
  </si>
  <si>
    <t>PELÍCULA RADIOCRÓMICA PARA CONTROL DE CALIDAD EN RADIOTERAPIA,MEDIDASE8" X 10"</t>
  </si>
  <si>
    <t>KIT MÁSCARA TERMOFORMABLE PARA RADIOCIRUGÍA, QUE INCLUYA HOJAS CON AGARRADERAS PARA MOLDE OCCIPITAL Y FRONTAL. BANDA O FAJA PARA INM OVILIZACIÓN DE LA CARA DEL PACIENTE, BOLITA PARA MOLDE DE LA IMPRESIÓN DEL PUNTE NASAL, MALLA PARA MOLDEAR EN HORNO DE CALOR EN SECO CON ETIQUETA DE IDENTIFICACIÓN MATERIAL TERMOPLÁSTICO</t>
  </si>
  <si>
    <t>APLICADOR DE TITANIO FLETCHER SUIT DELCLOS COMPATIBLE CON EQUIPO DE BRAQUITERAPIA. DEBE INCLUIR DOS COLPOSTATOS QUE PUEDEN SER USADOS CON TÁNDEMS DE 15, 30 Y 45 GRADOS. LA SECCIÓN INTRAUTERINA DEL TÁNDEM DE 3MM. COMPATIBLE CON CT Y RMN. MATERIAL TITANIO DE BAJO PESO.</t>
  </si>
  <si>
    <t>BASE PLANA DE FIBRA CARBONADA, COMPATIBLE CON RESONANCIA MAGNETICA PARA SISTEMA DE INMOVILIZACIÓN A NIVEL DE PELVIS, CADERA Y ABDOMEN, USADOCON MATERIAL TERMOPLÁSTICO PARA LA SIMULACIONES Y TRATAMIENTOS DE LOSACELERADORES LINEALES EN TRATAMIENTOS DE IMRT Y VMAT CON ALTAS DOSIS</t>
  </si>
  <si>
    <t>FUENTE PUNTUAL DE SODIO(NA-22) PARA VERIFICACIÓN DE BUEN FUNCIONAMIENTO DE EQUIPO DETECTOR GAMMA PARA GANGLIO CENTINELA</t>
  </si>
  <si>
    <t>FUENTE PUNTUAL DE COBALTO(CO-57) PARA VERIFICACIÓN DE BUEN FUNCIONAMIENTO DE EQUIPO DETECTOR GAMMA PARA GANGLIO CENTINELA</t>
  </si>
  <si>
    <t>BIOMBO MÓVIL PARA PROTECCIÓN RADIOLÓGICA DE 0.5 MM DE Pb, AJUSTABLE ENALTURA</t>
  </si>
  <si>
    <t>BOLSA DE SELLADO AL VACÍO DE 50 - 60 CM DE ANCHO Y 70 - 90 CM DE LARGO, DE NYLON REFORZADO</t>
  </si>
  <si>
    <t>BOLSA DE SELLADO AL VACÍO DE 90 - 110 CM  DE ANCHO Y 130 - 150 CM DE LARGO, DE NYLON REFORZADO</t>
  </si>
  <si>
    <t>COLLAR PLOMADO CON PROTECCIÓN DE 0.5 MM DE Pb. CON CIERRE VELCRO</t>
  </si>
  <si>
    <t>INMOVILIZADOR TERMOPLÁSTICO (TERMOFORMABLE) PARA PELVIS, DESCARTABLE,CON AGARRADERO (SUJETADOR), TAMAÑO DE 18 X 22 PULGADAS APROXIMA DAS</t>
  </si>
  <si>
    <t>MÁSCARAS TERMOFORMABLES 9" X 10" X 2.4" APROXIMADO</t>
  </si>
  <si>
    <t>CAMPO QUIRÚRGICO IODADO ESTÉRIL, AUTOADHESIVO, 90 X 45 CM.</t>
  </si>
  <si>
    <t>CAMPO QUIRÚRGICO IODADO, AUTOADHESIVO, ESTÉRIL, DE 60 X 90 CM</t>
  </si>
  <si>
    <t>PAQUETE QUIRÚRGICO DE ROPA DESCARTABLE PARA CIRUGÍA GENERAL Y OTRAS ESPECIALIDADES, COMPUESTA DE 1 SABANA CON ABERTURA EN "U" CON REFUERZO EN EL CONTORNO QUIRÚRGICO, 1 SABANA RECTANGULAR CON REFUERZO EN EL CONTORNO QUIRÚRGICO, AL MENOS UNA DE LAS SABANAS CON PORTA TUBOS, INCLUYE:COBERTOR DE MESA CON REFUERZO, 3 BATAS QUIRÚRGICAS, TRES TOALLAS PARASECADO DE MANOS, 1 FUNDA PARA MESA MAYO, 4 CAMPOS ÚTILITARIOS CON ADHESIVO Y 1 BOLSA PARA SUTURAS; CON EFICIENCÍA DE FILTRADO BACTERIANO, T</t>
  </si>
  <si>
    <t>CAMPO QUIRÚRGICO PARA OFTALMOLOGÍA QUE CONTENGA COMO MÍNIMO UN CAMPO QUIRÚRGICO CON REFUERZO ABSORBENTE DE DIMENSIONES DE 100 CM X 120 CM COMO MÍNIMO CON FENESTRACIÓN CIRCULAR O RECTANGULAR, BOLSAS RECOLECTORASDE FLUIDOS, CINTAS ADHESIVAS HIPOALERGÉNICAS Y CAMPOS PIEL CON CINTAADHESIVA HIPOALERGÉNICA.</t>
  </si>
  <si>
    <t>CAMPO QUIRÚRGICO IODADO ESTÉRIL, AUTOADHESIVO, DE 30 X 30 CM</t>
  </si>
  <si>
    <t>PROTECTOR BUCAL PARA REALIZAR PROCEDIMIENTOS DE ENDOSCOPIA QUE CONTENGA BANDA CON MULTIPLES NIVELES DE AJUSTE PARA FIJAR. DESCARTABLE</t>
  </si>
  <si>
    <t>DESINFECTANTE Y DESCONTAMINANTE DE AREAS CRITICAS CON PRINCIPIO ACTIVODE DICLOROISOCIANURATO DE SODIO EN BASE EFERVESCENTE. TABLETA DE 2.5GR</t>
  </si>
  <si>
    <t>DISPENSADOR DE CONDONES, MATERIAL ACRÍLICO SIN MONEDA.</t>
  </si>
  <si>
    <t>PAQUETE QUIRÚRGICO DE ROPA DESCARTABLE PARA CESAREA COMPUESTA AL MENOSDE 1 CAMPO CON FUNDA RECOLECTORA, 2 MEDIAS SABANAS, 2 O MÁS TOALLAS ABSORBENTES, 4 CAMPOS QUIRÚRGICOS CON CINTAS ADHESIVAS, 3 BATAS QUIRÚRGICAS, 1 FUNDA PARA MESA MAYO. CON EFICIENCÍA DE FILTRADO BACTERIANO.</t>
  </si>
  <si>
    <t>CONDON DE USO MÁSCULINO, DE POLIURETANO O LÁTEX, LUBRICADO CON SUSTANCIAS INERTES</t>
  </si>
  <si>
    <t>DISPOSITIVO ANTICONCEPTIVO INTRAUTERINO DE POLIETILENO EN FORMA DE T ,RECUBIERTO DE COBRE (TCu-380A)</t>
  </si>
  <si>
    <t>ESPÉCULO VAGINAL DESCARTABLE, VALVA DE 12 - 15 CM DE LONGITUD</t>
  </si>
  <si>
    <t>ESPÉCULO VAGINAL DESCARTABLE TAMAÑO PEQUEÑO, VALVA DE 7 A 9 CM DE LONGITUD</t>
  </si>
  <si>
    <t>ESPÉCULO VAGINAL DESCARTABLE TAMAÑO MEDIANO,VALVA DE 10 A 11 CM DE LONGITUD</t>
  </si>
  <si>
    <t>PAQUETE QUIRÚRGICO DESCARTABLE PARA PARTO VAGINAL, COMPUESTO AL MENOSDE 1 CUBIERTA DE MESA, 1 BATA, 2 TOALLAS ABSORBENTES, 1 SABANA MEDIA,2PIERNERAS, 1 SABANA ABDOMINAL, 1 SABANA BALO GLÚTEO. ESTÉRIL ,CONFECCIONADO EN TELA NO TEJIDA POLIPROPILENO, CON EFICIENCÍA DE FILTRADO BACTERIANO</t>
  </si>
  <si>
    <t>PAQUETE QUIRÚRGICO DE ROPA DESCARTABLE PARA GINECOLOGÍA, COMPUESTA ALMENOS DE 1 BATA QUIRÚRGICA GRANDE, 2 TOALLAS ABSORBENTES, 1 SÁBANA ABDOMINAL, 1 SÁBANA PARA CADERA, REFORZADO A NIVEL DE LOS GLÚTEOS, 1 PARDEPIERNERAS, 1 SÁBANA REFORZADA PARA LITOTOMÍA, 1 CUBIERTA PARA MESA. ESTÉRIL, CONFECCIONADO EN TELA NO TEJIDA POLIPROPILENO, CON EFICIENCÍADE FILTRADO BACTERIANO.</t>
  </si>
  <si>
    <t>PAQUETE QUIRÚRGICO DE ROPA DESCARTABLE PARA LEGRADO, COMPUESTA AL MENOS DE 1 FUNDA PARA MESA MAYO, 1 BATA QUIRÚRGICA, 3 CAMPOS QUIRÚRGICOS,1PAR DE PIERNERAS ESTÉRIL, CONFECCIONADO EN TELA NO TEJIDA POLIPROPILENO, CON EFICIENCÍA DE FILTRADO BACTERIANO.</t>
  </si>
  <si>
    <t>TAPÓN DESINFECTANTE PROTECTOR, PARA CATÉTER DE HEMODIÁLISIS, IMPREGNADO CON ALCOHOL ISOPROPILICO AL 70%.</t>
  </si>
  <si>
    <t>ALGODÓN COMPRIMIDO 1 1/2" X 1 1/2". SOBRE</t>
  </si>
  <si>
    <t>ALGODÓN COMPRIMIDO 1" X 1", TIPO COTONOID.. SOBRE</t>
  </si>
  <si>
    <t>ALGODÓN COMPRIMIDO 1" X 3", TIPO COTONOID.. SOBRE</t>
  </si>
  <si>
    <t>ALGODÓN COMPRIMIDO 2" X 6", TIPO COTONOID.. SOBRE</t>
  </si>
  <si>
    <t>ALGODÓN COMPRIMIDO 3" X 3", TIPO COTONOID.. SOBRE</t>
  </si>
  <si>
    <t>CUBIERTA ESTÉRIL PARA MICROSCOPIO, MEDIDAS SEGUN EQUIPO.</t>
  </si>
  <si>
    <t>MEMBRANAS UBM PARA ULTRAMICROSCOPIA EN EQUIPO DE ULTRASONIDO</t>
  </si>
  <si>
    <t>REGLA MILIMETRADA PARA USO EN OPTOMETRÍA</t>
  </si>
  <si>
    <t>ROLLO DE FIBRA DE VIDRIO DE 2" DE ANCHO, RECUBIERTA CON HUATA PARA ELABORACIÓN DE FÉRULAS</t>
  </si>
  <si>
    <t>ROLLO DE FIBRA DE VIDRIO DE 4" DE ANCHO, RECUBIERTA CON HUATA PARA ELABORACIÓN DE FÉRULAS</t>
  </si>
  <si>
    <t>ROLLO DE FIBRA DE VIDRIO DE 6" DE ANCHO, RECUBIERTA CON HUATA PARA ELABORACIÓN DE FÉRULAS</t>
  </si>
  <si>
    <t>VENDA DE HULE PARA TORNIQUETE 4" X 10 YARDAS, TIPO SMARSH.</t>
  </si>
  <si>
    <t>VENDA DE HULE PARA TORNIQUETE 6" X 10 YARDAS, TIPO SMARSH.</t>
  </si>
  <si>
    <t>JUEGO DE OLIVAS DIFERENTES TAMAÑOS Y FOMRAS. INCLUYE ALGODÓN/ESPUMA DEPROTECCIÓN Y BOQUILLAS. COMPATIBLE CON EQUIPO DE AUDIOMETRÍA.</t>
  </si>
  <si>
    <t>DERMOLIMPIADOR PARA USO EN RECIEN NÁCIDOS, SOLUCIÓN LIQUIDA CON GLICERINA, PH MENOR DE 6.0. FRASCO ENTRE 150 A 250 CC</t>
  </si>
  <si>
    <t>BANDAS DE PROTECCIÓN OCULAR PARA FOTOTERAPIA, CON SISTEMA DE FIJACIÓNAJUSTABLE, PAQUETE DE 50 UNIDADES</t>
  </si>
  <si>
    <t>COLCHÓN TÉRMICO PARA PACIENTE NEONATAL, DE TECNOLOGÍA DESCARTABLE</t>
  </si>
  <si>
    <t>DESCARTABLE PARA BOMBA DE INFUSIÓN, LONGUITUD DE 250 CM O MÁS COMPATIBLE CON EQUIPO DE URODINAMIA.</t>
  </si>
  <si>
    <t>KIT DE LIMPIEZA PARA PIEZA DE MANO DEL SISTEMA DE ASPIRACIÓN ULTRASÓNICA, QUE CONTENGA COMO MÍNIMO: CEPILLO PEQUEÑO Y CEPILLO GRANDE, HERRAMIENTA DE RESTAURACIÓN Y 2 BASTÓNCILLOS (HISOPOS) SIN PELUSA.</t>
  </si>
  <si>
    <t>FILTRO DE PROTECCIÓN CONTRA LA CONTAMINACIÓN, PARA BOMBA DE ASPIRACIÓNDEL EQUIPO DE ASPIRACIÓN ULTRASÓNICA, NO ESTÉRIL.</t>
  </si>
  <si>
    <t>PROTECTOR PLÁSTICO O BOLSA, TRANSPARENTE, PARA EQUIPOS MÉDICOS DURANTEPROCEDIMIENTOS. ESTÉRIL, DESCARTABLE.</t>
  </si>
  <si>
    <t>FUNDA O CUBIERTA ESTÉRIL PARA CABEZAL DE CÁMARA, CON MECANISMO DE SUJECIÓN PARA LENTE Y/O LENTE Y CABLE, DE POR LO MENOS 10 CM DE ANCHO Y 250 CM DE LARGO, DE POLIETILENO O POLIPROPILENO, DESCARTABLE.</t>
  </si>
  <si>
    <t>CAJA MAESTRA DE INSTRUMENTAL PARA ARTROSCOPÍA.</t>
  </si>
  <si>
    <t>PAPEL TÉRMICO PARA REGISTRO DE ECG, ANCHO 80 MM, PREDOBLADO</t>
  </si>
  <si>
    <t>FILTRO PARA LÁSER, ADAPTABLE A MICROSCOPIO QUIRÚRGICO OFTALMOLÓGICO, REUTILIZABLE.</t>
  </si>
  <si>
    <t>PROYECTOR INFRARROJO PARA SISTEMA DE POLISOMNOGRAFÍA</t>
  </si>
  <si>
    <t>REGULADOR DE PRESIÓN PARA DIÓXIDO DE CARBÓNO CON ENTRADA CGA-320 Y PRESIÓN DE SALIDA AJUSTABLE.</t>
  </si>
  <si>
    <t>COLCHÓN DE HULE DE ESPUMA CON FORRO IMPERMEABLE, CON MEDIDAS DE 1.0 MX 1.2 M X 15 CM.</t>
  </si>
  <si>
    <t>ATOMIZADOR PARA APLICAR MEDICAMENTO DURANTE PLEUROSCOPÍA</t>
  </si>
  <si>
    <t>PUNTAS SOPORTE DE FIBRA LÁSER DE 8 CM, COMPATIBLE CON EQUIPO LÁSER ENDOBRONQUIAL.</t>
  </si>
  <si>
    <t>PUNTAS SOPORTE DE FIBRA LÁSER DE 18 CM, COMPATIBLE CON EQUIPO LÁSER ENDOBRONQUIAL.</t>
  </si>
  <si>
    <t>PUNTAS SOPORTE DE FIBRA LÁSER DE 28 CM, COMPATIBLE CON EQUIPO LÁSER ENDOBRONQUIAL.</t>
  </si>
  <si>
    <t>CABLE DE CONEXIÓN MCB, COMPATIBLE CON EQUIPO LÁSER ENDOBRONQUIAL</t>
  </si>
  <si>
    <t>SOPORTE PARA ACCESORIOS LÁSER TIPO BRAZO, COMPATIBLE CON EQUIPO LÁSERENDOBRONQUIAL</t>
  </si>
  <si>
    <t>FILTRO PREVIO PARA LA EVACUACIÓN DE GASES DE COMBUSTIÓN, COMPATIBLE CON EQUIPO LÁSER ENDOBRONQUIAL</t>
  </si>
  <si>
    <t>POSICIONADOR DECÚBITO PRONO PARA CABEZA Y CUELLO, DE GEL O SILICONA, PARA ADULTO. REUTILIZABLE.</t>
  </si>
  <si>
    <t>CILINDRO DE HELIO LÍQUIDO PARA BALÓN DE CONTRAPULSACIÓN AÓRTICA</t>
  </si>
  <si>
    <t>PAPEL TÉRMICO PARA REGISTRO DE ECG, ANCHO 215 MM, ROLLO</t>
  </si>
  <si>
    <t>SET COLECTOR DE AEROSOLES, COMPATIBLE CON EQUIPO INTERCAMBIADOR DE CALOR</t>
  </si>
  <si>
    <t>CARTUCHO CC PARA ANALIZADOR DE SANGRE CON LECTURA DE PH, PCO2,  PO2, HTO, ICA MÁS VALORES CALCULADOS.</t>
  </si>
  <si>
    <t>BANDA DE HULE PARA CIRUGÍA VASCULAR, DE SILICÓN RADIOPACO, LIBRE DE LÁTEX, MEDIDA MAXI</t>
  </si>
  <si>
    <t>PLANTILLA DE SILICÓN COMPLETA, CON ARCO MEDIAL Y OLIVA RETROCAPITAL, TALLA S. PAR</t>
  </si>
  <si>
    <t>BASTÓN PLEGABLE PARA CIEGO, MANERAL DE NYLON, PEDESTAL DE ALUMINIO, ALTURA MÁXIMA DE 50 PULGADAS, CON BANDA FLUORESCENTE VISIBLE EN LA OSCURIDAD</t>
  </si>
  <si>
    <t>ANDADERA METÁLICA ESTÁNDAR PARA ADULTO, SIN RUEDAS, PLEGABLE, CON BROCHE DE SEGURIDAD A CADA LADO Y DISEÑO DE DOBLE PLEGADO, ALTURA AJUSTABLE, CAPACIDAD PARA PACIENTES DE HASTA 300 LIBRAS DE PESO.</t>
  </si>
  <si>
    <t>BASTÓN DE METAL GRADUABLE DE ALTURA, CON BASE DE CUATRO PUNTOS CON SUSRESPECTIVOS REGATONES, PARA ADULTOS</t>
  </si>
  <si>
    <t>BASTÓN PARA ADULTO, DE MADERA DE DIÁMETRO 7/8" X 36" DE LONGITUD CON SU RESPECTIVO TACO ANTIDESLIZANTE</t>
  </si>
  <si>
    <t>BASTÓN PARA ADULTO, GRADUABLE, DE ALUMINIO CON TACO ANTIDESLIZANTE.</t>
  </si>
  <si>
    <t>CODERA DERECHA PARA MANEJO DE EPICONDILITIS</t>
  </si>
  <si>
    <t>CODERA IZQUIERDA PARA MANEJO DE EPICONDILITIS</t>
  </si>
  <si>
    <t>COJIN DE CÉLULAS DE AIRE, PARA USO EN SILLA DE RUEDAS DE ADULTO, CON SU RESPECTIVA BOMBA MANUAL. ELABORADO EN POLYVINYL O NEOPRENE, CON FORRO IMPERMEABLE.</t>
  </si>
  <si>
    <t>COJIN DE GEL PARA USO EN SILLA DE RUEDAS PARA ADULTOS</t>
  </si>
  <si>
    <t>COLCHÓN DE AGUA, ANTIESCARAS.</t>
  </si>
  <si>
    <t>COLCHONETA DE ESPUMA ORTOPÉDICA, DE 1.83 X 0.75 M Y 4" DE ESPESOR</t>
  </si>
  <si>
    <t>MEDIAS DE LANA PARA PROTECCIÓN DE MUÑÓN DE AMPUTADO</t>
  </si>
  <si>
    <t>PAR DE MULETAS AJUSTABLES DE METAL, PARA ADULTO, CON TACOS  ANTIDESLIZANTES INCORPORADOS.</t>
  </si>
  <si>
    <t>PAR DE MULETAS AJUSTABLES, DE MADERA, PARA ADULTO, CON TACOS ANTIDESLIZANTES INCORPORADOS.</t>
  </si>
  <si>
    <t>PAR DE MULETAS TIPO CANADIENSES REGULABLES DE ALTURA, PARA ADULTOS, CON REGATONES DE HULE.</t>
  </si>
  <si>
    <t>OREJERAS PARA EQUIPO DE ELECTROMIOGRAFÍA</t>
  </si>
  <si>
    <t>PLACA DE FIELTRO PARA ELECTRODO DE EQUIPO DE DIATERMIA, REUTILIZABLE</t>
  </si>
  <si>
    <t>PLANTILLA DE SILICÓN, COMPLETA, DIFERENTES TALLAS</t>
  </si>
  <si>
    <t>PAR DE PLANTILLAS PARA ESPOLÓN CALCÁNEO CON LIBERACIÓN DE PRESIÓN A NIVEL DE TALÓN, TALLA L.</t>
  </si>
  <si>
    <t>PAR DE PLANTILLAS PARA ESPOLÓN CALCÁNEO CON LIBERACIÓN DE PRESIÓN A NIVEL DE TALÓN, TALLA M.</t>
  </si>
  <si>
    <t>PAR DE PLANTILLAS PARA ESPOLÓN CALCÁNEO CON LIBERACIÓN DE PRESIÓN A NIVEL DE TALÓN, TALLA S.</t>
  </si>
  <si>
    <t>REGATON DE HULE PARA MULETA, ANDADERA O BASTÓN DE METAL, DIFERENTES DIÁMETROS</t>
  </si>
  <si>
    <t>RODILLERA DE NEOPRENE TALLA LARGE, PARA AMBAS RODILLAS, CON LOCALIZADOR DE RÓTULA</t>
  </si>
  <si>
    <t>RODILLERA DE NEOPRENE TALLA "M", CON LOCALIZADOR DE RÓTULA</t>
  </si>
  <si>
    <t>SILLA DE RUEDAS MANUAL PARA ADULTO, CHASIS DE METAL PLEGABLE, TAPICERIA DE FÁCIL LIMPIEZA, RESISTENTE A 200 LIBRAS O MÁS, RUEDAS DE LANTERASMACIZAS DE 6" A 8", RUEDAS TRASERAS MACIZAS DE 24", RIN METÁLICO O DEPLÁSTICO Y ARO IMPULSADOR METÁLICO,  FRENO CON ZAPATA, APOYA BRAZOS DESMONTABLES</t>
  </si>
  <si>
    <t>SOPORTE ARTICULAR DE RODILLA TALLA "M", FABRICADA EN NEOPRENE, CON BARRAS LATERALES DE ALUMINIO Y SUJETADORES, QUE PERMITA MOVIMIENTO DE FLEXIÓN-EXTENSIÓN</t>
  </si>
  <si>
    <t>TALONERA PARA USO EN ESPOLÓN CALCÁNEO TALLA 1, NÚMERO DE ZAPATO 5 L -7 L</t>
  </si>
  <si>
    <t>TALONERA PARA USO EN ESPOLÓN CALCÁNEO TALLA 2, NÚMERO DE ZAPATO 8 L -10 L</t>
  </si>
  <si>
    <t>TALONERA PARA USO EN ESPOLÓN CALCÁNEO TALLA 3, NÚMERO DE ZAPATO 8M - 10M</t>
  </si>
  <si>
    <t>PLANTILLA DE SILICÓN COMPLETA, CON ARCO MEDIAL Y OLIVA RETROCAPITAL, TALLA M. PAR</t>
  </si>
  <si>
    <t>SILLA DE RUEDAS PARA ADULTO CUADRIPLÉJICO, CHASIS DE METAL PLEGABLE, RESPALDO ALTO, RECLINABLE, CON O SIN APOYA CABEZAS (A REQUERIMIENTO DEMÉDICO TRATANTE), BANDA DE SOSTEN A NIVEL TORÁCICO Y ABDOMINAL, TAPICERÍA DE FÁCIL LIMPIEZA, CAPACIDAD PARA TRANSPORTAR PACIENTES DE 250 LIBRAS O MÁS. RUEDAS DELANTERAS MACIZAS DE 8 PULGADAS Y RUEDAS TRASERAS SÓLIDAS DE 24 PULGADAS, RIN METÁLICO O PLÁSTICO, ARO IMPULSADOR METÁLICO, CON O SIN PROYECCIONES (A REQUERIMIENTO DE MÉDICO TRATANTE), FRENO</t>
  </si>
  <si>
    <t>PAR DE PLANTILLAS DE SILICÓN COMPLETA, CON ARCO MEDIAL Y OLIVA RETROCAPITAL, TALLA L.</t>
  </si>
  <si>
    <t>RODILLERA DE NEOPRENE TALLA "S", CON LOCALIZADOR DE RÓTULA</t>
  </si>
  <si>
    <t>SILLA DE RUEDAS MANUAL PARA ADULTO, QUE SOPORTE PACIENTES CON PESO ENTRE 250 A 400 LB, ASIENTO AMPLIO, CHASIS DE METAL PLEGABLE, TAPICERÍA DE FÁCIL LIMPIEZA, RUEDAS DELANTERAS MACIZAS DE 6" A 8", RUEDAS TRASERAS MACIZAS DE 24", RIN METÁLICO O DE PLÁSTICO Y ARO IMPULSADOR METÁLICO,FRENO CON ZAPATA, APOYA BRAZOS DESMONTABLES O ABATIBLES, APOYA PIESABATIBLES Y REGULABLES EN ALTURA, CON GOMA ANTIDESLIZANTE Y BANDA DE NYLON PARA PIERNAS</t>
  </si>
  <si>
    <t>ANDADERA METÁLICA ESTÁNDAR PARA ADULTO, CON RUEDAS, PLEGABLE, CON BROCHE DE SEGURIDAD A CADA LADO Y DISEÑO DE DOBLE PLEGADO, ALTURA AJUSTABLE, CAPACIDAD PARA PACIENTES DE HASTA 300 LIBRAS DE PESO.</t>
  </si>
  <si>
    <t>MEDIA DE GEL Y ALGODÓN PARA MUÑÓN DE MIEMBRO INFERIOR</t>
  </si>
  <si>
    <t>GEL ADHESIVA PARA ELECTRODO (FCO.14 - 17 ONZAS)</t>
  </si>
  <si>
    <t>ALMOHADILLAS DE FIELTRO DE REEMPLAZO DE 7MM, COMPATIBLES CON ELECTRODOS DE ESTIMULACIÓN DE SUPERFICIE DE MANO.</t>
  </si>
  <si>
    <t>CREMA PARA ADHERIR ELECTRODOS, TUBO DE 75-100 GRAMOS</t>
  </si>
  <si>
    <t>FUNDA PROTECTORA PARA CABLES DE ELECTRODOS DE 120 CM APROXIMADAMENTE</t>
  </si>
  <si>
    <t>SENSOR DE MICRÓFONO PARA DETECTAR RONQUIDO PARA ESTUDIO CONTINUO DEL SUEÑO.</t>
  </si>
  <si>
    <t>CINTA GRADUADA RADIOPACA DE 0-30 CM. APROXIMADAMENTE ADHERIBLE</t>
  </si>
  <si>
    <t>DETERGENTE ENZIMATICO PARA LIMPIEZA DE INSTRUMENTAL QUIRÚRGICO Y ENDOSCOPICO,PRESENTACIÓN:GALÓN</t>
  </si>
  <si>
    <t>DETERGENTE ENZIMATICO PARA LIMPIEZA DE INSTRUMENTAL QUIRÚRGICO Y ENDOSCOPICO, PRESENTACIÓN IGUAL O MENOR A 1 LITRO.</t>
  </si>
  <si>
    <t>TERMÓMETRO DIGITAL DE OIDO CON BATERÍA REEMPLAZABLE</t>
  </si>
  <si>
    <t>TERMÓMETRO DIGITAL AXILAR CON BATERIA REEMPLAZABLE</t>
  </si>
  <si>
    <t>OJO ESQUEMÁTICO ÁFACO PARA IMPLANTE DE LENTE ESCLERAL</t>
  </si>
  <si>
    <t>MARTILLO PARA EXAMINACIÓN DE REFLEJOS Y SENSIBILIDAD EN ADULTO. MANGOERGONOMICO, METÁLICO.</t>
  </si>
  <si>
    <t>GEL PARA USO EN ULTRASONOGRAFÍA DIAGNÓSTICA. LITRO</t>
  </si>
  <si>
    <t>PARAFINA EN MARQUETA DE 6- 10 KGS. KILOGRAMO</t>
  </si>
  <si>
    <t>PASTA CONDUCTIVA PARA ESTUDIOS DE ELECTROFISIOLOGÍA.</t>
  </si>
  <si>
    <t>GEL ABRASIVA PARA PREPARACIÓN DE PIEL PARA ESTUDIOS NEUROFISIOLÓGICOS</t>
  </si>
  <si>
    <t>JALEA LUBRICANTE DE USO MÉDICO PARA DILATACIÓN, pH NEUTRO, CONTENIDO DE 5 - 8 ONZAS. DISPENSADOR</t>
  </si>
  <si>
    <t>OJO ESQUEMÁTICO ÁFACO PARA IMPLANTE DE LENTE INTRAOCULAR Y ANILLOS DETENSIÓN CAPSULAR</t>
  </si>
  <si>
    <t>OJO ESQUEMÁTICO DE VITRECTOMÍA ANTERIOR</t>
  </si>
  <si>
    <t>OJO ESQUEMÁTICO PARA CAPSULORREXIS</t>
  </si>
  <si>
    <t>OJO ESQUEMÁTICO PARA FACOEMULSIFICACIÓN</t>
  </si>
  <si>
    <t>JALEA LUBRICANTE ESTÉRIL, DE USO MÉDICO, PARA DILATACIÓN, PH EQUILIBRADO. CONTENIDO EN GRAMOS. SOBRE.</t>
  </si>
  <si>
    <t>SÁBANA TÉRMICA SOBRE CUERPO COMPLETO PARA PACIENTE ADULTO, DESCARTABLE</t>
  </si>
  <si>
    <t>SÁBANA TÉRMICA BAJO CUERPO COMPLETO PARA PACIENTE ADULTO, DESCARTABLE.</t>
  </si>
  <si>
    <t>SÁBANA TÉRMICA SOBRE CUERPO COMPLETO PARA PACIENTE PEDIÁTRICO, DESCARTABLE</t>
  </si>
  <si>
    <t>SÁBANA TÉRMICA BAJO CUERPO COMPLETO PARA PACIENTE PEDIÁTRICO, DESCARTABLE</t>
  </si>
  <si>
    <t>MICROESPONJA DE PVA, TIPO LANZA, ESTÉRIL, CON MANGO, DESCARTABLE</t>
  </si>
  <si>
    <t>LENTE DE CONTACTO PROTÉSICO, IRIS COLOR CAFÉ CLARO, SIN GRADUACIÓN</t>
  </si>
  <si>
    <t>LENTE DE CONTACTO PROTÉSICO, IRIS COLOR CAFÉ OSCURO, SIN GRADUACIÓN</t>
  </si>
  <si>
    <t>BOLSA TÉRMICA PARA MANTENER LA TEMPERATURA CORPORAL EN RECIÉN NACIDOSENTRE 1 KG Y 2.5 KG.</t>
  </si>
  <si>
    <t>BOLSA TÉRMICA PARA MANTENER LA TEMPERATURA CORPORAL EN RECIÉN NACIDOSMENORES DE 1KG.</t>
  </si>
  <si>
    <t>ADAPTADOR PARA FIJADOR DE CRÁNEO, PARA SER UTILIZADO CON MARCO PARA ESTEREOTÁXICA DE SISTEMA ISOCÉNTRICO</t>
  </si>
  <si>
    <t>VENTOSA O CAMPANA PARA PARTO VAGINAL ASISTIDO CON BOMBA AL VACÍO, DE UN SOLO USO, ESTÉRIL.</t>
  </si>
  <si>
    <t>PAPEL TÉRMICO PARA IMPRESORA DE TIMPANÓMETRO</t>
  </si>
  <si>
    <t>RADIOVISIOGRAFO INTRAORAL PARA SISTEMA DE RAYOS "X" DIGITAL PARA ODONTOLOGÍA TAMAÑO 24-28 MM X 36-39 MM</t>
  </si>
  <si>
    <t>CEPILLO DE LIMPIEZA PARA UTILIZAR EN ENDOSCOPIO FLEXIBLE, DESCARTABLE.</t>
  </si>
  <si>
    <t>REGULADOR DE NITROGENO CGA 580, PRESION DE SALIDA AJUSTABLE</t>
  </si>
  <si>
    <t>FUENTE DE CS 137, 200 uCi SE UTILIZA PARA REALIZAR EL CONTROL DE CALIDAD, VERIFICACIÓN DE ESTABILIDAD, CONSTANCIA Y EXACTITUD DEL CA LIBRADOR DE ISÓTOPOS Y GARANTIZAR LAS DOSIS DE ACTIVIDAD ADMINISTRADAS A LOSPACIENTES</t>
  </si>
  <si>
    <t>PAPOOSE (INMOVILIZADOR PARA CONTROL DE PACIENTE, RESTRICCIÓN DE PACIENTE)</t>
  </si>
  <si>
    <t>LENTE DE PROTECCIÓN PARA LÁMPARA DE FOTOCURADO</t>
  </si>
  <si>
    <t>GUANTE DE VINIL, ANTIALÉRGICO, TALLA M</t>
  </si>
  <si>
    <t>MASCARILLA QUIRÚRGICA DESCARTABLE</t>
  </si>
  <si>
    <t>LENTES DE PROTECCIÓN DE BAJA POTENCIA PARA TERAPIA DE LÁSER</t>
  </si>
  <si>
    <t>LENTES DE PROTECCIÓN DE ALTA POTENCIA PARA TERAPIA DE LÁSER</t>
  </si>
  <si>
    <t>DELANTAL PLOMADO DE CUERPO ENTERO, DE 0.5 - 0.7 MM DE PLOMO O EQUIVALENTE, COMPUESTO DE CHALECO Y FALDA, FLEXIBLE</t>
  </si>
  <si>
    <t>EQUIPO DE PROTECCIÓN RADIOLÓGICA LIBRE DE PLOMO, ULTRALIVÍANO Y FLEXIBLE QUE INCLUYA: CHALECO, FALDA Y CUELLO PARA PROTECCIÓN FRONTAL Y POSTERIOR</t>
  </si>
  <si>
    <t>GABACHÓN ESTÉRIL, MANGA LARGA CON PUÑOS AJUSTABLES, IMPERMEABLE, DIFERENTES TALLAS. DESCARTABLE</t>
  </si>
  <si>
    <t>TRAJE PARA CIRUJANO, TALLA S, QUE CONTENGA: PANTALÓN Y CAMISA MANGA CORTA, GORRO, MASCARILLA Y UN PAR DE ZAPATERAS, NO ESTÉRIL, DESCARTABLE,KIT.</t>
  </si>
  <si>
    <t>TRAJE PARA CIRUJANO, TALLA M, QUE CONTENGA: PANTALÓN Y CAMISA MANGA CORTA, GORRO, MASCARILLA Y UN PAR DE ZAPATERAS, NO ESTÉRIL, DESCARTABLE,KIT.</t>
  </si>
  <si>
    <t>TRAJE PARA CIRUJANO, TALLA L, QUE CONTENGA: PANTALÓN Y CAMISA MANGA CORTA, GORRO, MASCARILLA Y UN PAR DE ZAPATERAS. NO ESTÉRIL, DESCARTABLE,KIT.</t>
  </si>
  <si>
    <t>TRAJE PARA CIRUJANO, TALLA XL O SUPERIOR, QUE CONTENGA: PANTALÓN Y CAMISA MANGA CORTA, GORRO, MASCARILLA Y UN PAR DE ZAPATERAS. NO ESTÉRIL ,DESCARTABLE, KIT.</t>
  </si>
  <si>
    <t>PROTECTOR BUCAL PARA BRONCOSCOPÍA FLEXIBLE, REUTILIZABLE</t>
  </si>
  <si>
    <t>PROTECTOR BUCAL PARA BRONCOSCOPÍA RÍGIDA, REUTILIZABLE.</t>
  </si>
  <si>
    <t>VENTANA DE PROTECCIÓN PARA EQUIPO LÁSER DE ALTA POTENCIA</t>
  </si>
  <si>
    <t>BARNIZ FLUORADO DE CONTACTO PROLONGADO, A BASE DE IONOMERO DE VIDRIO.FOTOPOLIMERIZABLE</t>
  </si>
  <si>
    <t>CEMENTO SELLADOR A BASE DE RESINAS PLÁSTICAS O A BASE DE HIDRÓXIDO DECALCIO SIN EUGENOL PARA CANALES RADICULARES SET.</t>
  </si>
  <si>
    <t>EDTA ÁCIDO ETILENDIAMINOTETRAACETICO). FRASCO</t>
  </si>
  <si>
    <t>PUNTAS DE GUTAPERCHA ACCESORIA FINA MEDIANA</t>
  </si>
  <si>
    <t>PUNTAS DE GUTAPERCHA ACCESORIA MEDIANA FINA</t>
  </si>
  <si>
    <t>PUNTAS DE GUTAPERCHA PRINCIPALES TAPER 0.04   ENTRE EL  RANGO DEL 15 AL 45</t>
  </si>
  <si>
    <t>PUNTAS DE GUTAPERCHA DEL 15 AL 40; CAJA</t>
  </si>
  <si>
    <t>PUNTAS DE GUTAPERCHA DEL 45 AL 80; CAJA</t>
  </si>
  <si>
    <t>SISTEMA PARA FIJACIÓN TIPO ANCLA O TORNILLO METÁLICO AUTOROSCANTE DE 2.0 MM A 3.0 MM DE DIÁMETRO X 4MM A 7MM DE LONGITUD, CON SUTURA DE POLIETILENO REABSORBIBLE  2-0 A 4-0</t>
  </si>
  <si>
    <t>HILO DE ALAMBRE PARA HUESO DE 0.40 MM DE DIÁMETRO, ROLLO</t>
  </si>
  <si>
    <t>HILO DE ALAMBRE PARA HUESO DE 0.50 MM DE DIÁMETRO, ROLLO</t>
  </si>
  <si>
    <t>RESINA FLUIDA DE BAJA VISCOSIDAD, COLOR A3, FOTOPOLIMERIZABLE, JERINGA</t>
  </si>
  <si>
    <t>ÁCIDO GRABADOR DE ESMALTE EN GEL RESINAS COMPOSITAS, JERINGA PRELLENADA</t>
  </si>
  <si>
    <t>ADHESIVO PARA RESINA COMPOSITA DE FOTOCURADO; FRASCO</t>
  </si>
  <si>
    <t>BASE PROTECTORA PULPAR (IONOMERO DE VIDRIO) DE FOTOCURADO; SET</t>
  </si>
  <si>
    <t>CEMENTO DE HIDRÓXIDO DE CALCIO EN PASTA, DE AUTOCURADO O FOTOPOLIMERIZABLE</t>
  </si>
  <si>
    <t>HIDRÓXIDO DE CALCIO QUÍMICAMENTE PURO, EN POLVO; FRASCO</t>
  </si>
  <si>
    <t>RESINA COMPOSITA FOTOPOLIMERIZABLE, COLOR A3. JERINGA PRELLENADA</t>
  </si>
  <si>
    <t>RESINA COMPOSITA FOTOPOLIMERIZABLE, COLOR A3.5. JERINGA PRELLENADA</t>
  </si>
  <si>
    <t>RESINA COMPOSITA PARA PIEZAS ANTERIORES Y POSTERIORES, FOTOPOLIMERIZABLE, EN JERINGAS DE COLOR: A2-A3-A3.5 Y B2 O COMBINACIÓN DE ESTOS (COMOMÍNIMO 4), CON ÁCIDO GRABADOR EN GEL, ADHESIVO Y SUS RESPECTIVOS APLICADORES. SET</t>
  </si>
  <si>
    <t>HIDRÓXIDO DE CALCIO EN PASTA, RADIOPACA, JERINGA</t>
  </si>
  <si>
    <t>ADHESIVO UNIVERSAL PARA RESINA COMPOSITA DE FOTOCURADO</t>
  </si>
  <si>
    <t>SELLANTE DE FOSAS Y FISURAS FOTOPOLIMERIZABLE, COMPUESTO POR AL MENOSDOS JERINGAS, ÁCIDO GRABADOR Y APLICADORES O PINCELES. SET</t>
  </si>
  <si>
    <t>MATERIAL DE OBTURACIÓN TIPO ALCASITE, DE AUTOCURADO Y CON OPCIÓN DE FOTOPOLIMERIZACIÓN PRESENTACIÓN POLVO Y LÍQUIDO, COLOR A2, SET</t>
  </si>
  <si>
    <t>RESINA COMPOSITA DE APLICACIÓN EN BLOQUE COLOR A1; JERINGA</t>
  </si>
  <si>
    <t>RESINA COMPOSITA DE APLICACIÓN EN BLOQUE COLOR A2; JERINGA</t>
  </si>
  <si>
    <t>RESINA COMPOSITA DE APLICACIÓN EN BLOQUE COLOR A3; JERINGA</t>
  </si>
  <si>
    <t>APÓSITO DE COLÁGENO REABSORBIBLE PARA ALVEOLO POST EXTRACCIÓN</t>
  </si>
  <si>
    <t>SISTEMA DE PULIDO DE RESINA DE PUNTAS DE SILICONA Y MICROPARTÍCULAS ABRASIVAS. SET</t>
  </si>
  <si>
    <t>RESINA COMPOSITA DE APLICACIÓN EN BLOQUE PARA PIEZAS POSTERIORES, FOTOPOLIMERIZABLE, EN JERINGAS DE COLOR A2, A3, C2, IVA, IVB, IVW, COMO MÍNIMO 3 JERINGAS Y DOS COLORES DIFERENTES; DEBE INCLUIR: ÁCIDO GRABADOREN GEL, ADHESIVO UNIVERSAL Y SUS RESPECTIVOS APLICADORES. SET</t>
  </si>
  <si>
    <t>HUESO LIOFILIZADO DE ALOINJERTO, PARA TRATAMIENTO DE DEFECTOS ÓSEOS. DE 0.25 CC</t>
  </si>
  <si>
    <t>HUESO LIOFILIZADO DE ALOINJERTO, PARA TRATAMIENTO DE DEFECTOS ÓSEOS. DE 0.5 CC.</t>
  </si>
  <si>
    <t>MEMBRANA DE REGENERACIÓN TISULAR REABSORBIBLE PARA USO PERIODONTAL; 15X 20 MM</t>
  </si>
  <si>
    <t>CEMENTO PARA OBTURACIÓN TEMPORARIA</t>
  </si>
  <si>
    <t>CEMENTO TRIOXIDO MINERAL AGREGADO; SET</t>
  </si>
  <si>
    <t>SISTEMA DE PULIDO DE RESINA DE DISCOS MICROPARTÍCULAS ABRASIVAS. SET</t>
  </si>
  <si>
    <t>CEMENTO DE FOSFATO DE ZINC POLVO Y LÍQUIDO</t>
  </si>
  <si>
    <t>CEMENTO DE OXIDO DE ZINC CON EUGENOL POLVO Y LÍQUIDO</t>
  </si>
  <si>
    <t>RESINA FLUIDA DE BAJA VISCOSIDAD COLOR A2 FOTOPOLIMERIZABLE, JERINGA</t>
  </si>
  <si>
    <t>IONOMERO DE VIDRIO RESTAURATIVO PARA PIEZAS POSTERIORES CONVENCIONAL DE ALTA RESISTENCIA AL DESGASTE</t>
  </si>
  <si>
    <t>RESINA COMPOSITA FOTOPOLIMERIZABLE, COLOR A2</t>
  </si>
  <si>
    <t>PASTA PREMEZCLADA DE HIDRÓXIDO DE CALCIO CON YODOFORMO PARA EL TRATAMIENTO DE CANALES RADICULARES. JERINGA</t>
  </si>
  <si>
    <t>BARNIZ DE FLUORURO DE SODIO AL 5% (EN EL RANGO DE 22600 PPM DE FLÚOR),PRESENTACIÓN TUBO O CAJA DE 50 MONODOSIS</t>
  </si>
  <si>
    <t>APOSITO ADHESIVO TRANSPARENTE DE POLIURETANO IMPERMEABLE, DIMENSIONESDE 8 A 9 CM X 11 A 12 CM CON MARCO DE APLICACIÓN, BORDE REFORZADO DE TELA SUAVE Y TIRAS ESTÉRILES DE SUJECIÓN, CON ALMOHADILLA INTEGRADA DEGEL TRANSPARENTE DE GLUCONATO DE CLORHEXIDINA AL 2%, LIBRE DE LÁTEX, EMPAQUE INDIVIDUAL, ESTÉRIL</t>
  </si>
  <si>
    <t>VENDA DE GASA, PRE-LAVADA DE ALGODÓN, ENTRE 10-12CM DE ANCHO Y 4 A 5 YARDAS DE LARGO, IMPREGNADA CON AGENTE O SOLUCIÓN ANTIMICROBIANA, EMPAQUE INDIVIDUAL, ESTÉRIL</t>
  </si>
  <si>
    <t>DISCO DE ESPUMA PARA PROTECCIÓN DE SITIO DE INCERSIÓN O SALIDA DE PINDE TUTOR EXTERNO, IMPREGNADO CON AGENTE O SOLUCIÓN ANTIMICROBIANA, FENESTRADO, EMPAQUE INDIVIDUAL, ESTÉRIL</t>
  </si>
  <si>
    <t>APÓSITO PARA MANEJO DE ÚLCERAS A BASE DE ÁCIDOS GRASOS HIDRÓFOBOS NATURALES, ROLLO ENTRE 2 A 4 CM DE ANCHO Y 50 A 60 CM DE LARGO</t>
  </si>
  <si>
    <t>APÓSITO PARA MANEJO DE ÚLCERAS A BASE DE ÁCIDOS GRASOS HIDRÓFOBOS NATURALES, MALLA ENTRE 5 A 7 CM DE ANCHO Y 9 A 12 CM DE LARGO</t>
  </si>
  <si>
    <t>APÓSITO PARA MANEJO DE ÚLCERAS A BASE DE ÁCIDOS GRASOS HIDRÓFOBOS NATURALES, TORUNDAS PRE-ELABORADAS ENTRE 3 A 4 CM DE DIÁMETRO, CAJA O BOLSA DE 5 TORUNDAS</t>
  </si>
  <si>
    <t>APÓSITO PARA MANEJO DE ÚLCERAS CON CAPA DE SILICONA Y POLIURETANO ABSORBENTE, ENTRE 14 A 16 CM DE ANCHO Y 14 A 16 CM DE LARGO, EMPAQUE INDIVIDUAL, ESTÉRIL</t>
  </si>
  <si>
    <t>APÓSITO PARA MANEJO DE ÚLCERAS CON CAPA DE SILICONA Y POLIURETANO ABSORBENTE, ENTRE 4 A 6 CM DE ANCHO Y 5 A 7 CM DE LARGO, EMPAQUE I NDIVIDUAL, ESTÉRIL</t>
  </si>
  <si>
    <t>APÓSITO PARA EPITELIZACIÓN Y CICATRIZACIÓN DE ÚLCERAS Y HERIDAS, A BASE DE PELÍCULA DE CELULOSA, ENTRE 9 A 11 CM DE ANCHO Y 14 A 16 CM DE LARGO, EMPAQUE INDIVIDUAL, ESTÉRIL</t>
  </si>
  <si>
    <t>GASA QUIRÚRGICA SIMPLE ESTÉRIL, DE 9 A 11 CM X 9 A 11 CM. EMPAQUE O BOLSA SELLADA.</t>
  </si>
  <si>
    <t>CURACIÓN ABDOMINAL RELLENA DE MATERIAL ABSORBENTE, DE 5 A 10 MM DE ESPESOR COMO MÍNIMO Y DE 15 A 30 X 15 A 30 CM, ESTÉRIL, EMPAQUE I NDIVIDUAL</t>
  </si>
  <si>
    <t>GASA QUIRÚRGICA SIMPLE, ELABORADA CON GASA DE 20 X 24 HILOS POR PULGADA CUADRADA U OTRO MATERIAL ABSORBENTE, LIBRE DE PELUSA, DE 6 A 8 PLIEGUES MÍNIMO, CON ESPESOR DE 1 A 5 MM, MEDIDAS DE 9 A 10 X 9 A 10 CM. EMPAQUE INDIVIDUAL, ESTÉRIL</t>
  </si>
  <si>
    <t>APÓSITO ADHESIVO TRANSPARENTE IMPERMEABLE, DIMENSIONES DE 8 A 9 CM X 11 A 12 CM CON MARCO DE APLICACIÓN, BORDE REFORZADO DE TELA SUAVE Y TIRAS ESTÉRILES DE SUJECIÓN, LIBRE DE LÁTEX, EMPAQUE INDIVIDUAL, ESTÉRIL,PARA RECUBRIMIENTO DE CATÉTER DE DIÁLISIS</t>
  </si>
  <si>
    <t>MALLA EXTENDIBLE O RED ELÁSTICA TUBULAR, ELABORADA CON TEJIDO DE MATERIAL SINTÉTICO, 15-18CM DE DIÁMETRO</t>
  </si>
  <si>
    <t>MALLA EXTENDIBLE O RED ELÁSTICA TUBULAR, ELABORADA CON TEJIDO DE MATERIAL SINTÉTICO, 20-25CM DE DIÁMETRO</t>
  </si>
  <si>
    <t>PELÍCULAS ADHESIVAS IMPERMEABLES Y VENTOSA CON TUBERIA DE CONEXIÓN A SISTEMA DE MANEJO DE HERIDAS ASISTIDO POR VACÍO</t>
  </si>
  <si>
    <t>SOLUCIÓN ANTIMICROBIANA CON IONES DE PLATA PARA MANEJO DE ÚLCERAS, ESTÉRIL, FRASCO DE 250 ML</t>
  </si>
  <si>
    <t>APÓSITO ANTIMICROBIANO PARA SITIO DE INSERCIÓN DE ACCESOS VASCULARES,TUBO DE TRAQUEOSTOMÍA O TUBOS DE DRENAJE,  CON RANURA EN T PRECORTADA,ESTÉRIL.</t>
  </si>
  <si>
    <t>COMPRESA PARA CIRUGÍA, CONFECCIONADA CON TELA DE GASA CON TRAMA DE 20X24 HILOS POR PULGADA, DE 6 A 8 CAPAS DE 45 X 15CM, CON ARGOLLA  DE TELA TIPO DACRÓN DE 40 CM Y CON RUEDO DE LA PRENDA DE 1,3CM DE ANCHO CONORILLA REMETIDA, CON CINTA PARA CONTROL RADIOPACO, ABSORVENTE Y RESISTENTE, PRELAVADA, ESTÉRIL Y NO TÓXICO</t>
  </si>
  <si>
    <t>CAMPO ESPECIAL PARA CIRUGÍA, CONFECCIONADA CON TELA DE GASA CON TRAMADE 20 X 24 HILOS POR PULGADA, CON 6 A 8 CAPAS DE 18" X 18" O MA S, CONRUEDO DE LA PRENDA DE 1 PULGADA DE ANCHO CON ORILLA REMETIDA, COSTURAEN"X" CON CINTA PARA CONTROL RADIOPACO, ABSORBENTE Y RES ISTENTE, PRELAVADO Y ESTÉRIL NO TOXICO</t>
  </si>
  <si>
    <t>SOLUCIÓN ANTIMICROBIANA COMPUESTO DE POLIHEXANIDA-BETAÍNA AL 0.1% DE 200-500 MILILITROS</t>
  </si>
  <si>
    <t>HIDROGEL ANTIMICROBIANO COMPUESTO DE POLIHEXANIDA-BETAÍNA AL 0.1%, Y GLICEROL, TUBO  DE 200-500 GRAMOS</t>
  </si>
  <si>
    <t>ESPONJA DE POLIURETANO GRADO MÉDICO, DE 10 A 14 CM X 16 A 20 CM Y ESPESOR DE 3 A 4 CM, ESTÉRIL, HIDROFÓBICA, QUE INCLUYA PELÍCULAS A DHESIVAS SEMI PERMEABLES Y VENTOSAS CON TUBERIA DE CONEXIÓN A SISTEMA DE MANEJO DE HERIDAS ASISTIDO POR VACÍO</t>
  </si>
  <si>
    <t>ESPONJA DE POLIURETANO GRADO MÉDICO, DE 15 A 18 CM X 22 A 28 CM Y ESPESOR DE 3 A 4 CM, ESTÉRIL, HIDROFÓBICA, QUE INCLUYA PELÍCULAS A DHESIVAS SEMI PERMEABLES Y VENTOSAS CON TUBERÍA DE CONEXIÓN A SISTEMA DE MANEJO DE HERIDAS ASISTIDO POR VACÍO</t>
  </si>
  <si>
    <t>ESPONJA DE POLIURETANO GRADO MÉDICO PARA USO INTRA ABDOMINAL, DE 30 A40CM X 22 A 28 CM Y ESPESOR DE 3 A 4 CM, ESTÉRIL, HIDROFÓBICA, QUE INCLUYA PELÍCULAS ADHESIVAS SEMI PERMEABLES Y VENTOSAS CON TUBERÍA DE CONEXIÓN A SISTEMA DE MANEJO DE HERIDAS ASISTIDO POR VACÍO</t>
  </si>
  <si>
    <t>MALLA EXTENDIBLE O RED ELÁSTICA TUBULAR, ELABORADA CON TEJIDO DE MATERIAL SINTÉTICO, 14 CM DE DIÁMETRO</t>
  </si>
  <si>
    <t>ALGODÓN QUIRÚRGICO HIDROFILIZADO 100% PURO, SIN GRUMOS, EMPAQUE INDIVIDUAL. LIBRA</t>
  </si>
  <si>
    <t>APÓSITO DE ALGINATO DE CALCIO DE 8 - 12 CM. X  10 - 20 CM.</t>
  </si>
  <si>
    <t>APÓSITO DE CARBÓN ACTIVADO IMPREGNADO CON PLATA DE 10 - 12 X 10 - 12 CM</t>
  </si>
  <si>
    <t>APÓSITO DE CARBÓN ACTIVADO IMPREGNADO CON PLATA DE 10 - 15 x 19 - 21CM</t>
  </si>
  <si>
    <t>APÓSITO DE COLÁGENO 90 % Y ALGINATO DE CALCIO 10%, DE 10 - 12 X 10 - 12 CM</t>
  </si>
  <si>
    <t>APÓSITO OCLUSIVO HIDROCOLOIDE, DELGADO ENTRE 12,5 - 20 CM DE ANCHO Y 12 ,5 - 20 CM DE LARGO</t>
  </si>
  <si>
    <t>APÓSITO OCLUSIVO HIDROCOLOIDE, DELGADO ENTRE 20 X30 CM DE ANCHO Y 20-30 CM  DE LARGO</t>
  </si>
  <si>
    <t>APÓSITO OCLUSIVO HIDROCOLOIDE, GRUESO ENTRE 12,5 - 20 CM DE ANCHO Y 12,5 - 20 CM DE LARGO</t>
  </si>
  <si>
    <t>APÓSITO OCLUSIVO HIDROCOLOIDE, GRUESO ENTRE 20 - 30 CM  DE ANCHO Y 20- 30 CM DE LARGO</t>
  </si>
  <si>
    <t>APÓSITO OCULAR OVALADO, ESTÉRIL, DE 6.5 - 7.0 X 4.5 - 5.0 CM</t>
  </si>
  <si>
    <t>APÓSITO PRIMARIO NO ADHERENTE DE CELULOSA IMPREGNADO CON PETROLATO DE7.6  X 20.3 CM ± 10%</t>
  </si>
  <si>
    <t>GASA IMPREGNADA CON FUSIDATO DE SODIO AL 2% o CLORHEXIDINA AL 0.5 %, CON NULA O BAJA ADHERENCÍA, ESTÉRIL.</t>
  </si>
  <si>
    <t>GEL HIDROCOLOIDE 100% BIOLÓGICA, TUBO 30 - 50 gr</t>
  </si>
  <si>
    <t>SISTEMA MULTICAPA DE COMPRESIÓN PARA ÚLCERAS VENOSAS QUE CONSTA DE APÓSITO NO ADHERENTE DE 125MM X 225MM ± 10% VENDA DE ABSORCIÓN DE ALGODÓN, VENDAJE DE COMPRESIÓN Y VENDAJE DE COMPRESIÓN COHESIVA.</t>
  </si>
  <si>
    <t>VENDA MEDICADA O BOTA DE UNNA, ENTRE 10 A 10.5 CM DE ANCHO Y ENTRE 9 A10 MT DE LONGITUD</t>
  </si>
  <si>
    <t>GEL HIDROACTIVO ANTIBACTERIANO, 40% DE MIEL GRADO MÉDICO. TUBO ENTRE 40 A 75 GRAMOS</t>
  </si>
  <si>
    <t>GEL HIDROACTIVO ANTIBACTERIANO, MIEL GRADO MÉDICO IGUAL O SUPERIOR AL48%. TUBO ENTRE 40 A 75 GRAMOS</t>
  </si>
  <si>
    <t>APÓSITO HIDROACTIVO PARA MANEJO DE ÚLCERAS, SEMIPERMEABLE CON PELÍCULADE POLIURETANO CON HIDROGEL, CONTENIENDO MIEL GRADO MÉDICO, ENTRE 9 A13 CM DE ANCHO Y 9 A 13 CM DE LARGO, EMPAQUE INDIVIDUAL, ESTÉRIL</t>
  </si>
  <si>
    <t>VENDA COHESIVA Y ELÁSTICA CON DOBLE EFECTO COHESIVO; SOPORTE DE CREPECON MICROPUNTOS ADHESIVOS, EXTENSIBILIDAD APROXIMADA DEL 85 % O MÁS,AUTOADHESIVO PARA CONSEGUIR UNA FIJACIÓN SEGURA Y RESISTENTE.</t>
  </si>
  <si>
    <t>MALLA EXTENDIBLE O RED ELASTICA TUBULAR, ELABORADA CON TEJIDO DE MATERIAL SINTETICO, 2,5 CM DE DIÁMETRO</t>
  </si>
  <si>
    <t>MALLA EXTENDIBLE O RED ELASTICA TUBULAR, ELABORADA CON TEJIDO DE MATERIAL SINTETICO, 5 CM DE DIÁMETRO</t>
  </si>
  <si>
    <t>MALLA EXTENDIBLE O RED ELASTICA TUBULAR, ELABORADA CON TEJIDO DE MATERIAL SINTETICO, 7,5 CM DE DIÁMETROO</t>
  </si>
  <si>
    <t>MALLA EXTENDIBLE O RED ELASTICA TUBULAR, ELABORADA CON TEJIDO DE MATERIAL SINTETICO, 10CM DE DIÁMETRO</t>
  </si>
  <si>
    <t>MALLA EXTENDIBLE O RED ELASTICA TUBULAR, ELABORADA CON TEJIDO DE MATERIAL SINTETICO, 12,5 DE DIÁMETRO</t>
  </si>
  <si>
    <t>APÓSITO DE ESPUMA IMPREGNADO CON POLIHEXAMETILENO DE BIGUANIDA (PHMB)AL 0.5%, ALTAMENTE ABSORVENTE, FLEXIBLE, NO ADHERIBLE, EMPAQUE INDIVIDUAL Y ESTÉRIL TAMAÑO 10X10CM A 20X20CM</t>
  </si>
  <si>
    <t>HILO PARA MARCAPASO</t>
  </si>
  <si>
    <t>FÉRULA PARA MIEMBRO SUPERIOR, ENTRE 35 A 40 DE LARGO X ENTRE 7 Y 10 CMDE ANCHO,DE CAUCHO,MADERA O MELAMINA.</t>
  </si>
  <si>
    <t>FÉRULA PARA MIEMBRO INFERIOR INTERNO, ENTRE 50 A 70 DE LARGO X ENTRE 7Y 10 CM DE ANCHO, DE CAUCHO, MADERA O MELAMINA</t>
  </si>
  <si>
    <t>FÉRULA PARA MIEMBRO INFERIOR EXTERNO, ENTRE 60 A 100 DE LARGO X ENTRE7Y 10 CM DE ANCHO, DE CAUCHO, MADERA O MELAMINA.</t>
  </si>
  <si>
    <t>VENDA ELÁSTICA DE 5 CM DE ANCHO X 2,5 - 4,5 METROS DE LARGO</t>
  </si>
  <si>
    <t>VENDA ELÁSTICA DE 10CM DE ANCHO X 2,5 - 4,5 METROS DE LARGO</t>
  </si>
  <si>
    <t>VENDA ELÁSTICA DE 15CM DE ANCHO X 2,5 - 4,5 METROS DE LARGO</t>
  </si>
  <si>
    <t>CINTA ADHESIVA DE COMPRESIÓN PARA SITIOS DE PUNCIÓN ARTERIAL DE 10 CMO MÁS DE ANCHO</t>
  </si>
  <si>
    <t>SET DE ANCLAJE DE SUTURA  QUE CONTENGA INTRODUCTOR 17 GAUGE, SUTURA DEANCLAJE Y AGUJA INTRODUCTORA DE 12 CM  CON 2 ANCLAS Y QUE CONTENGA GUÍA 0.018 X 50 CM.</t>
  </si>
  <si>
    <t>GEL HEMOSTÁTICA  A BASE DE COLÁGENO CON O SIN TROMBINA, BIO ABSORBIBLEDE ORIGEN PORCINO; BANDEJA ESTÉRIL QUE CONTIENE: 1 JERINGA PRECARGADACON MATRIZ DE GELATINA, 1 JERINGA ESTÉRIL VACÍA, COPA DE TRANSFERENCIA, PUNTA APLICADORA FLEXIBLE Y RÍGIDA. COMPATIBLE CON APLICADOR ENDOSCÓPICO DE 30 CM O MAYOR</t>
  </si>
  <si>
    <t>ESPONJA HEMOSTÁTICA DE GELATINA O COLÁGENO DE 50 A 100 MM X 70 A 125 MM X 10 MM</t>
  </si>
  <si>
    <t>ESPONJA HEMOSTÁTICA DE GELATINA O COLÁGENO DE 50 A 100 MM X 70 A 125 MM X 1 MM</t>
  </si>
  <si>
    <t>ESPONJA HEMOSTÁTICA DE GELATINA O COLÁGENO DE 30 A 50 MM X 80 A 90 MM</t>
  </si>
  <si>
    <t>ESPONJA HEMOSTÁTICO CON GELATINA 50 X 80 MM ABSORBIBLE</t>
  </si>
  <si>
    <t>TIRA HEMOSTÁTICA DE CELULOSA OXIDADA DE 50 A 60 MM X 350 A 400 MM</t>
  </si>
  <si>
    <t>PARCHE DE COLÁGENO ABSORBIBLE SELLANTE DE FIBRINÓGENO Y TROMBINA HUMANA, DE 9 A 10 X 4 A 5 CM, ESTÉRIL</t>
  </si>
  <si>
    <t>CARTUCHO PARA ENGRAPADORA CURVO CORTANTE PARA ACCESO A PELVIS BAJA PARA TEJIDO GRUESO. LINEA DE CORTE NO MENOR DE 40 MM</t>
  </si>
  <si>
    <t>CARTUCHO PARA ENGRAPADORA CURVO CORTANTE PARA ACCESO A PELVIS BAJA PARA TEJIDO REGULAR. LINEA DE CORTE NO MENOR DE 40 MM</t>
  </si>
  <si>
    <t>EXPANSOR DE TEJIDO DE DIFERENTES FORMAS, DE 50 A 200 ML DE VOLUMEN</t>
  </si>
  <si>
    <t>FÉRULA PARA DEDO DE ALUMINIO CON ALMOHADILLA, LONGITUD DE 18" Y 1/2"DEANCHO</t>
  </si>
  <si>
    <t>FÉRULA PARA DEDO DE ALUMINIO CON ALMOHADILLA, LONGITUD DE 18" Y ¾" DEANCHO</t>
  </si>
  <si>
    <t>FÉRULA PARA DEDO DE ALUMINIO CON ALMOHADILLA, LONGITUD DE 18" Y 1" DEANCHO</t>
  </si>
  <si>
    <t>EXPANSOR DE TEJIDO DE DIFERENTES FORMAS, DE 200 A 600 ML DE VOLUMEN</t>
  </si>
  <si>
    <t>IMPLANTE MAMARIO PARA RECONSTRUCCIÓN, VOLUMEN ENTRE 150 A 350 CC</t>
  </si>
  <si>
    <t>IMPLANTE MAMARIO PARA RECONSTRUCCIÓN, VOLUMEN ENTRE 351 A 500 CC</t>
  </si>
  <si>
    <t>MICRO CLIP O CLAMP VASCULAR SIMPLE DE 9 MM DE LONGITUD, DE ACERO INOXIDABLE</t>
  </si>
  <si>
    <t>MICRO CLIP O CLAMP VASCULAR DOBLE CON APROXIMADOR AJUSTABLE 5 X 9 MM,DE ACERO INOXIDABLE</t>
  </si>
  <si>
    <t>MICRO CLIP O CLAMP VASCULAR DOBLE CON APROXIMADOR AJUSTABLE 3 X 4.5 MM,  DE ACERO INOXIDABLE</t>
  </si>
  <si>
    <t>MICRO CLIP O CLAMP VASCULAR SIMPLE DE 6 MM DE LONGITUD,  DE ACERO INOXIDABLE</t>
  </si>
  <si>
    <t>PRÓTESIS BILIAR METÁLICA, AUTOEXPANDIBLE, NO RECUBIERTA, DE 10 MM DE DIÁMETRO Y ENTRE 6 A 10 CM DE LONGITUD</t>
  </si>
  <si>
    <t>PRÓTESIS METÁLICA AUTOEXPANDIBLE PARA DRENAJE DE PSEUDOQUISTE PANCREATICO, QUE PERMITA APOSICIÓN DE ESTRUCTURAS, COMPATIBLE CON UNIDAD ELECTROQUIRÚRGICA.</t>
  </si>
  <si>
    <t>PRÓTESIS METÁLICA AUTOEXPANDIBLE PARA DRENAJE DE PSEUDOQUISTE PANCREATICO, QUE PERMITA APOSICIÓN DE ESTRUCTURAS</t>
  </si>
  <si>
    <t>PRÓTESIS BILIAR TIPO DOBLE COLA DE CERDO, 7 A 12 FRENCH DE DIÁMETRO YENTRE 3 A 10 CM DE LONGITUD</t>
  </si>
  <si>
    <t>PRÓTESIS PANCREÁTICA, 3 A 6 FRENCH DE DIÁMETRO Y ENTRE 3 A 12 CM DE LONGITUD</t>
  </si>
  <si>
    <t>PRÓTESIS BILIAR METÁLICA, AUTOEXPANDIBLE, RECUBIERTA, DE 10 MM DE DIÁMETRO Y ENTRE 6 A 10 CM DE LONGITUD</t>
  </si>
  <si>
    <t>PRÓTESIS BILIAR TIPO AMSTERDAM, 8.5 FRENCH DE DIÁMETRO Y ENTRE 9 A 12CM DE LONGITUD</t>
  </si>
  <si>
    <t>PRÓTESIS BILIAR TIPO AMSTERDAM, PREMONTADA,  8.5 FRENCH DE DIÁMETRO YENTRE 9 A 12 CM DE LONGITUD</t>
  </si>
  <si>
    <t>PRÓTESIS COLONICA AUTOEXPANDIBLE, ENTRE 20 A 30 MM DE EXPANSIÓN Y LONGITUD ENTRE 6 A 8 CM</t>
  </si>
  <si>
    <t>PRÓTESIS BILIAR TIPO COTTON, 8.5 A 12 FRENCH DE DIÁMETRO Y ENTRE 9 A 12 CM DE LONGITUD</t>
  </si>
  <si>
    <t>PRÓTESIS DUODENAL METÁLICA AUTOEXPANDIBLE, DIÁMETRO 22 MM, LONGITUD DE8 A 12 CM,  DE LIBERACION CONTROLADA</t>
  </si>
  <si>
    <t>BANDAS DE OBSTRUCCION TUBARICA (ANILLOS DE YOON), DE SILICONA. PAR</t>
  </si>
  <si>
    <t>ANILLO PROTECTOR DE HERIDA OPERATORIA PARA CIRUGÍA OBSTETRICA Y GINECOLOGICA TRANSABDOMINAL CON ANILLO DE RETRACCIÓN,  ANILLO  PROXIMAL Y ANILLO DISTAL FLEXIBLE PARA FACIL INSERCION. PARA DIÁMETRO  DE INCISIONDE 9 A 15 CM.</t>
  </si>
  <si>
    <t>SISTEMA SELLANTE DE DURAMADRE A BASE DE HIDROGEL SINTETICO, PARA PREVENIR FUGA DE LÍQUIDO CEFALORAQUIDEO EN CRANEO</t>
  </si>
  <si>
    <t>HUESO CORTICAL LIOFILIZADO, DESMINERALIZADO, PARTICULADO, DIFERENTES TAMAÑOS. FRASCO ENTRE 0.25 A 1 CC</t>
  </si>
  <si>
    <t>SISTEMA SELLANTE DE DURAMADRE SINTETICO, PARA PREVENIR FUGA DE LÍQUIDOCEFALORAQUIDEO EN COLUMNA</t>
  </si>
  <si>
    <t>CEMENTO Y DILUYENTE PARA CRANEOPLASTIC.. SET</t>
  </si>
  <si>
    <t>CLIP PARA CUERO CABELLUDO RANEY. CAJA POR DOCE</t>
  </si>
  <si>
    <t>CLIP PARA CUERO CABELLUDO,  MODELO COLONIA, 10 PZS.</t>
  </si>
  <si>
    <t>CLIPS RANEY DE METAL PARA CUERO CABELLUDO</t>
  </si>
  <si>
    <t>HAEMOCLIPS DE TITANIO GRANDE. CAJA DE 200</t>
  </si>
  <si>
    <t>HAEMOCLIPS DE TITANIO MEDIANO EN DISPENSADOR QUE CONTENGA DE 5 A 25 CLIPS</t>
  </si>
  <si>
    <t>HAEMOCLIPS DE TITANIO PEQUEÑO, EN DISPENSADOR QUE CONTENGA DE 5 A 25 CLIPS</t>
  </si>
  <si>
    <t>INJERTO DE DURAMADRE BIOLOGICO DE 4 X 10 CM.</t>
  </si>
  <si>
    <t>INJERTO DE DURAMADRE BIOLOGICO DE6X 14 CM.</t>
  </si>
  <si>
    <t>SILICONA ACEITE INTRAOCULAR, PESO MOLECULAR DE 1000 CENTISTOCK, FRASCODE 7.5 ML A 10 ML</t>
  </si>
  <si>
    <t>SOLUCIÓN TINTADA AZUL TRIPAN PARA INYECCIÓN INTRAOCULAR. VÍAL</t>
  </si>
  <si>
    <t>HIALURONATO DE SODIO 10  MG/ML SOLUCIÓN OFTALMICA, JERINGA PRELLENADADE 0.85 ML</t>
  </si>
  <si>
    <t>BANDA DE SILICÓN CON MANGA PARA CERCLAJE ESCLERAL VARIAS MEDIDAS DE 40Y 41 MM</t>
  </si>
  <si>
    <t>AZUL BRILLANTE G PARA TINCION DE MEMBRANA LIMITANTE INTERNA VÍAL DE 0.5 ML</t>
  </si>
  <si>
    <t>ANILLO DE TINCION CÁPSULAR PARA ESTABILIZAR LA CÁPSULA DE CRISTALINO EN PRESENCÍA DE DEBILIDAD ZONULAR O AUSENCÍAS DE ZONULAS CON MEDIDAS DEDIÁMETRO ABIERTO DE 10 A 14 MM Y DISEÑO DE SECCION CUADRADA</t>
  </si>
  <si>
    <t>SOLUCIÓN DE HIALURONATO DE SODIO AL 3% VISCOELÁSTICO</t>
  </si>
  <si>
    <t>SISTEMA PARA FIJACIÓN TIPO ANCLA DE 5.1 MM A 5.9 MM DE DIÁMETRO PARA REPARO DE MANGUITO ROTADOR, BIOABSORBIBLE, CON 2 SUTURA DE ALTA RESISTENCIA DE 19 A 19.5 CM SIN NUDOS</t>
  </si>
  <si>
    <t>SISTEMA PARA FIJACIÓN CORTICAL PARA REPARO DE LUXACIÓN ACROMIOCLAVICULAR, DOBLE BOTÓN DE TITANIO Y LONGITUD AJUSTABLE, INCLUYE SUTURAS, BROCA Y PASADOR DE SUTURAS</t>
  </si>
  <si>
    <t>ALOINJERTO ÓSEO NO OSTEOCONDRAL, CONGELADO, DE CABEZA FEMORAL</t>
  </si>
  <si>
    <t>ALOINJERTO OSTEOCONDRAL, CONGELADO, DE FÉMUR PROXIMAL DERECHO O IZQUIERDO CON CÁPSULA ARTICULAR Y TENDÓN ABDUCTOR, CON LONGITUD DE 15 A 25 CM</t>
  </si>
  <si>
    <t>ALOINJERTO ÓSEO ESTRUCTURAL, CONGELADO, PARA DIÁFISIS HUMERAL DERECHAO IZQUIERDA, CON LONGITUD DE 10 A 15 CM</t>
  </si>
  <si>
    <t>ALOINJERTO NO OSTEOCONDRAL, CONGELADO, DE TIBIA DISTAL DERECHA O IZQUIERDA, CON LONGITUD DE 15 A 20 CM</t>
  </si>
  <si>
    <t>ALOINJERTO NO OSTEOCONDRAL, CONGELADO, DE FÉMUR DISTAL DERECHO O IZQUIERDO CON LONGITUD DE 15 A 25 CM</t>
  </si>
  <si>
    <t>ALOINJERTO ÓSEO ESTRUCTURAL, CONGELADO, PARA DIÁFISIS FEMORAL DERECHAO IZQUIERDA, CON LONGITUD DE 15 A 20 CM</t>
  </si>
  <si>
    <t>ALOINJERTO ÓSEO ESTRUCTURAL, CONGELADO, PARA DIÁFISIS FEMORAL DERECHAOIZQUIERDA, CON LONGITUD DE 21 A 25 CM</t>
  </si>
  <si>
    <t>CABEZA FEMORAL LIOFILIZADA DE BANCO</t>
  </si>
  <si>
    <t>CEMENTO EN POLVO PARA PRÓTESIS EN ORTOPEDIA. CAJA CONTENIENDO DE 40 A50 GRAMOS</t>
  </si>
  <si>
    <t>CERA PARA HUESOS, ESTÉRIL. CAJA x 24 PIEZAS DE 2.5 GRAMOS CADA UNA</t>
  </si>
  <si>
    <t>HUESO HEMICORTICAL LIOFILIZADO, DE TIBIA, DE 20 CM DE LARGO</t>
  </si>
  <si>
    <t>INJERTO ÓSEO ESPONJOSO HUMANO EN CHIPS, PRESENTACIÓN DE 20 CC</t>
  </si>
  <si>
    <t>INJERTO ÓSEO ESPONJOSO HUMANO LIOFILIZADO, EN TROZOS CUADRADOS DE MÁSO MENOS 1 CM X LADO</t>
  </si>
  <si>
    <t>MALLA DE ACERO INOXIDABLE, PARA SOPORTE DE INJERTO ÓSEO, EN CIRUGÍA DEREVISIÓN DE CADERA Y RODILLA. DIFERENTES MEDIDAS.</t>
  </si>
  <si>
    <t>VENDA DE YESO, SECADO RÁPIDO (NO MAYOR DE 15 MIN.), 8" X 5 YARDAS.</t>
  </si>
  <si>
    <t>VENDA DE YESO, SECADO RÁPIDO (NO MAYOR DE 15 MIN.), 2" X 5 YARDAS.</t>
  </si>
  <si>
    <t>VENDA DE YESO, SECADO RÁPIDO (NO MAYOR DE 15 MIN.), 4" X 5 YARDAS.</t>
  </si>
  <si>
    <t>VENDA DE YESO, SECADO RÁPIDO (NO MAYOR DE 15 MIN.), 6" X 5 YARDAS.</t>
  </si>
  <si>
    <t>VENDAS DE FIBRA DE VIDRIO DE 4" DE ANCHO</t>
  </si>
  <si>
    <t>VENDAS DE FIBRA DE VIDRIO DE 3" DE ANCHO      "</t>
  </si>
  <si>
    <t>ALOINJERTO NO OSTEOCONDRAL CONGELADO DE TIBIA PROXIMAL DERECHO O IZQUIERDO CON LONGITUD DE 15 A 20 CM</t>
  </si>
  <si>
    <t>CEMENTO EN POLVO CON ANTIBIÓTICO PARA PRÓTESIS EN ORTOPEDIA. CAJA DE 40 A 41 GRAMOS Y AMPOLLA DE 20 ML</t>
  </si>
  <si>
    <t>ALOINJERTO ÓSEO ESTRUCTURAL, CONGELADO, PARA DIÁFISIS TIBIAL DERECHA OIZQUIERDA, CON LONGITUD DE 11 A 15 CM</t>
  </si>
  <si>
    <t>PESARIO VAGINAL DE SILICÓN GRADO MÉDICO #2</t>
  </si>
  <si>
    <t>PESARIO VAGINAL DE SILICÓN GRADO MÉDICO #3</t>
  </si>
  <si>
    <t>PESARIO VAGINAL DE SILICÓN GRADO MÉDICO #4</t>
  </si>
  <si>
    <t>PESARIO VAGINAL DE SILICÓN GRADO MÉDICO #5</t>
  </si>
  <si>
    <t>PESARIO VAGINAL DE SILICÓN GRADO MÉDICO #6</t>
  </si>
  <si>
    <t>PESARIO VAGINAL DE SILICÓN GRADO MÉDICO #7</t>
  </si>
  <si>
    <t>SET DE MALLA DE UNA SOLA INCISION PARA INCONTINENCÍA URINARIA FEMENINA</t>
  </si>
  <si>
    <t>SUTURA CATGUT SIMPLE 4/0, AGUJA PUNTA REDONDA, 1/2 CIRCULO, DE 25 A 26MM, HEBRA DE 70 - 75 CM.</t>
  </si>
  <si>
    <t>SUTURA CATGUT SIMPLE 5/0, AGUJA PUNTA REDONDA, 1/2 CIRCULO, DE 25 A 26MM, HEBRA DE 70 - 75 CM.</t>
  </si>
  <si>
    <t>SUTURA CATGUT CRÓMICO 0, SIN AGUJA., HEBRA DE 125 - 150 CM.</t>
  </si>
  <si>
    <t>SUTURA CATGUT CRÓMICO 1,   AGUJA PUNTA ROMA , 1/2 CIRCULO DE 85 - 95 MM, HEBRA DE 70 - 90 CM.</t>
  </si>
  <si>
    <t>SUTURA CATGUT CRÓMICO 2/0, SIN AGUJA., HEBRA DE 125 - 150 CM.</t>
  </si>
  <si>
    <t>SUTURA CATGUT CRÓMICO 2/0, AGUJA PUNTA REDONDA  (AHUSADA) CUERPO REDONDO  1/2 CIRCULO DE 17 - 20 MM. HEBRA DE 70 - 90 CM.</t>
  </si>
  <si>
    <t>CINTA PARA PARENQUIMA, DOBLE AGUJA, 1/2 CIRCULO, PUNTA ROMA DE 85 - 90MM. DE 3 - 4 MM DE ANCHO X 60 - 90 CM DE LARGO.</t>
  </si>
  <si>
    <t>SUTURA CATGUT  CRÓMICO 0,  AGUJA  PUNTA  REDONDA, 1/2 CIRCULO, DE 34 -37 MM, HEBRA  DE 70 - 90 CM.</t>
  </si>
  <si>
    <t>SUTURA CATGUT  CRÓMICO 1,  AGUJA  PUNTA  REDONDA, 1/2 CIRCULO, DE 34 -37 MM, HEBRA  DE 70 - 90 CM.</t>
  </si>
  <si>
    <t>SUTURA CATGUT  CRÓMICO 2/0,  AGUJA  PUNTA  REDONDA, 1/2 CIRCULO, DE 34- 37 MM, HEBRA  DE 70 - 90 CM.</t>
  </si>
  <si>
    <t>SUTURA CATGUT  CRÓMICO 3/0,  AGUJA  PUNTA  REDONDA, 1/2 CIRCULO, DE 25- 27 MM, HEBRA  DE 70 - 90 CM.</t>
  </si>
  <si>
    <t>SUTURA CATGUT  CRÓMICO 3/0,  AGUJA REVERSO CORTANTE, 3/8 CIRCULO DE 19- 25 MM, HEBRA  DE 45 - 75 CM</t>
  </si>
  <si>
    <t>SUTURA CATGUT CRÓMICO 4/0,  AGUJA  PUNTA  REDONDA, 1/2 CIRCULO DE 15 -17 MM, HEBRA  DE 70 - 90 CM.</t>
  </si>
  <si>
    <t>SUTURA CATGUT  CRÓMICO 4/0,  AGUJA  REVERSO CORTANTE, 3/8 CIRCULO, DE15 -19 MM, HEBRA  DE 45 - 75 CM.</t>
  </si>
  <si>
    <t>SUTURA CATGUT CRÓMICO 2/0, AGUJA PUNTA REDONDA, 1/2  CIRCULO DE 25 - 27 MM, HEBRA 70 - 90 CM.</t>
  </si>
  <si>
    <t>SUTURA CATGUT CRÓMICO 1, SIN AGUJA, HEBRA DE 125 - 150 CM.</t>
  </si>
  <si>
    <t>SUTURA CATGUT SIMPLE 2/0, AGUJA 1/2 CIRCULO, 35 A 37 MM,  HEBRA DE 70-  75 CM.</t>
  </si>
  <si>
    <t>SUTURA CATGUT SIMPLE # 2/0, AGUJA PUNTA REDONDA 1/2 CIRCULO, DE 30 - 35 MM, HEBRA DE 60 - 90 CM.</t>
  </si>
  <si>
    <t>SUTURA CATGUT SIMPLE 2/0, AGUJA 3/8 REVERSO CORTANTE, 19 A 24 MM,  HEBRA DE 7 0 - 75 CM.</t>
  </si>
  <si>
    <t>SUTURA CATGUT SIMPLE 3/0, AGUJA PUNTA REDONDA, 1/2 CIRCULO, DE 25 A 26MM, HEBRA DE 70  -  75 CM.</t>
  </si>
  <si>
    <t>SUTURA CATGUT SIMPLE 3/0, SIN AGUJA, HEBRA DE 125 - 150 CM.</t>
  </si>
  <si>
    <t>SUTURA SINTÉTICA ABSORBIBLE MONOFILAR 0/0, AGUJA PUNTA REDONDA 1/2 CIRCULO DE 27 A 37 MM, HEBRA DE 15 CM O MÁS, SUPERFICIE CON DENTACIONES UNIDIRECCIONALES, CON ASA DISTAL.</t>
  </si>
  <si>
    <t>SUTURA SINTÉTICA ABSORBIBLE MONOFILAR 3/0, AGUJA PUNTA REDONDA, 1/2 CÍRCULO DE 25-28 MM, HEBRA DE 20-30 CM, SUPERFICIE CON DENTICIO NES UNIDIRECCIONALES, CON ASA DISTAL.</t>
  </si>
  <si>
    <t>SUTURA SINTÉTICA ABSORBIBLE MONOFILAR 2/0, AGUJA PUNTA REDONDA, HEBRADE 20 A 30 CM, SUPERFICIE CON DENTACIONES UNIDIRECCIONALES, CON ASA DISTAL.</t>
  </si>
  <si>
    <t>SUTURA SINTÉTICA ABSORBIBLE  MONOFILAR 6/0 DOBLE  AGUJA  PUNTA  REDONDA 3/8  DE  CIRCULO  DE 12-13 MM, HEBRA  DE 60-90 CMS.</t>
  </si>
  <si>
    <t>SUTURA SINTÉTICA ABSORBIBLE MONOFILAR 5/0, DOBLE AGUJA PUNTA REDONDA 3/8 DE CIRCULO DE 13-15 MM, HEBRA DE 60-90 CMS.</t>
  </si>
  <si>
    <t>SUTURA SINTÉTICA ABSORBIBLE MULTIFILAMENTO, RECUBIERTA, CALIBRE 4 - 0,CON HEBRA DE 45 - 60 CM DE LARGO AGUJA DE CUERPO ESTRÍADO LONGITUDINAL, DE ACERO INOXIDABLE, CON PUNTA REVERSO CORTANTE CURVATURA DE 3/8 DECIRCULO CON CUERPO DE 1.1 - 1.6 CM.</t>
  </si>
  <si>
    <t>SUTURA SINTÉTICA ABSORBIBLE MULTIFILAMENTO, RECUBIERTA, CALIBRE 6-0 CON HEBRA DE 45 - 60 CM DE LARGO AGUJA DE CUERPO ESTRÍADO LONGITUDINAL,DE ACERO INOXIDABLE, CON PUNTA REVERSO CORTANTE CURVATURA DE 3/8 DE CIRCULO CON CUERPO DE 1.1 - 1.6 CM.</t>
  </si>
  <si>
    <t>SUTURA SINTÉTICA ABSORBIBLE RECUBIERTA 7/0 (ÁCIDO POLIGLICÓLICO) DOBLEAGUJA MICRO PUNTA ESPÁTULADA  1/4 DE CIRCULO DE 6.0-8.0 MM, HEBRA DE30-45 CM.</t>
  </si>
  <si>
    <t>SUTURA SINTÉTICA ABSORBIBLE RECUBIERTA 8/0 (ÁCIDO POLIGLICÓLICO) DOBLEAGUJA MICRO PUNTA ESPÁTULADA  3/4 DE CIRCULO DE 6.0-8.0 MM, HEBRA DE30 - 45 CM.</t>
  </si>
  <si>
    <t>SUTURA SINTÉTICA ABSORBIBLE RECUBIERTA, MULTIFILAMENTO; CALIBRE 5-0 CON HEBRA DE 45 - 60 CM DE LARGO AGUJA DE CUERPO ESTRÍADO LONGITUDINAL,DE ACERO INOXIDABLE, CON PUNTA REVERSO CORTANTE CURVATURA DE 1/2 DE CIRCULO CON CUERPO DE 1.1 - 1.6 CM.</t>
  </si>
  <si>
    <t>SUTURA SINTÉTICA MONOFILAMENTO ABSORBIBLE 2/0 CON AGUJA REDONDA 1/2 CIRCULO DE 24 - 26 MM HEBRA DE 65 - 75 CM.</t>
  </si>
  <si>
    <t>SUTURA SINTÉTICA ABSORBIBLE MONOFILAMENTO POLI-4HIDROXIBUTIRATO,  HEBRA DE 150 CM DE LARGO EN SISTEMA LOOP, AGUJA DE 48 MM, MEDIO CIRCULO PUNTA REDONDA CALIBRE 1</t>
  </si>
  <si>
    <t>SUTURA SINTÉTICA ABSORBIBLE MULTIFILAMENTO RECUBIERTA, CALIBRE 6-0 CONHEBRA DE 45 - 60 CM DE LARGO AGUJA DE CUERPO ESTRÍADO LONGITUDINAL, DE ACERO INOXIDABLE, CON PUNTA REVERSO CORTANTE, CURVATURA DE 3/8 DE CIRCULO CON CUERPO DE 1.1 - 1.5 CM.</t>
  </si>
  <si>
    <t>SUTURA SINTÉTICA ABSORBIBLE RECUBIERTA 0, AGUJA PUNTA REDONDA 1/2 CIRCULO DE 34-37 MM, HEBRA 70-90 CM.</t>
  </si>
  <si>
    <t>SUTURA SINTÉTICA ABSORBIBLE RECUBIERTA 1, AGUJA PUNTA REDONDA MEDIO CIRCULO DE 34 A 37 MILIMETROS, LARGO DE HEBRA DE 70 A 90 CM.</t>
  </si>
  <si>
    <t>SUTURA SINTÉTICA ABSORBIBLE RECUBIERTA 2/0, AGUJA   PUNTA REDONDA 1/2CIRCULO DE  34-37 MM, HEBRA  DE 70-90 CM.</t>
  </si>
  <si>
    <t>SUTURA SINTÉTICA ABSORBIBLE RECUBIERTA 2/0, AGUJA  PUNTA REDONDA 1/2 CIRCULO DE 20-22 MM, HEBRA DE 70-90 CM.</t>
  </si>
  <si>
    <t>SUTURA SINTÉTICA ABSORBIBLE RECUBIERTA 2/0, AGUJA  REVERSO  CORTANTE 1/2 CIRCULO DE 34 - 37 MM, HEBRA  DE 70-90 CM.</t>
  </si>
  <si>
    <t>SUTURA SINTÉTICA ABSORBIBLE RECUBIERTA 2/0, AGUJA  REVERSO CORTANTE 3/8 CIRCULO  DE 24-27 MM, HEBRA  DE 60-90 CM.</t>
  </si>
  <si>
    <t>SUTURA SINTÉTICA ABSORBIBLE RECUBIERTA 3/0, AGUJA  PUNTA REDONDA 1/2 CIRCULO DE 20-22 MM, HEBRA DE 60-90 CM.</t>
  </si>
  <si>
    <t>SUTURA SINTÉTICA ABSORBIBLE RECUBIERTA 3/0, AGUJA  PUNTA REDONDA 1/2 CIRCULO DE 34-37 MM, HEBRA DE 60-90 CM.</t>
  </si>
  <si>
    <t>SUTURA SINTÉTICA ABSORBIBLE RECUBIERTA 4/0, AGUJA  REVERSO CORTANTE 3/8 CIRCULO  DE 12-13 MM, HEBRA DE 45-60 CM.</t>
  </si>
  <si>
    <t>SUTURA SINTÉTICA ABSORBIBLE RECUBIERTA 4/0, AGUJA  REVERSO CORTANTE 3/8 DE CIRCULO  DE 19-24 MM, HEBRA  DE 45-60 CM.</t>
  </si>
  <si>
    <t>SUTURA SINTÉTICA ABSORBIBLE RECUBIERTA 5/0, AGUJA  3/8 DE CIRCULO PUNTA DE PRECISION REVERSO PUNTA CORTANTE DE 11 - 15 MM, HEBRA DE 45-60 CM.</t>
  </si>
  <si>
    <t>SUTURA SINTÉTICA ABSORBIBLE RECUBIERTA 7/0, DOBLE  AGUJA MICROPUNTA ESPÁTULA 3/8 CIRCULO DE  6.0-6.5 MM, HEBRA  45 CM.</t>
  </si>
  <si>
    <t>SUTURA SINTÉTICA ABSORBIBLE RECUBIERTA MONOFILAR 4/0, DOBLE  AGUJA PUNTA REDONDA 1/2 CIRCULO  DE 15-17 MM, HEBRA  DE 60-90 CM.</t>
  </si>
  <si>
    <t>SUTURA SINTÉTICA ABSORBIBLE, RECUBIERTA 3/0, AGUJA REVERSO CORTANTE 3/8 CIRCULO DE 19-24 MM. HEBRA DE 45 - 60 CM.</t>
  </si>
  <si>
    <t>SUTURA SINTÉTICA ABSORBIBLE, RECUBIERTA, CALIBRE 6/0, CON DOBLE AGUJAESPÁTULADA 1/4 DE CIRCULO, DE 8 MM DE LONGITUD, HEBRA DE 40 - 5 0 CM DE LONGITUD.</t>
  </si>
  <si>
    <t>SUTURA SINTÉTICA MONOFILAMENTO ABSORBIBLE 1 CON AGUJA REDONDA 1/2 CIRCULO DE 34 - 37 MM HEBRA DE 60-90 CM.</t>
  </si>
  <si>
    <t>SUTURA SINTÉTICA MONOFILAMENTO ABSORBIBLE 2/0 CON AGUJA REDONDA 1/2 CIRCULO DE 34-37 MM HEBRA DE 60-90 CM.</t>
  </si>
  <si>
    <t>SUTURA SEDA NEGRA TRENZADA 0, AGUJA DE 1/2 DE CIRCULO, PUNTA REDONDA,DE 35-40 MM. HEBRA DE 45-75 CM.</t>
  </si>
  <si>
    <t>SUTURA SEDA NEGRA TRENZADA 4/0, CON AGUJA REDONDA ½ CIRCULO DE 13 A 17MM, HEBRA 45 - 75 CM.</t>
  </si>
  <si>
    <t>SUTURA SEDA NEGRA TRENZADA 5/0, AGUJA 3/8 CIRCULO REVERSO CORTANTE  DE19-20 MM, HEBRA  DE 45-75 CM.</t>
  </si>
  <si>
    <t>SUTURA SEDA NEGRA TRENZADA 7/0,   DOBLE AGUJA MICRO ESPÁTULA 3/8  CIRCULO DE 6.0 - 6.5 MM, HEBRA DE 45 - 60 CM.</t>
  </si>
  <si>
    <t>SUTURA SEDA NEGRA TRENZADA 4/0, DOBLE  AGUJA 3/8 DE  CIRCULO, REVERSOCORTANTE, MICRO PUNTA  DE 12-13 MM, HEBRA DE 45-60 CM.</t>
  </si>
  <si>
    <t>SUTURA SEDA NEGRA TRENZADA 5/0, DOBLE  AGUJA 3/8 DE CIRCULO, REVERSO CORTANTE, DE 12-13 MM, HEBRA DE 45-75 CM.</t>
  </si>
  <si>
    <t>SUTURA SEDA NEGRA TRENZADA 0, SIN AGUJA PRECORTADA DE 10-12 HEBRAS DE60-75 CM DE LARGO.</t>
  </si>
  <si>
    <t>SUTURA SEDA NEGRA TRENZADA 1, AGUJA DE 3/8 DE CIRCULO REVERSO CORTANTEDE 35-40 MM, HEBRA DE 45-75 CM.</t>
  </si>
  <si>
    <t>SUTURA SEDA NEGRA TRENZADA 1, SIN AGUJA PRECORTADA DE 10-12 HEBRAS DE60-75 CM DE LARGO.</t>
  </si>
  <si>
    <t>SUTURA SEDA NEGRA TRENZADA 2/0, AGUJA 1/2 CIRCULO PUNTA REDONDA DE 25-26 MM, HEBRA  DE 75-90 CM.</t>
  </si>
  <si>
    <t>SUTURA SEDA NEGRA TRENZADA 2/0, SIN AGUJA PRECORTADA DE 10-12 HEBRAS DE 60- 75 CM DE LARGO.</t>
  </si>
  <si>
    <t>SUTURA SEDA NEGRA TRENZADA 3/0, AGUJA 1/2 CIRCULO PUNTA  REDONDA  DE15-22 MM, HEBRA DE 75-90 CM.</t>
  </si>
  <si>
    <t>SUTURA SEDA NEGRA TRENZADA 3/0, AGUJA 1/2 CIRCULO PUNTA  REDONDA DE 25-26 MM, HEBRA  DE 75-90 CM.</t>
  </si>
  <si>
    <t>SUTURA SEDA NEGRA TRENZADA 3/0, SIN AGUJA PRECORTADA DE 10-12 HEBRAS DE 60- 75 CM DE LARGO.</t>
  </si>
  <si>
    <t>SUTURA SEDA NEGRA TRENZADA 4/0, AGUJA 3/8 REVERSO CORTANTE DE 19-20 MM, HEBRA DE 45-75 CM.</t>
  </si>
  <si>
    <t>SUTURA SEDA NEGRA TRENZADA 5-0, CON AGUJA REDONDA ½ CIRCULO DE 13 A 17MM, HEBRA 45 - 75 CM.</t>
  </si>
  <si>
    <t>SUTUTRA DE POLIPROPILENO MONOFILAMENTO 5/0, DOBLE AGUJA, PUNTA REDONDADE 15 A 19 MM, HEBRA DE 70 A 90 CM.</t>
  </si>
  <si>
    <t>SUTURA DE POLIPROPILENO MONOFILAMENTO 4/0, DOBLE AGUJA, PUNTA REDONDADE 15 A 19 MM, HEBRA DE 70 A 90 CM, CON ALMOHADILLA DE 6 X 3 MM.</t>
  </si>
  <si>
    <t>SUTURA DE POLIESTER TRENZADO 2/0, CARDIOVASCULAR PARA SUTURA DE VÁLVULA CARDIACA, RECUBIERTO, DOBLE AGUJA MEDIO CIRCULO, PUNTA REDONDA ATRAUMATICA DE 15 A 18 MM, CON ALMOHADILLA DE TEFLÓN DE 3 x 3 x 1.5 MM, HILOS COLOR VERDE Y BLANCO.</t>
  </si>
  <si>
    <t>SUTURA SINTÉTICA NO ABSORBIBLE DE POLIESTER TRENZADO, CALIBRE 2 MM, DOBLE CINTA, HEBRA DE 70 - 80 CM, PARA REPARO DE TENDONES Y LIGAMENTOS</t>
  </si>
  <si>
    <t>SUTURA SINTÉTICA NO ABSORBIBLE DE POLIESTER TRENZADO CON NUCLEO DE POLIETILENO, CALIBRE 2 MM, HEBRA DE 90 - 100 CM, PARA REPARO DE TENDONESY LIGAMENTOS.</t>
  </si>
  <si>
    <t>SET DE MALLA MACROPORA DE POLIPROPILENO DE 1.1 +/- 0.2 CM X 22 CM O MÁS CON SUS DEBIDOS INTRODUCTORES RETROPUBICOS PARA INCONTINENCÍA URINARIA MÁSCULINA O FEMENINA.</t>
  </si>
  <si>
    <t>SET DE MALLA MACROPORA DE POLIPROPILENO DE 1.1 +/- 0.2 CM X 22 CM O MÁS CON SUS DEBIDOS INTRODUCTORES TRANSOBTURADORES PARA INCONTINENCÍA URINARIA MÁSCULINO O FEMENINA</t>
  </si>
  <si>
    <t>ACERO QUIRÚRGICO # 5 CON AGUJA CORTANTE 1/2 CIRCULO, AGUJA ENTRE 45 A65 MM DE LONGITUD, HEBRA ENTRE 40 A 70 CM. SOBRE</t>
  </si>
  <si>
    <t>BANDA QUIRÚRGICA DE ACERO  INOXIDABLE PARA SUTURA DE ESTERNON, CON CIERRE AUTOMÁTICO, AGUJA CORTANTE. SOBRE</t>
  </si>
  <si>
    <t>CINTA DE POLIESTER DE 5 MM. DE ANCHO X 30 X 50 CM DE LARGO. CON DOBLEAGUJA, MEDIO CIRCULO, CUERPO REDONDO, PUNTA ROMA DE 45 MM.</t>
  </si>
  <si>
    <t>MALLA QUIRÚRGICA DE POLIPROPILENO MONOFILAMENTO, CON PORO MAYOR DE 75MICRAS, GROSOR MENOR O IGUAL A 0.022" (0.57 MM), PLANA, DE 20 - 30 X 30- 40 CM PARA REPARO DE CISTO Y RECTOCELE</t>
  </si>
  <si>
    <t>MALLA QUIRÚRGICA DE POLIPROPILENO, PLANA, ENTRE 20 A 30 CM X 30 A 40 CM</t>
  </si>
  <si>
    <t>MALLA QUIRÚRGICA DE POLIPROPILENO, PLANA, MACROPORO, BAJO PESO MOLECULAR, PARA REPARO ABIERTO, MEDIDAS ENTRE 7 A 10 CM X 12 A 15 CM</t>
  </si>
  <si>
    <t>SUTURA DE NYLON 2 MONOFILAMENTO, HEBRA 75 CM CON AGUJA 3/8 DE CIRCULOCORTANTE 75 MM DE LARGO</t>
  </si>
  <si>
    <t>SUTURA DE POLIESTER TRENZADO 2/0, CARDIOVASCULAR PARA SUTURA DE VÁLVULA CARDIACA,RECUBIERTO, DOBLE AGUJA MEDIO CIRCULO, PUNTA REDONDA ATRAUMATICA DE 20 A 26 MM, CON ALMOHADILLA DE TEFLÓN DE 6 x 3 x 1.5 MM, HILOS COLOR VERDE Y BLANCO.</t>
  </si>
  <si>
    <t>SUTURA DE POLIPROPILENO MONOFILAMENTO 5/0, DOBLE AGUJA 1/2  CIRCULO PUNTA REDONDA  TIPO HEMÓSEAL, DE 10 -13 MM, HEBRA  DE 60 - 90 CM</t>
  </si>
  <si>
    <t>SUTURA DE POLIPROPILENO MONOFILAMENTO 6/0, DOBLE AGUJA PARA USO EN TEJIDO VASCULAR, 3/8 CIRCULO, PUNTA REDONDA DE 8-15 MM, HEBRA 60-70 CM.</t>
  </si>
  <si>
    <t>SUTURA DE POLYESTER 2/0  DOBLE AGUJA 1/2 CIRCULO REDONDO DE 22-25 MM,HEBRA DE 60- 90 CM.</t>
  </si>
  <si>
    <t>SET DE PUNTOS DE RETENCIÓN ACERO RECUBIERTO DE 1.3 MM DIAMETRO, DOBLEAGUJA 3/8 DE CIRCULO CORTANTE DE 100 MM, HEBRA DE 75-90 CM Y SUS  RESPECTIVAS PLACAS PLÁSTICAS OVALES.</t>
  </si>
  <si>
    <t>SUTURA SINTÉTICA NO ABSORBIBLE DE POLIESTER TRENZADO, CALIBRE 2/0, DOBLE AGUJA 1/2 CIRCULO, ATRAUMATICA, DE 17 - 22 MM, HEBRA  DE 70  - 80 CM.</t>
  </si>
  <si>
    <t>SUTURA SINTÉTICA NO ABSORBIBLE MONOFILAMENTO DE NYLON, CALIBRE 4/0 CONHEBRA DE 45 - 60 CM DE LARGO, AGUJA DE CUERPO ESTRÍADO LONGITUDINAL DE ACERO INOXIDABLE CON PUNTA REVERSO CORTANTE CURVATURA DE 1/2 CIRCULOCON CUERPO DE 1.1 - 1.6 CM.</t>
  </si>
  <si>
    <t>SUTURA SINTÉTICA NO ABSORBIBLE MONOFILAMENTO DE NYLON, CALIBRE 4/0 CONHEBRA DE 45 - 60 CM DE LARGO, AGUJA DE CUERPO ESTRÍADO LONGITUDINAL DE ACERO INOXIDABLE CON PUNTA REVERSO CORTANTE CURVATURA DE 3/8 CIRCULOCON CUERPO DE 1.1 - 1.5 CM.</t>
  </si>
  <si>
    <t>NYLON MONOFILAMENTO 9/0, AGUJA AHUSADA (NO CORTANTE) 5 MM, PUNTA TROCAR 3/8  DE  CIRCULO, HEBRA DE 8 - 15 CM.</t>
  </si>
  <si>
    <t>NYLON MONOFILAMENTO 10/0, AGUJA AHUSADA (NO CORTANTE) 3 MM, 3/8  DE CIRCULO, HEBRA DE 10 - 15 CM.</t>
  </si>
  <si>
    <t>MALLA QUIRÚRGICA DE POLIPROPILENO MONOFILAMENTO, AMPLIO TAMAÑO DE PORO, DE 20 - 30 X 30 - 40 CM PARA MANEJO DE INCONTINENCÍA URINARIA DE ESFUERZO</t>
  </si>
  <si>
    <t>NYLON MONOFILAMENTO 10/0 DOBLE AGUJA MICROESPÁTULADA 3/8 DE CIRCULO DE6.0-6.5 MM</t>
  </si>
  <si>
    <t>SUTURA SINTÉTICA ABSORBIBLE MONOFILAMENTO 5/0, AGUJA PUNTA CORTANTE 3/8 DE CIRCULO, DE 13 A 15 MM, HEBRA ENTRE 60 A 90 CM, DESCARTABLE.</t>
  </si>
  <si>
    <t>SUTURA SINTÉTICA ABSORBIBLE MONOFILAMENTO 4/0, AGUJA PUNTA CORTANTE 3/8 DE CIRCULO, DE 15 A 17 MM, HEBRA ENTRE 60 A 90 CM, DESCARTABLE.</t>
  </si>
  <si>
    <t>SUTURA SINTÉTICA ABSORBIBLE MONOFILAMENTO 3/0, AGUJA PUNTA CORTANTE 3/8 DE CIRCULO, DE 24 A 26 MM, HEBRA ENTRE 60 A 90 CM, DESCARTABLE.</t>
  </si>
  <si>
    <t>SUTURA DE POLIPROPILENO MONOFILAMENTO 6/0, DOBLE AGUJA PARA USO EN TEJIDO VASCULAR, 3/8 CIRCULO, PUNTA REDONDA DE 8-10 MM, HEBRA 75-90 CM, DESCARTABLE.</t>
  </si>
  <si>
    <t>MALLA O SLING SUBURETERAL TRANSOBTURADOR PARA INCONTINENCIA URINARIA FEMENINA, ELABORADA DE POLIPROPILENO O FLUORURO DE POLIVINILIDENO, TAMAÑO DE PORO MAYOR DE 75 MICRAS, DESCARTABLE, ESTERIL. QUE INCLUYA AGUJAS O SISTEMA DE COLOCACIÓN.</t>
  </si>
  <si>
    <t>SUTURA DE NYLON MONOFILAMENTO 9/0, DOBLE AGUJA MICRO   ESPÁTULA, 3/8 DE CIRCULO, DE 6.0 - 6.5 MM, HEBRA DE 30 - 45 CM, DESCARTABLE.</t>
  </si>
  <si>
    <t>SUTURA DE NYLON MONOFILAMENTO 0, AGUJA 1/2 CIRCULO, PUNTA  REVERSO CORTANTE, HEBRA DE 75-100 CM, DESCARTABLE.</t>
  </si>
  <si>
    <t>SUTURA DE NYLON MONOFILAMENTO 1, AGUJA 3/8 CIRCULO, PUNTA  REVERSO CORTANTE DE 75-90 MM, HEBRA DE 75-100 CM, DESCARTABLE.</t>
  </si>
  <si>
    <t>SUTURA DE NYLON MONOFILAMENTO # 10/0, DOBLE AGUJA, MICRO ESPÁTULA, CORTE LATERAL 3/8 DE CIRCULO DE 6-6.5 MM, HEBRA 30-45 CM, MÁS SEDA 4/0 ,AGUJA MICROPUNTA REVERSO CORTANTE 3/8 DE CIRCULO DE 13 CM, HEBRA DE 30A 45CM, DESCARTABLE.</t>
  </si>
  <si>
    <t>SUTURA DE NYLON MONOFILAMENTO 2/0, CON AGUJA 3/8 DE CIRCULO,  PUNTA  REVERSO CORTANTE DE 24 - 30 MM, HEBRA  DE 45 - 60 CM, DESCARTABLE.</t>
  </si>
  <si>
    <t>SUTURA DE NYLON MONOFILAMENTO 3/0, AGUJA 3/8 CIRCULO, PUNTA   REVERSOCORTANTE DE 19 - 24 MM, HEBRA  DE 45 - 75 CM, DESCARTABLE.</t>
  </si>
  <si>
    <t>SUTURA DE NYLON MONOFILAMENTO 4/0, AGUJA 3/8 CIRCULO, PUNTA DE PRECISIÓN, REVERSO CORTANTE, DE 18 - 19 MM, CON ESTRÍA LONGITUDINAL EN EL CUERPO, HEBRA DE 45 - 60 CM, DESCARTABLE.</t>
  </si>
  <si>
    <t>SUTURA DE NYLON MONOFILAMENTO 5/0, AGUJA 3/8 CIRCULO, PUNTA DE PRECISIÓN REVERSO CORTANTE DE 16 - 19 MM, CON ESTRÍA LONGITUDINAL EN EL CUERPO,  HEBRA DE 45 - 60 CM, DESCARTABLE.</t>
  </si>
  <si>
    <t>SUTURA DE NYLON MONOFILAMENTO 6/0, AGUJA 3/8 CIRCULO, PUNTA DE PRECISIÓN REVERSO CORTANTE DE 11 - 15 MM, CON ESTRÍA LONGITUDINAL EN EL CUERPO,  HEBRA DE 45 - 60 CM, DESCARTABLE.</t>
  </si>
  <si>
    <t>SUTURA DE POLIPROPILENO MONOFILAMENTO 0,  AGUJA 1/2 CIRCULO, PUNTA  REDONDA DE 35-40 MM, HEBRA DE 75-100 CM, DESCARTABLE.</t>
  </si>
  <si>
    <t>SUTURA DE POLIPROPILENO MONOFILAMENTO 3/0, DOBLE AGUJA 1/2 CIRCULO PUNTA REDONDA DE 15 -18 MM, HEBRA  DE 75-90 CM, DESCARTABLE.</t>
  </si>
  <si>
    <t>SUTURA DE POLIPROPILENO MONOFILAMENTO 4/0, DOBLE AGUJA 1/2 CIRCULO, PUNTA REDONDA DE 15 A 24 MM. HEBRA DE 60 A 90 CM, DESCARTABLE.</t>
  </si>
  <si>
    <t>SUTURA DE POLIPROPILENO MONOFILAMENTO 5/0, DOBLE AGUJA 1/2 CÍRCULO PUNTA REDONDA DE 10-13 MM, HEBRA  DE 60-90 CM, DESCARTABLE</t>
  </si>
  <si>
    <t>SUTURA DE POLIPROPILENO MONOFILAMENTO 6/0, DOBLE AGUJA 3/8 CÍRCULO, PUNTA CORTANTE DE 8-10 MM, HEBRA DE 60-90 CM, DESCARTABLE</t>
  </si>
  <si>
    <t>SUTURA DE POLIPROPILENO MONOFILAMENTO 7/0, DOBLE AGUJA 3/8  CÍRCULO PUNTA REDONDA DE 8-10 MM, HEBRA 60-90 CM, DESCARTABLE</t>
  </si>
  <si>
    <t>SUTURA DE SINTÉTICA NO ABSORBIBLE DE POLIPROPILENO CALIBRE 2/0, HEBRADE 60 - 75 CM. DE LONGITUD, AGUJA ATRAUMÁTICA DE 1/2 CIRCULO CON CUERPO DE 2.1 - 2.5 CM, DESCARTABLE.</t>
  </si>
  <si>
    <t>SUTURA MONOFILAMENTO DE POLIPROPILENO 2/0, DOBLE AGUJA 1/2 CIRCULO PUNTA REDONDA DE 25-26 MM, HEBRA  DE 75-90 CM, DESCARTABLE.</t>
  </si>
  <si>
    <t>SUTURA SINTÉTICA NO ABSORBIBLE, MONOFILAMENTO DE NYLON CALIBRE 6/0, CON HEBRA DE 45-60 CM DE LARGO, AGUJA DE CUERPO ESTRÍADO LONGITUDINAL DEACERO INOXIDALBE CON PUNTA REVERSO CORTANTE, CURVATURA DE 3/8 CIRCULOCON CUERPO DE 1.3-1.6 CM, DESCARTABLE.</t>
  </si>
  <si>
    <t>SUTURA SINTÉTICA NO ABSORBIBLE, MONOFILAMENTO DE POLIPROPILENO CALIBRE10/0 CON HEBRA DE 20 CM, DOBLE AGUJA RECTA CORTE LATERAL ESPÁTULADA CON CUERPO DE 16.0 MM, DESCARTABLE.</t>
  </si>
  <si>
    <t>SUTURA DE POLIPROPILENO 3/0, CON ALMOHADILLA, DOBLE AGUJA REDONDA DE 1/2 DE CIRCULO, TAMAÑO DE AGUJA 20 - 26 MM, LONGITUD DE LA HEBRA DE 75-90 CM, DESCARTABLE.</t>
  </si>
  <si>
    <t>SUTURA DE POLIPROPILENO 3/0, DOBLE AGUJA PUNTA REDONDA DE 1/2 DE CIRCULO, TAMAÑO DE AGUJA DE 20 - 26 MM, PARA USO EN TEJIDO VASCULAR, LONGITUD DE HEBRA DE 75-90 CM, DESCARTABLE.</t>
  </si>
  <si>
    <t>SUTURA DE POLIPROPILENO 5/0, DOBLE AGUJA NEGRA O CON REVESTIMIENTO REDONDA DE 1/2 DE CÍRCULO, TAMAÑO DE AGUJA DE 13-17 MM, LONGITUD DE HEBRADE 75-90 CM, DESCARTABLE</t>
  </si>
  <si>
    <t>SUTURA DE POLIPROPILENO  5/0, DOBLE AGUJA REDONDA DE 3/8 DE CIRCULO, PARA USO EN TEJIDO VASCULAR, TAMAÑO DE AGUJA DE 8-13 MM, LONGITUD DE HEBRA DE 75-90 CM, DESCARTABLE.</t>
  </si>
  <si>
    <t>SUTURA DE POLIPROPILENO 5/0, CON ALMOHADILLA, DOBLE AGUJA REDONDA DE 1/2 DE CIRCULA, TAMAÑO DE AGUJA DE 10-13 MM, LONGITUD DE HEBRA DE 60- 90 CM, DESCARTABLE.</t>
  </si>
  <si>
    <t>SUTURA DE POLIPROPILENO 6/0, DOBLE AGUJA REDONDA PUNTA CORTANTE DE 3/8DE CÍRCULO, TAMAÑO DE AGUJA DE 8 - 13 MM, LONGITUD DE HEBRA DE 75 - 90 CM, DESCARTABLE</t>
  </si>
  <si>
    <t>SUTURA DE POLIPROPILENO 6/0, DOBLE AGUJA PUNTA REDONDA NEGRA DE 1/2 CIRCULO, PARA USO EN TEJIDO VASCULAR, TAMAÑO DE AGUJA DE 8 - 13 MM, LONGITUD DE HEBRA DE 60 - 90 CM, DESCARTABLE.</t>
  </si>
  <si>
    <t>SUTURA DE POLIPROPILENO 7/0, DOBLE AGUJA REDONDA, PUNTA CORTANTE DE 3/8 DE CIRCULO, PARA USO EN TEJIDO VASCULAR, TAMAÑO DE AGUJA DE 8 - 13 MM, LONGITUD DE HEBRA DE 60 -70 CM, DESCARTABLE.</t>
  </si>
  <si>
    <t>SUTURA DE POLIPROPILENO 7/0, DOBLE AGUJA REDONDA NEGRA O CON REVESTIMIENTO DE 3/8 DE CÍRCULO, TAMAÑO DE AGUJA DE 8 - 13 MM, LONGITUD DE HEBRA DE 75 - 90 CM, DESCARTABLE</t>
  </si>
  <si>
    <t>SUTURA DE POLIPROPILENO 8/0, DOBLE AGUJA REDONDA DE 3/8 DE CIRCULO, TAMAÑO DE AGUJA DE 8 - 10 MM, LONGITUD DE HEBRA DE 60 - 75 CM, D ESCARTABLE.</t>
  </si>
  <si>
    <t>MALLA O SLING SUBURETRALERAL RETROPUBICA PARA INCONTINENCÍA URINARIA FEMENINA, ELABORADA DE POLIPROPILENO O FLUORURO DE POLIVINILIDENO, TAMAÑO DE PORO MAYOR DE 75 MICRAS, ESTÉRIL. QUE INCLUYA 2 AGUJAS PARA SU COLOCACIÓN, DESCARTABLE.</t>
  </si>
  <si>
    <t>MINI MALLA O MINI SLING SUBURETRALERAL PARA INCONTINENCÍA URINARIA FEMENINA QUE SE INSERTA A MEMBRANA OBTURATRIZ, ELABORADA EN POLIP ROPILENO O FLUORURO DE POLIVINILIDENO, TAMAÑO DE PORO MAYOR A 75 MICRAS, ESTÉRIL. QUE INCLUYA SISTEMA DE COLOCACIÓN, DESCARTABLE.</t>
  </si>
  <si>
    <t>MALLA REAJUSTABLE PARA INCONTINENCÍA URINARIA FEMENINA, ELABORADA EN MONOFILAMENTO DE PROLIPROPILENO, TAMAÑO DE MALLA DE 3.5 X 1.5 CM, ESTÉRIL. QUE INCLUYA SISTEMA DE REAJUSTE DE LA MALLA, DESCARTABLE.</t>
  </si>
  <si>
    <t>LENTE DE MAGNIFICACIÓN PARA CIRUGÍA DE RETINA, CAMPO VISUAL 73°/88°, MAGNIFICACIÓN DE LA IMAGEN: .71X.</t>
  </si>
  <si>
    <t>LENTE DE MAGNIFICACIÓN PARA CIRUGÍA DE RETINA, CAMPO VISUAL 106°/127°,MAGNIFICACIÓN DE LA IMAGEN:  .39X.</t>
  </si>
  <si>
    <t>LENTE DE MAGNIFICACIÓN PARA CIRUGÍA DE RETINA, CAMPO VISUAL 120°/140°,MAGNIFICACIÓN DE LA IMAGEN: .51X, LASER SPOT: 1.97X</t>
  </si>
  <si>
    <t>LENTE DE CONTACTO INDIRECTO, CAMPO DE VISIÓN 70°/84°, MAGNIFICACIÓN 1.06X. PUNTO LÁSER 0.94X.</t>
  </si>
  <si>
    <t>MINI TORNILLO DE TITANIO DE 2.0 X 15 MM.</t>
  </si>
  <si>
    <t>MINI TORNILLO DE TITANIO DE 2.0 X 17 MM.</t>
  </si>
  <si>
    <t>MINI PLACA DE 2.0 MM X 4 ORIFICIOS A DOBLE ESPACIO, LARGO 28 MM APROXIMADO</t>
  </si>
  <si>
    <t>MINI PLACA EN "L" DERECHA DE 4 ORIFICIOS, LARGO 22 X 11 MM.</t>
  </si>
  <si>
    <t>MINI PLACA EN "L" IZQUIERDA DE 2.0 MM X 4 ORIFICIOS, LARGO 22 X 11 MM.</t>
  </si>
  <si>
    <t>MINI PLACA EN "Y" DE 2.0 MM X 4 ORIFICIOS.</t>
  </si>
  <si>
    <t>MINI PLACA EN DOBLE "Y", DE 2.0 MM X 6 ORIFICIOS.</t>
  </si>
  <si>
    <t>MINI TORNILLO DE 2.0 X 10.0 MM.</t>
  </si>
  <si>
    <t>MINI TORNILLO DE 2.0 X 7.0 MM.</t>
  </si>
  <si>
    <t>MINI TORNILLO DE EMERGENCÍA DE 2.3 X 9.0 MM.</t>
  </si>
  <si>
    <t>MINI TORNILLO DE TITANIO DE 2.0 X 13 MM.</t>
  </si>
  <si>
    <t>SET DE CIRUGÍA FACIAL QUE CONSTA DE PLACA DE RECONSTRUCCIÓN Y SUS RESPECTIVOS TORNILLOS.</t>
  </si>
  <si>
    <t>TUTOR EXTERNO DE MANO, PARA FALANGE Y METACARPIANO</t>
  </si>
  <si>
    <t>BOTÓN DE TITANIO CON SUTURAS PARA CORRECCIÓN DE HALUX VALGUS</t>
  </si>
  <si>
    <t>ALAMBRE PARA HUESO, DIÁMETRO 0.8 MM. ROLLO</t>
  </si>
  <si>
    <t>ALAMBRE PARA HUESO, DIÁMETRO 1.0 MM. ROLLO</t>
  </si>
  <si>
    <t>ALAMBRE PARA HUESO, DIÁMETRO 1.2 MM. ROLLO</t>
  </si>
  <si>
    <t>ARANDELA PARA TORNILLO CORTICAL DE 3.5 MM DIÁMETRO</t>
  </si>
  <si>
    <t>ARANDELA PARA TORNILLO DE ESPONJOSA DE 4.0 MM DE DIÁMETRO</t>
  </si>
  <si>
    <t>ARANDELA PARA TORNILLO DE ESPONJOSA DE 6.5 MM DE DIÁMETRO</t>
  </si>
  <si>
    <t>CLAVO ALAMBRE PARA HUESO, NO ROSCADO CON PUNTA DE TROCAR, TIPO KIRSCHNER, DIÁMETRO: 1.50 MM,  LONGITUD:100 MM - 350 MM.</t>
  </si>
  <si>
    <t>CLAVO O PIN PARA HUESO SCHANZ, PUNTA TROCAR Y VÁSTAGO TRIANGULAR, DIÁMETRO: 5.0 MM, LONGITUD: 150 MM.</t>
  </si>
  <si>
    <t>CLAVO O PIN PARA HUESO SCHANZ, PUNTA TROCAR Y VÁSTAGO TRIANGULAR, DIÁMETRO: 5.0 MM, LONGITUD: 170 MM.</t>
  </si>
  <si>
    <t>CLAVO PARA HUESO TIPO RUSH, DIÁMETRO: 2.5 MM, LONGITUD: 160 MM.</t>
  </si>
  <si>
    <t>CLAVO PARA HUESO TIPO RUSH, DIÁMETRO: 3.5 MM, LONGITUD: 160 MM.</t>
  </si>
  <si>
    <t>CLAVO PARA HUESO TIPO RUSH, DIÁMETRO: 6.0 MM, LONGITUD: 350 MM.</t>
  </si>
  <si>
    <t>EQUIPO SE SUTURA DE MENISCOS, CONTIENE SISTEMA DE AGUJAS AFUERA - ADENTRO CON HEBRA DE HILO ABSORBIBLE MONOFILAMENTO.</t>
  </si>
  <si>
    <t>PLACA 1/3 DE TUBO DE 6 AGUJEROS</t>
  </si>
  <si>
    <t>PLACA DE AUTOCOMPRESIÓN DINÁMICA ANCHA, DE 5 AGUJEROS</t>
  </si>
  <si>
    <t>PLACA DE RECONSTRUCCIÓN ACETABULAR DE PEQUEÑOS FRAGMENTOS DE 5 AGUJEROS.</t>
  </si>
  <si>
    <t>PLACA EN "T", VÁSTAGO DE 3 ORIFICIOS.</t>
  </si>
  <si>
    <t>PLACA EN "T" DE GRANDES FRAGMENTOS CON VÁSTAGO DE 4 ORIFICIOS PARA TORNILLOS DE 4.5 MM.</t>
  </si>
  <si>
    <t>SISTEMA DE PASADOR DE SUTURA ARTROSCÓPICA, DIFERENTES ÁNGULOS, REUTILIZABLE.</t>
  </si>
  <si>
    <t>SISTEMA PARA FIJACIÓN TIPO ANCLA  O TORNILLO METÁLICO AUTOROSCANTE DE2.0 MM A 3.0 MM DE DIÁMETRO, SUTURA DE POLIETILENO DE ALTA RESISTENCIANÚMERO 2 Y BOTÓN PLÁSTICO DE FIJACIÓN</t>
  </si>
  <si>
    <t>SISTEMA PARA FIJACIÓN TIPO ANCLA  O TORNILLO METÁLICO AUTOROSCANTE DE4.0 MM A 5.0 MM DE DIÁMETRO, SUTURA DE POLIETILENO DE ALTA RESISTENCIANÚMERO 2 Y BOTÓN PLÁSTICO DE FIJACIÓN</t>
  </si>
  <si>
    <t>TORNILLO CORTICAL, DIÁMETRO: 3.5 MM, LONGITUD TOTAL: 10 MM.</t>
  </si>
  <si>
    <t>TORNILLO CORTICAL, DIÁMETRO: 3.5 MM, LONGITUD TOTAL: 12 MM.</t>
  </si>
  <si>
    <t>TORNILLO CORTICAL, DIÁMETRO: 3.5 MM, LONGITUD TOTAL: 14 MM.</t>
  </si>
  <si>
    <t>TORNILLO CORTICAL, DIÁMETRO: 3.5 MM, LONGITUD TOTAL: 16 MM.</t>
  </si>
  <si>
    <t>TORNILLO CORTICAL, DIÁMETRO: 3.5 MM, LONGITUD TOTAL: 18 MM</t>
  </si>
  <si>
    <t>TORNILLO CORTICAL, DIÁMETRO: 3.5 MM, LONGITUD TOTAL: 20 MM</t>
  </si>
  <si>
    <t>TORNILLO CORTICAL, DIÁMETRO: 3.5 MM, LONGITUD TOTAL: 22 MM</t>
  </si>
  <si>
    <t>TORNILLO CORTICAL, DIÁMETRO: 3.5 MM, LONGITUD TOTAL: 24 MM</t>
  </si>
  <si>
    <t>TORNILLO CORTICAL, DIÁMETRO: 3.5 MM, LONGITUD TOTAL: 26 MM</t>
  </si>
  <si>
    <t>TORNILLO CORTICAL, DIÁMETRO: 3.5 MM, LONGITUD TOTAL: 28 MM</t>
  </si>
  <si>
    <t>TORNILLO CORTICAL, DIÁMETRO: 3.5 MM, LONGITUD TOTAL: 30 MM.</t>
  </si>
  <si>
    <t>TORNILLO CORTICAL, DIÁMETRO: 3.5 MM, LONGITUD TOTAL: 32 MM</t>
  </si>
  <si>
    <t>TORNILLO CORTICAL, DIÁMETRO: 3.5 MM, LONGITUD TOTAL: 34 MM</t>
  </si>
  <si>
    <t>TORNILLO CORTICAL, DIÁMETRO: 3.5 MM, LONGITUD TOTAL: 36 MM</t>
  </si>
  <si>
    <t>TORNILLO CORTICAL, DIÁMETRO: 3.5 MM, LONGITUD TOTAL: 38 MM</t>
  </si>
  <si>
    <t>TORNILLO CORTICAL, DIÁMETRO: 3.5 MM, LONGITUD TOTAL: 40 MM</t>
  </si>
  <si>
    <t>TORNILLO CORTICAL, DIÁMETRO: 3.5 MM, LONGITUD TOTAL: 42 MM</t>
  </si>
  <si>
    <t>TORNILLO CORTICAL, DIÁMETRO: 3.5 MM, LONGITUD TOTAL: 44 MM</t>
  </si>
  <si>
    <t>TORNILLO CORTICAL, DIÁMETRO: 3.5 MM, LONGITUD TOTAL: 46 MM</t>
  </si>
  <si>
    <t>TORNILLO CORTICAL, DIÁMETRO: 3.5 MM, LONGITUD TOTAL: 48 MM</t>
  </si>
  <si>
    <t>TORNILLO CORTICAL, DIÁMETRO: 3.5 MM, LONGITUD TOTAL: 50 MM</t>
  </si>
  <si>
    <t>TORNILLO ESPONJOSO CON ROSCA TOTAL, DIAMETRO: 4.0 MM, LONGITUD: 14 MM</t>
  </si>
  <si>
    <t>TORNILLO ESPONJOSO CON ROSCA TOTAL, DIÁMETRO: 4.0 MM, LONGITUD: 25 MM.</t>
  </si>
  <si>
    <t>TORNILLO ESPONJOSO CON ROSCA TOTAL, DIÁMETRO: 4.0 MM, LONGITUD: 30 MM.</t>
  </si>
  <si>
    <t>TORNILLO ESPONJOSO CON ROSCA TOTAL, DIÁMETRO: 4.0 MM, LONGITUD: 35 MM.</t>
  </si>
  <si>
    <t>TORNILLO ESPONJOSO CON ROSCA TOTAL, DIÁMETRO: 4.0 MM, LONGITUD: 40 MM.</t>
  </si>
  <si>
    <t>TORNILLO ESPONJOSO, DIÁMETRO: 4.0 MM, LONGITUD: 10 MM, TODO ROSCA</t>
  </si>
  <si>
    <t>TORNILLO ESPONJOSO, DIÁMETRO: 4.0 MM, LONGITUD: 12 MM, TODO ROSCA</t>
  </si>
  <si>
    <t>TORNILLO ESPONJOSO, DIÁMETRO: 4.0 MM, LONGITUD: 14 MM, TODO ROSCA</t>
  </si>
  <si>
    <t>TORNILLO ESPONJOSO, DIÁMETRO: 4.0 MM, LONGITUD: 16 MM, TODO ROSCA</t>
  </si>
  <si>
    <t>TORNILLO ESPONJOSO, DIÁMETRO: 4.0 MM, LONGITUD: 18 MM, TODO ROSCA</t>
  </si>
  <si>
    <t>TORNILLO ESPONJOSO, DIÁMETRO: 4.0 MM, LONGITUD: 20 MM, TODO ROSCA</t>
  </si>
  <si>
    <t>TORNILLO ESPONJOSO, DIÁMETRO: 4.0 MM, LONGITUD: 22 MM, TODO ROSCA</t>
  </si>
  <si>
    <t>TORNILLO ESPONJOSO, DIÁMETRO: 4.0 MM, LONGITUD: 24 MM, TODO ROSCA</t>
  </si>
  <si>
    <t>TORNILLO ESPONJOSO, DIÁMETRO: 4.0 MM, LONGITUD: 26 MM, 1/2 ROSCA</t>
  </si>
  <si>
    <t>TORNILLO ESPONJOSO, DIÁMETRO: 4.0 MM, LONGITUD: 28 MM, TODO ROSCA</t>
  </si>
  <si>
    <t>TORNILLO ESPONJOSO, DIÁMETRO: 4.0 MM, LONGITUD: 30 MM, 1/2 ROSCA</t>
  </si>
  <si>
    <t>TORNILLO ESPONJOSO, DIÁMETRO: 4.0 MM, LONGITUD: 35 MM, 1/2 ROSCA</t>
  </si>
  <si>
    <t>TORNILLO ESPONJOSO, DIÁMETRO: 4.0 MM, LONGITUD: 40 MM, 1/2 ROSCA</t>
  </si>
  <si>
    <t>TORNILLO ESPONJOSO, DIÁMETRO: 4.0 MM, LONGITUD: 45 MM, 1/2 ROSCA</t>
  </si>
  <si>
    <t>TORNILLO ESPONJOSO, DIÁMETRO: 4.0 MM, LONGITUD: 50 MM, TODO ROSCA</t>
  </si>
  <si>
    <t>CLAVO ALAMBRE PARA HUESO, NO ROSCADO CON PUNTA DE TROCAR, TIPO KIRSCHNER, DIÁMETRO: 1.8 MM  LONGITUD:100 - 350 MM.</t>
  </si>
  <si>
    <t>CLAVO ALAMBRE PARA HUESO, NO ROSCADO CON PUNTA DE TROCAR, TIPO KIRSCHNER, DIÁMETRO: 2.0 MM  LONGITUD: 100 - 350 MM.</t>
  </si>
  <si>
    <t>TORNILLO ESPONJOSO, DIÁMETRO: 4.0 MM, LONGITUD: 26 MM, TODO ROSCA</t>
  </si>
  <si>
    <t>TORNILLO ESPONJOSO, DIÁMETRO: 4.0 MM, LONGITUD: 28 MM, MEDIA ROSCA</t>
  </si>
  <si>
    <t>TORNILLO CANULADO DE 3.5 MM DE DIÁMETRO x 30 MM DE LONGITUD</t>
  </si>
  <si>
    <t>TORNILLO CORTICAL DE 2.0 MM DE DIÁMETRO X 14 MM DE LONGITUD</t>
  </si>
  <si>
    <t>TORNILLO CORTICAL DE 2.0 MM DE DIÁMETRO X 16 MM DE LONGITUD</t>
  </si>
  <si>
    <t>TORNILLO CORTICAL DE 2.0 MM DE DIÁMETRO X 18 MM DE LONGITUD</t>
  </si>
  <si>
    <t>TORNILLO CORTICAL DE 2.0 MM DE DIÁMETRO X 20 MM DE LONGITUD</t>
  </si>
  <si>
    <t>TORNILLO CORTICAL DE 2.0 MM DE DIÁMETRO X 22 MM DE LONGITUD</t>
  </si>
  <si>
    <t>TORNILLO CORTICAL DE 2.0 MM DE DIÁMETRO X 24 MM DE LONGITUD</t>
  </si>
  <si>
    <t>TORNILLO CORTICAL DE 2.0 MM DE DIÁMETRO X 26 MM DE LONGITUD</t>
  </si>
  <si>
    <t>TORNILLO CORTICAL DE 2.7 MM DE DIÁMETRO X 14 MM DE LONGITUD</t>
  </si>
  <si>
    <t>TORNILLO CORTICAL DE 2.7 MM DE DIÁMETRO X 16 MM DE LONGITUD</t>
  </si>
  <si>
    <t>TORNILLO CORTICAL DE 2.7 MM DE DIÁMETRO X 18 MM DE LONGITUD</t>
  </si>
  <si>
    <t>TORNILLO CORTICAL DE 2.7 MM DE DIÁMETRO X 20 MM DE LONGITUD</t>
  </si>
  <si>
    <t>TORNILLO CORTICAL DE 2.7 MM DE DIÁMETRO X 22 MM DE LONGITUD</t>
  </si>
  <si>
    <t>TORNILLO CORTICAL DE 2.7 MM DE DIÁMETRO X 24 MM DE LONGITUD</t>
  </si>
  <si>
    <t>INJERTO CILÍNDRICO (SEGMENTO) DE HUESO DE FÉMUR</t>
  </si>
  <si>
    <t>TUTOR O FIJADOR EXTERNO CIRCULAR PARA HUESOS LARGOS TIPO ILIZAROV</t>
  </si>
  <si>
    <t>PRÓTESIS BRONQUIAL METÁLICA AUTO EXPANDIBLE, SISTEMA ANTI-MIGRACIÓN, SUPERFICIE NO ADHERENTE, REMOVIBLE, CON MARCADORES RADIOPACOS, DIFERENTES MEDIDAS; INCLUYE BALÓN DE DILATACIÓN Y ACCESORIOS PARA COLOCACIÓN</t>
  </si>
  <si>
    <t>ENDOPRÓTESIS TRAQUEAL EN "Y" DE SILICÓN, CON SOPORTE METÁLICO EN "C"ANIVEL DE LA PORCIÓN TRAQUEAL Y MARCA RADIO OPACA EN LAS PORCIONES BRONQUIALES, DIFERENTES MEDIDAS.</t>
  </si>
  <si>
    <t>VÁLVULA CARDÍACA PROTÉSICA MECÁNICA, POSICIÓN AÓRTICA, DOBLE VALVA ROTABLE, QUE PUEDE SER GIRADA IN SITU, DIFERENTES MEDIDAS, INCLUYE INJERTO DE FIBRA DE POLIÉSTER TEJIDA IMPREGNADA CON GELATINA, ANILLO DE SUTURA DE POLIÉSTER TEJIDO, INJERTO CON LONGITUD MÍNIMA DE 10 CM</t>
  </si>
  <si>
    <t>PARCHE DE PERICARDIO DE BOVINO, FIJADO EN GLUTARALDEHIDO, DIFERENTES MEDIDAS</t>
  </si>
  <si>
    <t>PARCHE POLIÉSTER, PUNTO TEJIDO, DE BAJA POROSIDAD, DIFERENTES MEDIDAS</t>
  </si>
  <si>
    <t>PRÓTESIS VASCULAR DE DACRÓN PARA AORTA ASCENDENTE, IMPREGNADA DE GELATINA, DIFERENTES DIÁMETROS, ESTÉRIL.</t>
  </si>
  <si>
    <t>SELLO HEMOSTÁTICO QUIRÚRGICO MULTIPROTEICO CRIOPRECIPITADO DE PLASMA YALBÚMINA, QUE CONTIENE UN VÍAL DE 5 ML DE TROMBINA GLUTARALDEHIDO AL10% Y ALBÚMINA</t>
  </si>
  <si>
    <t>INJERTO ARTERIAL BIFURCADO PRECOAGULADO 18 MM X 9 MM. ENTRE 40 - 50 CMDE LONGITUD.</t>
  </si>
  <si>
    <t>INJERTO ARTERIAL BIFURCADO PRECOAGULADO DE 16 MM X 8 MM. ENTRE 40 - 50CM DE LONGITUD.</t>
  </si>
  <si>
    <t>INJERTO VASCULAR DE PTFE DE 6 MM DE DIÁMETRO , NO ANILLADO, DE 50 - 70CM DE LONGITUD CUBIERTO DE COLÁGENO O TRIPLE CAPA DE PTFE.</t>
  </si>
  <si>
    <t>INJERTO ARTERIAL RECTO DE PTFE DE 6 MM DE DIÁMETRO, NO ANILLADO, DE 50- 70 CM DE LONGITUD</t>
  </si>
  <si>
    <t>INJERTO ARTERIAL RECTO DE PTFE DE 8 MM, ANILLADO REMOVIBLE, DE 50 - 70CM DE LONGITUD</t>
  </si>
  <si>
    <t>INJERTO BIFURCADO DE DACRON, PRECOAGULADO, DE 14 X 7 MM Y ENTRE 40 - 50 CM. DE LONGITUD</t>
  </si>
  <si>
    <t>INJERTO BIFURCADO DE DACRON, PRECOAGULADO, DE 12 X 6 MM Y ENTRE 40-50CM DE LONGITUD</t>
  </si>
  <si>
    <t>INJERTO VASCULAR DE PTFE DE 6 MM, ANILLADO, DE 50 - 70 CM DE LONGITUD</t>
  </si>
  <si>
    <t>INJERTO VASCULAR DE PTFE DE 6 MM PROXIMAL Y 4.0 DISTAL (APROXIMADAMENTE) CÓNICO, DE 45 A 90 CM DE LONGITUD</t>
  </si>
  <si>
    <t>INJERTO VASCULAR DE PTFE DE 7 MM DE DIÁMETRO, ANILLADO REMOVIBLE, DE 50 - 70 CM DE LONGITUD</t>
  </si>
  <si>
    <t>INJERTO VASCULAR DE PTFE DE 7 MM, NO ANILLADO, DE 50 - 70 CM DE LONGITUD CUBIERTO DE COLÁGENO O TRIPLE CAPA DE PTFE</t>
  </si>
  <si>
    <t>FÉRULA CORRECTORA DE HALLUX VALGUS PARA USO NOCTURNO, MATERIAL TERMOPLÁSTICO CON CIERRES DE VELCRO</t>
  </si>
  <si>
    <t>SEPARADOR DE DEDOS PARA MANEJO DE HALUX VALGUS</t>
  </si>
  <si>
    <t>FÉRULA EN POSICIÓN FUNCIONAL PARA MANO IZQUIERDA, PREFABRICADA EN NEOPRENE CON BARRA METÁLICA INTERNA Y SUJETADORES</t>
  </si>
  <si>
    <t>FÉRULA PARA MANEJO DE TENDINITIS DE QUERVAIN, PARA MANO IZQUIERDA, PREFABRICADA EN NEOPRENE Y SUJETADORES</t>
  </si>
  <si>
    <t>FÉRULA PARA MANEJO DE TENDINITIS DE QUERVAIN, PARA MANO DERECHA, PREFABRICADA EN NEOPRENE Y SUJETADORES</t>
  </si>
  <si>
    <t>INMOVILIZADOR DE HOMBRO DERECHO EN POSICIÓN FUNCIONAL</t>
  </si>
  <si>
    <t>INMOVILIZADOR DE HOMBRO IZQUIERDO EN POSICIÓN FUNCIONAL</t>
  </si>
  <si>
    <t>SOPORTE DE HOMBRO DERECHO PARA LESIÓN DE PLEXO BRAQUIAL, CON CINCHA DEBRAZO Y ANTEBRAZO</t>
  </si>
  <si>
    <t>SOPORTE DE HOMBRO IZQUIERDO PARA LESIÓN DE PLEXO BRAQUIAL, CON CINCHADE BRAZO Y ANTEBRAZO</t>
  </si>
  <si>
    <t>CORSET DE FIJACIÓN TLSO EN POLIPROPILENO, CON SUJETADORES DE VELCRO.</t>
  </si>
  <si>
    <t>ESTABILIZADOR DE TOBILLO, CON BARRAS LATERALES DE ALUMINIO, CON SUJETADORES EN VELCRO</t>
  </si>
  <si>
    <t>FÉRULA EN POSICIÓN FUNCIONAL PARA AMBAS MANOS, PREFABRICADAS EN NEOPRENE CON BARRA METÁLICA INTERNA, SUJETADORES EN VELCRO</t>
  </si>
  <si>
    <t>FÉRULA PARA ANTEBRAZO DERECHO PARA ADULTO</t>
  </si>
  <si>
    <t>FÉRULA PARA ANTEBRAZO IZQUIERDO PARA ADULTO.</t>
  </si>
  <si>
    <t>SOPORTE FIJO DE RODILLA CON BARRA METÁLICA, TALLA  "M".</t>
  </si>
  <si>
    <t>SOPORTE FIJO DE RODILLA CON BARRA METÁLICA, TALLA "L".</t>
  </si>
  <si>
    <t>SOPORTE FIJO DE RODILLA CON BARRA METÁLICA, TALLA "S".</t>
  </si>
  <si>
    <t>TOBILLERA, PREFABRICADA EN NEOPRENE, CON SUJETADORES EN VELCRO</t>
  </si>
  <si>
    <t>RETENEDOR DE VENDAJE ELÁSTICO TUBULAR PARA CABEZA ADULTO, ROLLO DE 3.5- 4.5 CM DE ANCHO Y 22 METROS O MÁS DE LONGITUD.</t>
  </si>
  <si>
    <t>DISPOSITIVO CUBIERTO DE NITINOL, RECUBIERTO CON POLIESTER, AUTOEXPANDIBLE, RECAPTURABLE, REPOSICIONABLE, FORMADO POR DOS DISCOS UNIDOS POR UNA CINTURA, CON DIÁMETROS DE DISCOS ENTRE 8 A 36 MM, DIÁMETRO DE CINTURA ENTRE 2 A 26 MM, LONGITUD DE CINTURA ENTRE 7 A 10 M M, CON MARCAS RADIOPACAS, COMPATIBLE CON INTRODUCTOR ENTRE 5 A 14 FRENCH, QUE INCLUYATODOS LOS INSUMOS NECESARIOS PARA SU ADECUADA COLOCACIÓN</t>
  </si>
  <si>
    <t>DISPOSITIVO CUBIERTO DE NITINOL, RECUBIERTO CON POLIÉSTER, AUTOEXPANDIBLE, RECAPTURABLE, REPOSICIONABLE, FORMADO POR DOS DISCOS UNIDOS POR UNA CINTURA, CON DIÁMETROS DE DISCOS AURICULAR IZQUIERDO Y DERECHO ENTRE 18 A 35 MM, QUE INCLUYA TODOS LOS INSUMOS NECESARIOS PARA SU ADECUADA COLOCACIÓN</t>
  </si>
  <si>
    <t>DISPOSITIVO CUBIERTO DE NITINOL, RECUBIERTO CON POLIÉSTER, AUTOEXPANDIBLE, RECAPTURABLE, REPOSICIONABLE, FORMADO POR DOS DISCOS UNIDOS POR UNA CINTURA, CON DIÁMETROS DE DISCOS ENTRE 10 A 58 MM, DIÁMETRO DE CINTURA ENTRE 2 A 42 MM, LONGITUD DE CINTURA ENTRE 2 A 5 MM, CON MARCAS RADIOPACAS, COMPATIBLE CON INTRODUCTOR ENTRE 6 A 14 FRENCH, QUE INCLUYATODOS LOS INSUMOS NECESARIOS PARA SU ADECUADA COLOCACIÓN</t>
  </si>
  <si>
    <t>DISPOSITIVO CUBIERTO DE NITINOL, RECUBIERTO CON POLIÉSTER, AUTOEXPANDIBLE, RECAPTURABLE, RETRAÍBLE, CON DIÁMETROS ENTRE 4 A 16 MM, QUE INCLUYA TODOS LOS INSUMOS NECESARIOS PARA SU ADECUADA COLOCACIÓN</t>
  </si>
  <si>
    <t>DISPOSITIVO VÁLVULAR BIOLÓGICO DE PERICARDIO BOVINO O PORCINO CON PLATAFORMA DE NITINOL, CROMO, COBALTO O NÍQUEL, CON SISTEMA DE LIB ERACIÓNAUTOEXPANDIBLE, CON DIÁMETROS DE 20 HASTA 34 MM, JUNTO CON SU INTRODUCTOR Y SU SISTEMA DE LIBERACIÓN</t>
  </si>
  <si>
    <t>DISPOSITIVO VÁLVULAR BIOLÓGICO DE PERICARDIO BOVINO O PORCINO CON PLATAFORMA DE NITINOL, CROMO, COBALTO O NÍQUEL, CON SISTEMA DE LIB ERACIÓNPOR BALÓN EXPANDIBLE, CON DIÁMETROS DE 20 HASTA 34 MM, JUNTO CON SU INTRODUCTOR Y SU SISTEMA DE LIBERACIÓN</t>
  </si>
  <si>
    <t>SISTEMA DE CIERRE VASCULAR FEMORAL PERCUTÁNEO, QUE INCLUYA SUTURA DE POLIPROPILENO MONOFILAMENTO PREANUDADA</t>
  </si>
  <si>
    <t>BRAZALETE COMPRESIVO PARA ARTERIA RADIAL.</t>
  </si>
  <si>
    <t>PROTESIS METALICA VENOSA, AUTO EXPANDIBLE, ENTRE 10 A 20 MM DE DIÁMETRO Y 40 A 160 MM DE LONGITUD COMPATIBLE CON INTRODUCTOR 7 F</t>
  </si>
  <si>
    <t>COIL DE PLATINO EN ESPIRAL, RECUBIERTO, CON FIBRAS PARA OCLUSIÓN VASCULAR PERIFÉRICA, DE 6 A 10 MM DE DIÁMETRO Y DE 20 A 150 MM DE L ONGITUD, QUE INCLUYA CATÉTER INTRODUCTOR</t>
  </si>
  <si>
    <t>COIL DE PLATINO EN ESPIRAL, RECUBIERTO, CON FIBRAS PARA OCLUSIÓN VASCULAR PERIFÉRICA, DE 3 MM DE DIÁMETRO Y DE 20 A 150 MM DE LONGITUD, QUEINCLUYA CATÉTER INTRODUCTOR</t>
  </si>
  <si>
    <t>COIL DE PLATINO EN ESPIRAL, RECUBIERTO, CON FIBRAS PARA OCLUSIÓN VASCULAR PERIFÉRICA, DE 4 MM DE DIÁMETRO Y DE 20 A 150 MM DE LONGITUD, QUEINCLUYA CATÉTER INTRODUCTOR</t>
  </si>
  <si>
    <t>COIL DE PLATINO EN ESPIRAL, RECUBIERTO, CON FIBRAS PARA OCLUSIÓN VASCULAR PERIFÉRICA, DE 5 MM DE DIÁMETRO Y DE 20 A 150 MM DE LONGITUD, QUEINCLUYA CATÉTER INTRODUCTOR</t>
  </si>
  <si>
    <t>ENDOPRÓTESIS AÓRTICA ABDOMINAL BIFURCADA, ANCLAJE PROXIMAL O DISTAL, MEDIDAS SEGÚN ESTUDIOS DE PACIENTE, DEBERÁ INCLUIR PARA SU COLOCACIÓN:ENDOPRÓTESIS, INTRODUCTORES, GUÍAS METÁLICAS, BALONES Y ASESORÍA PARASU COLOCACIÓN</t>
  </si>
  <si>
    <t>ENDOPRÓTESIS AÓRTICA RECTA, MEDIDAS SEGÚN ESTUDIOS DE PACIENTE, DEBERÁINCLUIR PARA SU COLOCACIÓN: ENDOPRÓTESIS, INTRODUCTORES, GUÍAS METÁLICAS, BALONES Y ASESORÍA PARA SU COLOCACIÓN</t>
  </si>
  <si>
    <t>PRÓTESIS ENDOVASCULAR RECUBIERTA DE PTFE, 10 MM X 70-90 MM DE LONGITUD</t>
  </si>
  <si>
    <t>PRÓTESIS ENDOVASCULAR RECUBIERTA DE PTFE, 8 MM X 50-60 MM DE LONGITUD</t>
  </si>
  <si>
    <t>PRÓTESIS ENDOVASCULAR RECUBIERTA DE PTFE, 9 MM X 50-60 MM DE LONGITUD</t>
  </si>
  <si>
    <t>PRÓTESIS METÁLICA AUTO EXPANDIBLE DE 6 MM x 40 A 160 MM DE LONGITUD; COMPATIBLE CON GUÍA DE 0.035", LONGITUD TOTAL DE CATÉTER DE 80 A 180 CM</t>
  </si>
  <si>
    <t>PRÓTESIS METÁLICA AUTOEXPANDIBLE DE 7.0 MM x 40 A 160 MM; COMPATIBLE CON GUÍA 0.035", LONGITUD TOTAL DE CATÉTER DE 80 A 180 CM</t>
  </si>
  <si>
    <t>PRÓTESIS METÁLICA AUTOEXPANDIBLE, DE 8 MM x 40 A 100 MM; COMPATIBLE CON GUÍA 0.035", LONGITUD TOTAL DE CATÉTER DE 80 A 180 CM</t>
  </si>
  <si>
    <t>SISTEMA DE CIERRE VASCULAR PARA PUNCIÓN ARTERIAL, QUE INCLUYA COLÁGENOY/O SUTURA, DIÁMETRO 6 U 8 FRENCH</t>
  </si>
  <si>
    <t>SISTEMA STENT RENAL DE INTERCAMBIO RÁPIDO (MONORIEL) DE BAJO PERFIL MONTADO SOBRE BALÓN SEMICOMPLACIENTE CON GUÍA DE 0.018" Y LONGITUD DE TRABAJO DE 90 CM, CON REQUERIMIENTOS DE MAYOR FUERZA RADIAL PARA OSTIUMDE ARTERIAS RENALES.</t>
  </si>
  <si>
    <t>PRÓTESIS METÁLICA AUTOEXPANDIBLE, DE 5 MM x 40 A 150 MM; COMPATIBLE CON GUÍA 0.035", LONGITUD TOTAL DE CATÉTER DE 80 A 180 CM</t>
  </si>
  <si>
    <t>PRÓTESIS METÁLICA PARA CARÓTIDA, DE ACERO INOXIDABLE, AUTOEXPANDIBLE DE CELDA CERRADA (CÓNICA O RECTANGULAR) Y REPOSICIONABLE HASTA EL 80% ,DIÁMETRO DESDE 6 A 10 MM Y LARGO DE 30 A 50 MM</t>
  </si>
  <si>
    <t>STENT PERIFERICO DE ACERO INOXIDABLE EXPANDIBLE POR BALÓN 5MM. X 14MMCOMPATIBLE CON GUÍA 0.018" PRESIÓN NOMINAL 12 ATM.</t>
  </si>
  <si>
    <t>COIL PARA EMBOLIZACIÓN PERIFÉRICA RECUBIERTO CON FIBRAS O HIDROGEL, DE6 A 10 MM DE DIÁMETRO Y DE 50 A 200 MM DE LONGITUD EXTENDIDA, QUE INCLUYA TODOS LOS ACCESORIOS PARA SU COLOCACIÓN EN EL PACIENTE</t>
  </si>
  <si>
    <t>COIL PARA EMBOLIZACIÓN PERIFÉRICA RECUBIERTO CON FIBRAS O HIDROGEL, DE3 A 5 MM DE DIÁMETRO Y DE 20 A 200 MM DE LONGITUD EXTENDIDA, QUE INCLUYA TODOS LOS ACCESORIOS NECESARIOS PARA SU COLOCACIÓN EN EL PACIENTECION EN EL PACIENTE.</t>
  </si>
  <si>
    <t>OCLUSOR ARTERIAL ENDOVASCULAR AUTOEXPANDIBLE, DE NITINOL, DE 5 A 10 MMDE DIÁMETRO, DE 6 A 12 MM DE LONGITUD, DE CUERPO ÚNICO O MULT ISEGMENTADO, QUE INCLUYA TODOS LOS ACCESORIOS PARA SU COLOCACIÓN EN EL PACIENTE.</t>
  </si>
  <si>
    <t>SISTEMA DE CIERRE VASCULAR PARA PUNCIÓN ARTERIAL, QUE INCLUYA COLÁGENOY SUTURA, DIÁMETRO 5 FRENCH</t>
  </si>
  <si>
    <t>MICROPARTÍCULAS EMBOLIZANTES CALIBRADAS, PARA EMBOLIZACIÓN ENDOVASCULAR PERIFÉRICA, TAMAÑO 150 - 250 µ (MICRAS). FRASCO O PRECARGA</t>
  </si>
  <si>
    <t>MICROPARTÍCULAS EMBOLIZANTES CALIBRADAS, PARA EMBOLIZACIÓN ENDOVASCULAR PERIFÉRICA, TAMAÑO 250 - 355 µ (MICRAS). FRASCO O PRECARGA</t>
  </si>
  <si>
    <t>MICROPARTÍCULAS EMBOLIZANTES CALIBRADAS, PARA EMBOLIZACIÓN ENDOVASCULAR PERIFÉRICA, TAMAÑO 355 - 500 µ (MICRAS). FRASCO O PRECARGA</t>
  </si>
  <si>
    <t>MICROPARTÍCULAS EMBOLIZANTES CALIBRADAS, PARA EMBOLIZACIÓN ENDOVASCULAR PERIFÉRICA, TAMAÑO 500 - 710 µ (MICRAS). FRASCO O PRECARGA</t>
  </si>
  <si>
    <t>ADHESIVO TISULAR COMPUESTO DE EMBUCRILATO DE 0.5 gr. PARA EMBOLIZACIONDE MALFORMACIONES ARTERIOVENOSAS. AMPOLLA O VÍAL DE 5 ML</t>
  </si>
  <si>
    <t>ASA DE RECUPERACIÓN DE COILS INTRACEREBRAL.</t>
  </si>
  <si>
    <t>MICRO STENT CEREBRAL, AUTOEXPANDIBLE, DIÁMETRO DE 2 A 4 MM, LONGITUD DE 20 A 40 MM, RETRAIBLE Y REPOSICIONABLE, QUE INCLUYA SU CATÉTER PORTADOR Y TODOS LOS ACCESORIOS NECESARIOS PARA SU COLOCACION</t>
  </si>
  <si>
    <t>CLIP DE POLIMERO PLÁSTICO PARA LIGADURA DE VASOS SANGUINEOS, CIERRE CON DIENTES DE SEGURIDAD, APLICACIÓN LAPAROSCÓPICA, CAPACIDAD DE LIGADURA DE VASOS DE 16 MM A TRAVES DE PUERTO ENDOSCOPICO DE 10 MM, RADIO OPACO, ESTÉRIL, TAMAÑO EXTRALARGO, CARTUCHO DE 6 CLIP</t>
  </si>
  <si>
    <t>CLIP DE TITANIO DE DOBLE VÁSTAGO CON MECANISMO DE CIERRE DE SEGURIDAD,PARA USO LAPAROSCÓPICO, DESCARTABLE, ESTÉRIL. RIEL O CARTUCHO DE 4 A6CLIPS</t>
  </si>
  <si>
    <t>CLIPS DE TITANIO M - L,  (6 - 12 CLIPS POR DISPENSADOR)</t>
  </si>
  <si>
    <t>MALLA DE POLIPROPILENO 15 X 15 CM</t>
  </si>
  <si>
    <t>MALLA PROTESICA PARA EL REPARO DE HERNIAS ABDOMINALES CON DOS CAPAS, UNA CON PROTECCIÓN PARA LAS VISCERAS INTRA ABDOMINALES Y OTRA PARA CONTACTO Y FIJACIÓN A PARED ABDOMINAL DE 10 A 20 CM X 15 A 25 CM</t>
  </si>
  <si>
    <t>MALLA PROTESICA PARA EL REPARO DE HERNIAS ABDOMINALES CON DOS CAPAS, UNA CON PROTECCIÓN PARA LAS VISCERAS INTRA ABDOMINALES Y OTRA PARA CONTACTO Y FIJACIÓN A PARED ABDOMINAL DE 20 A 30 CM X 25 A 35 CM</t>
  </si>
  <si>
    <t>NUDO PRE-ELABORADO, PARA CIRUGÍA LAPAROSCÓPICA, DE SUTURA NO ABSORBIBLE 2/0, 50 -  55 CM DE HEBRA, CON INTRODUCTOR DE 5 MM DE DIAMET RO</t>
  </si>
  <si>
    <t>ALOINJERTO NO OSTEOCONDRAL CONGELADO DE RADIO IZQUIERDO</t>
  </si>
  <si>
    <t>SUTURA SINTÉTICA ABSORBIBLE POLIGLACTINA 910 6-0, DE DOBLE AGUJA ESPATULADA, ½ CIRCULO 45 CM</t>
  </si>
  <si>
    <t>RIBOFLAVINA 0.1% CON DEXTRANO PARA CROSSLINKING DE CÓRNEA</t>
  </si>
  <si>
    <t>RIBOFLAVINA 0.1% SIN DEXTRANO PARA CROSSLINKING DE CÓRNEA</t>
  </si>
  <si>
    <t>TORNILLO CANULADO INTERFERENCIA 10x35 mm</t>
  </si>
  <si>
    <t>TORNILLO CANULADO INTERFERENCIA 12x35 mm</t>
  </si>
  <si>
    <t>TORNILLO CANULADO INTERFERENCIA 7X20 mm</t>
  </si>
  <si>
    <t>TORNILLO CANULADO INTERFERENCIA 11x35 mm</t>
  </si>
  <si>
    <t>TORNILLO CANULADO INTERFERENCIA 8x20 mm</t>
  </si>
  <si>
    <t>TORNILLO CANULADO INTERFERENCIA 9x20 mm</t>
  </si>
  <si>
    <t>CURITA CIRCULAR.</t>
  </si>
  <si>
    <t>TORNILLO CANULADO INTERFERENCIA 9x35 mm</t>
  </si>
  <si>
    <t>STENT BALON EXPANDIBLE PARA COARTACION AORTICA CON DIAMETROS 20-30 mmY LONGITUD 4 – 6 cm</t>
  </si>
  <si>
    <t>SUTURA DE POLIPROPILENO MONOFILAMENTO 6/0, DOBLE AGUJA PARA USO EN TEJIDO VASCULAR, 3/8 CIRCULO, PUNTA REDONDA DE 11-13 MM, HEBRA 75-90 CM,DESCARTABLES.</t>
  </si>
  <si>
    <t>PIN BIOABSORBIBLE 1.5 mm DE DIÁMETRO CON KIT DE PIN METÁLICO DE PERFORACIÓN COMPATIBLE CON EL PIN ABSORBIBLE, IMPACTOR Y CAMISA GUÍA, CORTADOR DE ASA CALIENTE, PINZA CORTADORES DE HUESO</t>
  </si>
  <si>
    <t>POLVO HEMOSTÁTICO ABSORBIBLE, PRESENTACIÓN 1 GRAMO, EN RECIPIENTE O FRASCO</t>
  </si>
  <si>
    <t>LENTE DE CONTACTO TERAPÉUTICO O DE VENDAJE, BLANDO, SIN GRADUACIÓN, DEHIDROGEL DE SILICONA, ALTA PERMEABILIDAD DE OXÍGENO</t>
  </si>
  <si>
    <t>SET DE TRATAMIENTO COMPLETO DE GEL VAGINAL CORIOLUS VERSICOLOR PARA TRATAMIENTO DE VPH</t>
  </si>
  <si>
    <t>HEMOSTÁTICO DE TELA NO TEJIDA ABSORBIBLE TAMAÑO 2.5 X 2.5 cm, DE CELULOSA REGENERADA OXIDADA NO TEJIDO DE AL MENOS 6 CAPAS.</t>
  </si>
  <si>
    <t>HEMOSTÁTICO DE TELA NO TEJIDA ABSORBIBLE TAMAÑO 2.5 - 2.6 x 5–5.1, DECELULOSA REGENERADA OXIDADA NO TEJIDO DE AL MENOS 6 CAPAS.</t>
  </si>
  <si>
    <t>PERFLUOROCARBÓNO LÍQUIDO PARA INYECCIÓN INTRAOCULAR. VÍAL</t>
  </si>
  <si>
    <t>SILICONA ACEITE INTRAOCULAR, PESO MOLECULAR DE 5000 CENTISTOCK, FRASCODE 7.5 A 10 ML</t>
  </si>
  <si>
    <t>HEMOSTÁTICO DE TELA NO TEJIDA ABSORBIBLE TAMAÑO 5 x 5 cm, DE CELULOSAREGENERADA OXIDADA NO TEJIDO DE AL MENOS 6 CAPAS.</t>
  </si>
  <si>
    <t>HEMOSTÁTICO DE TELA NO TEJIDA ABSORBIBLE TAMAÑO 5 – 5.1 x 10 – 10.2 cm, HEMOSTÁTICO DE CELULOSA REGENERADA OXIDADA NO TEJIDO AL MENOS 6 CAPAS. </t>
  </si>
  <si>
    <t>ENDOPRÓTESIS ILIACA BIFURCADA, MEDIDAS SEGÚN ESTUDIOS DEL PACIENTE, DEBERÁ INCLUIR PARA SU COLOCACIÓN: INTRODUCTORES, GUÍAS METÁLICAS, BALONES Y ASESORÍA PARA SU COLOCACIÓN</t>
  </si>
  <si>
    <t>MALLA QUIRÚRGICA DE POLIPROPILENO PLANA, MACROPOROSA DE PORO INTERMEDIO TRANSPARENTE ESTÉRIL DE 30 X 30 CM, PESO ESTÁNDAR DE 60 – 100 G/M²</t>
  </si>
  <si>
    <t>AGUJA ABRAMS PARA BIOPSIA PLEURAL, REUTILIZABLE.</t>
  </si>
  <si>
    <t>AGUJA DE ASPIRADO Y BIOPSIA DE MÉDULA ÓSEA TIPO JAMSHIDI, DE ACERO INOXIDABLE, TAMAÑO ADULTO N° 11Ga X 4", REUTILIZABLE</t>
  </si>
  <si>
    <t>AGUJA HIPODÉRMICA 22G DE 1 1/2", DESCARTABLE,   ESTÉRIL.</t>
  </si>
  <si>
    <t>AGUJA SEMIAUTOMÁTICA PARA BIOPSIA DE TEJIDOS BLANDOS 14 G X 6" DE LONGITUD, ESTÉRIL, TIPO TRUCUT, DESCARTABLE.</t>
  </si>
  <si>
    <t>AGUJA PARA MARCAJE PREOPERATORIO DE LESIONES NO PALPABLES DE MAMA, CALIBRE DE 20 G +/- 1 G QUE CUENTE CON UNA PORCIÓN RUGOSA EN EL ALAMBRE DEL ARPÓN, PORCIÓN DESPLEGABLE DEL ARPÓN CON UNA AMPLITUD DE 8 MM, ENTRE 10 CM A 15 CM DE LONGITUD.</t>
  </si>
  <si>
    <t>AGUJA PARA BIOPSIA DE TEJIDOS BLANDOS 16G X 6" DE LONGITUD, SEMIAUTOMÁTICA, DESCARTABLE, ESTÉRIL.</t>
  </si>
  <si>
    <t>BOLSA DESCARTABLE PARA RECOLECTAR ORINA EN RECIÉN NÁCIDOS Y LACTANTES,AUTOADHERIBLE, GRADUADA DE 0 A 100 ML, ESTÉRIL</t>
  </si>
  <si>
    <t>PORTA LÁMINA DE CITOLOGÍA</t>
  </si>
  <si>
    <t>REGULADOR DE VACÍO AJUSTABLE CON CONEXIÓN A TOMA DE PARED TIPO OHMEDA,NIVEL DE VACÍO ESTÁNDAR (RANGO DE 0 A 300 MMHG)</t>
  </si>
  <si>
    <t>SOLUCIÓN PARA PERFUSIÓN Y CONSERVACIÓN DE ORGANOS. INCLUYE LOS MATERIALES O ACCESORIOS NECESARIOS PARA SU APLICACIÓN</t>
  </si>
  <si>
    <t>KIT PARA BIOPSIA ASISTIDA POR VACÍO, GUIADA POR ESTEREOTAXIA. INCLUYE:SONDA DESCARTABLE PARA ESTEREOTAXIA 8G X 12 CM LONGITUD, CANISTER DEVACÍO DE REMPLAZO DE 800 CC, GUÍA DE SONDA 8G DESCARTABLE, MARCADOR DELESIONES 8G.</t>
  </si>
  <si>
    <t>KIT PARA BIOPSIA ASISTIDA POR VACÍO, GUIADA POR ESTEREOTAXIA. INCLUYE:SONDA DESCARTABLE PARA ESTEREOTAXIA 10G X12 CM DE LONGITUD, CANISTERDE VACÍO DE REMPLAZO DE 800 CC, GUÍA DE SONDA 10G DESCARTABLE, MARCADOR DE LESIONES 10G.</t>
  </si>
  <si>
    <t>AGUJA CHIBA DESECHABLE # 19 DE 20 CM  DE LARGO, ± 3 CM</t>
  </si>
  <si>
    <t>AGUJA CHIBA DESECHABLE # 20 DE 20 CM  DE LARGO, ± 3 CM</t>
  </si>
  <si>
    <t>AGUJA CHIBA DESECHABLE # 21 DE 20 CM  DE LARGO, ± 3 CM</t>
  </si>
  <si>
    <t>AGUJA CHIBA DESECHABLE # 22 DE 20 CM  DE LARGO , ± 3 CM</t>
  </si>
  <si>
    <t>AGUJA DESECHABLE FRANSEEN PARA BIOPSIA PULMONAR</t>
  </si>
  <si>
    <t>AGUJA PARA TOMA DE BIOPSIA DE TEJIDO MAMARIO, CALIBRE 14 G X 10 CM DELONGITUD APROXIMADA; PARA USO CON PISTOLA AUTOMÁTICA</t>
  </si>
  <si>
    <t>AGUJA PARA TOMA DE BIOPSIA DE TEJIDO MAMARIO, CALIBRE 12G X 10 CM DE LONGITUD APROXIMADA; PARA USO CON PISTOLA AUTOMÁTICA</t>
  </si>
  <si>
    <t>EQUIPO DE BIOPSIA COAXIAL QUE CONTENGA CÁNULA COAXIAL EXTERIOR  DE 16GAUGE Y AGUJA DE CORTE DE 18 GAUGE DE 15 CM DE LONGITUD</t>
  </si>
  <si>
    <t>EQUIPO DE BIOPSIA COAXIAL QUE CONTENGA CÁNULA COAXIAL EXTERIOR  DE 19GAUGE, DE PARED ULTRA FINA Y AGUJA DE CORTE DE 20 GAUGE, DE 15 CM DE LONGITUD</t>
  </si>
  <si>
    <t>EQUIPO DE AGUJA PARA BIOPSIA ÓSEA DE CUERPOS VERTEBRALES, EXTREMIDADESY PELVIS  QUE CONTENGA PERFORADOR, ESTILETE Y GUÍA DE AGUJA COAXIAL 12 GAUGE DE DIÁMETRO Y 6 O MÁS CM DE LARGO,  AGUJA DE BIOPSIA CORTA DE14 GAUGE X 8 CM O MÁS Y UNA AGUJA DE BIOPSIA LARGA DE 14 GAUGE Y 18 OMÁS CM DE LONGITUD</t>
  </si>
  <si>
    <t>SET DE ACCESO PERCUTÁNEO, INCLUYE: UNA AGUJA DE ACCESO CHIBA TIP TIPOTROCAR 22 GAUGE DE 15 CM DE LONGITUD, GUÍA DE 0.018"  CON PUNTA DE NITINOL DE 60 CM DE LONGITUD E INTRODUCTOR TRIAXIAL, QUE CONTENGA CÁNULARECTIFICADORA DE 22 GAUGE, CON INTRODUCTOR 4 FRENCH DE 20 CM Y FUNDA DE6 FRENCH DE 18 CM, CON MARCA DISTAL RADIO-OPACA Y CUBIERTA HIDROFÍLICA</t>
  </si>
  <si>
    <t>MARCADORES DE LESIONES PARA MAMA 8 G DE DIFERENTES FORMAS PARA  BIOPSIA DE MAMA AL VACÍO, DESCARTABLE.</t>
  </si>
  <si>
    <t>MARCADORES DE LESIONES PARA MAMA 10 G DE DIFERENTES FORMAS PARA  BIOPSIA DE MAMA AL VACÍO, DESCARTABLE.</t>
  </si>
  <si>
    <t>PUNCH DÉRMICO PARA TOMA DE BIOPSIA, DE 3 MM DE DIÁMETRO, DESCARTABLE</t>
  </si>
  <si>
    <t>PUNCH DÉRMICO PARA TOMA DE BIOPSIA, DE 4 MM DE DIÁMETRO, DESCARTABLE</t>
  </si>
  <si>
    <t>PUNCH DÉRMICO PARA TOMA DE BIOPSIA, DE 5 MM DE DIÁMETRO, DESCARTABLE</t>
  </si>
  <si>
    <t>PUNCH DÉRMICO PARA TOMA DE BIOPSIA, DE6MM DE DIÁMETRO, DESCARTABLE</t>
  </si>
  <si>
    <t>AGUJA PARA BIOPSIA TIPO TRUCUT DE 19 A 25 G, EXTENSIÓN AJUSTABLE DE 0A 8 CM. ESTÉRIL, DESCARTABLE. PARA USO CON ULTRASONIDO ENDOSCOPICO</t>
  </si>
  <si>
    <t>AGUJA PARA AMNIOSCENTESIS PARA VISUALIZACIÓN MEDIANTE ULTRASONIDO, DIÁMETRO 20 GAUGE Y LONGITUD DE 14 A 16 CM</t>
  </si>
  <si>
    <t>CÁNULA PARA OBTENCIÓN DE MUESTRAS DE ENDOMETRIO, (CONSTA DE CÁNULA Y JERINGA DE ASPIRACIÓN), EMPAQUE INDIVIDUAL, DESCARTABLE, ESTERIL</t>
  </si>
  <si>
    <t>ESPÁTULA  DE MADERA  PARA FROTIS  GINECOLOGICA. PAQUETE 100 UNIDADES</t>
  </si>
  <si>
    <t>DISPOSITIVO PARA ASPIRACIÓN MANUAL ENDOUTERINA QUE INCLUYE JERINGA ASPIRADORA DE AL MENOS 60 CC Y JUEGO DE CÁNULAS CON DIÁMETROS DESDE LOS 4HASTA LOS 12 MM</t>
  </si>
  <si>
    <t>AGUJA DE BIOPSIA PROSTATICA TRANSRECTAL, DE 18 G X 20 CM, DESCARTABLE,PARA UTILIZAR CON PISTOLA.</t>
  </si>
  <si>
    <t>AGUJA DE BIOPSIA PROSTATICA TRANSRECTAL, DE 16 G X 20 CM, DESCARTABLE,PARA UTILIZAR CON PISTOLA</t>
  </si>
  <si>
    <t>DISPOSITIVO DE AGUJA PARA TOMA DE BIOPSIA PROSTATICA AUTOMÁTICA DE MEDIDAS 18 G X 21 CM DE LONGITUD DESCARTABLE</t>
  </si>
  <si>
    <t>ADAPTADOR PARA BIOPSIAS DE PROSTATA PARA UTILIZAR EN TRANSDUCTOR ENDOCAVITARIO.</t>
  </si>
  <si>
    <t>CUBETA DE TIEMPO DE COAGULACIÓN ACTIVADA PRECARGADA PARA EL SEGUIMIENTO DE ALTAS DOSIS DE HEPARINA.</t>
  </si>
  <si>
    <t>SET PARA BIOPSIA TRANSYUGULAR DE HÍGADO, QUE CONTENGA AGUJA COLA DE PINTO DE 16 GAUGE CON LONGITUD DE 450 CM O MÁS , QUE CONTENGA IN TRODUCTOR 10 FRENCH, CON LONGITUD DE 38 CM O MÁS</t>
  </si>
  <si>
    <t>SET PARA BIOPSIA TRANSYUGULAR DE HIGADO O RIÑON, QUE CONTENGA: AGUJA AUTOMÁTICA TIPO TRU-CUT DE 18 GAUGE O MÁS, DE 2 CM DE SALIDA TRAS EL DISPARO, LONGITUD DE 60 CM, QUE CONTENGA INTRODUCTOR  DE 7 FRENCH O MAYOR</t>
  </si>
  <si>
    <t>BOLSA PARA RECUPERAR ESPECIMEN DE  10 - 13 CM DE DIÁMETRO Y 15 - 25 CMDE ALTO, CON INTRODUCTOR  LAPAROSCOPICO DE 15 MM DE DIÁMETRO</t>
  </si>
  <si>
    <t>BOLSA PARA RECUPERAR ESPECIMEN DE 6- 10 CM DE DIÁMETRO Y 10   15 CMDEALTO, CON INTRODUCTOR  LAPAROSCOPICO DE 10 MM DE DIÁMETRO</t>
  </si>
  <si>
    <t>BOLSA RECOLECTORA DE LECHE MATERNA</t>
  </si>
  <si>
    <t>REGULADOR DE VACÍO AJUSTABLE CON CONEXIÓN A TOMA DE PARED TIPO OHMEDA,NIVEL DE VACÍO ALTO (RANGO DE 0 A 760 MMHG)</t>
  </si>
  <si>
    <t>REGULADOR DE VACÍO AJUSTABLE CON CONEXIÓN A TOMA DE PARED TIPO CHEMETRON, NIVEL DE VACÍO ESTÁNDAR (RANGO DE 0 A 300 MMHG)</t>
  </si>
  <si>
    <t>REGULADOR DE VACÍO AJUSTABLE CON CONEXIÓN A TOMA DE PARED TIPO CHEMETRON, NIVEL DE VACÍO ALTO (RANGO DE 0 A 760 MMHG)</t>
  </si>
  <si>
    <t>PAQUETE FRIO DE 0.6 L RELLENABLE CON AGUA PARA CONSERVACIÓN DE CADENADE FRÍO DE VACUNAS</t>
  </si>
  <si>
    <t>PAQUETE FRIO DE 0.4 L RELLENABLE CON AGUA PARA CONSERVACIÓN DE CADENADE FRÍO DE VACUNAS</t>
  </si>
  <si>
    <t>PAQUETE FRIO DE 0.3 L RELLENABLE CON AGUA PARA CONSERVACIÓN DE CADENADE FRÍO DE VACUNAS</t>
  </si>
  <si>
    <t>PUNCH DÉRMICO PARA TOMA DE BIOPSIA, DE 7 MM DE DIÁMETRO, DESCARTABLE</t>
  </si>
  <si>
    <t>PUNCH DÉRMICO PARA TOMA DE BIOPSIA, DE 8 MM DE DIÁMETRO, DESCARTABLE</t>
  </si>
  <si>
    <t>JERINGA DESCARTABLE DE 1 CC, AGUJA INCORPORADA DE 23 G X 1"</t>
  </si>
  <si>
    <t>JERINGA DESCARTABLE DE 1 CC, AGUJA INCORPORADA DE 25 G X 5/8"</t>
  </si>
  <si>
    <t>JERINGA DESCARTABLE DE 1 CC, AGUJA INCORPORADA DE 22 G X 1 1/2"</t>
  </si>
  <si>
    <t>JERINGA DESCARTABLE DE 1 CC, AGUJA INCORPORADA DE 26 G X 3/8"</t>
  </si>
  <si>
    <t>JERINGA DESCARTABLE DE 5 ML DE 22 G X 1 1/4"</t>
  </si>
  <si>
    <t>JERINGA AUTO-DESACTIVABLE DE 0.5 CC, AGUJA INCORPORADA DE 23 G X 1"</t>
  </si>
  <si>
    <t>JERINGA AUTO-DESACTIVABLE DE 0.5 CC, AGUJA INCORPORADA DE 25 G X 5/8"</t>
  </si>
  <si>
    <t>JERINGA AUTO-DESACTIVABLE DE 0.5 CC, AGUJA INCORPORADA DE 22 G X 1 1/2"</t>
  </si>
  <si>
    <t>JERINGA AUTO-DESACTIVABLE DE 0.05 CC, AGUJA INCORPORADA DE 26 G X 3/8"</t>
  </si>
  <si>
    <t>JERINGA AUTO-DESACTIVABLE DE 0.1 CC, AGUJA INCORPORADA DE 27 G X 3/8"</t>
  </si>
  <si>
    <t>JERINGA DESCARTABLE DE 5 ML DE 22 G X 1 1/2"</t>
  </si>
  <si>
    <t>AGUJAS PARA ESCLEROSIS DE VARICES (DESCARTABLES).</t>
  </si>
  <si>
    <t>CÁNULA PARA FÍSTULA ARTERIOVENOSA CON AGUJA 16G X 1 1/4" DE LONGITUD YCATÉTER DE EXTENSIÓN SILICÓNIZADA DE 12" A 15" DE LONGITUD, CON INTERRUPTOR, DESCARTABLE.</t>
  </si>
  <si>
    <t>AGUJA CATÉTER INTRAVENOSA 14 G, LONGITUD DE CATÉTER DE 1"-1 1/4" DE POLIURETANO RADIOPACO, ESTÉRIL, DESCARTABLE.</t>
  </si>
  <si>
    <t>AGUJA CATÉTER INTRAVENOSA 16 G, LONGITUD DE CATÉTER DE 1"-1 1/4", DE POLIURETANO, RADIOPACO, ESTÉRIL, DESCARTABLE.</t>
  </si>
  <si>
    <t>AGUJA CATÉTER INTRAVENOSA 18 G, LONGITUD DE CATÉTER DE 1" - 1 1/4", DEPOLIURETANO, RADIOPACO, ESTÉRIL, DESCARTABLE.</t>
  </si>
  <si>
    <t>AGUJA CATÉTER INTRAVENOSA 20 G, LONGITUD DE CATÉTER DE 1"- 1 1/4", DEPOLIURETANO, RADIOPACO, SIN PUERTO DE ENTRADA NI ARANDELA, ESTÉRIL, DESCARTABLE.</t>
  </si>
  <si>
    <t>AGUJA CATÉTER INTRAVENOSA 22 G, LONGITUD DE CATÉTER DE 1"- 1 1/4", DEPOLIURETANO, RADIOPACO, SIN PUERTO DE ENTRADA NI ARANDELA, ESTÉRIL, DESCARTABLE.</t>
  </si>
  <si>
    <t>AGUJA CATÉTER INTRAVENOSA 24 G, LONGITUD DE CATÉTER DE 3/4" - 1", DE POLIURETANO, RADIOPACO, ESTÉRIL, DESCARTABLE.</t>
  </si>
  <si>
    <t>AGUJA PARA PUNCIÓN ARTERIAL TIPO POTTS COURNAND, DIÁMETRO 18 G, LONGITUD ENTRE 5 A 7 CM, PARED DELGADA, ESTÉRIL, DESCARTABLE.</t>
  </si>
  <si>
    <t>AGUJA HIPODÉRMICA 21G, 1 1/2" DE LONGITUD,  DESCARTABLE, ESTÉRIL.</t>
  </si>
  <si>
    <t>AGUJA HIPODÉRMICA  21G, 1" DE LONGITUD,  DESCARTABLE, ESTÉRIL.</t>
  </si>
  <si>
    <t>AGUJA HIPODÉRMICA  23 G, 1" DE LONGITUD,  DESCARTABLE, ESTÉRIL.</t>
  </si>
  <si>
    <t>AGUJA HIPODÉRMICA  25G, 5/8" O 1/2" DE LONGITUD,  DESCARTABLE, ESTÉRIL.</t>
  </si>
  <si>
    <t>AGUJA HIPODÉRMICA  26G, 1/2" DE LONGITUD, DESCARTABLE, ESTÉRIL.</t>
  </si>
  <si>
    <t>AGUJA HIPODÉRMICA 18G, 1 1/2" DE LONGITUD,  DESCARTABLE, ESTÉRIL.</t>
  </si>
  <si>
    <t>AGUJA HIPODÉRMICA 20G, 1 1/2" DE LONGITUD,  DESCARTABLE, ESTÉRIL.</t>
  </si>
  <si>
    <t>AGUJA HIPODÉRMICA 23G, 1 1/2" DE LONGITUD,  DESCARTABLE, ESTÉRIL.</t>
  </si>
  <si>
    <t>AGUJA HIPODÉRMICA 24G, 1" DE LONGITUD, DESCARTABLE, ESTÉRIL.</t>
  </si>
  <si>
    <t>AGUJA PARA INFUSIÓN INTRAVENOSA #19 DE 3/4", CON TUBO DE EXTENSIÓN DE12", TIPO MARIPOSA, DESCARTABLE.</t>
  </si>
  <si>
    <t>AGUJA PARA INFUSIÓN INTRAVENOSA #21 DE 3/4", CON TUBO DE EXTENSIÓN DE12", TIPO MARIPOSA, DESCARTABLE.</t>
  </si>
  <si>
    <t>AGUJA HIPODÉRMICA  30G, 1/2" DE LONGITUD, ESTÉRIL, DESCARTABLE.</t>
  </si>
  <si>
    <t>CATÉTER PARA ARTERIA UMBILICAL, DOBLE LUMEN, CON LÍNEA CENTÍNELA RADIOPACA, NUMERADO EN CENTÍMETROS, LONGITUD ENTRE 11" A 13", DIÁMETRO 2.5FRENCH, ADAPTADOR LUER LOCK PARA DESCARTABLE DE VENOCLISIS EN AMBOS LUMEN, PUNTA REDONDEADA ATRAUMÁTICA, DESCARTABLE.</t>
  </si>
  <si>
    <t>CATÉTER VENOSO CENTRAL PARA NEONATOS, DE 2 VÍAS, DIÁMETRO ENTRE 1.8 Y2.0 FRENCH, ENTRE 25 A 30 CM DE LONGITUD, CON INTRODUCTOR, AGUJA, DILATADOR, GUÍA METÁLICA PUNTA EN "J", Y DISPOSITIVOS DE FIJACIÓN A PIEL,ESTÉRIL, POLIURETANO LIBRE DE LÁTEX, DESCARTABLE.</t>
  </si>
  <si>
    <t>CATÉTER PARA ARTERIA UMBILICAL, DOBLE LUMEN, CON LÍNEA CENTINELA RADIOPACA, NUMERADO EN CENTÍMETROS, LONGITUD ENTRE 11" A 13", DIÁMETRO DE 3.5 FRENCH, ADAPTADOR LUER LOCK PARA DESCARTABLE DE VENOCLISIS EN AMBOSLUMEN, PUNTA REDONDEADA ATRAUMÁTICA, DESCARTABLE.</t>
  </si>
  <si>
    <t>CATÉTER VENOSO CENTRAL DE TRES VÍAS, USO DE LARGA EVOLUCIÓN CON CUBIERTA QUE EVITE CRECIMIENTO BACTERIANO, UNA VÍA 16G Y DOS VÍAS 18G, DIÁMETRO 7 FRENCH, LONGITUD DE 20 A 30 CM, CON INTRODUCTOR, AGUJA, DILATADOR, GUÍA METÁLICA PUNTA EN "J" Y DISPOSITIVOS DE FIJACIÓN A PIEL, RADIOPACO ,ESTÉRIL, DESCARTABLE.</t>
  </si>
  <si>
    <t>CATÉTER VENOSO CENTRAL DE DOS O TRES VÍAS, CON DIÁMETRO DE 5 FRENCH, LONGITUD DE 20 A 30 CM, CON INTRODUCTOR, AGUJA, DILATADOR, GUÍA METÁLICA PUNTA EN "J" Y DISPOSITIVOS DE FIJACIÓN A PIEL, ESTÉRIL, DESCARTABLE.</t>
  </si>
  <si>
    <t>CATÉTER VENOSO CENTRAL DE DOS O TRES VÍAS, DIÁMETRO DE 3.5 A 4 FRENCH,LONGITUD DE 20 A 30 CM, CON INTRODUCTOR, AGUJA, DILATADOR, GUÍA METÁLICA PUNTA EN "J" Y DISPOSITIVOS DE FIJACIÓN A PIEL, ESTÉRIL, DESCARTABLE.</t>
  </si>
  <si>
    <t>CÁNULA PARA FÍSTULA ARTERIOVENOSA CON AGUJA 16G X 1" DE LONGITUD y CATÉTER DE EXTENSIÓN SILICÓNIZADA DE 5" A 15" DE LONGITUD, CON IN TERRUPTOR, DESCARTABLE.</t>
  </si>
  <si>
    <t>CATÉTER PARA SUCCIÓN, TRANSPARENTE, NUMERADA EN CENTÍMETROS, ATRAUMÁTICA, CON REGULACIÓN DE VACÍO, DESCARTABLE, 54-60 CM DE LONGITUD, DIÁMETRO 12 FRENCH, SUCCIÓN EN LA PUNTA Y 2 VENTANAS LATERALES, ESTÉRIL, DESCARTABLE.</t>
  </si>
  <si>
    <t>DESCARTABLE EXTENSIÓN SET SECUNDARIO PARA LÍQUIDOS ENDOVENOSOS, ESTÉRIL.</t>
  </si>
  <si>
    <t>CATÉTER DOBLE LUMEN PARA HEMODIÁLISIS, DE USO PERMANENTE DE 14 A 15.5FRENCH, 40 A 55 CM, CON EXTENSIÓN CURVA, GUÍA METÁLICA, CON EXTREMO EN"J", AGUJA INTRODUCTORA, DILATADOR Y DOS TAPONES.</t>
  </si>
  <si>
    <t>CATÉTER ARTERIAL QUE INCLUYE AGUJA INTRODUCTORA 20G, DE 2" DE LONGITUD, ALAMBRE GUÍA Y CATÉTER RADIOPACO, ESTÉRIL, DESCARTABLE.</t>
  </si>
  <si>
    <t>CATÉTER DE ARTERIA PULMONAR 7 FRENCH CON CUBIERTA PLÁSTICA DE 4 LUMEN,PROXIMAL Y DISTAL CON ADAPTADOR LUER LOCK, DESCARTABLE.</t>
  </si>
  <si>
    <t>CATÉTER DE EXTENSIÓN CON CONECTOR SIMPLES HEMBRA Y MACHO LUER LOCK, DE30 - 40 CM DE LONGITUD, ESTÉRIL, DESCARTABLE.</t>
  </si>
  <si>
    <t>CATÉTER DE EXTENSIÓN CON CONECTORES SIMPLES HEMBRA Y MACHO LUER LOCK,DE 150 CM - 200 CM DE LONGITUD, ESTÉRIL, DESCARTABLE.</t>
  </si>
  <si>
    <t>CATÉTER PARA ARTERIA UMBILICAL, CON LÍNEA CENTINELA RADIOPACA, NUMERADO EN CENTÍMETROS, LONGITUD DE 14"-15", DIÁMETRO 5 FRENCH, ADAPTADOR PARA DESCARTABLE DE VENOCLISIS, PUNTA ATRAUMÁTICA, DESCARTABLE.</t>
  </si>
  <si>
    <t>CATÉTER PARA ARTERIA UMBILICAL, CON LÍNEA CENTINELA RADIOPACA, NUMERADO EN CENTÍMETROS, LONGITUD DE 14" - 15", DIÁMETRO 3.5 FRENCH, ADAPTADOR PARA DESCARTABLE DE VENOCLISIS, PUNTA ATRAUMÁTICA, DESCARTABLE.</t>
  </si>
  <si>
    <t>CATÉTER PARA SUCCIÓN, TRANSPARENTE, NUMERADA EN CENTÍMETROS, ATRAUMÁTICA, CON REGULACIÓN DE VACÍO, 36-42 CM DE LONGITUD, DIÁMETRO 8 FRENCH,SUCCIÓN EN LA PUNTA Y 2 VENTANAS LATERALES, ESTÉRIL, DESCARTABLE.</t>
  </si>
  <si>
    <t>CATÉTER PARA SUCCIÓN, TRANSPARENTE, NUMERADA EN CENTÍMETROS, ATRAUMÁTICA, CON REGULACIÓN DE VACÍO, 36-42 CM DE LONGITUD , DIÁMETRO 6 FRENCH,SUCCIÓN EN LA PUNTA, ESTÉRIL,  DESCARTABLE.</t>
  </si>
  <si>
    <t>CATÉTER PARA SUCCIÓN, TRANSPARENTE, NUMERADA EN CENTÍMETROS, ATRAUMÁTICA, CON REGULACIÓN DE VACÍO, 54-60 CM DE LONGITUD , DIÁMETRO 14 FRENCH, SUCCIÓN EN LA PUNTA Y 2 VENTANAS LATERALES, ESTÉRIL, DESCARTABLE.</t>
  </si>
  <si>
    <t>CATÉTER PARA TROMBÓLISIS, MULTIPERFORADO O CON DOBLE BALÓN PARA INFUSIÓN SUCCIÓN, CALIBRE 5 A 8 FRENCH, COMPATIBLE CON GUÍA 0.035", DE 80 -150 CM DE LONGITUD, CON MARCADORES RADIOPACOS,</t>
  </si>
  <si>
    <t>CATÉTER VENOSO  CENTRAL DE DOS VÍAS, PARA INTRODUCCIÓN PERCUTÁNEA PORVENA PERIFÉRICA DE MIEMBRO SUPERIOR, LONGITUD ENTRE 22 A 27 PULGADAS,CON INTRODUCTOR, AGUJA, DILATADOR, GUÍA METÁLICA PUNTA EN "J" Y DISPOSITIVOS DE FIJACIÓN A PIEL, RADIOPACO, ESTÉRIL, DESCARTABLE.</t>
  </si>
  <si>
    <t>CATÉTER VENOSO 7 FRENCH DE 3 VÍAS, 20 - 30 CM DE LONGITUD, CON UNA VÍADE16G y DOS VÍAS 18 G, CON INTRODUCTOR, AGUJA,  DILATADOR, GUÍA METÁLICA PUNTA EN "J" Y DISPOSITIVOS DE FIJACIÓN A PIEL, ESTÉRIL, DESCARTABLE.</t>
  </si>
  <si>
    <t>CATÉTER VENOSO CENTRAL DE DOS VÍAS, DIÁMETRO 7 FRENCH, LONGITUD DE 20A 30 CM, CON INTRODUCTOR, AGUJA, DILATADOR, GUÍA METÁLICA PUNTA EN "J"Y DISPOSITIVOS DE FIJACIÓN A PIEL, RADIOPACO, ESTÉRIL, DESCARTABLE.</t>
  </si>
  <si>
    <t>CATÉTER VENOSO CENTRAL DE UNA VÍA, DIÁMETRO 5 FRENCH, LONGITUD DE 20 A30 CM, CON INTRODUCTOR, AGUJA, DILATADOR, GUÍA METÁLICA PUNTA EN "J"YDISPOSITIVOS DE FIJACIÓN A PIEL, RADIOPACO, ESTÉRIL, DESCARTABLE.</t>
  </si>
  <si>
    <t>DESCARTABLE OSCURO PARA BOMBA DE INFUSIÓN VOLUMÉTRICA, CON ADAPTADOR LUER LOCK, EMPAQUE INDIVIDUAL ESTÉRIL, CON PUERTO ACCESORIO EN "Y" SINUSO DE AGUJA, PARA LA ADMINISTRACIÓN DE MEDICAMENTO FOTOSENSIBLE.</t>
  </si>
  <si>
    <t>DESCARTABLE PARA BOMBA DE DOLOR DE TIPO PCA.</t>
  </si>
  <si>
    <t>DESCARTABLE PARA VENOCLISIS CON ADAPTADOR UNIVERSAL AL FRASCO Y SIN AGUJA, CON FILTRO DE VENTILACIÓN CON ADAPTADOR DE LUER LOCK, CON   DISPOSITIVO PARA INYECTAR PRÓXIMO AL PACIENTE.</t>
  </si>
  <si>
    <t>DESCARTABLE TRANSPARENTE PARA BOMBA DE INFUSIÓN VOLUMÉTRICA, CON ADAPTADOR LUER LOCK, EMPAQUE INDIVIDUAL ESTÉRIL, CON PUERTO ACCESORIO EN "Y" SIN USO DE AGUJA.</t>
  </si>
  <si>
    <t>SISTEMA IMPLANTABLE PARA ACCESO VENOSO CENTRAL PARA ADULTO QUE INCLUYA: CÁMARA DE TITANIO CON MEMBRANA DE SILICÓN PARA MÚLTIPLES PUNCIÓNES.CATÉTER VENOSO DE SILICÓN DE 6 A 9 FRENCH DE DIÁMETRO Y DE 70 A 80 CMDE LONGITUD. TUNELIZADOR, AGUJA Y GUÍA COMPATIBLES.</t>
  </si>
  <si>
    <t>EXTENSOR OSCURO, PARA JERINGA DE BOMBA PERFUSORA, CON ADAPTADOR LUER LOCK, LONGITUD DE 140 - 160 CM, DESCARTABLE, ESTÉRIL, PARA LA ADM INISTRACIÓN DE MEDICAMENTO FOTOSENSIBLE.</t>
  </si>
  <si>
    <t>EXTENSOR TRANSPARENTE, PARA JERINGA DE BOMBA PERFUSORA, CON ADAPTADORLUER LOCK, LONGITUD DE 140 - 160 CM, DESCARTABLE, ESTÉRIL.</t>
  </si>
  <si>
    <t>INFUSOR INTRAVENOSO, GRADUADO, CON MICROGOTERO DE 0 - 100 ML., ESTÉRIL, DESCARTABLE.</t>
  </si>
  <si>
    <t>JERINGA PARA INSULINA DE 1 ML CON AGUJA INCORPORADA, ESCALA DE MEDICIÓN DE 100 UNIDADES CON INTERVALOS DE 10, AGUJA 28 - 30 G X 3/8 - 1/2",DESCARTABLE, ESTÉRIL.</t>
  </si>
  <si>
    <t>JERINGA PARA TUBERCULINA DE 1 ML CON ADAPTADOR LUER SLIP, AGUJA INCORPORADA, ESCALA DE MEDICIÓN CON INTERVALOS DE 0.01 ML, AGUJA 26- 27 G X3/8 - 1/2", DESCARTABLE, ESTÉRIL.</t>
  </si>
  <si>
    <t>JERINGA TRANSPARENTE DE 20 A 30 ML PARA BOMBA PERFUSORA, ANTIREFLUJO,SIN AGUJA, CON ADAPTADOR LUER LOCK, GRADUADA, DESCARTABLE, ESTÉRIL.</t>
  </si>
  <si>
    <t>JERINGA TRANSPARENTE DE 50 A 60 ML PARA BOMBA PERFUSORA, ANTIREFLUJO,CON ADAPTADOR LUER LOCK, GRADUADA, DESCARTABLE, ESTÉRIL.</t>
  </si>
  <si>
    <t>LLAVE  DE 3 VÍAS CON  2 ADAPTADORES HEMBRA LUER LOCK Y UNO MACHO SIMPLE, DESCARTABLE, ESTÉRIL.</t>
  </si>
  <si>
    <t>INTRODUCTOR VASCULAR CON VÁLVULA HEMOSTÁTICA CON DIÁMETRO DE 14 FRENCHY LONGITUD HASTA 30 CM, COMPATIBLE CON GUIA 0.035" O MENOR</t>
  </si>
  <si>
    <t>SET DE INFUSIÓN CON PUERTO EN "Y", Y AGUJA TIPO MARIPOSA DE 20 G X 19mm A 26 mm” DE LONGITUD, EN ÁNGULO DE 90 GRADOS CON EXTENSIÓN DE 8".</t>
  </si>
  <si>
    <t>SET DE INFUSIÓN CON PUERTO EN "Y", Y AGUJA TIPO MARIPOSA DE 19 G X 19mm A 26 mm" DE LONGITUD, EN ÁNGULO DE 90 GRADOS CON EXTENSIÓN DE 8".</t>
  </si>
  <si>
    <t>SISTEMA DE DRENAJE CERRADO CON EFECTO DE SUCCIÓN, TUBO DE DRENAJE CONEXTREMO PLANO DE SILICÓN DE 10 MM CON PERFORACIONES, RADIOPACO, DEPÓSITO CON CAPACIDAD ENTRE 100 A 200 ML, VÁLVULA ANTIREFLUJO Y TAPA PARA VACIADO DE LÍQUIDOS, INCLUYE TROCAR.</t>
  </si>
  <si>
    <t>TAPÓN DE CIERRE CON MEMBRANA DE SILICÓN PARA DISPOSITIVOS INTRAVASCULARES.</t>
  </si>
  <si>
    <t>TUBO CONECTOR DE PLÁSTICO, UNIVERSAL, PARA VARIAS MEDIDAS DE CATÉTER,TIPO COCODRILO.</t>
  </si>
  <si>
    <t>UNIDAD DE TRANSFERENCIA ESTÉRIL PARA LÍQUIDOS ENDOVENOSOS.</t>
  </si>
  <si>
    <t>BOMBA DE INFUSIÓN CONTÍNUA ELASTOMÉRICA MULTIFLUJO, CON CAPACIDAD DE VOLUMEN TOTAL DE 250 CC COMO MÍNIMO Y VELOCIDAD DE INFUSIÓN DE 4 A 10 CC/H, CON LINEA DESCARTABLE Y FILTRO DE AIRE, QUE INCLUYA ESTUCHE PORTÁTIL O CANGURERA.</t>
  </si>
  <si>
    <t>CONECTOR O PUERTO DE INYECCIÓN SIN UTILIZACIÓN DE AGUJA, COMPATIBLE CON CONECTORES LUER.</t>
  </si>
  <si>
    <t>CONECTOR CON SELLO Y CIERRE AUTOMÁTICO SIN UTILIZACIÓN DE AGUJA, PARAACCESAR A BOLSAS Y FRASCOS MULTIDOSIS.</t>
  </si>
  <si>
    <t>CATÉTER DOBLE LUMEN PARA HEMODIÁLISIS, DE 11 FRENCH A 12 FRENCH,  DE 15 CM A 16 CM DE LONGITUD, PRE-CURVADO, INCLUYE: GUÍA METÁLICA CON EXTREMO EN "J", AGUJA INTRODUCTORA, DILATADOR Y DOS TAPONES.</t>
  </si>
  <si>
    <t>CATÉTER DOBLE LUMEN PARA HEMODIÁLISIS, DE 11 FRENCH A 12 FRENCH, 20 CMDE LONGITUD, PRE-CURVADO, INCLUYE: GUÍA METÁLICA CON EXTREMO EN "J" ,AGUJA INTRODUCTORA, DILATADOR Y DOS TAPONES.</t>
  </si>
  <si>
    <t>SISTEMA CERRADO CON EFECTO DE SUCCIÓN, DEPÓSITO CON CAPACIDAD ENTRE 400 A 450 ML, VÁLVULA ANTIREFLUJO, TAPA PARA VACIADO DE LÍQUIDOS, TUBO DE DRENAJE PLANO DE SILICONA CON LÍNEA RADIOPACA DETECTABLE MEDIANTE RAYOS X, EXTREMO CON PERFORACIONES PARA FACILITAR EL DRENAJE, INCLUYE TROCAR.</t>
  </si>
  <si>
    <t>SISTEMA DE DRENAJE CERRADO CON EFECTO DE SUCCIÓN # 24,  DE SILICÓN, REDONDO, ACANALADO, DEPÓSITO CON CAPACIDAD ENTRE 100 A 200 ML, TAPA PARAVACIADO DE LÍQUIDOS. INCLUYE TROCAR.</t>
  </si>
  <si>
    <t>CATÉTER TORÁCICO # 8, CON PUNZÓN, DESCARTABLE, ESTÉRIL</t>
  </si>
  <si>
    <t>CATÉTER TORÁCICO # 16, CON PUNZÓN, DESCARTABLE, ESTÉRIL</t>
  </si>
  <si>
    <t>CATÉTER TORÁCICO # 20, CON PUNZÓN, DESCARTABLE, ESTÉRIL</t>
  </si>
  <si>
    <t>CATÉTER TORÁCICO # 24, CON PUNZÓN, DESCARTABLE, ESTÉRIL</t>
  </si>
  <si>
    <t>SISTEMA CERRADO DE DRENAJE TORÁCICO PEDIÁTRICO, ESTÉRIL, CON ESCALA MEDIDORA DE PRESIÓN Y DESCARTABLE, 3 CÁMARAS, CAPACIDAD DE LA BOLSA DE 500 - 1500 CC</t>
  </si>
  <si>
    <t>SONDA NASOGÁSTRICA, DIÁMETRO 12 FRENCH, LONGITUD DE 100 A 120 CM O SUEQUIVALENTE EN PULGADAS, MARCADA EN CENTÍMETROS Ó PULGADAS, CON SISTEMA DE CIERRE, TRANSPARENTE, DESCARTABLE, ESTÉRIL</t>
  </si>
  <si>
    <t>SONDA PARA ASPIRAR SECRECIONES BUCALES # 10</t>
  </si>
  <si>
    <t>BOLSA PARA DRENAJE URINARIO, TRANSPARENTE, CON BANDAS DE FIJACIÓN AJUSTABLE A PIERNA, CAPACIDAD 500 A 750 ML. CON VÁLVULA DE VACIADO , EMPAQUE ESTÉRIL, DESCARTABLE.</t>
  </si>
  <si>
    <t>BOLSA PARA DRENO, CAPACIDAD DE 200 - 300 ML, CON ADHESIVO A PIEL Y VÁLVULA DE VACIADO, DESCARTABLE, ESTÉRIL</t>
  </si>
  <si>
    <t>CATÉTER TORÁCICO # 10, CON PUNZÓN, DESCARTABLE, ESTÉRIL</t>
  </si>
  <si>
    <t>CATÉTER TORÁCICO # 12, CON PUNZÓN, DESCARTABLE, ESTÉRIL</t>
  </si>
  <si>
    <t>CATÉTER TORÁCICO # 14, CON PUNZÓN, DESCARTABLE, ESTÉRIL</t>
  </si>
  <si>
    <t>CATÉTER TORÁCICO RECTO, # 28, DESCARTABLE. ESTÉRIL</t>
  </si>
  <si>
    <t>CATÉTER TORÁCICO RECTO, # 32, DESCARTABLE ESTÉRIL</t>
  </si>
  <si>
    <t>CATÉTER TORÁCICO RECTO, # 36, DESCARTABLE ESTÉRIL</t>
  </si>
  <si>
    <t>DRENO BLANDO DE HULE DE 45 CM X 25MM, EN EMPAQUE INDIVIDUAL.</t>
  </si>
  <si>
    <t>DRENO BLANDO DE HULE DE 45 CM X 12MM, EN EMPAQUE INDIVIDUAL.</t>
  </si>
  <si>
    <t>DRENO BLANDO DE HULE DE  45 CM X 6MM, EN EMPAQUE INDIVIDUAL.</t>
  </si>
  <si>
    <t>DRENO BLANDO DE HULE DE 45CM X 9,5MM, EN EMPAQUE INDIVIDUAL.</t>
  </si>
  <si>
    <t>DRENO BLANDO DE HULE DE 45CM X 15MM, EN EMPAQUE INDIVIDUAL ESTÉRIL.</t>
  </si>
  <si>
    <t>FRASCO RECOLECTOR PARA SUCCIÓN, CAPACIDAD DE 1000 A 1200 CC, DE MATERIAL PLÁSTICO, CON BRACKET, TAPADERA Y TRAMPA DE SOBREFLUJO</t>
  </si>
  <si>
    <t>SISTEMA CERRADO CON EFECTO DE SUCCIÓN, DEPÓSITO CON CAPACIDAD ENTRE 400 A 450 ML, VÁLVULA ANTIREFLUJO, TAPA PARA VACIADO DE LÍQUIDOS, TUBO DE DRENAJE DE PVC CON LINEA RADIOPACA, EXTREMO CON PERFORACIONES PARA FACILITAR EL DRENAJE, INCLUYE TROCAR</t>
  </si>
  <si>
    <t>SISTEMA CERRADO DE DRENAJE TORÁCICO, ESTÉRIL, CON ESCALA MEDIDORA DE PRESIÓN Y DESCARTABLE, 3 CÁMARAS, CAPACIDAD DE LA BOLSA DE 1000  - 2500ML</t>
  </si>
  <si>
    <t>SISTEMA CERRADO PARA DRENAJE URINARIO CON CAJA CUENTA GOTAS DE 500 - 600 ML, VÁLVULA ANTIRREFLUJO CON BOLSA RECOLECTORA CON DRENAJE AL EXTERIOR, CON CAPACIDAD DE 1500 - 2000 ML, CON SISTEMA DE BLOQUEO</t>
  </si>
  <si>
    <t>SISTEMA DE DRENAJE CERRADO CON EFECTO DE SUCCIÓN # 15,  DE SILICÓN, REDONDO, ACANALADO, DEPÓSITO CON CAPACIDAD ENTRE 100 A 200 ML, TAPA PARAVACIADO DE LÍQUIDOS. INCLUYE TROCAR</t>
  </si>
  <si>
    <t>SISTEMA DE DRENAJE CERRADO CON EFECTO DE SUCCIÓN # 19, DE SILICÓN, REDONDO, ACANALADO, DEPÓSITO CON CAPACIDAD ENTRE 100 A 200 ML, TAPA PARAVACIADO DE LÍQUIDOS. INCLUYE PUNZÓN PARA TUNELIZACIÓN</t>
  </si>
  <si>
    <t>SISTEMA DE DRENAJE URINARIO CERRADO CON VÁLVULA DE ANTIRREFLUJO, CON CAPACIDAD DE 1500 - 1600 ML., CON TUBO DE CONEXION DE PVC DE 3/ 8 DE DIÁMETRO INTERNO, CON TUBO PARA TOMA DE MUESTRAS Y CLAMP INTERRUPTOR. ESTÉRIL.</t>
  </si>
  <si>
    <t>SONDA NASOGÁSTRICA, DIÁMETRO 10 FRENCH, LONGITUD DE 100 A 120 CM O SUEQUIVALENTE EN PULGADAS, MARCADA EN CENTIMETROS Ó PULGADAS, CON  SISTEMA DE CIERRE, TRANSPARENTE, DESCARTABLE, ESTÉRIL</t>
  </si>
  <si>
    <t>SONDA NASOGÁSTRICA, DIÁMETRO 5 FRENCH, LONGITUD DE 35 A 40 CM O SU EQUIVALENTE EN PULGADAS, MARCADA EN CENTIMETROS Ó PULGADAS, CON SISTEMA DE CIERRE, TRANSPARENTE, DESCARTABLE, ESTÉRIL</t>
  </si>
  <si>
    <t>SONDA DE ALIMENTACIÓN, DIÁMETRO 8 FRENCH, DE P. V. C. GRADO MÉDICO, MARCADA EN CENTIMETROS Ó PULGADAS, DESCARTABLE DE 35 - 40 CM O SU EQUIVALENTE EN PULGADAS, ESTÉRIL</t>
  </si>
  <si>
    <t>SONDA EN T PARA DRENAJE DE VÍAS BILIARES, 12 FRENCH, TIPO KEHR</t>
  </si>
  <si>
    <t>SONDA EN T PARA DRENAJE DE VÍAS BILIARES, 14 FRENCH, TIPO KEHR</t>
  </si>
  <si>
    <t>SONDA T, DRENAJE VÍAS BILIARES, 16FR, SILICONIZADA</t>
  </si>
  <si>
    <t>SONDA T, DRENAJE VÍAS BILIARES, 18FR, SILICONIZADA</t>
  </si>
  <si>
    <t>SONDA T, DRENAJE VÍAS BILIARES, 20FR, SILICONIZADA</t>
  </si>
  <si>
    <t>SONDA FOLEY # 10, BALÓN 3 - 5 ML, SILICONIZADA</t>
  </si>
  <si>
    <t>SONDA FOLEY # 12, BALÓN 5 - 15 ML, SILICONIZADA</t>
  </si>
  <si>
    <t>SONDA FOLEY # 14, BALÓN 15 - 30 ML, SILICONIZADA</t>
  </si>
  <si>
    <t>SONDA FOLEY # 16, BALÓN 15 - 30 ML, SILICONIZADA</t>
  </si>
  <si>
    <t>SONDA FOLEY # 16, DE 3 VÍAS, BALÓN 14 - 30 ML SILICONIZADA</t>
  </si>
  <si>
    <t>SONDA FOLEY # 18, BALÓN 15 - 30 ML, SILICONIZADA</t>
  </si>
  <si>
    <t>SONDA FOLEY # 20, BALÓN 15 - 30 ML, SILICONIZADA</t>
  </si>
  <si>
    <t>SONDA FOLEY # 22, BALÓN 15 - 30 ML, SILICONIZADA</t>
  </si>
  <si>
    <t>SONDA FOLEY # 22, DE 3 VÍAS, BALÓN 15 - 30 ML SILICONIZADA</t>
  </si>
  <si>
    <t>SONDA FOLEY # 24BALÓN 15 - 30 ML SILICONIZADA</t>
  </si>
  <si>
    <t>SONDA FOLEY # 24, DE 3 VÍAS, BALÓN 15 - 30 ML</t>
  </si>
  <si>
    <t>SONDA FOLEY # 6, BALÓN DE 3 - 5 ML SILICONIZADA</t>
  </si>
  <si>
    <t>SONDA FOLEY # 8, BALÓN DE 3 - 5 ML SILICONIZADA</t>
  </si>
  <si>
    <t>SONDA NASOGÁSTRICA DE REFLUJO DE 2 VÍAS, TRANSPARENTE, PARA RECIÉN NÁCIDOS.</t>
  </si>
  <si>
    <t>SONDA NASOGÁSTRICA LEVIN # 10, DESCARTABLE, ESTÉRIL</t>
  </si>
  <si>
    <t>SONDA NASOGÁSTRICA LEVIN # 16, DESCARTABLE, ESTÉRIL</t>
  </si>
  <si>
    <t>SONDA NASOGÁSTRICA LEVIN # 18, DESCARTABLE, ESTÉRIL</t>
  </si>
  <si>
    <t>SONDA NASOGÁSTRICA LEVIN, # 5, DESCARTABLE, ESTÉRIL</t>
  </si>
  <si>
    <t>SONDA NASOGÁSTRICA, DIÁMETRO 8 FRENCH, LONGITUD DE 85 A 90 CM O SU EQUIVALENTE EN PULGADAS, MARCADA EN CENTIMETROS Ó PULGADAS, CON SISTEMA DE CIERRE, TRANSPARENTE, DESCARTABLE, ESTÉRIL</t>
  </si>
  <si>
    <t>SONDA NASOYEYUNAL DE LARGA DURACIÓN, 10 FRENCH, CON PUNTA DE TUNGSTENO, GUÍA METÁLICA, ESTÉRIL, PARA COLOCACIÓN MANUAL</t>
  </si>
  <si>
    <t>SONDA NASOYEYUNAL DE LARGA DURACIÓN, 12 FRENCH, CON PUNTA DE TUNGSTENO, GUÍA METÁLICA, ESTÉRIL, PARA COLOCACIÓN MANUAL</t>
  </si>
  <si>
    <t>SONDA NASOYEYUNAL DE LARGA DURACION, 8 FRENCH, CON PUNTA DE TUNGSTENO,GUÍA METÁLICA, ESTÉRIL, PARA COLOCACION MANUAL</t>
  </si>
  <si>
    <t>SONDA NÉLATON #  8, TRANSPARENTE, ESTÉRIL</t>
  </si>
  <si>
    <t>SONDA NÉLATON # 10, TRANSPARENTE, ESTÉRIL</t>
  </si>
  <si>
    <t>SONDA NÉLATON # 12, TRANSPARENTE, ESTÉRIL</t>
  </si>
  <si>
    <t>SONDA NÉLATON # 14, TRANSPARENTE, ESTÉRIL</t>
  </si>
  <si>
    <t>SONDA NÉLATON # 16, TRANSPARENTE, ESTÉRIL</t>
  </si>
  <si>
    <t>SONDA NÉLATON # 18, TRANSPARENTE, ESTÉRIL</t>
  </si>
  <si>
    <t>SONDA NÉLATON # 20, TRANSPARENTE, ESTÉRIL</t>
  </si>
  <si>
    <t>DRENAJE DE SILICONA EN ESPIRAL, REDONDO, ESTRÍADO, RADIOPACO, CON 4 CANALES, DE DIFERENTES DIÁMETROS ENTRE 19 A 24 FRENCH.</t>
  </si>
  <si>
    <t>RECOLECTOR PARA DRENAJE PLEURAL Y MEDIASTINAL, CON VÁLVULA ANTIREFLUJOAUTOMÁTICA INTEGRADA, TOTALMENTE SECO, CON TRIPLE CÁMARA CON CAPACIDAD DE 200 ML A 2100 ML.</t>
  </si>
  <si>
    <t>SONDA FOLEY # 24 FRENCH, 3 VÍAS, BALÓN DE 30 - 50 ML, DESCARTABLE, ESTÉRIL.</t>
  </si>
  <si>
    <t>SET DE IRRIGACIÓN Y REMOCION DE SOLUCIÓNES, CON SUS RESPECTIVOS ADAPTADORES, ESPONJAS, TUBERIAS DE CONEXIÓN A EQUIPO GENERADOR DE PR ESIÓN DE VACÍO Y FRASCOS DE RECOLECCIÓN DE LÍQUIDOS ENTRE 300 Y 500 ML DE CAPACIDAD</t>
  </si>
  <si>
    <t>CONECTOR EN "Y" PARA USO CON TUBERIA DE CONEXION DE SISTEMA DE MANEJODE HERIDAS ASISTIDO POR VACÍO</t>
  </si>
  <si>
    <t>SISTEMA PARA MANEJO DE ÁREAS CRUENTAS Y QUEMADURAS DE MANO Y EXTREMIDADES, QUE INCLUYA ESPONJA GRADO MÉDICO PARA COBERTURA DE SUPERF ICIES HASTA 14 X 20 CM, CON SUS RESPECTIVOS ADAPTADORES, TUBERÍAS DE CONEXIÓNA EQUIPO GENERADOR DE PRESIÓN DE VACÍO Y FRASCOS DE RECOLECCIÓN DE LÍQUIDOS ENTRE 300 Y 500 ML DE CAPACIDAD</t>
  </si>
  <si>
    <t>SISTEMA PARA MANEJO DE AREAS CRUENTAS Y QUEMADURAS DE EXTREMIDADES Y TORSO, QUE INCLUYA ESPONJA GRADO MÉDICO PARA COBERTURA DE SUPERFICIES HASTA 18 X 28 CM, CON SUS RESPECTIVOS ADAPTADORES, TUBERÍAS DE CONEXIÓNA EQUIPO GENERADOR DE PRESIÓN DE VACÍO Y FRASCOS DE RECOLECCIÓN DE LÍQUIDOS ENTRE 600 Y 1000 ML DE CAPACIDAD</t>
  </si>
  <si>
    <t>SISTEMA PARA MANEJO DE ABDOMEN ABIERTO, QUE INCLUYA ESPONJA GRADO MÉDICO CON SUS RESPECTIVOS ADAPTADORES,TUBERÍAS DE CONEXIÓN A EQUIPO GENERADOR DE PRESIÓN DE VACÍO Y FRASCOS DE RECOLECCIÓN DE LÍQUIDOS ENTRE 600 Y 1000 ML DE CAPACIDAD</t>
  </si>
  <si>
    <t>JALEA LUBRICANTE DE USO MÉDICO PARA DILATACIÓN CON ANESTÉSICO LOCAL YANTISÉPTICO, PARA USO UROLÓGICO, JERINGA PRELLENADA ENTRE 10 A  12 ML,EMPAQUE INDIVIDUAL, ESTÉRIL</t>
  </si>
  <si>
    <t>CONDÓN REUTILIZABLE PARA CATETERIZACIÓN EXTERNA MÁSCULINA, NO ADHESIVO,CON TUBO DE DRENAJE INCORPORADO Y ANILLO DE RETENCIÓN INFLABLE, DIÁMETRO INTERNO ENTRE 23 Y 39 MM</t>
  </si>
  <si>
    <t>BOLSA DE ALIMENTACIÓN ENTERAL GRADUADA TRANSPARENTE CON CAPACIDAD MÍNIMA DE 1000 ML, PARA USO EN BOMBA DE INFUSIÓN, CON SU RESPECTIVO DESCARTABLE, ADAPTABLE A DIVERSOS TIPOS DE SONDAS DE ALIMENTACIÓN POR VÍA ORAL O PERCUTÁNEA</t>
  </si>
  <si>
    <t>BOLSA DE ALIMENTACIÓN ENTERAL POR GRAVEDAD, GRADUADA TRANSPARENTE CONCAPACIDAD MÍNIMA DE 1000 ML, CON SU RESPECTIVO DESCARTABLE, ADAPTABLEA DIVERSOS TIPOS DE SONDAS DE ALIMENTACIÓN POR VÍA ORAL O PERCUTÁNEA</t>
  </si>
  <si>
    <t>CONECTOR DOBLE, MACHO LUER LOCK EN AMBOS LADOS</t>
  </si>
  <si>
    <t>CONDÓN REUTILIZABLE PARA CATETERIZACIÓN EXTERNA MÁSCULINA, NO ADHESIVO, CON TUBO DE DRENAJE INCORPORADO Y ANILLO DE RETENCIÓN INFLABLE, DIÁMETRO INTERNO ENTRE 23 Y 28 MM</t>
  </si>
  <si>
    <t>SET DE BANCO DE LLAVES DE 3 VÍAS CON EXTENSIÓN</t>
  </si>
  <si>
    <t>BOLSA DESCARTABLE ESTÉRIL EVA (ETIL VINIL ACETATO) GRADUADA PARA EQUIPO MEZCLADOR DE NUTRICIÓN PARENTERAL, CAPACIDAD PARA 3000 ML</t>
  </si>
  <si>
    <t>SET DESCARTABLE DE TRANSFERENCIA, COMPATIBLE CON EQUIPO MEZCLADOR PARANUTRICIÓN PARENTERAL</t>
  </si>
  <si>
    <t>BOMBA DE INFUSIÓN CONTINUA ELASTOMÉRICA MULTIFLUJO, CON CAPACIDAD TOTAL ENTRE 60 A 100 CC Y VELOCIDAD DE INFUSIÓN ENTRE 0.1 A 7 cc/h, CON  LÍNEA DESCARTABLE, FILTRO DE AIRE Y CINTA COLGANTE PARA EL PACIENTE</t>
  </si>
  <si>
    <t>FRASCO PLÁSTICO PARA EQUIPO DE SUCCIÓN DE SECRECIONES, MATERIAL PLÁSTICO, CON TAPADERA, CON VÁLVULA DE SEGURIDAD PARA EVITAR REBALSE, CAPACIDAD MÍNIMA DE 1200 ML.</t>
  </si>
  <si>
    <t>SET DE DRENAJE PERCUTÁNEO EN ÓRGANOS Y CAVIDADES, QUE CONTENGA: CATÉTER DESECHABLE DE 10.0 A 10.2 FRENCH DE DIÁMETRO Y DE 25 CM O MÁS DE LONGITUD, GUÍA METÁLICA CON PUNTA EN "J", CÁNULA METÁLICA, TROCAR PUNZANTE Y SISTEMA DE FIJACIÓN</t>
  </si>
  <si>
    <t>SET DE DRENAJE PERCUTÁNEO EN ÓRGANOS Y CAVIDADES, QUE CONTENGA: CATÉTER DESECHABLE DE 12.0 A 12.2 FRENCH DE DIÁMETRO Y DE 25 CM O MÁS DE LONGITUD, GUÍA METÁLICA CON PUNTA EN "J", CÁNULA METÁLICA, TROCAR PUNZANTE Y SISTEMA DE FIJACIÓN</t>
  </si>
  <si>
    <t>CATÉTER DE DRENAJE BILIAR DE CUBIERTA  HIDROFÍLICA, CON MARCA RADIO-OPACA, DIÁMETRO DE 10.0 A 10.2 FR, LONGITUD DE 40 CM O MÁS, QUE INCLUYACÁNULA RÍGIDA DE INTRODUCCIÓN Y CÁNULA FLEXIBLE DE INTRODUCCIÓN</t>
  </si>
  <si>
    <t>CATÉTER PARA HISTEROSALPINGOGRAFÍA CON BALÓN DE 6- 8 FRENCH</t>
  </si>
  <si>
    <t>ENEMA DE SULFATO DE BARIO DE ALTA DENSIDAD, CON SU CÁNULA Y BALÓN INCORPORADO</t>
  </si>
  <si>
    <t>JERINGA ANGIOGRÁFICA TRI-PACK DESECHABLE DE 125 - 200 ML. ADAPTABLE AINYECTOR DE ALTA PRESIÓN.</t>
  </si>
  <si>
    <t>JERINGA ANGIOGRÁFICA  TRI-PACK DESECHABLE DE 150  ML. ADAPTABLE A INYECTOR DE ALTA  PRESIÓN.</t>
  </si>
  <si>
    <t>JERINGA ANGIOGRÁFICA DE BAJA PRESIÓN DESECHABLE DE 200 cc. ADAPTABLE AINYECTOR DE PRESIÓN.  C/U</t>
  </si>
  <si>
    <t>JERINGA TRI-PACK  PARA INYECTOR DE BAJA PRESIÓN DE DOBLE EMBOLO DE 20-50 ML C/U.</t>
  </si>
  <si>
    <t>KIT DE JERINGA DOBLE, DESCARTABLE COMPATIBLE CON EQUIPO INYECTOR;QUE CONTENGA DOS JERINGAS, TUBO CONECTOR DE BAJA PRESIÓN DE 150 A 180 CM YTUBO DE LLENADO.</t>
  </si>
  <si>
    <t>SET DE DRENAJE PERCUTÁNEO EN ÓRGANOS Y CAVIDADES, QUE CONTENGA: CATÉTER DESECHABLE DE 8.0 A 8.5 FRENCH DE DIÁMETRO Y DE 25 CM O MÁS DE LONGITUD, GUÍA METÁLICA CON PUNTA EN "J", CÁNULA METÁLICA, TROCAR PUNZANTEY SISTEMA DE FIJACIÓN</t>
  </si>
  <si>
    <t>TUBO CONECTOR DE BAJA PRESIÓN DE 150 -155 CM. PARA USO EN INYECTOR DUAL.</t>
  </si>
  <si>
    <t>TUBO CONECTOR DOBLE EN ESPIRAL DE BAJA PRESIÓN DE 150 CM  PARA INYECTOR, DE 125 - 180 CM DE LONGITUD, CON VÁLVULA ANTIREFLUJO.</t>
  </si>
  <si>
    <t>SET PARA GALACTOGRAFÍA, QUE CONTENGA: AGUJA CURVA, PUNTA ROMA, ENTRE 27 A 30 G DE DIÁMETRO; DILATADORES ATRAUMÁTICOS, JERINGA Y CATÉTER DE EXTENSIÓN</t>
  </si>
  <si>
    <t>CATÉTER DE DRENAJE BILIAR DE CUBIERTA  HIDROFÍLICA, CON MARCA RADIO-OPACA, DIÁMETRO DE 8.0 A 8.5 FR, LONGITUD DE 40 CM O MÁS, QUE IN CLUYA CÁNULA RÍGIDA DE INTRODUCCIÓN Y CÁNULA FLEXIBLE DE INTRODUCCIÓN</t>
  </si>
  <si>
    <t>CATÉTER  PARA NEFRO-URETRALEROSTOMIA DE MATERIAL HIDROFÍLICO, DIÁMETRODE 8.5 FRENCH O MAYOR, CON EXTREMOS EN PIG TAIL, CON DISTANCIA ENTREPIG-TAIL ENTRE 20 Y 26 CM, QUE CONTENGA CÁNULA INTRODUCTORA FLEXIBLE</t>
  </si>
  <si>
    <t>CATÉTER DE GASTROSTOMÍA PERCUTÁNEA DE CUBIERTA HIDROFÍLICA DE 16 FRENCH POR 25 CM DE LONGITUD CON 6 ORIFICIOS LATERALES O MÁS  Y SISTEMA DEFIJACIÓN EN "J" Y QUE CONTENGA ESTILETE, E INTRODUCTORES RÍGIDOS Y FLEXIBLES</t>
  </si>
  <si>
    <t>BALÓN INTRAGÁSTRICO DE SILICONA, PARA USO TEMPORAL EN EL TRATAMIENTO DE PÉRDIDA DE PESO EN PACIENTES OBESOS, LLENADO CON LÍQUIDO O AIRE.</t>
  </si>
  <si>
    <t>SISTEMA DE PRESIÓN NEGATIVA, PARA EL TRATAMIENTO DE HERIDAS, DESCARTABLE, PORTATIL.</t>
  </si>
  <si>
    <t>TUBO DE CALIBRACIÓN ESÓFAGO GÁSTRICA PARA CIRUGÍA BARIÁTRICA, CON O SIN BALÓN SIMÉTRICO DE 360°, DIÁMETRO 36 FRENCH</t>
  </si>
  <si>
    <t>TUBO DE CALIBRACIÓN ESÓFAGO GÁSTRICA PARA CIRUGÍA BARIÁTRICA, CON O SIN BALÓN SIMÉTRICO DE 360°, DIÁMETRO 40 FRENCH</t>
  </si>
  <si>
    <t>TUBO DE CALIBRACIÓN ESÓFAGO GÁSTRICA PARA CIRUGÍA BARIÁTRICA, CON O SIN BALÓN SIMÉTRICO DE 360°, DIÁMETRO 44 FRENCH</t>
  </si>
  <si>
    <t>CÁNULA METÁLICA PARA INFILTRACIÓN TUMESCENTE, PUNTA ROMA, 6 O MÁS ORIFICIOS DISTALES, LONGITUD DE TRABAJO DE 15 A 30 CM (EXCLUYENDO MANGO),DIÁMETRO DE 1.5 A 2 MM, ADAPTADOR TIPO LUER - LOCK O ASPIRADOR</t>
  </si>
  <si>
    <t>CÁNULA METÁLICA PARA INFILTRACIÓN TUMESCENTE, PUNTA ROMA, 6 O MÁS ORIFICIOS DISTALES, LONGITUD DE TRABAJO DE 8 A 15 CM (EXCLUYENDO MANGO), DIÁMETRO DE 1.0 A 2.0 MM, ADAPTADOR TIPO LUER - LOCK</t>
  </si>
  <si>
    <t>CÁNULA METÁLICA PARA LIPOASPIRACIÓN Y LIPOINJERTO, PUNTA ROMA, 1 A 4 ORIFICIOS DISTALES, LONGITUD DE TRABAJO DE 8 A 15 CM (EXCLUYENDO MANGO), DIÁMETRO DE 1.5 A 2.5 MM, ADAPTADOR TIPO LUER - LOCK</t>
  </si>
  <si>
    <t>CÁNULA METÁLICA PARA LIPOASPIRACIÓN Y LIPOINJERTO, PUNTA ROMA, 1 A 6 ORIFICIOS DISTALES, LONGITUD DE TRABAJO DE 15 A 30 CM (EXCLUYENDO MANGO), DIÁMETRO DE 2.0 A 4.0 MM, ADAPTADOR TIPO LUER - LOCK O ASPIRADOR</t>
  </si>
  <si>
    <t>SOLUCIÓN BUFFER PARA ph 7 PARA CALIBRAR phMETRO. FRASCO ENTRE 500 A 1000 ML</t>
  </si>
  <si>
    <t>SOLUCIÓN BUFFER PARA ph 4 PARA CALIBRAR phMETRO. FRASCO ENTRE 500 A 1000 ML</t>
  </si>
  <si>
    <t>CATÉTER DE IMPEDANCIA PARA COLOCARSE VÍA NASAL COMPATIBLE CON phMETRO.</t>
  </si>
  <si>
    <t>SET PARA DRENAJE BILIAR, INCLUYE: CATÉTER BILIAR CON CUBIERTA HIDROFÍLICA DE 8.0 A 8.5 FR, CON AGUJA CHIBA TIPO TROCAR, CON MICRO GU ÍA, SISTEMA TRIAXIAL DE MICROPUNCIÓN Y ACCESORIOS PARA DESCARTE DE DRENAJE</t>
  </si>
  <si>
    <t>SONDA PARA DRENAJE NASO-BILIAR DE 7 A 10 FRECH, LONGITUD DE 250 CM O MAYOR</t>
  </si>
  <si>
    <t>BALÓN INSUFLABLE PARA TAMPONADA INTRAUTERINA EN HEMORRAGIA POST PARTO,CON CAPACIDAD DE 250 A 750 ML, DIÁMETRO DEL CATÉTER 24 FRENCH, LONGITUD TOTAL DE 54 CM, DE SILICÓN, INCLUYE SISTEMA DE INFLACIÓN CON UNA JERINGA QUE EVITE ALTERNAR EL LLENADO DE JERINGAS</t>
  </si>
  <si>
    <t>KIT DE APLICACIÓN DE CEMENTO PARA VERTEBROPLASTIA CON SU CEMENTO,INCLUYE CÁNULA DE PUNCIÓN O AGUJA DE 2.4 A 3.0 MM DE DIÁMETRO Y ENTRE 100 A150 MM DE LONGITUD CON SU MANDRIL, TUBO CONECTOR LUER LOCK,PISTOLA PARA APLICAR CEMENTO CON SU JERINGA, RECIPIENTE PARA MEZCLAR EL CEMENTO,ESPÁTULA, CÁNULA DE SUCCIÓN Y 1 DOSIS DE CEMENTO DE VERTEBROPLASTIA RADIOOPACO DE 2.5 A 25 G DE POLVO Y 5 A 10 ML DE LÍQUIDO</t>
  </si>
  <si>
    <t>CAPUCHON PARA PIEZA DE MANO CORTA, DESCARTABLE, COMPATIBLE CON ASPIRADOR ULTRASONICO.</t>
  </si>
  <si>
    <t>CAPUCHON PARA PIEZA DE MANO LARGA, DESCARTABLE, COMPATIBLE CON ASPIRADOR ULTRASONICO.</t>
  </si>
  <si>
    <t>SET DE TUBOS DE DOBLE LUMEN, DESCARTABLES, COMPATIBLE CON ASPIRADOR ULTRASONICO.</t>
  </si>
  <si>
    <t>CATÉTER SHUNT DE 91CM  ±  5 CM PARA SISTEMA HIDROCEFALIA</t>
  </si>
  <si>
    <t>SISTEMA  DE  DERIVACÍON VENTRICULO PERITONIAL  PARA HIDROCEFALIA  DE PRESIÓN  ALTA PARA  ADULTOS... SET</t>
  </si>
  <si>
    <t>SISTEMA  DE  DERIVACÍON VENTRICULO PERITONIAL  PARA HIDROCEFALIA  DE PRESIÓN BAJA PARA  ADULTOS. SET</t>
  </si>
  <si>
    <t>SISTEMA CERRADO 5° VENTRICULO PARA MONITOREO PIC Y DRENAJE EXTERNO, LIBRE DE LÁTEX,  QUE INCLUYA CATÉTER DE PUNCIÓN</t>
  </si>
  <si>
    <t>SISTEMA DE DERIVACÍON VENTRICULO PERITONIAL PARA HIDROCEFALIA DE PRESIÓN MEDIA PARA ADULTO.. SET</t>
  </si>
  <si>
    <t>SISTEMA DE HIDROCEFALIA DE BAJA PRESIÓN,VENTRICULO PERITONEAL, PARA NIÑOS. SET</t>
  </si>
  <si>
    <t>SISTEMA DE DRENAJE CERRADO CON EFECTO DE SUCCIÓN, TUBO DE DRENAJE CONEXTREMO PLANO DE SILICÓN DE 7 MM CON PERFORACIONES, RADIOPACO, DEPÓSITO CON CAPACIDAD ENTRE 50 A 100 ML, VÁLVULA ANTIREFLUJO Y TAPA PARA VACIADO DE LÍQUIDOS. INCLUYE TROCAR</t>
  </si>
  <si>
    <t>VÁLVULA DE DRENAJE DE HUMOR ACUOSO, DE SILICÓN PARA CIRUGÍA DE GLAUCOMA</t>
  </si>
  <si>
    <t>CATÉTER DE IRRIGACIÓN PARA ADAPTAR A BOMBA DE ARTROSCOPIA</t>
  </si>
  <si>
    <t>CATÉTER DE IRRIGACIÓN POR GRAVEDAD PARA ARTROSCOPIA</t>
  </si>
  <si>
    <t>ASPIRADOR DE MECONIO, TRANSPARENTE, ADAPTABLE AL TUBO ENDOTRAQUEAL, CON PUERTO LATERAL QUE PERMITA SUCCIÓN INTERMITENTE, DESCARTABLE , ESTÉRIL</t>
  </si>
  <si>
    <t>EXANGUINEO - TRANSFUSIÓN  PARA  RECIEN  NÁCIDOS, DESCARTABLE.. SET</t>
  </si>
  <si>
    <t>CATÉTER URETERAL DOBLE "J", 4 - 5 FRENCH,  CON FINAL ABIERTO, LONGITUDDE 8-20 CM, QUE INCLUYA POSICIONADOR Y GUÍA</t>
  </si>
  <si>
    <t>GUÍA DE POLITETRAFLUROETILENO PTFE, DOBLE PUNTA FLEXIBLE, 0.035  PULGADAS Y 145 CM DE LONGITUD O MÁS</t>
  </si>
  <si>
    <t>CÁNULA DE INYECCIÓN PARA APLICACIÓN DE TOXINA BOTULÍNICA U OTROS MEDICAMENTOS INTRAVESICALES, DIÁMETRO 6 CHARR, LONGITUD DE 50 CM, R EUTILIZABLE</t>
  </si>
  <si>
    <t>SET CATÉTER BALÓN PARA DILATACIÓN URETERAL, NO COMPLACIENTE, CON RECUBRIMIENTO HIDROFÍLICO Y MARCADORES RADIOPACOS, DE 18 FR Y LONGITUD DE 75 CM O MÁS (INCLUIR CATÉTER BALÓN Y JERINGA INSUFLADORA)</t>
  </si>
  <si>
    <t>DISPOSITIVO PARA LA APREHENSION Y EXTRACCIÓN DE CÁLCULOS, DE AGARRE FRONTAL, ATRAUMATICO, DE DIÁMETRO DE 1.7 FR Y LONGUITUD DE 115 CM O MÁS,APERTURA DE 8-11 MM</t>
  </si>
  <si>
    <t>CATÉTER RECTAL, DOBLE LUMEN PARA MEDICION DE PRESIÓN INTRAABDOMINAL, DIÁMETRO 7-9 FRENCH, COMPATIBLE CON EQUIPO DE URODINAMIA.</t>
  </si>
  <si>
    <t>CATÉTER TRANSURETRAL, DOBLE LUMEN, PARA MEDICION DE PRESIÓN VESICAL, DIÁMETRO DE 7- 9 FRENCH, COMPATIBLE CON EQUIPO DE URODINAMIA</t>
  </si>
  <si>
    <t>CATÉTER URETRAL RECTO, CON PUNTA ABIERTA 4 FRECH, RADIOPACO, GRADUADO,ESTÉRIL, DE 65 - 72 CM DE LONGITUD.</t>
  </si>
  <si>
    <t>CATÉTER URETRAL RECTO CON PUNTA ABIERTA 5 FRECH, RADIOPACO, GRADUADO,ESTÉRIL, DE 65 - 72 CM DE LONGITUD.</t>
  </si>
  <si>
    <t>CATÉTER URETRAL RECTO CON PUNTA ABIERTA 6 FRECH, RADIOPACO, GRADUADO,ESTÉRIL, DE 65 - 72 CM DE LONGITUD.</t>
  </si>
  <si>
    <t>CATÉTER URETRAL DOBLE J, DIÁMETRO 4 - 4.8 FRENCH,  CON FINAL ABIERTO,LARGO DE 22 - 30 CM. QUE INCLUYA POSICIONADOR Y GUÍA</t>
  </si>
  <si>
    <t>CATÉTER URETRAL DOBLE J, DIÁMETRO 5 FRENCH,  CON FINAL ABIERTO, LARGODE 22 - 30 CM. QUE INCLUYA POSICIONADOR Y GUÍA</t>
  </si>
  <si>
    <t>CATÉTER URETRAL DOBLE J, DIÁMETRO 6 FRENCH,  CON FINAL ABIERTO, LARGODE 22 - 30 CM. QUE INCLUYA POSICIONADOR Y GUÍA</t>
  </si>
  <si>
    <t>CATÉTER URETRAL DOBLE J, DIÁMETRO 7 FRENCH,  CON FINAL ABIERTO, LARGODE 22 - 30 CM. QUE INCLUYA POSICIONADOR Y GUÍA</t>
  </si>
  <si>
    <t>GUÍA DE NITINOL, HIDROFÍLICA, DOBLE PUNTA FLEXIBLE, DE 0.035 PULGADASX145 CM O MÁS</t>
  </si>
  <si>
    <t>GUÍA DE POLITETRAFLUROETILENO PTFE, EXTRA RÍGIDA, DOBLE PUNTA FLEXIBLE, 0.035  PULGADAS Y 145 CM DE LONGITUD O MÁS</t>
  </si>
  <si>
    <t>SET DE NEFROSTOMIA PERCUTANEA DE 10 - 12 FR QUE INCLUYA ACCESORIOS</t>
  </si>
  <si>
    <t>SET DE NEFROSTOMIA PERCUTANEA 12 FRENCH, CATÉTER CON PUNTA COLA DE COCHINO</t>
  </si>
  <si>
    <t>SISTEMA DE BALÓN PARA CORREGIR LA ESTRECHEZ URETERO PIELICA</t>
  </si>
  <si>
    <t>BALÓN DE DILATACIÓN PARA NEFROSTOMIA PERCUTANEA TIPO AMPLATZ, DIÁMETRO30 FRENCH, LONGITUD ENTRE 15 A 24 CM, INCLUYE VAINA, JERINGA Y MANOMETRO DE ALTA PRESIÓN</t>
  </si>
  <si>
    <t>SET DE DILATADORES RENALES TIPO AMPLATZ, PARA DILATACIÓN DE CONDUCTO PERCUTANEO, DIÁMETROS ENTRE 6 Y 30 FRENCH, LONGITUD ENTRE 28 Y 30 CM, VAINA DE 24 CM</t>
  </si>
  <si>
    <t>SET DE DILATADORES RENALES TIPO AMPLATZ, PARA DILATACIÓN DE CONDUCTO PERCUTANEO, DIÁMETROS ENTRE 6 Y 30 FRENCH, LONGITUD ENTRE 28 Y 30 CM, VAINA DE 16 CM</t>
  </si>
  <si>
    <t>SET DE CATÉTER DE DILATACIÓN URETRAL CURVO, PUNTA ABIERTA, HIDROFÍLICO, 8-20 FR, 37 CM DE LONGITUD</t>
  </si>
  <si>
    <t>CATÉTER BALÓN DE OCLUSIÓN PARA UNIÓN URETEROPIELICA, DIÁMETRO DE 5 A 6FRENCH, LONGITUD ENTRE 75 Y 85 CM, QUE INCLUYA ESTILETE GUÍA</t>
  </si>
  <si>
    <t>CÁNULA CON PUNTA DE SILICÓN PARA DRENAJE DE LÍQUIDO SUB RETINAL CALIBRE 25G.</t>
  </si>
  <si>
    <t>CATÉTER VENTRICULAR  IZQUIERDO, MEDIDA DE 20 FRENCH.</t>
  </si>
  <si>
    <t>CATÉTER VENTRICULAR  IZQUIERDO, MEDIDA DE 18 FRENCH.</t>
  </si>
  <si>
    <t>CATÉTER VENTRICULAR  IZQUIERDO, MEDIDA DE 16 FRENCH.</t>
  </si>
  <si>
    <t>CATÉTER VENTRICULAR  IZQUIERDO, MEDIDA DE 15 FRENCH.</t>
  </si>
  <si>
    <t>CATÉTER VENTRICULAR  IZQUIERDO, MEDIDA DE 13 FRENCH.</t>
  </si>
  <si>
    <t>SET DE BALÓN DE CONTRAPULSACIÓN INTRAAÓRTICO DE 34 CC CON FIBRA OPTICA, MEDIDA ENTRE 7 - 7.5 FRENCH.</t>
  </si>
  <si>
    <t>SET DE BALÓN DE CONTRAPULSACIÓN INTRAAÓRTICO DE 50 CC CON FIBRA OPTICA, MEDIDA 8 FRENCH.</t>
  </si>
  <si>
    <t>SET DE BALÓN DE CONTRAPULSACIÓN INTRAAÓRTICO DE 40 CC CON FIBRA OPTICA, MEDIDA ENTRE 7 - 7.5 FRENCH</t>
  </si>
  <si>
    <t>BOMBA DE INFUSIÓN CONTINUA ELASTOMÉRICA MULTIFLUJO, CON CAPACIDAD TOTAL ENTRE 250 A 300 CC Y VELOCIDAD DE INFUSIÓN ENTRE 4 A 10 CC/H, CON  LÍNEA DESCARTABLE Y FILTRO DE AIRE</t>
  </si>
  <si>
    <t>SET DE CATÉTER PLEURAL DELGADO CON VÁLVULAS  UNIDIRECCIONALES Y BOLSACOLECTORA, DESCARTABLE, ESTÉRIL</t>
  </si>
  <si>
    <t>CATÉTER FLEXIBLE CON BALÓN DE 5 FR, PARA CANAL DE TRABAJO DE 2 MM, ESTÉRIL, DESCARTABLE, RADIOPACO. COMPATIBLE CON BRONCOSCOPIO FLEXIBLE.</t>
  </si>
  <si>
    <t>SET PARA DRENAJE PLEURAL, INCLUYE: CATÉTER PLEURAL  DE LARGA DURACIÓN,ENTRE 14 A 16 FR, LONGITUD NO MAYOR A 70 CM, CON INTRODUCTOR PARA TUNELIZACIÓN Y ACCESORIOS NECESARIOS PARA INTRODUCCIÓN POR TÉCNICA SELDINGER: AGUJA, DILATADOR, GUÍA METÁLICA PUNTA EN "J" Y DISPOSITIVOS DE FIJACIÓN A PIEL; VÁLVULA DE SEGURIDAD PARA DRENAJE, DEPÓSITO COLECTOR ALVACÍO CON CAPACIDAD 500 ML, DESCARTABLE, ESTÉRIL</t>
  </si>
  <si>
    <t>SISTEMA DE INFLACIÓN PARA BALÓN DE DILATACIÓN TRAQUEO-BRONQUIAL, REUTILIZABLE. INCLUYE: JERINGA ADECUADA, SISTEMA PARA SOSTENER Y ADAPTAR JERINGA Y CATÉTER DE BALÓN DILATADOR</t>
  </si>
  <si>
    <t>SONDA DE ULTRASONIDO RADIAL CON BALÓN, PARA CANAL DE TRABAJO DE 2.8 MM, CON GUÍA PARA BIOPSIA, COMPATIBLE CON PROCESADOR DE ULTRASONIDO ENDOBRONQUIAL.</t>
  </si>
  <si>
    <t>SONDA DE ULTRASONIDO RADIAL, PARA CANAL DE TRABAJO DE 2.8 MM, CON GUÍAPARA BIOPSIA, COMPATIBLE CON PROCESADOR DE ULTRASONIDO ENDOBRONQUIAL</t>
  </si>
  <si>
    <t>SET DE BALÓN DE DILATACIÓN TRAQUEO-BRONQUIAL, CON BALÓN DE DIFERENTESLONGITUDES, DIÁMETROS HASTA DE 20 MM, CON CABLE GUÍA PULMONAR Y JERINGAS COMPATIBLES</t>
  </si>
  <si>
    <t>SET DE ASPIRACIÓN EBUS-TBNA, INCLUYE: AGUJA DE 21 G, LONGITUD DE TRABAJO 700 MM, PARA CANAL DE TRABAJO DE 2.0 MM, JERINGA DE ASPIRACIÓN DE 20 ML CON LLAVE DE PASO Y  VÁLVULA DE BIOPSIA CON ADAPTADOR, EN EMPAQUEESTÉRIL, DESCARTABLE</t>
  </si>
  <si>
    <t>SET DE ASPIRACIÓN EBUS-TBNA, INCLUYE: AGUJA DE 22 G, LONGITUD DE TRABAJO 700 MM, PARA CANAL DE TRABAJO DE 2.0 MM, JERINGA DE ASPIRACIÓN DE 20 ML CON LLAVE DE PASO Y  VÁLVULA DE BIOPSIA CON ADAPTADOR, EN EMPAQUEESTÉRIL, DESCARTABLE</t>
  </si>
  <si>
    <t>SET DE CATÉTER PARA BLOQUEO ENDOBRONQUIAL, INCLUYE: CATÉTER ENDOBRONQUIAL CON BALÓN DE 5, 7 Y 9 FR PARA BLOQUEO BRONQUIAL, ADAPTADOR  MULTIPUERTO PARA TUBO OROTRAQUEAL, QUE PERMITA ENTRADA DE CATÉTER Y FIBROBRONCOSCOPIO MIENTRAS SE MANTIENE LA VENTILACIÓN, ADAPTADOR PARA VENTILACIÓN, JERINGAS SEGÚN NECESIDAD, ADAPTADOR PARA SUCCIÓN.</t>
  </si>
  <si>
    <t>SET DE GUÍA PARA AGUJA GUIADA POR ULTRASONIDO, INCLUYE: GUÍAS ESTÉRILES PARA MONTAR AGUJA EN ADAPTADOR, TODO EL RANGO DE 14-23 G, FUNDA ESTÉRIL PARA TRANSDUCTOR DE ULTRASONIDO, GEL ESTÉRIL, BANDAS ELÁSTICAS ESTÉRILES, COMPATIBLE CON ADAPTADOR GUÍA.</t>
  </si>
  <si>
    <t>SET PARA BIOPSIA POR ASPIRACIÓN, INCLUYE: (6) SEIS AGUJAS DE BIOPSIA 21G DESCARTABLES, (1) UNA VAINA METÁLICA REUTILIZABLE; PARA BRONCOSCOPIO FLEXIBLE.</t>
  </si>
  <si>
    <t>SET DE DRENAJE PARA CATÉTER PLEURAL DE LARGA DURACIÓN QUE CONTENGA: FRASCO DE VACÍO DE 1000 ML,CON UN TUBO DE DRENAJE, CAMPO ESTÉRIL,  TRESTOALLITAS CON ALCOHOL, PAR DE GUANTES, TAPA DE VÁLVULA, ABRAZADERA DESLIZANTE PARA EMERGENCIAS, CUATRO COMPRESAS DE GASA, ALMOHADILLA DE GOMA ESPUMA PARA CATÉTER, APÓSITO ADHESIVO.</t>
  </si>
  <si>
    <t>CÁNULA VENOSA DE TRES ETAPAS 29 X 29 X 29 FR, CON ALMA DE ACERO, CONECTOR DE 3/8 DE PULGADA</t>
  </si>
  <si>
    <t>CÁNULA VENOSA 29 X 37 FR. CUERPO REDUCIDO, DOBLE CANASTA Y ALMA DE ACERO, CON CONECTOR DE 3/8 DE PULGADA</t>
  </si>
  <si>
    <t>CÁNULA ARTERIAL CON PUNTA RECTA # 20 CON CONECTOR DE 3/8"</t>
  </si>
  <si>
    <t>CÁNULA ARTERIAL 24 FR,  CON PUNTA CURVA  Y  ALMA DE ACERO, CON CONECTOR DE 3/8 DE PULGADA.</t>
  </si>
  <si>
    <t>CÁNULA ARTERIAL 18 FR,  CON PUNTA CURVA  Y  ALMA DE ACERO, CON CONECTOR DE 3/8 DE PULGADA.</t>
  </si>
  <si>
    <t>CÁNULA ARTERIAL 20 FR,  CON PUNTA CURVA  Y  ALMA DE ACERO, CON CONECTOR DE 3/8 DE PULGADA.</t>
  </si>
  <si>
    <t>CÁNULA ARTERIAL 22 FR,  CON PUNTA CURVA  Y  ALMA DE ACERO, CON CONECTOR DE 3/8 DE PULGADA.</t>
  </si>
  <si>
    <t>CÁNULA DE ARTERIOTOMÍA INTRAVASCULAR CORONARIA DE  1.5 MM</t>
  </si>
  <si>
    <t>CÁNULA DE CARDIOPLEJIA ANTERÓGRADA, 7 FRENCH, CON CONECTOR LUER, GUÍAMETÁLICA,  LÍNEA DE VENTILACIÓN CON PINZA</t>
  </si>
  <si>
    <t>CÁNULA DE PERFUSIÓN RETRÓGRADA PARA CARDIOPLEJIA, 15 FRENCH, CON BALÓNDISTAL INSUFLABLE O AUTOMÁTICO, ALMA DE ACERO, GUÍA, LÍNEA PARA MONITOREO DE PRESIÓN Y CONECTOR LUER, DESCARTABLE, ESTÉRIL</t>
  </si>
  <si>
    <t>CÁNULA DE RETORNO VENOSO  PARA ADULTO CON PUNTA DE ACERO CURVA  #28FR.</t>
  </si>
  <si>
    <t>CANULA DE RETORNO VENOSO  PARA ADULTO CON PUNTA DE ACERO CURVA  #31FR.</t>
  </si>
  <si>
    <t>CÁNULA VENOSA  34 X 46  FR, DOBLE CANASTA Y ALMA DE ACERO, CONECTOR DE1/2 DE PULGADA</t>
  </si>
  <si>
    <t>CÁNULA DE RETORNO VENOSO, CON ALMA DE ACERO, PUNTA RECTA, DIÁMETRO DE28 FRENCH CON CONECTOR DE 3/8 DE PULGADA.</t>
  </si>
  <si>
    <t>CÁNULA VENOSA 30 FR, RECTA, ALMA DE ACERO, CONECTOR DE 3/8 DE PULGADA</t>
  </si>
  <si>
    <t>CÁNULA VENOSA 32 FR, RECTA, ALMA DE ACERO, CONECTOR DE 3/8 DE PULGADA</t>
  </si>
  <si>
    <t>CÁNULA FEMORAL ARTERIAL 17 FR, CONECTOR DE 3/8 DE PULGADA</t>
  </si>
  <si>
    <t>CÁNULA PARA CARDIOPLEJIA SELECTIVA EN OSTIUM CORONARIO</t>
  </si>
  <si>
    <t>CÁNULA VENOSA  28 X 36 FR, DOBLE CANASTA Y ALMA DE ACERO, CONECTOR DE3/8 DE PULGADA</t>
  </si>
  <si>
    <t>CÁNULA VENOSA  34 FR,  RECTA,  ALMA DE ACERO, CONECTOR DE 3/8 DE PULGADA</t>
  </si>
  <si>
    <t>CÁNULA VENOSA CON ALMA DE ACERO # 36 FR. CONECTOR DE 3/8"</t>
  </si>
  <si>
    <t>CÁNULA VENOSA  36 X 51 FR, DOBLE CANASTA Y ALMA DE ACERO, CONECTOR DE1/2 DE PULGADA</t>
  </si>
  <si>
    <t>CÁNULA VENOSA 24 FR, CON PUNTA DE ACERO CURVA Y ALMA DE ACERO, CONECTOR DE 3/8 DE PULGADA</t>
  </si>
  <si>
    <t>CÁNULA VENOSA 32X40 FR, DOBLE CANASTA Y ALMA DE ACERO, CONECTOR DE 3/8DE PULGADA</t>
  </si>
  <si>
    <t>CÁNULA VENOSA OVALADA  32 X 40  FR, DOBLE CANASTA  Y ALMA DE ACERO, CONECTOR DE 1/2 DE PULGADA</t>
  </si>
  <si>
    <t>CÁNULA FEMORAL ARTERIAL 15 FR, CONECTOR DE 3/8 DE PULGADA</t>
  </si>
  <si>
    <t>CATÉTER PARA USO PERMANENTE EN HEMODIÁLISIS DE DOBLE LUMEN, DIÁMETRO DE 14 A 15.5 FRENCH, CON RETÉN DE DACRON (TELFA) ENTRE 22 A 23 CM DE LAPUNTA AL COJINETE,PUNTA SIMÉTRICA QUE INCLUYA: AGUJA INTRODUCTORA, GUÍA METÁLICA CON PUNTA EN "J", DILATADOR, TUNELIZADOR Y TAPONES.</t>
  </si>
  <si>
    <t>CATÉTER CON BALÓN DE DILATACIÓN PARA ANGIOPLASTÍA, MEDICADO, NO COMPLACIENTE, LONGITUD DE TRABAJO DE 60 A 160 CM, BALÓN DE 3 A 6 MM DE DIÁMETRO X 40 A 160 MM DE LONGITUD, COMPATIBLE CON INTRODUCTOR DE 5 A 6 FRENCH Y GUÍA 0.014" A 0.035"</t>
  </si>
  <si>
    <t>CATÉTER CON BALÓN DE DILATACIÓN PARA OCLUSIÓN AÓRTICA TIPO PRUITT, LONGITUD DE TRABAJO DE 20 A 80 CM, BALÓN DE 42 A 44 MM DE DIÁMETRO X 40 A100 MM DE LONGITUD, COMPATIBLE CON INTRODUCTOR DE 12 FRENCH Y GUÍA 0.035"</t>
  </si>
  <si>
    <t>CATÉTER INAHARA - PRUITT, DE DOBLE LUMEN, CON BALÓN DISTAL Y PROXIMAL,DE INSUFLACIÓN INDEPENDIENTE</t>
  </si>
  <si>
    <t>CATÉTER PARA USO PERMANENTE EN HEMODIÁLISIS DE DOBLE LUMEN, DIÁMETRO 14 A 15.5 FRENCH, CON RETÉN DE DACRON (TELFA), LONGITUD ENTRE 18 A 20 CM DE LA PUNTA AL COJINETE, PUNTA SIMÉTRICA. QUE INCLUYA: AGUJA INTRODUCTORA, GUÍA METÁLICA CON PUNTA EN"J", DILATADOR, TUNELIZADOR Y TAPONES</t>
  </si>
  <si>
    <t>VALVULOTOMO EXPANDIBLE DE 1.5 A 3.0 MM HIDROFÍLICO, LONGITUD USABLE DE98 CM APROXIMADAMENTE.</t>
  </si>
  <si>
    <t>SISTEMA LÍQUIDO EMBÓLICO MONO MOLECULAR, SIN COMPONENTES METÁLICOS NOADHESIVOS, EN JERINGA PRELLENADA O EN FRASCO EN DIFERENTES CON CENTRACIONES PARA MALFORMACIONES ARTERIOVENOSAS CEREBRALES</t>
  </si>
  <si>
    <t>AGUJA DESCARTABLE PARA ELECTROMIOGRAFÍA 20 MM</t>
  </si>
  <si>
    <t>AGUJA MONOPOLAR DESCARTABLE PARA EMG. 37 MM. LARGO</t>
  </si>
  <si>
    <t>AGUJA MONOPOLAR DESCARTABLE PARA EMG. 50 MM LARGO</t>
  </si>
  <si>
    <t>AGUJA MONOPOLAR DESCARTABLE PARA EMG. 75 MM LARGO</t>
  </si>
  <si>
    <t>ELECTRODO DE AGUJA PARA NEUROFISIOLOGÍA 50 MM 25G.</t>
  </si>
  <si>
    <t>ELECTRODO DE AGUJA SUBCUTÁNEO DE PLATINO DE 10 MM DE LONGITUD Y 30 G DE DIÁMETRO, CABLE DE 120 A 130 CM DE LONGITUD, REUTILIZABLE.</t>
  </si>
  <si>
    <t>GUÍA ANGIOGRÁFICA CUBIERTA DE PTFE CON DIÁMETRO 0.035", DE 170 -185 CMDE LONGITUD, PUNTA RECTA</t>
  </si>
  <si>
    <t>GUÍA ANGIOGRÁFICA CUBIERTA DE PTFE CON DIÁMETRO 0.035", DE 170 - 185 CM DE LONGITUD, PUNTA EN  "J"</t>
  </si>
  <si>
    <t>INTRODUCTOR VASCULAR CON VÁLVULA HEMOSTATICA, DIAMETRO 12 FRENCH Y LONGITUD DE 10 A 30 CM. COMPATIBLE CON GUIA 0.035" O MENOR</t>
  </si>
  <si>
    <t>SET DE BANCO DE LLAVES DE 3 VÍAS SIN EXTENSIÓN, CON EXTREMOS MACHO Y HEMBRA, QUE SOPORTE PRESIONES ENTRE 200 Y 500 PSI</t>
  </si>
  <si>
    <t>MICROCATÉTER HIDROFÍLICO, LONGITUD DE TRABAJO DE 130 A 150 CM. RADIOPACO, COMPATIBLE CON GUÍA 0.014", DIÁMETRO EXTERNO DE 1.8 FR. A 2.8 FR.,DIÁMETRO INTERNO DE 0.018" A 0.021"</t>
  </si>
  <si>
    <t>CATÉTER CON BALÓN DE DILATACIÓN PARA ANGIOPLASTÍA, NO COMPLACIENTE, DEINTERCAMBIO RÁPIDO, LONGITUD DE TRABAJO DE 60 A 140 CM, BALÓN DE 2.5MM DE DIÁMETRO X 30-200 MM DE LONGITUD, COMPATIBLE CON INTRODUCTOR DE5 FRENCH Y GUÍA 0.014"</t>
  </si>
  <si>
    <t>CATÉTER DE DIAGNÓSTICO COBRA, CURVA 1, DIÁMETRO 6 FRENCH, LONGITUD DE65 A 110 CM, COMPATIBLE CON GUÍA 0.035" A 0.038", QUE SOPORTE PRESIÓNMAYOR O IGUAL A 1100 PSI, RADIOPACO</t>
  </si>
  <si>
    <t>CATÉTER DIAGNÓSTICO CURVA COLA DE COCHINO, DIÁMETRO 6 FRENCH, LONGITUDDE 100 - 110 CM, COMPATIBLE CON GUÍA 0.038", QUE SOPORTE PRESIÓN MAYOR O IGUAL A 1100 PSI, RADIOPACO</t>
  </si>
  <si>
    <t>CATÉTER DIAGNÓSTICO DE PLATINO CUBIERTO DE IRIDIO, DE 6 A 7 FRENCH DEDIÁMETRO, ENTRE 105 A 120 CM DE LONGITUD, DUODECAPOLAR, CURVA PRIMARIAPARA ANILLO TRICUSPÍDEO, PREFORMADO, DEFLECTABLE, MEDIANO, CON O SINCOLA, CON MANGO ERGONÓMICO, QUE INCLUYA CONECTOR COMPATIBLE CON GENERADOR DE RADIOFRECUENCIA.</t>
  </si>
  <si>
    <t>CATÉTER DIAGNÓSTICO DE PLATINO CUBIERTO DE IRIDIO, DE 6 FRENCH DE DIÁMETRO, ENTRE 105 A 120 CM DE LONGITUD, DECAPOLAR, CON ESPACIO ENTRE POLO Y POLO DE 2-5 -2 MM, PREFORMADO, PUNTA ATRAUMÁTICA, CON CURVA PRIMARIA TIPO JOSEPHSON, CON ESTABILIDAD PROLONGADA A TEMPERATURA CORPORAL,CON MANGO ERGONÓMICO, QUE INCLUYA CONECTOR COMPATIBLE CON GENERADOR DERADIOFRECUENCIA</t>
  </si>
  <si>
    <t>CATÉTER DIAGNÓSTICO DE PLATINO CUBIERTO DE IRIDIO, DE 7 FRENCH DE DIÁMETRO, ENTRE 105 A 120 CM DE LONGITUD, DUODECAPOLAR, DEFLECTABLE, PREFORMADO, CON CURVA PRIMARIA PARA VENAS PULMONARES, BIDIRECCIONAL SIMÉTRICA, RADIO/DIÁMETRO VARIABLE, MANGO ERGONÓMICO, QUE INCLUYA CONECTOR</t>
  </si>
  <si>
    <t>CATÉTER DIAGNÓSTICO DE PLATINO, DE 6 FRENCH DE DIÁMETRO, ENTRE 105 A 120 CM DE LONGITUD, DECAPOLAR, CON ESPACIO ENTRE POLO Y POLO DE 2-5-2 MM, DEFLECTABLE, CON CURVA PRIMARIA DE 270 GRADOS PARA SENO CORONARIO,CON MANGO ERGONÓMICO, QUE INCLUYA CONECTOR</t>
  </si>
  <si>
    <t>CATÉTER DIAGNÓSTICO DE PLATINO CUBIERTO DE IRIDIO, DE 7 FRENCH DE DIÁMETRO, ENTRE 105  A 120 CM DE LONGITUD, DUODECAPOLAR, DEFLECTABLE, PREFORMADO, CON CURVA PRIMARIA TIPO TRICÚSPIDE GRANDE, CON O SIN COLA, CONMANGO ERGONÓMICO, QUE INCLUYA CONECTOR COMPATIBLE CON GENERADOR DE RADIOFRECUENCIA.</t>
  </si>
  <si>
    <t>CATÉTER DIAGNOSTICO MULTIPROPOSITO, CURVA 1.0, DIÁMETRO 5 A 6 FRENCH ,LONGITUD TOTAL DE 100-110 CM, COMPATIBLE CON GUÍA 0.035" A 0.038", QUESOPORTE PRESIÓN MAYOR O IGUAL A 1100 PSI, CON RADIOPACIDAD</t>
  </si>
  <si>
    <t>CATÉTER DIAGNOSTICO MULTIPROPÓSITO, CURVA 2.0,  DIÁMETRO DE 5 A 6 FRENCH, LONGITUD TOTAL DE 100-110 CM, COMPATIBLE CON GUÍA 0.038", QUE SOPORTE PRESIÓN MAYOR O IGUAL A 1100 PSI, CON RADIOPACIDAD.</t>
  </si>
  <si>
    <t>DESCARTABLE PLÁSTICO PARA SUERO, PARA IRRIGACIÓN A ALTA PRESIÓN</t>
  </si>
  <si>
    <t>EXTENSOR PLÁSTICO PARA JERINGA ANGIOGRÁFICA, DE 25-35 CM DE LONGITUD,QUE SOPORTE PRESIONES DE 1100-1200 PSI, CON SISTEMA LUER LOCK, EXTREMOSMACHO Y HEMBRA, ESTÉRIL</t>
  </si>
  <si>
    <t>GUÍA ANGIOGRÁFICA CON RECUBRIMIENTO HIDROFÍLICO, CON DIÁMETRO 0.035",DE 170-185 CM DE LONGITUD, CON PUNTA ANGULADA MENOR O IGUAL A 3 CM, RADIOPACA</t>
  </si>
  <si>
    <t>GUÍA ANGIOGRÁFICA CON RECUBRIMIENTO HIDROFÍLICO, CON DIÁMETRO 0.035",DE 170-185 CM DE LONGITUD, CON PUNTA RECTA MENOR O IGUAL A 3 CM, RADIOPACA</t>
  </si>
  <si>
    <t>GUÍA ANGIOGRÁFICA CON RECUBRIMIENTO HIDROFÍLICO, CON DIÁMETRO 0.035",DE 260 - 300 CM DE LONGITUD, CON PUNTA ANGULADA MENOR O IGUAL A 3 CM,RADIOPACA</t>
  </si>
  <si>
    <t>GUÍA FILAMENTO PARA ANGIOPLASTÍA PERIFÉRICA, INTERMEDIA O VECTOR DE FUERZA 12-18 GRAMOS, DE 0.014", LONGITUD DE 260 - 300 CM, ALMA FIJA, CONPUNTA RECTA, CON RADIOPACIDAD</t>
  </si>
  <si>
    <t>INSUFLADOR PARA ANGIOPLASTÍA, MANÓMETRO DE 30 ATMÓSFERAS CON GRADUACIÓN  FLUORESCENTE, CON VÁLVULA DE ALTA PRESIÓN, EXTENSIÓN Y LLAVE DE 3 VÍAS</t>
  </si>
  <si>
    <t>INTRODUCTOR VASCULAR, CON VÁLVULA HEMOSTÁTICA FIJA, DIÁMETRO 5 FRENCH,LONGITUD DE 10-15 CM, CON GUÍA DE 0.035" A 0.038", QUE INCLUYA AGUJAPARA PUNCIÓN</t>
  </si>
  <si>
    <t>INTRODUCTOR VASCULAR CON VÁLVULA HEMOSTÁTICA FIJA,  DIÁMETRO 6 FRENCH,DE 20 - 25 CM DE LONGITUD, CON GUÍA 0.035" A 0.038", QUE INCLUYA AGUJA PARA PUNCIÓN</t>
  </si>
  <si>
    <t>INTRODUCTOR VASCULAR CON VÁLVULA HEMOSTÁTICA FIJA, DIÁMETRO 6 FRENCH,DE 10-15 CM DE LONGITUD, CON GUÍA DE 0.035" A 0.038", QUE INCLUYA AGUJAPARA PUNCIÓN</t>
  </si>
  <si>
    <t>INTRODUCTOR VASCULAR CON VÁLVULA HEMOSTÁTICA FIJA,  DIÁMETRO 7 FRENCH,DE 10 - 15 CM DE LONGITUD, CON GUÍA 0.035" A 0.038", QUE INCLUYA AGUJA PARA PUNCIÓN</t>
  </si>
  <si>
    <t>INTRODUCTOR VASCULAR CON VÁLVULA HEMOSTÁTICA FIJA, DIÁMETRO 9 FRENCH,DE 10-15 CM DE LONGITUD, CON GUÍA DE 0.035" A 0.038", QUE INCLUYA AGUJAPARA PUNCIÓN</t>
  </si>
  <si>
    <t>INTRODUCTOR VASCULAR CON VÁLVULA HEMOSTÁTICA FIJA, DIÁMETRO 8 FRENCH,DE 10-15 CM DE LONGITUD, CON GUÍA DE 0.035" A 0.038", QUE INCLUYA AGUJAPARA PUNCIÓN</t>
  </si>
  <si>
    <t>SISTEMA DE PROTECCIÓN DISTAL O PROXIMAL DE ÉMBOLOS, MONORIEL O SOBREGUÍA, CON GUÍA DE O.014" O 0.035" Y ABERTURA DEL ASA  ENTRE 3 Y 6 MM,LONGITUD DE TRABAJO DE 100 - 195 CM, QUE INCLUYA CATÉTER DE RECUPERACIÓN</t>
  </si>
  <si>
    <t>VÁLVULA DE 1 VÍA QUE SOPORTE PRESIONES MAYORES O IGUALES A 1000 PSI</t>
  </si>
  <si>
    <t>VÁLVULA DE 3 VÍAS QUE SOPORTE PRESIONES MAYORES O IGUALES A 1000 PSI</t>
  </si>
  <si>
    <t>VÁLVULA EN "Y" HEMOSTÁTICA DE ALTO FLUJO, QUE INCLUYA UN INTRODUCTOR DE FILAMENTO GUÍA Y UN ROTOR</t>
  </si>
  <si>
    <t>GUÍA DE SOPORTE PREFORMADA DE PTFE, DIÁMETRO DE 0.035", LONGITUD DE 260-300 CM, PARA IMPLANTE DE VÁLVULA AÓRTICA POR VÍA PERCUTÁNEA (TAVI).</t>
  </si>
  <si>
    <t>SISTEMA DE PROTECCIÓN EMBOLICA CEREBRAL PARA IMPLANTE DE VÁLVULA AÓRTICA POR VÍA PERCUTÁNEA (TAVI).</t>
  </si>
  <si>
    <t>CATÉTER DECAPOLAR 6 FRENCH, SEPARACIÓN 2-2-2 MM CON CURVA PREFORMADA PARA CÁNULACIÓN DE SENO CORONARIO.</t>
  </si>
  <si>
    <t>INSUFLADOR PARA VALVULOPLASTIA CON MANÓMETRO DE 30 O 40 ATM, CON CAPACIDAD DE 30 ML O MÁS</t>
  </si>
  <si>
    <t>INTRODUCTOR VASCULAR DIAMETRO 6 A 8 FRENCH, CON RECUBRIMIENTO HIDROFILICO, VÁLVULA HEMOSTATICA FIJA,  DE 60 A 90 CM DE LONGITUD, COM PATIBLECON GUIA 0.035" A 0.038"</t>
  </si>
  <si>
    <t>BALONES PARA VALVULOPLASTIA AÓRTICA Y/O PULMONAR PARA ADULTO, DIÁMETROS DESDE 15 HASTA 35 MM</t>
  </si>
  <si>
    <t>SISTEMA DE TROMBECTOMÍA MECÁNICA, QUE UTILIZA EFECTO DE VENTURI O BERNOULLI. DIÁMETRO DE CATÉTER DE 6 A 8 FRENCH, USO SOBRE LA GUÍA, COMPATIBLE CON GUÍA 0.035" Y CATÉTER GUÍA 8 FRENCH, PARA USO EN VASOS DE MAYORES DE 6 MM. LONGITUD DE TRABAJO DE 120 A 135 CM. COMPATIBLE CON INTRODUCTOR 8 FRENCH, CON MARCAS DISTALES RADIOPACAS</t>
  </si>
  <si>
    <t>BALONES PARA VALVULOPLASTIA AÓRTICA Y/O PULMONAR PEDIÁTRICA, DIÁMETROSDESDE 4 MM HASTA 15 MM</t>
  </si>
  <si>
    <t>SISTEMA DE ASPIRACIÓN MANUAL, PARA EXTRACCIÓN DE ÉMBOLOS Y TROMBOS, DERÁPIDO INTERCAMBIO CON DIÁMETRO INTERNO IGUAL O MAYOR DE 1.4 MM, COMPATIBLE CON CATÉTER GUÍA 6 FRENCH Y GUÍA 0.014", LONGITUD DE TRABAJO DE125 A 150 CM, CON CUBIERTA HIDROFÍLICA TOTAL O PARCIAL Y CON MARCADORES DISTALES RADIOPACOS</t>
  </si>
  <si>
    <t>CATÉTER CON BALÓN DE DILATACIÓN PARA ANGIOPLASTÍA, NO COMPLACIENTE, LONGITUD DE TRABAJO DE 80 A 220 CM, BALÓN DE 6 MM DE DIÁMETRO X 100 A 220 MM DE LONGITUD, COMPATIBLE CON INTRODUCTOR DE 5 A 6 FRENCH Y GUÍA 0.035"</t>
  </si>
  <si>
    <t>CATÉTER CON BALÓN DE DILATACIÓN PARA ANGIOPLASTÍA, NO COMPLACIENTE, LONGITUD DE TRABAJO DE 80 A 220 CM, BALÓN DE 5 MM DE DIÁMETRO X 80 A 220MM DE LONGITUD, COMPATIBLE CON INTRODUCTOR DE 5 A 6 FRENCH Y GUÍA 0.035"</t>
  </si>
  <si>
    <t>CATÉTER CON BALÓN DE DILATACIÓN PARA ANGIOPLASTÍA, NO COMPLACIENTE, LONGITUD DE TRABAJO DE 80 A 220 CM, BALÓN DE 7 MM DE DIÁMETRO X 80 A 220MM DE LONGITUD, COMPATIBLE CON INTRODUCTOR DE 5 A 6 FRENCH Y GUÍA 0.035"</t>
  </si>
  <si>
    <t>CATÉTER CON BALÓN DE DILATACIÓN PARA VALVULOPLASTIA, NO COMPLACIENTE ,LONGITUD DE TRABAJO DE 80 A 140 CM, BALÓN DE 12 A 15 MM DE DIÁMETRO X40 A 80 MM DE LONGITUD, COMPATIBLE CON INTRODUCTOR DE 6 A 8 FRENCH Y GUÍA 0.035"</t>
  </si>
  <si>
    <t>CATÉTER PARA OCLUSIÓN CRÓNICA TOTAL TIPO FRONTRUNNER U OUTBACK, DIÁMETRO 6 FRENCH, LONGITUD DE TRABAJO DE 90 A 140 CM, COMPATIBLE CON INTRODUCTOR DE 6 FRENCH Y GUÍA 0.014" A 0.035"</t>
  </si>
  <si>
    <t>CATÉTER CON BALÓN DE DILATACIÓN PARA ANGIOPLASTÍA, NO COMPLACIENTE, LONGITUD DE TRABAJO DE 60 A 160 CM, BALÓN DE 3 MM DE DIÁMETRO X 60 A 220MM DE LONGITUD, COMPATIBLE CON INTRODUCTOR DE 4 A 6 FRENCH Y GUÍA 0.014"</t>
  </si>
  <si>
    <t>CATÉTER CON BALÓN DE DILATACIÓN, NO COMPLACIENTE, DE INTERCAMBIO RÁPIDO, 3.0 MM X 60 A 220 MM, LONGITUD DE TRABAJO CON LONGITUD DE CATÉTER 80 - 220 CM, COMPATIBLE CON GUÍA 0.035"</t>
  </si>
  <si>
    <t>CATÉTER CON BALÓN DE DILATACIÓN, NO COMPLACIENTE, DE INTERCAMBIO RÁPIDO, 3.0 MM X 40 A 200 MM, LONGITUD DE CATÉTER 60 - 220 CM, COMPATIBLE CON GUÍA 0.014"</t>
  </si>
  <si>
    <t>CATÉTER GUÍA CON CUBIERTA HIDROFÍLICA, DIÁMETRO 4 FRENCH, LONGITUD DE100 A 120 CM, PUNTA CURVA, COMPATIBLE CON GUÍA 0.035 A 0.038"</t>
  </si>
  <si>
    <t>CATÉTER DIAGNÓSTICO CURVA COLA DE COCHINO, DIÁMETRO 5 FRENCH, LONGITUDDE 100 A 110 CM, QUE MIDA SEGMENTOS DE 1 CM, CON LONGITUD DE MARCAJEHASTA 20 CM, COMPATIBLE CON GUÍA 0.035 - 0.038", QUE SOPORTE PRESIÓN MAYOR O IGUAL A 1000 PSI, RADIOPACO</t>
  </si>
  <si>
    <t>CATÉTER DIAGNÓSTICO CURVA COLA DE COCHINO, DIÁMETRO 6 FRENCH, LONGITUDDE 100 - 110 CM, QUE MIDA SEGMENTOS DE 1 CM, CON LONGITUD DE MARCAJEHASTA 20 CM, COMPATIBLE CON GUÍA 0.035 - 0.038",  QUE SOPORTE PRESIÓNMAYOR O IGUAL A 1000 PSI, RADIOPACO</t>
  </si>
  <si>
    <t>CATÉTER EXTRACTOR DE ÉMBOLOS Y TROMBOS, CON BALÓN, ADAPTADOR LUER-LOCK, CON MANDRIL, RADIOPACO, GRADUADO ESTÉRIL, 80 CM DE LARGO,  DIÁMETRODE 3 FRENCH</t>
  </si>
  <si>
    <t>CATÉTER EXTRACTOR DE ÉMBOLOS Y TROMBOS, CON BALÓN, ADAPTADOR LUER-LOCK, CON MANDRIL, RADIOPACO,GRADUADO ESTÉRIL, 80 CM DE LARGO,  DIÁMETRO DE 5 FRENCH .</t>
  </si>
  <si>
    <t>CATÉTER EXTRACTOR DE ÉMBOLOS Y TROMBOS, CON BALÓN, ADAPTADOR LUER-LOCK, CON MANDRIL, RADIOPACO, GRADUADO ESTÉRIL, 80 CM DE LARGO, DIÁMETRO DE 4 FRENCH</t>
  </si>
  <si>
    <t>INTRODUCTOR GUÍA PARA ANGIOPLASTÍA PERIFÉRICA, DIÁMETRO 6 A 8 FRENCH,TIPO CONTRALATERAL DE 40 A 60 CM DE LONGITUD</t>
  </si>
  <si>
    <t>CATÉTER HEADHUNTER, DIÁMETRO DE 5 A 6 FRENCH, CURVA 1, COMPATIBLE CONGUÍA 0.038", LONGITUD DE 100 A 110 CM, QUE SOPORTE PRESIÓN MAYOR O IGUAL A 1100 PSI, RADIOPACO</t>
  </si>
  <si>
    <t>CATÉTER PARA USO PERMANENTE EN HEMODIÁLISIS DE DOBLE LUMEN, DIÁMETRO 14 A 15.5 FRENCH, CON RETÉN DE DACRON (TELFA) LONGITUD ENTRE 24 A 28 CMDE LA PUNTA AL COJINETE, QUE INCLUYA: AGUJA INTRODUCTORA, GUÍA METÁLICA CON PUNTA EN"J", DILATADOR, TUNELIZADOR Y TAPONES</t>
  </si>
  <si>
    <t>CATÉTER PARA USO PERMANENTE EN HEMODIÁLISIS DE DOBLE LUMEN, DIÁMETRO 14 A 15.5 FRENCH, CON RETÉN DE DACRON (TELFA), LONGITUD ENTRE 31 A 35 CM DE LA PUNTA AL COJINETE, QUE INCLUYA: AGUJA INTRODUCTORA, GUÍA METÁLICA CON PUNTA EN "J", DILATADOR,  TUNELIZADOR Y TAPONES</t>
  </si>
  <si>
    <t>CATÉTER PORTADOR 5 A 8 FRENCH, ÁNGULO 40 A 45°, DIÁMETRO INTERNO MÍNIMO DE 0.055" A 0.075", LARGO DE 85 A 100 CM, RADIOPACO</t>
  </si>
  <si>
    <t>CATÉTER RENAL DOBLE CURVA, DIÁMETRO 5 A 6 FRENCH, COMPATIBLE CON GUÍA0.035" O 0.038", QUE SOPORTE PRESIÓN MAYOR O IGUAL A 1100 PSI, RADIOPACO</t>
  </si>
  <si>
    <t>FILTRO DE VENA CAVA, PERMANENTE. PARA COLOCACIÓN POR VÍA YUGULAR O FEMORAL</t>
  </si>
  <si>
    <t>FILTRO DE VENA CAVA, TEMPORAL PARA COLOCACIÓN POR VÍA YUGULAR O FEMORAL, DEBERÁ INCLUIR CATÉTER PARA EXTRACCIÓN</t>
  </si>
  <si>
    <t>GUÍA ANGIOGRÁFICA, CON CUBIERTA HIDROFÍLICA DE 0.018" Y 260 - 300 CM LONGITUD APROXIMADA</t>
  </si>
  <si>
    <t>RECUPERADOR INTRAVASCULAR DE CUERPO EXTRAÑO TIPO AMPLATZ DE 15 A 20 MM, DE 90 A 150 CM, SET</t>
  </si>
  <si>
    <t>RECUPERADOR INTRAVASCULAR DE CUERPO EXTRAÑO TIPO AMPLATZ DE 10 MM.. SET</t>
  </si>
  <si>
    <t>CATÉTER PARA ENDOESCLEROSIS VENOSA, 4 O 7 FRENCH, LONGITUD DE 75 A 300CM, (QUE UTILICE RADIOFRECUENCIA O LASER RADIAL) DEBERÁ INCLUIR ACCESORIOS PARA SU USO</t>
  </si>
  <si>
    <t>GUÍA ANGIOGRÁFICA DE 0.035" A 0.038", PUNTA CURVA, EXTRASOPORTE TIPO AMPLATZ SUPERSTIFF, LONGITUD DE 100 A 300 CM</t>
  </si>
  <si>
    <t>CATÉTER DE DILATACIÓN CON DISPOSITIVO DE CORTE, SEMI COMPLACIENTE, DEINTERCAMBIO RÁPIDO, DIAMETRO ENTRE 5.0 A 8.0 MM, LONGITUD DE TRABAJO ENTRE 10.0 MM A 30.0 MM, CON PERFIL DE PUNTA 0.014" A 0.018", LONGITUDTOTAL DE CATETER ENTRE 90 A 135 CM, COMPATIBLE CON GUÍA 0.014", CON PRESIÓN DE RUPTURA MAYOR O IGUAL A 14 ATM, CON DOS MARCAS RADIOPACAS</t>
  </si>
  <si>
    <t>INTRODUCTOR VASCULAR, 8 FRENCH CON VÁLVULA HEMOSTÁTICA PARA USO CONTRALATERAL</t>
  </si>
  <si>
    <t>CATÉTER DE DIAGNÓSTICO COBRA, CURVA 2, DIÁMETRO 5 FRENCH, LONGITUD DE100 CM O MÁS, COMPATIBLE CON GUÍA 0.035" A 0.038", DE MATERIA HIDROFÍLICO. QUE SOPORTE PRESIÓN MAYOR O IGUAL A 1100 PSI, RADIOPACO</t>
  </si>
  <si>
    <t>CATÉTER DE DIAGNÓSTICO COBRA, CURVA 1, DIÁMETRO 5 FRENCH, LONGITUD DE65 CM A 110 CM, COMPATIBLE CON GUÍA 0.035" A 0.038", DE MATERIAL HIDROFÍLICO. QUE SOPORTE PRESIÓN MAYOR O IGUAL A 1100 PSI, RADIOPACO</t>
  </si>
  <si>
    <t>CATÉTER DE DIAGNÓSTICO COBRA, CURVA 1, DIÁMETRO 5 FRENCH, LONGITUD DE65 A 110 CM, COMPATIBLE CON GUÍA 0.035" A 0.038", MATERIAL NO HIDROFÍLICO, QUE SOPORTE PRESIÓN MAYOR O IGUAL A 1100 PSI, RADIOPACO</t>
  </si>
  <si>
    <t>CATÉTER DIAGNÓSTICO MULTIPROPÓSITO, CURVA 2.0, DIÁMETRO 5 FRENCH ,LONGITUD TOTAL DE 100 CM O MÁS, COMPATIBLE CON GUÍA 0.035" A 0.038". QUE SOPORTE PRESIÓN MAYOR O IGUAL A 1100 PSI, RADIOPACO</t>
  </si>
  <si>
    <t>CATÉTER SIMMONS, DIÁMETRO EXTERNO 5 FRENCH, CURVA 2, COMPATIBLE CON GUÍA 0.035" A 0.038", LONGITUD DE CATÉTER ENTRE 100 A 110 CM, RADIOPACO</t>
  </si>
  <si>
    <t>CATÉTER TIPO MIKAELSON, DIÁMETRO 5 FRENCH, LONGITUD DE 80 A 100 CM, DEMATERIAL HIDROFÍLICO, COMPATIBLE CON GUÍA 0.035" A 0.038"</t>
  </si>
  <si>
    <t>MICROCATÉTER HIDROFÍLICO MALLADO, NO CÓNICO CON PUNTA RECTA, PARA OCLUSIÓN ARTERIAL PERIFÉRICA DIÁMETRO 2.6 A 2.8 FRENCH, LONGITUD ENTRE 80A150 CM, QUE INCLUYA GUÍA DE 0.021" O COMPATIBLE SIN FENESTRACIONES ,COMPATIBLE CON MEDICAMENTOS PARA QUIMIOTERAPIA</t>
  </si>
  <si>
    <t>MICROCATÉTER MALLADO, DE EXTERMO DISTAL HIDROFÍLICO, NO CÓNICO CON PUNTA EN CUELLO DE CISNE, DIÁMETRO 2.6 A 2.8 FRENCH, LONGITUD ENTRE 80 A150 CM, QUE INCLUYA GUÍA DE 0.021" O COMPATIBLE SIN FENESTRACIONES, COMPATIBLE CON MEDICAMENTOS PARA QUIMIOTERAPIA</t>
  </si>
  <si>
    <t>GUÍA HIDROFÍLICA CON TIP SUAVE RADIOPACO, DE PLATINO CON MANDRIL DE NITINOL DE 145 A 180 CM, CON DIÁMETRO DE 0.035#</t>
  </si>
  <si>
    <t>GUÍA DE SOPORTE EXTRA RÍGIDO TIPO AMPLATZ DE 0.035", DE 180 A 260 CM DE LONGITUD, PUNTA RECTA</t>
  </si>
  <si>
    <t>SET TIPO ROSCH UCHIDA DE 40 CM O MÁS DE LONGITUD, QUE CONTENGA: INTRODUCTOR DE 10 FRENCH, TROCAR EN ESTILETE DE 0.038 PULGADAS Y 60 O MÁS CMDE LONGITUD, CON CÁNULA RÍGIDA DE 14 GAUGE POR 50 O MÁS CENTÍMETRO DELONGITUD</t>
  </si>
  <si>
    <t>CATÉTER DIAGNOSTICO TIPO BERN O VERTEBRAL, DIÁMETRO 5 A 6 FRENCH, LONGITUD DE 80 A 120 CM, QUE SOPORTE PRESIONES ENTRE 1000 Y 1200 PSI, COMPATIBLE CON GUÍA 0.035 PULGADAS A 0.038 PULGADAS</t>
  </si>
  <si>
    <t>CATÉTER PARA ANGIOGRAFÍA DIAGNÓSTICA CEREBRAL, DIÁMETRO 5 FRENCH, LONGITUD DE 90 A 110 CM, PUNTA ATRAUMATICA, CON ÁNGULO DISTAL DE 40 A 45°,QUE SOPORTE PRESIÓN HASTA 1100 PSI, RADIOPACO</t>
  </si>
  <si>
    <t>CATÉTER PARA ANGIOGRAFÍA DIAGNÓSTICA CEREBRAL, DIAMETRO 5 FRENCH, LONGITUD DE 90 A 110 CM, PUNTA ATRAUMATICA, CON CURVA DISTAL TIPO SIM 1, QUE SOPORTE PRESIÓN HASTA 1100 PSI, RADIOPACO</t>
  </si>
  <si>
    <t>CATÉTER PORTADOR, 6 FRENCH, ÁNGULO 40 A 45°, DIÁMETRO INTERNO ENTRE 0.060" Y 0.065", DE 80 A 100 CM DE LARGO, RADIOPACO</t>
  </si>
  <si>
    <t>CATÉTER PORTADOR, 5 FRENCH, ÁNGULO 40 A 45°, DIÁMETRO INTERNO ENTRE 0.050" Y 0.055", DE 80 A 100 CM DE LARGO, RADIOPACO</t>
  </si>
  <si>
    <t>COIL DESNUDO DE PLATINO, EN ESPIRAL, DE 2 A 30 MM DE DIÁMETRO Y DE 10A70 CM DE LONGITUD</t>
  </si>
  <si>
    <t>COIL DESNUDO DE PLATINO, EN TRES DIMENSIONES, DE 2 A 30 MM DE DIÁMETROY DE 10 A 70 CM DE LONGITUD</t>
  </si>
  <si>
    <t>COIL DESNUDO DE PLATINO MULTIDIRECCIONAL, DE 2 A 30 MM DE DIÁMETRO Y DE 10 A 70 CM DE LONGITUD</t>
  </si>
  <si>
    <t>GUÍA ANGIOGRÁFICA CON RECUBRIMIENTO HIDROFÍLICO, CON DIÁMETRO 0.012",DE 195 - 205 CM DE LONGITUD,  DOBLE ÁNGULO</t>
  </si>
  <si>
    <t>MICRO CATÉTER DE 1.7 A 1.8 FRENCH DE DIÁMETRO EXTERNO, DIÁMETRO INTERNO DE 0.165" A 0.017" CON 2 MARCAS RADIOPACAS, LONGITUD DE 150- 155 CM,PUNTA FORMABLE, COMPATIBLE CON COIL</t>
  </si>
  <si>
    <t>MICRO CATÉTER DE FLUJO, HIDROFÍLICO, DIÁMETRO INTERNO DE 1.5 FRENCH, LONGITUD DE 160 - 170 CM,  CON MARCA RADIO-OPACA DISTAL, PUNTAF ORMABLE</t>
  </si>
  <si>
    <t>VÁLVULA HEMOSTÁTICA EN "Y" CON MECANISMO PUSH-PULL</t>
  </si>
  <si>
    <t>AGUJA DE PNEUMOPERITONEO TIPO VERESS DE 120 MM DE LARGO</t>
  </si>
  <si>
    <t>SET DE TUBOS FLEXIBLES PARA UNIDAD DE SUCCIÓN E IRRIGACIÓN,  ESTÉRIL ,DESCARTABLE. .</t>
  </si>
  <si>
    <t>TUBO DE SUCCIÓN-IRRIGACIÓN, REUTILIZABLE, PARA LAPAROSCOPIA, CON SISTEMA DE GATILLO, QUE INCLUYA CÁNULAS INTERCAMBIABLES DE 5 Y 10 M M DE DIÁMETRO, DE 30 A 35 CM LARGO</t>
  </si>
  <si>
    <t>CATÉTER PARA COLANGIOGRAFÍA LAPAROSCÓPICA CON INTRODUCTOR DE 5 MM DE DIÁMETRO Y GUÍA MALEABLE.</t>
  </si>
  <si>
    <t>INTRODUCTOR VASCULAR CON VÁLVULA HEMOSTÁTICA CON DIÁMETRO DE 16 FRENCHY LONGITUD HASTA 30 CM, COMPATIBLE CON GUIA 0.035" O MENOR</t>
  </si>
  <si>
    <t>INTRODUCTOR VASCULAR CON VÁLVULA HEMOSTÁTICA CON DIAMETRO DE 18 FRENCHY LONGITUD HASTA 30 CM, COMPATIBLE CON GUIA 0.035" O MENOR</t>
  </si>
  <si>
    <t>INTRODUCTOR VASCULAR CON VÁLVULA HEMOSTÁTICA CON DIÁMETRO DE 20 FRENCHY LONGITUD HASTA 30 CM, COMPATIBLE CON GUIA 0.035" O MENOR</t>
  </si>
  <si>
    <t>INTRODUCTOR VASCULAR CON VÁLVULA HEMOSTÁTICA CON DIÁMETRO DE 22 FRENCHY LONGITUD HASTA 30 CM, COMPATIBLE CON GUIA 0.035" O MENOR</t>
  </si>
  <si>
    <t>INTRODUCTOR VASCULAR CON VÁLVULA HEMOSTÁTICA CON DIÁMETRO DE 24 FRENCHY LONGITUD HASTA 30 CM, COMPATIBLE CON GUIA 0.035" O MENOR</t>
  </si>
  <si>
    <t>INTRODUCTOR VASCULAR CON VÁLVULA HEMOSTÁTICA CON DIAMETRO DE 26 FRENCHY LONGITUD HASTA 30 CM, COMPATIBLE CON GUIA 0.035" O MENOR</t>
  </si>
  <si>
    <t>CATÉTER CON BALÓN DE DILATACIÓN PARA ANGIOPLASTÍA, NO COMPLACIENTE, DEINTERCAMBIO RÁPIDO, LONGITUD DE TRABAJO DE 60 A 250 CM, BALÓN DE 2.5MM DE DIÁMETRO X 30-200 MM DE LONGITUD, COMPATIBLE CON INTRODUCTOR A PARTIR DE 4 FRENCH Y GUÍA 0.014"</t>
  </si>
  <si>
    <t>AGUJA PARA PUNCIÓN TRANSEPTAL LONGITUD DE 70 – 100 CM, CALIBRE PRINCIPAL 17 CM O SUPERIOR, CURVA ENTRE 25° a 60° CON SU INTRODUCTOR</t>
  </si>
  <si>
    <t>INTRODUCTOR RADIOPACO DIRIGIBLE PARA ACCEDER A LA AURICULA IZQUIERDA POSTERIOR A PUNCIÓN TRANSEPTAL, DE 6 A 9 FR CON DEFLECCIÓN 90 – 180 ° OSUPERIOR</t>
  </si>
  <si>
    <t>INTRODUCTOR LARGO RADIOPACO DE TAMAÑO DE 7 - 8 Fr, LONGITUD (CM): 70-110, COMPATIBILIDAD DE LA GUÍA (PULGADAS): 0.018 - 0.038</t>
  </si>
  <si>
    <t>INTRODUCTOR LARGO RADIOPACO DE TAMAÑO DE 9 - 10 Fr, LONGITUD (CM): 70-110, COMPATIBILIDAD DE LA GUÍA (PULGADAS): 0.018 - 0.038</t>
  </si>
  <si>
    <t>INTRODUCTOR LARGO RADIOPACO DE TAMAÑO DE 11 - 12 Fr, LONGITUD (CM): 30-50, COMPATIBILIDAD DE LA GUÍA (PULGADAS): 0.018 - 0.038</t>
  </si>
  <si>
    <t>SONDA TRANSESOFÁGICA PARA ECOCARDIÓGRAFO DE ULTRASONIDO 4D</t>
  </si>
  <si>
    <t>EXTENSIÓN DE ALTA PRESIÓN PARA INYECTOR DE MEDIO DE CONTRASTE</t>
  </si>
  <si>
    <t>AGUJA DE ACCESO VASCULAR INTRAÓSEO PARA ADULTO, CALIBRE DE LA AGUJA:15 – 18 G, LONGITUD EFECTIVA DE LA AGUJA: 42 - 45 MM, SISTEMA SEMIAUTOMÁTICO, SISTEMA DE ACCESO VASCULAR</t>
  </si>
  <si>
    <t>AGUJA DE ACCESO VASCULAR INTRAÓSEO PARA USO INFANTIL DESDE 36 SEMANASA 3 AÑOS, CALIBRE DE LA AGUJA:  15 – 18 G, LONGITUD EFECTIVA DE LA AGUJA: 14 – 18 MM, SISTEMA SEMIAUTOMÁTICO, SISTEMA DE ACCESO VASCULAR</t>
  </si>
  <si>
    <t>AGUJA DE ACCESO VASCULAR INTRAÓSEO PARA USO PEDIATRICO DESDE 3 A 12 AÑOS, CALIBRE DE LA AGUJA:  15 – 18 G, LONGITUD EFECTIVA DE LA AGUJA: 25- 39 MM, SISTEMA SEMIAUTOMÁTICO, SISTEMA DE ACCESO VASCULAR</t>
  </si>
  <si>
    <t>SET DE ACCESO PEDAL / TIBIAL CON PIEZAS COMPATIBLES ENTRE SÍ QUE INCLUYE: INTRODUCTOR VASCULAR CON VÁLVULA HEMOSTÁTICA DE 4 A 5 FRENCH. DE 7A 10 CM DE LONGITUD, DILATADOR: GUÍA DE PUNTA FLEXIBLE DE 0.018” A 0.021” DE 40 A 43 CM Y AGUJA ECOGÉNICA DE 19 A 21 G Y DE 4 A 7 CM.</t>
  </si>
  <si>
    <t>MICROCATETER PARA OCLUSIONES CORONARIAS CRÓNICAS, TAMAÑO PROXIMAL (F):2.5 - 2.9, TAMAÑO DISTAL (F): 1.4 - 1.8, LONGITUD DE TRABAJO DEL CATÉTER (CM): 135 – 150, ID DEL ORIFICIO FINAL DEL CATÉTER (PULGADAS): 0 .018, PUNTA RADIOPACA, RECUBRIMIENTO HIDRÓFILO</t>
  </si>
  <si>
    <t>MICROBALÓN PARA OCLUSIONES CRÓNICAS CORONARIAS, PRESIÓN NOMINAL (ATM):6 – 8, PRESIÓN MÁXIMA (ATM): 12 – 16, LONGITUD DE LA GUÍA (CM): 140 –150, DIÁMETRO DEL BALÓN (MM): 1.2 - 1.5, LONGITUD DEL BALÓN (MM): 6 –12</t>
  </si>
  <si>
    <t>CATÉTER DE ABLACIÓN PARA ELECTROFISIOLOGÍA, BIPOLAR, 6FR, CURVA TIPO JOSEPHSON O CRD, DISTANCIA INTERELECTRODO DE 5 MM O 10MM, LONGITUD ENTRE 110CM A 120 CM</t>
  </si>
  <si>
    <t>CATÉTER DIAGNÓSTICO DE ELECTROFISIOLOGÍA, DECAPOLAR, 6FR, CURVA TIPO JOSEPHSON, JSN O CRD, DISTANCIA INTERELECTRODOS 2/5/2 MM, LONGITUD ENTRE 115CM A 120 CM</t>
  </si>
  <si>
    <t>CATÉTER DE ABLACIÓN PARA ELECTROFISIOLOGÍA, TETRAPOLAR, 7FR, BIDIRECCIONAL, CURVA PEQUEÑA, DISTANCIA INTERELECTRODOS DE 2.5 MM O 2/5 /2 MM,LONGITUD ENTRE 110 CM A 115 CM</t>
  </si>
  <si>
    <t>CATÉTER DE ABLACIÓN PARA ELECTROFISIOLOGÍA, TETRAPOLAR, 7FR A 8FR, BIDIRECCIONAL, CURVA ASIMÉTRICA, DISTANCIA INTERELECTRODOS DE 2.5 MM O 1/4/1 MM, LONGITUD ENTRE 110 CM A 115 CM</t>
  </si>
  <si>
    <t>CATÉTER DE ABLACIÓN PARA ELECTROFISIOLOGÍA, TETRAPOLAR, 7FR, BIDIRECCIONAL, CURVA ESTÁNDAR, DISTANCIA INTERELECTRODOS DE 2.5 MM O 2/ 5/2 MM,LONGITUD ENTRE 110 CM A 115 CM</t>
  </si>
  <si>
    <t>CATÉTER DIAGNÓSTICO PARA ELECTROFISIOLOGÍA, TETRAPOLAR, 6FR, CURVA TIPO JOSEPHSON, JSN O CRD, DISTANCIA INTERELECTRODOS DE 2/5/2 MM, LONGITUD ENTRE 110 CM A 120 CM</t>
  </si>
  <si>
    <t>CATÉTER CENTRAL DE INSERCIÓN PERIFÉRICA DE 1FR Y 1 LUMEN</t>
  </si>
  <si>
    <t>CATÉTER CENTRAL DE INSERCIÓN PERIFÉRICA DE 2FR Y 2 LUMENS</t>
  </si>
  <si>
    <t>JERINGA VESICAL EVACUADORA DE FRAGMENTOS, CON ADAPTADOR, REUTILIZABLE,ESTERILIZABLE, ENTRE 75-150ML, COMPATIBLE CON EQUIPO DE RESECTOSCOPÍA.</t>
  </si>
  <si>
    <t>EVACUADOR DE ELLIK, CON ADAPTADOR, REUTILIZABLE, ESTERILIZABLE, COMPATIBLE CON EQUIPO DE RESECTOSCOPÍA.</t>
  </si>
  <si>
    <t>CATÉTER PARA LA ADMINISTRACIÓN DE SURFACTANTE MEDIANTE MÉTODO MENOS INVASIVO PARA RECIÉN NACIDOS PREMATUROS</t>
  </si>
  <si>
    <t>CATÉTER DE DOBLE LUMEN DE ACCESO Y DILATACIÓN URETERAL DE PUNTA FLEXIBLE, RADIOPACO DE 6 A 10 FRENCH Y DE 50 A 55 CM DE LONGITUD</t>
  </si>
  <si>
    <t>PAPEL INDICADOR PARA MEDICIÓN DE DUREZA DEL AGUA DE ÓSMOSIS INVERSA PARA ESTERILIZADOR A VAPOR</t>
  </si>
  <si>
    <t>DETERGENTE ALCALINO ENZIMÁTICO, COMPATIBLE CON LAVADORA DE INSTRUMENTAL QUIRÚRGICO. BIDÓN</t>
  </si>
  <si>
    <t>PAPEL REGISTRADOR PARA AUTOCLAVE, PAPEL TERMOSENSIBLE.</t>
  </si>
  <si>
    <t>DETERGENTE PARA ENJUAGUE/SECADO FINAL, COMPATIBLE CON LAVADORA DE INSTRUMENTAL QUIRÚRGICO. BIDÓN</t>
  </si>
  <si>
    <t>DETERGENTE PARA LIMPIEZA DE CÁMARA DE ESTERILIZADOR A VAPOR.</t>
  </si>
  <si>
    <t>DESINFECTANTE Y DETERGENTE DE ÁREAS CRÍTICAS, CON AL MENOS DOS DE LOSSIGUIENTES PRINCIPIOS ACTIVOS: AMONIO CUATERNARIO DE QUINTA GENERACIÓNO SUPERIOR, AMINA TERCIARIA, PERÓXIDO DE HIDRÓGENO, COMPONENTE CLORADO, SIN ALDEHIDOS.</t>
  </si>
  <si>
    <t>DESINFECTANTE DE ALTO NIVEL SIN ALDEHIDOS A BASE DE ÁCIDO PERACÉTICO,PARA USO CON EQUIPO ENDOSCÓPICO, SOLUCIÓN LISTO PARA SU USO.</t>
  </si>
  <si>
    <t>SOLUCIÓN A BASE DE YODO 0.7 % Y ALCOHOL ISOPROPÍLICO AL 74%, APLICADORCON 26 ML, DESCARTABLE, ESTÉRIL.</t>
  </si>
  <si>
    <t>POLIVIDONA IODADA 10 % SOLUCIÓN ACUOSA FRASCO PROTEGIDO DE LA LUZ,DE 200-500 ML , CON TAPA TIPO FLIP TOP Y SELLO DE GARANTÍA EN CADA ENVASE</t>
  </si>
  <si>
    <t>TOALLITA HÚMEDA IMPREGNADA CON DETERGENTE Y DESINFECTANTE PARA SUPERFICIES, CON AL MENOS DOS DE LOS SIGUIENTES PRINCIPIOS ACTIVOS: A MONIO CUATERNARIO DE QUINTA GENERACIÓN O SUPERIOR, AMINA TERCIARIA,PERÓXIDO DE HIDRÓGENO, ALCOHOL ETÍLICO O ISOPROPÍLICO ENTRE 60- 70% O COMPONENTECLORADO, SIN ALDEHIDOS.</t>
  </si>
  <si>
    <t>BOLSA COMBINADA PAPEL - PLÁSTICO, GRADO MÉDICO, PARA ESTÉRILIZAR A BAJA Y ALTA TEMPERATURA, 10 - 15  CM  DE ANCHO X 20 - 30  CM DE L ARGO, CON AUTO SELLANTE</t>
  </si>
  <si>
    <t>BOLSA COMBINADA PAPEL - PLÁSTICO, GRADO MÉDICO, PARA ESTÉRILIZAR A BAJA Y ALTA TEMPERATURA, 20 - 30  CM  DE ANCHO X 35 - 40  CM DE L ARGO, CON AUTO SELLANTE</t>
  </si>
  <si>
    <t>BOLSA COMBINADA PAPEL - PLÁSTICO, GRADO MÉDICO, PARA ESTÉRILIZAR A BAJA Y ALTA TEMPERATURA, 40 - 50  CM  DE ANCHO X 50 - 60  CM DE L ARGO, CON AUTO SELLANTE</t>
  </si>
  <si>
    <t>BOLSA PAPEL - PAPEL, GRADO MÉDICO, PARA ESTÉRILIZAR A BAJA Y ALTA TEMPERATURA,  25 - 35 CM DE ANCHO X 55 - 65 CM  DE LARGO X 10 - 15  CM DEFUELLE</t>
  </si>
  <si>
    <t>BOLSA PAPEL - PAPEL, GRADO MÉDICO, PARA ESTERILIZAR A BAJA Y ALTA TEMPERATURA, 7.5 - 11 CM DE ANCHO X 18 - 23 CM DE LARGO X 4 - 5 cm DE FUELLE</t>
  </si>
  <si>
    <t>INDICADOR BIOLÓGICO DE LECTURA RÁPIDA PARA ESTÉRILIZACIÓN A GAS (ÓXIDODE ETILENO)</t>
  </si>
  <si>
    <t>INDICADOR BIOLÓGICO DE LECTURA RÁPIDA PARA ESTÉRILIZACIÓN A VAPOR</t>
  </si>
  <si>
    <t>INDICADOR QUÍMICO DE CONTROL EXTERNO, PARA ESTÉRILIZACIÓN A GAS (OXIDODE ETILENO), ROLLO DE 18 - 20 MM DE ANCHO X 49 - 55 MT DE LARGO.</t>
  </si>
  <si>
    <t>INDICADOR QUÍMICO DE CONTROL EXTERNO, PARA ESTÉRILIZACIÓN A VAPOR, ROLLO DE 14 - 16 MM DE ANCHO X 50 - 55 MT DE LARGO</t>
  </si>
  <si>
    <t>INDICADOR QUÍMICO DE CONTROL INTERNO, PARA ESTÉRILIZACIÓN A GAS (OXIDODE ETILENO), CAJA DE 240-250 UNIDADES</t>
  </si>
  <si>
    <t>INDICADOR QUÍMICO DE CONTROL INTERNO, PARA ESTÉRILIZACIÓN A VAPOR, CAJA DE 240-250 UNIDADES</t>
  </si>
  <si>
    <t>OXIDO DE ETILENO AL 100% PARA ESTERILIZADOR. CARTUCHO</t>
  </si>
  <si>
    <t>PAPEL CREPADO GRADO MÉDICO, HOJA DE 110 X 110 CM (43" X 43"), PAQUETEDE 250 HOJAS</t>
  </si>
  <si>
    <t>PAPEL CREPADO GRADO MÉDICO, HOJA DE 90 X 90 CM (36" X 36"), PAQUETE DE250 HOJAS</t>
  </si>
  <si>
    <t>PAPEL CREPADO GRADO MÉDICO, HOJA SUELTA DE 60 X 60 CM (24" X 24"), PAQUETE DE 250 HOJAS</t>
  </si>
  <si>
    <t>ROLLO COMBINADO PAPEL - PLÁSTICO GRADO MÉDICO CON INDICADOR QUÍMICO, PARA ESTÉRILIZAR A BAJA Y ALTA TEMPERATURA, DE 10 CM DE ANCHO X 200 METRO DE LARGO</t>
  </si>
  <si>
    <t>ROLLO COMBINADO PAPEL - PLÁSTICO GRADO MÉDICO CON INDICADOR QUÍMICO, PARA ESTÉRILIZAR A BAJA Y ALTA TEMPERATURA, DE 20 CM DE ANCHO X 200 METRO DE LARGO</t>
  </si>
  <si>
    <t>ROLLO COMBINADO PAPEL - PLÁSTICO GRADO MÉDICO CON INDICADOR QUÍMICO, PARA ESTÉRILIZAR A BAJA Y ALTA TEMPERATURA, DE 40 CM DE ANCHO X 200 METRO DE LARGO</t>
  </si>
  <si>
    <t>ROLLO COMBINADO PAPEL - PLÁSTICO GRADO MÉDICO CON INDICADOR QUÍMICO, PARA ESTÉRILIZAR A BAJA Y ALTA TEMPERATURA, DE 50 CM DE ANCHO X 200 METRO DE LARGO</t>
  </si>
  <si>
    <t>ALCOHOL ISOPROPÍLICO 60 - 90 % ó ALCOHOL ETÍLICO 70% CON EMOLIENTES ENGEL O ESPUMA, CON DISPENSADOR MANUAL O CON SENSOR ELECTRÓNICO Y FIJACIÓN A PARED.</t>
  </si>
  <si>
    <t>GLUCONATO DE CLORHEXIDINA AL 2 % JABÓN LÍQUIDO, FRASCO PROTEGIDO DE LALUZ DE 200 A 500 ML. CON TAPA TIPO FLIP TOP Y SELLO DE GARANTÍA EN CADA ENVASE</t>
  </si>
  <si>
    <t>PRUEBA BOWIE DICK DE ELIMINACION COMPLETA DE AIRE PARA AUTOCLAVE DE VAPOR CON PREVACÍOS, LIBRE DE PLOMO</t>
  </si>
  <si>
    <t>BOLSA DE PAPEL PLASTICO, PARA ESTERILIZAR MATERIAL A BAJA Y ALTA TEMPERATURA, DE 28 - 32 X 35 - 40 CM CON AUTOSELLANTE.</t>
  </si>
  <si>
    <t>DESINFECTANTE DE ALTO NIVEL SIN ALDEHIDOS A BASE DE AMINAS TERCIARIAS,PARA USO CON EQUIPO ENDOSCÓPICO</t>
  </si>
  <si>
    <t>DESINFECTANTE DE SUPERFICIE POR VÍA AÉREA, QUE PERMITA NEBULIZAR EL CONTENIDO DEL PRODUCTO, COMPUESTO DE AMONIO CUATERNARIO DE QUINTA GENERACIÓN O SUPERIOR, FENOXIETANOL, ALDEHIDO NO TÓXICO O PERÓXIDO DE HIDRÓGENO, CON PROPELENTE Y EXCIPIENTES. PRESENTACIÓN ML</t>
  </si>
  <si>
    <t>JABÓN LÍQUIDO ENVASADO AL VACÍO, PARA DISPENSACIÓN EN LÍQUIDO, SPRAY OESPUMA PARA USO CON DISPENSADOR MANUAL O  CON SENSOR ELECTRÓNICO Y FIJACIÓN A PARED, CON SU PROPIA VÁLVULA QUE EVITE OBSTRUCIÓN,GOTEO Y CONTAMINACIÓN. FRASCO ENTRE 400 A 1000 ML.</t>
  </si>
  <si>
    <t>SOLUCIÓN DE CLORHEXIDINA AL 2% + ALCOHOL ISOPROPÍLICO O ETÍLICO AL 70%,SOLUCIÓN CON COLOR, FRASCO PROTEGIDO DE LA LUZ ENTRE 200 A 500 ML, CON TAPA DOSIFICADORA TIPO FLIP TOP</t>
  </si>
  <si>
    <t>ALCOHOL ETÍLICO 90º MÍNIMO.</t>
  </si>
  <si>
    <t>GLUCONATO DE CLORHEXIDINA 4 % JABÓN LÍQUIDO, FRASCO PROTEGIDO DE LA LUZ DE 200 A 1000 ML CON TAPA QUE EVITE CONTACTO DIRECTO CON EL ORIFICIODE SALIDA.</t>
  </si>
  <si>
    <t>ALCOHOL ETÍLICO DESNATURALIZADO 70%, DE 200 A 500 ML, CON TAPA TIPO FLIP TOP Y SELLO DE GARANTÍA EN CADA ENVASE</t>
  </si>
  <si>
    <t>POLIVIDONA IODADA 8 % JABÓN LÍQUIDO EN FRASCO PROTEGIDO DE LA LUZ DE 200-500 ML, CON TAPA TIPO FLIP TOP Y SELLO DE GARANTIA EN CADA ENVASE</t>
  </si>
  <si>
    <t>PEROXIDO DE HIDRÓGENO (3 %) 10 VOLÚMENES, FRASCO PROTEGIDO DE LA LUZ DE 400 - 500 ML</t>
  </si>
  <si>
    <t>GLUCONATO DE CLORHEXIDINA AL 4%, SOLUCIÓN ACUOSA PARA DISPENSACIÓN ENESPUMA POR SISTEMA CERRADO CON MECANISMO ACCIONADO POR BOMBA A PISO OPEDAL Y SISTEMA DE FIJACIÓN A PARED. FRASCO PROTEGIDO DE LA LUZ CON SELLO DE FÁBRICA, QUE INCLUYA DISPENSADOR (PIPETA), PROTEGIDO Y SELLADOO DISPENSADOR (PIPETA) INCORPORADO AL FRASCO Y PROTEGIDO</t>
  </si>
  <si>
    <t>GLUCONATO DE CLORHEXIDINA DE 0.5 AL 2% + ALCOHOL ETÍLICO 60 A 70 % CONEMOLIENTES, QUE INCLUYA DISPENSADOR POR SISTEMA CERRADO, ACCIONADO POR BOMBA A PISO O PEDAL Y SISTEMA DE FIJACIÓN A PARED, PROTEGIDO DE LALUZ</t>
  </si>
  <si>
    <t>TOCO TRANSDUCTOR PARA MONITOR  FETAL</t>
  </si>
  <si>
    <t>TRANSDUCTOR PARA MONITOREO INVASIVO CON SISTEMA INTEGRADO DE MUESTREOSANGUÍNEO, SISTEMA CERRADO LIBRE DE AGUJA</t>
  </si>
  <si>
    <t>NEURO ESTIMULADOR CEREBRAL PROFUNDO PARA MOVIMIENTOS ANORMALES, CON SISTEMA RECARGABLE, QUE INCLUYA TODOS LOS ACCESORIOS NECESARIOS PARA CORRECTO FUNCIONAMIENTO Y ASISTENCÍA TÉCNICA DURANTE LA COLOCACIÓN EN PACIENTE</t>
  </si>
  <si>
    <t>ELECTRODO DE 5 CM PARA BLOQUEO NERVIOSO, PARA USO CON GENERADOR DE RADIOFRECUENCIA</t>
  </si>
  <si>
    <t>ELECTRODO DE 10 CM PARA BLOQUEO NERVIOSO, PARA USO CON GENERADOR DE RADIOFRECUENCIA</t>
  </si>
  <si>
    <t>ELECTRODO DE 15 CM PARA BLOQUEO NERVIOSO, PARA USO CON GENERADOR DE RADIOFRECUENCIA</t>
  </si>
  <si>
    <t>AGUJA CURVA 22 G PARA BLOQUEO NERVIOSO, PUNTA DE 2 MM CON FILO, 5 CM DE LONGITUD, PARA USO CON GENERADOR DE RADIOFRECUENCIA</t>
  </si>
  <si>
    <t>SENSOR DESCARTABLE PARA SATURACIÓN DE OXÍGENO Y MEDICIÓN DE PULSO PARANEONATO, CON BANDA DE TELA U OTRO MATERIAL SUAVE, RESISTENTE A LA HUMEDAD Y EL CALOR, COMPATIBLE CON MONITOR</t>
  </si>
  <si>
    <t>AGUJA CURVA 22 G PARA BLOQUEO NERVIOSO, PUNTA DE 5 MM CON FILO, 10 CMDE LONGITUD, PARA USO CON GENERADOR DE RADIOFRECUENCIA</t>
  </si>
  <si>
    <t>AGUJA CURVA 22 G PARA BLOQUEO NERVIOSO, PUNTA DE 5 MM CON FILO, 15 CMDE LONGITUD, PARA USO CON GENERADOR DE RADIOFRECUENCIA</t>
  </si>
  <si>
    <t>CABLE DE DERIVACIONES PARA GRABADORA DE MONITOR DE HOLTER</t>
  </si>
  <si>
    <t>BRAZALETE TALLA M DE PRESIÓN ARTERIAL CON SU MANGUERA CONECTORA ADAPTABLE A MONITOR</t>
  </si>
  <si>
    <t>BRAZALETE TALLA L DE PRESIÓN ARTERIAL CON SU MANGUERA CONECTORA ADAPTABLE A MONITOR</t>
  </si>
  <si>
    <t>BRAZALETE PARA TOMA DE TENSIÓN NO INVASIVA EN NEONATOS # 1</t>
  </si>
  <si>
    <t>BRAZALETE PARA TOMA DE TENSIÓN NO INVASIVA EN NEONATOS # 2</t>
  </si>
  <si>
    <t>BRAZALETE PARA TOMA DE TENSIÓN NO INVASIVA EN NEONATOS # 3</t>
  </si>
  <si>
    <t>BRAZALETE PARA TOMA DE TENSIÓN NO INVASIVA EN NEONATOS # 4</t>
  </si>
  <si>
    <t>BRAZALETE PARA TOMA DE TENSIÓN NO INVASIVA EN NEONATOS # 5</t>
  </si>
  <si>
    <t>BRAZALETE PARA TOMA DE TENSIÓN NO INVASIVA PARA NIÑO</t>
  </si>
  <si>
    <t>CABLE DE PACIENTE DE 10 DERIVACIONES PARA ELECTROCARDIÓGRAFO</t>
  </si>
  <si>
    <t>CABLE DE ESTIMULACIÓN BIPOLAR PARA MARCAPASO EXTERNO, DIÁMETRO 5 FRENCH, PUNTA ATRAUMÁTICA, CON BALÓN, QUE INCLUYA INTRODUCTOR DE 6 FRENCH CON AGUJA</t>
  </si>
  <si>
    <t>ELECTRODO DESCARTABLE DE ESPUMA PARA MONITOREO, ADHESIVO, HIPOALÉRGICO, GELATINA LUBRICADA, BROCHE STÁNDAR DE CLORURO DE PLATA, PARA ADULTOS.</t>
  </si>
  <si>
    <t>ELECTRODO DESCARTABLE PARA RECIÉN NÁCIDO, GELATINA SÓLIDA HIPOALÉRGICA.</t>
  </si>
  <si>
    <t>MANÓMETRO PARA MEDIR PRESIÓN VENOSA CENTRAL DE 25 - 40 CM CON LLAVE DE3 O 4 VÍAS, QUE PÓSEA ADAPTADOR TIPO PINZA PARA FIJAR AL ATRIL CON EXTENSIÓNES DE 1.40 - 1.60 MT CON PUNTO DE INYECCIÓN A LA EXTENSIÓN DELPACIENTE, ESTÉRIL. DESCARTABLE.</t>
  </si>
  <si>
    <t>PERILLA PARA TENSIÓMETRO</t>
  </si>
  <si>
    <t>PERITA (CHUPETA) DE REEMPLAZO PARA ELECTRODO DE ELECTROCARDIÓGRAFO</t>
  </si>
  <si>
    <t>SENSOR PARA SATURACIÓN DE OXÍGENO EN OXÍMETRO DE PULSO, PARA ADULTO, REUTILIZABLE, CON SUS CONEXIONES Y ADAPTADORES. DIFERENTES MARCAS.</t>
  </si>
  <si>
    <t>SENSORES PARA TEMPERATURA DE PIEL NEONATALES PARA INCUBADORA</t>
  </si>
  <si>
    <t>SET ELECTRODOS DE SUCCIÓN COMPLETO QUE INCLUYA PERILLAS (6 PERILLAS) YELECTRODOS PARA ELECTROCARDIÓGRAFO</t>
  </si>
  <si>
    <t>VÁLVULA O PIEZA T PARA GASTO CARDÍACO TRANSPARENTE ESTÉRIL</t>
  </si>
  <si>
    <t>SENSOR DE NIVEL ADHESIVO DESCARTABLE  PARA OXIGENADOR, BOMBA EXTRACORPOREA.</t>
  </si>
  <si>
    <t>TRANSDUCTOR CARDIACO PARA USO EN ECOCARDIÓGRAFO</t>
  </si>
  <si>
    <t>BRAZALETE TALLA S PARA PRESIÓN ARTERIAL CON SU MANGUERA CONECTORA ADAPTABLE A MONITOR</t>
  </si>
  <si>
    <t>SENSOR REUTILIZABLE PARA SATURACIÓN DE OXÍGENO Y MEDICIÓN DE PULSO PARA NEONATO, CON MATERIAL SUAVE, RESISTENTE A LA HUMEDAD Y EL CALOR, PARA MONITOR</t>
  </si>
  <si>
    <t>SENSOR PARA MONITOREO DE SATURACIÓN REGIONAL CEREBRAL Y SOMÁTICA DE OXÍGENO</t>
  </si>
  <si>
    <t>TENSIÓMETRO ANEROIDE PARA ADULTO, INCLUYE 2 BRAZALETES CON SU BOLSA, 1PARA ADULTO Y 1 ADULTO OBESO</t>
  </si>
  <si>
    <t>TENSIÓMETRO ANEROIDE PEDIÁTRICO, INCLUYE 2 BRAZALETES CON SU BOLSA, 1PARA NEONATO Y 1 ESCOLAR</t>
  </si>
  <si>
    <t>CABLE PARA ECG DE 5 DERIVACIONES PARA MONITOR DE SIGNOS</t>
  </si>
  <si>
    <t>CABLE CON SENSOR PARA PRESIÓN INVASIVA PARA MONITOR DE SIGNOS VITALES</t>
  </si>
  <si>
    <t>CABLE COMPLETO PARA MEDIR GASTO CARDÍACO</t>
  </si>
  <si>
    <t>MÓDULO PARA MONITOREO INVASIVO  DE SIGNOS VITALES</t>
  </si>
  <si>
    <t>PULSADOR DE PACIENTE PARA CAMPIMETRO.</t>
  </si>
  <si>
    <t>CABLE PARA ECG DE 12 DERIVACIONES PARA TRANSMISOR DE PACIENTE DE EQUIPO DE PRUEBA DE ESFUERZO.</t>
  </si>
  <si>
    <t>SENSOR DE OXÍGENO PARA INCUBADORA.</t>
  </si>
  <si>
    <t>MONOFILAMENTO 5.07 (10 g)  DE SEMMES-WEINSTEIN PARA EXPLORACION SENSORIAL, FILAMENTO DE NYLON, LONGITUD DE 38-40MM</t>
  </si>
  <si>
    <t>MANGUITO PARA BRAZO, DESCARTABLE DE POLIPROPILENO PLASTIFICADO, UNIDAD.</t>
  </si>
  <si>
    <t>TEST DE PRUEBA RÁPIDA DE UREASA PARA LA DETECCIÓN DE HELICOBACTER PYLORI, TIEMPO MÁXIMO DE REPORTE DE 1 HORA, SIN CONDICIONANTE DE CADENA DEFRÍO. INCLUYE TUBO, GEL U OTRO DISPOSITIVO QUE PONGA LA MUESTRA EN CONTACTO CON LA UREA</t>
  </si>
  <si>
    <t>BALÓN PARA MANOMETRÍA ANORECTAL, VOLUMEN DE BALÓN DE 400 CC, COMPATIBLE CON EQUIPO.</t>
  </si>
  <si>
    <t>CATÉTER DE MANOMETRÍA ANORECTAL DE ALTA RESOLUCIÓN DE 12 CANALES, COMPATIBLE CON EQUIPO.</t>
  </si>
  <si>
    <t>CATÉTER DE MANOMETRÍA ESOFÁGICA DE ALTA RESOLUCIÓN, CON 36 CANALES/SENSORES DE PRESIÓN CIRCUNFERENCÍAL Y 18 CANALES DE IMPEDANCIA; COMPATIBLE CON EQUIPO.</t>
  </si>
  <si>
    <t>CATÉTER DE MANOMETRÍA ESOFÁGICA DE ALTA RESOLUCIÓN, CON 36 CANALES/SENSORES DE PRESIÓN CIRCUNFERENCÍAL; COMPATIBLE CON EQUIPO DE MANOMETRÍAESOFÁGICA.</t>
  </si>
  <si>
    <t>PRUEBA RÁPIDA PARA MEDICION DE PH EN SECRECION VAGINAL PARA EL DIAGNÓSTICO CLÍNICO DE INFECCIÓN VAGINAL.</t>
  </si>
  <si>
    <t>MANOMETRO PARA MEDIR PRESIÓN DEL LÍQUIDO CEFALO-  RAQUIDEO, DE TRES VÍAS</t>
  </si>
  <si>
    <t>AURICULAR AUDIOMETRICO PARA USO EN EQUIPO DE AUDIOMETRÍA.</t>
  </si>
  <si>
    <t>DOMO DEL TRANSDUCTOR DE PRESIÓN COMPATIBLE CON EQUIPO DE URODINAMIA.</t>
  </si>
  <si>
    <t>ELECTRODO DE SUPERFICIE PARA ELECTROMIOGRAFIA, DESCARTABLE, PARA ESTUDIO DE URODINAMIA.</t>
  </si>
  <si>
    <t>TUBO O MANGUERA PARA TRANSMISION DE PRESIÓN, LONGITUD DE 180 - 190 CM,COMPATIBLE CON EQUIPO DE URODINAMIA.</t>
  </si>
  <si>
    <t>CATÉTER TRANSURETRAL TRIPLE LUMEN. PARA MEDICIÓN DE PRESIÓN VESICAL, DIÁMETRO DE 7 A 9 FRENCH, PARA EQUIPO DE URODINAMIA</t>
  </si>
  <si>
    <t>TRANSDUCTOR PARA SENSAR NIVELES DE PRESIÓN EN ESTUDIOS DE URODINAMIA ,COMPATIBLE CON EQUIPO.</t>
  </si>
  <si>
    <t>CABLE DE EXTENSIÓN PARA SATURACIÓN DE OXÍGENO (SPO2), PARA MONITOR DESIGNOS VITALES, CON 2 METROS DE LONGITUD, COMO MÍNIMO, REUTILIZABLE.</t>
  </si>
  <si>
    <t>CABLE DE SONDA DE UNA ENTRADA Y UNA SALIDA, FLEXIBLE Y BLINDADO, CON ENCHUFE PUSH-PULL, AUTOENGANCHE, LONGITUD DE 1.20 -2.0 METROS. PARA EQUIPO DE AUDIOMETRÍA.</t>
  </si>
  <si>
    <t>PUNTA O BOQUILLA DE SONDA PARA ADAPTAR OLIVAS A CABLE DE SONDA DE EQUIPO DE AUDIOMETRÍA.</t>
  </si>
  <si>
    <t>PREAMPLIFICADOR PARA INTERCONEXIÓN DE SENSORES DE SATURACIÓN REGIONALCEREBRAL Y SOMÁTICO.</t>
  </si>
  <si>
    <t>SENSOR DESCARTABLE DE SATURACIÓN REGIONAL CEREBRAL Y SOMATICO PARA USONEONATAL.</t>
  </si>
  <si>
    <t>CABLE PARA MEDICIÓN DE  ELECTROCARDIOGRAFÍA DE 10 DERIVACIONES PARA MONITORES DE SIGNOS VITALES, REUTILIZABLE.</t>
  </si>
  <si>
    <t>SENSOR DESCARTABLE PARA LA MEDICIÓN DE SATURACIÓN DE OXÍGENO PARA ADULTO EN MONITORES DE SIGNOS VITALES</t>
  </si>
  <si>
    <t>SENSOR REUTILIZABLE PARA LA MEDICIÓN DE SATURACIÓN DE OXÍGENO PARA ADULTO EN MONITORES DE SIGNOS VITALES, TIPO FLEXIBLE.</t>
  </si>
  <si>
    <t>SENSOR REUTILIZABLE DE OREJA PARA LA MEDICIÓN DE SATURACIÓN DE OXÍGENOPARA ADULTO EN MONITORES DE SIGNOS VITALES.</t>
  </si>
  <si>
    <t>BRAZALETE DESCARTABLE TALLA S, PARA LA MEDICIÓN DE PRESIÓN ARTERIAL ENMONITORES DE SIGNOS VITALES.</t>
  </si>
  <si>
    <t>BRAZALETE DESCARTABLE TALLA M PARA LA MEDICIÓN DE PRESIÓN ARTERIAL ENMONITORES DE SIGNOS VITALES</t>
  </si>
  <si>
    <t>BRAZALETE DESCARTABLE TALLA L PARA LA MEDICIÓN DE PRESIÓN ARTERIAL ENMONITORES DE SIGNOS VITALES</t>
  </si>
  <si>
    <t>SENSOR DE PIEL PARA LA MEDICIÓN DE TEMPERATURA EN MONITORES DE SIGNOSVITALES, REUTILIZABLE.</t>
  </si>
  <si>
    <t>SENSOR ESOFÁGICO PARA LA MEDICIÓN DE TEMPERATURA EN MONITORES DE SIGNOS VITALES, REUTILIZABLE.</t>
  </si>
  <si>
    <t>TRAMPA DE AGUA DESCARTABLE PARA CAPNOGRAFÍA EN MONITORES DE SIGNOS VITALES.</t>
  </si>
  <si>
    <t>SENSORES DESCARTABLES PARA LA MEDICIÓN DE GASTO CARDÍACO NO INVASIVO EN MONITORES DE SIGNOS VITALES.</t>
  </si>
  <si>
    <t>KIT DESCARTABLE PARA EL MONITOREO DE GASTO CARDÍACO MÍNIMAMENTE INVASIVO POR PICCO EN MONITORES DE SIGNOS VITALES.</t>
  </si>
  <si>
    <t>SONDA DESCARTABLE TIPO CEVOX PARA MEDICIÓN DE SATURACIÓN VENOSA CENTRAL DE OXÍGENO EN MONITORES DE SIGNOS VITALES, QUE INCLUYA SU CATÉTER VENOSO CENTRAL</t>
  </si>
  <si>
    <t>SENSOR DESCARTABLE DE SATURACIÓN REGIONAL CEREBRAL Y SOMÁTICO PARA USOEN ADULTOS.</t>
  </si>
  <si>
    <t>CABLE COMPLETO (TRONCAL Y RAMAL) PARA LA MEDICIÓN DE ELECTROENCEFALOGRAFÍA EN MONITORES DE SIGNOS VITALES</t>
  </si>
  <si>
    <t>CABLE ESTIMULADOR PARA TRANSMISIÓN NEUROMUSCULAR EN MONITORES DE SIGNOS VÍTALES, REUTILIZABLE.</t>
  </si>
  <si>
    <t>DIADEMA AURICULAR PARA VERIFICAR LA AUDICIÓN POR VÍA AÉREA, REUTILIZABLE.</t>
  </si>
  <si>
    <t>DIADEMA ÓSEA PARA VERIFICAR LA AUDICIÓN A NIVEL DEL HUESO</t>
  </si>
  <si>
    <t>TRANSDUCTOR PARA MONITOREO DE PRESIÓN ARTERIAL INVASIVA (IBP) CON VÁLVULA DE PASO DE LÍQUIDOS, DESCARTABLE.</t>
  </si>
  <si>
    <t>UROFLUJOMETRO INALÁMBRICO PARA EQUIPO DE URODINAMIA.</t>
  </si>
  <si>
    <t>OXÍMETRO DE PULSO PORTÁTIL DE DEDO</t>
  </si>
  <si>
    <t>ELECTRODO BIPOLAR PARA EMG, 6 MM  LARGO</t>
  </si>
  <si>
    <t>ELETRODO DE BARRA PARA EMG, 40 MM LARGO</t>
  </si>
  <si>
    <t>ELECTRODO ESTÁNDAR PARA ENCEFALOGRAMA, DE 10 MM, DISCO DE ORO.</t>
  </si>
  <si>
    <t>DERIVACIONES A PRESIÓN (SNAP) REUTILIZABLES PARA ESTUDIOS NEUROFISIOLÓGICOS DE 2.0 -2.4 M DE LONGITUD.</t>
  </si>
  <si>
    <t>ELECTRODO DE COPA ENCHAPADO EN ORO DE 10MM Y CABLE DE 250 CM DE LONGITUD, REUTILIZABLES.</t>
  </si>
  <si>
    <t>ELECTRODO DE ESTIMULACIÓN DE SUPERFICIE DE MANO CON ALMOHADILLA DE FIELTRO, CABLE DE 200 CM DE LONGITUD CON CONECTOR DIN DE 5 PINES 270° COMPATIBLES.</t>
  </si>
  <si>
    <t>ELECTRODO ST. MARKS PUDENDAL DE 30 CM DE LONGITUD, QUE INCLUYA CABLE DE CONEXIÓN DE 200 CM DE LONGITUD CON UN EXTREMO PLANO Y UN EXTREMO 2 DIN DE 5 PINES Y LENGÜETAS ADHESIVAS, DESCARTABLE</t>
  </si>
  <si>
    <t>TAPONES METÁLICOS CHAPADOS EN ORO DE 7 MM, COMPATIBLES CON ELECTRODOSDE ESTIMULACIÓN DE SUPERFICIE DE MANO</t>
  </si>
  <si>
    <t>SENSOR DE POSICIÓN CORPORAL PARA ESTUDIO CONTINUO DEL SUEÑO.</t>
  </si>
  <si>
    <t>BANDA DE ESFUERZO ABDOMINAL Y TORÁCICO (RESPIRACIÓN) PARA PLETISMOGRAFÍA CON SU CABLE PARA ESTUDIO CONTINUO DEL SUEÑO, EN TALLA ADULTO GRANDE, ADULTO O PEDIÁTRICO</t>
  </si>
  <si>
    <t>ELECTRODOS PARA  ELECTROMIOGRAFÍA DE 180 A 185 CM DE LARGO, COPA DE HULE.</t>
  </si>
  <si>
    <t>ELECTRODO PARA ELECTROMIOGRAFÍA PARA ESTUDIO CONTINUO DEL SUEÑO DE MIEMBROS SUPERIORES E INFERIORES DE 300 A 305 CM DE LARGO, COPA DE HULE.</t>
  </si>
  <si>
    <t>SENSOR DE FLUJO DE AIRE (TERMISTOR) PARA ESTUDIO CONTINUO DEL SUEÑO, ORAL.</t>
  </si>
  <si>
    <t>SENSOR DE FLUJO DE AIRE (TERMISTOR) PARA ESTUDIO CONTINUO DEL SUEÑO, ORAL Y NASAL.</t>
  </si>
  <si>
    <t>ELECTRODO DE COPA DE ORO DE 180 A 185 CM DE LARGO PARA ESTUDIO CONTINUO DEL SUEÑO.</t>
  </si>
  <si>
    <t>ELECTRODOS PARA ELECTROMIOGRAFÍA DE MIEMBROS SUPERIORES E INFERIORES DE 300 A 305 CM DE LARGO, COPA DE ORO.</t>
  </si>
  <si>
    <t>SENSOR PARA DETECTAR LA SATURACIÓN DE OXÍGENO EN ESTUDIO CONTINUO DELSUEÑO.</t>
  </si>
  <si>
    <t>ADAPTADOR PARA TRANSDUCTOR DE PRESIÓN INVASIVA</t>
  </si>
  <si>
    <t>DOMUS PARA TRANSDUCTOR DE PRESIÓN INVASIVA.</t>
  </si>
  <si>
    <t>CABLE PARA CONEXIÓN DE INTERFAZ A AMPLIFICADOR DE ELECTROENCEFALÓGRAFO</t>
  </si>
  <si>
    <t>Material no previsto a ser utilizado</t>
  </si>
  <si>
    <t>OSTEÓTOMO LAMBOTTE, CORTE CURVO DE 25 MM</t>
  </si>
  <si>
    <t>PINZA SCHROEDER, CURVA, TENACULO DOBLE, DE 22-27 CM DE LONGITUD</t>
  </si>
  <si>
    <t>ELECTRODO PARA COLOCACIÓN VÍA PERCUTÁNEA DE 8 CONTACTOS, CON SEPARACIÓN DE AL MENOS 1 MM ENTRE ELLOS, LONGITUD TOTAL ENTRE EL RANGO DE 45 CMHASTA 75 CM, COMPATIBLE CON RESONANCIA MAGNÉTICA, QUE SE PUEDA USAR PARA PRUEBA O IMPLANTE DEFINITIVO, COMPATIBLE CON NEUROESTIMULADOR IMPLANTADO.</t>
  </si>
  <si>
    <t>JALEA LUBRICANTE ESTÉRIL, DE USO MÉDICO,PARA DILATACIÓN, PH EQUILIBRADO. CONTENIDO EN GRAMOS. SOBRE.</t>
  </si>
  <si>
    <t>PAPEL TÉRMICO PARA ELECTROCARDIÓGRAFO DE 3 CANALES. ROLLO</t>
  </si>
  <si>
    <t>BOLSA ABIERTA PARA ILEOSTOMIA, CIERRE POR OBTURADOR O VÁLVULA, ANILLOSINTETICO RECORTABLE Y ADHESIVO DE PAPEL</t>
  </si>
  <si>
    <t>MEDIO DE CONTRASTE ENDOVENOSO NO IONICO PARA PROCEDIMIENTOS RADIOGRAFICOS, CONCENTRACION NO MENOR DE 300 MG/ML, FRASCO DE 30 - 1</t>
  </si>
  <si>
    <t>CABLES PARA AGUJA DESCARTABLE DE ELECTROMIOGRAFÍA</t>
  </si>
  <si>
    <t>No habilitado para ser utilizado</t>
  </si>
  <si>
    <t>TUBO CON CAOLÍN, PARA CÁLCULO DE TIEMPO DE COAGULACIÓN ACTIVADA.</t>
  </si>
  <si>
    <t>GLUCONATO DE CLORHEXIDINA AL 4%, SOLUCIÓN ACUOSA PARA DISPENSACIÓN ENESPUMA POR SISTEMA CERRRADO CON MECANISMO ACCIONADO POR BOMBA A PISO OPEDAL Y SISTEMA DE FIJACIÓN A PARED. FRASCO PROTEGIDO DE LA LUZ CON SELLO DE FÁBRICA, QUE INCLUYA DISPENSADOR (PIPETA), PROTEGIDO Y SELLADOO DISPENSADOR (PIPETA) INCORPORADO AL FRASCO Y PROTEGIDO</t>
  </si>
  <si>
    <t>CÁNULA DE TRAQUEOSTOMIA METÁLICA, FENESTRADA # 10</t>
  </si>
  <si>
    <t>PAPEL TÉRMICO PARA REGISTRO DE ECG, ANCHO 63 MM, ROLLO</t>
  </si>
  <si>
    <t>CÁNULA DE IRRIGACIÓN Y SUCCIÓN SINCOE, CON ORIFICIOS INDIVIDUALES DE ASPIRACIÓN E IRRIGACIÓN, TUBO DE SILICÓN ENTRE 30 A 40 CM LARGO, CÁNULA DE 23 GAUGE</t>
  </si>
  <si>
    <t>PINZA PARA CÁPSULA ARRUGA, ANGULADA</t>
  </si>
  <si>
    <t xml:space="preserve">Codigo </t>
  </si>
  <si>
    <t>DESCRIPICION</t>
  </si>
  <si>
    <t>Codigo Antiguo</t>
  </si>
  <si>
    <t>Descripcion EstatusMaterial</t>
  </si>
  <si>
    <t>Precio</t>
  </si>
  <si>
    <t>Planificado2025</t>
  </si>
  <si>
    <t>NO PLANIFICADO</t>
  </si>
  <si>
    <t>FUERA DE LISTADO OFICIAL</t>
  </si>
  <si>
    <t>TF</t>
  </si>
  <si>
    <t>SBR</t>
  </si>
  <si>
    <t>OZ</t>
  </si>
  <si>
    <t>GLN</t>
  </si>
  <si>
    <t>LB</t>
  </si>
  <si>
    <t>FLOM EN PROCESO</t>
  </si>
  <si>
    <t>FLOM</t>
  </si>
  <si>
    <t>Planificado2026</t>
  </si>
  <si>
    <t>********************ULTIMA LINEA  ****************************</t>
  </si>
  <si>
    <t>Estatus Mat</t>
  </si>
  <si>
    <t>Unidad Medida</t>
  </si>
  <si>
    <t>ACRILICO MULTIUSO TAMAÑO A4 PARA COLOCAR BITACORAS DE LIMPIEZA EN SERVICIOS SANITARIOS</t>
  </si>
  <si>
    <t>ALBUM DE DIFERENTES TAMANOS Y CAPACIDADES</t>
  </si>
  <si>
    <t>ALMOHADILLA PARA SELLO DE HULE,MEDIDAS 2 3/4" X 2"</t>
  </si>
  <si>
    <t>ALMOHADILLA PARA SELLO DE HULE,MEDIDAS, 6" x 3 1/2"</t>
  </si>
  <si>
    <t>ALMOHADILLA PARA SELLO DE HULE, MEDIDAS 4 1/2" x 3 1/2".</t>
  </si>
  <si>
    <t>ARCHIVADOR IMPRESOS EN CARTON VARIAS CARACTERISTI-CAS</t>
  </si>
  <si>
    <t>ASTA METÁLICA PARA BANDERA DE 2.23 METROS DE ALTO</t>
  </si>
  <si>
    <t>BATERIA REDONDA PEQUEÑA, ALACALINA 1.5 V 24 mAh</t>
  </si>
  <si>
    <t>BLOQUE DE CONSTRUCCION DE PLASTICO PARA ARMAR FIGURAS DE 120 A 250 PIEZAS</t>
  </si>
  <si>
    <t>BOLIGRAFOS DESECHABLES COLOR VERDE,C/U.</t>
  </si>
  <si>
    <t>BOLSA O FUNDA PROTECTORA PARA GRABADORA DE HOLTER AMBULATORIO</t>
  </si>
  <si>
    <t>BORRADOR TIPO LAPIZ PARA TINTA.,C/U.</t>
  </si>
  <si>
    <t>CARPETA COLGANTE TAMAÑO ESPECIAL PARA ARCHIVAR PLANILLAS, MEDIDAS DE 38 CMS x 29 CMS Y PLATINA DE 41.7 CMS X 1 CMS.</t>
  </si>
  <si>
    <t>CARPETA COLGANTE TAMANO CARTA, PARA ARCHIVADOR</t>
  </si>
  <si>
    <t>CARPETA DE ESCRITORIO EN CARTÓN CHIPS B-10 FORRADOS EN PERCALINA NEGRA AMBOS LADOS MEDIDA 53 x 38CM</t>
  </si>
  <si>
    <t>CARPETA EN CARTÓN CHIPS FORRADOS EN PERCALINA NEGRA O AZUL AL TIRO EN LA PARTE SUPERIOR UNA PLACA DE 9.9 CM DE DIAMETRO NIQUELADO EN ALTO RELIEVE BRILLANTE FONDO MATE EN LA PARTE INTERIOR, PERSONALIZADO TAMAÑO 9 x 12 2/8</t>
  </si>
  <si>
    <t>CARTUCHO O BANDA PARA IMPRESIÓN DE BRAZALETES DE IDENTIFICACIÓN DE PACIENTES CON CÓDIGO DE BARRA, MEDIDAS ENTRE 28 Y 29 CENTÍMETROS DE LARGOX 2.5 CENTÍMETROS DE ANCHO PARA IMPRESOR  MARCA GODEX MODELO DT2X</t>
  </si>
  <si>
    <t>CARTUCHO DE TONER A COLOR  PARA IMPRESOR HP PRO OFFICCE 8610 OLL IN ONE</t>
  </si>
  <si>
    <t>CARTUCHO DE TONER NEGRO PARA IMPRESOR HP PRO OFFICCE 8610 OLL IN ONE</t>
  </si>
  <si>
    <t xml:space="preserve"> CARTUCHO PARA IMPRESOR MULTIFUNCIONAL PGBK BLACK PGI 125 PGBK INK TANK</t>
  </si>
  <si>
    <t xml:space="preserve"> CARTUCHO PARA IMPRESOR MULTIFUNCIONAL PGBK BLACK PGI 126 PGBK INK TANK</t>
  </si>
  <si>
    <t>CARTUCHO PARA IMPRESOR MULTIFUNCIONAL PGBK GRAY PGI 126 GY INK</t>
  </si>
  <si>
    <t>CARTUCHO PARA IMPRESOR CANON A COLOR PIXMA iP2810 PG-146</t>
  </si>
  <si>
    <t>CARTUCHO PARA IMPRESOR CANON COLOR NEGRO PIXMA iP2810 PG-145</t>
  </si>
  <si>
    <t>CARTUCHO DE TINTA PARA IMPRESOR EPSON 504 L4160 COLOR AMARILLO</t>
  </si>
  <si>
    <t>CARTUCHO DE TINTA PARA IMPRESOR EPSON 504 L4160 COLOR CYAN</t>
  </si>
  <si>
    <t>CARTUCHO DE TINTA PARA IMPRESOR EPSON 504 L4160 COLOR MAGENTA</t>
  </si>
  <si>
    <t>CARTUCHO DE TINTA PARA IMPRESOR EPSON 504 L4160 COLOR NEGRO</t>
  </si>
  <si>
    <t>CARTUCHO DE IMPRESIÓN DE CAPACIDAD NORMAL COLOR AMARILLO PARA IMPRESOR LASER XEROX PHASER 6600.106R02247</t>
  </si>
  <si>
    <t>CARTUCHO DE IMPRESIÓN DE CAPACIDAD NORMAL COLOR CYAN PARA IMPRESOR LASER XEROX PHASER 6600.106R02245</t>
  </si>
  <si>
    <t>CARTUCHO DE IMPRESIÓN DE CAPACIDAD NORMAL COLOR MAGENTA PARA IMPRESOR LASER XEROX PHASER 6600.106R02246</t>
  </si>
  <si>
    <t>CARTUCHO DE IMPRESIÓN DE CAPACIDAD NORMAL COLOR NEGRO PARA IMPRESOR LASER XEROX PHASER 6600.106R02248</t>
  </si>
  <si>
    <t>CARTUCHO PARA IMPRESOR MULTIFUNCIONAL CANON MG 6210 CLI-126Y IN TANK COLOR AMARILLO</t>
  </si>
  <si>
    <t>CARTUCHO PARA IMPRESOR MULTIFUNCIONAL CANON MG 6210 CLI-126C IN TANK COLOR CYAN</t>
  </si>
  <si>
    <t>CARTUCHO PARA IMPRESOR MULTIFUNCIONAL CANON MG 6210 CLI-126M IN TANK COLOR MAGENTA</t>
  </si>
  <si>
    <t>CARTUCHO 206A W2110A NEGRO PARA IMPRESORA HP M255</t>
  </si>
  <si>
    <t>CARTUCHO 206A W2111A CYAN PARA IMPRESOR HP M255</t>
  </si>
  <si>
    <t>CARTUCHO  206A W2112A YELLOW PARA IMPRESORA HP M255</t>
  </si>
  <si>
    <t>CARTUCHO HP 206A W2113A MAGENTA PARA IMPRESOR HP M255</t>
  </si>
  <si>
    <t>CARTUCHO DE 5 GB DE 90 MM PARA UNIDAD DE CINTA HP-5000</t>
  </si>
  <si>
    <t>CARTUCHO DE TINTA BC-20 COLOR PARA IMPRESOR MARCA CANON MODELO BJC-4300 (CARTUCHO PEQUENO)</t>
  </si>
  <si>
    <t>CARTUCHO DE TINTA A COLOR, PARA IMPRESOR CANON A INYECCION BJC- 240</t>
  </si>
  <si>
    <t>CARTUCHO DE TINTA BCI-21 COLOR PARA IMPRESOR CANONMODELO BJC-4300</t>
  </si>
  <si>
    <t>CARTUCHO DE TINTA PARA IMPRESOR CANON IP 7210 COLOR AMARILLO  ESTANDAR CLI - 151</t>
  </si>
  <si>
    <t>CARTUCHO DE TINTA PARA IMPRESOR CANON IP 7210 COLOR CIAN ESTANDAR  CLI - 151</t>
  </si>
  <si>
    <t>CARTUCHO DE TINTA PARA IMPRESOR CANON IP 7210 COLOR MAGENTA ESTANDAR CLI - 151</t>
  </si>
  <si>
    <t>CARTUCHO DE TINTA PARA IMPRESOR CANON IP 7210 NEGRO CLI - 151</t>
  </si>
  <si>
    <t>CARTUCHO DE TINTA PARA IMPRESOR CANON IP 7210 NEGRO ESTANDAR PGBK 150</t>
  </si>
  <si>
    <t>CARTUCHO DE IMPRESORA MARCA CANNON MODELO BJC-250</t>
  </si>
  <si>
    <t>CARTUCHO DE IMPRESOR MARCA EPSON MODELO P981A</t>
  </si>
  <si>
    <t>CARTUCHO DE BRAZALETES PARA IMPRESIÓN TERMICA IMPRESOR ZEBRA ZD 510-HC.</t>
  </si>
  <si>
    <t>CARTUCHO DE IMPRESION COLOR YELLOW MODELO MP  CW2200 PARA PLOTTER</t>
  </si>
  <si>
    <t>CARTUCHO DE IMPRESION COLOR CIAN MODELO MP CW2200 PARA PLOTTER</t>
  </si>
  <si>
    <t>CARTUCHO DE IMPRESION COLOR MAGENTA MODELO MP CW2200 PARA PLOTTER</t>
  </si>
  <si>
    <t>CARTUCHO DE IMPRESION COLOR NEGRO MODELO MP CW2200 PARA PLOTTER</t>
  </si>
  <si>
    <t>CARTUCHO DE INYECCION DE TINTA COLOR NEGRO MODELO HP 51626A</t>
  </si>
  <si>
    <t>CARTUCHO DE TINTA  PARA IMPRESOR  LEXMARK X5470</t>
  </si>
  <si>
    <t>CARTUCHO DE TINTA COLOR CL-211 PARA IMPRESOR CANON MODELO iP 2700</t>
  </si>
  <si>
    <t>CARTUCHO DE TINTA NEGRO PG-210 PARA IMPRESOR CANON MODELO iP 2700</t>
  </si>
  <si>
    <t>CARTUCHO DE TINTA P/IMPRESOR HEWLETT PACKARD.     (VARIOS MODELOS).</t>
  </si>
  <si>
    <t>CARTUCHO DE TONER CYAN  PARA IMPRESOR DELL C 1660 W</t>
  </si>
  <si>
    <t>CARTUCHO DE TONER MAGENTA  PARA IMPRESOR DELL C 1660 W</t>
  </si>
  <si>
    <t>CARTUCHO DE TONER NEGRO PARA IMPRESOR DELL C 1660 W</t>
  </si>
  <si>
    <t>CARTUCHO DE TONER YELLOW  PARA IMPRESOR DELL C 1660 W</t>
  </si>
  <si>
    <t>Cartucho Impresor Canon MODELO IP 2700  NEGRO</t>
  </si>
  <si>
    <t>Cartucho Impresor Canon MODELO IP 2700 COLOR</t>
  </si>
  <si>
    <t>CARTUCHO PARA IMPRESOR CANON  MP230 A COLOR</t>
  </si>
  <si>
    <t>CARTUCHO PARA IMPRESOR CANON  MX 391 A COLOR</t>
  </si>
  <si>
    <t>Cartucho Impresor HP Desk Jet 6540 COLOR AMARILLO</t>
  </si>
  <si>
    <t>Cartucho Impresor HP Desk Jet 6540 COLOR CYAN</t>
  </si>
  <si>
    <t>Cartucho Impresor HP Desk Jet 6540 COLOR MAGENTA</t>
  </si>
  <si>
    <t>CARTUCHO PARA IMPRESOR XEROX COLOR MAGENTA C500 PS MODELO VERSALINK</t>
  </si>
  <si>
    <t>CARTUCHO PARA IMPRESOR XEROX COLOR AMARILLO C500 PS MODELO VERSALINK</t>
  </si>
  <si>
    <t>CARTUCHO PARA IMPRESOR XEROX COLOR CIAN C500 PS MODELO VERSALINK</t>
  </si>
  <si>
    <t>CARTUCHO PARA IMPRESOR XEROX COLOR NEGRO C500 PS MODELO VERSALINK</t>
  </si>
  <si>
    <t>CARTUCHO DE TINTA NEGRO PARA IMPRESOR CANON A  BJC-240</t>
  </si>
  <si>
    <t>CARTUCHO DE TINTA BC-20 NEGRO PARA IMPRESOR MARCA CANON MODELO BJC-4300 (CARTUCHO GRANDE)</t>
  </si>
  <si>
    <t>CARTUCHO DE TINTA NEGRO PARA IMPRESOR EPSON MODELO1600 CODIGO 51640A</t>
  </si>
  <si>
    <t>CARTUCHO DE TINTA NEGRA PARA IMPRESOR HP 870 A.</t>
  </si>
  <si>
    <t>CARTUCHO PARA IMPRESOR MARCA CODONICS MODELO VIRTUA</t>
  </si>
  <si>
    <t>CARTUCHO PARA IMPRESOR MARCA HEWLETT PACKARD MODELO OFFICE JET PRO 8500 COLOR AMARILLO</t>
  </si>
  <si>
    <t>CARTUCHO PARA IMPRESOR MARCA HEWLETT PACKARD MODELO OFFICE JET PRO 8500 COLOR CIAN</t>
  </si>
  <si>
    <t>CARTUCHO PARA IMPRESOR MARCA HEWLETT PACKARD MODELO OFFICE JET PRO 8500 COLOR MAGENTA</t>
  </si>
  <si>
    <t>CARTUCHO PARA IMPRESOR MARCA HEWLETT PACKARD MODELO OFFICE JET PRO 8500 COLOR NEGRO</t>
  </si>
  <si>
    <t>CARTUCHO PARA IMPRESOR MARCA HEWLETT PACKARD MODELO PHOTOSMART 1000 COLOR NEGRO</t>
  </si>
  <si>
    <t>CARTUCHO PARA IMPRESOR MARCA HEWLETT PACKARD MODELO PHOTOSMART 1000 TRICOLOR</t>
  </si>
  <si>
    <t>CARTUCHO PARA IMPRESOR  INK JET COLOR NEGRO 45A</t>
  </si>
  <si>
    <t>CARTUCHO PARA IMPRESORA MARCA CANNON MODELO BJC-1000</t>
  </si>
  <si>
    <t>CARTUCHO PARA IMPRESORA MARCA CANNON MODELO BJC-6000</t>
  </si>
  <si>
    <t>CARTUCHO PARA IMPRESOR BCI-21 CANON BJC-4300_NEGRO</t>
  </si>
  <si>
    <t>CARTUCHO PARA IMPRESOR MCA. DESKJET 6122 A COLOR</t>
  </si>
  <si>
    <t>CARTUCHO PARA IMPRESOR MARCA EPSON MODELO RECEPT JOURNAL 33/40</t>
  </si>
  <si>
    <t>CARTUCHO PARA IMPRESOR MARCA EPSON MODELO STYLUS C 500</t>
  </si>
  <si>
    <t>CARTUCHO PARA IMPRESOR EPSON STYLUS DE COLOR</t>
  </si>
  <si>
    <t>CARTUCHO PARA IMPRESOR EPSON STYLUS NEGRO</t>
  </si>
  <si>
    <t>CARTUCHO DE TINTA PARA IMPRESOR HEWLETT PACKARD DESKJET 610 C</t>
  </si>
  <si>
    <t>CARTUCHO PARA IMPRESOR HEWLLET PACKARD SERIE 995C HP5196 29A</t>
  </si>
  <si>
    <t>CARTUCHO PARA IMPRESOR HEWLLET PACKARD 672 C</t>
  </si>
  <si>
    <t>CARTUCHO DE TINTA PARA IMPRESOR HEWLLET PACKAR SE-RIE 960C HP5196 29A</t>
  </si>
  <si>
    <t>CARTUCHO PARA IMPRESOR HP  C18230 A COLOR</t>
  </si>
  <si>
    <t>CARTUCHO PARA IMPRESOR MARCA HEWLETT PACKARD MODELO BUSINESS</t>
  </si>
  <si>
    <t>CARTUCHO PARA IMPRESOR HP MODELO DESK JET 400</t>
  </si>
  <si>
    <t>CARTUCHO PARA IMPRESOR HP MODELO DESK JET 500C</t>
  </si>
  <si>
    <t>CARTUCHO DE TINTA PARA IMPRESOR LEXMARK Z42 (COLOR</t>
  </si>
  <si>
    <t>CARTUCHO DE TINTA PARA IMPRESOR LEXMARK Z42 (NEGRO</t>
  </si>
  <si>
    <t>CARTUCHO PARA IMPRESOR MARCA DESKJET 870 CXI</t>
  </si>
  <si>
    <t>CARTUCHO PARA IMPRESOR MARCA EPSON MODELO 640C</t>
  </si>
  <si>
    <t>CARTUCHO PARA IMPRESOR MARCA EPSON MODELO P980A</t>
  </si>
  <si>
    <t>CARTUCHO PARA IMPRESOR MARCA HP MODELO 2000C</t>
  </si>
  <si>
    <t>CARTUCHO PARA IMPRESOR MARCA HP MODELO 720-C</t>
  </si>
  <si>
    <t>CARTUCHO PARA IMPRESOR MARCA HP MODELO 840C</t>
  </si>
  <si>
    <t>CARTUCHO PARA IMPRESOR MARCA HP MODELO DESKJET 895/995 CXI</t>
  </si>
  <si>
    <t>CARTUCHO PARA IMPRESOR MARCA HP MODELO COLOR LASER JET 5</t>
  </si>
  <si>
    <t>CARTUCHO PARA IMPRESOR MARCA HP MODELO COLOR LASSER JET 8</t>
  </si>
  <si>
    <t>CARTUCHO PARA IMPRESOR MARCA HP MODELO DESK JET 670C</t>
  </si>
  <si>
    <t>CARTUCHO PARA IMPRESOR MARCA HP MODELO DESK JET 692C</t>
  </si>
  <si>
    <t>CARTUCHO PARA IMPRESOR MARCA HP MODELO DESKJET 692C</t>
  </si>
  <si>
    <t>CARTUCHO PARA IMPRESOR MARCA HP MODELO DESK JET 720C</t>
  </si>
  <si>
    <t>CARTUCHO PARA IMPRESOR MARCA HP MODELO HP DESK JET 890C</t>
  </si>
  <si>
    <t>CARTUCHO PARA IMPRESOR MARCA HP, MODELO DESKJET   6122, COLOR NEGRO</t>
  </si>
  <si>
    <t>CARTUCHO PARA IMPRESOR MARCA LEXKMARK MODELO Z-31</t>
  </si>
  <si>
    <t>CARTUCHO PARA IMPRESOR MARCA XEROX MODELO PHASER 3110</t>
  </si>
  <si>
    <t>CARTUCHO PARA IMPRESOR MARCA XEROX MODELO DOCUPRINT XJ8C</t>
  </si>
  <si>
    <t xml:space="preserve"> CARTUCHO PARA IMPRESOR EPSON MODELO TX620FWD A COLOR</t>
  </si>
  <si>
    <t>CARTUCHO PARA IMPRESOR EPSON MODELO TX620FWD NEGRO</t>
  </si>
  <si>
    <t>CARTUCHO PARA IMPRESOR CANNON (VARIAS MARCAS Y    MODELOS).</t>
  </si>
  <si>
    <t>CARTUCHO PARA IMPRESOR HP  OFFICEJET PRO 8600 PLUS COLOR AMARILLO</t>
  </si>
  <si>
    <t>CARTUCHO PARA IMPRESOR HP  OFFICEJET PRO 8600 PLUS COLOR CYAN</t>
  </si>
  <si>
    <t>CARTUCHO PARA IMPRESOR HP  OFFICEJET PRO 8600 PLUS COLOR MAGENTA</t>
  </si>
  <si>
    <t>CARTUCHO PARA IMPRESOR HP  OFFICEJET PRO 8600 PLUS COLOR NEGRO</t>
  </si>
  <si>
    <t>Cartucho para impresor HP 1000 Desk Jet CH563HL 122XL color negro</t>
  </si>
  <si>
    <t>Cartucho para impresor HP 1000 Desk Jet CH564HL 122XL &lt;(&gt;&amp;&lt;)&gt;#160;a color</t>
  </si>
  <si>
    <t xml:space="preserve"> CARTUCHO PARA IMPRESOR HP 6000 OFFI JET 920 COLOR AMARILLO</t>
  </si>
  <si>
    <t xml:space="preserve"> CARTUCHO PARA IMPRESOR HP 6000 OFFI JET 920 COLOR CYAN</t>
  </si>
  <si>
    <t xml:space="preserve"> CARTUCHO PARA IMPRESOR HP 6000 OFFI JET 920 COLOR MAGENTA</t>
  </si>
  <si>
    <t xml:space="preserve"> CARTUCHO PARA IMPRESOR HP 6000 OFFI JET 920 COLOR NEGRO</t>
  </si>
  <si>
    <t>CARTUCHO PARA IMPRESOR HP-DESK JET 1660 A COLOR</t>
  </si>
  <si>
    <t>CARTUCHO PARA IMPRESOR HP-DESK JET 1660 NEGRO</t>
  </si>
  <si>
    <t>CARTUCHO DE TINTA PARA IMPRESORA LEXMARK COLOR    ( VARIOS MODELO - ESPECIFICAR )</t>
  </si>
  <si>
    <t>CARTUCHO PARA SCANNER MULTIFUNCION MARCA HP.OFFICE JET 6500A PLUS</t>
  </si>
  <si>
    <t>CARTUCHO DE TONER PARA IMPRESOR LASER JET M203dw COLOR NEGRO</t>
  </si>
  <si>
    <t>CARTUCHO DE TONER CARTRIDGE C3903 A PARA IMPRESOR MODELO LASER JET 6P</t>
  </si>
  <si>
    <t>CARTUCHOS DE 250 MEGA BITE PARA UNIDAD ZIP-DRIVE VARIAS CARACTERISTICAS</t>
  </si>
  <si>
    <t>CARTUCHOS DE INYECCION DE TINTA COLOR NEGRO, HP 51629A</t>
  </si>
  <si>
    <t>CINTA ADHESIVA DE 2" ANCHO x 60 YARDAS PARA SELLAR CAJAS.</t>
  </si>
  <si>
    <t>CINTA ADHESIVA TRANSPARENTE, DE 3/4" ANCHO Y 36 YARDAS DE LARGO APROXIMADAMENTE</t>
  </si>
  <si>
    <t>CINTA CORRECTORA PARA MAQUINA DE ESCRIBIR ELECTRICA (ESPECIFICAR : MARCA Y MODELO DE LA MAQUINA)</t>
  </si>
  <si>
    <t>CINTA DE PAPEL ENGOMADO, DE 2 1/2" ANCHO X 200 YARDAS DE LARGO APROXIMADAMENTE</t>
  </si>
  <si>
    <t>CINTA DE RE-TRANSFERENCIA PARA IMPRESOR DNP CX-210</t>
  </si>
  <si>
    <t>Cinta Impresor Matricial Epson Modelo LX-300+II</t>
  </si>
  <si>
    <t>CINTA IMPRESORA EPSON RIBBON CARTRIDGE SO15086</t>
  </si>
  <si>
    <t>CINTA IMPRESORA EPSON( FX ) LQ-2170.ORIGINAL</t>
  </si>
  <si>
    <t>CINTA IMPRESORA OKIDATA #393-395.</t>
  </si>
  <si>
    <t>CINTA IMPRESORA PANASONIC KX-P3626.ORIGINAL</t>
  </si>
  <si>
    <t>CINTA METRICA AHULADA</t>
  </si>
  <si>
    <t>CINTA METRICA ERGONOMICA PARA MEDIR CIRCUNFERENCIAS MILIMETRICAS</t>
  </si>
  <si>
    <t>CINTA NEGRA PARA IMPRESOR PRINTRONIX SERIE P-7000(90 MILLONES CARÁCTER)</t>
  </si>
  <si>
    <t>CINTA NEGRA PARA MAQUINA DE ESCRIBIR NO ELECTRICA</t>
  </si>
  <si>
    <t>CINTA PARA IMPRESOR MATRICIAL CARRO ANGOSTO LEXMARK 11A3540</t>
  </si>
  <si>
    <t>CINTA PARA IMPRESOR MATRICIAL CARRO ANGOSTO MARCA LEXMARK MODELO 2580- 110</t>
  </si>
  <si>
    <t>CINTA PARA IMPRESOR TALLY GENICOM MODELO 650+</t>
  </si>
  <si>
    <t>CINTA PARA IMPRESOR DE VIÑETAS MARCA ZEBRA MODELO GX420T</t>
  </si>
  <si>
    <t>CINTA PARA IMPRESOR MATRICIAL DE ALTA VELOCIDAD PRINTRONIX MODELO P8005</t>
  </si>
  <si>
    <t>Cinta para Impresora matricial de 9 pines TALLY DASCOM 1140</t>
  </si>
  <si>
    <t>CINTA PARA IMPRESOR OKI MICROLINE 400 SERIES RIBBON 42377801</t>
  </si>
  <si>
    <t>CINTA P/ IMP OKI MICROLINE 421 9 PIN PRINTER</t>
  </si>
  <si>
    <t>CINTA PARA IMPRESOR OKIDATA MODELO PACEMARK 4410</t>
  </si>
  <si>
    <t>CINTA PARA IMPRESOR PRINTRONIX MODELO P-7220</t>
  </si>
  <si>
    <t>CINTA PARA IMPRESOR TALLY GENICOM MODELO T6218</t>
  </si>
  <si>
    <t>CINTA PARA IMPRESOR MATRICIAL RONGTA RP-35</t>
  </si>
  <si>
    <t>CINTA PARA IMPRESOR PANASONIC KXP 170, KXP115I</t>
  </si>
  <si>
    <t>CINTA PARA IMPRESOR BROTHER MODELO HL-730 DX</t>
  </si>
  <si>
    <t>CINTA PARA IMPRESOR MARCA EPSON MODELO DFX-5000+</t>
  </si>
  <si>
    <t>CINTA PARA IMPRESOR MARCA EPSON MODELO F-170B</t>
  </si>
  <si>
    <t>CINTA PARA IMPRESOR MARCA EPSON MODELO FX-1180</t>
  </si>
  <si>
    <t>CINTA PARA IMPRESOR "EPSON" (ORIGINALES) MOD. XL  -8 00 IVM.,C/U</t>
  </si>
  <si>
    <t>CINTA PARA IMPRESOR MARCA EPSON MODELO TM-U200</t>
  </si>
  <si>
    <t>CINTA PARA IMPRESOR MARCA IBM MODELO INFOPRINT 6500 V20 (CAJA DE 6 CINTAS)</t>
  </si>
  <si>
    <t>CINTA PARA IMPRESOR MARCA LEXKMARK MODELO 2381 PLUS</t>
  </si>
  <si>
    <t>CINTA PARA IMPRESOR MARCA LEXKMARK MODELO 2390 PLUS</t>
  </si>
  <si>
    <t>CINTA PARA IMPRESOR MARCA LEXKMARK MODELO 2481</t>
  </si>
  <si>
    <t>CINTA PARA IMPRESOR MARCA LEXKMARK MODELO 3200</t>
  </si>
  <si>
    <t>CINTA PARA IMPRESOR MARCA LEXKMARK MODELO 4044-201</t>
  </si>
  <si>
    <t>CINTA PARA IMPRESOR MARCA LEXKMARK MODELO 742-4101</t>
  </si>
  <si>
    <t>CINTA PARA IMPRESOR MARCA DIGITAL MODELO DC CLASER 3200</t>
  </si>
  <si>
    <t>CINTA PARA IMPRESOR MARCA DIGITAL MODELO LA 424</t>
  </si>
  <si>
    <t>CINTA PARA IMPRESOR MARCA BROTHER MODELO M-1909</t>
  </si>
  <si>
    <t>CINTA PRA IMPRESOR MARCA DIGITAL MODELO LA424</t>
  </si>
  <si>
    <t>CINTA PARA IMPRESOR MARCA EPSON MODELO FX-870</t>
  </si>
  <si>
    <t>CINTA PARA IMPRESOR MARCA EPSON MODELO FX-880</t>
  </si>
  <si>
    <t>CINTA PARA IMPRESOR MARCA EPSON MODELO LX-300</t>
  </si>
  <si>
    <t>CINTA PARA IMPRESOR MARCA EPSON MODELO M1190</t>
  </si>
  <si>
    <t>CINTA PARA IMPRESOR MARCA IBM MODELO 6262</t>
  </si>
  <si>
    <t>CINTA PARA IMPRESOR MARCA IBM MODELO 6400</t>
  </si>
  <si>
    <t>CINTA PARA IMPRESOR PANASONIC KX 3626, ORIGINAL.</t>
  </si>
  <si>
    <t>CINTA PARA IMPRESOR MARCA PANASONIC MODELO KXP1150</t>
  </si>
  <si>
    <t>CINTA PARA IMPRESOR PANASONIC KX-P155 PARA MODELOSKX-P1524,1540,1624 ,1654,2624 Y 2828.</t>
  </si>
  <si>
    <t>CINTA PARA IMPRESOR PANASONIC KX-P1695</t>
  </si>
  <si>
    <t>CINTA PARA IMPRESOR MARCA PANASONIC MODELO KX-P2130</t>
  </si>
  <si>
    <t>CINTA PARA IMPRESOR MARCA PANASONIC MODELO KXP-3200</t>
  </si>
  <si>
    <t>CINTA PARA IMPRESOR PANASONIC KX-P3696</t>
  </si>
  <si>
    <t>CINTA PARA IMPRESOR MARCA PANASONIC MODELO KX-P500</t>
  </si>
  <si>
    <t>CINTA PARA IMPRESOR MARCA PANASONIC MODELO KX-P6100</t>
  </si>
  <si>
    <t>CINTA PARA IMPRESOR MARCA PANASONIC MODELO P5010</t>
  </si>
  <si>
    <t>CINTA PARA IMPRESOR PROPINTER XL-II</t>
  </si>
  <si>
    <t>CINTA PARA IMPRESOR MARCA STAR MODELO XB-2425</t>
  </si>
  <si>
    <t>CINTA PARA IMPRESOR A COLOR, 24 PIN P2130 PANASONIC.</t>
  </si>
  <si>
    <t>CINTA PARA IMPRESORA BROTHER, VARIOS MODELOS.</t>
  </si>
  <si>
    <t>CINTA PARA IMPRESORA EPSON 8755</t>
  </si>
  <si>
    <t>CINTA PARA MAQUINA DE ESCRIBIR ELECTRICA MARCASWINTEC 3500</t>
  </si>
  <si>
    <t>CINTA PARA MAQUINA DE ESCRIBIR ELECTRICA NAKAJIMA MODELO AE-740 Y COMPATIBLES</t>
  </si>
  <si>
    <t>CINTA PARA MAQUINA DE ESCRIBIR ELECTRICA PANASONIC</t>
  </si>
  <si>
    <t>CINTA PARA MAQUINA DE ESCRIBIR ELECTRICA SWINTEC-4040.</t>
  </si>
  <si>
    <t>CINTA PARA IMPRESOR MATRICIAL MARCA EPSON LX 350</t>
  </si>
  <si>
    <t>CINTA DE RESINA PARA IMPRESOR DE  VIÑETAS METALIZADAS MARCA ZEBRA ZM400.   MEDIDAS 60mm X 450</t>
  </si>
  <si>
    <t>CINTA PARA IMPRESOR DE VIÑETAS MARCA GODEX EZ-1105</t>
  </si>
  <si>
    <t>CINTA PARA IMPRESOR DE VIÑETAS MARCA ZEBRA MODELO TLP2844</t>
  </si>
  <si>
    <t>CINTA PARA IMPRESOR MARCA GENICOM MODELOS 5100,LA650</t>
  </si>
  <si>
    <t>CINTA PARA IMPRESOR MATRICIAL EPSON FX 2190</t>
  </si>
  <si>
    <t>CINTA PARA IMPRESOR MATRICIAL TMU&lt;(&gt;&amp;&lt;)&gt;#160; HCCTG 76XX POS 76mm</t>
  </si>
  <si>
    <t>CINTA PARA MAQUINA DE ESCRIBIR ELECTRICA (ESPECIFICAR : MARCA Y MODELO DE LA MAQUINA)</t>
  </si>
  <si>
    <t>CINTA ROTULADORA PARA MAQUINA TIPO (ORMO)</t>
  </si>
  <si>
    <t xml:space="preserve"> CINTA YMCBK PARA IMPRESOR DNP CX210</t>
  </si>
  <si>
    <t>CUBIERTA O FUNDAS IMPERMEABLE PARA EQUIPO DE TERAPIA RESPIRATORIA.</t>
  </si>
  <si>
    <t>CUTTER ALMA DE METAL MEDIDA MEDIANA A GRANDE PARA TRABAJOS DE OFICINA</t>
  </si>
  <si>
    <t>DISCO LASER EN BLANCO TIPO DVD-RW(REGRABABLE)</t>
  </si>
  <si>
    <t>DISCOS LASER EN BLANCO TIPO CD-RW (REGRABABLES),C/U.</t>
  </si>
  <si>
    <t xml:space="preserve"> ESPATULA DE GOMA, CON MATERIAL COMPLETO DE PLASTICO</t>
  </si>
  <si>
    <t xml:space="preserve"> ESTUCHE DE DIFERENTES MEDIDAS PARA GUARDAR ROLL UP</t>
  </si>
  <si>
    <t>ESTUCHE DE PLUMONES TIPO ESCOLAR PARA USO EN ACTIVIDADES DE MANUALIDADES CON PACIENTES.</t>
  </si>
  <si>
    <t>EXTENSION DE TORNILLO PARA ENCUADERNAR PAPELES DE TRABAJO, VARIAS MEDIDAS</t>
  </si>
  <si>
    <t>FECHADOR DE HULE, MEDIDAS 1 1/2" x 1 1/4"</t>
  </si>
  <si>
    <t>FECHADOR DE HULE, MEDIDAS 1 1/2" x 1 3/4"</t>
  </si>
  <si>
    <t>FECHADORES DE HULE, MEDIDAS 1 1/2" x 1"</t>
  </si>
  <si>
    <t>FORRO DE PLANTILLA PLASTIFICADO PARA EMPASTADO Y ENCUADERNADO DE LIBROS USO EXCLUSIVO DE IMPRENTA. YARDA.</t>
  </si>
  <si>
    <t>FUNDA PLASTICA TAMAÑO CARTA PARA CARTAPACIO  PROTECTORA DE HOJAS</t>
  </si>
  <si>
    <t>GOMA ESCARCHADA, FRASCO 30-70 ML, VARIOS COLORES.</t>
  </si>
  <si>
    <t>GRAPA DE 3/8" PARA ENGRAPADORA TIPO PESADO</t>
  </si>
  <si>
    <t>GRAPAS DE 1/2" PARA ENGRAPADORA TIPO PESADO</t>
  </si>
  <si>
    <t>GRAPAS DE 1/4" PARA ENGRAPADORA TIPO PESADO</t>
  </si>
  <si>
    <t>GUIA INDEX TAMANO OFICIO 25 X 1.,JUEGO</t>
  </si>
  <si>
    <t>GUIA PARA GAVETAS DE ARCHIVADORES,C/U</t>
  </si>
  <si>
    <t>HOJA PLASTICA PROTECTORA  PARA PAPEL BOND TAMAÑO CARTA</t>
  </si>
  <si>
    <t>INDICE SEPARADOR BORRABLE MULTICOLOR 3 ARGOLLAS CON PESTAÑAS</t>
  </si>
  <si>
    <t>JUEGO DE MESA TORRE DE MADERA  TIPO JENGA</t>
  </si>
  <si>
    <t>JUEGO DE PLUMONES O ESTILETE GRAFICADOR</t>
  </si>
  <si>
    <t>JUEGO DE RODILLOS NYLON 4" Y ARMAZON PARA PINTAR</t>
  </si>
  <si>
    <t>JUGUETE PARA PACIENTES PEDIATRICOS EN EDAD DE 2 A 5 AÑOS QUE ESTIMULE EL DESARROLLO DE HABILIDADES SENSORIALES, COGNITIVAS Y DE COORDINACION EN EL USO DE OBJETOS</t>
  </si>
  <si>
    <t>JUGUETE PARA PACIENTES PEDIATRICOS EN EDAD DE 6 A 12 AÑOS QUE ESTIMULE PROCESOS COGNITIVOS BASICOS DE PERCEPCION VISUAL, ATENCION, MEMORIA Y QUE FOMENTE EL CONTROL DE IMPULSIVIDAD PARA TRABAJAR MEDIANTE LA CAPACIDAD DE ESPERAR PARA APRENDER EL AUTOCONTROL</t>
  </si>
  <si>
    <t>JUGUETE PARA PACIENTES PEDIATRICOS EN EDAD DE 6 A 12 MESES, PARA AREAS RELACIONADAS CON "SUS SENTIDOS" (VER, OIR, TOCAR)</t>
  </si>
  <si>
    <t>NUMERADORA AUTOMATICA DE PALANCA, TAMAÐO STANDARD</t>
  </si>
  <si>
    <t>NUMERO AUTOADHESIVO PARA IDENTIFICAR PUERTAS PRINCIPALES</t>
  </si>
  <si>
    <t>ORGANIZADOR PLASCITO CON AGARRADERO VARIEDAD DE TAMAÑOS, MATERIAL LAVABLE,RESISTENTE, DE FÁCIL LIMPIEZA Y LIVIANO</t>
  </si>
  <si>
    <t>PELICULA DE MICROFILM DE 16 MM X 215 PIES.</t>
  </si>
  <si>
    <t xml:space="preserve"> PELICULA PARA FAX MARCA BROTHER 501 UNIDAD DE MEDIDA, ROLLO</t>
  </si>
  <si>
    <t>PELICULA PARA FAX MARCA BROTHER 575 UNIDAD DE MEDIDA, ROLLO</t>
  </si>
  <si>
    <t>PELICULA PARA FAX MARCA PANASONIC KX-FHD 351</t>
  </si>
  <si>
    <t>PELICULAS DUPLICATIVAS BASE PLATA PARA MICROFILM DE 2500 PIES X 16 MM</t>
  </si>
  <si>
    <t>PERFORADORA METALICA DE TRES AGUJEROS, DE SEPARACION REGULABLE</t>
  </si>
  <si>
    <t>PILA DE 1.5 VOLTIOS TIPO "AA" DE ALTA DURACION</t>
  </si>
  <si>
    <t>PILA DE 1.5 VOLTIOS ALCALINA TIPO "AAA".</t>
  </si>
  <si>
    <t>PILA DE 1.5 VOLTIOS ALCALINA TIPO "C"</t>
  </si>
  <si>
    <t>PILA DE 1.5 VOLTIOS ALCALINA TIPO "D"</t>
  </si>
  <si>
    <t>PINTURA ACRILICA, FRASCO 30-70 ML, VARIOS COLORES.</t>
  </si>
  <si>
    <t>PLÁSTICO POLIESTRECH VARIAS MEDIDAS EN ROLLO</t>
  </si>
  <si>
    <t>PLASTICO TRANSPARENTE PARA FORRAR LIBROS EXCLUSIVO DE AREA DE DOCENCIA</t>
  </si>
  <si>
    <t>PLUMON 440 XF PAINT MARKER 1.2 M/M, COLOR BLANCO</t>
  </si>
  <si>
    <t>PLUMON CON PINTURA DE ACEITE  (VARIOS COLORES, MARCAS Y PUNTOS)</t>
  </si>
  <si>
    <t>PLUMON PUNTO FINO COLOR AZUL.,C/U.</t>
  </si>
  <si>
    <t>PLUMON PUNTO FINO COLOR NEGRO.,C/U.</t>
  </si>
  <si>
    <t>PLUMON PUNTO FINO COLOR ROJO.,C/U.</t>
  </si>
  <si>
    <t xml:space="preserve"> PLUMON PUNTO FINO COLOR VERDE,C/U.</t>
  </si>
  <si>
    <t>PORTA CD`S DE TELA O NYLON ( PARA DIFERENTES UNIDADES - ESPECIFICAR )</t>
  </si>
  <si>
    <t>PORTAGAFETE VARIOS COLORES,DISEÑOS Y ESTAMPADOS</t>
  </si>
  <si>
    <t>REFUERZOS PLASTICOS PARA AGUJEROS MEDIOS EN PAPEL</t>
  </si>
  <si>
    <t>REGLA  DE ACERO INOXIDABLE, GRADUADA EN MILIMETROS Y PULGADAS DE 39"DE LARGO X 1 1/4" DE ANCHO X 0.02 DE ESPESOR</t>
  </si>
  <si>
    <t>REGLA METALICA HASTA 30 CM DE LONGITUD</t>
  </si>
  <si>
    <t>REVISTERO ORGANIZADOR DE ESCRITORIO, VARIOS TIPOS DE MATERIALES DE FABRICACION. C/U</t>
  </si>
  <si>
    <t>ROLLO DE PLASTICO FLEXIBLE PARA LAMINAR ANCHO 4 1/2"</t>
  </si>
  <si>
    <t>ROLLO DE TIRRO DE 3/4 DE PULGADA DE ANCHO.</t>
  </si>
  <si>
    <t>ROMPECABEZAS VARIEDAD DE TIPOS (MATERIAL DE APOYO DIDACTICO)</t>
  </si>
  <si>
    <t>SELLO DE HULE, DE PLASTICO, AUTOMATICO, DIFERENTES MEDIDAS. C/U</t>
  </si>
  <si>
    <t>TABLA PARA REALIZAR CORTES DE PAPEL U OTRO MATERIAL DE OFICINA MEDIDAS 45 X 30 CMS</t>
  </si>
  <si>
    <t>TACHUELA CON CABEZA RECUBIERTA DE PLASTICO, PUNTA METÁLICA PARA  SUJETAR PAPEL, CAJA DE 100 UNIDADES O MAS. C/U</t>
  </si>
  <si>
    <t>TARJETA BLANCA DE PVC PARA ELABORACION DE CARNETS DE USO EN AREA DE RECURSOS HUMANOS</t>
  </si>
  <si>
    <t>TINTA NEGRA PARA IMPRESOR XEROX X PRINT PLUS</t>
  </si>
  <si>
    <t>TINTA PARA IMPRESOR CANON BCI 21, TRICOLOR.</t>
  </si>
  <si>
    <t>TINTA PARA IMPRESOR CANON BCI-21, BICOLOR.</t>
  </si>
  <si>
    <t>TINTA PARA IMPRESOR CARTUCHO BC-05 A COLORES</t>
  </si>
  <si>
    <t>TINTA PARA NUMERADORES Y SELLOS METALICOS (VARIOS COLORES) CAPACIDAD DE 29.57 CC APROXIMADAMENTE.</t>
  </si>
  <si>
    <t>TINTA PARA IMPRESOR EPSON L-110 AMARILLO  YT 6644</t>
  </si>
  <si>
    <t>TINTA PARA IMPRESOR EPSON L-110 CIAN  CT 665421</t>
  </si>
  <si>
    <t>TINTA PARA IMPRESOR EPSON L-110 MAGENTA  MT 6643</t>
  </si>
  <si>
    <t>TINTA PARA IMPRESOR EPSON L-110 NEGRO  BT 6641</t>
  </si>
  <si>
    <t xml:space="preserve"> TINTA PARA IMPRESOR EPSON L-210 COLOR AMARILLO</t>
  </si>
  <si>
    <t xml:space="preserve"> TINTA PARA IMPRESOR EPSON L-210 COLOR CYAN</t>
  </si>
  <si>
    <t xml:space="preserve"> TINTA PARA IMPRESOR EPSON L-210 COLOR MAGENTA</t>
  </si>
  <si>
    <t xml:space="preserve"> TINTA PARA IMPRESOR EPSON L-210 COLOR NEGRO</t>
  </si>
  <si>
    <t xml:space="preserve"> TINTA PARA IMPRESOR EPSON L555 T664-120 COLOR NEGRO</t>
  </si>
  <si>
    <t xml:space="preserve"> TINTA PARA IMPRESOR EPSON L555 T664-220 COLOR CYAN</t>
  </si>
  <si>
    <t xml:space="preserve"> TINTA PARA IMPRESOR EPSON L555 T664-320 COLOR MAGENTA</t>
  </si>
  <si>
    <t xml:space="preserve"> TINTA PARA IMPRESOR EPSON L555 T664-420 COLOR AMARILLO</t>
  </si>
  <si>
    <t>TINTA PARA IMPRESOR EPSON T6641 COLOR NEGRO</t>
  </si>
  <si>
    <t>TINTA PARA IMPRESOR EPSON T6642 COLOR CYAN</t>
  </si>
  <si>
    <t>TINTA PARA IMPRESOR EPSON T6643 COLOR MAGENTA</t>
  </si>
  <si>
    <t>TINTA PARA IMPRESOR EPSON T6644 COLOR AMARILLO</t>
  </si>
  <si>
    <t xml:space="preserve"> TINTA PARA IMPRESOR HP MODELO CC640 WL NEGRO HP 60</t>
  </si>
  <si>
    <t xml:space="preserve"> TINTA PARA IMPRESOR HP MODELO CC643 WL COLOR HP 60</t>
  </si>
  <si>
    <t xml:space="preserve"> TINTA ROJA 2F-411</t>
  </si>
  <si>
    <t>TONER 105A PARA IMPRESORA HP LASER MFP 135W</t>
  </si>
  <si>
    <t xml:space="preserve"> TONER A COLOR PARA IMPRESOR HP 2050</t>
  </si>
  <si>
    <t>TONER ACTION LASER, 1,100 PARA IMPRESOR EPSON</t>
  </si>
  <si>
    <t>TONER COLOR AMARILLO  PARA IMPRESOR LASER MARCA XEROX MODELO Phaser 6140</t>
  </si>
  <si>
    <t>TONER COLOR CYAN  PARA IMPRESOR LASER MARCA XEROX MODELO Phaser 6140</t>
  </si>
  <si>
    <t>TONER COLOR MAGENTA  PARA IMPRESOR LASER MARCA XEROX MODELO Phaser 6140</t>
  </si>
  <si>
    <t>TONER COLOR NEGRO  PARA IMPRESOR LASER MARCA XEROX MODELO Phaser 6140</t>
  </si>
  <si>
    <t>TONER A COLOR PARA IMPRESOR  LASER JET COLOR M176N CF547A</t>
  </si>
  <si>
    <t>TONER DE COLOR PARA IMPRESOR HP LASER JET 4600</t>
  </si>
  <si>
    <t xml:space="preserve"> Tóner FAX BROTHER MSC-7220</t>
  </si>
  <si>
    <t>Tóner FAX CANON L-90</t>
  </si>
  <si>
    <t>Tóner Impresor HP Color Laser Jet 2600N COLOR AMARILLO Q6002A</t>
  </si>
  <si>
    <t>Tóner Impresor HP Color Laser Jet 2600N COLOR AZUL Q6001A</t>
  </si>
  <si>
    <t>Tóner Impresor HP Color Laser Jet 2600N COLOR MAGENTA Q6003A</t>
  </si>
  <si>
    <t>Tóner Impresor HP Color Laser Jet 2600N COLOR NEGRO Q600A</t>
  </si>
  <si>
    <t xml:space="preserve"> Tóner Impresor HP Color cyan Laser Jet 2600N</t>
  </si>
  <si>
    <t>Tóner Impresor HP Laser Jet 1022</t>
  </si>
  <si>
    <t xml:space="preserve"> Tóner Impresor HP Laser Jet 4250N</t>
  </si>
  <si>
    <t>Tóner Impresor HP Laser Jet P1102W</t>
  </si>
  <si>
    <t>Tóner Impresor HP Laser Jet P1606DN</t>
  </si>
  <si>
    <t>Tóner Impresor HP Laser Jet P2035N</t>
  </si>
  <si>
    <t>Tóner Impresor HP Laser Jet PRO 400</t>
  </si>
  <si>
    <t>Tóner Impresor HP- Office Jet 7110 COLOR AMARILLO</t>
  </si>
  <si>
    <t>Tóner Impresor HP- Office Jet 7110 COLOR CYAN</t>
  </si>
  <si>
    <t>Tóner Impresor HP- Office Jet 7110 COLOR MAGENTA</t>
  </si>
  <si>
    <t>Tóner Impresor HP- Office Jet 7110 COLOR NEGRO</t>
  </si>
  <si>
    <t xml:space="preserve"> Tóner Impresor HP Office Jet PRO 8600 PLUS</t>
  </si>
  <si>
    <t>TONER PARA IMPRESORA HP LASERJET PRO MODELO M404N</t>
  </si>
  <si>
    <t>TONER NEGRO PARA IMPRESOR HP LASER JET 4600</t>
  </si>
  <si>
    <t xml:space="preserve"> TONER NEGRO PARA IMPRESOR HP 2050 CARTUCHO HP 122</t>
  </si>
  <si>
    <t>TONER PARA IMPRESOR HP 201 A LASER JET PRO M 252 COLOR AMARILLO</t>
  </si>
  <si>
    <t xml:space="preserve"> TONER PARA IMPRESOR HP 201 A LASER JET PRO M 252 COLOR CYAN</t>
  </si>
  <si>
    <t>TONER PARA IMPRESOR HP 201 A LASER JET PRO M 252 COLOR MAGENTA</t>
  </si>
  <si>
    <t>TONER PARA IMPRESOR HP 201 A LASER JET PRO M 252 COLOR NEGRO</t>
  </si>
  <si>
    <t xml:space="preserve"> TONER PARA IMPRESOR HP LASER JET 126A CE310A COLOR NEGRO</t>
  </si>
  <si>
    <t xml:space="preserve"> TONER PARA IMPRESOR HP LASER JET 126A CE311A COLOR CELESTE</t>
  </si>
  <si>
    <t xml:space="preserve"> TONER PARA IMIPRESOR HP LASER JET 126A CE312A COLOR AMARILLO</t>
  </si>
  <si>
    <t xml:space="preserve"> TONER PARA IMPRESOR HP LASER JET 126A CE313A COLOR MAGENTA</t>
  </si>
  <si>
    <t xml:space="preserve"> TONER PARA IMPRESOR HP LASER JET 15136dnf CE278A</t>
  </si>
  <si>
    <t>TONER PARA IMPRESOR HP LASER JET 451 DN COLOR AMARILLO</t>
  </si>
  <si>
    <t>TONER PARA IMPRESOR HP LASER JET 451 DN COLOR BLUE</t>
  </si>
  <si>
    <t>TONER PARA IMPRESOR HP LASER JET 451 DN COLOR MAGENTA</t>
  </si>
  <si>
    <t>TONER PARA IMPRESOR HP LASER JET 451 DN COLOR NEGRO</t>
  </si>
  <si>
    <t>TONER PARA IMPRESOR HP LASER JET M1212nf MFP CE285A</t>
  </si>
  <si>
    <t>TONER PARA IMPRESOR HP LASER JET M127fn MFP CF283A</t>
  </si>
  <si>
    <t>TONER PARA IMPRESOR HP LASER JET PRO PRINTER MODELO M401dw</t>
  </si>
  <si>
    <t>TONER PARA IMPRESOR LASER OKI MODELO B4400</t>
  </si>
  <si>
    <t>CARTUCHO DE TONER PARA IMPRESOR HP LASER JET PRO MFP  M77 FNW COLOR AMARILLO</t>
  </si>
  <si>
    <t>CARTUCHO DE TONER PARA IMPRESOR HP LASER JET PRO MFP  M77 FNW COLOR CYAN</t>
  </si>
  <si>
    <t>CARTUCHO DE TONER PARA IMPRESOR HP LASER JET PRO MFP  M77 FNW COLOR MAGENTA</t>
  </si>
  <si>
    <t>CARTUCHO DE TONER PARA IMPRESOR HP LASER JET PRO MFP  M77 FNW COLOR NEGRO</t>
  </si>
  <si>
    <t>TONER PARA IMPRESOR XEROX PHASER 6510 COLOR AMARILLO</t>
  </si>
  <si>
    <t>TONER PARA IMPRESOR XEROX PHASER 6510 COLOR CYAN</t>
  </si>
  <si>
    <t>TONER PARA IMPRESOR XEROX PHASER 6510 COLOR MAGENTA</t>
  </si>
  <si>
    <t>TONER PARA IMPRESOR XEROX PHASER 6510 COLOR NEGRO</t>
  </si>
  <si>
    <t>TONER PARA IMPRESOR LASER XEROX DOCUPRINT MODELO P8E.</t>
  </si>
  <si>
    <t>TONER PARA IMPRESOR MARCA EPSON MODELO ACTION LASER 1100</t>
  </si>
  <si>
    <t>TONER PARA IMPRESOR EPSON EPL-5700i/5900i</t>
  </si>
  <si>
    <t>TONER PARA IMPRESOR MARCA EPSON MODELO E-315</t>
  </si>
  <si>
    <t>TONER PARA IMPRESOR MARCA HP MODELO HP LASER JET 4 PLUS</t>
  </si>
  <si>
    <t>TONER PARA IMPRESOR MARCA HP MODELO LASER JET 5L</t>
  </si>
  <si>
    <t>TONER PARA IMPRESOR MARCA HEWLETT PACKARD MODELO LASER JET P2055DN</t>
  </si>
  <si>
    <t>TONER PARA IMPRESOR IBM MODELO INFOPRINT 1116 28P2412</t>
  </si>
  <si>
    <t>TONER PARA IMPRESOR LASER HL 730 DX PLUS SERIE BROTHER.</t>
  </si>
  <si>
    <t>TONER PARA IMPRESOR LASER LEXMARK E320 Y E322</t>
  </si>
  <si>
    <t>TONER PARA IMPRESOR LASSER OKIDATA OL 600E</t>
  </si>
  <si>
    <t>TONER PARA IMPRESOR MARCA LEXKMARK MODELO E-312</t>
  </si>
  <si>
    <t>TONER PARA IMPRESOR MARCA LEXMARK MODELO E-250DN</t>
  </si>
  <si>
    <t>TONER PARA IMPRESOR MARCA LEXMARK MODELO E-260DN</t>
  </si>
  <si>
    <t>TONER PARA IMPRESOR MARCA LEXMARK MODELO OPTRA E-312</t>
  </si>
  <si>
    <t>TONER PARA IMPRESOR MARCA LEXMARK MODELO T644 DE ALTO RENDIMIENTO</t>
  </si>
  <si>
    <t>TONER PARA IMPRESOR MARCA OKIDATA MODELO OL600 E</t>
  </si>
  <si>
    <t>TONER PARA IMPRESOR MARCA QMS MODELO QMS COLOR SCRIPT 21</t>
  </si>
  <si>
    <t>TONER PARA IMPRESORA MARCA HEWLETT PACKARD MODELO LASER JET 1160</t>
  </si>
  <si>
    <t>TONER PARA IMPRESORA MARCA HEWLETT PACKARD MODELO LASER JET 1320</t>
  </si>
  <si>
    <t>TONER PARA IMPRESORA LASER JET 6L HP C 3906 A</t>
  </si>
  <si>
    <t>TONER PARA IMPRESORA MARCA HEWLETT PACKARD MODELO LASER JET P2015</t>
  </si>
  <si>
    <t>TONER PARA IMPRESORA LEXMARK 12A1970 COLOR NEGRO</t>
  </si>
  <si>
    <t>TONER PARA FAX MARCA PANASONIC KXFL511</t>
  </si>
  <si>
    <t xml:space="preserve"> TONER PARA FAX MODELO MFC-7220 MARCA BROTHER</t>
  </si>
  <si>
    <t>TONER PARA IMPRESOR HP LASER JET  MODELO 1536 DNF-MFP</t>
  </si>
  <si>
    <t>TONER PARA IMPRESOR HP LASER JET PRO 400 M401 DNE</t>
  </si>
  <si>
    <t xml:space="preserve"> TONER PARA IMPRESOR HP LASER JET PRO M*225-283 COLOR NEGRO</t>
  </si>
  <si>
    <t xml:space="preserve"> TONER PARA IMPRESOR MULTIFUNCIONAL LASER XEROX X3220</t>
  </si>
  <si>
    <t xml:space="preserve"> TONER PARA IMPRESOR  XEROX PHASER MODELO 6280 COLOR AMARILLO</t>
  </si>
  <si>
    <t xml:space="preserve"> TONER PARA IMPRESOR  XEROX PHASER MODELO 6280 COLOR MAGENTA</t>
  </si>
  <si>
    <t>TONER PARA IMPRESOR  XEROX PHASER MODELO 6280 COLOR CYAN</t>
  </si>
  <si>
    <t>TONER PARA IMPRESOR  XEROX PHASER MODELO 6280 COLOR NEGRO</t>
  </si>
  <si>
    <t>TONER PARA IMPRESOR HP 3600 Q 6473A MAGENTA</t>
  </si>
  <si>
    <t>TONER PARA IMPRESOR HP 3600 Q6470 A BLACK</t>
  </si>
  <si>
    <t>TONER PARA IMPRESOR HP 3600 Q6472A YELLOW</t>
  </si>
  <si>
    <t xml:space="preserve"> TONER PARA IMPRESOR HP DESKJET 122 NEGRO</t>
  </si>
  <si>
    <t>TONER PARA IMPRESOR HP LASER JET PRO 400M425 CF280A</t>
  </si>
  <si>
    <t xml:space="preserve"> TONER PARA IMPRESOR HP LASER JET 1015</t>
  </si>
  <si>
    <t>TONER PARA IMPRESOR HP LASER JET 2550 Q3960A COLOR NEGRO</t>
  </si>
  <si>
    <t>TONER PARA IMPRESOR HP LASER JET 2550 Q3961A COLOR CIAN</t>
  </si>
  <si>
    <t>TONER PARA IMPRESOR HP LASER JET 2550 Q3972A COLOR AMARILLO</t>
  </si>
  <si>
    <t>TONER PARA IMPRESOR HP LASER JET 2550 Q3973A COLOR MAGENTA</t>
  </si>
  <si>
    <t xml:space="preserve"> TONER PARA IMPRESOR HP LASER JET 4200n</t>
  </si>
  <si>
    <t>TONER PARA IMPRESOR HP LASER JET CB-540 A,CP-1215 COLOR NEGRO</t>
  </si>
  <si>
    <t>TONER PARA IMPRESOR HP LASER JET CB-541 A,CP-1215 COLOR CYAN</t>
  </si>
  <si>
    <t xml:space="preserve"> TONER PARA IMPRESOR HP LASER JET CB-542 A,CP-1215 COLOR AMARILLO</t>
  </si>
  <si>
    <t>TONER PARA IMPRESOR HP LASER JET CB-543 A,CP-1215 COLOR MAGENTA</t>
  </si>
  <si>
    <t>TONER PARA IMPRESOR HP LASER JET CE 278 78A NEGRO</t>
  </si>
  <si>
    <t>TONER PARA IMPRESOR HP LASER JET CE-310 A,CP-1025 COLOR NEGRO</t>
  </si>
  <si>
    <t>TONER PARA IMPRESOR HP LASER JET CE-311 A,CP-1025 COLOR CYAN</t>
  </si>
  <si>
    <t>TONER PARA IMPRESOR HP LASER JET CE-312 A,CP-1025 COLOR AMARILLO</t>
  </si>
  <si>
    <t>TONER PARA IMPRESOR HP LASER JET CE-313 A,CP-1025 COLOR MAGENTA</t>
  </si>
  <si>
    <t>TONER PARA IMPRESOR HP LASER JET M176 n CF 352A COLOR AMARILLO</t>
  </si>
  <si>
    <t>TONER PARA IMPRESOR HP LASER JET M176 n CF 353A COLOR MAGENTA</t>
  </si>
  <si>
    <t>TONER PARA IMPRESOR HP LASER JET M176 n CF 350A COLOR NEGRO</t>
  </si>
  <si>
    <t>TONER PARA IMPRESOR HP LASER JET M176 n CF 351A COLOR CYAN</t>
  </si>
  <si>
    <t>TONER PARA IMPRESOR HP LASER JET PRO M102W NEGRO</t>
  </si>
  <si>
    <t>TONER PARA IMPRESOR HP LASER JET PRO M201 dw</t>
  </si>
  <si>
    <t>TONER PARA IMPRESOR HP MODELO LASER JET P-1006</t>
  </si>
  <si>
    <t>TONER PARA IMPRESOR HP M-602X ENTERPRISE 600,90X COLOR NEGRO</t>
  </si>
  <si>
    <t>TONER PARA IMPRESOR HP MODELO LASERJET PRO M1212</t>
  </si>
  <si>
    <t>TONER PARA IMPRESOR HP OFFICCE JET PRO 8100</t>
  </si>
  <si>
    <t>TONER PARA IMIPRESOR HP P-4015n CC364X</t>
  </si>
  <si>
    <t>TONER PARA IMPRESOR LÁSER, MARCA SAMSUNG, MODELO ML-2165 CON UNIDAD DE MEDIDA CADA UNO.</t>
  </si>
  <si>
    <t xml:space="preserve"> TONER PARA IMPRESOR MULTIFUNCIONAL MARCA CANON MODELO L-100</t>
  </si>
  <si>
    <t xml:space="preserve"> TONER PARA IMPRESOR SAMSUNG  CIP 315 409 COLOR AMARILLO</t>
  </si>
  <si>
    <t xml:space="preserve"> TONER PARA IMPRESOR SAMSUNG  CIP 315 409 COLOR MAGENTA</t>
  </si>
  <si>
    <t>TONER PARA IMPRESOR SAMSUNG  CIP 315 409 COLOR CYAN</t>
  </si>
  <si>
    <t>TONER PARA IMPRESOR SAMSUNG  CIP 315 409 COLOR NEGRO</t>
  </si>
  <si>
    <t>TONER PARA IMPRESOR SAMSUNG  CIP 325 407 COLOR AMARILLO</t>
  </si>
  <si>
    <t>TONER PARA IMPRESOR SAMSUNG  CIP 325 407 COLOR CYAN</t>
  </si>
  <si>
    <t>TONER PARA IMPRESOR SAMSUNG  CIP 325 407 COLOR MAGENTA</t>
  </si>
  <si>
    <t>TONER PARA IMPRESOR SAMSUNG  CIP 325 407 COLOR NEGRO</t>
  </si>
  <si>
    <t>TONER PARA IMPRESOR XEROX LASER 3320 COLOR NEGRO</t>
  </si>
  <si>
    <t>TONER PARA IMPRESOR MARCA XEROX PHASER 3117</t>
  </si>
  <si>
    <t xml:space="preserve"> TORNILLO PARA ENCUADERNAR PAPELES DE TRABAJO, VARIAS MEDIDAS</t>
  </si>
  <si>
    <t>TONER PARA IMPRESORA HP LASER JET ENTERPRISE M555, COLOR NEGRO</t>
  </si>
  <si>
    <t>TONER PARA IMPRESORA HP LASER JET ENTERPRISE M555, COLOR AMARILLO</t>
  </si>
  <si>
    <t>TONER PARA IMPRESORA HP LASER JET ENTERPRISE M555, COLOR MAGENTA</t>
  </si>
  <si>
    <t>TONER PARA IMPRESORA HP LASER JET ENTERPRISE M555, COLOR CYAN</t>
  </si>
  <si>
    <t>TONER PARA IMPRESORA HP LASER JET PRO M454dw, COLOR MAGENTA</t>
  </si>
  <si>
    <t>TONER PARA IMPRESORA HP LASER JET PRO M454dw, COLOR AMARILLO</t>
  </si>
  <si>
    <t>TONER PARA IMPRESORA HP LASER JET PRO M454dw, COLOR CYAN</t>
  </si>
  <si>
    <t>TONER PARA IMPRESORA HP LASER JET JET PRO M454dw, COLOR NEGRO</t>
  </si>
  <si>
    <t>DISCOS LASER EN BLANCO TIPO CD-R (GRABABLES),C/U.</t>
  </si>
  <si>
    <t>TONER PARA IMPRESOR HP LASER JET PRO 4003 No. 151A(W1510A)</t>
  </si>
  <si>
    <t>TINTA PARA IMPRESOR EPSON T504 COLOR NEGRO</t>
  </si>
  <si>
    <t>TONER HP LASER JET M236 SDW</t>
  </si>
  <si>
    <t>CINTA PARA IMPRESORA MATRICIAL TALLY DASCOM MOD TD-2600+ 24 PINES</t>
  </si>
  <si>
    <t>TONER LASERJET 202X COLOR NEGRO CF500X PARA IMPRESOR HP COLOR LASER JET M254dw</t>
  </si>
  <si>
    <t>MANDALAS PARA COLOREAR PAGINAS LIBRO DE 50 PAGINAS</t>
  </si>
  <si>
    <t>Aceites esenciales para aromaterapia, lavanda, canela, rosa, citrico y jazmín, frasco con gotero o dosificador, 10 a 30 ml.</t>
  </si>
  <si>
    <t>ACEITES PARA MASAJES RELAJANTES A UTILIZAR EN LAS MUJERES EMBARAZADAS SEGÚN LNCC</t>
  </si>
  <si>
    <t>AROMA AMBIENTAL PARA DISPENSADO AUTOMATICO</t>
  </si>
  <si>
    <t>AROMA PARA CARRO ABSORVENTE DISTINTOS OLORES 70 gr</t>
  </si>
  <si>
    <t>BALDE PLASTICO CON AGARRADERO METALICO, ALTURA APROXIMADA DE 30 cms.</t>
  </si>
  <si>
    <t>BASURERO PLASTICO GRANDE, DISTINTOS COLORES ALTURA 22-28", DIÁMETRO 20"- 24" CON AGARREDERO</t>
  </si>
  <si>
    <t>BASURERO PLASTICO MEDIANO, DISTINTOS COLORES ALTURA 16-18", DIÁMETRO 14"-16" AGARRADERO</t>
  </si>
  <si>
    <t>BASURERO PLASTICO PARA PISO DIFERENTES COLORES MEDIDAS ALTO 11"-14" Y DIAMETRO SUPERIOR DE 11"-14"; C/U.</t>
  </si>
  <si>
    <t>BLANQUEADORPRESENTACIÓN LÍQUIDA, P/LAVADODE ROPA</t>
  </si>
  <si>
    <t>BLANQUEADOR PRESENTACION EN POLVO PARA LAVADO DE ROPA (UNIDAD DE MEDIDA LIBRAS EQUIVALENTE A 0.45 KILOGRAMOS)</t>
  </si>
  <si>
    <t>CEPILLO DE FIBRA RESISTENTE CON MANGO LARGO PARA LAVADO DE INODORO (SIN BASE)</t>
  </si>
  <si>
    <t>CEPILLO DE FIBRA RESISTENTE OVALADO MEDIDA DE 15-18 CM APROXIMADAMENTE</t>
  </si>
  <si>
    <t>CEPILLO PARA LAVAR PACHA DE 20-24 CM DE LARGO</t>
  </si>
  <si>
    <t>CREMA DENTAL INDIVIDUAL 75-100 ML DE 1,100 A 1,450 ppm DE FLÚOR</t>
  </si>
  <si>
    <t>DESENGRADANTE Y SANATIZANTE CON LANOLINA PARA MANOS</t>
  </si>
  <si>
    <t>DESENGRASANTE PARA LIMPIAR HORNOS Y COCINAS. LIQUIDO CONCENTRADO PARA DILUIR. GALON</t>
  </si>
  <si>
    <t>DESINFECTANTE A BASE DE AMONIO CUATERNARIO 5a GENERACION CONCENTRADO HASTA 25,000 ppm</t>
  </si>
  <si>
    <t>DESINFECTANTE DE SUPERFICIES  A BASE DE AMONIO CUATERNARIO</t>
  </si>
  <si>
    <t>DESINFECTANTE ANTIBACTERIAL EN AEROSOL, PARA SUPERFICIES Y AMBIENTES ELIMINA VIRUS Y BACTERIAS.</t>
  </si>
  <si>
    <t>DESINFECTANTE CONCENTRADO DE TRIPLE ACCION; PRESENTACION GALON.</t>
  </si>
  <si>
    <t>DESINFECTANTE PARA ALIMENTOS (VERDURAS) PRESENTACION BOTELLA.</t>
  </si>
  <si>
    <t>DETERGENTE EN POLVO, INODORO, SOLUBLE EN AGUA, QUE HAGA ESPUMA CON PODER DESENGRASANTE Y CON CAUSTICIDAD ADECUADA ENTRE UN PH SEGUN SE ESTABLECE EN NORMA SALVADOREÑA OBLIGATORIA NSO 71.36.01:04.LIBRA.</t>
  </si>
  <si>
    <t>DETERGENTE PRESENTACIÓN LÍQUIDA, P/LAVADODE ROPA</t>
  </si>
  <si>
    <t>DETERGENTE EN POLVO TOLERANTE A LA PIEL, ESPUMOSO, SOLUBLE,CON PODER DESINFECTANTE.USO EN AREAS NEONATOLOGIA Y LACTANCIA MATERNA</t>
  </si>
  <si>
    <t>DETERGENTE PRESENTACION EN POLVO PARA LAVADO DE ROPA (UNIDAD DE MEDIDA LIBRAS EQUIVALENTE A 0.45 KILOGRAMOS)</t>
  </si>
  <si>
    <t>DISPENSADOR PARA ROLLOS DE PAPEL HIGIENICO</t>
  </si>
  <si>
    <t>DISPENSADOR DE PARED PARA JABON LIQUIDO; CAPACIDAD MINIMA DE 500 ML; C/U.</t>
  </si>
  <si>
    <t>ESCOBA DE FIBRA NATURAL  PARA ASEO EXTERIOR EN PATIOS, JARDINES, ETC</t>
  </si>
  <si>
    <t>ESCOBA DE FIBRA SINTÉTICA RESISTENTE DE USO DOMÉSTICO</t>
  </si>
  <si>
    <t>ESCOBETON DE FIBRA RESISTENTE; C/U.</t>
  </si>
  <si>
    <t>ESCOBETON DE FIBRA SINTETICA RESISTENTE; C/U.</t>
  </si>
  <si>
    <t>GORRO PREHUMEDECIDO CON SHAMPOO Y ACONDICIONADOR SIN ENJUAGUE</t>
  </si>
  <si>
    <t>GUANTE DE HULE LISO DIFERENTES USOS DE LIMPIEZA. PRESENTACION "PAR"</t>
  </si>
  <si>
    <t>GUANTE DE NEOPRENE LISO 18" DE LARGO HASTA EL CODO</t>
  </si>
  <si>
    <t>GUANTE TEJIDO DE HILO CON PALMA DE PUNTO DE PVC, RESISTENTE A ALTA EMPERATURA</t>
  </si>
  <si>
    <t>GUANTES PARA USO EN CUARTOS FRIOS DE BAJAS TEMPERATURAS MATERIALES ADECUADOS DIFERENTES TALLAS</t>
  </si>
  <si>
    <t>HALADORES DE AGUA DE HULE PARA SECAR PISOS, MANGO LARGO TIPO TRAPEADOR.</t>
  </si>
  <si>
    <t>DESINFECTANTE HIPOCLORITO DE SODIO AL 4%</t>
  </si>
  <si>
    <t>JABON DE BAÑO PARA RECIEN NACIDO, PASTILLA DE 4-6 ONZAS; C/U.</t>
  </si>
  <si>
    <t>JABON DE BAÑO PASTILLA DE 16 GRS APROXIMADAMENTE.</t>
  </si>
  <si>
    <t>JABON LIQUIDO ANTIBACTERIAL PARA MANOS. GALON.</t>
  </si>
  <si>
    <t>JABON LIQUIDO PARA LAVAR PLATOS FRASCO DE 500-1000 ML</t>
  </si>
  <si>
    <t>JABON PARA LAVAR PLATOS; TARRO DE 400-500 GR; C/U.</t>
  </si>
  <si>
    <t>KIT CEPILLO CON CREMA DENTAL PARA DERECHOHABIENTES INGRESADOS EN EL HOSPITAL</t>
  </si>
  <si>
    <t>KIT DE HIGIENE LEY NACER CON CARIÑO COMPUESTO POR: 1 PASTA DE DIENTES 1 CEPILLO DE DIENTES 1 CREMA CORPORAL 1 JABON CORPORAL 6 TOALLITAS SANITARIAS NOCTURNAS 1 PEINE 1 COLA PARA CABELLO 2 SHAMPOO 2 EN 1 1 PAPEL HIGIENICO</t>
  </si>
  <si>
    <t>LIMPIADOR EN POLVO PARA AUTOCLAVE PARA DESPRENDIMIENTO DE SUCIEDAD Y MOTA PRODUCIDA EN LOS CICLOS DE ESTERILIZACION</t>
  </si>
  <si>
    <t>LIMPIADOR TELESCOPICO PARA PAREDES Y TECHOS</t>
  </si>
  <si>
    <t>MASCARILLA/RESPIRADOR CONTRA PARTICULAS, DE LATEX NATURAL, DESECHABLE.</t>
  </si>
  <si>
    <t>MASCON DE FIBRA SINTETICA PARA FREGAR TRASTOS</t>
  </si>
  <si>
    <t>PALA PLASTICA DE APROXIMADAMENTE 28 cms. ANCHO, CON MANGO APROXIMADAMENTE 1 METRO DE  LARGO, PARA RECOGER BASURA</t>
  </si>
  <si>
    <t>PALA PLASTICA DE APROXIMADAMENTE 26 cms. ANCHO, CON MANGO APROXIMADAMENTE 90 CMS A 1 M. LARGO, PARA RECOGER BASURA</t>
  </si>
  <si>
    <t>PAÑO DESECHABLE DE ALTA RESISTENCIA Y DURABILIDAD PARA LIMPIEZA DE AREAS Y SUPERFICIES MEZCLA DE CELULOSA Y POLIPROPILENO</t>
  </si>
  <si>
    <t>PAPEL DE BOBINA PARA CANAPE 16" DE ANCHO POR 525 MTS DE LARGO APROXIMADAMENTE</t>
  </si>
  <si>
    <t>PASTILLA DESODORANTE PARA INODORO CON SUJETADOR; C/U.</t>
  </si>
  <si>
    <t>PEINE PLASTICO VARIEDAD DE COLORES Y TAMAÑOS UNISEX</t>
  </si>
  <si>
    <t>RECOGEDOR DE AGUA DE 45 CMS APROXIMADAMENTE.</t>
  </si>
  <si>
    <t>SANDALIAS PARA BAÑO, PARA DERECHOHABIENTES INGRESADOS EN EL HOSPITAL</t>
  </si>
  <si>
    <t>SECUESTRANTE PRESENTACIÓN LÍQUIDA, P/LAVADO DE ROPA</t>
  </si>
  <si>
    <t>SECUESTRANTE PRESENTACION EN POLVO PARA LAVADO DE ROPA (UNIDAD DE MEDIDA LIBRAS EQUIVALENTE A 0.45 KILOGRAMOS)</t>
  </si>
  <si>
    <t xml:space="preserve"> SHAMPOO LIQUIDO PARA NIÑO</t>
  </si>
  <si>
    <t>TABLETA DE CLORO AL 70% (HIPOCLORITO DE CALCIO). TABLETA</t>
  </si>
  <si>
    <t>TRAPEADOR DE MECHA CORTA DE ALGODÓN (DE 350 A 400 GRAMOS)</t>
  </si>
  <si>
    <t>TRAPEADOR DE MECHA LARGA DE ALGODÓN (DE 350 A 400 GRAMOS)</t>
  </si>
  <si>
    <t>TRAPEADOR DE TELA ABSORBENTE, DOBLE TELA Y AGUJERO REFORZADO.</t>
  </si>
  <si>
    <t>BANDEJA TERMICA DESCARTABLE DE 8"X8" CON 3 COMPARTIMENTOS</t>
  </si>
  <si>
    <t>BANDEJA DESECHABLE CON TAPADERA NUMERO 6</t>
  </si>
  <si>
    <t>BANDEJA TERMICA DESCARTABLE BIODEGRADABLE CON TAPADERA  3 COMPARTIMIENTOS DE 9" X 9"</t>
  </si>
  <si>
    <t>BOLSA DE PAPEL KRAFT (CAFE O BLANCO) DE 1/4 DE LIB RA, FONDO PLANO, MEDIDAS APROXIMADAS: ALTO 13 CM. ANCHO 8 CM. Y FUELLE LATERAL D E 4 CM."</t>
  </si>
  <si>
    <t>BOLSA DE POLIPROPILENO 85 GR PARA KIT DE HIGIENE; BOLSA DE DIFERENTES MEDIDAS Y COLORES DE POLIPROPILENO 85gr CON ESTAMPADOS DE TEXTO O IMAGEN EN AMBOS LADOS PARA KIT DE HIGIENE QUE SE ENTREGARA A PACIENTE SEGÚN LNCC</t>
  </si>
  <si>
    <t>BOLSA GRANDE NEGRA DE 34 X 52 PULGADAS CALIBRE 250 GG</t>
  </si>
  <si>
    <t>BOLSA P.GRANDE ROJA DE 129.54 X78.74 CMS DE 200 MICRAS</t>
  </si>
  <si>
    <t>BOLSA DE PAPEL RECICLADO SIN IMPRESIÓN FONDO CUADRADO 12"X18"</t>
  </si>
  <si>
    <t>BOLSA DE PAPEL RECICLADO SIN IMPRESIÓN FONDO CUADRADO 6" X 11"X 4"</t>
  </si>
  <si>
    <t>BOLSA DE PAPEL RECICLADO SIN IMPRESIÓN FONDO CUADRADO 9"X 14" X 5"</t>
  </si>
  <si>
    <t>BOLSA PLASTICA ROJA PARA CADAVER 1 x 2 METROS</t>
  </si>
  <si>
    <t>BOLSA PLASTICA 14x20 5 LIBRAS</t>
  </si>
  <si>
    <t>BOLSA PLÁSTICA MEDIANA COLOR ROJO, CAPACIDAD MÁXIMA DE 8 A 10 KILOS, MEDIDAS DE 24" DE ANCHO x 35" DE ALTO, PLÁSTICO IMPERMEABLE, POLIETILENO DE BAJA DENSIDAD, ESPESOR DE 100 A 200 MICRAS</t>
  </si>
  <si>
    <t>BOLSA PLÁSTICA A COLOR MEDIDAS 12" X 18"</t>
  </si>
  <si>
    <t>BOLSA PLÁSTICA A COLOR MEDIDAS 7" X 11"</t>
  </si>
  <si>
    <t>BOLSA PLÁSTICA A COLOR MEDIDAS 9" X 14"</t>
  </si>
  <si>
    <t>BOLSA PLÁSTICA A COLOR MEDIDAS 129.54" X 78.74"</t>
  </si>
  <si>
    <t>BOLSA PLASTICA MEDIANA PARA BASURA COLOR NEGRO DE 70 X 50 CMS</t>
  </si>
  <si>
    <t>BOLSA PLASTICA  PARA CADAVER</t>
  </si>
  <si>
    <t>BOLSA PLÁSTICA PEQUEÑA COLOR NEGRA MEDIDAS 19" X 27"</t>
  </si>
  <si>
    <t>BOLSA PLÁSTICA PEQUEÑA COLOR ROJA MEDIDAS 19" X 27"</t>
  </si>
  <si>
    <t>BOLSA PLASTICA TRANSPARENTE MEDIDA DE 6" x 10"</t>
  </si>
  <si>
    <t>BOLSA TRANSPARENTE DE PLASTICO BIODEGRADABLE 9" X 14"  (5 LIBRAS)</t>
  </si>
  <si>
    <t>BOLSA TRANSPARENTE DE PLASTICO 12"X 18" (10 LIBRAS)</t>
  </si>
  <si>
    <t>BOLSA TRANSPARENTE DE PLASTICO BIODEGRADABLE 12"X 18" (10 LIBRAS)</t>
  </si>
  <si>
    <t>BOLSA TRANSPARENTE DE PLASTICO BIODEGRADABLE 5"X 8" (1 LIBRA)</t>
  </si>
  <si>
    <t>BRAZALETE CELESTE IDENTIFICACIÓN RECIEN NACIDO</t>
  </si>
  <si>
    <t>BRAZALETE ROSADO IDENTIFICACIÓN RECIEN NACIDO</t>
  </si>
  <si>
    <t>FILTRO DESECHABLE PARA CAFETERA DE 8.25 CM O MAS DE BASE, BOLSA DE 200 FILTROS O MAS. C/U</t>
  </si>
  <si>
    <t>FRASCO BOCA ANCHA PLASTICO CON TAPON DE  ROSCA  CON TAMAÑO DE 18 X 13 CM, CON CAPACIDAD PARA 2,000 MILILITROS</t>
  </si>
  <si>
    <t>FRASCO BOCA ANCHA PLASTICO CON TAPON DE  ROSCA  CON TAMAÑO DE 20 X 17 CM, CON CAPACIDAD PARA 4,000 MILILITROS</t>
  </si>
  <si>
    <t>FRASCO PLASTICO ATOMIZADOR CAPACIDAD 1 LITRO</t>
  </si>
  <si>
    <t>FRASCO PLASTICO DE 500 ML CON VALVULA DISPESADORA</t>
  </si>
  <si>
    <t>FRASCO DE POLIETILENO O PVC TRANSPARENTE, CAPAC.4 ONZAS, BOCA ANCHA, DIAMETRO MAXIMO 4 CM. Y MINIMO 3 CM. TAPA DE ROSCA.</t>
  </si>
  <si>
    <t>MAQUINA DESECHABLE PARA AFEITAR</t>
  </si>
  <si>
    <t>PAJILLA RECTA GRUESA DESCARTABLE MEDIDAS 20-25 cm X 1</t>
  </si>
  <si>
    <t>PAÑAL DESECHABLE PARA ADULTO, TALLA GRANDE</t>
  </si>
  <si>
    <t>PAÑAL DESECHABLE PARA ADULTO, TALLA MEDIANA</t>
  </si>
  <si>
    <t>PAÑAL DESECHABLE PARA ADULTO, TALLA PEQUEÑA</t>
  </si>
  <si>
    <t>PAÑAL DESECHABLE PARA ADULTO TALLA EXTRA GRANDE</t>
  </si>
  <si>
    <t>PAÑAL DESECHABLE PARA RECIEN NACIDO PARA CANASTILLA MATERNAL</t>
  </si>
  <si>
    <t>PLATO DESCARTABLE TERMICO No 8 DE DURAPAX.</t>
  </si>
  <si>
    <t>PLATO SOPERO CON TAPADERA DESECHABLE/BIODEGRABLE DE 16 ONZAS</t>
  </si>
  <si>
    <t>PORTA LAMINA DE CITOLOGIA DE CARTON O PLASTICO; C/U.</t>
  </si>
  <si>
    <t>TENEDOR DESCARTABLE DE 6" A 7" APROXIMADAMENTE</t>
  </si>
  <si>
    <t>TOALLA DESECHABLE INTERFOLIADA MEDIDAS ESPECIALES</t>
  </si>
  <si>
    <t>TOALLA IMPREGNADA CON MIEL, LECHE Y ALOE VERA PARA LIMPIEZA CORPORAL DE RECIEN NACIDOS</t>
  </si>
  <si>
    <t>VASO CON TAPADERA DE 8 ONZAS DE DURAPAX.</t>
  </si>
  <si>
    <t>VASO CON TAPADERA DESECHABLE/BIODEGRADABLE DE MEDIO LITRO</t>
  </si>
  <si>
    <t>VASO CON TAPADERA DESECHABLE/BIODEGRADABLE DE 12 ONZAS</t>
  </si>
  <si>
    <t>VASO CON TAPADERA DESECHABLE/BIODEGRADABLE DE 16 ONZAS</t>
  </si>
  <si>
    <t>VASO CON TAPADERA DESECHABLE/BIODEGRADABLE DE 20 ONZAS</t>
  </si>
  <si>
    <t>VASO CON TAPADERA DESECHABLE/BIODEGRADABLE DE 32 ONZAS</t>
  </si>
  <si>
    <t>VASO CON TAPADERA DESECHABLE/BIODEGRADABLE DE 1 LITRO</t>
  </si>
  <si>
    <t>VASO DE DURAPAX DE 6 ONZAS.</t>
  </si>
  <si>
    <t>VASO DESCARTABLE DE DURAPAX .DE 10 ONZ CON TAPADERA Y ORIFICION EN LA MISMA PARA INCORPORAR PAJILLA.</t>
  </si>
  <si>
    <t>VASO DESCARTABLE DE DURAPAX DE 10 ONZ SIN TAPADERA</t>
  </si>
  <si>
    <t>VASO DESCARTABLE DE DURAPAX DE 7 ONZAS.C/U.</t>
  </si>
  <si>
    <t>VASO DESCARTABLE TRANSPARENTE CON TAPADERA 12 OZ</t>
  </si>
  <si>
    <t>VASO TERMICO DESECHABLE BIODEGRADABLE DE 10 ONZAS</t>
  </si>
  <si>
    <t>VASO TERMICO DESECHABLE BIODEGRADABLE DE 6 ONZAS</t>
  </si>
  <si>
    <t>VASO TERMICO DESECHABLE BIODEGRADABLE DE 8 ONZAS</t>
  </si>
  <si>
    <t>BIDON DE PLASTICO CAPACIDAD 20 LITROS PARA RESGUARDO DE RESIDUOS DE PATOLOGIA</t>
  </si>
  <si>
    <t>BOLSAS PLASTICAS DE COLOR,TAMAÑO 18X24 PULG., PARA EL ENVÍO DE MEDICAMENTOS A TRAVÉS DE COURIER.</t>
  </si>
  <si>
    <t>BOLSA DE PAPEL MANILA CON CLIP,MEDIDAS:10" X 13".</t>
  </si>
  <si>
    <t>BOLSA DE PAPEL MANILA CON CLIP, MEDIDAS 10" X 15" APROXIMADAMENTE</t>
  </si>
  <si>
    <t>BOLSA DE PAPEL MANILA SIN CLIP MEDIDAS 10" X 13"</t>
  </si>
  <si>
    <t>BOLSA DE PAPEL MANILA CON CLIP, MEDIDAS 7" X 10"</t>
  </si>
  <si>
    <t>BOLSA DE PAPEL MANILA SIN CLIP DE 10X15".</t>
  </si>
  <si>
    <t>CAJA DE CARTON DE 5 LITROS PARA DISPOSICION FINAL DE DESECHOS BIOINFECCIOSOS PUNZOCORTANTES</t>
  </si>
  <si>
    <t>CAJA DE CARTON KRAFT PARA ARCHIVO VARIOS TAMAÑOS Y MEDIDAS</t>
  </si>
  <si>
    <t>CAJA MEDIANA PARA VITAMINAS PRENATAL LEY NACER CON CARIÑO DE FBB(cartoncillo) REVERSO BLANCO C-10</t>
  </si>
  <si>
    <t>CAJA N- 2 CARTONCILLO BLANCO CALIBRE 0.012</t>
  </si>
  <si>
    <t>CAJA N-1 CARTONCILLO BLANCO CALIBRE 0.012</t>
  </si>
  <si>
    <t>CAJA N-3 CARTONCILLO BLANCO CALIBRE 0.012</t>
  </si>
  <si>
    <t>CARNET DE BENEFICIARIO – HIJO, CON ESPACIO PARA FOTOGRAFIA, PRENUMERADO, EN PAPEL DE FORMULA CONTINUA, CON IMPRESION EN ANVERSO Y REVERSO, COLOR CELESTE, TARJETA. C/U</t>
  </si>
  <si>
    <t>CARPETA DE 3 ANILLOS,2 PULGADAS CON PLASTICO FRONTAL Y LATERAL</t>
  </si>
  <si>
    <t>CARPETA DE 3 ANILLOS,3 PULGADAS CON PLASTICO FRONTAL Y LATERAL</t>
  </si>
  <si>
    <t>CARTAPACIO DE CARTULINA MANILA, SIN GUSANO, TAMAÑO OFICIO.</t>
  </si>
  <si>
    <t xml:space="preserve"> CARTONCILLO VARIOS COLORES TAM. OFICIO</t>
  </si>
  <si>
    <t>CARTULINA COVER MARTELADA,PLIEGO DE*26" X 40",COLO R ANARANJADA.</t>
  </si>
  <si>
    <t>CARTULINA COVER MARTELADA,PLIEGO DE*26" X 40",COLO R BEIGE.</t>
  </si>
  <si>
    <t>CARTULINA COVER MARTELADA,PLIEGO DE*26" X 40",COLO R ROJO.</t>
  </si>
  <si>
    <t>CARTULINA COVER MARTELADA,PLIEGO DE*26" X 40",COLO R VERDE.</t>
  </si>
  <si>
    <t xml:space="preserve"> CARTULINA DE LINO, VARIAS MEDIDAS</t>
  </si>
  <si>
    <t>CARTULINA MANILA BASE 244 GRAMOS DE* 30" X 40".,PL IEGO.</t>
  </si>
  <si>
    <t>CONTROL DE OTORGAMIENTO DE CITAS, BASE 20, PAPEL CONTINUO DE UNA PARTE, TAMAÑO CARTA, CON IMPRESIÓN AL REVERSO Y ANVERSO, DOS CARAS CADA HOJA DE 3 FORMULARIOS.</t>
  </si>
  <si>
    <t>STROOP, C.J. GOLDEN. CUADERNILLO DE TEST DE COLORES Y PALABRAS. EDICIÓN MÁS RECIENTE, ESPECIALIDAD PSICOLOGÍA. C/U.</t>
  </si>
  <si>
    <t>MARETO. CUADERNILLO DE TAREAS Y CUADERNILLO DE ACTIVIDAD PARA TALLER DE MEMORIA NIVEL 1. EDICIÓN MÁS RECIENTE. ESPECIALIDAD DE PSICOLOGÍA. C/U.</t>
  </si>
  <si>
    <t>MARETO. CUADERNILLO DE TAREAS Y CUADERNILLO DE ACTIVIDAD PARA TALLER DE MEMORIA NIVEL 2. EDICIÓN MÁS RECIENTE. ESPECIALIDAD DE PSICOLOGÍA. C/U.</t>
  </si>
  <si>
    <t>J.A. PORTELLANOS. CUADERNILLO DE TEST DE LOS SENDEROS - TESEN. EDICIÓN MÁS RECIENTE, ESPECIALIDAD PSICOLOGÍA. C/U.</t>
  </si>
  <si>
    <t>ETIQUETAS AUTOADHERIBLES MEDIDAS 19mm x 38mm PARA UTILIDAD EN ENVIÑETADO DE FRASCOS DE ALERGIA E INMUNOLOGIA</t>
  </si>
  <si>
    <t>ETIQUETAS AUTOADHESIVAS VARIEDAD DE COLORES EN PRESENTACION ROLLO O PAQUETE</t>
  </si>
  <si>
    <t>FOLDER ARCHIVADOR ELABORADO DE CARTONCILLO CON CARATULA IMPRESA MEDIDAS DE 34 CM DE LARGO X 24 CM DE ANCHO X 7 CM DE ALTO.</t>
  </si>
  <si>
    <t>FOLLETO DE DISTANCIAS DEL CENTRO NACIONAL DE REGISTROS (CNR). C/U</t>
  </si>
  <si>
    <t>FORMULA CONTINUA DE UNA PARTE MEDIDAS 9 1/2" X 11" BASE 20 DE DOS DESPRENDIBLES</t>
  </si>
  <si>
    <t>FORMULA CONTINUA EN 1 PARTE DE 11" X 8 1/2" BASE20.</t>
  </si>
  <si>
    <t>FORMULA CONTINUA EN 1 PARTE DE 14 X 8 1/2 BASE 20.</t>
  </si>
  <si>
    <t>FORMULA CONTINUA EN 1 PARTE DE 8 1/2 X 13 BASE 20.</t>
  </si>
  <si>
    <t>FORMULA CONTINUA EN 6 PARTES,MEDIDAS 14-7/8"  X1 1".,1412.</t>
  </si>
  <si>
    <t>FORMULA CONTINUA DE 1 PARTE 8 1/2 X 11",BASE 20.</t>
  </si>
  <si>
    <t>FORMULA CONTINUA DE CINCO PARTES*1412,MEDIDAS 147 /8" X 11".</t>
  </si>
  <si>
    <t>FORMULA CONTINUA DE CUATRO PARTES*1182,MEDIDAS 11  3/4" X 8 1/2"</t>
  </si>
  <si>
    <t>FORMULA CONTINUA DE CUATRO PARTES*1482,MEDIDAS 14  7/8" X 8 1/2" .</t>
  </si>
  <si>
    <t>FORMULA CONTINUA DE DOS PARTES 1182*MEDIDAS 11 3/4 " X 8 1/2".,C/U.</t>
  </si>
  <si>
    <t>FORMULA CONTINUA DE DOS PARTES 1482*MEDIDAS 14 7/8 " X 8 1/2" .,C/U.</t>
  </si>
  <si>
    <t>FORMULA CONTINUA DE TRES PARTES *1412,MEDIDAS 147 /8" X 11".</t>
  </si>
  <si>
    <t>FORMULA CONTINUA DE UNA PARTE 1482,*MEDIDAS 14 7/8 " X 8 1/2".</t>
  </si>
  <si>
    <t>FORMULA CONTINUA EN UNA PARTE DE 9 1/2" X 11". BAS E 20,C/U</t>
  </si>
  <si>
    <t>FORMULA CONTINUA EN UNA PARTE BASE 16.9 1/2 X 11".</t>
  </si>
  <si>
    <t>FORMULARIO "CONTROL DE RECEPCIONES" EN UNA PARTE 9 1/2" X 11 PAPEL BOND BLANCO BASE 20 (PAPEL CONTINUO).</t>
  </si>
  <si>
    <t>HOJA AUTOCORREGIBLE. SDMT. TEST DE SIMBOLOS. SMITH. SDMT. EDICIÓN MÁS RECIENTE. ESPECIALIDAD PSICOLOGÍA. C/U.</t>
  </si>
  <si>
    <t>HOJA DE ANOTACIÓN. MINI EXAMEN DEL ESTADO MENTAL - MMSE (MINI MENTAL STATE EXAMINATION). MARSHAL FOLSTEIN Y COL. MADRID. EDICIÓN MÁS RECIENTE, ESPECIALIDAD PSICOLOGÍA. C/U.</t>
  </si>
  <si>
    <t>HOJA DE ANOTACIÓN. TEST DE LA FIGURA COMPLEJA DE REY. EDICIÓN MÁS RECIENTE, ESPECIALIDAD PSICOLOGÍA. C/U.</t>
  </si>
  <si>
    <t>HOJA DE EMERGENCIA Y ATENCION DOMICILIAR (PAPEL CONTINUO)</t>
  </si>
  <si>
    <t>HOJAS IMPRESAS A UNA TINTA MÁS RELIEVE EN SECO EN PAPEL LINO BLANCO PERLADO 118 grs. PEGADOS TAMAÑO CARTA</t>
  </si>
  <si>
    <t>HOJAS MEMBRETADAS A UNA TINTA MÁS RELIEVE EN SECO EN PAPEL LINO BLANCO SOLAR 90GR TAMAÑO 8 1/2 x 11"</t>
  </si>
  <si>
    <t>HOJAS MEMBRETADAS EN TAMANO CARTA CON EL LOGOTIPODEL ISSS.</t>
  </si>
  <si>
    <t>HOJAS MEMBRETADAS, T-C, EN PAPEL GILBERT CON LOGO-TIPO EN REALCE EN SECO Y TINTA AZUL.</t>
  </si>
  <si>
    <t>SOBRES DIFERENTES MEDIDAS EN PAPEL ESPECIAL CON LOGO DEL ISSS PARA DIFERETES EVESTOS PARA USO DE UNIDAD DE COMUNICACIONES</t>
  </si>
  <si>
    <t xml:space="preserve"> LIBRETA DE PAPEL PERIODICO TAMAÑO CARTA</t>
  </si>
  <si>
    <t>LIBRO CONTROL DE ESTUPEFACIENTES, PSICOTRÓPICOS, ANESTÉSICOS Y AGREGADOS</t>
  </si>
  <si>
    <t>LIBRO EMPASTADO, NUMERADO DE 200 PAGINAS CINCO COLUMNAS ESTILO A.P. NUMERO 515.</t>
  </si>
  <si>
    <t>LIBRO DE CONTABILIDAD, DE TRES COLUMNAS, EMPASTADO, FOLIADO, 200 PÁGINAS, PARA CONTROL DE ESTUPEFACIENTES, PSICOTRÓPICOS Y AGREGADOS. UNIDAD</t>
  </si>
  <si>
    <t>LIBRO DE CONTABILIDAD, DE TRES COLUMNAS, EMPASTADO, FOLIADO, 400 PAGINAS, PARA CONTROL DE ESTUPEFACIENTES, PSICOTROPICOS Y AGREGADOS. UNIDAD</t>
  </si>
  <si>
    <t>MATERIAL  DIDACTICO PARA CURSO DE CAPACITACION . UNIDAD</t>
  </si>
  <si>
    <t>NORMAS DE INSUMOS PARA LA SALUD. GASES PARA USO MEDICO: NTS 11.37.02:14 Y NTS 11.37.03:15 .  C/U</t>
  </si>
  <si>
    <t>PAPEL TAMAÑO DOBLE CARTA 11"X 17"</t>
  </si>
  <si>
    <t>PAPEL AEREO MEMBRETADO A DOS TINTAS,TAMANO OFICIO</t>
  </si>
  <si>
    <t>PAPEL BOND BLANCO TAMAÑO CARTA, BASE 20,   EMPACADO EN RESMAS DE 500 HOJAS, PROTEGIDO DE LA HUMEDAD.</t>
  </si>
  <si>
    <t>PAPEL BOND BLANCO TAMAÑO OFICIO, BASE 20,  EMPACADO EN RESMAS DE 500 HOJAS, PROTEGIDO DE LA HUMEDAD.</t>
  </si>
  <si>
    <t>PAPEL CARBON PARA LAPIZ, TAMAÑO OFICIO</t>
  </si>
  <si>
    <t>PAPEL CARBON PARA MAQUINA DE ESCRIBIR, TAMAÑO OFICIO</t>
  </si>
  <si>
    <t>PAPEL CONTINUO 11 3/4" x 8 1/2", TRES PARTES BASE 20.</t>
  </si>
  <si>
    <t>PAPEL CONTINUO 11 3/4 x 8 1/2", BASE 20.</t>
  </si>
  <si>
    <t>PAPEL CONTINUO 14 7/8" x 11" 1 PARTE BASE 20.</t>
  </si>
  <si>
    <t>PAPEL CONTINUO 14 7/8" x 11",DOS PARTES, BASE 20</t>
  </si>
  <si>
    <t>PAPEL CONTINUO 14 7/8" x 11", CUATRO PARTES, BASE 20.</t>
  </si>
  <si>
    <t>PAPEL CONTINUO 9 1/2" x 11" UNA PARTE BASE 20</t>
  </si>
  <si>
    <t>PAPEL CONTINUO 9 1/2" x 11", DOS PARTES, BASE 20.</t>
  </si>
  <si>
    <t>PAPEL CONTINUO EN UNA PARTE 9 1/2" x 11" DE TRES DESPRENDIBLES, BASE 20.</t>
  </si>
  <si>
    <t>PAPEL CONTINUO 9 1/2" X 11", TRES PARTES, BASE 20.</t>
  </si>
  <si>
    <t>PAPEL CONTINUO 9 1/2" X 11" DE 4 PARTES, BASE 20</t>
  </si>
  <si>
    <t>PAPEL CONTINUO 9 1/2" x 14" TRES PARTES, BASE 20.</t>
  </si>
  <si>
    <t>PAPEL COUCHE BASE 80 ó 90 PLIEGO DE 26" X 34"</t>
  </si>
  <si>
    <t>PAPEL COUCHE BLANCO,BASE 60,PLIEGO DE 30" X 40".</t>
  </si>
  <si>
    <t>PAPEL CUADRICULADO, TAMAÐO OFICIO</t>
  </si>
  <si>
    <t>PAPEL DE ALUMINIO, ROLLO DE 250 YDS.Y 30 CMS. DE ANCHO.</t>
  </si>
  <si>
    <t>PAPEL VEGETAL O BOND EN ROLLOS PARA IMPRESIÓN DE PLANOS (PLOTTER) MEDIDAS APROXIMADAS 42" DE ALTURA PO R 50 METROS DE LONGITUD DE ROLLO</t>
  </si>
  <si>
    <t>PAPEL ESPECIAL PARA IMPRESION (PAPEL TERMICO) PARA IMPRESORA EPSON TM- T88V MEDIDA 31/8 X 11 SIN IMPRESIÓN</t>
  </si>
  <si>
    <t>PAPEL ESTAÑO VARIOS COLORES PARA MANUALIDADES</t>
  </si>
  <si>
    <t>PAPEL FORMULA CONTINUA 9 1/2 X 11 DE UNA PARTE CON DOS SIZADOS HORIZONTALES, BASE 20</t>
  </si>
  <si>
    <t>PAPEL FORMULA CONTINUA 9 1/2 X 11 DE  UNA PARTE BASE 18</t>
  </si>
  <si>
    <t>PAPEL FORMULA CONTINUA DE UNA PARTE 9 1/2 X 11 BASE 20 DE DOS DESPRENDIBLES</t>
  </si>
  <si>
    <t>PAPEL FORMULA CONTINUA PARA COMPUTADOR, MEDIDAS91 X 11 ( 9510) DE TRES PARTES</t>
  </si>
  <si>
    <t>PAPEL FOTOGRAFICO PARA VIDEOIMPRESORA MARCA SONY MODELO UPDR 80 MD</t>
  </si>
  <si>
    <t>PAPEL FOTOGRAFICO PARA IMPRESOR CAJA DE 200 FOTO-GRAFIAS.</t>
  </si>
  <si>
    <t>PAPEL HIGIENICO DE 400 A 500 MTS. USO INSTITUCIONAL, ROLLO, COLOR NATURAL O BLANCO, DE PREFERENCIA BIODEGRADABLE</t>
  </si>
  <si>
    <t xml:space="preserve"> PAPEL LUSTRE DE VARIOS COLORES</t>
  </si>
  <si>
    <t>PAPEL PARA IMPRESOR TMU DE 3" DE ANCHO Y 35 YARDAS DE LONGITUD EN PAPEL BOND BASE 18</t>
  </si>
  <si>
    <t>PAPEL PLASTICO ADHERIBLE PARA CUBRIR ALIMENTOS DE 18 PULGADAS POR 3000 PIES</t>
  </si>
  <si>
    <t>PAPEL TÉRMICO PARA IMPRESORA DE SISTEMA DE CONTROL DE FILAS VIRTUALES INSTITUCIONAL. ROLLO</t>
  </si>
  <si>
    <t>PAPEL TERMICO ROLLO DE  88mm X 79m, PARA INFORMACION DE CITAS</t>
  </si>
  <si>
    <t>ROLLO DE VIÑETA METALICA PARA IMPRESION DE CODIGO DE BARRA</t>
  </si>
  <si>
    <t>ROLLO DE VIÑETA PARA IMPRESION DE CODIGO DE BARRA</t>
  </si>
  <si>
    <t>ROLLO DE VIÑETA AUTOADHERIBLE, MEDIDAS APROXIMADAS 1.2CM X 2.2CM</t>
  </si>
  <si>
    <t>SOBRE BLANCO DE PAPEL BOND BASE 20 CON VENTANILLA TAMAÑO OFICIO</t>
  </si>
  <si>
    <t>SOBRES RESISTENTES, COLORES SURTIDOS,</t>
  </si>
  <si>
    <t>TARJETA DE INSCRIPCION DE PATRONO,EN FORMA CONTINUA,EN PAPEL CARTULINA, BASE 100 DE UNA PARTE, CON MEDIDAS DE 4 3/4" X 2 3/4" IMPRESION EN UNA TINTA AL FRENTE Y EN LA PARTE TRASERA Y PRE-NUMERADO</t>
  </si>
  <si>
    <t>TICKET PARA SISTEMA DE ORDENAMIENTO DE LLEGADA</t>
  </si>
  <si>
    <t>TIRRO PARA PINTAR AZUL Y PROTECCION DE PARED 3/4 P X 60 YD</t>
  </si>
  <si>
    <t>TOALLA DESECHABLE INTERFOLIADA, MEDIDAS ENTRE 19 y 21 cms  DE ANCHO y ENTRE 20 y 21 cms DE ALTO, PAQUETE ENTRE 125 A 200 TOALLAS</t>
  </si>
  <si>
    <t>VIÑETA BLANCA ADHESIVA PARA ETIQUETAR CD</t>
  </si>
  <si>
    <t>BOLSA DE PAPEL CON O SIN IMPRESION TAMAÑO #5, DIFERENTES COLORES</t>
  </si>
  <si>
    <t>CALCOMANIA EN PAPEL AUTOADHESIVO, FULL COLOR DE 6X6 CMS</t>
  </si>
  <si>
    <t>PAPEL TOALLA EN ROLLO PARA DISPENSADOR</t>
  </si>
  <si>
    <t>CARNET DE IDENTIFICACIÓN DE ACOMPAÑANTES, CUIDADORES Y VISISTANTES.</t>
  </si>
  <si>
    <t>CARPETA DE PRESENTACION, CON PROTECTORES DE HOJA, TAMAÑO CARTA</t>
  </si>
  <si>
    <t>CARTON COVER MARTELADO DE 39" x 27" APROXIMADAMENTE</t>
  </si>
  <si>
    <t>CARTON GRIS DE 30 PULGADAS X 40 PULGADAS, DE USO EXCLUSIVO PARA IMPRENTA INSTITUCIONAL. PLIEGO</t>
  </si>
  <si>
    <t>CARTULINA CORRIENTE COLOR BLANCA DE 22.5" x 25.5"</t>
  </si>
  <si>
    <t>CARTULINA CORRIENTE COLOR AMARILLA, 25.5 X 30.5 PULGADAS, 135 - 150 GRAMOS. PLIEGO</t>
  </si>
  <si>
    <t>CARTULINA CORRIENTE COLOR BLANCA, 25.5 X 30.5 PULGADAS, 135 - 150 GRAMOS. PLIEGO</t>
  </si>
  <si>
    <t>CARTULINA CORRIENTE COLOR CELESTE, 25.5 X 30.5 PULGADAS, 135 - 150 GRAMOS. PLIEGO</t>
  </si>
  <si>
    <t>CARTULINA COLOR AMARILLA DE 22.5" x 25.5"</t>
  </si>
  <si>
    <t>CARTULINA CORRIENTE COLOR AMARILLA DE 25.5" x 30.5" DE 147 A 150 GR. PLIEGO</t>
  </si>
  <si>
    <t>CARTULINA CORRIENTE COLOR BLANCA DE 25.5" x 30.5" DE 147 A 150 GR. PLIEGO</t>
  </si>
  <si>
    <t>CARTULINA CORRIENTE COLOR CELESTE DE 22.5" x 25.5"</t>
  </si>
  <si>
    <t>CARTULINA CORRIENTE COLOR CELESTE DE 25.5" x 30.5" DE 147 A 150 GR. PLIEGO</t>
  </si>
  <si>
    <t>CARTULINA CORRIENTE COLOR ROSADA DE 22.5" x 25.5"</t>
  </si>
  <si>
    <t>CARTULINA CORRIENTE COLOR ROSADA DE 25.5" x 30.5" DE 147 A 150 GR. PLIEGO</t>
  </si>
  <si>
    <t>CARTULINA CORRIENTE COLOR VERDE DE 25.5" x 30.5" DE 147 A 150 GR. PLIEGO</t>
  </si>
  <si>
    <t>CARTULINA CORRIENTE COLOR VERDE DE 22.5" x 25.5"</t>
  </si>
  <si>
    <t>CARTULINA FOLCOTE BASE 12 DE 2 CARAS BRILLANTES 26" x 34"</t>
  </si>
  <si>
    <t>CARTULINA MANILA COLOR BEIGE DE 150 GRAMOS DE 26.0" x 34.0"</t>
  </si>
  <si>
    <t>CARTULINA MANILA COLOR BEIGE DE 26.0" x 34.0" DE 147 A 150 GR. PLIEGO</t>
  </si>
  <si>
    <t>CARTULINA CORRIENTE COLOR ROSADA, 25.5 X 30.5 PULGADAS, 135 - 150 GRAMOS. PLIEGO</t>
  </si>
  <si>
    <t>CARTULINA CORRIENTE COLOR VERDE, 25.5 X 30.5 PULGADAS, 135 - 150 GRAMOS. PLIEGO</t>
  </si>
  <si>
    <t>FUNDA ELÁSTICA PARA RODILLOS DUCTOR DE AGUA</t>
  </si>
  <si>
    <t>LIMPIADOR PARA PLANCHAS RC VARIOS NUMEROS</t>
  </si>
  <si>
    <t>MANDALAS PARA COLOREAR PAGINAS O LIBRO</t>
  </si>
  <si>
    <t>MANTILLA SUPERIOR PARA MÁQUINA PRITMASTER</t>
  </si>
  <si>
    <t>PAPEL BOND COLOR AMARILLO ORO 56 GRAMOS BASE 15 o 16 PLIEGO DE 26" X 34" DE 54 A 56 GRAMOS</t>
  </si>
  <si>
    <t>PAPEL BOND COLOR AMARILLO BASE 14  - 16, 26 X 34 PULGADAS, 50 - 60 GRAMOS. PLIEGO</t>
  </si>
  <si>
    <t>PAPEL BOND BASE 20 PLIEGO DE 30" x 40"</t>
  </si>
  <si>
    <t>PAPEL BOND BLANCO 56 GRAMOS BASE 15 ó 16 PLIEGO DE 26" x 34"</t>
  </si>
  <si>
    <t>PAPEL BOND COLOR BLANCO BASE 14 - 16, 26 X 34 PULGADAS, 50 - 60 GRAMOS. PLIEGO</t>
  </si>
  <si>
    <t>PAPEL BOND BASE 20 BLANCO PLIEGO DE 26" x 34" DE 73 A 75 GRAMOS</t>
  </si>
  <si>
    <t>PAPEL BOND COLOR CELESTE 56 GRAMOS 15 o 16 PLIEGO DE 26.0" x 34.0"</t>
  </si>
  <si>
    <t>PAPEL BOND COLOR CELESTE   BASE 14 - 16, 26 X 34 PULGADAS,  50 - 60 GRAMOS. PLIEGO</t>
  </si>
  <si>
    <t>PAPEL BOND KRAFT CAFE 56 GRAMOS DE 26" x 34"</t>
  </si>
  <si>
    <t>PAPEL BOND ROSADO 56 GRAMOS 15 o 16 PLIEGO 26.0" x 34.0"</t>
  </si>
  <si>
    <t>PAPEL BOND COLOR ROSADO   BASE 14  - 16, 26 X 34 PULGADAS, 50 - 60 GRAMOS. PLIEGO</t>
  </si>
  <si>
    <t>PAPEL BOND COLOR VERDE DE 56 GRAMOS BASE 15 o 16 DE 26" x 34"</t>
  </si>
  <si>
    <t>PAPEL BOND COLOR VERDE BASE 14 - 16, 26 X 34 PULGADAS, 50 - 60 GRAMOS. PLIEGO.</t>
  </si>
  <si>
    <t>PAPEL FABRIANO EN PLIEGOS VARIEDAD DE COLORES, MEDIDAS APROXIMADAS 70 X 100 CM.</t>
  </si>
  <si>
    <t>PAPEL KRAFT DE COLOR CAFE  DE 26" x 34" DE 80 A 105 GR. PLIEGO</t>
  </si>
  <si>
    <t>PAPEL PERIODICO DE 48.5 A 50 GRAMOS DE 26.0" x 34.0"</t>
  </si>
  <si>
    <t>PLANCHAS DE ALUMINIO PARA MAQUINA PRINTMASTER</t>
  </si>
  <si>
    <t>PLANCHAS DE ALUMINIO PARA MAQUINA AB-DICK</t>
  </si>
  <si>
    <t>QUIMICO FIJADOR PARA MICROFILM.</t>
  </si>
  <si>
    <t>QUIMICO REVELADOR PARA MICROFILM.</t>
  </si>
  <si>
    <t>REVELAROR PARA PLANCHAS P/IMPRENTA VARIOS NUMEROS</t>
  </si>
  <si>
    <t>ROLLO MAESTRO (MASTER) DE MAQUINA IMPRESORA DUPLICADORA DIGITAL, COMPATIBLE Y FUNCIONAL CON MARCA DE EQUIPO INSTITUCIONAL. C/U</t>
  </si>
  <si>
    <t>TINTA COLOR VERDE DE VARIOS NUMEROS PARA</t>
  </si>
  <si>
    <t>TINTE PARA CUERO EN GALÓN</t>
  </si>
  <si>
    <t>HIELERA DE DURAPAX DESCARTABLE</t>
  </si>
  <si>
    <t>TINTA DE COLOR AZUL PROCESO (CYAN)</t>
  </si>
  <si>
    <t>ALMOHADA PARA AMAMANTAR TIPO DONA  PARA CANASTILLA MATERNAL</t>
  </si>
  <si>
    <t>ALMOHADA DE LACTANCIA MATERNA TIPO DONA IMPERMEABLE.</t>
  </si>
  <si>
    <t>ARTICULOS PARA CONFORMAR PAQUETE DE REGALO A BEBES RECIEN NACIDOS, DE USO EXCLUSIVO DE UNIDAD DE INFORMACION Y COMUNICACIONES</t>
  </si>
  <si>
    <t>CUCHARITA DE ACERO INOXIDABLE PARA CANASTILLA MATERNAL</t>
  </si>
  <si>
    <t>EXTRACTOR MANUAL  DE LECHE MATERNA PARA CANASTILLA MATERNAL</t>
  </si>
  <si>
    <t>FERETRO PARA NEONATOS, 60 CM DE LARGO, COLOR BLANCO, HECHO DE MADERA, CON VENTANA DE VIDRIO</t>
  </si>
  <si>
    <t>PERILLA DE HULE PARA CANASTILLA MATERNAL</t>
  </si>
  <si>
    <t>TACITA DE INICIACION DE 4 ONZAS PARA CANASTILLA MATERNAL</t>
  </si>
  <si>
    <t>TERMÓMETRO DIGITAL  PARA CANASTILLA MATERNAL</t>
  </si>
  <si>
    <t>TOALLA INFANTIL DE BAÑO,UNISEX, CON GORRO PARA CANASTILLA MATERNAL</t>
  </si>
  <si>
    <t>FERETRO PARA PREMATURO, 30 CM DE LARGO, 20 CM DE ANCHO, COLOR BLANCO, HECHO DE MADERA, CON VENTANA DE VIDRIO</t>
  </si>
  <si>
    <t>ALFOMBRA DE CESPED ARTIFICIAL EN CANCHA DE FUTBOL RAPIDO</t>
  </si>
  <si>
    <t>ALFOMBRA DE SECADO DE POLIPROPILENO CON NYLON,BASE DE PVC O HULE ANTIDESLISANTE MEDIDAS APROXIMADAS ENTRE 40-60 CM Y X 50-70 CM</t>
  </si>
  <si>
    <t>Alfombra para hacer ejercicio  de superficie Texturizada Anti Resbalante para una Amortiguacion Superior</t>
  </si>
  <si>
    <t>ALFOMBRA PEDILUVIO,DE HULE O CAUCHO DE ALTA RESISTENCIA, ANTIDESLIZANTE, PROFUNDIDAD ENTRE 12 Y 20 MM,MEDIDAS APROXIMADAS ENTRE 60-80 CM Y X 40- 55 CM</t>
  </si>
  <si>
    <t>ALFOMBRA VARIOS TIPOS Y MEDIDAS (ESPECIFICAR)</t>
  </si>
  <si>
    <t>ALMOHADA DE ESPUMA DE HULE, TAMAÑO ESTÁNDAR</t>
  </si>
  <si>
    <t>Almohada de textura impermeable  facil limpieza de 30 por 20 cm</t>
  </si>
  <si>
    <t>AROS NO ARMABLES PARA USO EN GIMNASIO DE TORRE ADMINISTRATIVA EN ACTIVIDADES AEROBICAS</t>
  </si>
  <si>
    <t>AZAFATE DE MELAMINA PARA LLEVAR ALIMENTOS, RECTANGULAR DE 12"-14" DE ANCHO POR 16"-18" DE LARGO.C/U.</t>
  </si>
  <si>
    <t>AZUCARERA PLASTICA CON CAPACIDAD DE 1 LIBRA.</t>
  </si>
  <si>
    <t>BANDEJA DE ALUMINIO, DE TIPO AMERICANA, MEDIDAS 65 X 45 CM</t>
  </si>
  <si>
    <t>BANDEJA DE ACERO INOXIDABLE CON TAPADERA PARA CARRO TERMICO, FULL SIZE (TAMAÑO COMPLETO), 6" DE PROFUNDIDAD</t>
  </si>
  <si>
    <t>BANDEJA DE ACERO INOXIDABLE CON TAPADERA PARA CARRO TERMICO, HALF SIZE (TAMAÑO MEDIO), 6" DE PROFUNDIDAD</t>
  </si>
  <si>
    <t>BANDEJA DE ACERO INOXIDABLE CON TAPADERA PARA CARRO TERMICO, THIRD SIZE (TAMAÑO UN TERCIO), 6" DE PROFUNDIDAD</t>
  </si>
  <si>
    <t>BANDEJA PLASTICA PEQUEÑA 35 CM DE ANCHO X 45 CM DE LARGO</t>
  </si>
  <si>
    <t>BANDEJA TERMICA CON TAPADERA, DE ACERO INOXIDABLE, PARA 30 PORCIONES</t>
  </si>
  <si>
    <t>BANDEJA TERMICA CON TAPADERA, DE ACERO INOXIDABLE, PARA 70 PORCIONES</t>
  </si>
  <si>
    <t>BANDEJA TERMICA DESCARTABLE CON TAPADERA 3 COMPARTIMIENTOS DE 9" X 9" APROXIMADAMENTE</t>
  </si>
  <si>
    <t>BANDERINES DIFERENTES COLORES MEDIDAS APROX. 46X35 CM</t>
  </si>
  <si>
    <t>BOLEADOR DE 2 ONZAS, PARA MEDIR PORCIONES DE COMIDA.</t>
  </si>
  <si>
    <t>BOLLOS DE LANA VARIOS COLORES PARA MANUALIDADES</t>
  </si>
  <si>
    <t>BRAZO UNIVERSAL O SOPORTE AJUSTABLE QUE PUEDA DOBLARSE (CABESTRILLO)</t>
  </si>
  <si>
    <t>BUZON ELABORADO EN ACRILICO DIFERENTES MEDIDAS</t>
  </si>
  <si>
    <t>CACEROLA TIPO ARROCERA DE ACERO INOXIDABLE, CAPACIDAD 25 LIBRAS.</t>
  </si>
  <si>
    <t>CACEROLA TIPO ARROCERA DE ALUMINIO 50 CMS X 20 CMS DE ALTO CON TAPADERA</t>
  </si>
  <si>
    <t>CAJA PLASTICA CON RODOS, DIFERENTES MEDIDAS.</t>
  </si>
  <si>
    <t>CAJA PLASTICA CON TAPADERA DE 16" DE LARGO POR 20" DE ANCHO Y 7" DE ALTO.</t>
  </si>
  <si>
    <t>CAJA PLASTICA CON RODOS 60 A 90 GALONES.</t>
  </si>
  <si>
    <t>CAJA PLASTICA DIFERENTES CAPACIDADES Y MEDIDAS</t>
  </si>
  <si>
    <t>CAPA IMPERMEABLE DE DOS PIEZAS PARA PROTEGERSE DE LA LLUVIA</t>
  </si>
  <si>
    <t>CAPA IMPERMEABLE DE UNA PIEZA PARA PROTEGERSE DE LA LLUVIA</t>
  </si>
  <si>
    <t>CESTA PLASTICA MEDIANA, MEDIDAS APROXIMADAS: LARGO:48CM., ANCHO:30CM Y ALTO:28CM, PARA GUARDAR FRUTAS Y VERDURAS</t>
  </si>
  <si>
    <t>Cojín de media luna para mujer embarazada 1 metro, con grosor de 15 cm.</t>
  </si>
  <si>
    <t>COLADOR DE ACERO INOXIDABLE, CON MEDIDAS DE 30 CM DE DIAMETRO, CON MANGO AGARADERO SIN REMACHES, DE UNA SOLA PIEZA.</t>
  </si>
  <si>
    <t>COLADOR DE ACERO INOXIDABLE, DE 6"-8" DE DIAMETRO.</t>
  </si>
  <si>
    <t>COLADOR PLASTICO PARA SPAGUETTI, MEDIDAS APROXIMADAS: DIAMETRO: 25CM Y FONDO: 11CM</t>
  </si>
  <si>
    <t>COLADOR PLASTICO, MEDIDAS APROXIMADAS: DIAMETRO: 50CM Y FONDO: 19CM</t>
  </si>
  <si>
    <t>COLCHÓN HOSPITALARIO CON FORRO IMPERMEABLE DE 90 CMS DE ANCHOX12 CMS DE ALTO X2 METROS DE LARGO</t>
  </si>
  <si>
    <t>COLCHON HOSPITALARIO  AHULADO PARA CUNA, FORRO LAVABLE , VARIAS MEDIDAS</t>
  </si>
  <si>
    <t>COLCHÓN HOSPITALARIO CON FORRO IMPERMEABLE 15 CM ALTO X 190 CM LARGO X 94 CM ANCHO</t>
  </si>
  <si>
    <t>COLCHÓN PARA CAMAROTE DE 100 X 190 CENTIMETROS.</t>
  </si>
  <si>
    <t>COLCHÓN PARA SOFÁ CAMA DE 1.20X1.90 METROS X4”</t>
  </si>
  <si>
    <t>COLCHONETA PARA CANAPÉ, MEDIDAS 173 CENTÍMETROS DE LARGO, 69 CENTÍMETROS DE ANCHO Y 10 CENTÍMETROS DE GROSOR.</t>
  </si>
  <si>
    <t>CONO FLUORESCENTE PARA TRAFICO CON CINTA REFLECTIVA. DIFERENTES MEDIDAS.</t>
  </si>
  <si>
    <t>CONTRAMARCO PARA TELEVISION ELABORADO EN MATERIAL ACRILICO O SIMILAR. UNIDAD</t>
  </si>
  <si>
    <t>RECIPIENTE DE POLIPROPILENO DE 80 MILILITROS, CON TAPADERA HERMÉTICA, BORDES REGULADORES PARA RECOLECCIÓN DE LECHE MATERNA.</t>
  </si>
  <si>
    <t>CORTINA PLASTICA PARA BAÑO (VARIAS MEDIDAS).</t>
  </si>
  <si>
    <t>CUBETAS PLASTICAS DE 5 GALONES. C/U.</t>
  </si>
  <si>
    <t>CUCHARA DE 2 ONZAS DE ACERO INOXIDABLE UNA SOLA PIEZA</t>
  </si>
  <si>
    <t>CUCHARA DESCARTABLE DE 6" A 7" APROXIMADAMENTE</t>
  </si>
  <si>
    <t>CUCHARA LISA O SOLIDA DE 4 ONZAS DE ACERO INOXIDABLE UNA SOLA PIEZA DE 13"-15"</t>
  </si>
  <si>
    <t>CUCHARA MEDIDORA CON AGARRADERO, DE 3 ONZAS.</t>
  </si>
  <si>
    <t>CUCHARA PARA SERVIR PASTA (ARAÑA) DE ACERO INOXIDABLE DE 12"</t>
  </si>
  <si>
    <t>CUCHARA PERFORADA DE 4 ONZAS DE ACERO INOXIDABLE DE UNA SOLA PIEZA DE 13"-15"</t>
  </si>
  <si>
    <t>CUCHARA SOPERA DESCARTABLE; C/U.</t>
  </si>
  <si>
    <t>CUCHARON DE 8 ONZAS DE ACERO INOXIDABLE UNA SOLA PIEZA DE 13"15"</t>
  </si>
  <si>
    <t>CUCHARON DE ACERO INOXIDABLE, DE DIFERENTES MEDIDAS</t>
  </si>
  <si>
    <t>CUCHILLO DE ACERO INOXIDABLE DE 8 PULGADAS</t>
  </si>
  <si>
    <t>CUCHILLO DESCARTABLE GRANDE MEDIDAS APROXIMADAS. LARGO 15 cm, ANCHO 1.2 cm ESPESOR 0.1cm. PARA USO EXCLUSIVO EN AREAS DE ALIMENTACION Y DIETAS PARA ENTREGA A PACIENTES HOSPITALIZADOS.</t>
  </si>
  <si>
    <t>CUCHILLO FRANCES DE ACERO INOXIDABLE DE 10 PULGADAS CON MANGO DE POLIPROPILENO</t>
  </si>
  <si>
    <t>DEPOSITO DE ALUMINIO, MEDIDAS APROX. 24" DIAMETRO Y 10.5 PULGADAS DE ALTO.</t>
  </si>
  <si>
    <t>DEPOSITOS MEDIANOS TODOS LOS COLORES (AZUL,AMARILLO,NEGRO Y VERDE) ,CAPACIDAD 42 LITROS,TAPA BALANCIN,MEDIDAS 42CM X 32CM X 61 CM PARA SER UTILIZADOS COMO CONTENEDORES ECOLOGICOS PARA LA CORRECTA SEGREGACION DE LOS DESECHOS COMUNES EN LOS CENTROS DE ATENC</t>
  </si>
  <si>
    <t>DEPOSITOS PEQUEÑOS TODOS LOS COLORES (AZUL,AMARILLO,NEGRO Y VERDE) ,CAPACIDAD 20 LITROS,TAPA BALANCIN,MEDIDAS 29.5 CM X 29.5 CM X 49 CM PARA SER UTILIZADOS COMO CONTENEDORES ECOLOGICOS PARA LA CORRECTA SEGREGACION DE LOS DESECHOS COMUNES EN LOS CENTROS DE</t>
  </si>
  <si>
    <t>DILDO PARA DEMOSTRACION USO DE CONDON</t>
  </si>
  <si>
    <t>ESPATULA DE ACERO INOXIDABLE DE 6", PARA RASPAR PLANCHA.</t>
  </si>
  <si>
    <t>ESPATULA PARA PLANCHA TIPO TORNER DE ACERO INOXIDABLE UNA SOLA PIEZA DE 4".</t>
  </si>
  <si>
    <t>ESPEJO SENCILLO MEDIDAS 0.60 CM DE ALTO X 0.50 CM DE ANCHO</t>
  </si>
  <si>
    <t>ESPUMADERO DE ACERO INOXIDABLE (TIPO ESPATULA CIRCULAR)</t>
  </si>
  <si>
    <t>FRASCO GOTERO DE VIDRIO,COLOR AMBAR,DE 1 ONZA DE CAPACIDAD.</t>
  </si>
  <si>
    <t>FRASCO PLASTICO ATOMIZADOR DE 1/2 LITRO</t>
  </si>
  <si>
    <t>FRASCO VIDRIO TRANSPARENTE,DE 4 ONZAS  DE CAPACIDAD,BOCA ANCHA</t>
  </si>
  <si>
    <t>GALERÍA METÁLICA PARA CORTINA VARIAS MEDIDAS</t>
  </si>
  <si>
    <t>GANCHO PARA CORTINAS DIFERENTES TIPOS Y MATERIAL</t>
  </si>
  <si>
    <t>GANCHOS PARA CORTINA DE BAÑO (JUEGO DE 12 UNIDADES)</t>
  </si>
  <si>
    <t>GUANTE TRASPARENTE PARA MANIPULACION ALIMENTOS</t>
  </si>
  <si>
    <t>GUANTES PARA COCINA, DE DISTINTAS MEDIDAS, PARA MANIPULAR EQUIPO CALIENTE.</t>
  </si>
  <si>
    <t>HACHA GRANDE DE ACERO INOXIDABLE, PARA CARNICERIA</t>
  </si>
  <si>
    <t>HILO CRUDO O MANILA 12/16  PRESENTACION ROLLO DE 1 LIBRA</t>
  </si>
  <si>
    <t>HILO VERDE DE 12,000 YARDAS. CONO</t>
  </si>
  <si>
    <t>HUACAL DE ALUMIO, MEDIDAS: 70 CMS DE ANCHO X 35 CMS DE ALTO.</t>
  </si>
  <si>
    <t>JAVAS TIPO CANASTAS INDUSTRIAS, FABRICADAS EN PLASTICO, MULTIUSOS.</t>
  </si>
  <si>
    <t>LAMPARA DE MANO CAPACIDAD 2 PILAS DE 1.5 VOLTIOS TIPO "D"; NO INCLUYE PILAS.</t>
  </si>
  <si>
    <t>LATA AMERICANA PARA HORNO DE 18"X13".</t>
  </si>
  <si>
    <t>LECHERO DE ALUMINIO CON CAPACIDAD DE 10 LITROS.</t>
  </si>
  <si>
    <t>LECHERO DE ALUMINIO CON CAPACIDAD DE 5 LITROS.</t>
  </si>
  <si>
    <t>LIGAS PARA AEROBICOS DE USO EN GIMNASIO DE TORRE ADMINISTRATIVA EN ACTIVIDADES AEROBICAS</t>
  </si>
  <si>
    <t>LLAVERO IDENTIFICADOR DE PLASTICO PARA LLAVES DE PUERTAS</t>
  </si>
  <si>
    <t xml:space="preserve"> MALLA PARA PROTECCION LATERAL EN CANCHA DE FUTBOL RAIDO DIFERENTES TIPOS Y MEDIDAS.</t>
  </si>
  <si>
    <t>MALLA PARA PROTECCION SUPERIOR EN CANCHAS DE FUTBOL RAPIDO DIFERENTES TIPOS Y MEDIDAS</t>
  </si>
  <si>
    <t>mezcladora de acero inoxidable, mediadas aproximadas 1.50 c.m de alto , 17 cm. base y 3mm. grosor.</t>
  </si>
  <si>
    <t>MODELO ANATOMICO DE MAMA CON EXTRUCTURA EXTERNA, AREOLA DE PEZON,VOLUMEN Y SIMETRÍA</t>
  </si>
  <si>
    <t>MODELO ANATOMICO DE PELVIS FEMENIN MOVIL TAMAÑO REAL</t>
  </si>
  <si>
    <t>MUÑECO PLASTICO TIPO BEBE, MEDIDAS 35 A 50 CMS PARA SER UTILIZADO EN TALLERES PRENATALES LNCC</t>
  </si>
  <si>
    <t>PACHA PLASTICA DE 4 ONZAS CON PROTECTO; C/U.</t>
  </si>
  <si>
    <t>PELOTA DE 10 CM DE DIAMETRO PARA USO DE EDUCADORES EN SALUD</t>
  </si>
  <si>
    <t>PELOTA DE ESTABILIDAD,DIMENSIONES APROXIMADAS 45 A 55 CMS, PARA HACER YOGA O FISIOTERAPIA</t>
  </si>
  <si>
    <t>Pelotas para Pilates tipo maní diferentes colores  texturizada, Atencion a parto Respetado</t>
  </si>
  <si>
    <t>PELOTA DE TENIS DE MESA, DE 38 – 40 MILIMETROS DE DIAMETRO Y 2.7 – 2.8 GRAMOS DE PESO. C/U</t>
  </si>
  <si>
    <t>PELOTAS PARA VOLLEYBALL PARA TALLERES EDUCATIVOS</t>
  </si>
  <si>
    <t>PICHEL DE ACERO INOXIDABLE, CON TAPADERA, CAPACIDAD DE 1 A 2 LITROS.</t>
  </si>
  <si>
    <t>PINZA O TENAZA DE ACERO INOXIDABLE, PARA COCINA</t>
  </si>
  <si>
    <t>PINZA PARA SERVIR ALIMENTOS DE ACERO INOXIDABLE DE 12"</t>
  </si>
  <si>
    <t>Piscina Inflable de plastico de 2 mts por 1.5 mts por 50 cm de material plastico resistente</t>
  </si>
  <si>
    <t>PITA NYLON EN ROLLO, PARA PAQUETERIA Y EMBALAJE. LIBRA</t>
  </si>
  <si>
    <t>PLATO GRANDE # 9 (SIN DIVISIONES)</t>
  </si>
  <si>
    <t>PLATO SOPERO DE 16 ONZAS CON TAPADERA (TODO DE DURAPAX)</t>
  </si>
  <si>
    <t>RECIPIENTE DE ACERO INOXIDABLE MEDIDAS APROXIMADAS 38x38x33 cm3, HERMETICO, PARA FUENTE RADIOACTIVA, FABRICADO BAJO NORMA VIGENTE. USO EXCLUSIVO DE HOSPITAL DE ONCOLOGIA. UNIDAD</t>
  </si>
  <si>
    <t>RECIPIENTE DE ACERO INOXIDABLE A DOBLE CARA, MEDIDAS APROXIMADAS 50X50X50 CM, PARA DESECHOS RADIOACTIVOS, FABRICADO BAJO NORMA VIGENTE, USO EXCLUSIVO DE HOSPITAL DE ONCOLOGIA. UNIDAD</t>
  </si>
  <si>
    <t>RECIPIENTE DE ACERO INOXIDABLE MEDIDAS APROXIMADAS 72x36x50 cm3, HERMETICO, PARA FUENTE RADIOACTIVA, FABRICADO BAJO NORMA VIGENTE. USO EXCLUSIVO DE HOSPITAL DE ONCOLOGIA. UNIDAD</t>
  </si>
  <si>
    <t>RECIPIENTE PLASTICO GRANDE CON TAPADERA. MEDIDAS APOXIMADAS 24 CM ANCHO, 38 CM LARGO Y 18 CM DE FONDO; C/U.</t>
  </si>
  <si>
    <t>RECIPIENTE PLASTICO MEDIANO CON TAPADERA. MEDIDAS APOXIMADAS 20.5 CM ANCHO, 32 CM LARGO Y 15 CM DE FONDO; C/U.</t>
  </si>
  <si>
    <t>RECIPIENTE PLASTICO PEQUEÑO CON TAPADERA. MEDIDAS APOXIMADAS 16 CM ANCHO, 28 CM LARGO Y 12 CM DE FONDO; C/U.</t>
  </si>
  <si>
    <t>ROTULO DE SEÑALIZACIÓN PRECAUCIÓN PISO MOJADO MEDIDAS ALTO 23-25", ANCHO 13-15", COLOR AMARILLO LETRAS NEGRAS</t>
  </si>
  <si>
    <t>ROTULO PREFABRICADO AUTOADHESIVO, DE DIFERENTES TIPOS Y MATERIALES. C/U</t>
  </si>
  <si>
    <t>SET DE TOALLAS PARA COCINA, MEDIDAS 37 CM X 63 CM EN SET DE 2 UNIDADES PARA USO EN SUBDIRECCION ADMINISTRATIVA, SUBDIRECCION GENERAL, DIRECCION GENERAL Y CONSEJO DIRECTIVO</t>
  </si>
  <si>
    <t>SET TAZAS MEDIDORAS DE ACERO INOXIDABLE. MEDIDAS DE TAZAS: 1/4", 1/2", 1/3", 1".</t>
  </si>
  <si>
    <t>SOGA O LAZO DE POLIETILENO  DE 3/8 PLG X 10 MTS</t>
  </si>
  <si>
    <t xml:space="preserve"> TABLA PARA PICAR ALIMENTOS Y CORTAR CARNES</t>
  </si>
  <si>
    <t>TAZA CERAMICA DE 11 ONZAS DE DIFERENTES COLORES</t>
  </si>
  <si>
    <t>TAZA MEDIDORA ACRILICA DE 1 LITRO</t>
  </si>
  <si>
    <t>TOLDO O LONA TIPO CAPOTA PARA CAMION, MEDIDAS 6.40 MT X 5.20 MT</t>
  </si>
  <si>
    <t>TOLDO TRIANGULAR DE PROTECCIÓN PARA EXTERIOR (JARDIN O TERRAZA) DE TELA POLIESTER SUJETO A PAREDES EXISTENTES, DE DIFERENTE MEDIDA. C/U.</t>
  </si>
  <si>
    <t>VASO ACRILICO DE 16 ONZAS VARIOS COLORES</t>
  </si>
  <si>
    <t>VASO DE VIDRIO PARA CAFETERA CON CAPACIDAD DE 12 TAZAS</t>
  </si>
  <si>
    <t>VEJIGAS O GLOBOS DE DIFERENTES COLORES. BOLSA</t>
  </si>
  <si>
    <t>COLCHON CAMBIADOR DE PAÑALES DE BEBÉ</t>
  </si>
  <si>
    <t>PALETA DE ACERO INOXIDABLE,LARGO 1.20 MTS., PARA USO EN MARMITA</t>
  </si>
  <si>
    <t>RECONOCIMIENTOS PERSONALIZADOS PARA EVENTOS OFICIALES QUE REALIZA EL ISSS (CAPACITACIONES, CONGRESOS, REUNIONES DE COMITÉS PARA EMPLEADOS Y PARA PERSONAL EXTERNO.</t>
  </si>
  <si>
    <t>MALETA CON RODOS PARA TRANSPORTAR ARTICULOS O MATERIALES CON CAPACIDAD DE 60-70 LIBRAS</t>
  </si>
  <si>
    <t>MALETIN DE CUERO PARA COMPUTADOR PERSONAL ( VARIOSCOLORES - ESPECIFICAR )</t>
  </si>
  <si>
    <t>MALETIN IMPERMEABLE PARA COLGAR EN HOMBRO.</t>
  </si>
  <si>
    <t>MALETIN PARA INSUMOS MEDICOS DE MATERIAL IMPERMEABLE (CUERO FORRADO O TELA SINTETICA ) CON 2 COMPARTIMENTOS, 2 AGARRADERAS, CON CIERRE DE CREMAYERA O VELCRO. DIMENSIONES: 30 cm a 35 cm. LARGO X 15 cm a 20 cm ALTO Y 15 cm a 20 cm ANCHO COLOR OSCURO</t>
  </si>
  <si>
    <t>MALETÍN PARA PORTAR HERRAMIENTAS DE NYLON DE 16”</t>
  </si>
  <si>
    <t>PIN FOTOGRABADO EN BASE DE METAL CON TACHUELA, MEDIDA APROXIMADA DE 2.5 CENTIMETROS. C/U</t>
  </si>
  <si>
    <t>FERTILIZANTE INORGÁNICO FOLIAR, QUE CONTIENE VITAMINAS FITOHORMONAS</t>
  </si>
  <si>
    <t>FERTILIZANTE FORMULA 16-20-0 FÍSICA</t>
  </si>
  <si>
    <t>INSECTISIDA GRANULADO PARA JARDINERIA</t>
  </si>
  <si>
    <t>MACETA JARDINERA GRANDE CON SOPORTE DE METAL Y ORO 25</t>
  </si>
  <si>
    <t>SET DE TERMINALES DE ACOPLE PARA MANGUERA DE JARDIN, MATERIAL PLASTICO. C/U</t>
  </si>
  <si>
    <t>SOPORTE PARA PLANTAS DE 3 NIVELES TOP BLANCO 32</t>
  </si>
  <si>
    <t>TIERRA NEGRA POR LIBRA</t>
  </si>
  <si>
    <t>INSECTICIDA DE CONTACTO, PARA USO HOSPITALARIO</t>
  </si>
  <si>
    <t>INSECTICIDA EN GEL, VARIOS TIPOS Y MARCAS</t>
  </si>
  <si>
    <t>INSECTICIDA LIQUIDO, VARIOS TIPOS Y MARCAS</t>
  </si>
  <si>
    <t>INSECTICIDA PIRETROIDE S.C. TIPO B-SIFLUTRINA AL  2.5 % DE ACCION RESIDUAL DE AL MENOS 30 DIAS, PARA DILUIRLO EN AGUA Y SER UTILIZAD O EN SUPERFICIES</t>
  </si>
  <si>
    <t>VENENO PARA EXTERMINAR CUCARACHAS (TUBO DE 90 GRS)</t>
  </si>
  <si>
    <t>VENENO PARA EXTERMINAR PLAGA ( ESPECIFICAR )</t>
  </si>
  <si>
    <t>AGUJA PARA COCER A MANO VARIAS MEDIDAS</t>
  </si>
  <si>
    <t>CARTON SINTETICO, LAMINA DE ESPUMA CON GEL DE LATEX, PARA TALONERA. PLIEGO</t>
  </si>
  <si>
    <t>CUCHILLA PARA ZAPATERÍA. UNIDAD</t>
  </si>
  <si>
    <t>Esponja blanda o Goma E.V.A de 4 mm a 6mm (etileno vinil acetato) de varios colores</t>
  </si>
  <si>
    <t>ESPONJA CAFÉ DE 12 FIERROS MICROPOROSO (CAUCHO, GOMA O HULE). PLIEGO</t>
  </si>
  <si>
    <t>ESPONJA CAFE DE 18 FIERROS MICROPOROSO(CAUCHO,GOMA O HULE). PLIEGO</t>
  </si>
  <si>
    <t>ESPONJA DE ESPUMA DE HULE O LATEX (VARIAS MEDIDAS). PLIEGO</t>
  </si>
  <si>
    <t>ESPONJA NEGRA DE 12 FIERROS MICROPOROSO (CAUCHO, GOMA O HULE). PLIEGO</t>
  </si>
  <si>
    <t>ESPONJA NEGRA DE  18 FIERROS MICROPOROSO(CAUCHO,GOMA O HULE). PLIEGO</t>
  </si>
  <si>
    <t>ESPUMA RETICULADA DE POLIETILENO. PLIEGO</t>
  </si>
  <si>
    <t>HEBILLA DE ACERO NIQUELADA 3/4" A 1" PARA CALZADO. PAR</t>
  </si>
  <si>
    <t>HILO BLANCO POLIESTER DE 500 YARDAS O MAS.</t>
  </si>
  <si>
    <t>HULE ESPUMA DE POLIURETANO DE ALTA DENSIDAD, DE VARIOS COLORES, MEDIDA DE UNA PULGADA Y MEDIA . PLIEGO</t>
  </si>
  <si>
    <t>HULE ESPUMA DE POLIURETANO DE ALTA DENSIDAD, DE VARIOS COLORES, MEDIDA DE UNA PULGADA. PLIEGO</t>
  </si>
  <si>
    <t>HULE ESPUMA DE POLIURETANO DE ALTA DENSIDAD, DE VARIOS COLORES, MEDIDA DE DOS PULGADAS. PLIEGO</t>
  </si>
  <si>
    <t>LAMINA DE CARTÓN COMPACTO, FLEXIBLE INSUMO PLANTILLA PARA CALZADO. PLIEGO.</t>
  </si>
  <si>
    <t>PASTA PARA CALZADO COLOR NEGRO (BETÚN). C/U</t>
  </si>
  <si>
    <t>PEGAMENTO DE POLIURETANO(GALÓN SELLADO). GALON</t>
  </si>
  <si>
    <t>PELITE ESPUMA DE POLIETILENO LIGERO DE CÉLULA CERRADA DE  4MM-6MM. PLIEGO</t>
  </si>
  <si>
    <t>Plastazote de aproximadamente  4mm-6mm</t>
  </si>
  <si>
    <t>TACÓN DE HULE PARA CALZADO TALLA 10-11. PAR</t>
  </si>
  <si>
    <t>TACÓN DE HULE PARA CALZADO TALLA 12-13. PAR</t>
  </si>
  <si>
    <t>VELCRO AUTO ADHESIVO DE 1 - 2" DE VARIOS COLORES, PARA CALZADO. YARDA</t>
  </si>
  <si>
    <t>PORON ESPUMA DE POLIURETANO SUAVE Y RESISTENTE CON ESTRUCTURA MICROCELULAR.</t>
  </si>
  <si>
    <t>TERMOCORCK DE 3MM COPOLIMERO ORGANICO DE CELULAS CERRADAS CON PODER AISLANTE TERMICO DE 3 MM.</t>
  </si>
  <si>
    <t>COPOLIMERO ORGANICO DE CELULAS CERRADAS CON PODER AISLANTE TERMICO DE 5 MM</t>
  </si>
  <si>
    <t>NORA LUNAIRMED VINIL DE ACETATO DE CELULA CERRADA PARA RECUBRIMIENTO DE PLANTILLAS ESTÀNDAR</t>
  </si>
  <si>
    <t>NORA PIE DIABETICO VINIL DE ACETATO DE CELULA CERRADA PARA RECUBRIMIENTO DE PLANTILLAS PARA PIE DIABETICO</t>
  </si>
  <si>
    <t>EVA COLORFOAM DE 3MM ACETATO DE POLIETILENO DE CELULA CERRADA PARA RECUBRIMIENTO DE PLANTILLAS DE 3 MM.</t>
  </si>
  <si>
    <t>EVA COLORFOAM DE 4 MM ACETATO DE POLIETILENO PARA RECUBRIMIENTO DE PLANTILLAS DE 4 MM.</t>
  </si>
  <si>
    <t>BOTA DE PVC CON PUNTA DE CUBO (DIFERENTES TALLAS)</t>
  </si>
  <si>
    <t>BOTIQUIN TACTICO EQUIPADO QUE CONTENGA: APOSITOS, TORNIQUETES Y MEDICINA DE PRIMEROS AUXILIOS</t>
  </si>
  <si>
    <t>BOTIQUIN (MALETIN) DE PRIMEROS AUXILIOS. MINIBRIGADISTA, ELABORADO EN TELA OXFORD,PLASTIFICADA CON LOGO INCLUIDO,MEDIDAS 35 DE LARGO X 14 DE FONDO Y 28 DE ANCHO,CON 2 BOLSAS A CADA LADO EN LA PARTE DEL FRENTE, 2 BOLSAS LATERALES, UN DEPOSITO EXTRAIBLE INT</t>
  </si>
  <si>
    <t>CAJA DE MUNICION PARA ARMA DE FUEGO CALIBRE 9 MILIMETROS</t>
  </si>
  <si>
    <t>CARCASA PARA CONVERTIR PISTOLA EN CARABINA</t>
  </si>
  <si>
    <t>CARGADOR PARA FUSIL TIPO AR-15 CAL. 556 O 223 DE POLIMERO O METALICO</t>
  </si>
  <si>
    <t>CARTUCHOS CALIBRE 223, CAJA DE 20 UNIDADES</t>
  </si>
  <si>
    <t>CARTUCHOS CALIBRE 556, CAJA 20 UNIDADES</t>
  </si>
  <si>
    <t>CARTUCHOS CALIBRE 9MM, CAJA DE 50 UNIDADES.</t>
  </si>
  <si>
    <t>CHALECO BLINDADO MASCULINO Y/O FEMENIMO.</t>
  </si>
  <si>
    <t>CINCHO PARA PORTAR PISTOLA, AJUSTABLE, MATERIAL RESISTENTE.</t>
  </si>
  <si>
    <t>CINTA DELIMITADORA MEDIDAS APROXIMADAS DE: 3" X 300'</t>
  </si>
  <si>
    <t>FUNDA EXTERNA PARA PISTOLA COMPACTA DE POLIMERO O KYDEX</t>
  </si>
  <si>
    <t>FUNDA EXTERNA PARA PISTOLA SUBCOMPACTA, DE POLIMERO O KYDEX</t>
  </si>
  <si>
    <t>GAS PIMIENTA CON ESTUCHE DE KYDEX O POLIMERO</t>
  </si>
  <si>
    <t>KIT DE PROTECCION PERSONAL TALLA EXTRA LARGE</t>
  </si>
  <si>
    <t>LINTERNA RECARGABLE TIPO MINERA ILUMINACION LED</t>
  </si>
  <si>
    <t>LINTERNA RECARGABLE ILUMINACION  LED 1W VARIOS COLORES Y DISEÑOS</t>
  </si>
  <si>
    <t>PORTACARGADOR EXTERNO DE POLIMERO O KYDEX PARA CARGADOR CALIBRE 223 O 556</t>
  </si>
  <si>
    <t>PORTA CARGADOR EXTERNO PARA CARGADOR DE SUBFUSIL CALIBRE 9MM</t>
  </si>
  <si>
    <t>PORTACARGADOR EXTERNO DE POLIMERO O KYDEX PARA CARGADOR DE PISTOLA COMPACTA</t>
  </si>
  <si>
    <t>PORTACARGADOR EXTERNO DE POLIMERO O KYDEX PARA CARGADOR DE PISTOLA SUBCOMPACTA</t>
  </si>
  <si>
    <t>ESTUCHE PARA FUSIL RIGIDO CON ESPONJA INTERNA PROTECTORA.</t>
  </si>
  <si>
    <t>DYPER DE TELA PARA CANASTILLA MATERNAL CON 4 GANCHOS IMPERDIBLES (VARIEDAD DE COLORES).</t>
  </si>
  <si>
    <t>BOLSA DE TELA PARA CANASTILLA MATERNAL CON AGARRADERO Y LOGO DEL ISSS IMPRESO A UNA CARA, TAMAÑO APROXIMADO 15"X12"X4”</t>
  </si>
  <si>
    <t>CA</t>
  </si>
  <si>
    <t>FRA</t>
  </si>
  <si>
    <t>EST</t>
  </si>
  <si>
    <t>PLG</t>
  </si>
  <si>
    <t>TAR</t>
  </si>
  <si>
    <t>JUG</t>
  </si>
  <si>
    <t>YD</t>
  </si>
  <si>
    <t>LC</t>
  </si>
  <si>
    <t>PAQ</t>
  </si>
  <si>
    <t>BAT</t>
  </si>
  <si>
    <t>HOJ</t>
  </si>
  <si>
    <t>M2</t>
  </si>
  <si>
    <t>BOL</t>
  </si>
  <si>
    <t>TBO</t>
  </si>
  <si>
    <t xml:space="preserve"> EXCLUSIVO POLVOS QUIMICOS PARA LAVANDERIAS</t>
  </si>
  <si>
    <t>Alimentación y Dietas</t>
  </si>
  <si>
    <t xml:space="preserve"> EXCLUSIVO IMPRENTA DEL ISSS</t>
  </si>
  <si>
    <t>CANASTILLA MATERNAL</t>
  </si>
  <si>
    <t>A- REGISTRO DIARIO DE VACUNACIÓN (NIÑOS Y NIÑAS RECIÉN NACIDO A 9 AÑOS). BLOCK DE 100 HOJAS. BLOCK</t>
  </si>
  <si>
    <t>A- TABULADOR MENSUAL DE VACUNACIÓN (NIÑOS Y NIÑAS RECIÉN NACIDO A 9 AÑOS). BLOCK DE 100 HOJAS. BLOCK</t>
  </si>
  <si>
    <t>ACTIVIDADES REALIZADAS DE EDUCACION EN SALUD ANIVEL DE CENTRO DE ATENCION. FORM.510-401-94-011.</t>
  </si>
  <si>
    <t>ACTIVIDADES REALIZADAS DE EDUCACION EN SALUD A NI-VEL DE EMPRESAS, FORM.401-94-008, DE SOLIC.DESARROLLO INSTITUCIONAL.</t>
  </si>
  <si>
    <t>ACTIVIDADES REALIZADAS POR LOS EDUCADORES EN SALUDA NIVEL DE EMPRESAS, FORM.510401-94-009 DE SOLICI-TUD DESARROLLO INSTITUCIONAL.</t>
  </si>
  <si>
    <t>ACTIVIDADES EDUCATIVAS REALIZADAS POR LOS EDUCADORES EN SALUD. BLOCK DE 100 HOJAS</t>
  </si>
  <si>
    <t>ASENTIMIENTO INFORMADO PEDIATRICO. BLOCK DE 100 HOJAS. BLOCK</t>
  </si>
  <si>
    <t>AUTORIZACION PARA TRATAMIENTO Y/O INTERVENCION QUIRURGICA. FORM.408-83- 001.,BLOCK</t>
  </si>
  <si>
    <t>B- REGISTRO DIARIO DE VACUNACIÓN PARA HOMBRES Y MUJERES. BLOCK DE 100 HOJAS. BLOCK</t>
  </si>
  <si>
    <t>B- TABULADOR MENSUAL DE VACUNACIÓN PARA HOMBRES Y MUJERES. BLOCK DE 100 HOJAS. BLOCK</t>
  </si>
  <si>
    <t>BITACORA DE RECORRIDO DE VEHICULOS INSTITUCIONALESFORM. 220204-01-01-06</t>
  </si>
  <si>
    <t>C- REGISTRO DIARIO DE VACUNACIÓN PARA GRUPOS DE RIESGO. BLOCK DE 100 HOJAS. BLOCK</t>
  </si>
  <si>
    <t>C- TABULADOR MENSUAL DE VACUNACIÓN PARA GRUPOS DE RIESGO. BLOCK DE 100 HOJAS. BLOCK</t>
  </si>
  <si>
    <t>CALENDARIO DE CONTROL DE ANTICOAGULANTES. FORM.527-802-008-10-92</t>
  </si>
  <si>
    <t>CARNET DE CONTROL DE CASOS DE TUBERCULOSIS PCT-7A. UNIDAD</t>
  </si>
  <si>
    <t>CARNET CONTROL DE VACUNACION  (VACUNA TOXOIDE TETA NICA) FORM. 400-83-007.,TARJETA</t>
  </si>
  <si>
    <t>CARNET DEL NINO.,TARJETA</t>
  </si>
  <si>
    <t>CENSO DIARIO DE PACIENTES. FORM. M-69023.,BLOCK</t>
  </si>
  <si>
    <t>CERTIFICADO DE INCAPACIDAD TEMPORAL (GENERA SUBSID IOS) FORM.*533-89-002 ,BLOCK</t>
  </si>
  <si>
    <t>CERTIFICADO DE INCAPACIDAD TEMPORAL (NO GENERA SUBSIDIOS) FORM.*533-89-001,BLOCK</t>
  </si>
  <si>
    <t>CERTIFICADO MEDICO DE NACIMIENTO. BLOCK DE 50 FORMULARIOS, CADA FORMULARIO CONTIENE ORIGINAL Y DOS COPIAS.</t>
  </si>
  <si>
    <t>CITATORIO PARA PACIENTE, FAMILIARES O RESPONSABLES</t>
  </si>
  <si>
    <t>CLASIFICACION DE RIESGO MENSUALFORMULA # 120104-150-09-05</t>
  </si>
  <si>
    <t>CLASIFICACION REVISADA DE ENDOMETRIOSIS. BLOCK DE 100 HOJAS. BLOCK</t>
  </si>
  <si>
    <t>CLINICA DE ANTICOAGULANTE  FORM.521802-93-007</t>
  </si>
  <si>
    <t>COMPROBANTE DE CONSUMO DE ANTICONCEPTIVOS.  FORM.  PROV. 75005.,BLOCK</t>
  </si>
  <si>
    <t>COMPROBANTE DE EXAMEN. FORM.750-82-368.,BLOCK</t>
  </si>
  <si>
    <t>COMPROBANTE DE SCAN. (SERVICIO DE MEDICINA NUCLEAR ) FORM. 750-82-383. ,TARJETA</t>
  </si>
  <si>
    <t>COMPROBANTE DE ENTREGA DE CANASTILLA MATERNAL.   FORM.  M-58010 REV/78. ,BLOCK</t>
  </si>
  <si>
    <t>CONSENTIMIENTO INFORMADO PARA ESTERILIZACION QUIRURGICA. BLOCK DE 100 HOJAS. BLOCK</t>
  </si>
  <si>
    <t>CONSENTIMIENTO INFORMADO HISTEROSCOPIA. BLOCK DE 100 HOJAS. BLOCK</t>
  </si>
  <si>
    <t>CONSENTIMIENTO INFORMADO PARA CESAREA. BLOCK DE 100 HOJAS . BLOCK</t>
  </si>
  <si>
    <t>CONSENTIMIENTO INFORMADO VIDEOLAPAROSCOPIA. BLOCK DE 100 HOJAS. BLOCK</t>
  </si>
  <si>
    <t>CONSENTIMIENTO PARA LA REALIZACION DEL EXAMEN DE SALUD. BLOCK DE 50 HOJAS. BLOCK</t>
  </si>
  <si>
    <t>CONSOLIDADO MENSUAL DE ACTIVIDADES DE APSREAIZADAS EN CADA COMUNIDAD CON NUMERO DE FORMULA1C000-114-08-06</t>
  </si>
  <si>
    <t>CONSTANCIA DE ACEPTACION DE TRATAMIENTO DE SEXOFE MENINO. FORM.750-82-367. (MEDICINA NUCLEAR).,BLOCK</t>
  </si>
  <si>
    <t>CONSTANCIA DE ENTREGA DEL RECIÉN NACIDO A MADRE. BLOCK DE 100 HOJAS. BLOCK.</t>
  </si>
  <si>
    <t>CONSTANCIA MEDICA PARA CUIDO DE PACIENTE EN CASA</t>
  </si>
  <si>
    <t>CONSTANCIA PARA RECLAMO DE VIATICO A DERECHOHABIENTE</t>
  </si>
  <si>
    <t>CONTESTACION DE EXAMEN DE HEMATOLOGIA.FORM.749-80- 28 REV. 81.,BLOCK</t>
  </si>
  <si>
    <t>CONTROL DE CONSUMO DE MEDICAMENTOS ORALES A PACIEN TES HOSPITALIZADOS. FORM.M-69032.,TARJETA</t>
  </si>
  <si>
    <t>CONTROL DE CONSUMO DE MEDICAMENTOS POR VIA PARENTE RAL DE PACIENTES  HOSPITALIZADOS. FORM.M-69031.,TA RJETA</t>
  </si>
  <si>
    <t>CONTROL DE CONTESTACION DE EXAMEN DE LABORATORIO.  FORM.M-54029 REV.58. ,BLOCK</t>
  </si>
  <si>
    <t>CONTROL DE CONTESTACION DE EXAMEN RADIOLOGICO.FORM.M-54031 REV.58.,BLOCK</t>
  </si>
  <si>
    <t>CONTROL DE ALIMENTACION DEL RECIEN NACIDO</t>
  </si>
  <si>
    <t>CONTROL DE CHARLAS EDUCATIVAS E INFORMATIVAS</t>
  </si>
  <si>
    <t>CONTROL DE GASES ARTERIALES. FORM.217-82-026.,LIBRO</t>
  </si>
  <si>
    <t>CONTROL DE LA CADENA DE FRIO, FORM. 510001-157-09-05</t>
  </si>
  <si>
    <t>CONTROL DE OXIMETRÍAS. BLOCK DE 100 HOJAS. BLOCK</t>
  </si>
  <si>
    <t>CONTROL DE PACIENTES PARA FISIOTERAPIA.    FORM.M- 70042.,TARJETA</t>
  </si>
  <si>
    <t>CONTROL DE ROPA BLANCA. FORM 779-82-385.,BLOCK</t>
  </si>
  <si>
    <t>CONTROL DE ROPA VERDE.  FORM 779-82-384.,BLOCK</t>
  </si>
  <si>
    <t>CONTROL DE SOLUCIONES ENDOVENOSAS. BLOCK DE 100 HOJAS BLOCK.</t>
  </si>
  <si>
    <t>CONTROL DE USO DE ANTIMICROBIANOS. BLOCK DE 100 HOJAS.BLOCK</t>
  </si>
  <si>
    <t>CONTROL DE VISITAS A EMPRESAS. BLOCK DE 100 HOJAS.</t>
  </si>
  <si>
    <t>CONTROL DE EXISTENCIAS - SERVICIO DE ALIMENTACION  Y DIETAS. FORM.776-82-309.,TARJETA</t>
  </si>
  <si>
    <t>CONTROL DE OTORGAMIENTO DE CITAS, BASE 20, PAPEL CONTINUO DE UNA PARTE, TAMAÑO CARTA, CON IMPRESIÓN AL REVERSO Y ANVERSO, DOS CARAS CADA HOJA DE 3 FORMULARIOS</t>
  </si>
  <si>
    <t>CONTROL DE PACIENTES DE CONSULTA DE EMERGENCIASY  ADMISION EN OBSERVACION. FORM.214-85-009.,LIBRO</t>
  </si>
  <si>
    <t>CONTROL PUERPERAL. BLOCK DE 100 HOJAS</t>
  </si>
  <si>
    <t>CONTROL DE TRATAMIENTO Y DIETA DE PACIENTES  EN OBSERVACION. FORM.530- 79-15,BLOCK</t>
  </si>
  <si>
    <t>CONTROL DE TRATAMIENTO DE PACIENTES HOSPITALIZADOS . FORM. M-70048. ,TARJETA</t>
  </si>
  <si>
    <t>COPROLOGIA. FORM.M-54023 REV. 66.,BLOCK</t>
  </si>
  <si>
    <t>CUADRO CLINICO. FORM.M-54003 REV.66.,BLOCK</t>
  </si>
  <si>
    <t>CUESTIONARIO DE RIESGOS PSICOSOCIALES, BLOCK DE 50 EJEMPLARES DE 4 HOJAS C/U. BLOCK</t>
  </si>
  <si>
    <t>CUESTIONARIO PARA EL PACIENTE(RESONANCIA MAGNETICA)</t>
  </si>
  <si>
    <t>CUESTIONARIO PRE QUIRURGICO. BLOCK DE 100 HOJAS. BLOCK</t>
  </si>
  <si>
    <t>D- REGISTRO DIARIO DE VACUNACIÓN EN CAMPAÑA Y EMERGENCIA. BLOCK DE 100 HOJAS. BLOCK</t>
  </si>
  <si>
    <t>D- TABULADOR MENSUAL DE VACUNACIÓN EN CAMPAÑA Y EMERGENCIA. BLOCK DE 100 HOJAS. BLOCK</t>
  </si>
  <si>
    <t>DATOS DE PACIENTES CITADOS POR PRIMERA VEZ PARA INGRESO EN SISTEMA SYSCANCER. BLOCK DE 100 HOJAS</t>
  </si>
  <si>
    <t>DECLARACIÓN JURADA DEL RESPONSABLE DE PACIENTE PROGRAMA OLDD.  BLOCK DE 100 HOJAS. BLOCK</t>
  </si>
  <si>
    <t>DECLARACIÓN JURADA DE PACIENTE QUE PUEDE FIRMAR PROGRAMA OLDD BLOCK DE 100 HOJAS. BLOCK</t>
  </si>
  <si>
    <t>DIARIO DE CAMPO CON NUMERO DE FORMULA 1COOO1-135-09-06</t>
  </si>
  <si>
    <t>ESCALA DE DEPRESION GERIATRICA ABREVIADA (EDG)</t>
  </si>
  <si>
    <t>ESCALA SIMPLIFICADA DE EVALUACION DEL DESARROLLOFORM. 510-401012-05-97</t>
  </si>
  <si>
    <t>ESTADISTICA DE MORBILIDAD FRONTAL  DE CONSULTAEX TERNA. FORM.M-69010. ,BLOCK</t>
  </si>
  <si>
    <t>SOLICITUD DE ESTUDIOS DE GABINETE Y PROCEDIMIENTOS DIVERSOS. BLOCK DE 100 HOJAS. BLOCK</t>
  </si>
  <si>
    <t>EVALUACION CARDIOVASCULAR Y DE MEDICINA INTERNA</t>
  </si>
  <si>
    <t>EVALUACION DE LAS ACTIVIDADES BASICAS DE LA VIDA DIARIA</t>
  </si>
  <si>
    <t>EVALUACION DE LAS ACTIVIDADES INSTRUMENTALES DE LA VIDA DIARIA</t>
  </si>
  <si>
    <t>EVALUACION DE LA JORNADA EDUCATIVA. BLOCK DE 100 HOJAS</t>
  </si>
  <si>
    <t>EVALUACION INTEGRAL PREOPERATORIA DE MEDICINA INTERNA, BLOCK DE 100 HOJAS. BLOCK</t>
  </si>
  <si>
    <t>EVALUACIÓN RÁPIDA DEL ADULTO MAYOR DE 60 AÑOS CON BASE A RIESGOS. BLOCK DE 100 HOJAS. BLOCK</t>
  </si>
  <si>
    <t>FICHA DE DIAGNOSTICO Y PLAN DE TRATAMIENTO PERIODO NTAL. FORM.79006. ,TARJETA</t>
  </si>
  <si>
    <t>FICHA FAMILIAR FORMULA # 120104-113-07-05</t>
  </si>
  <si>
    <t>FICHA DE RECOLECCION DE DATOS ENTREGA MEDICAMENTO DOMICILIAR</t>
  </si>
  <si>
    <t>FICHA DE TRATAMIENTO DE TUBERCULOSIS PCT-7. UNIDAD</t>
  </si>
  <si>
    <t>FORMULARIO DE NOTIFICACION DE ESAVI. BLOCK DE 50 HOJAS</t>
  </si>
  <si>
    <t>FORMULARIO DE NOTIFICACION DE RAM. BLOCK DE 50 HOJAS.</t>
  </si>
  <si>
    <t>FORMULARIO PARA EVALUACIÓN DE PACIENTE (FVIH 05). BLOCK DE 100 HOJAS. BLOCK</t>
  </si>
  <si>
    <t>FORMULARIO INSTRUMENTO NECPAL CCOMS-ICO. BLOCK DE 100 HOJAS.</t>
  </si>
  <si>
    <t>FORMULARIO PARA ATENCION PRECONCEPCIONAL. BLOCK DE 100 HOJAS.BLOCK</t>
  </si>
  <si>
    <t>FORMULARIO PARA POST CONSEJERÍA (FVIH 02). BLOCK DE 100 HOJAS. BLOCK</t>
  </si>
  <si>
    <t>GRAFICA DE INDICE DE MASA CORPORAL Y TALLA NIÑAS DE 5 A 19 AÑOS</t>
  </si>
  <si>
    <t>GRAFICA DE INDICE DE MASA CORPORAL  Y TALLA NIÑOS DE 5 A 19 AÑOS</t>
  </si>
  <si>
    <t>GRAFICOS CRECIMIENTO NIÑA 2 AÑOS A  &lt;(&gt;&lt;&lt;)&gt;  5 AÑOS</t>
  </si>
  <si>
    <t>GRAFICOS CRECIMIENTO NIÑO 2 AÑOS A &lt;(&gt;&lt;&lt;)&gt; 5 AÑOS</t>
  </si>
  <si>
    <t>GUIA DE ENTREVISTA A PACIENTES EN ETAPA POST - OPERATORIA. BLOCK DE 100 HOJAS. BLOCK</t>
  </si>
  <si>
    <t>HISTORIA CLINICA MEDICO OCUPACIONAL. JUEGO DE 3 PAGINAS. BLOCK DE 50 JUEGOS. BLOCK</t>
  </si>
  <si>
    <t>HISTORIA CLINICA PSIQUIATRICA INICIAL FORM.512001-17-04-08</t>
  </si>
  <si>
    <t>HOJA DE CONSEJERÍA PRE O POST CONSULTA. BLOCK DE 100 HOJAS.</t>
  </si>
  <si>
    <t>HOJA DE CONSULTA MEDICA Y NOTIFICACION DE CASOS DE EXPOSICION AL PLOMO</t>
  </si>
  <si>
    <t>HOJA DE CONSULTA SUBSECUENTE DE ATENCION INTEGRALA LA MUJER EN EL CLIMATERIOFORM. 120104-.248-10-05</t>
  </si>
  <si>
    <t>CONTROL DE CAMBIOS DE POSICIÓN DE PACIENTE HOSPITALIZADO. BLOCK DE 100 HOJAS</t>
  </si>
  <si>
    <t>HOJA DE CONTROL EN RECUPERACION (4º PERIODO DEL PARTO)</t>
  </si>
  <si>
    <t>HOJA DE CONTROL DE CONDICIONES DE TRANSPORTE NEONATAL - STABLE. BLOCK DE 100 HOJAS.</t>
  </si>
  <si>
    <t>HOJA DE REGISTRO DE CIRUGIAS EN QUIROFANO</t>
  </si>
  <si>
    <t>HOJA DE DATOS PACIENTES NEONATOS EN VENTILACIÓN MECÁNICA.BLOCK DE 100 HOJAS. BLOCK</t>
  </si>
  <si>
    <t>HOJA DE CAMPAÑA METABÓLICA. BLOCK DE 100 HOJAS.</t>
  </si>
  <si>
    <t>HOJA DE CONTROL DE CATÉTER HEMODIÁLISIS. BLOCK DE 100 HOJAS. BLOCK.</t>
  </si>
  <si>
    <t>HOJA DE CONTROL DE HEMODIÁLISIS. BLOCK DE 100 HOJAS. BLOCK</t>
  </si>
  <si>
    <t>HOJA DE CONTROL DE VISITAS DE ENFERMERIA. PROGRAMA OLDD</t>
  </si>
  <si>
    <t>HOJA DE CONTROL DE VISITAS MEDICAS. PROGRAMA OLDD</t>
  </si>
  <si>
    <t>HOJA DE CONTROL DEL PACIENTE HIPERTENSO FORM. 541000-50-04-06</t>
  </si>
  <si>
    <t>HOJA DE DATOS PARA VENTILACION MECANICA  FORM.521-205-93-004</t>
  </si>
  <si>
    <t>HOJA DE DESCRIPCION DEL PARTO. FORM.M-54047 REV.68 ,BLOCK</t>
  </si>
  <si>
    <t>HOJA DE EMERGENCIA Y ATENCION DOMICILIARIA. FORM.  M-58012.,BLOCK</t>
  </si>
  <si>
    <t>HOJA DE EVALUACION INDIVIDUALFORMUAL # 120104-151-09-05</t>
  </si>
  <si>
    <t>HOJA DE GASTOS FORM. 522A01-24-02-06.</t>
  </si>
  <si>
    <t>HOJA DE IDENTIFICACION DEL PACIENTE.  FORM. 510001-16-07-04</t>
  </si>
  <si>
    <t>HOJA DE INGRESO. FORM.522-401-002-01-99</t>
  </si>
  <si>
    <t>HOJA DE INVESTIGACION DE ACCIDENTES Y/O CAIDAS</t>
  </si>
  <si>
    <t>HOJA DE MANEJO AMBULATORIO.  FORM. 522-401-001-01-99.</t>
  </si>
  <si>
    <t>HOJA DE MORBILIDAD NEONATAL. BLOCK DE 100 HOJAS</t>
  </si>
  <si>
    <t>HOJA DE OPINIONES. FORM.M-72004.,BLOCK</t>
  </si>
  <si>
    <t>HOJA DE REGISTRO DE TAMIZAJE AUDITIVO. BLOCK DE 100 HOJAS</t>
  </si>
  <si>
    <t>HOJA DE RESPUESTAS DE EXAMENES DE LABORATORIO</t>
  </si>
  <si>
    <t>HOJA DE DEVOLUCION DE MEDICAMENTOS A FARMACIA</t>
  </si>
  <si>
    <t>HOJA DE ENFERMERIA EN CUIDADOS INTENSIVOS NEONATALES</t>
  </si>
  <si>
    <t>HOJA DE EVALUACIÓN DE PACIENTE CON SOSPECHA DE OSTEOPOROSIS</t>
  </si>
  <si>
    <t>HOJA DE GASTOS DIARIOS DE MEDICAMENTOS DE ANESTESIA. BLOCK DE 200 HOJAS. BLOCK.</t>
  </si>
  <si>
    <t>HOJA DE INSCRIPCIÓN A LA MUJER EN EL CLIMATERIO. BLOCK DE 100 HOJAS.</t>
  </si>
  <si>
    <t>HOJA DE INSCRIPCIÓN CURSO DE VIDA DE LA NIÑEZ. BLOCK DE 100 HOJAS. BLOCK</t>
  </si>
  <si>
    <t>HOJA DE MONITOREO DE VENTILACIÓN MECÁNICA NO INVASIVA.BLOCK DE 100 HOJAS. BLOCK</t>
  </si>
  <si>
    <t>HOJA DE MONITOREO DE MEDICAMENTOS PARENTERALES. BLOCK DE 100 HOJAS. BLOCK</t>
  </si>
  <si>
    <t>HOJA DE OBSERVACION PARA CUIDADO DE ENFERMERIA.FORM. M-72005.,BLOCK</t>
  </si>
  <si>
    <t>HOJA DE PRESCRIPCION MEDICA DE PROTESIS, ORTESIS Y OTROS. BLOCK DE 100 HOJAS</t>
  </si>
  <si>
    <t>HOJA DE REGISTRO DIARIO DE ATENCION,CRECIMIENTOY  DESARROLLO DEL NINO. FORM.535-90-01</t>
  </si>
  <si>
    <t>HOJA DE REGISTRO MENSUAL DEL RECIEN NACIDO. BLOCK DE 100 HOJAS</t>
  </si>
  <si>
    <t>HOJA DE REPORTE DE ULTRASONOGRAFIA DE CADERA. BLOCK DE 100 HOJAS</t>
  </si>
  <si>
    <t>HOJA DE REQUISICION (FARMACIA HOSPITAL DE ESPECIAL IDADES). FORM. 527-B03-92-010.,BLOCK</t>
  </si>
  <si>
    <t>HOJA RESPUESTA MONITOREO FETAL, SOLICITUD DESARROLLO INSTITUCIONAL</t>
  </si>
  <si>
    <t>HOJA DE RESULTADO DE EXAMEN DE GLICEMIA CAPILAR(HEMOGLUCOTEST,HGT).BLOCK DE 100 HOJAS. BLOCK</t>
  </si>
  <si>
    <t>HOJA DE SEGUIMIENTO FACTORES DE RIESGO CARDIOVASCULAR</t>
  </si>
  <si>
    <t>HOJA DE TAMIZAJE Y VALORACION DE RIESGO NUTRICIONAL AL INGRESO HOSPITALARIO. BLOCK</t>
  </si>
  <si>
    <t>HOJA DE REGISTRO TRANSPORTE DE PACIENTE CRITICO EN VENTILACIÓN MECÁNICA.BLOCK DE 100 HOJAS. BLOCK</t>
  </si>
  <si>
    <t>HOJAS DE ANESTESIA. FORM. M-54055 REV/59.,BLOCK</t>
  </si>
  <si>
    <t>HOJAS DE CONTROL POST-OPERATORIO.FORM.M-59002 REV. 58.,BLOCK</t>
  </si>
  <si>
    <t>LISTA DE VERIFICACIÓN DE LA IDENTIFICACIÓN DEL RECIÉN NACIDO INGRESADO EN NEONATOLOGÍA. BLOCK DE 100 HOJAS</t>
  </si>
  <si>
    <t>IDENTIFICACION DEL RECIEN NACIDO,COLOR CELESTE.F ORM.M-54073.</t>
  </si>
  <si>
    <t>IDENTIFICACION DEL RECIEN NACIDO,COLOR ROSADO.F ORM.M-54073.</t>
  </si>
  <si>
    <t>INDICACION PARA LA PREPARACION DE NUTRICION PARENTERAL NEONATAL</t>
  </si>
  <si>
    <t>INDICADORES DE CLIMATERIO Y MENOPAUSIA. FORM. 512001-95-11-07</t>
  </si>
  <si>
    <t>INDICADORES DE GESTION DE TRABAJO SOCIAL. BLOCK DE 50 HOJAS</t>
  </si>
  <si>
    <t>INFORME DE VISITA SUBSECUENTE OLDD PARA TRABAJO SOCIAL</t>
  </si>
  <si>
    <t>INFORME DE CONSENTIMIENTO TRATAMIENTOS DE CONDUCTOS RADICULARES</t>
  </si>
  <si>
    <t>INFORMACION FARMACOTERAPEUTICA (HOSPITAL DE ESPECI ALIDADES). FORM. 527-B03-92-013.,BLOCK</t>
  </si>
  <si>
    <t>INFORME DE INTERVENCIONES QUIRUGICAS. FORM.550-74- 01 REV.76.,BLOCK</t>
  </si>
  <si>
    <t>INFORME DE PACIENTES DELICADOS. BLOCK DE 50 HOJAS</t>
  </si>
  <si>
    <t>INFORME DE VISITAS DE TRABAJO SOCIAL. PROGRAMA OLDD</t>
  </si>
  <si>
    <t>INFORME DIARIO DE CONSULTA EXTERNA MEDICA.  FORM.  533-90-005,BLOCK</t>
  </si>
  <si>
    <t>INFORME DIARIO DE CONSULTA ODONTOLOGICA DE ESPECIA LIDAD. FORM.533-90-004.,BLOCK</t>
  </si>
  <si>
    <t>INFORME DIARIO DE CONSULTA DE ODONTOPEDIATRIA. BLOCK DE 100 HOJAS. BLOCK</t>
  </si>
  <si>
    <t>INFORME DIARIO DE CONSULTA ODONTOLOGICA GENERAL.FORM. 533-90-002,BLOCK</t>
  </si>
  <si>
    <t>INFORME MENSUAL DE ACTIVIDADES REALIZADAS ENATENCION MATERNO. FORM. 120104-10-05</t>
  </si>
  <si>
    <t>INFORME MENSUAL "B" REALIZACIONES DEL PROGRAMA .(P ROGRAMA PLANIF.FAMILIAR)FORM.535-90-013,BLOCK</t>
  </si>
  <si>
    <t>INFORME MENSUAL DE CRECIMIENTO Y DESARROLLO. FORM.510401-001-02-00</t>
  </si>
  <si>
    <t>INFORME MENSUAL-ENTREGA DE ANTICONCEPTIVOS PROGRAM A P.F.) FORM.535-90-012.,BLOCK</t>
  </si>
  <si>
    <t>INFORME DE PERSONAL CON DERECHO A ALIMENTACION.FORM.775-81-114.,BLOCK</t>
  </si>
  <si>
    <t>INSTRUCCIONES PARA RECOLECCION DE ORINA DE 24 HORAS</t>
  </si>
  <si>
    <t>INSTRUMENTO PARA LA VISITA DOMICILIAR SUBSECUENTECON NUMERO DE FORMULA 1C0001-134-09-05.</t>
  </si>
  <si>
    <t>INVENTARIO DE EXISTENCIAS DE PRODUCTOS ANTICONCEPTIVOS. FORM. 510401-008-07-01</t>
  </si>
  <si>
    <t>LISTA DE COTEJO PARA EVALUACION DEL DESEMPEÑO DEL EDUCADOR/A EN SALUD EN EL DESARROLLO DE JORNADAS EDUCATIVAS. BLOCK DE 100 HOJAS</t>
  </si>
  <si>
    <t>LISTA DE VERIFICACIÓN DE EMBARAZO. BLOCK DE 100 HOJAS</t>
  </si>
  <si>
    <t>Lista de Verificación de la Seguridad de la Cirugía</t>
  </si>
  <si>
    <t>MEDICIÓN DE FLUJO ESPIRATORIO MÁXIMO.BLOCK DE 100 HOJAS. BLOCK</t>
  </si>
  <si>
    <t>MONITOREO DIARIO DE PACIENTE CRITICO  FORM.527A21-001-01-97</t>
  </si>
  <si>
    <t>MOVIMIENTO DIARIO DE PACIENTES HOSPITALIZADOS,FORM . 217-84-022.</t>
  </si>
  <si>
    <t>MUESTRAS A PATOLOGIA. BLOCK DE 100 HOJAS. BLOCK</t>
  </si>
  <si>
    <t>NOTA A VIGILANCIA PARA EL RETIRO DE RECIEN NACIDO</t>
  </si>
  <si>
    <t>NOTAS DE EVALUACION DE TERAPIA OCUPACIONAL. BLOCK DE 100 HOJAS</t>
  </si>
  <si>
    <t>NOTIFICACIÓN DE INFECCIONES ASOCIADAS A LA ATENCIÓN SANITARIA (IAAS). BLOCK DE 100 HOJAS. BLOCK.</t>
  </si>
  <si>
    <t>NOTIFICACION DE CASOS DE PERSONAS MORDIDAS PORANIMALES TRANSMISORES DE RABIA</t>
  </si>
  <si>
    <t>ORDEN DE ENTREGA DE GASES DE USO MEDICO. BLOCK DE 50 PAGINAS. BLOCK</t>
  </si>
  <si>
    <t>Orden para Aplicación de Vacuna Desensibilizante Dos Veces por Semana</t>
  </si>
  <si>
    <t>ORDEN PARA APLICACION DE VACUNA DESENSIBILIZANTE</t>
  </si>
  <si>
    <t>PARTOGRAMA.  FORM.510401-013-11-96</t>
  </si>
  <si>
    <t>PRESCRIPCION DE ORTESIS PARA MIEMBRO INFERIOR. BLOCK DE 100 HOJAS</t>
  </si>
  <si>
    <t>PRESCRIPCION DE ORTESIS PARA MIEMBRO SUPERIOR. BLOCK DE 100 HOJAS</t>
  </si>
  <si>
    <t>PRESCRIPCION DE PLANTILLAS TERMOCONFORMADAS. BLOCK DE 100 HOJAS</t>
  </si>
  <si>
    <t>HOJA DE PRESCRIPCIÓN DE PRÓTESIS PARA MIEMBRO INFERIOR. BLOCKS DE 100 HOJAS. BLOCK</t>
  </si>
  <si>
    <t>HOJA DE PRESCRIPCIÓN DE PRÓTESIS PARA MIEMBRO SUPERIOR. BLOCKS DE 100 HOJAS. BLOCK</t>
  </si>
  <si>
    <t>PRETABULADOR DIARIO DE CONSULTA DE PEDIATRIA (INSCRIPCIONES). FORM. 510401-82-11-04 DIMENSIONES: ANCHO 21.6 CMS Y LARGO 33 CMS.</t>
  </si>
  <si>
    <t>PRETABULADOR DIARIO DE CRECIMIENTO Y DESARROLLO. FORM. 510401-80-11-04. DIMENSIONES: ANCHO 21.6 CMSY LARGO 33 CMS.</t>
  </si>
  <si>
    <t>PROGRAMACION SEMANAL DE  ACTIVIDADES DE EDUCACIONEN SALUD, FORM. 401-94-007, DE SOLIC.DES. INSTITUC</t>
  </si>
  <si>
    <t>PROGRAMACION SEMANAL DE ACTIVIDADES DE EDUCACIÓN PARA LA SALUD. BLOCK DE 100 HOJAS</t>
  </si>
  <si>
    <t>PRUEBA DE SENSIBILIDAD. 14 CMS. ANCHO  X 22 CMS.L ARGO. FORM.280-90-001. ,TARJETA</t>
  </si>
  <si>
    <t>QUIMICA CLINICA. FORM. M-54016  REV/72.,BLOCK</t>
  </si>
  <si>
    <t>RECETA DE PACIENTE HOSPITALIZADO. FORM. 510401-012-07-01</t>
  </si>
  <si>
    <t>RECETA MEDICA PARA USO REPETITIVO DE MEDICAMENTOS  DE ESPECIALIDAD .FORM. 533-89-005.,BLOCK</t>
  </si>
  <si>
    <t>RECETARIOS MEDICOS,COLOR CELESTE (HOSPITALIZACION) .FORM.M-54013 REV/7</t>
  </si>
  <si>
    <t>RECIBO Y ENTREGA DE EQUIPOS (CENTRAL DE ESTERILIZACION)</t>
  </si>
  <si>
    <t>RECONOCIMIENTO PERIODICO EN SALUD SUBSECUENTE/MORBILIDAD, CURSO DE VIDA DE LA NIÑEZ. BLOCK DE 100 HOJAS. BLOCK</t>
  </si>
  <si>
    <t>REGISTRO DE ATENCIONES BRINDADAS EN LA COMPRA DE SERVICIOS MEDICO QUIRURGICOS, DIAGNOSTICOS Y TERAPEUTICOS. BLOCK DE 100 HOJAS</t>
  </si>
  <si>
    <t>REGISTRO DE COMPRA DE SERVICIOS PROFESIONALES POR MEDICO. BLOCK DE 100 HOJAS</t>
  </si>
  <si>
    <t>REGISTRO DE CONSUMO DE ANTICONCEPTIVOS. FORM.PROV. 75004.,BLOCK</t>
  </si>
  <si>
    <t>REGISTRO DE OPERACIONES QUIRURGICAS. FORM.M-59008. ,LIBRO.</t>
  </si>
  <si>
    <t>REGISTRO DE DEFUNCION - DIRECCION GENERAL DE ESTADISTICA Y CENSOS</t>
  </si>
  <si>
    <t>REGISTRO DIARIO DE ANTICONCEPCIONES QUIRURGICAS(P ROGRAMA P.F.)FORM.535-90-011,BLOCK</t>
  </si>
  <si>
    <t>REGISTRO DIARIO DE CONSULTAS MEDICAS (PROGRAMA P.F ) FORM.713-89-023. ,BLOCK</t>
  </si>
  <si>
    <t>REGISTRO DIARIO DE ENTREGA DE ANTICONCEPTIVOS(PROGRAMA P.F) FORM.713-89-020.,BLOCK</t>
  </si>
  <si>
    <t>REGISTRO DE OPTOMETRIA.CONSULTORIO DE OFTALMOLOGIA . FORM.M-65005. ,TARJETA</t>
  </si>
  <si>
    <t>HOJA DE REGISTRO DE RESULTADOS DE TAMIZAJES NEONATALES, BLOCK DE 100 HOJAS</t>
  </si>
  <si>
    <t>HOJA DE REGISTRO DE TAMIZAJES CARDIACOS POSITIVOS, BLOCK DE 100 HOJAS.</t>
  </si>
  <si>
    <t>REMISION DE CADAVERES. FORM.M-70015.,BLOCK</t>
  </si>
  <si>
    <t>REPORTE DIARIO DE GASTO DE MATERIALES ODONTOLOGIA</t>
  </si>
  <si>
    <t>REPORTE LAPAROSCOPICO. BLOCK DE 100 HOJAS. BLOCK</t>
  </si>
  <si>
    <t>REQUISICION  INTERNA.# FORM. 510401-01-01-04 .,BLOCK</t>
  </si>
  <si>
    <t>REQUISICION DE DIETAS DE PACIENTES.FORM.776-81-115 ,BLOCK</t>
  </si>
  <si>
    <t>RESUMEN DE ACTIVIDADES DE EDUCACION EN SALUD REALIZADAS A NIVEL DE CENTRO DE ATENCION. FORM.510401-94-012</t>
  </si>
  <si>
    <t>HOJA DE RESUMEN DE ALTA SERVICIO DE NEONATOLOGIA. BLOCK DE 50 HOJAS. BLOCK</t>
  </si>
  <si>
    <t>RESUMEN DE HISTORIA CLINICA. FORM.M-72007.,BLOCK</t>
  </si>
  <si>
    <t>SALIDA DE MATERIALES, REPUESTOS Y HERRAMIENTAS Y/O EQUIPO, FORM. 330-201-013-08-99.</t>
  </si>
  <si>
    <t>SEGUIMIENTO DE USUARIAS CON FALLA A CUALQUIER METODO DE PLANIFICACION FAMILIARFORM. 120104-251-10-05</t>
  </si>
  <si>
    <t>SIGNOS VITALES PARA PACIENTES DE LARGA ESTANCIA.FORM.210-78-02.,BLOCK</t>
  </si>
  <si>
    <t>SOLICITUD PARA EXAMEN O TRATAMIENTO ASISTENCIAL FUERA DEL ISSS</t>
  </si>
  <si>
    <t>SOLICITUD DE TRASLADO DE PACIENTES EN VEHICULOS TIPO AMBULANCIA</t>
  </si>
  <si>
    <t>SOLICITUD DE PRESTACIONES DE SALUD Y MEDICAMENTOS PARA TRABAJADORES CESANTES Y SU BENEFICIARIA. BLOCK DE 50 HOJAS</t>
  </si>
  <si>
    <t>SOLICITUD DE CONSTANCIA MEDICA/RESUMEN CLINICO</t>
  </si>
  <si>
    <t>SOLICITUD DE DISPENSACION DE MEDICAMENTOS PARA PACIENTES QUE SALEN DEL PAIS</t>
  </si>
  <si>
    <t>SOLICITUD DE DERECHOHABIENTE A PROGRAMA OLDD</t>
  </si>
  <si>
    <t>SOLICITUD DE ELECTRO-CARDIOGRAMA. FORM.M-74010.,BLOCK</t>
  </si>
  <si>
    <t>SOLICITUD DE EXAMENES (GASOMETRIA)*FORM.217-81-130 .,BLOCK</t>
  </si>
  <si>
    <t>SOLICITUD DE MAMOGRAFÍA DE TAMIZAJE. BLOCK DE 100 HOJAS.</t>
  </si>
  <si>
    <t>SOLICITUD DE PRESTAMO DE EQUIPOFORM.521B01-132-08-05</t>
  </si>
  <si>
    <t>SOLICITUD DE ESTUDIO DE IMÁGENES DE RESONANCIA MAGNETICA O TAC. BLOCK DE 100 HOJAS</t>
  </si>
  <si>
    <t>SOLICITUD DE TRANSFUSION. FORM.M-55006 REV/56.,BLO CK</t>
  </si>
  <si>
    <t>SOLICITUD DE ESTERILIZACION DE ROPA VERDE Y BLANCA FORM.521B01-186-09-05</t>
  </si>
  <si>
    <t>SOLICITUD DE EVALUACION PREOPERATORIA NEUMOLOGICA. BLOCK DE 100 HOJAS</t>
  </si>
  <si>
    <t>SOLICITUD DE EXAMEN BACTERIOLOGICO DE TUBERCULOSIS. FORM. M-72020., BLOCK</t>
  </si>
  <si>
    <t>SOLICITUD DE EXAMENES DE LABORATORIO DE INMUNOLOGIA ONCOLOGICA</t>
  </si>
  <si>
    <t>SOLICITUD DE INTERCONSULTA, EVALUACIÓN PREOPERATORIA, REFERENCIA A ODONTOLOGÍA GENERAL Y PROCEDIMIENTOS</t>
  </si>
  <si>
    <t>SOLICITUD PARA CANCELACION DE TRANSPORTE A DERECHOHABIENTE</t>
  </si>
  <si>
    <t>SOLICITUD SERVICIOS TERAPIA RESPIRATORIA.BLOCK DE 100 HOJAS. BLOCK</t>
  </si>
  <si>
    <t>SOLICITUD Y CONTROL DE TRANSFUSION*FORM. 749-80-46 .,BLOCK</t>
  </si>
  <si>
    <t>SOLICITUD/ORDEN DE REPRODUCCIONFORM.511101-268-11-05</t>
  </si>
  <si>
    <t>SOLICITUD-REPORTE DE RADIOGRAFIA PORTATIL FORM.220 -91-022,BLOCK</t>
  </si>
  <si>
    <t>HOJA DE SUPERVISION DEL FUNCIONAMIENTO DEL AREA DE ALIMENTACION Y DIETAS</t>
  </si>
  <si>
    <t>TABLA DE CALCULO DEL INDICE DE MASA CORPORAL FORM. 512001-92-10-07</t>
  </si>
  <si>
    <t>TABULADOR DIARIO DE ACTIVIDADES - CONSULTA EXTERNA MEDICA.  FORM. 190101-22-07-04</t>
  </si>
  <si>
    <t>TABULADOR DIARIO DE ACTIVIDADES - SUBPROGRAMA PARA LA ATENCION MATERNA.  FORM. 190101-23-07-04</t>
  </si>
  <si>
    <t>TABULADOR DIARIO DE ACTIVIDADES DE  TERAPIA FISICA. BLOCK DE 100 HOJAS</t>
  </si>
  <si>
    <t>TABULADOR DIARIO DE ACTIVIDADES DE TERAPIA OCUPACIONAL.  BLOCK DE 100 HOJAS</t>
  </si>
  <si>
    <t>TABULADOR DIARIO DE ACTIVIDADES DE TRABAJO SOCIAL. BLOCK DE 50 HOJAS</t>
  </si>
  <si>
    <t>TABULADOR DIARIO DE ACTIVIDADES - ADMINISTRACION. FORM. 190101-25-07-04</t>
  </si>
  <si>
    <t>TAMIZAJE RAPIDO DE LAS CONDICIONES GERIATRICAS</t>
  </si>
  <si>
    <t>TARJETA DE ALIMENTACION. FORM.775-82-007.,TARJETA</t>
  </si>
  <si>
    <t>TARJETA DE ATENCION MATERNA.   FORM.510401-016-12-01</t>
  </si>
  <si>
    <t>TARJETA DE VISITAS. FORM.400-83-014.,TARJETA</t>
  </si>
  <si>
    <t>TARJETA DE REEMPLAZO DE EXPEDIENTE CLINICO  ( EXPE DIENTE MULTIPLE ).  FORM.70041.,TARJETA</t>
  </si>
  <si>
    <t>TARJETA DE REGISTRO DE CITAS Y CONTROL DE P.A.P.FORM.NO.510401-94-013</t>
  </si>
  <si>
    <t>UROANALISIS.   FORM. M-54021 REV/73.,BLOCK</t>
  </si>
  <si>
    <t>VALE POR PEDIDO-ENTREGA DE INSTRUMENTAL MEDICO QUI RURGICO (VARIOS).   FORM. 760-81-94-A.,BLOCK</t>
  </si>
  <si>
    <t>HOJA DE VALORIZACION SOCIAL PARA PACIENTES GERIATRICOS. BLOCK</t>
  </si>
  <si>
    <t>NOTIFICACIÓN INDIVIDUAL DE ENFERMEDADES OBJETO DE VIGILANCIA SANITARIA VIGEPES 01. BLOCK DE 100 HOJAS. BLOCK</t>
  </si>
  <si>
    <t>SOLICITUD DE EXAMEN POR ENFERMEDAD OBJETO DE VIGILANCIA SANITARIA: VIGEPES-02, BLOCK DE 100 HOJAS. BLOCK</t>
  </si>
  <si>
    <t>REPORTE EPIDEMIOLÓGICO CONSOLIDADO DE CASOS INDIVIDUAL DE ENFERMEDADES O EVENTOS DE DECLARACIÓN OBLIGATORIA. VIGEPES-04. BLOCK DE 100 HOJAS. BLOCK.</t>
  </si>
  <si>
    <t>REPORTE DE BROTES DE INTERÉS EPIDEMIOLÓGICO. BLOCK DE 100 HOJAS. BLOCK.</t>
  </si>
  <si>
    <t>REPORTE DE INTOXICACIÓN POR PLAGUICIDAS. VIGEPES-06. BLOCK DE 100 HOJAS. BLOCK.</t>
  </si>
  <si>
    <t>INVESTIGACIÓN Y CIERRE DE ENFERMEDAD OBJETO DE VIGILANCIA SANITARIA. VIGEPES 3. BLOCK DE 100 HOJAS. BLOCK</t>
  </si>
  <si>
    <t>VINETAS PARA EQUIPO DE PENTOTAL. FORM.580-76-34.,C /U.</t>
  </si>
  <si>
    <t>VINETAS PARA EQUIPO DE RAQUIDEA. FORM.580-76-36.,C /U.</t>
  </si>
  <si>
    <t>VISITA INICIAL DE TERAPIA RESPIRATORIA. PROGRAMA OLDD</t>
  </si>
  <si>
    <t>VISITA SUBSECUENTE DE TERAPIA RESPIRATORIA. PROGRAMA OLDD</t>
  </si>
  <si>
    <t>SOLICITUD RECEPCION TRAMITE EN TRABAJO SOCIAL</t>
  </si>
  <si>
    <t>SOLICITUD, CONFIRMACIÓN DE PRUEBA DE VIH Y REPORTE DE CONSEJERÍA PRE PRUEBA (FVIH-01). BLOCK DE 100 HOJAS, IMPRESO REVÉS Y DERECHO.</t>
  </si>
  <si>
    <t>LIBRO STOCK AMBULANTE ANESTESI H 1° MAYO</t>
  </si>
  <si>
    <t>CONTROL DE MEDICAMENTOS DE QUIMIOTERAPIA, TARJETA. C/U</t>
  </si>
  <si>
    <t>CONTROL AMBULATORIO DE PACIENTES CON CATETER VENOSO CENTRAL, TARJETA. C/U</t>
  </si>
  <si>
    <t>SOLICITUD DE DEVOLUCION DE COTIZACIONES PAGADAS EN EXCESO. BLOCK DE 50 JUEGOS DE 3 HOJAS IMPRESAS.</t>
  </si>
  <si>
    <t>PAQUETE DE MEDIDAS PREVENTIVAS DE NEUMONÍAS RELACIONADAS A VENTILACIÓN MECÁNICA. BLOCK DE 50 HOJAS</t>
  </si>
  <si>
    <t>PAQUETE DE MEDIDAS PREVENTIVAS DE NEUMONÍAS NO ASOCIADAS A VENTILACIÓN MECÁNICA. BLOCK DE 50 HOJAS</t>
  </si>
  <si>
    <t>PAQUETE DE MEDIDAS PREVENTIVAS DE INFECCIONES DEL TORRENTE SANGUÍNEO RELACIONADAS AL CATÉTER DE VENA PERIFÉRICA. BLOCK DE 50 HOJAS</t>
  </si>
  <si>
    <t>PAQUETE DE MEDIDAS PREVENTIVAS DE INFECCIONES DEL TORRENTE SANGUÍNEO RELACIONADAS AL CATÉTER DE VENA CENTRAL. BLOCK DE 50 HOJAS</t>
  </si>
  <si>
    <t>PAQUETE DE MEDIDAS PREVENTIVAS DE INFECCIONES DE VIAS URINARIAS RELACIONADAS AL MANTENIMIENTO DE SONDA TRANSURETRAL. BLOCK DE 50 HOJAS</t>
  </si>
  <si>
    <t>PAQUETE DE MEDIDAS PREVENTIVAS PREOPERATORIA DE INFECCIÓN DE SITIO QUIRÚRGICO. BLOCK DE 50 HOJAS</t>
  </si>
  <si>
    <t>PAQUETE DE MEDIDAS PREVENTIVAS DE INFECCIONES DEL TORRENTE SANGUÍNEO RELACIONADAS AL CATÉTER UMBILICAL EN RECIEN NACIDOS. BLOCK DE 50 HOJAS</t>
  </si>
  <si>
    <t>PAQUETE DE MEDIDAS PREVENTIVAS DE NEUMONÍAS RELACIONADAS A VENTILACIÓN MECÁNICA EN RECIEN NACIDOS. BLOCK DE 50 HOJAS</t>
  </si>
  <si>
    <t>PAQUETE DE MEDIDAS PREVENTIVAS DE NEUMONÍAS NO ASOCIADAS A VENTILACIÓN MECÁNICA EN RECIEN NACIDOS. BLOCK DE 50 HOJAS</t>
  </si>
  <si>
    <t>REGISTRO DE DÍAS DISPOSITIVOS. BLOCK DE 50 HOJAS</t>
  </si>
  <si>
    <t>BITACORA DE VIGILANCIA DE LOS PACIENTES CON FACTORES DE RIESGO. BLOCKDE 50 HOJAS</t>
  </si>
  <si>
    <t>FICHA DE CONTROL DE PACIENTE EN FERIA DE SALUD. BLOCK DE 100 HOJAS</t>
  </si>
  <si>
    <t>LISTA DE ASISTENCIA EN EVENTOS. BLOCK DE 100 HOJAS</t>
  </si>
  <si>
    <t>BITACORA DE ACTIVIDADES DE LIMPIEZA DIARIA. BLOCK DE 50 HOJAS</t>
  </si>
  <si>
    <t>BITACORA DE LIMPIEZA TERMINAL. BLOCK DE 50 HOJAS</t>
  </si>
  <si>
    <t>HOJA DE REGISTRO DE TERAPIA ELECTROCONVULSIVA. BLOCK DE 100 HOJAS IMPRESAS</t>
  </si>
  <si>
    <t>PLAN DE PARTO. BLOCK DE 100 HOJAS, IMPRESO REVES Y DERECHO.</t>
  </si>
  <si>
    <t>FORMULARIO PARA EVALUAR CUMPLIMIENTO DE LA NORMA DE EXPEDIENTE CLÍNICO SOBRE LA INFORMACIÓN REGISTRADA, ADAPTADA AL PROGRAMA DE ATENCIÓN INTEGRAL N SALUD INFANTIL PARA INSCRIPCIONES Y CONTROLES (PAISI).. BLOCK DE 100 HOJAS.</t>
  </si>
  <si>
    <t>NECPAL 4.0, BLOCK DE 50 HOJAS</t>
  </si>
  <si>
    <t>ACTA DE DEFUNCION DE ATENCION PALIATIVA, BLOCK DE 100 HOJAS</t>
  </si>
  <si>
    <t>HOJA DE VALORACIÓN DE RIESGO DE CAÍDA. BLOCK DE 100 HOJAS</t>
  </si>
  <si>
    <t>INSTRUCTIVO DE VERIFICACIÓN PARA APLICACIÓN DE ESTRATEGIAS PARA EVITAR CAÍDAS. BLOCK DE 100 HOJAS</t>
  </si>
  <si>
    <t>HOJA DE REGISTRO DE NOTIFICACIÓN PARA VALORACIÓN DE RIESGO, PREVENCIÓN Y MANEJO DE ÚLCERAS POR PRESIÓN. BLOCK DE 100 HOJAS</t>
  </si>
  <si>
    <t>INSTRUCTIVO DE VERIFICACIÓN PARA LA APLICACIÓN DE ESTRATEGIAS PARA PREVENCIÓN Y MANEJO DE ÚLCERAS. BLOCK DE 100 HOJAS</t>
  </si>
  <si>
    <t>ESCALAS DE EVALUACIÓN DE DOLOR. JUEGO DE 3 PÁGINAS. BLOCK DE 150 HOJAS IMPRESAS.</t>
  </si>
  <si>
    <t>GESTION DE RECLAMO, QUEJA Y/O DENUNCIA. BLOCK DE 100 HOJAS, IMPRESO REVES Y DERECHO</t>
  </si>
  <si>
    <t>HOJA DE ATENCIÓN DEL RECIÉN NACIDO. BLOCK DE 100 HOJAS</t>
  </si>
  <si>
    <t>HOJA DE VIGILANCIA DEL RECIÉN NACIDO EN LAS PRIMERAS HORAS DE VIDA Y ALOJAMIENTO CONJUNTO.BLOCK DE 100 HOJAS</t>
  </si>
  <si>
    <t>HOJA  DE SIGNOS VITALES DEL RECIÉN NACIDO PARA  USO DEL PERSONAL DE ENFERMERÍA EN NURSERIAS, BLOCK DE 100 HOJAS.</t>
  </si>
  <si>
    <t>HOJA DE REGISTRO Y DISPOSICIONES DE INGRESO Y PERMANENCIA PARA LOS SERVICIOS DE PEDIATRIA  Y NEONATOLOGIA. BLOCK DE 100 HOJAS</t>
  </si>
  <si>
    <t>HOJA DE REGISTRO DE Y DISPOSICIONES DE INGRESO Y PERMANENCIA PARA LOS VISITANTES Y ACOMPAÑANTES  EN LA UNIDAD NACER CON CARIÑO Y SERVICIOS DE PUERPERIO. BLOCK DE 100 HOJAS</t>
  </si>
  <si>
    <t>HOJA INSCRIPCIÓN ATENCIÓN DE ADOLESCENTES. BLOCK DE 100 HOJAS</t>
  </si>
  <si>
    <t>HOJA CONTROL SUBSECUENTE ATENCIÓN ADOLESCENTES. BLOCK DE 100 HOJAS</t>
  </si>
  <si>
    <t>NOTIFICACIÓN A LAS JUNTAS DE PROTECCIÓN DE NIÑEZ Y ADOLESCENCIA, BLOCK DE 100 HOJAS</t>
  </si>
  <si>
    <t>HOJA DE SIGNOS VITALES Y BALANCE HÍDRICO. BLOCK DE 100 HOJAS</t>
  </si>
  <si>
    <t>HOJA DE TAMIZAJE PARA DETECTAR VIOLENCIA EN ADOLESCENTES (TAMIZAJE No 3). BLOCK DE 100 HOJAS</t>
  </si>
  <si>
    <t>HOJA DE CUIDADOS GENERALES DEL RECIÉN NACIDO. BLOCK DE 100 HOJAS.</t>
  </si>
  <si>
    <t>HOJA DE CONTROL DE BALANCE DE LÍQUIDOS, BLOCK DE 100 HOJAS</t>
  </si>
  <si>
    <t>HOJA DE INSCRIPCIÓN DE RIESGO REPRODUCTIVO. BLOCK DE 50 HOJAS IMPRESO ANVERSO Y REVERSO</t>
  </si>
  <si>
    <t>HOJA CLÍNICA SUBSECUENTE DE RIESGO REPRODUCTIVO. BLOCK DE 50 HOJAS IMPRESO ANVERSO Y REVERSO</t>
  </si>
  <si>
    <t>HOJA DE INSCRIPCIÓN DE CONSULTA PRECONCEPCIONAL.  BLOCK DE 50 HOJAS IMPRESO ANVERSO Y REVERSO</t>
  </si>
  <si>
    <t>HOJA DE SEGUIMIENTO DE CONSULTA PRECONCEPCIONAL. BLOCK DE 50 HOJAS</t>
  </si>
  <si>
    <t>ESCALA DE DEPRESIÓN POSTNATAL DE EDIMBURGO (EPDS). BLOCK DE 50 HOJAS</t>
  </si>
  <si>
    <t>TAMIZAJE PARA DEPRESIÓN PERINATAL WHOOLEY-NICE. BLOCK DE 50 HOJAS</t>
  </si>
  <si>
    <t>INDICACIONES POS COLPOSCOPIA. BLOCK DE 50 HOJAS</t>
  </si>
  <si>
    <t>HOJA DE TAMIZAJE DE VIOLENCIA EN MUJERES ADOLESCENTES Y ADULTAS EMBARAZADAS. BLOCK DE 50 HOJAS</t>
  </si>
  <si>
    <t>AFICHE DE DIFERENTE TAMAÑO DE ELABORACION INSTITUCIONAL. C/U</t>
  </si>
  <si>
    <t>AUTORIZACION DE PERMISO PARA SALIDA DE OFICINA, BLOCK DE 100 HOJAS. BLOCK</t>
  </si>
  <si>
    <t>AVISO DE INSCRIPCION DE PATRONO. FORM.130-75-01. BLOCK</t>
  </si>
  <si>
    <t>AVISO DE INSCRIPCION DE TRABAJADOR*FORM. 130-80-13 TARJETA</t>
  </si>
  <si>
    <t>AVISO DE INSCRIPCION DE EMPLEADOR SECTOR DOMESTICO</t>
  </si>
  <si>
    <t>AVISO DE INSCRIPCION DE TRABAJADOR SECTOR DOMESTICO</t>
  </si>
  <si>
    <t>BOLETIN DE REMISION. BLOCK DE 100 HOJAS. BLOCK</t>
  </si>
  <si>
    <t>CARATULA PARA EXPEDIENTE DE PENSION POR MUERTE Y RIESGO PROFESIONAL. C/U.</t>
  </si>
  <si>
    <t>CARATULA PARA EXPEDIENTE DE PENSION  POR  INCAPACIDAD PERMANENTE. C/U.</t>
  </si>
  <si>
    <t>CONTRASENA RECLAMO ORDEN DE PAGO.*FORM. 153-80-13. ,TARJETA</t>
  </si>
  <si>
    <t>CONTROL DE LLAMADAS TELEFONICAS. FORM.172-84-021,B LOCK</t>
  </si>
  <si>
    <t>CREDENCIAL PROVISIONAL  ( COLOR CELESTE ). FORM.A-57001.,C/U.</t>
  </si>
  <si>
    <t>ELABORACION DE EMPASTADO DE LIBRO EN IMPRENTA INSTITUCIONAL. C/U</t>
  </si>
  <si>
    <t>FOLDER PARA EXPEDIENTE, DE ELABORACION INSTITUCIONAL. C/U</t>
  </si>
  <si>
    <t>HOJA DE CONTROL DE CONTRATACIÓN DE SERVICIOS DE SEGURIDAD. BLOCK DE 100 HOJAS.</t>
  </si>
  <si>
    <t>HOJA VOLANTE DE  ELABORACION INSTITUCIONAL. C/U</t>
  </si>
  <si>
    <t>IMPRESION DE EJEMPLAR DE FOLLETO, DE ELABORACION INSTITUCIONAL. C/U</t>
  </si>
  <si>
    <t>IMPRESION DE EJEMPLAR DE LIBRO, DE ELABORACION INSTITUCIONAL. C/U</t>
  </si>
  <si>
    <t>MARBETE PARA CONTROL DE EXISTENCIAS EN ALMACENES.  FORM.100-79- 18. ,TARJETA</t>
  </si>
  <si>
    <t>ORDEN PARA PAGO DE VIATICOS,FORM. P-73003</t>
  </si>
  <si>
    <t>RECIBO DE INGRESO (COPIA). FORM.090-77-03.,BLOCK</t>
  </si>
  <si>
    <t>RECIBO DE INGRESO,MEDIDAS 8 3/4" X 7 1/3",CINCOPA RTES</t>
  </si>
  <si>
    <t>REPORTES DE PRODUCTOS CON DEFECTO DE CALIDAD, FORM. 230002-94001.</t>
  </si>
  <si>
    <t>REQUISICION-ENVIO DE MATERIALES,REPUESTOS Y HERRAM IENTAS. FORM.125-83-015.</t>
  </si>
  <si>
    <t>SELLO DE HULE EN CAJA AUTOMATICA, DE ELABORACION INSTITUCIONAL. C/U</t>
  </si>
  <si>
    <t>SELLO DE HULE DE DIFERENTES FORMAS Y TAMAÑOS, DE ELABORACION INSTITUCIONAL. C/U</t>
  </si>
  <si>
    <t>SELLO DE HULE TIPO FACSIMIL, DE ELABORACION INSTITUCIONAL. C/U</t>
  </si>
  <si>
    <t>SOLVENCIA PATRONAL DE REGIMEN DE SALUD, FORMULA CONTINUA DOS PARTES MEDIDA 5 1/2" X 9 1/2".</t>
  </si>
  <si>
    <t>TARJETA DE PRESENTACION DE ELABORACION INSTITUCIONAL. C/U</t>
  </si>
  <si>
    <t>VALE DE DEVOLUCION DE MATERIA PRIMA A BODEGA.  FORM. 220304-26-07-04</t>
  </si>
  <si>
    <t>REGISTRO DE FIRMAS PATRONALES. TARJETA</t>
  </si>
  <si>
    <t>SOLICITUD DE DEVOLUCIÓN DE COTIZACIONES PAGADAS EN EXCESO. BLOCK DE 50 JUEGOS DE 3 HOJAS IMPRESAS (ORIGINAL Y DOS COPIAS)</t>
  </si>
  <si>
    <t>AVISO DE INSCRIPCIÓN DEL EMPLEADOR PERSONA NATURAL. TARJETA.</t>
  </si>
  <si>
    <t>CARTILLA DE ATENCIÓN INTEGRAL EN SALUD PARA NIÑOS Y NIÑAS MENORES DE 10 AÑOS</t>
  </si>
  <si>
    <t>CARTILLA DE SEGUIMIENTO PARA LA NIÑA Y NIÑO PREMATURO CON PESO MENOR DE 2,000 GRAMOS AL NACER. LIBRO</t>
  </si>
  <si>
    <t>LIBRO PARA SOLICITUD Y DISPENSACION DE MEDICAMENTOS, FARMACIA Y SERVICIO DE ANESTESIOLOGIA. LIBRO FOLIADO DE 500 HOJAS PARA CENTRO ESPECIALIZADO INTEGRAL DE ATENCION AMBULATORIA ISSS "LA CEIBA". C/U</t>
  </si>
  <si>
    <t>LIBRO PARA SOLICITUD Y DISPENSACION DE MEDICAMENTOS, FARMACIA Y SERVICIO DE ANESTESIOLOGIA. LIBRO FOLIADO DE 500 HOJAS PARA  CONSULTORIO DE ESPECIALIDADES. C/U</t>
  </si>
  <si>
    <t>LIBRO PARA SOLICITUD Y DISPENSACION DE MEDICAMENTOS, FARMACIA Y SERVICIO DE ANESTESIOLOGIA. LIBRO FOLIADO DE 500 HOJAS PARA HOSPITAL GENERAL</t>
  </si>
  <si>
    <t>LIBRO PARA SOLICITUD Y DISPENSACION DE MEDICAMENTOS, FARMACIA Y SERVICIO DE ANESTESIOLOGIA. LIBRO FOLIADO DE 500 HOJAS PARA HOSPITAL MEDICO QUIRURGICO Y ONCOLOGICO</t>
  </si>
  <si>
    <t>LIBRO PARA SOLICITUD Y DISPENSACION DE MEDICAMENTOS, FARMACIA Y SERVICIO DE ANESTESIOLOGIA. LIBRO FOLIADO DE 500 HOJAS PARA HOSPITAL MATERNO INFANTIL 1° DE MAYO.</t>
  </si>
  <si>
    <t>LIBRO PARA SOLICITUD Y DISPENSACION DE MEDICAMENTOS, FARMACIA Y SERVICIO DE ANESTESIOLOGIA. LIBRO FOLIADO DE 500 HOJAS PARA HOSPITAL POLICLINICO AMATEPEC.</t>
  </si>
  <si>
    <t>LIBRO PARA SOLICITUD Y DISPENSACION DE MEDICAMENTOS, FARMACIA Y SERVICIO DE ANESTESIOLOGIA. LIBRO FOLIADO DE 500 HOJAS PARA HOSPITAL POLOCLINICO ROMA.</t>
  </si>
  <si>
    <t>LIBRO PARA SOLICITUD Y DISPENSACION DE MEDICAMENTOS, FARMACIA Y SERVICIO DE ANESTESIOLOGIA. LIBRO FOLIADO DE 500 HOJAS PARA HOSPITAL REGIONAL DE SAN MIGUEL.</t>
  </si>
  <si>
    <t>LIBRO PARA SOLICITUD Y DISPENSACION DE MEDICAMENTOS, FARMACIA Y SERVICIO DE ANESTESIOLOGIA. LIBRO FOLIADO DE 500 HOJAS PARA HOSPITAL REGIONAL DE SONSONATE.</t>
  </si>
  <si>
    <t>LIBRO PARA SOLICITUD Y DISPENSACION DE MEDICAMENTOS, FARMACIA Y SERVICIO DE ANESTESIOLOGIA. LIBRO FOLIADO DE 500 HOJAS PARA HOSPITAL REGIONAL DE SANTA ANA.</t>
  </si>
  <si>
    <t>LIBRO PARA SOLICITUD Y DISPENSACION DE MEDICAMENTOS, FARMACIA Y SERVICIO DE ANESTESIOLOGIA. LIBRO FOLIADO DE 500 HOJAS PARA UNIDAD MEDICA ZACAMIL (POLICLINICO ZACAMIL).</t>
  </si>
  <si>
    <t>LIBRO PARA SOLICITUD Y DISPENSACION DE MEDICAMENTOS, FARMACIA Y SERVICIO DE ANESTESIOLOGIA. LIBRO FOLIADO DE 500 HOJAS PARA UNIDAD MEDICA LA UNION.</t>
  </si>
  <si>
    <t>LIBRO PARA SOLICITUD Y DISPENSACION DE MEDICAMENTOS, FARMACIA Y SERVICIO DE ANESTESIOLOGIA. LIBRO FOLIADO DE 500 HOJAS PARA UNIDAD MEDICA PUERTO EL TRIUNFO</t>
  </si>
  <si>
    <t>LIBRO PARA SOLICITUD Y DISPENSACION DE MEDICAMENTOS, FARMACIA Y SERVICIO DE ANESTESIOLOGIA. LIBRO FOLIADO DE 500 HOJAS PARA UNIDAD MEDICA USULUTAN. C/U</t>
  </si>
  <si>
    <t>LIBRO PARA SOLICITUD Y DISPENSACION DE MEDICAMENTOS, FARMACIA Y SERVICIO DE ANESTESIOLOGIA. LIBRO FOLIADO DE 500 HOJAS PARA UNIDAD MEDICA ZACATECOLUCA.</t>
  </si>
  <si>
    <t>LIBRO REGISTRO DE ATENCIONES NEONATALES. C/U</t>
  </si>
  <si>
    <t>LIBRO DE REGISTRO DE ATENCIONES OBSTÉTRICAS. C/U</t>
  </si>
  <si>
    <t>LIBRO DE REGISTRO DE CIRUGIAS EN QUIROFANO. C/U</t>
  </si>
  <si>
    <t>LIBRO DE MEDICAMENTOS: STOCK DE 24 HORAS DE SERVICIO DE ANESTESIOLOGIA. LIBRO FOLIADO DE 24 JUEGOS DE 4 HOJAS, PARA HOSPITAL POLICLINICO ZACAMIL. C/U.</t>
  </si>
  <si>
    <t>LIBRO DE MEDICAMENTOS: STOCK AMBULANTE DE SERVICIO DE ANESTESIOLOGIA. LIBRO FOLIADO DE 24 JUEGOS DE 3 HOJAS PARA HOSPITAL GENERAL.</t>
  </si>
  <si>
    <t>LIBRO DE MEDICAMENTOS: STOCK AMBULANTE DE SERVICIO DE ANESTESIOLOGIA. LIBRO FOLIADO DE 24 JUEGOS DE 3 HOJAS PARA HOSPITAL REGIONAL DE SAN MIGUEL.</t>
  </si>
  <si>
    <t>LIBRO DE MEDICAMENTOS: STOCK AMBULANTE DE SERVICIO DE ANESTESIOLOGIA. LIBRO FOLIADO DE 24 JUEGOS DE 3 HOJAS PARA HOSPITAL REGIONAL DE SANTA ANA.</t>
  </si>
  <si>
    <t>LIBRO DE MEDICAMENTOS: STOCK AMBULANTE DE SERVICIO DE ANESTESIOLOGIA. LIBRO FOLIADO DE 24 JUEGOS DE 3 HOJAS PARA HOSPITAL MEDICO QUIRURGICO Y ONCOLOGICO.</t>
  </si>
  <si>
    <t>LIBRO DE MEDICAMENTOS: STOCK AMBULANTE DE SERVICIO DE ANESTESIOLOGIA. LIBRO FOLIADO DE 24 JUEGOS DE 3 HOJAS PARA UNIDAD MEDICA PUERTO EL TRIUNFO.</t>
  </si>
  <si>
    <t>LIBRO DE MEDICAMENTOS: STOCK AMBULANTE DE SERVICIO DE ANESTESIOLOGIA. LIBRO FOLIADO DE 24 JUEGOS DE 3 HOJAS PARA UNIDAD MEDICA ZACATECOLUCA. C/U.</t>
  </si>
  <si>
    <t>LIBRO DE MEDICAMENTOS: STOCK AMBULANTE DE SERVICIO DE ANESTESIOLOGIA. LIBRO FOLIADO DE 24 JUEGOS DE 3 HOJAS PARA UNIDAD MEDICA USULUTAN. C/U</t>
  </si>
  <si>
    <t>LIBRO DE MEDICAMENTOS: STOCK AMBULANTE DE SERVICIO DE ANESTESIOLOGIA. LIBRO FOLIADO DE 24 JUEGOS DE 3 HOJAS PARA HOSPITAL POLICLINICO ROMA</t>
  </si>
  <si>
    <t>LIBRO STOCK BODEGA: CONTROL DE ENTRADAS, SALIDAS Y SALDOS DE MEDICAMENTOS, SERVICIO DE ANESTESIOLOGIA. LIBRO FOLIADO DE 24 JUEGOS DE 3 HOJAS PARA CENTRO ESPECIALIZADO INTEGRAL DE ATENCION AMBULATORIA ISSS "LA CEIBA". C/U</t>
  </si>
  <si>
    <t>LIBRO STOCK BODEGA: CONTROL DE ENTRADAS, SALIDAS Y SALDOS DE MEDICAMENTOS, SERVICIO DE ANESTESIOLOGIA. LIBRO FOLIADO DE 24 JUEGOS DE 3 HOJAS PARA HOSPITAL MATERNO INFANTIL 1° DE MAYO.</t>
  </si>
  <si>
    <t>LIBRO STOCK BODEGA: CONTROL DE ENTRADAS, SALIDAS Y SALDOS DE MEDICAMENTOS, SERVICIO DE ANESTESIOLOGIA. LIBRO FOLIADO DE 24 JUEGOS DE 3 HOJAS PARA HOSPITAL AMATEPEC.</t>
  </si>
  <si>
    <t>LIBRO STOCK BODEGA: CONTROL DE ENTRADAS, SALIDAS Y SALDOS DE MEDICAMENTOS, SERVICIO DE ANESTESIOLOGIA. LIBRO FOLIADO DE 24 JUEGOS DE 3 HOJAS PARA HOSPITAL GENERAL.</t>
  </si>
  <si>
    <t>LIBRO STOCK BODEGA: CONTROL DE ENTRADAS, SALIDAS Y SALDOS DE MEDICAMENTOS, SERVICIO DE ANESTESIOLOGIA. LIBRO FOLIADO DE 24 JUEGOS DE 3 HOJAS PARA HOSPITAL MEDICO QUIRURGICO Y ONCOLOGICO</t>
  </si>
  <si>
    <t>LIBRO STOCK BODEGA: CONTROL DE ENTRADAS, SALIDAS Y SALDOS DE MEDICAMENTOS, SERVICIO DE ANESTESIOLOGIA. LIBRO FOLIADO DE 24 JUEGOS DE 3 HOJAS PARA HOSPITAL POLICLINICO ROMA.</t>
  </si>
  <si>
    <t>LIBRO STOCK BODEGA: CONTROL DE ENTRADAS, SALIDAS Y SALDOS DE MEDICAMENTOS, SERVICIO DE ANESTESIOLOGIA. LIBRO FOLIADO DE 24 JUEGOS DE 3 HOJAS PARA HOSPITAL REGIONAL DE SAN MIGUEL</t>
  </si>
  <si>
    <t>LIBRO STOCK BODEGA: CONTROL DE ENTRADAS, SALIDAS Y SALDOS DE MEDICAMENTOS, SERVICIO DE ANESTESIOLOGIA. LIBRO FOLIADO DE 24 JUEGOS DE 3 HOJAS PARA HOSPITAL REGIONAL DE SONSONATE.</t>
  </si>
  <si>
    <t>LIBRO STOCK BODEGA: CONTROL DE ENTRADAS, SALIDAS Y SALDOS DE MEDICAMENTOS, SERVICIO DE ANESTESIOLOGIA. LIBRO FOLIADO DE 24 JUEGOS DE 3 HOJAS PARA UNIDAD MEDICA ZACAMIL (POLICLINICO ZACAMIL)</t>
  </si>
  <si>
    <t>LIBRO STOCK BODEGA: CONTROL DE ENTRADAS, SALIDAS Y SALDOS DE MEDICAMENTOS, SERVICIO DE ANESTESIOLOGIA. LIBRO FOLIADO DE 24 JUEGOS DE 3 HOJAS PARA CONSULTORIO DE ESPECIALIDADES. C/U</t>
  </si>
  <si>
    <t>LIBRO DE MEDICAMENTOS: STOCK DE 24 HORAS DE SERVICIO DE ANESTESIOLOGIA. LIBRO FOLIADO DE 24 JUEGOS DE 4 HOJAS PARA  UNIDAD MEDICA LA UNION.</t>
  </si>
  <si>
    <t>LIBRO DE MEDICAMENTOS: STOCK DE 24 HORAS DE SERVICIO DE ANESTESIOLOGIA. LIBRO FOLIADO DE 24 JUEGOS DE 4 HOJAS PARA  HOSPITAL MATERNO INFANTIL 1° DE MAYO.</t>
  </si>
  <si>
    <t>LIBRO DE MEDICAMENTOS: STOCK DE 24 HORAS DE SERVICIO DE ANESTESIOLOGIA. LIBRO FOLIADO DE 24 JUEGOS DE 4 HOJAS PARA HOSPITAL POLICLINICO AMATEPEC.</t>
  </si>
  <si>
    <t>LIBRO DE MEDICAMENTOS: STOCK DE 24 HORAS DE SERVICIO DE ANESTESIOLOGIA. LIBRO FOLIADO DE 24 JUEGOS DE 4 HOJAS PARA HOSPITAL GENERAL.</t>
  </si>
  <si>
    <t>LIBRO DE MEDICAMENTOS: STOCK DE 24 HORAS DE SERVICIO DE ANESTESIOLOGIA. LIBRO FOLIADO DE 24 JUEGOS DE 4 HOJAS PARA  HOSPITAL REGIONAL DE SAN MIGUEL.</t>
  </si>
  <si>
    <t>LIBRO DE MEDICAMENTOS: STOCK DE 24 HORAS DE SERVICIO DE ANESTESIOLOGIA. LIBRO FOLIADO DE 24 JUEGOS DE 4 HOJAS PARA  HOSPITAL REGIONAL DE SONSONATE.</t>
  </si>
  <si>
    <t>LIBRO DE MEDICAMENTOS: STOCK DE 24 HORAS DE SERVICIO DE ANESTESIOLOGIA. LIBRO FOLIADO DE 24 JUEGOS DE 4 HOJAS PARA  HOSPITAL REGIONAL DE SANTA ANA.</t>
  </si>
  <si>
    <t>LIBRO DE MEDICAMENTOS: STOCK DE 24 HORAS DE SERVICIO DE ANESTESIOLOGIA. LIBRO FOLIADO DE 24 JUEGOS DE 4 HOJAS PARA  HOSPITAL MEDICO QUIRURGICO Y ONCOLOGICO.</t>
  </si>
  <si>
    <t>LIBRO DE MEDICAMENTOS: STOCK DE 24 HORAS DE SERVICIO DE ANESTESIOLOGIA. LIBRO FOLIADO DE 24 JUEGOS DE 4 HOJAS PARA UNIDAD MEDICA ZACATECOLUCA. C/U.</t>
  </si>
  <si>
    <t>LIBRO DE MEDICAMENTOS: STOCK QUIROFANO DE SERVICIO DE ANESTESIOLOGIA. LIBRO FOLIADO DE 24 JUEGOS DE 3 HOJAS PARA CENTRO ESPECIALIZADO INTEGRAL DE ATENCIÓN AMBULATORIA ISSS "LA CEIBA". C/U</t>
  </si>
  <si>
    <t>LIBRO DE MEDICAMENTOS: STOCK QUIROFANO DE SERVICIO DE ANESTESIOLOGIA. LIBRO FOLIADO DE 24 JUEGOS DE 3 HOJAS PARA HOSPITAL MATERNO INFANTIL 1° DE MAYO.</t>
  </si>
  <si>
    <t>LIBRO DE MEDICAMENTOS: STOCK QUIROFANO DE SERVICIO DE ANESTESIOLOGIA. LIBRO FOLIADO DE 24 JUEGOS DE 3 HOJAS PARA HOSPITAL POLICLINICO AMATEPEC.</t>
  </si>
  <si>
    <t>LIBRO DE MEDICAMENTOS: STOCK QUIROFANO DE SERVICIO DE ANESTESIOLOGIA. LIBRO FOLIADO DE 24 JUEGOS DE 3 HOJAS PARA HOSPITAL GENERAL</t>
  </si>
  <si>
    <t>LIBRO DE MEDICAMENTOS: STOCK QUIROFANO DE SERVICIO DE ANESTESIOLOGIA. LIBRO FOLIADO DE 24 JUEGOS DE 3 HOJAS PARA HOSPITAL POLICLINICO ROMA.</t>
  </si>
  <si>
    <t>LIBRO DE MEDICAMENTOS: STOCK QUIROFANO DE SERVICIO DE ANESTESIOLOGIA. LIBRO FOLIADO DE 24 JUEGOS DE 3 HOJAS PARA HOSPITAL REGIONAL DE SAN MIGUEL.</t>
  </si>
  <si>
    <t>LIBRO DE MEDICAMENTOS: STOCK QUIROFANO DE SERVICIO DE ANESTESIOLOGIA. LIBRO FOLIADO DE 24 JUEGOS DE 3 HOJAS PARA HOSPITAL REGIONAL DE SONSONATE.</t>
  </si>
  <si>
    <t>LIBRO DE MEDICAMENTOS: STOCK QUIROFANO DE SERVICIO DE ANESTESIOLOGIA. LIBRO FOLIADO DE 24 JUEGOS DE 3 HOJAS PARA HOSPITAL REGIONAL DE SANTA ANA.</t>
  </si>
  <si>
    <t>LIBRO DE MEDICAMENTOS: STOCK QUIROFANO DE SERVICIO DE ANESTESIOLOGIA. LIBRO FOLIADO DE 24 JUEGOS DE 3 HOJAS PARA UNIDAD MEDICA ZACAMIL (POLICLINICO ZACAMIL).</t>
  </si>
  <si>
    <t>LIBRO DE MEDICAMENTOS: STOCK QUIROFANO DE SERVICIO DE ANESTESIOLOGIA. LIBRO FOLIADO DE 24 JUEGOS DE 3 HOJAS PARA HOSPITAL MEDICO QUIRURGICO Y ONCOLOGICO.</t>
  </si>
  <si>
    <t>LIBRO DE MEDICAMENTOS: STOCK QUIROFANO DE SERVICIO DE ANESTESIOLOGIA. LIBRO FOLIADO DE 24 JUEGOS DE 3 HOJAS PARA UNIDAD MEDICA LA UNION.</t>
  </si>
  <si>
    <t>LIBRO DE MEDICAMENTOS: STOCK QUIROFANO DE SERVICIO DE ANESTESIOLOGIA. LIBRO FOLIADO DE 24 JUEGOS DE 3 HOJAS PARA UNIDAD MEDICA PUERTO EL TRIUNFO.</t>
  </si>
  <si>
    <t>LIBRO DE MEDICAMENTOS: STOCK QUIROFANO DE SERVICIO DE ANESTESIOLOGIA. LIBRO FOLIADO DE 24 JUEGOS DE 3 HOJAS PARA UNIDAD MEDICA ZACATECOLUCA.</t>
  </si>
  <si>
    <t>LIBRO DE MEDICAMENTOS: STOCK QUIROFANO DE SERVICIO DE ANESTESIOLOGIA. LIBRO FOLIADO DE 24 JUEGOS DE 3 HOJAS PARA UNIDAD MEDICA USULUTAN. C/U</t>
  </si>
  <si>
    <t>LIBRO DE MEDICAMENTOS: STOCK QUIROFANO DE SERVICIO DE ANESTESIOLOGIA. LIBRO FOLIADO DE 24 JUEGOS DE 3 HOJAS PARA UNIDAD MEDICA 15 DE SEPTIEMBRE. C/U</t>
  </si>
  <si>
    <t>LIBRO PARA SOLICITUD Y DISPENSACION DE MEDICAMENTOS, FARMACIA Y SERVICIO DE ANESTESIOLOGIA. LIBRO FOLIADO DE 500 HOJAS PARA UNIDAD MEDICA 15 DE SEPTIEMBRE. C/U</t>
  </si>
  <si>
    <t>LIBRO DE MEDICAMENTOS: STOCK QUIROFANO DE SERVICIO DE ANESTESIOLOGIA. LIBRO FOLIADO DE 24 JUEGOS DE 3 HOJAS PARA UNIDAD MEDICA ILOPANGO. C/U</t>
  </si>
  <si>
    <t>LIBRO PARA SOLICITUD Y DISPENSACION DE MEDICAMENTOS, FARMACIA Y SERVICIO DE ANESTESIOLOGIA. LIBRO FOLIADO DE 500 HOJAS PARA UNIDAD MEDICA ILOPANGO. C/U</t>
  </si>
  <si>
    <t>FOLLETO DE PREVENCIÓN DEL CÁNCER DEL CUELLO DEL ÚTERO. PAQUETE DE 200 HOJAS. PAQUETE</t>
  </si>
  <si>
    <t>FOLLETO DE ADOPTA UN ESTILO DE VIDA SALUDABLE. PAQUETE DE 200 HOJAS. PAQUETE</t>
  </si>
  <si>
    <t>FOLLETO DE ADOPTE UNA ALIMENTACIÓN SALUDABLE. PAQUETE DE 100 HOJAS. PAQUETE</t>
  </si>
  <si>
    <t>FOLLETO DE PROGRAMA DE ATENCIÓN INTEGRAL EN SALUD INFANTIL. PAQUETE DE 200 HOJAS. PAQUETE</t>
  </si>
  <si>
    <t>FOLLETO DE CONOZCA SOBRE LOS MÉTODOS DE PLANIFICACIÓN FAMILIAR Y LE AYUDAREMOS A QUE ELIJA UNO DE ELLOS. PAQUETE DE 100 HOJAS. PAQUETE</t>
  </si>
  <si>
    <t>FOLLETO DE CONSEJOS PARA LA SALUD DE LOS RIÑONES. PAQUETE DE 200 HOJAS. PAQUETE</t>
  </si>
  <si>
    <t>FOLLETO DE CLIMATERIO Y MENOPAUSIA. PAQUETE DE 50 HOJAS. PAQUETE</t>
  </si>
  <si>
    <t>FOLLETO DE CÓMO LAVARSE LAS MANOS. PAQUETE DE 100 HOJAS. PAQUETE</t>
  </si>
  <si>
    <t>FOLLETO DE CRECIMIENTO Y DESARROLLO. PAQUETE DE 200 HOJAS. PAQUETE</t>
  </si>
  <si>
    <t>FOLLETO DE CUIDADOS DURANTE EL EMBARAZO. PAQUETE DE 100 HOJAS. PAQUETE</t>
  </si>
  <si>
    <t>FOLLETO DE EJERCICIOS PARA ADULTO MAYOR. PAQUETE DE 200 HOJAS. PAQUETE</t>
  </si>
  <si>
    <t>FOLLETO DE HACIA UNA LACTANCIA MATERNA EXITOSA. PAQUETE DE 50 HOJAS. PAQUETE</t>
  </si>
  <si>
    <t>FOLLETO DE SEMÁFORO DEL SODIO. PAQUETE DE 100 HOJAS. PAQUETE</t>
  </si>
  <si>
    <t>FOLLETO DE PASO A PASO EN LA EDUCACIÓN Y EL CONTROL DE LA DIABETES E HIPERTENSIÓN ARTERIAL. PAQUETE DE 200 HOJAS. PAQUETE</t>
  </si>
  <si>
    <t>FOLLETO DE PRECAUCIÓN PARA EVITAR CAÍDAS EN EL ADULTO MAYOR. PAQUETE DE 200 HOJAS. PAQUETE</t>
  </si>
  <si>
    <t>FOLLETO DE CÓMO EXTRAER Y CONSERVAR LA LECHE MATERNA. PAQUETE DE 50 HOJAS. PAQUETE</t>
  </si>
  <si>
    <t>FOLLETO DE GUÍA DE INFORMACIÓN A LA MADRE, PADRE, O RESPONSABLE SOBRE LA ALIMENTACIÓN DE LA NIÑA O EL NIÑO SANO. PAQUETE DE 100 HOJAS. PAQUETE</t>
  </si>
  <si>
    <t>FOLLETO DE  MUCHO OJO CON LA CONJUNTIVITIS. PAQUETE DE 50 HOJAS. PAQUETE</t>
  </si>
  <si>
    <t>FOLLETO DE LA UNICA FORMA DE CONTRAER EL DENGUE, CHIKUNGUNYA Y ZIKA ES POR LA PICADURA DEL ZANCUDO. PAQUETE DE 200 HOJAS. PAQUETE</t>
  </si>
  <si>
    <t>FOLLETO DE QUÍTATE LA SED CON AGUA Y DEJA LA SAL EN EL SALERO. PAQUETE DE 100 HOJAS. PAQUETE</t>
  </si>
  <si>
    <t>FOLLETO DE RECOMENDACIONES ALIMENTARIAS PARA EL NIÑO ESTREÑIDO. PAQUETE DE 50 HOJAS. PAQUETE</t>
  </si>
  <si>
    <t>FOLLETO DE ¡SÍ SE PUEDE PREVENIR EL CÁNCER DE MAMA! MAMOGRAFÍA Y AUTOEXAMEN DE MAMA. PAQUETE DE 200 HOJAS. PAQUETE</t>
  </si>
  <si>
    <t>FOLLETO DE SOBREPESO Y OBESIDAD</t>
  </si>
  <si>
    <t>BLO</t>
  </si>
  <si>
    <t>TRJ</t>
  </si>
  <si>
    <t>BATA DE TELA BLANCA TIPO OXFORD, TALLA DE 3 A 4 AÑOS</t>
  </si>
  <si>
    <t>BATA DE TELA BLANCA TIPO OXFORD, TALLA DE 5 A 8 AÑOS</t>
  </si>
  <si>
    <t>BATA DE TELA BLANCA TIPO OXFORD, TALLA XL</t>
  </si>
  <si>
    <t>BATA DE TELA BLANCA TIPO OXFORD, TALLA DE 9 A 12 AÑOS</t>
  </si>
  <si>
    <t>CAMISA DE TELA BLANCA TIPO OXFORD, TALLA L</t>
  </si>
  <si>
    <t>CAMISA DE TELA BLANCA TIPO OXFORD, TALLA XL</t>
  </si>
  <si>
    <t>CAMISA DE TELA VERDE, TIPO DACRON, ESCOTE V, MANGA CORTA, TALLA L.</t>
  </si>
  <si>
    <t>CAMISA DE TELA VERDE, TIPO DACRON, ESCOTE V, MANGA CORTA, TALLA XL</t>
  </si>
  <si>
    <t>MANTILLA DE MANTA BLANCA O CRUDA DE 36" x 36"</t>
  </si>
  <si>
    <t>PANTALON DE TELA VERDE, TIPO DACRON, TALLA L</t>
  </si>
  <si>
    <t>PANTALON DE TELA VERDE, TIPO DACRON, TALLA XL</t>
  </si>
  <si>
    <t>PIJAMA DE TELA BLANCA TIPO OXFORD, TALLA DE 0 A 2 AÑOS</t>
  </si>
  <si>
    <t>PIJAMA DE TELA BLANCA TIPO OXFORD, TALLA DE 3 A 4 AÑOS</t>
  </si>
  <si>
    <t>PIJAMA DE TELA BLANCA TIPO OXFORD, TALLA DE 5 A 8 AÑOS</t>
  </si>
  <si>
    <t>PIJAMA DE TELA BLANCA TIPO OXFORD, TALLA DE 9 A 12 AÑOS</t>
  </si>
  <si>
    <t>GABACHON PARA CIRUGIA DE TELA VERDE, TIPO DACRON, CON STOCKINETE EN LOS PUÑOS, TALLA XL</t>
  </si>
  <si>
    <t>GABACHON PARA CIRUGIA DE TELA VERDE, TIPO DACRON, CON STOCKINETE EN LOS PUÑOS, TALLA L</t>
  </si>
  <si>
    <t>GABACHON PARA INFECTOS, DE TELA DACRON GRIS, CON STOCKINETE EN LOS PUÑOS, TALLA L</t>
  </si>
  <si>
    <t>GABACHON PARA INFECTOS, DE TELA INDIAN HEAD GRIS, CON STOCKINETE EN LOS PUÑOS, TALLA L</t>
  </si>
  <si>
    <t>GABACHON DE TELA DE MANTA BLANCA O CRUDA, CON STOCKINETE EN LOS PUÑOS, TALLA L</t>
  </si>
  <si>
    <t>GABACHON DE TELA DE MANTA BLANCA O CRUDA, CON STOCKINETE EN LOS PUÑOS, TALLA XL</t>
  </si>
  <si>
    <t>GORRO QUIRÚRGICO COLOR BLANCO, TIPO DE TELA SUPER DACRON O  DACRON, TALLA ÚNICA.</t>
  </si>
  <si>
    <t>BOLSA DE TELA TIPO MACARTHUR BLANCO, PARA ARO, CON VAINA Y PITA</t>
  </si>
  <si>
    <t>BOLSA DE TELA TIPO MACARTHUR KAKI, PARA ARO, CON VAINA Y PITA</t>
  </si>
  <si>
    <t>CAMPO CORRIENTE DE MANTA VERDE DE 36" x 36"</t>
  </si>
  <si>
    <t>CAMPO HENDIDO DE MANTA BLANCA O CRUDA DE UNA TELA, DE 36" x 36"</t>
  </si>
  <si>
    <t>CAMPO HENDIDO DE MANTA VERDE, DE 32" x 36"</t>
  </si>
  <si>
    <t>CAMPO HENDIDO PARA OJOS DE MANTA VERDE 32" X 36"</t>
  </si>
  <si>
    <t>CUBIERTA DE MANTA VERDE, DOBLE TELA DE 12" x 12"</t>
  </si>
  <si>
    <t>CUBIERTA DE MANTA VERDE DOBLE TELA DE 16" x 16"</t>
  </si>
  <si>
    <t>CUBIERTA DE MANTA VERDE DOBLE TELA DE 24"x 24"</t>
  </si>
  <si>
    <t>CUBIERTA DE MANTA VERDE DOBLE TELA DE 32" x 32"</t>
  </si>
  <si>
    <t>CUBIERTA DE MANTA VERDE DOBLE TELA DE 36" x 36"</t>
  </si>
  <si>
    <t>CUBIERTA DE MANTA VERDE DOBLE TELA DE 43 ½" x 43 ½"</t>
  </si>
  <si>
    <t>CUBIERTA DE TELA DE MANTA BLANCA O CRUDA, DOBLE TELA DE 24" x 24"</t>
  </si>
  <si>
    <t>CUBIERTA DE TELA DE MANTA BLANCA O CRUDA, DOBLE TELA DE 36"x 36"</t>
  </si>
  <si>
    <t>CUBIERTA DE TELA DE MANTA BLANCA O CRUDA, DOBLE TELA DE 43 ½" x 43 ½"</t>
  </si>
  <si>
    <t>MEDIA SABANA HENDIDA DE POPLIN VERDE, DOBLE TELA</t>
  </si>
  <si>
    <t>MEDIA SABANA TIRANTE DE MANTA BLANCA O CRUDA, DOBLE TELA</t>
  </si>
  <si>
    <t>ROPA DE LUTO COLOR BLANCA  PARA VESTIR CUERPO  BEBE PREMATURO</t>
  </si>
  <si>
    <t>ROPA DE LUTO COLOR BLANCA  PARA VESTIR CUERPO BEBE RECIÉN NACIDO</t>
  </si>
  <si>
    <t>SABANA CORRIENTE DE TELA DE MANTA BLANCA O CRUDA 72" ALTO X 98" LARGO</t>
  </si>
  <si>
    <t>SABANA TORÁXICA, ANCHO 57 X LARGO 116 PULGADAS, CON ORIFICIO INTERNO DE FORMA CUADRADA DE LARGO , DE POPLIN  VERDE</t>
  </si>
  <si>
    <t>SOBREFUNDA ALMOHADA CUADRADA TELA TIPO SUPER DACRON O DACRON</t>
  </si>
  <si>
    <t>SOBREFUNDA ALMOHADA CUADRADA TELA IMPERMEABLE</t>
  </si>
  <si>
    <t>SOBRE FUNDA PARA ALMOHADA GENERO BLANCO, 22" DE ALTO X 34" LARGO.</t>
  </si>
  <si>
    <t>ACTUALIZADO:ENERO2025</t>
  </si>
  <si>
    <t>Licda. Delia Alvarez</t>
  </si>
  <si>
    <t>47-07-2026-Papel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</si>
</sst>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8" formatCode="&quot;$&quot;#,##0.00;[Red]\-&quot;$&quot;#,##0.00"/>
    <numFmt numFmtId="44" formatCode="_-&quot;$&quot;* #,##0.00_-;\-&quot;$&quot;* #,##0.00_-;_-&quot;$&quot;* &quot;-&quot;??_-;_-@_-"/>
    <numFmt numFmtId="164" formatCode="[$-C0A]d\-mmm\-yyyy;@"/>
    <numFmt numFmtId="165" formatCode="#,##0.00_ ;\-#,##0.00\ "/>
  </numFmts>
  <fonts count="7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color indexed="9"/>
      <name val="Verdana"/>
      <family val="2"/>
    </font>
    <font>
      <b/>
      <sz val="10"/>
      <name val="Batag"/>
    </font>
    <font>
      <b/>
      <sz val="10"/>
      <name val="Arial"/>
      <family val="2"/>
    </font>
    <font>
      <sz val="11"/>
      <name val="Arial"/>
      <family val="2"/>
    </font>
    <font>
      <sz val="11"/>
      <name val="Arial Black"/>
      <family val="2"/>
    </font>
    <font>
      <b/>
      <sz val="11"/>
      <color rgb="FF7030A0"/>
      <name val="Arial"/>
      <family val="2"/>
    </font>
    <font>
      <b/>
      <i/>
      <sz val="14"/>
      <color rgb="FF7030A0"/>
      <name val="Arial"/>
      <family val="2"/>
    </font>
    <font>
      <sz val="16"/>
      <name val="Bauhaus 93"/>
      <family val="5"/>
    </font>
    <font>
      <sz val="10"/>
      <color indexed="12"/>
      <name val="Bauhaus 93"/>
      <family val="5"/>
    </font>
    <font>
      <b/>
      <sz val="10"/>
      <color indexed="12"/>
      <name val="Arial"/>
      <family val="2"/>
    </font>
    <font>
      <b/>
      <sz val="10"/>
      <color indexed="8"/>
      <name val="Arial"/>
      <family val="2"/>
    </font>
    <font>
      <sz val="10"/>
      <color indexed="8"/>
      <name val="Arial"/>
      <family val="2"/>
    </font>
    <font>
      <sz val="10"/>
      <color indexed="9"/>
      <name val="Arial"/>
      <family val="2"/>
    </font>
    <font>
      <b/>
      <sz val="6"/>
      <color rgb="FF0070C0"/>
      <name val="Cooper Black"/>
      <family val="1"/>
    </font>
    <font>
      <sz val="9"/>
      <color indexed="8"/>
      <name val="Arial"/>
      <family val="2"/>
    </font>
    <font>
      <b/>
      <sz val="12"/>
      <color indexed="8"/>
      <name val="Arial"/>
      <family val="2"/>
    </font>
    <font>
      <b/>
      <sz val="11"/>
      <name val="Arial"/>
      <family val="2"/>
    </font>
    <font>
      <b/>
      <sz val="8"/>
      <color indexed="8"/>
      <name val="Batang"/>
      <family val="1"/>
    </font>
    <font>
      <b/>
      <sz val="18"/>
      <color indexed="8"/>
      <name val="Arial"/>
      <family val="2"/>
    </font>
    <font>
      <sz val="8"/>
      <color indexed="8"/>
      <name val="Arial"/>
      <family val="2"/>
    </font>
    <font>
      <b/>
      <sz val="16"/>
      <color indexed="8"/>
      <name val="Arial"/>
      <family val="2"/>
    </font>
    <font>
      <b/>
      <sz val="13"/>
      <color indexed="8"/>
      <name val="Arial"/>
      <family val="2"/>
    </font>
    <font>
      <b/>
      <sz val="14"/>
      <color indexed="8"/>
      <name val="Arial"/>
      <family val="2"/>
    </font>
    <font>
      <b/>
      <i/>
      <sz val="14"/>
      <color indexed="8"/>
      <name val="Arial"/>
      <family val="2"/>
    </font>
    <font>
      <sz val="6.3"/>
      <color indexed="8"/>
      <name val="Arial"/>
      <family val="2"/>
    </font>
    <font>
      <sz val="7"/>
      <color indexed="8"/>
      <name val="Arial"/>
      <family val="2"/>
    </font>
    <font>
      <b/>
      <sz val="12"/>
      <color indexed="8"/>
      <name val="Arial Black"/>
      <family val="2"/>
    </font>
    <font>
      <b/>
      <sz val="9"/>
      <color indexed="8"/>
      <name val="Arial"/>
      <family val="2"/>
    </font>
    <font>
      <b/>
      <i/>
      <sz val="9"/>
      <color indexed="8"/>
      <name val="Arial"/>
      <family val="2"/>
    </font>
    <font>
      <b/>
      <sz val="10"/>
      <color indexed="8"/>
      <name val="Bodoni MT Black"/>
      <family val="1"/>
    </font>
    <font>
      <sz val="9"/>
      <color indexed="8"/>
      <name val="Bauhaus 93"/>
      <family val="5"/>
    </font>
    <font>
      <sz val="11"/>
      <name val="Copperplate Gothic Bold"/>
      <family val="2"/>
    </font>
    <font>
      <b/>
      <sz val="10"/>
      <color theme="0"/>
      <name val="Verdana"/>
      <family val="2"/>
    </font>
    <font>
      <sz val="10"/>
      <color theme="0"/>
      <name val="Arial"/>
      <family val="2"/>
    </font>
    <font>
      <sz val="11"/>
      <color theme="0"/>
      <name val="Arial"/>
      <family val="2"/>
    </font>
    <font>
      <b/>
      <sz val="18"/>
      <name val="Arial"/>
      <family val="2"/>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0"/>
      <name val="Calibri"/>
      <family val="2"/>
      <scheme val="minor"/>
    </font>
    <font>
      <sz val="8"/>
      <color theme="1"/>
      <name val="Calibri"/>
      <family val="2"/>
      <scheme val="minor"/>
    </font>
    <font>
      <b/>
      <sz val="9"/>
      <color indexed="81"/>
      <name val="Tahoma"/>
      <family val="2"/>
    </font>
    <font>
      <sz val="9"/>
      <color indexed="81"/>
      <name val="Tahoma"/>
      <family val="2"/>
    </font>
    <font>
      <sz val="8"/>
      <color theme="1"/>
      <name val="Calibri"/>
      <family val="2"/>
      <scheme val="minor"/>
    </font>
    <font>
      <sz val="7"/>
      <name val="Arial"/>
      <family val="2"/>
    </font>
    <font>
      <b/>
      <sz val="11"/>
      <color indexed="8"/>
      <name val="Japanese Gothic"/>
    </font>
    <font>
      <b/>
      <sz val="7"/>
      <color indexed="8"/>
      <name val="Arial"/>
      <family val="2"/>
    </font>
    <font>
      <sz val="9"/>
      <color indexed="8"/>
      <name val="Copperplate Gothic Bold"/>
      <family val="2"/>
    </font>
    <font>
      <sz val="10"/>
      <color theme="7" tint="0.79998168889431442"/>
      <name val="Arial"/>
      <family val="2"/>
    </font>
    <font>
      <b/>
      <sz val="6"/>
      <color indexed="8"/>
      <name val="Arial"/>
      <family val="2"/>
    </font>
    <font>
      <b/>
      <sz val="12"/>
      <color indexed="8"/>
      <name val="Bodoni MT Black"/>
      <family val="1"/>
    </font>
    <font>
      <sz val="11"/>
      <color theme="7" tint="0.79998168889431442"/>
      <name val="Arial"/>
      <family val="2"/>
    </font>
    <font>
      <b/>
      <i/>
      <sz val="11"/>
      <color theme="7" tint="0.79998168889431442"/>
      <name val="Copperplate Gothic Bold"/>
      <family val="2"/>
    </font>
    <font>
      <sz val="11"/>
      <color theme="7" tint="0.79998168889431442"/>
      <name val="Copperplate Gothic Bold"/>
      <family val="2"/>
    </font>
    <font>
      <b/>
      <sz val="11"/>
      <color theme="7" tint="0.79998168889431442"/>
      <name val="Arial"/>
      <family val="2"/>
    </font>
    <font>
      <b/>
      <sz val="11"/>
      <color theme="7" tint="0.79998168889431442"/>
      <name val="Copperplate Gothic Bold"/>
      <family val="2"/>
    </font>
    <font>
      <b/>
      <sz val="18"/>
      <color indexed="8"/>
      <name val="Arial Black"/>
      <family val="2"/>
    </font>
    <font>
      <sz val="8"/>
      <color theme="1"/>
      <name val="Calibri"/>
      <scheme val="minor"/>
    </font>
    <font>
      <sz val="8"/>
      <color theme="0"/>
      <name val="Calibri"/>
      <scheme val="minor"/>
    </font>
  </fonts>
  <fills count="48">
    <fill>
      <patternFill patternType="none"/>
    </fill>
    <fill>
      <patternFill patternType="gray125"/>
    </fill>
    <fill>
      <patternFill patternType="solid">
        <fgColor indexed="1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indexed="42"/>
        <bgColor indexed="64"/>
      </patternFill>
    </fill>
    <fill>
      <patternFill patternType="solid">
        <fgColor theme="0"/>
        <bgColor indexed="64"/>
      </patternFill>
    </fill>
    <fill>
      <patternFill patternType="darkGray">
        <bgColor theme="5" tint="-0.24994659260841701"/>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theme="0" tint="-0.14999847407452621"/>
      </patternFill>
    </fill>
    <fill>
      <patternFill patternType="solid">
        <fgColor theme="1" tint="0.249977111117893"/>
        <bgColor indexed="64"/>
      </patternFill>
    </fill>
    <fill>
      <patternFill patternType="solid">
        <fgColor theme="2" tint="-9.9948118533890809E-2"/>
        <bgColor auto="1"/>
      </patternFill>
    </fill>
    <fill>
      <patternFill patternType="solid">
        <fgColor theme="7" tint="0.79998168889431442"/>
        <bgColor indexed="64"/>
      </patternFill>
    </fill>
    <fill>
      <patternFill patternType="solid">
        <fgColor theme="1"/>
        <bgColor indexed="64"/>
      </patternFill>
    </fill>
    <fill>
      <patternFill patternType="solid">
        <fgColor theme="1" tint="0.14996795556505021"/>
        <bgColor indexed="64"/>
      </patternFill>
    </fill>
    <fill>
      <patternFill patternType="solid">
        <fgColor theme="2" tint="-0.749992370372631"/>
        <bgColor indexed="64"/>
      </patternFill>
    </fill>
    <fill>
      <patternFill patternType="solid">
        <fgColor theme="3" tint="0.59999389629810485"/>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ck">
        <color indexed="64"/>
      </right>
      <top style="thin">
        <color indexed="64"/>
      </top>
      <bottom style="thin">
        <color indexed="64"/>
      </bottom>
      <diagonal/>
    </border>
    <border>
      <left/>
      <right/>
      <top/>
      <bottom style="medium">
        <color theme="1"/>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ck">
        <color theme="1"/>
      </right>
      <top/>
      <bottom/>
      <diagonal/>
    </border>
    <border>
      <left/>
      <right style="thick">
        <color theme="1"/>
      </right>
      <top/>
      <bottom style="medium">
        <color theme="1"/>
      </bottom>
      <diagonal/>
    </border>
    <border>
      <left style="medium">
        <color theme="1"/>
      </left>
      <right/>
      <top style="medium">
        <color theme="1"/>
      </top>
      <bottom/>
      <diagonal/>
    </border>
    <border>
      <left style="thin">
        <color indexed="64"/>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style="thin">
        <color indexed="64"/>
      </bottom>
      <diagonal/>
    </border>
    <border>
      <left style="thin">
        <color indexed="64"/>
      </left>
      <right style="thin">
        <color indexed="64"/>
      </right>
      <top style="medium">
        <color theme="1"/>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ck">
        <color auto="1"/>
      </right>
      <top style="thin">
        <color auto="1"/>
      </top>
      <bottom/>
      <diagonal/>
    </border>
    <border>
      <left style="thin">
        <color indexed="64"/>
      </left>
      <right style="thick">
        <color rgb="FFFF0000"/>
      </right>
      <top style="thin">
        <color indexed="64"/>
      </top>
      <bottom style="thin">
        <color indexed="64"/>
      </bottom>
      <diagonal/>
    </border>
    <border>
      <left style="thin">
        <color indexed="64"/>
      </left>
      <right style="thin">
        <color indexed="64"/>
      </right>
      <top style="thin">
        <color indexed="64"/>
      </top>
      <bottom style="medium">
        <color rgb="FFFF0000"/>
      </bottom>
      <diagonal/>
    </border>
    <border>
      <left style="thick">
        <color rgb="FFFF0000"/>
      </left>
      <right style="medium">
        <color rgb="FFFF0000"/>
      </right>
      <top style="thick">
        <color rgb="FFFF0000"/>
      </top>
      <bottom style="thick">
        <color rgb="FFFF0000"/>
      </bottom>
      <diagonal/>
    </border>
    <border>
      <left/>
      <right style="medium">
        <color rgb="FFFF0000"/>
      </right>
      <top style="medium">
        <color rgb="FFFF0000"/>
      </top>
      <bottom style="thick">
        <color rgb="FFFF0000"/>
      </bottom>
      <diagonal/>
    </border>
    <border>
      <left/>
      <right style="medium">
        <color rgb="FFFF0000"/>
      </right>
      <top style="thick">
        <color rgb="FFFF0000"/>
      </top>
      <bottom style="thick">
        <color rgb="FFFF0000"/>
      </bottom>
      <diagonal/>
    </border>
    <border>
      <left/>
      <right style="medium">
        <color rgb="FFFF0000"/>
      </right>
      <top style="thick">
        <color rgb="FFFF0000"/>
      </top>
      <bottom style="medium">
        <color indexed="64"/>
      </bottom>
      <diagonal/>
    </border>
    <border>
      <left style="medium">
        <color rgb="FFFF0000"/>
      </left>
      <right style="medium">
        <color rgb="FFFF0000"/>
      </right>
      <top style="thick">
        <color rgb="FFFF0000"/>
      </top>
      <bottom style="medium">
        <color rgb="FFFF0000"/>
      </bottom>
      <diagonal/>
    </border>
    <border>
      <left/>
      <right style="medium">
        <color rgb="FFFF0000"/>
      </right>
      <top/>
      <bottom style="thick">
        <color rgb="FFFF0000"/>
      </bottom>
      <diagonal/>
    </border>
  </borders>
  <cellStyleXfs count="53">
    <xf numFmtId="0" fontId="0" fillId="0" borderId="0"/>
    <xf numFmtId="0" fontId="4" fillId="0" borderId="0"/>
    <xf numFmtId="0" fontId="41" fillId="0" borderId="0" applyNumberFormat="0" applyFill="0" applyBorder="0" applyAlignment="0" applyProtection="0"/>
    <xf numFmtId="0" fontId="42" fillId="0" borderId="62" applyNumberFormat="0" applyFill="0" applyAlignment="0" applyProtection="0"/>
    <xf numFmtId="0" fontId="43" fillId="0" borderId="63" applyNumberFormat="0" applyFill="0" applyAlignment="0" applyProtection="0"/>
    <xf numFmtId="0" fontId="44" fillId="0" borderId="64" applyNumberFormat="0" applyFill="0" applyAlignment="0" applyProtection="0"/>
    <xf numFmtId="0" fontId="44" fillId="0" borderId="0" applyNumberFormat="0" applyFill="0" applyBorder="0" applyAlignment="0" applyProtection="0"/>
    <xf numFmtId="0" fontId="45" fillId="9" borderId="0" applyNumberFormat="0" applyBorder="0" applyAlignment="0" applyProtection="0"/>
    <xf numFmtId="0" fontId="46" fillId="10" borderId="0" applyNumberFormat="0" applyBorder="0" applyAlignment="0" applyProtection="0"/>
    <xf numFmtId="0" fontId="47" fillId="11" borderId="0" applyNumberFormat="0" applyBorder="0" applyAlignment="0" applyProtection="0"/>
    <xf numFmtId="0" fontId="48" fillId="12" borderId="65" applyNumberFormat="0" applyAlignment="0" applyProtection="0"/>
    <xf numFmtId="0" fontId="49" fillId="13" borderId="66" applyNumberFormat="0" applyAlignment="0" applyProtection="0"/>
    <xf numFmtId="0" fontId="50" fillId="13" borderId="65" applyNumberFormat="0" applyAlignment="0" applyProtection="0"/>
    <xf numFmtId="0" fontId="51" fillId="0" borderId="67" applyNumberFormat="0" applyFill="0" applyAlignment="0" applyProtection="0"/>
    <xf numFmtId="0" fontId="52" fillId="14" borderId="68" applyNumberFormat="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55" fillId="0" borderId="70" applyNumberFormat="0" applyFill="0" applyAlignment="0" applyProtection="0"/>
    <xf numFmtId="0" fontId="56"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56" fillId="19" borderId="0" applyNumberFormat="0" applyBorder="0" applyAlignment="0" applyProtection="0"/>
    <xf numFmtId="0" fontId="56"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56" fillId="23" borderId="0" applyNumberFormat="0" applyBorder="0" applyAlignment="0" applyProtection="0"/>
    <xf numFmtId="0" fontId="56"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56" fillId="27" borderId="0" applyNumberFormat="0" applyBorder="0" applyAlignment="0" applyProtection="0"/>
    <xf numFmtId="0" fontId="56"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56" fillId="31" borderId="0" applyNumberFormat="0" applyBorder="0" applyAlignment="0" applyProtection="0"/>
    <xf numFmtId="0" fontId="56"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56" fillId="35" borderId="0" applyNumberFormat="0" applyBorder="0" applyAlignment="0" applyProtection="0"/>
    <xf numFmtId="0" fontId="56"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56" fillId="39" borderId="0" applyNumberFormat="0" applyBorder="0" applyAlignment="0" applyProtection="0"/>
    <xf numFmtId="0" fontId="3" fillId="0" borderId="0"/>
    <xf numFmtId="0" fontId="3" fillId="15" borderId="69" applyNumberFormat="0" applyFont="0" applyAlignment="0" applyProtection="0"/>
    <xf numFmtId="0" fontId="4" fillId="0" borderId="0"/>
    <xf numFmtId="0" fontId="2"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44" fontId="4" fillId="0" borderId="0" applyFont="0" applyFill="0" applyBorder="0" applyAlignment="0" applyProtection="0"/>
  </cellStyleXfs>
  <cellXfs count="302">
    <xf numFmtId="0" fontId="0" fillId="0" borderId="0" xfId="0"/>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0" borderId="0" xfId="0" applyFont="1"/>
    <xf numFmtId="0" fontId="4" fillId="0" borderId="0" xfId="0" applyFont="1" applyFill="1" applyBorder="1"/>
    <xf numFmtId="0" fontId="6" fillId="3" borderId="2" xfId="0" applyFont="1" applyFill="1" applyBorder="1" applyAlignment="1">
      <alignment horizontal="center" vertical="center" wrapText="1"/>
    </xf>
    <xf numFmtId="0" fontId="7" fillId="3" borderId="0" xfId="0" applyFont="1" applyFill="1" applyAlignment="1">
      <alignment horizontal="center"/>
    </xf>
    <xf numFmtId="0" fontId="8" fillId="4" borderId="1" xfId="0" applyFont="1" applyFill="1" applyBorder="1"/>
    <xf numFmtId="0" fontId="8" fillId="0" borderId="0" xfId="0" applyFont="1"/>
    <xf numFmtId="0" fontId="14" fillId="5" borderId="1" xfId="0" applyFont="1" applyFill="1" applyBorder="1" applyAlignment="1">
      <alignment horizontal="center" vertical="center" wrapText="1"/>
    </xf>
    <xf numFmtId="0" fontId="0" fillId="0" borderId="0" xfId="0" applyAlignment="1">
      <alignment wrapText="1"/>
    </xf>
    <xf numFmtId="0" fontId="0" fillId="0" borderId="1" xfId="0" applyBorder="1"/>
    <xf numFmtId="0" fontId="4" fillId="0" borderId="1" xfId="0" applyFont="1" applyBorder="1"/>
    <xf numFmtId="0" fontId="4" fillId="0" borderId="2" xfId="0" applyFont="1" applyFill="1" applyBorder="1"/>
    <xf numFmtId="0" fontId="0" fillId="0" borderId="2" xfId="0" applyFill="1" applyBorder="1"/>
    <xf numFmtId="0" fontId="7" fillId="0" borderId="1" xfId="0" applyFont="1" applyBorder="1"/>
    <xf numFmtId="0" fontId="0" fillId="0" borderId="1" xfId="0" applyFill="1" applyBorder="1"/>
    <xf numFmtId="0" fontId="0" fillId="0" borderId="2" xfId="0" applyFont="1" applyFill="1" applyBorder="1"/>
    <xf numFmtId="0" fontId="16" fillId="0" borderId="0" xfId="1" applyFont="1"/>
    <xf numFmtId="0" fontId="17" fillId="0" borderId="0" xfId="1" applyFont="1"/>
    <xf numFmtId="14" fontId="16" fillId="0" borderId="0" xfId="1" applyNumberFormat="1" applyFont="1"/>
    <xf numFmtId="0" fontId="19" fillId="0" borderId="8" xfId="1" applyFont="1" applyBorder="1" applyAlignment="1">
      <alignment horizontal="left"/>
    </xf>
    <xf numFmtId="0" fontId="19" fillId="0" borderId="9" xfId="1" applyFont="1" applyBorder="1"/>
    <xf numFmtId="0" fontId="19" fillId="0" borderId="10" xfId="1" applyFont="1" applyBorder="1"/>
    <xf numFmtId="0" fontId="19" fillId="0" borderId="11" xfId="1" applyFont="1" applyBorder="1" applyAlignment="1">
      <alignment horizontal="left"/>
    </xf>
    <xf numFmtId="0" fontId="19" fillId="0" borderId="9" xfId="1" applyFont="1" applyBorder="1" applyAlignment="1">
      <alignment horizontal="left"/>
    </xf>
    <xf numFmtId="0" fontId="19" fillId="0" borderId="15" xfId="1" applyFont="1" applyBorder="1" applyProtection="1">
      <protection locked="0"/>
    </xf>
    <xf numFmtId="0" fontId="19" fillId="0" borderId="0" xfId="1" applyFont="1" applyBorder="1" applyProtection="1">
      <protection locked="0"/>
    </xf>
    <xf numFmtId="0" fontId="19" fillId="0" borderId="16" xfId="1" applyFont="1" applyBorder="1" applyProtection="1">
      <protection locked="0"/>
    </xf>
    <xf numFmtId="0" fontId="16" fillId="0" borderId="23" xfId="1" applyNumberFormat="1" applyFont="1" applyBorder="1"/>
    <xf numFmtId="49" fontId="16" fillId="0" borderId="24" xfId="1" applyNumberFormat="1" applyFont="1" applyBorder="1"/>
    <xf numFmtId="0" fontId="16" fillId="0" borderId="8" xfId="1" applyFont="1" applyBorder="1" applyAlignment="1">
      <alignment horizontal="left"/>
    </xf>
    <xf numFmtId="0" fontId="16" fillId="0" borderId="9" xfId="1" applyFont="1" applyBorder="1"/>
    <xf numFmtId="0" fontId="15" fillId="0" borderId="9" xfId="1" applyFont="1" applyBorder="1" applyAlignment="1"/>
    <xf numFmtId="0" fontId="16" fillId="0" borderId="25" xfId="1" applyFont="1" applyBorder="1"/>
    <xf numFmtId="0" fontId="16" fillId="0" borderId="26" xfId="1" applyFont="1" applyBorder="1"/>
    <xf numFmtId="0" fontId="16" fillId="0" borderId="26" xfId="1" applyFont="1" applyBorder="1" applyAlignment="1"/>
    <xf numFmtId="0" fontId="24" fillId="0" borderId="5" xfId="1" applyFont="1" applyBorder="1" applyAlignment="1">
      <alignment horizontal="center"/>
    </xf>
    <xf numFmtId="49" fontId="19" fillId="0" borderId="2" xfId="1" applyNumberFormat="1" applyFont="1" applyBorder="1" applyAlignment="1">
      <alignment horizontal="center"/>
    </xf>
    <xf numFmtId="0" fontId="16" fillId="0" borderId="2" xfId="1" applyFont="1" applyBorder="1"/>
    <xf numFmtId="0" fontId="16" fillId="0" borderId="17" xfId="1" applyFont="1" applyBorder="1"/>
    <xf numFmtId="0" fontId="16" fillId="0" borderId="0" xfId="1" applyFont="1" applyBorder="1"/>
    <xf numFmtId="0" fontId="16" fillId="0" borderId="16" xfId="1" applyFont="1" applyBorder="1"/>
    <xf numFmtId="0" fontId="16" fillId="0" borderId="18" xfId="1" applyFont="1" applyBorder="1"/>
    <xf numFmtId="49" fontId="27" fillId="0" borderId="21" xfId="1" applyNumberFormat="1" applyFont="1" applyBorder="1" applyAlignment="1"/>
    <xf numFmtId="0" fontId="16" fillId="0" borderId="33" xfId="1" applyFont="1" applyBorder="1"/>
    <xf numFmtId="0" fontId="19" fillId="0" borderId="0" xfId="1" applyFont="1" applyBorder="1" applyAlignment="1">
      <alignment horizontal="left"/>
    </xf>
    <xf numFmtId="0" fontId="24" fillId="0" borderId="0" xfId="1" applyFont="1" applyBorder="1"/>
    <xf numFmtId="0" fontId="24" fillId="0" borderId="16" xfId="1" applyFont="1" applyBorder="1"/>
    <xf numFmtId="0" fontId="19" fillId="0" borderId="17" xfId="1" applyFont="1" applyBorder="1" applyAlignment="1">
      <alignment horizontal="left"/>
    </xf>
    <xf numFmtId="0" fontId="19" fillId="0" borderId="0" xfId="1" applyFont="1" applyBorder="1"/>
    <xf numFmtId="0" fontId="19" fillId="0" borderId="16" xfId="1" applyFont="1" applyBorder="1"/>
    <xf numFmtId="0" fontId="29" fillId="0" borderId="0" xfId="1" applyFont="1" applyBorder="1"/>
    <xf numFmtId="0" fontId="19" fillId="0" borderId="18" xfId="1" applyFont="1" applyBorder="1"/>
    <xf numFmtId="0" fontId="19" fillId="0" borderId="26" xfId="1" applyFont="1" applyBorder="1"/>
    <xf numFmtId="0" fontId="24" fillId="0" borderId="26" xfId="1" applyFont="1" applyBorder="1"/>
    <xf numFmtId="0" fontId="24" fillId="0" borderId="34" xfId="1" applyFont="1" applyBorder="1"/>
    <xf numFmtId="0" fontId="19" fillId="0" borderId="35" xfId="1" applyFont="1" applyBorder="1"/>
    <xf numFmtId="0" fontId="19" fillId="0" borderId="34" xfId="1" applyFont="1" applyBorder="1"/>
    <xf numFmtId="0" fontId="29" fillId="0" borderId="26" xfId="1" applyFont="1" applyBorder="1"/>
    <xf numFmtId="0" fontId="19" fillId="0" borderId="27" xfId="1" applyFont="1" applyBorder="1"/>
    <xf numFmtId="49" fontId="16" fillId="0" borderId="41" xfId="1" applyNumberFormat="1" applyFont="1" applyBorder="1"/>
    <xf numFmtId="0" fontId="16" fillId="0" borderId="43" xfId="1" applyFont="1" applyBorder="1"/>
    <xf numFmtId="0" fontId="19" fillId="0" borderId="8" xfId="1" applyFont="1" applyBorder="1"/>
    <xf numFmtId="0" fontId="19" fillId="0" borderId="14" xfId="1" applyFont="1" applyBorder="1"/>
    <xf numFmtId="0" fontId="19" fillId="0" borderId="15" xfId="1" applyFont="1" applyBorder="1"/>
    <xf numFmtId="0" fontId="19" fillId="0" borderId="25" xfId="1" applyFont="1" applyBorder="1"/>
    <xf numFmtId="0" fontId="19" fillId="0" borderId="19" xfId="1" applyFont="1" applyBorder="1"/>
    <xf numFmtId="0" fontId="19" fillId="0" borderId="7" xfId="1" applyFont="1" applyBorder="1"/>
    <xf numFmtId="0" fontId="19" fillId="0" borderId="20" xfId="1" applyFont="1" applyBorder="1"/>
    <xf numFmtId="0" fontId="35" fillId="0" borderId="7" xfId="1" applyFont="1" applyBorder="1"/>
    <xf numFmtId="0" fontId="19" fillId="0" borderId="22" xfId="1" applyFont="1" applyBorder="1"/>
    <xf numFmtId="0" fontId="19" fillId="0" borderId="9" xfId="1" applyFont="1" applyBorder="1" applyAlignment="1"/>
    <xf numFmtId="0" fontId="8" fillId="0" borderId="0" xfId="0" applyFont="1" applyBorder="1"/>
    <xf numFmtId="0" fontId="8" fillId="0" borderId="51" xfId="0" applyFont="1" applyBorder="1"/>
    <xf numFmtId="0" fontId="0" fillId="0" borderId="0" xfId="0" applyFont="1" applyBorder="1"/>
    <xf numFmtId="0" fontId="38" fillId="0" borderId="48" xfId="0" applyFont="1" applyBorder="1"/>
    <xf numFmtId="0" fontId="39" fillId="0" borderId="48" xfId="0" applyFont="1" applyBorder="1"/>
    <xf numFmtId="0" fontId="39" fillId="0" borderId="49" xfId="0" applyFont="1" applyBorder="1"/>
    <xf numFmtId="0" fontId="39" fillId="0" borderId="0" xfId="0" applyFont="1" applyBorder="1"/>
    <xf numFmtId="0" fontId="39" fillId="0" borderId="51" xfId="0" applyFont="1" applyBorder="1"/>
    <xf numFmtId="0" fontId="37" fillId="6" borderId="46" xfId="0" applyFont="1" applyFill="1" applyBorder="1" applyAlignment="1">
      <alignment horizontal="center" vertical="center" wrapText="1"/>
    </xf>
    <xf numFmtId="0" fontId="37" fillId="6" borderId="47" xfId="0" applyFont="1" applyFill="1" applyBorder="1" applyAlignment="1">
      <alignment horizontal="center" vertical="center" wrapText="1"/>
    </xf>
    <xf numFmtId="0" fontId="5" fillId="2" borderId="38" xfId="0" applyFont="1" applyFill="1" applyBorder="1" applyAlignment="1">
      <alignment horizontal="center" vertical="center" wrapText="1"/>
    </xf>
    <xf numFmtId="0" fontId="6" fillId="3" borderId="38" xfId="0" applyFont="1" applyFill="1" applyBorder="1" applyAlignment="1">
      <alignment horizontal="center" vertical="center" wrapText="1"/>
    </xf>
    <xf numFmtId="0" fontId="37" fillId="6" borderId="57" xfId="0" applyFont="1" applyFill="1" applyBorder="1" applyAlignment="1">
      <alignment horizontal="center" vertical="center" wrapText="1"/>
    </xf>
    <xf numFmtId="0" fontId="37" fillId="6" borderId="58" xfId="0" applyFont="1" applyFill="1" applyBorder="1" applyAlignment="1">
      <alignment horizontal="center" vertical="center" wrapText="1"/>
    </xf>
    <xf numFmtId="0" fontId="37" fillId="6" borderId="59" xfId="0" applyFont="1" applyFill="1" applyBorder="1" applyAlignment="1">
      <alignment horizontal="center" vertical="center" wrapText="1"/>
    </xf>
    <xf numFmtId="0" fontId="38" fillId="6" borderId="48" xfId="0" applyFont="1" applyFill="1" applyBorder="1"/>
    <xf numFmtId="0" fontId="38" fillId="6" borderId="49" xfId="0" applyFont="1" applyFill="1" applyBorder="1"/>
    <xf numFmtId="0" fontId="38" fillId="6" borderId="50" xfId="0" applyFont="1" applyFill="1" applyBorder="1"/>
    <xf numFmtId="0" fontId="38" fillId="6" borderId="0" xfId="0" applyFont="1" applyFill="1" applyBorder="1"/>
    <xf numFmtId="0" fontId="38" fillId="6" borderId="0" xfId="0" applyFont="1" applyFill="1" applyBorder="1" applyAlignment="1">
      <alignment horizontal="center"/>
    </xf>
    <xf numFmtId="0" fontId="38" fillId="6" borderId="0" xfId="0" applyFont="1" applyFill="1" applyBorder="1" applyAlignment="1">
      <alignment horizontal="left" vertical="center"/>
    </xf>
    <xf numFmtId="0" fontId="38" fillId="6" borderId="51" xfId="0" applyFont="1" applyFill="1" applyBorder="1"/>
    <xf numFmtId="0" fontId="38" fillId="6" borderId="52" xfId="0" applyFont="1" applyFill="1" applyBorder="1"/>
    <xf numFmtId="0" fontId="38" fillId="6" borderId="4" xfId="0" applyFont="1" applyFill="1" applyBorder="1"/>
    <xf numFmtId="0" fontId="38" fillId="6" borderId="53" xfId="0" applyFont="1" applyFill="1" applyBorder="1"/>
    <xf numFmtId="0" fontId="0" fillId="0" borderId="0" xfId="0" applyFont="1"/>
    <xf numFmtId="0" fontId="8" fillId="4" borderId="5" xfId="0" applyFont="1" applyFill="1" applyBorder="1"/>
    <xf numFmtId="0" fontId="0" fillId="7" borderId="9" xfId="0" applyFill="1" applyBorder="1"/>
    <xf numFmtId="0" fontId="0" fillId="7" borderId="14" xfId="0" applyFill="1" applyBorder="1"/>
    <xf numFmtId="0" fontId="0" fillId="7" borderId="19" xfId="0" applyFill="1" applyBorder="1"/>
    <xf numFmtId="0" fontId="0" fillId="7" borderId="7" xfId="0" applyFill="1" applyBorder="1"/>
    <xf numFmtId="0" fontId="0" fillId="7" borderId="22" xfId="0" applyFill="1" applyBorder="1"/>
    <xf numFmtId="0" fontId="0" fillId="0" borderId="0" xfId="0" applyFont="1" applyFill="1" applyBorder="1"/>
    <xf numFmtId="0" fontId="0" fillId="7" borderId="1" xfId="0" applyFill="1" applyBorder="1"/>
    <xf numFmtId="0" fontId="0" fillId="8" borderId="0" xfId="0" applyFill="1"/>
    <xf numFmtId="0" fontId="3" fillId="0" borderId="1" xfId="42" applyBorder="1"/>
    <xf numFmtId="0" fontId="3" fillId="0" borderId="37" xfId="42" applyBorder="1"/>
    <xf numFmtId="0" fontId="0" fillId="40" borderId="1" xfId="0" applyFont="1" applyFill="1" applyBorder="1"/>
    <xf numFmtId="0" fontId="57" fillId="41" borderId="0" xfId="45" applyFont="1" applyFill="1"/>
    <xf numFmtId="0" fontId="2" fillId="0" borderId="0" xfId="45"/>
    <xf numFmtId="0" fontId="58" fillId="0" borderId="0" xfId="45" applyFont="1" applyFill="1"/>
    <xf numFmtId="0" fontId="58" fillId="0" borderId="0" xfId="45" applyNumberFormat="1" applyFont="1" applyFill="1"/>
    <xf numFmtId="0" fontId="61" fillId="0" borderId="0" xfId="45" applyFont="1" applyFill="1"/>
    <xf numFmtId="0" fontId="61" fillId="0" borderId="0" xfId="45" applyNumberFormat="1" applyFont="1" applyFill="1"/>
    <xf numFmtId="0" fontId="9" fillId="42" borderId="1" xfId="0" applyFont="1" applyFill="1" applyBorder="1"/>
    <xf numFmtId="0" fontId="9" fillId="42" borderId="1" xfId="0" applyFont="1" applyFill="1" applyBorder="1" applyAlignment="1">
      <alignment horizontal="center" wrapText="1"/>
    </xf>
    <xf numFmtId="0" fontId="9" fillId="42" borderId="3" xfId="0" applyFont="1" applyFill="1" applyBorder="1" applyAlignment="1">
      <alignment horizontal="center" vertical="center" wrapText="1"/>
    </xf>
    <xf numFmtId="0" fontId="12" fillId="42" borderId="3" xfId="0" applyFont="1" applyFill="1" applyBorder="1" applyAlignment="1" applyProtection="1">
      <alignment horizontal="center" vertical="center"/>
      <protection locked="0"/>
    </xf>
    <xf numFmtId="0" fontId="12" fillId="42" borderId="6" xfId="0" applyFont="1" applyFill="1" applyBorder="1" applyAlignment="1" applyProtection="1">
      <alignment horizontal="center" vertical="center"/>
      <protection locked="0"/>
    </xf>
    <xf numFmtId="0" fontId="36" fillId="42" borderId="45" xfId="0" applyFont="1" applyFill="1" applyBorder="1"/>
    <xf numFmtId="0" fontId="36" fillId="42" borderId="44" xfId="0" applyFont="1" applyFill="1" applyBorder="1" applyAlignment="1">
      <alignment horizontal="center" wrapText="1"/>
    </xf>
    <xf numFmtId="0" fontId="8" fillId="42" borderId="0" xfId="0" applyFont="1" applyFill="1" applyBorder="1"/>
    <xf numFmtId="0" fontId="8" fillId="42" borderId="4" xfId="0" applyFont="1" applyFill="1" applyBorder="1"/>
    <xf numFmtId="0" fontId="8" fillId="42" borderId="45" xfId="0" applyFont="1" applyFill="1" applyBorder="1"/>
    <xf numFmtId="0" fontId="8" fillId="42" borderId="23" xfId="0" applyFont="1" applyFill="1" applyBorder="1"/>
    <xf numFmtId="0" fontId="8" fillId="42" borderId="24" xfId="0" applyFont="1" applyFill="1" applyBorder="1"/>
    <xf numFmtId="0" fontId="8" fillId="42" borderId="41" xfId="0" applyFont="1" applyFill="1" applyBorder="1"/>
    <xf numFmtId="0" fontId="8" fillId="42" borderId="71" xfId="0" applyFont="1" applyFill="1" applyBorder="1" applyAlignment="1"/>
    <xf numFmtId="0" fontId="8" fillId="42" borderId="73" xfId="0" applyFont="1" applyFill="1" applyBorder="1" applyAlignment="1"/>
    <xf numFmtId="0" fontId="16" fillId="0" borderId="0" xfId="1" applyNumberFormat="1" applyFont="1"/>
    <xf numFmtId="0" fontId="65" fillId="0" borderId="7" xfId="1" applyFont="1" applyBorder="1"/>
    <xf numFmtId="0" fontId="10" fillId="42" borderId="38" xfId="0" applyFont="1" applyFill="1" applyBorder="1" applyAlignment="1" applyProtection="1">
      <alignment horizontal="center" vertical="center"/>
      <protection locked="0"/>
    </xf>
    <xf numFmtId="0" fontId="9" fillId="42" borderId="5" xfId="0" applyFont="1" applyFill="1" applyBorder="1" applyAlignment="1">
      <alignment horizontal="center"/>
    </xf>
    <xf numFmtId="0" fontId="10" fillId="42" borderId="75" xfId="0" applyFont="1" applyFill="1" applyBorder="1" applyAlignment="1" applyProtection="1">
      <alignment horizontal="center" vertical="center"/>
      <protection locked="0"/>
    </xf>
    <xf numFmtId="0" fontId="0" fillId="7" borderId="0" xfId="0" applyFill="1" applyBorder="1"/>
    <xf numFmtId="0" fontId="66" fillId="43" borderId="50" xfId="0" applyFont="1" applyFill="1" applyBorder="1" applyAlignment="1">
      <alignment horizontal="center"/>
    </xf>
    <xf numFmtId="0" fontId="66" fillId="43" borderId="0" xfId="0" applyFont="1" applyFill="1" applyBorder="1" applyAlignment="1">
      <alignment horizontal="left" vertical="center"/>
    </xf>
    <xf numFmtId="0" fontId="66" fillId="43" borderId="0" xfId="0" applyFont="1" applyFill="1" applyBorder="1"/>
    <xf numFmtId="0" fontId="66" fillId="43" borderId="0" xfId="0" applyFont="1" applyFill="1" applyBorder="1" applyAlignment="1">
      <alignment horizontal="center"/>
    </xf>
    <xf numFmtId="0" fontId="66" fillId="43" borderId="0" xfId="0" applyFont="1" applyFill="1"/>
    <xf numFmtId="0" fontId="11" fillId="42" borderId="37" xfId="0" applyFont="1" applyFill="1" applyBorder="1" applyAlignment="1" applyProtection="1">
      <alignment horizontal="center" vertical="center"/>
      <protection locked="0"/>
    </xf>
    <xf numFmtId="49" fontId="21" fillId="42" borderId="4" xfId="0" applyNumberFormat="1" applyFont="1" applyFill="1" applyBorder="1" applyAlignment="1" applyProtection="1">
      <alignment horizontal="center" vertical="center"/>
      <protection locked="0"/>
    </xf>
    <xf numFmtId="49" fontId="21" fillId="42" borderId="4" xfId="0" applyNumberFormat="1" applyFont="1" applyFill="1" applyBorder="1" applyAlignment="1" applyProtection="1">
      <alignment horizontal="center"/>
      <protection locked="0"/>
    </xf>
    <xf numFmtId="1" fontId="40" fillId="42" borderId="38" xfId="0" applyNumberFormat="1" applyFont="1" applyFill="1" applyBorder="1" applyAlignment="1" applyProtection="1">
      <alignment horizontal="center" vertical="center"/>
      <protection locked="0"/>
    </xf>
    <xf numFmtId="0" fontId="64" fillId="0" borderId="54" xfId="1" applyFont="1" applyBorder="1" applyAlignment="1" applyProtection="1">
      <alignment vertical="center"/>
      <protection locked="0"/>
    </xf>
    <xf numFmtId="0" fontId="64" fillId="0" borderId="55" xfId="1" applyFont="1" applyBorder="1" applyAlignment="1" applyProtection="1">
      <alignment vertical="center"/>
      <protection locked="0"/>
    </xf>
    <xf numFmtId="0" fontId="64" fillId="0" borderId="56" xfId="1" applyFont="1" applyBorder="1" applyAlignment="1" applyProtection="1">
      <alignment vertical="center"/>
      <protection locked="0"/>
    </xf>
    <xf numFmtId="0" fontId="67" fillId="0" borderId="0" xfId="1" applyFont="1" applyBorder="1"/>
    <xf numFmtId="0" fontId="69" fillId="43" borderId="0" xfId="0" applyFont="1" applyFill="1" applyBorder="1"/>
    <xf numFmtId="0" fontId="71" fillId="45" borderId="39" xfId="0" applyFont="1" applyFill="1" applyBorder="1" applyAlignment="1" applyProtection="1">
      <alignment horizontal="center"/>
      <protection locked="0"/>
    </xf>
    <xf numFmtId="0" fontId="71" fillId="45" borderId="39" xfId="0" applyFont="1" applyFill="1" applyBorder="1" applyAlignment="1" applyProtection="1">
      <alignment horizontal="center" vertical="center"/>
      <protection locked="0"/>
    </xf>
    <xf numFmtId="0" fontId="72" fillId="45" borderId="0" xfId="0" applyFont="1" applyFill="1"/>
    <xf numFmtId="0" fontId="69" fillId="45" borderId="0" xfId="0" applyFont="1" applyFill="1"/>
    <xf numFmtId="0" fontId="8" fillId="44" borderId="0" xfId="0" applyFont="1" applyFill="1"/>
    <xf numFmtId="0" fontId="8" fillId="0" borderId="0" xfId="0" applyFont="1" applyProtection="1">
      <protection locked="0"/>
    </xf>
    <xf numFmtId="0" fontId="8" fillId="44" borderId="0" xfId="0" applyFont="1" applyFill="1" applyProtection="1">
      <protection locked="0"/>
    </xf>
    <xf numFmtId="0" fontId="70" fillId="46" borderId="37" xfId="0" applyFont="1" applyFill="1" applyBorder="1" applyAlignment="1" applyProtection="1">
      <alignment horizontal="center"/>
      <protection locked="0"/>
    </xf>
    <xf numFmtId="0" fontId="15" fillId="0" borderId="43" xfId="1" applyFont="1" applyBorder="1"/>
    <xf numFmtId="0" fontId="75" fillId="0" borderId="0" xfId="45" applyFont="1" applyFill="1"/>
    <xf numFmtId="0" fontId="76" fillId="41" borderId="0" xfId="45" applyFont="1" applyFill="1"/>
    <xf numFmtId="0" fontId="75" fillId="0" borderId="0" xfId="45" applyNumberFormat="1" applyFont="1" applyFill="1"/>
    <xf numFmtId="8" fontId="58" fillId="0" borderId="0" xfId="45" applyNumberFormat="1" applyFont="1" applyFill="1"/>
    <xf numFmtId="0" fontId="9" fillId="42" borderId="76" xfId="0" applyFont="1" applyFill="1" applyBorder="1" applyAlignment="1">
      <alignment horizontal="center" vertical="center" wrapText="1"/>
    </xf>
    <xf numFmtId="0" fontId="10" fillId="6" borderId="77" xfId="0" applyFont="1" applyFill="1" applyBorder="1" applyAlignment="1" applyProtection="1">
      <alignment horizontal="left" vertical="center"/>
    </xf>
    <xf numFmtId="0" fontId="10" fillId="47" borderId="78" xfId="0" applyFont="1" applyFill="1" applyBorder="1" applyAlignment="1" applyProtection="1">
      <alignment horizontal="center" vertical="center"/>
    </xf>
    <xf numFmtId="0" fontId="10" fillId="47" borderId="79" xfId="0" applyFont="1" applyFill="1" applyBorder="1" applyAlignment="1" applyProtection="1">
      <alignment horizontal="center" vertical="center"/>
    </xf>
    <xf numFmtId="0" fontId="10" fillId="47" borderId="81" xfId="0" applyFont="1" applyFill="1" applyBorder="1" applyAlignment="1" applyProtection="1">
      <alignment horizontal="center" vertical="center"/>
    </xf>
    <xf numFmtId="0" fontId="10" fillId="47" borderId="82" xfId="0" applyFont="1" applyFill="1" applyBorder="1" applyAlignment="1" applyProtection="1">
      <alignment horizontal="center" vertical="center"/>
    </xf>
    <xf numFmtId="0" fontId="10" fillId="47" borderId="80" xfId="0" applyFont="1" applyFill="1" applyBorder="1" applyAlignment="1" applyProtection="1">
      <alignment horizontal="center" vertical="center"/>
    </xf>
    <xf numFmtId="14" fontId="73" fillId="46" borderId="0" xfId="0" applyNumberFormat="1" applyFont="1" applyFill="1" applyBorder="1" applyAlignment="1" applyProtection="1">
      <alignment horizontal="center" vertical="center"/>
      <protection locked="0"/>
    </xf>
    <xf numFmtId="0" fontId="21" fillId="42" borderId="72" xfId="0" applyFont="1" applyFill="1" applyBorder="1" applyAlignment="1">
      <alignment horizontal="left"/>
    </xf>
    <xf numFmtId="0" fontId="21" fillId="42" borderId="73" xfId="0" applyFont="1" applyFill="1" applyBorder="1" applyAlignment="1">
      <alignment horizontal="left"/>
    </xf>
    <xf numFmtId="0" fontId="21" fillId="42" borderId="72" xfId="0" applyFont="1" applyFill="1" applyBorder="1" applyAlignment="1">
      <alignment horizontal="left" vertical="center" wrapText="1"/>
    </xf>
    <xf numFmtId="0" fontId="21" fillId="42" borderId="73" xfId="0" applyFont="1" applyFill="1" applyBorder="1" applyAlignment="1">
      <alignment horizontal="left" vertical="center" wrapText="1"/>
    </xf>
    <xf numFmtId="0" fontId="21" fillId="42" borderId="30" xfId="0" applyFont="1" applyFill="1" applyBorder="1" applyAlignment="1">
      <alignment horizontal="left"/>
    </xf>
    <xf numFmtId="0" fontId="21" fillId="42" borderId="74" xfId="0" applyFont="1" applyFill="1" applyBorder="1" applyAlignment="1">
      <alignment horizontal="left"/>
    </xf>
    <xf numFmtId="0" fontId="21" fillId="42" borderId="0" xfId="0" applyFont="1" applyFill="1" applyBorder="1" applyAlignment="1">
      <alignment horizontal="left"/>
    </xf>
    <xf numFmtId="0" fontId="15" fillId="0" borderId="0" xfId="1" applyFont="1" applyAlignment="1">
      <alignment horizontal="center"/>
    </xf>
    <xf numFmtId="0" fontId="18" fillId="0" borderId="7" xfId="1" applyFont="1" applyBorder="1" applyAlignment="1">
      <alignment horizontal="center"/>
    </xf>
    <xf numFmtId="0" fontId="19" fillId="0" borderId="12" xfId="1" applyFont="1" applyBorder="1" applyAlignment="1">
      <alignment horizontal="center"/>
    </xf>
    <xf numFmtId="0" fontId="19" fillId="0" borderId="13" xfId="1" applyFont="1" applyBorder="1" applyAlignment="1">
      <alignment horizontal="center"/>
    </xf>
    <xf numFmtId="49" fontId="31" fillId="0" borderId="60" xfId="1" applyNumberFormat="1" applyFont="1" applyBorder="1" applyAlignment="1" applyProtection="1">
      <alignment horizontal="center" vertical="center"/>
    </xf>
    <xf numFmtId="49" fontId="31" fillId="0" borderId="9" xfId="1" applyNumberFormat="1" applyFont="1" applyBorder="1" applyAlignment="1" applyProtection="1">
      <alignment horizontal="center" vertical="center"/>
    </xf>
    <xf numFmtId="49" fontId="31" fillId="0" borderId="14" xfId="1" applyNumberFormat="1" applyFont="1" applyBorder="1" applyAlignment="1" applyProtection="1">
      <alignment horizontal="center" vertical="center"/>
    </xf>
    <xf numFmtId="14" fontId="19" fillId="0" borderId="1" xfId="1" applyNumberFormat="1" applyFont="1" applyBorder="1" applyAlignment="1" applyProtection="1">
      <alignment horizontal="center"/>
      <protection locked="0"/>
    </xf>
    <xf numFmtId="0" fontId="19" fillId="0" borderId="1" xfId="1" applyFont="1" applyBorder="1" applyAlignment="1" applyProtection="1">
      <alignment horizontal="center"/>
      <protection locked="0"/>
    </xf>
    <xf numFmtId="0" fontId="21" fillId="0" borderId="17" xfId="1" applyFont="1" applyBorder="1" applyAlignment="1" applyProtection="1">
      <alignment horizontal="center" vertical="center" wrapText="1"/>
    </xf>
    <xf numFmtId="0" fontId="21" fillId="0" borderId="0" xfId="1" applyFont="1" applyBorder="1" applyAlignment="1" applyProtection="1">
      <alignment horizontal="center" vertical="center" wrapText="1"/>
    </xf>
    <xf numFmtId="0" fontId="21" fillId="0" borderId="18" xfId="1" applyFont="1" applyBorder="1" applyAlignment="1" applyProtection="1">
      <alignment horizontal="center" vertical="center" wrapText="1"/>
    </xf>
    <xf numFmtId="0" fontId="21" fillId="0" borderId="21" xfId="1" applyFont="1" applyBorder="1" applyAlignment="1" applyProtection="1">
      <alignment horizontal="center" vertical="center" wrapText="1"/>
    </xf>
    <xf numFmtId="0" fontId="21" fillId="0" borderId="7" xfId="1" applyFont="1" applyBorder="1" applyAlignment="1" applyProtection="1">
      <alignment horizontal="center" vertical="center" wrapText="1"/>
    </xf>
    <xf numFmtId="0" fontId="21" fillId="0" borderId="22" xfId="1" applyFont="1" applyBorder="1" applyAlignment="1" applyProtection="1">
      <alignment horizontal="center" vertical="center" wrapText="1"/>
    </xf>
    <xf numFmtId="0" fontId="22" fillId="0" borderId="15" xfId="1" applyFont="1" applyBorder="1" applyAlignment="1" applyProtection="1">
      <alignment horizontal="center" vertical="center"/>
    </xf>
    <xf numFmtId="0" fontId="22" fillId="0" borderId="0" xfId="1" applyFont="1" applyBorder="1" applyAlignment="1" applyProtection="1">
      <alignment horizontal="center" vertical="center"/>
    </xf>
    <xf numFmtId="0" fontId="22" fillId="0" borderId="16" xfId="1" applyFont="1" applyBorder="1" applyAlignment="1" applyProtection="1">
      <alignment horizontal="center" vertical="center"/>
    </xf>
    <xf numFmtId="0" fontId="22" fillId="0" borderId="19" xfId="1" applyFont="1" applyBorder="1" applyAlignment="1" applyProtection="1">
      <alignment horizontal="center" vertical="center"/>
    </xf>
    <xf numFmtId="0" fontId="22" fillId="0" borderId="7" xfId="1" applyFont="1" applyBorder="1" applyAlignment="1" applyProtection="1">
      <alignment horizontal="center" vertical="center"/>
    </xf>
    <xf numFmtId="0" fontId="22" fillId="0" borderId="20" xfId="1" applyFont="1" applyBorder="1" applyAlignment="1" applyProtection="1">
      <alignment horizontal="center" vertical="center"/>
    </xf>
    <xf numFmtId="164" fontId="20" fillId="0" borderId="17" xfId="1" applyNumberFormat="1" applyFont="1" applyBorder="1" applyAlignment="1" applyProtection="1">
      <alignment horizontal="center" vertical="center"/>
    </xf>
    <xf numFmtId="164" fontId="20" fillId="0" borderId="0" xfId="1" applyNumberFormat="1" applyFont="1" applyBorder="1" applyAlignment="1" applyProtection="1">
      <alignment horizontal="center" vertical="center"/>
    </xf>
    <xf numFmtId="164" fontId="20" fillId="0" borderId="16" xfId="1" applyNumberFormat="1" applyFont="1" applyBorder="1" applyAlignment="1" applyProtection="1">
      <alignment horizontal="center" vertical="center"/>
    </xf>
    <xf numFmtId="164" fontId="20" fillId="0" borderId="21" xfId="1" applyNumberFormat="1" applyFont="1" applyBorder="1" applyAlignment="1" applyProtection="1">
      <alignment horizontal="center" vertical="center"/>
    </xf>
    <xf numFmtId="164" fontId="20" fillId="0" borderId="7" xfId="1" applyNumberFormat="1" applyFont="1" applyBorder="1" applyAlignment="1" applyProtection="1">
      <alignment horizontal="center" vertical="center"/>
    </xf>
    <xf numFmtId="164" fontId="20" fillId="0" borderId="20" xfId="1" applyNumberFormat="1" applyFont="1" applyBorder="1" applyAlignment="1" applyProtection="1">
      <alignment horizontal="center" vertical="center"/>
    </xf>
    <xf numFmtId="0" fontId="15" fillId="0" borderId="9" xfId="1" applyFont="1" applyBorder="1" applyAlignment="1">
      <alignment horizontal="center" vertical="center"/>
    </xf>
    <xf numFmtId="0" fontId="15" fillId="0" borderId="26" xfId="1" applyFont="1" applyBorder="1" applyAlignment="1">
      <alignment horizontal="center" vertical="center"/>
    </xf>
    <xf numFmtId="0" fontId="23" fillId="0" borderId="9" xfId="1" applyFont="1" applyBorder="1" applyAlignment="1">
      <alignment horizontal="center" vertical="center"/>
    </xf>
    <xf numFmtId="0" fontId="23" fillId="0" borderId="26" xfId="1" applyFont="1" applyBorder="1" applyAlignment="1">
      <alignment horizontal="center" vertical="center"/>
    </xf>
    <xf numFmtId="165" fontId="23" fillId="0" borderId="9" xfId="1" applyNumberFormat="1" applyFont="1" applyBorder="1" applyAlignment="1">
      <alignment horizontal="left"/>
    </xf>
    <xf numFmtId="165" fontId="23" fillId="0" borderId="14" xfId="1" applyNumberFormat="1" applyFont="1" applyBorder="1" applyAlignment="1">
      <alignment horizontal="left"/>
    </xf>
    <xf numFmtId="165" fontId="23" fillId="0" borderId="26" xfId="1" applyNumberFormat="1" applyFont="1" applyBorder="1" applyAlignment="1">
      <alignment horizontal="left"/>
    </xf>
    <xf numFmtId="165" fontId="23" fillId="0" borderId="27" xfId="1" applyNumberFormat="1" applyFont="1" applyBorder="1" applyAlignment="1">
      <alignment horizontal="left"/>
    </xf>
    <xf numFmtId="0" fontId="24" fillId="0" borderId="28" xfId="1" applyFont="1" applyBorder="1" applyAlignment="1">
      <alignment horizontal="center"/>
    </xf>
    <xf numFmtId="0" fontId="24" fillId="0" borderId="29" xfId="1" applyFont="1" applyBorder="1" applyAlignment="1">
      <alignment horizontal="center"/>
    </xf>
    <xf numFmtId="0" fontId="24" fillId="0" borderId="30" xfId="1" applyFont="1" applyBorder="1" applyAlignment="1">
      <alignment horizontal="center"/>
    </xf>
    <xf numFmtId="0" fontId="24" fillId="0" borderId="31" xfId="1" applyFont="1" applyBorder="1" applyAlignment="1">
      <alignment horizontal="center"/>
    </xf>
    <xf numFmtId="0" fontId="24" fillId="0" borderId="32" xfId="1" applyFont="1" applyBorder="1" applyAlignment="1">
      <alignment horizontal="center"/>
    </xf>
    <xf numFmtId="49" fontId="19" fillId="0" borderId="15" xfId="1" applyNumberFormat="1" applyFont="1" applyBorder="1" applyAlignment="1">
      <alignment horizontal="center"/>
    </xf>
    <xf numFmtId="49" fontId="19" fillId="0" borderId="16" xfId="1" applyNumberFormat="1" applyFont="1" applyBorder="1" applyAlignment="1">
      <alignment horizontal="center"/>
    </xf>
    <xf numFmtId="0" fontId="19" fillId="0" borderId="17" xfId="1" applyFont="1" applyBorder="1" applyAlignment="1">
      <alignment horizontal="center"/>
    </xf>
    <xf numFmtId="0" fontId="19" fillId="0" borderId="16" xfId="1" applyFont="1" applyBorder="1" applyAlignment="1">
      <alignment horizontal="center"/>
    </xf>
    <xf numFmtId="0" fontId="25" fillId="0" borderId="17" xfId="1" applyFont="1" applyBorder="1" applyAlignment="1">
      <alignment horizontal="center" vertical="center"/>
    </xf>
    <xf numFmtId="0" fontId="25" fillId="0" borderId="0" xfId="1" applyFont="1" applyBorder="1" applyAlignment="1">
      <alignment horizontal="center" vertical="center"/>
    </xf>
    <xf numFmtId="0" fontId="25" fillId="0" borderId="16" xfId="1" applyFont="1" applyBorder="1" applyAlignment="1">
      <alignment horizontal="center" vertical="center"/>
    </xf>
    <xf numFmtId="0" fontId="25" fillId="0" borderId="21" xfId="1" applyFont="1" applyBorder="1" applyAlignment="1">
      <alignment horizontal="center" vertical="center"/>
    </xf>
    <xf numFmtId="0" fontId="25" fillId="0" borderId="7" xfId="1" applyFont="1" applyBorder="1" applyAlignment="1">
      <alignment horizontal="center" vertical="center"/>
    </xf>
    <xf numFmtId="0" fontId="25" fillId="0" borderId="20" xfId="1" applyFont="1" applyBorder="1" applyAlignment="1">
      <alignment horizontal="center" vertical="center"/>
    </xf>
    <xf numFmtId="0" fontId="19" fillId="0" borderId="0" xfId="1" applyFont="1" applyBorder="1" applyAlignment="1">
      <alignment horizontal="center"/>
    </xf>
    <xf numFmtId="0" fontId="19" fillId="0" borderId="18" xfId="1" applyFont="1" applyBorder="1" applyAlignment="1">
      <alignment horizontal="center"/>
    </xf>
    <xf numFmtId="0" fontId="26" fillId="0" borderId="15" xfId="1" applyFont="1" applyBorder="1" applyAlignment="1">
      <alignment horizontal="center" vertical="center"/>
    </xf>
    <xf numFmtId="0" fontId="26" fillId="0" borderId="16" xfId="1" applyFont="1" applyBorder="1" applyAlignment="1">
      <alignment horizontal="center" vertical="center"/>
    </xf>
    <xf numFmtId="0" fontId="20" fillId="0" borderId="17" xfId="1" applyFont="1" applyBorder="1" applyAlignment="1">
      <alignment horizontal="center" vertical="center"/>
    </xf>
    <xf numFmtId="0" fontId="20" fillId="0" borderId="16" xfId="1" applyFont="1" applyBorder="1" applyAlignment="1">
      <alignment horizontal="center" vertical="center"/>
    </xf>
    <xf numFmtId="0" fontId="20" fillId="0" borderId="21" xfId="1" applyFont="1" applyBorder="1" applyAlignment="1">
      <alignment horizontal="center" vertical="center"/>
    </xf>
    <xf numFmtId="0" fontId="20" fillId="0" borderId="20" xfId="1" applyFont="1" applyBorder="1" applyAlignment="1">
      <alignment horizontal="center" vertical="center"/>
    </xf>
    <xf numFmtId="0" fontId="20" fillId="0" borderId="2" xfId="1" applyFont="1" applyBorder="1" applyAlignment="1">
      <alignment horizontal="center" vertical="center"/>
    </xf>
    <xf numFmtId="0" fontId="20" fillId="0" borderId="61" xfId="1" applyFont="1" applyBorder="1" applyAlignment="1">
      <alignment horizontal="center" vertical="center"/>
    </xf>
    <xf numFmtId="0" fontId="16" fillId="0" borderId="36" xfId="1" applyFont="1" applyBorder="1" applyAlignment="1">
      <alignment horizontal="center" vertical="center"/>
    </xf>
    <xf numFmtId="0" fontId="16" fillId="0" borderId="37" xfId="1" applyFont="1" applyBorder="1" applyAlignment="1">
      <alignment horizontal="center" vertical="center"/>
    </xf>
    <xf numFmtId="1" fontId="63" fillId="0" borderId="38" xfId="1" applyNumberFormat="1" applyFont="1" applyBorder="1" applyAlignment="1" applyProtection="1">
      <alignment horizontal="center" vertical="center"/>
    </xf>
    <xf numFmtId="1" fontId="63" fillId="0" borderId="37" xfId="1" applyNumberFormat="1" applyFont="1" applyBorder="1" applyAlignment="1" applyProtection="1">
      <alignment horizontal="center" vertical="center"/>
    </xf>
    <xf numFmtId="0" fontId="64" fillId="0" borderId="38" xfId="1" applyFont="1" applyBorder="1" applyAlignment="1" applyProtection="1">
      <alignment horizontal="left" vertical="center" wrapText="1" indent="1"/>
    </xf>
    <xf numFmtId="0" fontId="64" fillId="0" borderId="39" xfId="1" applyFont="1" applyBorder="1" applyAlignment="1" applyProtection="1">
      <alignment horizontal="left" vertical="center" wrapText="1" indent="1"/>
    </xf>
    <xf numFmtId="0" fontId="64" fillId="0" borderId="37" xfId="1" applyFont="1" applyBorder="1" applyAlignment="1" applyProtection="1">
      <alignment horizontal="left" vertical="center" wrapText="1" indent="1"/>
    </xf>
    <xf numFmtId="0" fontId="62" fillId="0" borderId="38" xfId="1" applyFont="1" applyBorder="1" applyAlignment="1" applyProtection="1">
      <alignment horizontal="center" vertical="center"/>
    </xf>
    <xf numFmtId="0" fontId="30" fillId="0" borderId="39" xfId="1" applyFont="1" applyBorder="1" applyAlignment="1" applyProtection="1">
      <alignment horizontal="center" vertical="center"/>
    </xf>
    <xf numFmtId="0" fontId="30" fillId="0" borderId="37" xfId="1" applyFont="1" applyBorder="1" applyAlignment="1" applyProtection="1">
      <alignment horizontal="center" vertical="center"/>
    </xf>
    <xf numFmtId="0" fontId="16" fillId="0" borderId="38" xfId="1" applyNumberFormat="1" applyFont="1" applyBorder="1" applyAlignment="1" applyProtection="1">
      <alignment horizontal="center" vertical="center"/>
    </xf>
    <xf numFmtId="49" fontId="16" fillId="0" borderId="39" xfId="1" applyNumberFormat="1" applyFont="1" applyBorder="1" applyAlignment="1" applyProtection="1">
      <alignment horizontal="center" vertical="center"/>
    </xf>
    <xf numFmtId="49" fontId="16" fillId="0" borderId="37" xfId="1" applyNumberFormat="1" applyFont="1" applyBorder="1" applyAlignment="1" applyProtection="1">
      <alignment horizontal="center" vertical="center"/>
    </xf>
    <xf numFmtId="0" fontId="31" fillId="0" borderId="38" xfId="1" applyNumberFormat="1" applyFont="1" applyBorder="1" applyAlignment="1" applyProtection="1">
      <alignment horizontal="center" vertical="center"/>
    </xf>
    <xf numFmtId="0" fontId="31" fillId="0" borderId="39" xfId="1" applyNumberFormat="1" applyFont="1" applyBorder="1" applyAlignment="1" applyProtection="1">
      <alignment horizontal="center" vertical="center"/>
    </xf>
    <xf numFmtId="0" fontId="31" fillId="0" borderId="40" xfId="1" applyNumberFormat="1" applyFont="1" applyBorder="1" applyAlignment="1" applyProtection="1">
      <alignment horizontal="center" vertical="center"/>
    </xf>
    <xf numFmtId="0" fontId="25" fillId="0" borderId="21" xfId="1" applyFont="1" applyBorder="1" applyAlignment="1">
      <alignment horizontal="center"/>
    </xf>
    <xf numFmtId="0" fontId="25" fillId="0" borderId="7" xfId="1" applyFont="1" applyBorder="1" applyAlignment="1">
      <alignment horizontal="center"/>
    </xf>
    <xf numFmtId="0" fontId="25" fillId="0" borderId="20" xfId="1" applyFont="1" applyBorder="1" applyAlignment="1">
      <alignment horizontal="center"/>
    </xf>
    <xf numFmtId="12" fontId="20" fillId="0" borderId="21" xfId="1" applyNumberFormat="1" applyFont="1" applyBorder="1" applyAlignment="1">
      <alignment horizontal="right"/>
    </xf>
    <xf numFmtId="12" fontId="20" fillId="0" borderId="20" xfId="1" applyNumberFormat="1" applyFont="1" applyBorder="1" applyAlignment="1">
      <alignment horizontal="right"/>
    </xf>
    <xf numFmtId="0" fontId="28" fillId="0" borderId="21" xfId="1" applyFont="1" applyBorder="1" applyAlignment="1">
      <alignment horizontal="center"/>
    </xf>
    <xf numFmtId="0" fontId="28" fillId="0" borderId="20" xfId="1" applyFont="1" applyBorder="1" applyAlignment="1">
      <alignment horizontal="center"/>
    </xf>
    <xf numFmtId="0" fontId="19" fillId="0" borderId="15" xfId="1" applyFont="1" applyBorder="1" applyAlignment="1">
      <alignment horizontal="center"/>
    </xf>
    <xf numFmtId="0" fontId="19" fillId="0" borderId="0" xfId="1" applyFont="1" applyBorder="1" applyAlignment="1">
      <alignment horizontal="center" vertical="center"/>
    </xf>
    <xf numFmtId="0" fontId="19" fillId="0" borderId="16" xfId="1" applyFont="1" applyBorder="1" applyAlignment="1">
      <alignment horizontal="center" vertical="center"/>
    </xf>
    <xf numFmtId="0" fontId="19" fillId="0" borderId="26" xfId="1" applyFont="1" applyBorder="1" applyAlignment="1">
      <alignment horizontal="center" vertical="center"/>
    </xf>
    <xf numFmtId="0" fontId="19" fillId="0" borderId="34" xfId="1" applyFont="1" applyBorder="1" applyAlignment="1">
      <alignment horizontal="center" vertical="center"/>
    </xf>
    <xf numFmtId="0" fontId="19" fillId="0" borderId="25" xfId="1" applyFont="1" applyBorder="1" applyAlignment="1">
      <alignment horizontal="center" vertical="center"/>
    </xf>
    <xf numFmtId="0" fontId="19" fillId="0" borderId="35" xfId="1" applyFont="1" applyBorder="1" applyAlignment="1">
      <alignment horizontal="center" vertical="center"/>
    </xf>
    <xf numFmtId="0" fontId="16" fillId="0" borderId="36" xfId="1" applyFont="1" applyBorder="1" applyAlignment="1" applyProtection="1">
      <alignment horizontal="center" vertical="center"/>
      <protection locked="0"/>
    </xf>
    <xf numFmtId="0" fontId="16" fillId="0" borderId="37" xfId="1" applyFont="1" applyBorder="1" applyAlignment="1" applyProtection="1">
      <alignment horizontal="center" vertical="center"/>
      <protection locked="0"/>
    </xf>
    <xf numFmtId="0" fontId="16" fillId="0" borderId="42" xfId="1" applyFont="1" applyBorder="1" applyAlignment="1">
      <alignment horizontal="center"/>
    </xf>
    <xf numFmtId="0" fontId="16" fillId="0" borderId="43" xfId="1" applyFont="1" applyBorder="1" applyAlignment="1">
      <alignment horizontal="center"/>
    </xf>
    <xf numFmtId="1" fontId="74" fillId="0" borderId="31" xfId="1" applyNumberFormat="1" applyFont="1" applyBorder="1" applyAlignment="1" applyProtection="1">
      <alignment horizontal="center" vertical="center"/>
      <protection locked="0"/>
    </xf>
    <xf numFmtId="1" fontId="74" fillId="0" borderId="7" xfId="1" applyNumberFormat="1" applyFont="1" applyBorder="1" applyAlignment="1" applyProtection="1">
      <alignment horizontal="center" vertical="center"/>
      <protection locked="0"/>
    </xf>
    <xf numFmtId="0" fontId="19" fillId="0" borderId="31" xfId="1" applyFont="1" applyBorder="1" applyAlignment="1">
      <alignment horizontal="center"/>
    </xf>
    <xf numFmtId="0" fontId="19" fillId="0" borderId="39" xfId="1" applyFont="1" applyBorder="1" applyAlignment="1">
      <alignment horizontal="center"/>
    </xf>
    <xf numFmtId="0" fontId="32" fillId="0" borderId="15" xfId="1" applyFont="1" applyBorder="1" applyAlignment="1" applyProtection="1">
      <alignment horizontal="center"/>
    </xf>
    <xf numFmtId="0" fontId="32" fillId="0" borderId="0" xfId="1" applyFont="1" applyBorder="1" applyAlignment="1" applyProtection="1">
      <alignment horizontal="center"/>
    </xf>
    <xf numFmtId="0" fontId="32" fillId="0" borderId="16" xfId="1" applyFont="1" applyBorder="1" applyAlignment="1" applyProtection="1">
      <alignment horizontal="center"/>
    </xf>
    <xf numFmtId="0" fontId="32" fillId="0" borderId="17" xfId="1" applyFont="1" applyBorder="1" applyAlignment="1" applyProtection="1">
      <alignment horizontal="center"/>
    </xf>
    <xf numFmtId="0" fontId="19" fillId="0" borderId="17" xfId="1" applyFont="1" applyBorder="1" applyAlignment="1" applyProtection="1">
      <alignment horizontal="center"/>
      <protection locked="0"/>
    </xf>
    <xf numFmtId="0" fontId="19" fillId="0" borderId="0" xfId="1" applyFont="1" applyBorder="1" applyAlignment="1" applyProtection="1">
      <alignment horizontal="center"/>
      <protection locked="0"/>
    </xf>
    <xf numFmtId="0" fontId="19" fillId="0" borderId="18" xfId="1" applyFont="1" applyBorder="1" applyAlignment="1" applyProtection="1">
      <alignment horizontal="center"/>
      <protection locked="0"/>
    </xf>
    <xf numFmtId="0" fontId="19" fillId="0" borderId="43" xfId="1" applyFont="1" applyBorder="1" applyAlignment="1">
      <alignment horizontal="center"/>
    </xf>
    <xf numFmtId="0" fontId="33" fillId="0" borderId="0" xfId="1" applyFont="1" applyBorder="1" applyAlignment="1">
      <alignment horizontal="center"/>
    </xf>
    <xf numFmtId="1" fontId="15" fillId="0" borderId="0" xfId="1" applyNumberFormat="1" applyFont="1" applyBorder="1" applyAlignment="1">
      <alignment horizontal="center"/>
    </xf>
    <xf numFmtId="0" fontId="19" fillId="0" borderId="30" xfId="1" applyFont="1" applyBorder="1" applyAlignment="1">
      <alignment horizontal="center"/>
    </xf>
    <xf numFmtId="0" fontId="19" fillId="0" borderId="32" xfId="1" applyFont="1" applyBorder="1" applyAlignment="1">
      <alignment horizontal="center"/>
    </xf>
    <xf numFmtId="0" fontId="19" fillId="0" borderId="15" xfId="1" applyFont="1" applyBorder="1" applyAlignment="1" applyProtection="1">
      <alignment horizontal="center"/>
      <protection locked="0"/>
    </xf>
    <xf numFmtId="0" fontId="19" fillId="0" borderId="16" xfId="1" applyFont="1" applyBorder="1" applyAlignment="1" applyProtection="1">
      <alignment horizontal="center"/>
      <protection locked="0"/>
    </xf>
    <xf numFmtId="0" fontId="33" fillId="0" borderId="17" xfId="1" applyFont="1" applyBorder="1" applyAlignment="1">
      <alignment horizontal="center"/>
    </xf>
    <xf numFmtId="1" fontId="34" fillId="0" borderId="0" xfId="1" applyNumberFormat="1" applyFont="1" applyBorder="1" applyAlignment="1">
      <alignment horizontal="center"/>
    </xf>
    <xf numFmtId="0" fontId="34" fillId="0" borderId="0" xfId="1" applyFont="1" applyBorder="1" applyAlignment="1">
      <alignment horizontal="center"/>
    </xf>
    <xf numFmtId="0" fontId="34" fillId="0" borderId="18" xfId="1" applyFont="1" applyBorder="1" applyAlignment="1">
      <alignment horizontal="center"/>
    </xf>
    <xf numFmtId="1" fontId="68" fillId="0" borderId="9" xfId="1" applyNumberFormat="1" applyFont="1" applyBorder="1" applyAlignment="1">
      <alignment horizontal="center"/>
    </xf>
    <xf numFmtId="0" fontId="68" fillId="0" borderId="9" xfId="1" applyFont="1" applyBorder="1" applyAlignment="1">
      <alignment horizontal="center"/>
    </xf>
    <xf numFmtId="0" fontId="13" fillId="0" borderId="1" xfId="0" applyFont="1" applyBorder="1" applyAlignment="1">
      <alignment horizontal="center"/>
    </xf>
    <xf numFmtId="0" fontId="64" fillId="0" borderId="38" xfId="1" applyFont="1" applyBorder="1" applyAlignment="1" applyProtection="1">
      <alignment horizontal="center" vertical="center" wrapText="1"/>
    </xf>
    <xf numFmtId="0" fontId="64" fillId="0" borderId="39" xfId="1" applyFont="1" applyBorder="1" applyAlignment="1" applyProtection="1">
      <alignment horizontal="center" vertical="center" wrapText="1"/>
    </xf>
    <xf numFmtId="0" fontId="64" fillId="0" borderId="37" xfId="1" applyFont="1" applyBorder="1" applyAlignment="1" applyProtection="1">
      <alignment horizontal="center" vertical="center" wrapText="1"/>
    </xf>
  </cellXfs>
  <cellStyles count="5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3" builtinId="16" customBuiltin="1"/>
    <cellStyle name="Encabezado 4" xfId="6"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10" builtinId="20" customBuiltin="1"/>
    <cellStyle name="Incorrecto" xfId="8" builtinId="27" customBuiltin="1"/>
    <cellStyle name="Moneda 2" xfId="48"/>
    <cellStyle name="Moneda 3" xfId="52"/>
    <cellStyle name="Moneda 4" xfId="51"/>
    <cellStyle name="Neutral" xfId="9" builtinId="28" customBuiltin="1"/>
    <cellStyle name="Normal" xfId="0" builtinId="0"/>
    <cellStyle name="Normal 2" xfId="1"/>
    <cellStyle name="Normal 3" xfId="44"/>
    <cellStyle name="Normal 4" xfId="42"/>
    <cellStyle name="Normal 5" xfId="45"/>
    <cellStyle name="Normal 5 2" xfId="47"/>
    <cellStyle name="Normal 6" xfId="50"/>
    <cellStyle name="Normal 7" xfId="49"/>
    <cellStyle name="Normal 8" xfId="46"/>
    <cellStyle name="Notas 2" xfId="43"/>
    <cellStyle name="Salida" xfId="11" builtinId="21" customBuiltin="1"/>
    <cellStyle name="Texto de advertencia" xfId="15" builtinId="11" customBuiltin="1"/>
    <cellStyle name="Texto explicativo" xfId="16" builtinId="53" customBuiltin="1"/>
    <cellStyle name="Título" xfId="2" builtinId="15" customBuiltin="1"/>
    <cellStyle name="Título 2" xfId="4" builtinId="17" customBuiltin="1"/>
    <cellStyle name="Título 3" xfId="5" builtinId="18" customBuiltin="1"/>
    <cellStyle name="Total" xfId="17" builtinId="25" customBuiltin="1"/>
  </cellStyles>
  <dxfs count="14">
    <dxf>
      <font>
        <b val="0"/>
        <i val="0"/>
        <strike val="0"/>
        <condense val="0"/>
        <extend val="0"/>
        <outline val="0"/>
        <shadow val="0"/>
        <u val="none"/>
        <vertAlign val="baseline"/>
        <sz val="8"/>
        <color theme="1"/>
        <name val="Calibri"/>
        <scheme val="minor"/>
      </font>
      <fill>
        <patternFill patternType="none">
          <fgColor indexed="64"/>
          <bgColor indexed="65"/>
        </patternFill>
      </fill>
    </dxf>
    <dxf>
      <font>
        <b val="0"/>
        <i val="0"/>
        <strike val="0"/>
        <condense val="0"/>
        <extend val="0"/>
        <outline val="0"/>
        <shadow val="0"/>
        <u val="none"/>
        <vertAlign val="baseline"/>
        <sz val="8"/>
        <color theme="1"/>
        <name val="Calibri"/>
        <scheme val="minor"/>
      </font>
      <fill>
        <patternFill patternType="none">
          <fgColor indexed="64"/>
          <bgColor indexed="65"/>
        </patternFill>
      </fill>
    </dxf>
    <dxf>
      <font>
        <b val="0"/>
        <i val="0"/>
        <strike val="0"/>
        <condense val="0"/>
        <extend val="0"/>
        <outline val="0"/>
        <shadow val="0"/>
        <u val="none"/>
        <vertAlign val="baseline"/>
        <sz val="8"/>
        <color theme="1"/>
        <name val="Calibri"/>
        <scheme val="minor"/>
      </font>
      <numFmt numFmtId="0" formatCode="General"/>
      <fill>
        <patternFill patternType="none">
          <fgColor indexed="64"/>
          <bgColor indexed="65"/>
        </patternFill>
      </fill>
    </dxf>
    <dxf>
      <font>
        <b val="0"/>
        <i val="0"/>
        <strike val="0"/>
        <condense val="0"/>
        <extend val="0"/>
        <outline val="0"/>
        <shadow val="0"/>
        <u val="none"/>
        <vertAlign val="baseline"/>
        <sz val="8"/>
        <color theme="1"/>
        <name val="Calibri"/>
        <scheme val="minor"/>
      </font>
      <numFmt numFmtId="0" formatCode="General"/>
      <fill>
        <patternFill patternType="none">
          <fgColor indexed="64"/>
          <bgColor indexed="65"/>
        </patternFill>
      </fill>
    </dxf>
    <dxf>
      <font>
        <b val="0"/>
        <i val="0"/>
        <strike val="0"/>
        <condense val="0"/>
        <extend val="0"/>
        <outline val="0"/>
        <shadow val="0"/>
        <u val="none"/>
        <vertAlign val="baseline"/>
        <sz val="8"/>
        <color theme="1"/>
        <name val="Calibri"/>
        <scheme val="minor"/>
      </font>
      <fill>
        <patternFill patternType="none">
          <fgColor indexed="64"/>
          <bgColor indexed="65"/>
        </patternFill>
      </fill>
    </dxf>
    <dxf>
      <font>
        <b val="0"/>
        <i val="0"/>
        <strike val="0"/>
        <condense val="0"/>
        <extend val="0"/>
        <outline val="0"/>
        <shadow val="0"/>
        <u val="none"/>
        <vertAlign val="baseline"/>
        <sz val="8"/>
        <color theme="1"/>
        <name val="Calibri"/>
        <scheme val="minor"/>
      </font>
      <fill>
        <patternFill patternType="none">
          <fgColor indexed="64"/>
          <bgColor indexed="65"/>
        </patternFill>
      </fill>
    </dxf>
    <dxf>
      <font>
        <b val="0"/>
        <i val="0"/>
        <strike val="0"/>
        <condense val="0"/>
        <extend val="0"/>
        <outline val="0"/>
        <shadow val="0"/>
        <u val="none"/>
        <vertAlign val="baseline"/>
        <sz val="8"/>
        <color theme="1"/>
        <name val="Calibri"/>
        <scheme val="minor"/>
      </font>
      <fill>
        <patternFill patternType="none">
          <fgColor indexed="64"/>
          <bgColor indexed="65"/>
        </patternFill>
      </fill>
    </dxf>
    <dxf>
      <font>
        <b val="0"/>
        <i val="0"/>
        <strike val="0"/>
        <condense val="0"/>
        <extend val="0"/>
        <outline val="0"/>
        <shadow val="0"/>
        <u val="none"/>
        <vertAlign val="baseline"/>
        <sz val="8"/>
        <color theme="1"/>
        <name val="Calibri"/>
        <scheme val="minor"/>
      </font>
      <fill>
        <patternFill patternType="none">
          <fgColor indexed="64"/>
          <bgColor indexed="65"/>
        </patternFill>
      </fill>
    </dxf>
    <dxf>
      <font>
        <b val="0"/>
        <i val="0"/>
        <strike val="0"/>
        <condense val="0"/>
        <extend val="0"/>
        <outline val="0"/>
        <shadow val="0"/>
        <u val="none"/>
        <vertAlign val="baseline"/>
        <sz val="8"/>
        <color theme="1"/>
        <name val="Calibri"/>
        <scheme val="minor"/>
      </font>
      <fill>
        <patternFill patternType="none">
          <fgColor indexed="64"/>
          <bgColor indexed="65"/>
        </patternFill>
      </fill>
    </dxf>
    <dxf>
      <font>
        <b val="0"/>
        <i val="0"/>
        <strike val="0"/>
        <condense val="0"/>
        <extend val="0"/>
        <outline val="0"/>
        <shadow val="0"/>
        <u val="none"/>
        <vertAlign val="baseline"/>
        <sz val="8"/>
        <color theme="1"/>
        <name val="Calibri"/>
        <scheme val="minor"/>
      </font>
      <fill>
        <patternFill patternType="none">
          <fgColor indexed="64"/>
          <bgColor indexed="65"/>
        </patternFill>
      </fill>
    </dxf>
    <dxf>
      <font>
        <b val="0"/>
        <i val="0"/>
        <strike val="0"/>
        <condense val="0"/>
        <extend val="0"/>
        <outline val="0"/>
        <shadow val="0"/>
        <u val="none"/>
        <vertAlign val="baseline"/>
        <sz val="8"/>
        <color theme="0"/>
        <name val="Calibri"/>
        <scheme val="minor"/>
      </font>
      <fill>
        <patternFill patternType="solid">
          <fgColor indexed="64"/>
          <bgColor theme="1" tint="0.249977111117893"/>
        </patternFill>
      </fill>
    </dxf>
    <dxf>
      <font>
        <b/>
        <i val="0"/>
      </font>
      <fill>
        <patternFill>
          <bgColor rgb="FFA4D76B"/>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1" defaultTableStyle="TableStyleMedium2" defaultPivotStyle="PivotStyleLight16">
    <tableStyle name="Estilo de tabla 1" pivot="0" count="0"/>
  </tableStyles>
  <colors>
    <mruColors>
      <color rgb="FFA4D7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REQUISICION-IMPRESION'!A1"/></Relationships>
</file>

<file path=xl/drawings/_rels/drawing2.xml.rels><?xml version="1.0" encoding="UTF-8" standalone="yes"?>
<Relationships xmlns="http://schemas.openxmlformats.org/package/2006/relationships"><Relationship Id="rId2" Type="http://schemas.openxmlformats.org/officeDocument/2006/relationships/hyperlink" Target="#PEDIDO!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761999</xdr:colOff>
      <xdr:row>11</xdr:row>
      <xdr:rowOff>0</xdr:rowOff>
    </xdr:from>
    <xdr:to>
      <xdr:col>9</xdr:col>
      <xdr:colOff>1514474</xdr:colOff>
      <xdr:row>12</xdr:row>
      <xdr:rowOff>57150</xdr:rowOff>
    </xdr:to>
    <xdr:sp macro="" textlink="">
      <xdr:nvSpPr>
        <xdr:cNvPr id="2" name="Rectángulo 1">
          <a:hlinkClick xmlns:r="http://schemas.openxmlformats.org/officeDocument/2006/relationships" r:id="rId1"/>
        </xdr:cNvPr>
        <xdr:cNvSpPr/>
      </xdr:nvSpPr>
      <xdr:spPr>
        <a:xfrm>
          <a:off x="9191624" y="3619500"/>
          <a:ext cx="2276475" cy="371475"/>
        </a:xfrm>
        <a:prstGeom prst="rect">
          <a:avLst/>
        </a:prstGeom>
        <a:effectLst>
          <a:innerShdw blurRad="63500" dist="50800" dir="18900000">
            <a:prstClr val="black">
              <a:alpha val="50000"/>
            </a:prstClr>
          </a:innerShdw>
        </a:effectLst>
        <a:scene3d>
          <a:camera prst="orthographicFront"/>
          <a:lightRig rig="threePt" dir="t"/>
        </a:scene3d>
        <a:sp3d>
          <a:bevelT w="114300" prst="artDeco"/>
        </a:sp3d>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400"/>
            <a:t>VER REQUISICION</a:t>
          </a:r>
        </a:p>
      </xdr:txBody>
    </xdr:sp>
    <xdr:clientData/>
  </xdr:twoCellAnchor>
  <xdr:oneCellAnchor>
    <xdr:from>
      <xdr:col>6</xdr:col>
      <xdr:colOff>133350</xdr:colOff>
      <xdr:row>2</xdr:row>
      <xdr:rowOff>216580</xdr:rowOff>
    </xdr:from>
    <xdr:ext cx="1066800" cy="393019"/>
    <xdr:sp macro="[0]!ORDENAR" textlink="">
      <xdr:nvSpPr>
        <xdr:cNvPr id="102" name="Rectángulo redondeado 101"/>
        <xdr:cNvSpPr/>
      </xdr:nvSpPr>
      <xdr:spPr>
        <a:xfrm>
          <a:off x="7800975" y="1007155"/>
          <a:ext cx="1066800" cy="393019"/>
        </a:xfrm>
        <a:prstGeom prst="roundRect">
          <a:avLst/>
        </a:prstGeom>
        <a:effectLst>
          <a:innerShdw blurRad="63500" dist="50800" dir="13500000">
            <a:prstClr val="black">
              <a:alpha val="50000"/>
            </a:prstClr>
          </a:inn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nchorCtr="0">
          <a:noAutofit/>
        </a:bodyPr>
        <a:lstStyle/>
        <a:p>
          <a:pPr algn="ctr"/>
          <a:r>
            <a:rPr lang="en-US" sz="1100">
              <a:latin typeface="Cooper Black" panose="0208090404030B020404" pitchFamily="18" charset="0"/>
            </a:rPr>
            <a:t>ORDENAR</a:t>
          </a:r>
        </a:p>
      </xdr:txBody>
    </xdr:sp>
    <xdr:clientData/>
  </xdr:oneCellAnchor>
  <xdr:oneCellAnchor>
    <xdr:from>
      <xdr:col>6</xdr:col>
      <xdr:colOff>161925</xdr:colOff>
      <xdr:row>4</xdr:row>
      <xdr:rowOff>304800</xdr:rowOff>
    </xdr:from>
    <xdr:ext cx="1066800" cy="393019"/>
    <xdr:sp macro="[0]!LIMPIAR" textlink="">
      <xdr:nvSpPr>
        <xdr:cNvPr id="104" name="Rectángulo redondeado 103"/>
        <xdr:cNvSpPr/>
      </xdr:nvSpPr>
      <xdr:spPr>
        <a:xfrm>
          <a:off x="7829550" y="1724025"/>
          <a:ext cx="1066800" cy="393019"/>
        </a:xfrm>
        <a:prstGeom prst="roundRect">
          <a:avLst/>
        </a:prstGeom>
        <a:solidFill>
          <a:schemeClr val="accent1">
            <a:lumMod val="50000"/>
          </a:schemeClr>
        </a:solidFill>
        <a:effectLst>
          <a:innerShdw blurRad="63500" dist="50800" dir="13500000">
            <a:prstClr val="black">
              <a:alpha val="50000"/>
            </a:prstClr>
          </a:inn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nchorCtr="0">
          <a:noAutofit/>
        </a:bodyPr>
        <a:lstStyle/>
        <a:p>
          <a:pPr algn="ctr"/>
          <a:r>
            <a:rPr lang="en-US" sz="1100">
              <a:latin typeface="Cooper Black" panose="0208090404030B020404" pitchFamily="18" charset="0"/>
            </a:rPr>
            <a:t>LIMPIAR</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0</xdr:rowOff>
    </xdr:from>
    <xdr:to>
      <xdr:col>3</xdr:col>
      <xdr:colOff>38100</xdr:colOff>
      <xdr:row>2</xdr:row>
      <xdr:rowOff>47625</xdr:rowOff>
    </xdr:to>
    <xdr:pic>
      <xdr:nvPicPr>
        <xdr:cNvPr id="3" name="Picture 1"/>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0"/>
          <a:ext cx="6286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31</xdr:col>
      <xdr:colOff>0</xdr:colOff>
      <xdr:row>11</xdr:row>
      <xdr:rowOff>0</xdr:rowOff>
    </xdr:from>
    <xdr:to>
      <xdr:col>33</xdr:col>
      <xdr:colOff>95250</xdr:colOff>
      <xdr:row>13</xdr:row>
      <xdr:rowOff>114300</xdr:rowOff>
    </xdr:to>
    <xdr:sp macro="" textlink="">
      <xdr:nvSpPr>
        <xdr:cNvPr id="6" name="Rectángulo 5">
          <a:hlinkClick xmlns:r="http://schemas.openxmlformats.org/officeDocument/2006/relationships" r:id="rId2"/>
        </xdr:cNvPr>
        <xdr:cNvSpPr/>
      </xdr:nvSpPr>
      <xdr:spPr>
        <a:xfrm>
          <a:off x="7134225" y="1714500"/>
          <a:ext cx="1619250" cy="438150"/>
        </a:xfrm>
        <a:prstGeom prst="rect">
          <a:avLst/>
        </a:prstGeom>
        <a:effectLst>
          <a:innerShdw blurRad="63500" dist="50800" dir="18900000">
            <a:prstClr val="black">
              <a:alpha val="50000"/>
            </a:prstClr>
          </a:innerShdw>
        </a:effectLst>
        <a:scene3d>
          <a:camera prst="orthographicFront"/>
          <a:lightRig rig="threePt" dir="t"/>
        </a:scene3d>
        <a:sp3d>
          <a:bevelT w="101600" prst="riblet"/>
        </a:sp3d>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100">
              <a:latin typeface="Berlin Sans FB Demi" panose="020E0802020502020306" pitchFamily="34" charset="0"/>
            </a:rPr>
            <a:t>PEDIDO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0</xdr:rowOff>
    </xdr:from>
    <xdr:to>
      <xdr:col>0</xdr:col>
      <xdr:colOff>533400</xdr:colOff>
      <xdr:row>3</xdr:row>
      <xdr:rowOff>19050</xdr:rowOff>
    </xdr:to>
    <xdr:pic>
      <xdr:nvPicPr>
        <xdr:cNvPr id="2" name="Picture 1" descr="LOGO-ISSS-2010"/>
        <xdr:cNvPicPr>
          <a:picLocks noChangeAspect="1" noChangeArrowheads="1"/>
        </xdr:cNvPicPr>
      </xdr:nvPicPr>
      <xdr:blipFill>
        <a:blip xmlns:r="http://schemas.openxmlformats.org/officeDocument/2006/relationships" r:embed="rId1" cstate="print">
          <a:grayscl/>
          <a:extLst>
            <a:ext uri="{28A0092B-C50C-407E-A947-70E740481C1C}">
              <a14:useLocalDpi xmlns:a14="http://schemas.microsoft.com/office/drawing/2010/main" val="0"/>
            </a:ext>
          </a:extLst>
        </a:blip>
        <a:srcRect/>
        <a:stretch>
          <a:fillRect/>
        </a:stretch>
      </xdr:blipFill>
      <xdr:spPr bwMode="auto">
        <a:xfrm>
          <a:off x="9525" y="0"/>
          <a:ext cx="5238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xdr:colOff>
      <xdr:row>0</xdr:row>
      <xdr:rowOff>0</xdr:rowOff>
    </xdr:from>
    <xdr:to>
      <xdr:col>0</xdr:col>
      <xdr:colOff>533400</xdr:colOff>
      <xdr:row>3</xdr:row>
      <xdr:rowOff>19050</xdr:rowOff>
    </xdr:to>
    <xdr:pic>
      <xdr:nvPicPr>
        <xdr:cNvPr id="3" name="Picture 10" descr="LOGO-ISSS-2010"/>
        <xdr:cNvPicPr>
          <a:picLocks noChangeAspect="1" noChangeArrowheads="1"/>
        </xdr:cNvPicPr>
      </xdr:nvPicPr>
      <xdr:blipFill>
        <a:blip xmlns:r="http://schemas.openxmlformats.org/officeDocument/2006/relationships" r:embed="rId1" cstate="print">
          <a:grayscl/>
          <a:extLst>
            <a:ext uri="{28A0092B-C50C-407E-A947-70E740481C1C}">
              <a14:useLocalDpi xmlns:a14="http://schemas.microsoft.com/office/drawing/2010/main" val="0"/>
            </a:ext>
          </a:extLst>
        </a:blip>
        <a:srcRect/>
        <a:stretch>
          <a:fillRect/>
        </a:stretch>
      </xdr:blipFill>
      <xdr:spPr bwMode="auto">
        <a:xfrm>
          <a:off x="9525" y="0"/>
          <a:ext cx="5238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xdr:colOff>
      <xdr:row>0</xdr:row>
      <xdr:rowOff>0</xdr:rowOff>
    </xdr:from>
    <xdr:to>
      <xdr:col>0</xdr:col>
      <xdr:colOff>533400</xdr:colOff>
      <xdr:row>3</xdr:row>
      <xdr:rowOff>19050</xdr:rowOff>
    </xdr:to>
    <xdr:pic>
      <xdr:nvPicPr>
        <xdr:cNvPr id="4" name="Picture 1" descr="LOGO-ISSS-2010"/>
        <xdr:cNvPicPr>
          <a:picLocks noChangeAspect="1" noChangeArrowheads="1"/>
        </xdr:cNvPicPr>
      </xdr:nvPicPr>
      <xdr:blipFill>
        <a:blip xmlns:r="http://schemas.openxmlformats.org/officeDocument/2006/relationships" r:embed="rId1" cstate="print">
          <a:grayscl/>
          <a:extLst>
            <a:ext uri="{28A0092B-C50C-407E-A947-70E740481C1C}">
              <a14:useLocalDpi xmlns:a14="http://schemas.microsoft.com/office/drawing/2010/main" val="0"/>
            </a:ext>
          </a:extLst>
        </a:blip>
        <a:srcRect/>
        <a:stretch>
          <a:fillRect/>
        </a:stretch>
      </xdr:blipFill>
      <xdr:spPr bwMode="auto">
        <a:xfrm>
          <a:off x="9525" y="0"/>
          <a:ext cx="5238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xdr:colOff>
      <xdr:row>0</xdr:row>
      <xdr:rowOff>0</xdr:rowOff>
    </xdr:from>
    <xdr:to>
      <xdr:col>0</xdr:col>
      <xdr:colOff>533400</xdr:colOff>
      <xdr:row>3</xdr:row>
      <xdr:rowOff>19050</xdr:rowOff>
    </xdr:to>
    <xdr:pic>
      <xdr:nvPicPr>
        <xdr:cNvPr id="5" name="Picture 1" descr="LOGO-ISSS-2010"/>
        <xdr:cNvPicPr>
          <a:picLocks noChangeAspect="1" noChangeArrowheads="1"/>
        </xdr:cNvPicPr>
      </xdr:nvPicPr>
      <xdr:blipFill>
        <a:blip xmlns:r="http://schemas.openxmlformats.org/officeDocument/2006/relationships" r:embed="rId1" cstate="print">
          <a:grayscl/>
          <a:extLst>
            <a:ext uri="{28A0092B-C50C-407E-A947-70E740481C1C}">
              <a14:useLocalDpi xmlns:a14="http://schemas.microsoft.com/office/drawing/2010/main" val="0"/>
            </a:ext>
          </a:extLst>
        </a:blip>
        <a:srcRect/>
        <a:stretch>
          <a:fillRect/>
        </a:stretch>
      </xdr:blipFill>
      <xdr:spPr bwMode="auto">
        <a:xfrm>
          <a:off x="9525" y="0"/>
          <a:ext cx="5238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msoy-alm-6765\almacen\almacen\Users\FRANK\Documents\Requisicion_Plantilla_Ordena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PEDIDOS%20AGOSTO-SEPTIEMBRE\U400\01-08-2023-538702-Odontologia-odo.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msoy-alm-6765\almacen\almacen\Documents%20and%20Settings\josue.martinez\Configuraci&#243;n%20local\Archivos%20temporales%20de%20Internet\OLK3\Copia%20de%20CONSUMO_%20INSUMOS%20MEDICOS%20UMSOYAPANGO_ALMACEN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QUISICION INTERNA ALMACEN"/>
      <sheetName val="PEDIDO"/>
      <sheetName val="REQUISICION-IMPRESION"/>
      <sheetName val="PRODUCTO"/>
      <sheetName val="C.COST"/>
      <sheetName val="base"/>
      <sheetName val="DATOS"/>
    </sheetNames>
    <sheetDataSet>
      <sheetData sheetId="0"/>
      <sheetData sheetId="1"/>
      <sheetData sheetId="2"/>
      <sheetData sheetId="3"/>
      <sheetData sheetId="4">
        <row r="2">
          <cell r="A2" t="str">
            <v>DIRECCION</v>
          </cell>
          <cell r="B2">
            <v>538001</v>
          </cell>
        </row>
        <row r="3">
          <cell r="A3" t="str">
            <v>ADMINISTRACION</v>
          </cell>
          <cell r="B3">
            <v>538101</v>
          </cell>
        </row>
        <row r="4">
          <cell r="A4" t="str">
            <v>SERVICIOS GENERALES</v>
          </cell>
          <cell r="B4">
            <v>538102</v>
          </cell>
        </row>
        <row r="5">
          <cell r="A5" t="str">
            <v>ALMACEN</v>
          </cell>
          <cell r="B5">
            <v>538103</v>
          </cell>
        </row>
        <row r="6">
          <cell r="A6" t="str">
            <v>LAVANDERIA</v>
          </cell>
          <cell r="B6">
            <v>538104</v>
          </cell>
        </row>
        <row r="7">
          <cell r="A7" t="str">
            <v>TRANSPORTE</v>
          </cell>
          <cell r="B7">
            <v>538105</v>
          </cell>
        </row>
        <row r="8">
          <cell r="A8" t="str">
            <v>ADMISION Y REGISTROS MEDICOS</v>
          </cell>
          <cell r="B8">
            <v>538107</v>
          </cell>
        </row>
        <row r="9">
          <cell r="A9" t="str">
            <v>RADIOLOGIA E IMÁGENES</v>
          </cell>
          <cell r="B9" t="str">
            <v>538A04</v>
          </cell>
        </row>
        <row r="10">
          <cell r="A10" t="str">
            <v>LABORATORIO CLINICO</v>
          </cell>
          <cell r="B10" t="str">
            <v>538A08</v>
          </cell>
        </row>
        <row r="11">
          <cell r="A11" t="str">
            <v>MEDICINA FISICA Y REHABILITACION</v>
          </cell>
          <cell r="B11" t="str">
            <v>538A22</v>
          </cell>
        </row>
        <row r="12">
          <cell r="A12" t="str">
            <v>NUTRICION (DIETOLOGIA CLINICA)</v>
          </cell>
          <cell r="B12" t="str">
            <v>538A24</v>
          </cell>
        </row>
        <row r="13">
          <cell r="A13" t="str">
            <v>EDUCACION PARA LA SALUD</v>
          </cell>
          <cell r="B13" t="str">
            <v>538A26</v>
          </cell>
        </row>
        <row r="14">
          <cell r="A14" t="str">
            <v>TERAPIA RESPIRATORIA</v>
          </cell>
          <cell r="B14" t="str">
            <v>538A31</v>
          </cell>
        </row>
        <row r="15">
          <cell r="A15" t="str">
            <v>SALUD MENTAL</v>
          </cell>
          <cell r="B15" t="str">
            <v>538A38</v>
          </cell>
        </row>
        <row r="16">
          <cell r="A16" t="str">
            <v>GERONTO - GERIATRIA (GERONTOLOGIA)</v>
          </cell>
          <cell r="B16" t="str">
            <v>538A40</v>
          </cell>
        </row>
        <row r="17">
          <cell r="A17" t="str">
            <v>CENTRAL DE ESTERILIZACION Y SUMINISTROS</v>
          </cell>
          <cell r="B17" t="str">
            <v>538B01</v>
          </cell>
        </row>
        <row r="18">
          <cell r="A18" t="str">
            <v>ENFERMERIA</v>
          </cell>
          <cell r="B18" t="str">
            <v>538B02</v>
          </cell>
        </row>
        <row r="19">
          <cell r="A19" t="str">
            <v>FARMACIA</v>
          </cell>
          <cell r="B19" t="str">
            <v>538B03</v>
          </cell>
        </row>
        <row r="20">
          <cell r="A20" t="str">
            <v>TRABAJO SOCIAL</v>
          </cell>
          <cell r="B20" t="str">
            <v>538B04</v>
          </cell>
        </row>
        <row r="21">
          <cell r="A21" t="str">
            <v>MEDICINA INTERNA</v>
          </cell>
          <cell r="B21">
            <v>538202</v>
          </cell>
        </row>
        <row r="22">
          <cell r="A22" t="str">
            <v>DEMATOLOGIA</v>
          </cell>
          <cell r="B22">
            <v>538213</v>
          </cell>
        </row>
        <row r="23">
          <cell r="A23" t="str">
            <v>MEDICINA GENERAL</v>
          </cell>
          <cell r="B23">
            <v>538214</v>
          </cell>
        </row>
        <row r="24">
          <cell r="A24" t="str">
            <v>EMERGENCIA, MEDICINA Y CIRUGIA</v>
          </cell>
          <cell r="B24">
            <v>538217</v>
          </cell>
        </row>
        <row r="25">
          <cell r="A25" t="str">
            <v>EMERGENCIA PEDIATRICA</v>
          </cell>
          <cell r="B25">
            <v>538504</v>
          </cell>
        </row>
        <row r="26">
          <cell r="A26" t="str">
            <v>CIRUGIA GENERAL</v>
          </cell>
          <cell r="B26">
            <v>538304</v>
          </cell>
        </row>
        <row r="27">
          <cell r="A27" t="str">
            <v>OFTALMOLOGIA</v>
          </cell>
          <cell r="B27">
            <v>538307</v>
          </cell>
        </row>
        <row r="28">
          <cell r="A28" t="str">
            <v>OTORRINOLARINGOLOGIA</v>
          </cell>
          <cell r="B28">
            <v>538308</v>
          </cell>
        </row>
        <row r="29">
          <cell r="A29" t="str">
            <v xml:space="preserve">GINECOLOGIA Y OBSTETRICIA </v>
          </cell>
          <cell r="B29">
            <v>538402</v>
          </cell>
        </row>
        <row r="30">
          <cell r="A30" t="str">
            <v>PEDIATRIA</v>
          </cell>
          <cell r="B30">
            <v>538502</v>
          </cell>
        </row>
        <row r="31">
          <cell r="A31" t="str">
            <v>ODONTOLOGIA GENERAL</v>
          </cell>
          <cell r="B31">
            <v>538702</v>
          </cell>
        </row>
        <row r="32">
          <cell r="A32" t="str">
            <v>CLINICA COMUNAL REPATO MORAZAN</v>
          </cell>
          <cell r="B32" t="str">
            <v>538C01</v>
          </cell>
        </row>
        <row r="33">
          <cell r="A33" t="str">
            <v>PROYECTO ATENCION CONSULTA EXTERNA NIÑOS, CLINICA COMUNAL REPARTO MORAZAN</v>
          </cell>
          <cell r="B33" t="str">
            <v>538CX4</v>
          </cell>
        </row>
        <row r="34">
          <cell r="A34" t="str">
            <v>CLINICA COMUNAL SAN JOSE</v>
          </cell>
          <cell r="B34" t="str">
            <v>538C02</v>
          </cell>
        </row>
        <row r="35">
          <cell r="A35" t="str">
            <v>HOSPITALIZACIÓN PEDIÁTRICA</v>
          </cell>
          <cell r="B35">
            <v>538506</v>
          </cell>
        </row>
      </sheetData>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DIDO"/>
      <sheetName val="REQUISICION-IMPRESION"/>
      <sheetName val="PRODUCTO"/>
      <sheetName val="C.COST"/>
      <sheetName val="BaseMateriales"/>
    </sheetNames>
    <sheetDataSet>
      <sheetData sheetId="0" refreshError="1"/>
      <sheetData sheetId="1" refreshError="1"/>
      <sheetData sheetId="2" refreshError="1">
        <row r="5">
          <cell r="B5">
            <v>2004002</v>
          </cell>
          <cell r="C5" t="str">
            <v>ETER SULFURICO (ETER ETILICO) (C4 H10O)</v>
          </cell>
          <cell r="D5" t="str">
            <v>ML</v>
          </cell>
        </row>
        <row r="6">
          <cell r="B6">
            <v>2006005</v>
          </cell>
          <cell r="C6" t="str">
            <v>ANTIESTREPTOLISINA "O"</v>
          </cell>
          <cell r="D6" t="str">
            <v>ML</v>
          </cell>
        </row>
        <row r="7">
          <cell r="B7">
            <v>2006024</v>
          </cell>
          <cell r="C7" t="str">
            <v>PROTEINA "C" REACTIVA  (PCR)</v>
          </cell>
          <cell r="D7" t="str">
            <v>C/U</v>
          </cell>
        </row>
        <row r="8">
          <cell r="B8">
            <v>2006025</v>
          </cell>
          <cell r="C8" t="str">
            <v>FACTOR REUMATOIDE  (LATEX R.A.)</v>
          </cell>
          <cell r="D8" t="str">
            <v>C/U</v>
          </cell>
        </row>
        <row r="9">
          <cell r="B9">
            <v>2006030</v>
          </cell>
          <cell r="C9" t="str">
            <v>PRUEB. CUANT DET.REAGINA T. PALLIDUM</v>
          </cell>
          <cell r="D9" t="str">
            <v>C/U</v>
          </cell>
        </row>
        <row r="10">
          <cell r="B10">
            <v>2006031</v>
          </cell>
          <cell r="C10" t="str">
            <v>REACTIVO D. SANGRE OCULTA EN HECES</v>
          </cell>
          <cell r="D10" t="str">
            <v>C/U</v>
          </cell>
        </row>
        <row r="11">
          <cell r="B11">
            <v>2006032</v>
          </cell>
          <cell r="C11" t="str">
            <v>TIRAS REACTS DENSID. SUSTS QCAS ORINA</v>
          </cell>
          <cell r="D11" t="str">
            <v>TIRA</v>
          </cell>
        </row>
        <row r="12">
          <cell r="B12">
            <v>2006036</v>
          </cell>
          <cell r="C12" t="str">
            <v>TIRAS REACTS DETER SUST QCAS EN ORINA</v>
          </cell>
          <cell r="D12" t="str">
            <v>PRUEBA</v>
          </cell>
        </row>
        <row r="13">
          <cell r="B13">
            <v>2006038</v>
          </cell>
          <cell r="C13" t="str">
            <v>TIEMPO DE/TROMBOPLASTINA PARCIAL (TTP)</v>
          </cell>
          <cell r="D13" t="str">
            <v>PRUEBA</v>
          </cell>
        </row>
        <row r="14">
          <cell r="B14">
            <v>2006088</v>
          </cell>
          <cell r="C14" t="str">
            <v>TIRA REACTIVA DETERM. GLUCOSA EN SANGRE</v>
          </cell>
          <cell r="D14" t="str">
            <v>TIRAS</v>
          </cell>
        </row>
        <row r="15">
          <cell r="B15">
            <v>2006132</v>
          </cell>
          <cell r="C15" t="str">
            <v>PRUEBA RAP. S-UNIDAD B-GON.CORIONICA HUM</v>
          </cell>
          <cell r="D15" t="str">
            <v>TIRAS</v>
          </cell>
        </row>
        <row r="16">
          <cell r="B16">
            <v>2006133</v>
          </cell>
          <cell r="C16" t="str">
            <v>PRUEBA RAP. CUALIT. ANTICUERPO ANTI VIH</v>
          </cell>
          <cell r="D16" t="str">
            <v>C/U</v>
          </cell>
        </row>
        <row r="17">
          <cell r="B17">
            <v>2007006</v>
          </cell>
          <cell r="C17" t="str">
            <v>SLN CONC. 50 G DE GLUCOSA P/CURVA DE TOL</v>
          </cell>
          <cell r="D17" t="str">
            <v>ML</v>
          </cell>
        </row>
        <row r="18">
          <cell r="B18">
            <v>2007007</v>
          </cell>
          <cell r="C18" t="str">
            <v>SLN CONC. 75 G DE GLUCOSA P/CURVA DE TOL</v>
          </cell>
          <cell r="D18" t="str">
            <v>ML</v>
          </cell>
        </row>
        <row r="19">
          <cell r="B19">
            <v>2007008</v>
          </cell>
          <cell r="C19" t="str">
            <v>SLN CONC. 100 G DE GLUCOSA P/CURVA TOL.</v>
          </cell>
          <cell r="D19" t="str">
            <v>ML</v>
          </cell>
        </row>
        <row r="20">
          <cell r="B20">
            <v>2100006</v>
          </cell>
          <cell r="C20" t="str">
            <v>REACT. P/DETERM ANTIGENO-(ANTI A) MONOC.</v>
          </cell>
          <cell r="D20" t="str">
            <v>C/U</v>
          </cell>
        </row>
        <row r="21">
          <cell r="B21">
            <v>2100008</v>
          </cell>
          <cell r="C21" t="str">
            <v>REACT. P/DETEC. ANTIGENO B (ANTI B) MONO</v>
          </cell>
          <cell r="D21" t="str">
            <v>C/U</v>
          </cell>
        </row>
        <row r="22">
          <cell r="B22">
            <v>2100011</v>
          </cell>
          <cell r="C22" t="str">
            <v>REACT.P/DET. ANTIGENO D (ANTI D)(IgG  -</v>
          </cell>
          <cell r="D22" t="str">
            <v>C/U</v>
          </cell>
        </row>
        <row r="23">
          <cell r="B23">
            <v>2100014</v>
          </cell>
          <cell r="C23" t="str">
            <v>ANTIGLOBULINA HUM. POLI-ESPECIF. ANTI Ig</v>
          </cell>
          <cell r="D23" t="str">
            <v>C/U</v>
          </cell>
        </row>
        <row r="24">
          <cell r="B24">
            <v>2100015</v>
          </cell>
          <cell r="C24" t="str">
            <v>ALBUMINA BOVINA AL 22%.</v>
          </cell>
          <cell r="D24" t="str">
            <v>C/U</v>
          </cell>
        </row>
        <row r="25">
          <cell r="B25">
            <v>2100047</v>
          </cell>
          <cell r="C25" t="str">
            <v>DETECCION DIRECTA DE ROTAVIRUS.</v>
          </cell>
          <cell r="D25" t="str">
            <v>PRUEBA</v>
          </cell>
        </row>
        <row r="26">
          <cell r="B26">
            <v>2101005</v>
          </cell>
          <cell r="C26" t="str">
            <v>PLASMA CONTROL NORMAL DE COAGULACION</v>
          </cell>
          <cell r="D26" t="str">
            <v>C/U</v>
          </cell>
        </row>
        <row r="27">
          <cell r="B27">
            <v>2102001</v>
          </cell>
          <cell r="C27" t="str">
            <v>ACIDO NALIDIXICO DISCO 30 mcg.</v>
          </cell>
          <cell r="D27" t="str">
            <v>DISCOS</v>
          </cell>
        </row>
        <row r="28">
          <cell r="B28">
            <v>2102002</v>
          </cell>
          <cell r="C28" t="str">
            <v>AMIKACINA DISCO 30 mcg.</v>
          </cell>
          <cell r="D28" t="str">
            <v>DISCOS</v>
          </cell>
        </row>
        <row r="29">
          <cell r="B29">
            <v>2102003</v>
          </cell>
          <cell r="C29" t="str">
            <v>PIPERACILINA DISCO 100 mcg .</v>
          </cell>
          <cell r="D29" t="str">
            <v>DISCOS</v>
          </cell>
        </row>
        <row r="30">
          <cell r="B30">
            <v>2102004</v>
          </cell>
          <cell r="C30" t="str">
            <v>CEFALOTINA DISCO 30 mcg.</v>
          </cell>
          <cell r="D30" t="str">
            <v>DISCOS</v>
          </cell>
        </row>
        <row r="31">
          <cell r="B31">
            <v>2102005</v>
          </cell>
          <cell r="C31" t="str">
            <v>CLINDAMICINA DISCO 2 mcg.</v>
          </cell>
          <cell r="D31" t="str">
            <v>DISCOS</v>
          </cell>
        </row>
        <row r="32">
          <cell r="B32">
            <v>2102006</v>
          </cell>
          <cell r="C32" t="str">
            <v>CLORANFENICOL DISCO 30 mcg.</v>
          </cell>
          <cell r="D32" t="str">
            <v>DISCOS</v>
          </cell>
        </row>
        <row r="33">
          <cell r="B33">
            <v>2102007</v>
          </cell>
          <cell r="C33" t="str">
            <v>ERITROMICINA DISCO 15 mcg.</v>
          </cell>
          <cell r="D33" t="str">
            <v>DISCOS</v>
          </cell>
        </row>
        <row r="34">
          <cell r="B34">
            <v>2102008</v>
          </cell>
          <cell r="C34" t="str">
            <v>GENTAMICINA DISCO 10 mcg .</v>
          </cell>
          <cell r="D34" t="str">
            <v>DISCOS</v>
          </cell>
        </row>
        <row r="35">
          <cell r="B35">
            <v>2102010</v>
          </cell>
          <cell r="C35" t="str">
            <v>NITROFURANTOINA DISCO 300 mcg.</v>
          </cell>
          <cell r="D35" t="str">
            <v>DISCOS</v>
          </cell>
        </row>
        <row r="36">
          <cell r="B36">
            <v>2102012</v>
          </cell>
          <cell r="C36" t="str">
            <v>PENICILINA G DISCO 10 U.</v>
          </cell>
          <cell r="D36" t="str">
            <v>DISCOS</v>
          </cell>
        </row>
        <row r="37">
          <cell r="B37">
            <v>2102014</v>
          </cell>
          <cell r="C37" t="str">
            <v>BACITRACINA TAXO A  DISCO 0.04 U .</v>
          </cell>
          <cell r="D37" t="str">
            <v>DISCOS</v>
          </cell>
        </row>
        <row r="38">
          <cell r="B38">
            <v>2102016</v>
          </cell>
          <cell r="C38" t="str">
            <v>TAXO "P" O PRUEBA DE OPTOCHIN.</v>
          </cell>
          <cell r="D38" t="str">
            <v>DISCOS</v>
          </cell>
        </row>
        <row r="39">
          <cell r="B39">
            <v>2102020</v>
          </cell>
          <cell r="C39" t="str">
            <v>TETRACICLINA DISCO 30 mcg.</v>
          </cell>
          <cell r="D39" t="str">
            <v>DISCOS</v>
          </cell>
        </row>
        <row r="40">
          <cell r="B40">
            <v>2102021</v>
          </cell>
          <cell r="C40" t="str">
            <v>TRIMETROPRIN SULFAMET. DISCO 1.25/23.75</v>
          </cell>
          <cell r="D40" t="str">
            <v>DISCOS</v>
          </cell>
        </row>
        <row r="41">
          <cell r="B41">
            <v>2102024</v>
          </cell>
          <cell r="C41" t="str">
            <v>AMPICILINA - SULBACTAN DISCO 10/10 mcg.</v>
          </cell>
          <cell r="D41" t="str">
            <v>DISCOS</v>
          </cell>
        </row>
        <row r="42">
          <cell r="B42">
            <v>2102025</v>
          </cell>
          <cell r="C42" t="str">
            <v>PIPERACILINA - TAZOBACTAN DISCO 100/10 m</v>
          </cell>
          <cell r="D42" t="str">
            <v>DISCOS</v>
          </cell>
        </row>
        <row r="43">
          <cell r="B43">
            <v>2102029</v>
          </cell>
          <cell r="C43" t="str">
            <v>SIST. PBAS BIOQCAS. IDENTIFIC. BACILOS G</v>
          </cell>
          <cell r="D43" t="str">
            <v>C/U</v>
          </cell>
        </row>
        <row r="44">
          <cell r="B44">
            <v>2102030</v>
          </cell>
          <cell r="C44" t="str">
            <v>SIST. PBAS BIOQCAS. IDENTIFIC. LEVADURAS</v>
          </cell>
          <cell r="D44" t="str">
            <v>DISCOS</v>
          </cell>
        </row>
        <row r="45">
          <cell r="B45">
            <v>2102032</v>
          </cell>
          <cell r="C45" t="str">
            <v>CALDO SELENITO F.  FRASCO 100  -  500 G.</v>
          </cell>
          <cell r="D45" t="str">
            <v>DISCOS</v>
          </cell>
        </row>
        <row r="46">
          <cell r="B46">
            <v>2102033</v>
          </cell>
          <cell r="C46" t="str">
            <v>CALDO DE INFUSION CEREBRO CORAZON.</v>
          </cell>
          <cell r="D46" t="str">
            <v>GRAMOS</v>
          </cell>
        </row>
        <row r="47">
          <cell r="B47">
            <v>2102035</v>
          </cell>
          <cell r="C47" t="str">
            <v>CALDO ROJO DE METILO VOGES PROSKAWER.</v>
          </cell>
          <cell r="D47" t="str">
            <v>GRAMOS</v>
          </cell>
        </row>
        <row r="48">
          <cell r="B48">
            <v>2102036</v>
          </cell>
          <cell r="C48" t="str">
            <v>CALDO TIOGLICOLATO CON INDICADOR.</v>
          </cell>
          <cell r="D48" t="str">
            <v>GRAMOS</v>
          </cell>
        </row>
        <row r="49">
          <cell r="B49">
            <v>2102038</v>
          </cell>
          <cell r="C49" t="str">
            <v>CALDO TRIPTICASA SOYA.</v>
          </cell>
          <cell r="D49" t="str">
            <v>GRAMOS</v>
          </cell>
        </row>
        <row r="50">
          <cell r="B50">
            <v>2102041</v>
          </cell>
          <cell r="C50" t="str">
            <v>AGAR EOSINA AZUL DE METILENO  (EMB) .</v>
          </cell>
          <cell r="D50" t="str">
            <v>GRAMOS</v>
          </cell>
        </row>
        <row r="51">
          <cell r="B51">
            <v>2102042</v>
          </cell>
          <cell r="C51" t="str">
            <v>ENRIQUECIMIENTO ISOVITALEX O SIMILAR,</v>
          </cell>
          <cell r="D51" t="str">
            <v>AMPOLLA</v>
          </cell>
        </row>
        <row r="52">
          <cell r="B52">
            <v>2102045</v>
          </cell>
          <cell r="C52" t="str">
            <v>AGAR MacCKONKEY C/COLORANTE DE VIOLETA</v>
          </cell>
          <cell r="D52" t="str">
            <v>GRAMOS</v>
          </cell>
        </row>
        <row r="53">
          <cell r="B53">
            <v>2102046</v>
          </cell>
          <cell r="C53" t="str">
            <v>AGAR MANITOL ROJO DE FENOL</v>
          </cell>
          <cell r="D53" t="str">
            <v>GRAMOS</v>
          </cell>
        </row>
        <row r="54">
          <cell r="B54">
            <v>2102047</v>
          </cell>
          <cell r="C54" t="str">
            <v>AGAR MICOCEL     FRASCO 100  -  500 G.</v>
          </cell>
          <cell r="D54" t="str">
            <v>GRAMOS</v>
          </cell>
        </row>
        <row r="55">
          <cell r="B55">
            <v>2102048</v>
          </cell>
          <cell r="C55" t="str">
            <v>MEDIO MOVILIDAD.   FRASCO 100  -  500 G.</v>
          </cell>
          <cell r="D55" t="str">
            <v>GRAMOS</v>
          </cell>
        </row>
        <row r="56">
          <cell r="B56">
            <v>2102049</v>
          </cell>
          <cell r="C56" t="str">
            <v>AGAR MUELLER HINTON.</v>
          </cell>
          <cell r="D56" t="str">
            <v>GRAMOS</v>
          </cell>
        </row>
        <row r="57">
          <cell r="B57">
            <v>2102051</v>
          </cell>
          <cell r="C57" t="str">
            <v>AGAR FENIL ETANOL  (P.A.) .</v>
          </cell>
          <cell r="D57" t="str">
            <v>GRAMOS</v>
          </cell>
        </row>
        <row r="58">
          <cell r="B58">
            <v>2102052</v>
          </cell>
          <cell r="C58" t="str">
            <v>AGAR SABOURAUD DEXTROSA.</v>
          </cell>
          <cell r="D58" t="str">
            <v>GRAMOS</v>
          </cell>
        </row>
        <row r="59">
          <cell r="B59">
            <v>2102053</v>
          </cell>
          <cell r="C59" t="str">
            <v>AGAR SALMONELLA SHIGELLA  (S.S.)</v>
          </cell>
          <cell r="D59" t="str">
            <v>GRAMOS</v>
          </cell>
        </row>
        <row r="60">
          <cell r="B60">
            <v>2102054</v>
          </cell>
          <cell r="C60" t="str">
            <v>AGAR TRIPLE AZUCAR Y HIERRO  (TSI) .</v>
          </cell>
          <cell r="D60" t="str">
            <v>GRAMOS</v>
          </cell>
        </row>
        <row r="61">
          <cell r="B61">
            <v>2102055</v>
          </cell>
          <cell r="C61" t="str">
            <v>AGAR TRIPTICASA SOYA. FRASCO 100  -  500</v>
          </cell>
          <cell r="D61" t="str">
            <v>GRAMO</v>
          </cell>
        </row>
        <row r="62">
          <cell r="B62">
            <v>2102059</v>
          </cell>
          <cell r="C62" t="str">
            <v>CIPROFLOXACINA DISCO 5 mcg.</v>
          </cell>
          <cell r="D62" t="str">
            <v>DISCOS</v>
          </cell>
        </row>
        <row r="63">
          <cell r="B63">
            <v>2102060</v>
          </cell>
          <cell r="C63" t="str">
            <v>CEFTRIAXONA DISCO 30 mcg.</v>
          </cell>
          <cell r="D63" t="str">
            <v>DISCOS</v>
          </cell>
        </row>
        <row r="64">
          <cell r="B64">
            <v>2102061</v>
          </cell>
          <cell r="C64" t="str">
            <v>CEFOTAXIMA DISCO 30 mcg.</v>
          </cell>
          <cell r="D64" t="str">
            <v>DISCOS</v>
          </cell>
        </row>
        <row r="65">
          <cell r="B65">
            <v>2102062</v>
          </cell>
          <cell r="C65" t="str">
            <v>DOXICICLINA DISCO 30 mcg.</v>
          </cell>
          <cell r="D65" t="str">
            <v>DISCOS</v>
          </cell>
        </row>
        <row r="66">
          <cell r="B66">
            <v>2102063</v>
          </cell>
          <cell r="C66" t="str">
            <v>NOVOBIACINA DISCO 5 mcg.</v>
          </cell>
          <cell r="D66" t="str">
            <v>DISCOS</v>
          </cell>
        </row>
        <row r="67">
          <cell r="B67">
            <v>2102065</v>
          </cell>
          <cell r="C67" t="str">
            <v>AGUA PEPTONADA ALCALINA  (APA)</v>
          </cell>
          <cell r="D67" t="str">
            <v>DISCOS</v>
          </cell>
        </row>
        <row r="68">
          <cell r="B68">
            <v>2102068</v>
          </cell>
          <cell r="C68" t="str">
            <v>AGAR BILIS ESCULINA.   FRASCO 100  -  50</v>
          </cell>
          <cell r="D68" t="str">
            <v>GRAMOS</v>
          </cell>
        </row>
        <row r="69">
          <cell r="B69">
            <v>2102077</v>
          </cell>
          <cell r="C69" t="str">
            <v>AGAR MacCKONKEY CON SORBITOL</v>
          </cell>
          <cell r="D69" t="str">
            <v>GRAMOS</v>
          </cell>
        </row>
        <row r="70">
          <cell r="B70">
            <v>2102079</v>
          </cell>
          <cell r="C70" t="str">
            <v>AGAR TCBS(TIOSULFATO,CITRATO,BILIS,SUC.)</v>
          </cell>
          <cell r="D70" t="str">
            <v>GRAMO</v>
          </cell>
        </row>
        <row r="71">
          <cell r="B71">
            <v>2102080</v>
          </cell>
          <cell r="C71" t="str">
            <v>SANGRE OVINA (CARNERO/OVEJA) DESFIBRINAD</v>
          </cell>
          <cell r="D71" t="str">
            <v>ML</v>
          </cell>
        </row>
        <row r="72">
          <cell r="B72">
            <v>2102083</v>
          </cell>
          <cell r="C72" t="str">
            <v>SIST. PBAS/BIOQCAS. IDENTIF.ESTAFILOCOCC</v>
          </cell>
          <cell r="D72" t="str">
            <v>PRUEBA</v>
          </cell>
        </row>
        <row r="73">
          <cell r="B73">
            <v>2102085</v>
          </cell>
          <cell r="C73" t="str">
            <v>MEDIO DE INFUSION CEREBRO - CORAZON,</v>
          </cell>
          <cell r="D73" t="str">
            <v>ML</v>
          </cell>
        </row>
        <row r="74">
          <cell r="B74">
            <v>2102087</v>
          </cell>
          <cell r="C74" t="str">
            <v>AGAR XILOSA,  LISINA DEXTROSA  (XLD) .</v>
          </cell>
          <cell r="D74" t="str">
            <v>GRAMOS</v>
          </cell>
        </row>
        <row r="75">
          <cell r="B75">
            <v>2102089</v>
          </cell>
          <cell r="C75" t="str">
            <v>CLARITROMICINA DISCO 15 mcg.</v>
          </cell>
          <cell r="D75" t="str">
            <v>DISCOS</v>
          </cell>
        </row>
        <row r="76">
          <cell r="B76">
            <v>2102091</v>
          </cell>
          <cell r="C76" t="str">
            <v>CEFIXIME DISCO 5 mcg.</v>
          </cell>
          <cell r="D76" t="str">
            <v>DISCOS</v>
          </cell>
        </row>
        <row r="77">
          <cell r="B77">
            <v>2102092</v>
          </cell>
          <cell r="C77" t="str">
            <v>GENTAMICINA DISCO 120 mcg.</v>
          </cell>
          <cell r="D77" t="str">
            <v>DISCOS</v>
          </cell>
        </row>
        <row r="78">
          <cell r="B78">
            <v>2102096</v>
          </cell>
          <cell r="C78" t="str">
            <v>SIST.PBA. BACILO GRAM (-) NO FERMENTADOR</v>
          </cell>
          <cell r="D78" t="str">
            <v>C/U</v>
          </cell>
        </row>
        <row r="79">
          <cell r="B79">
            <v>2102111</v>
          </cell>
          <cell r="C79" t="str">
            <v>MEDIO TRIPTICASA SOYA C/POLIANETOL SULFO</v>
          </cell>
          <cell r="D79" t="str">
            <v>ML</v>
          </cell>
        </row>
        <row r="80">
          <cell r="B80">
            <v>2102113</v>
          </cell>
          <cell r="C80" t="str">
            <v>CALDO TRIPTICASA SOYA C/POLIANETOL SULF</v>
          </cell>
          <cell r="D80" t="str">
            <v>ML</v>
          </cell>
        </row>
        <row r="81">
          <cell r="B81">
            <v>2102117</v>
          </cell>
          <cell r="C81" t="str">
            <v>MEDIO TRANSP AMIES/STUART MODIF S/CARBON</v>
          </cell>
          <cell r="D81" t="str">
            <v>C/U</v>
          </cell>
        </row>
        <row r="82">
          <cell r="B82">
            <v>2102118</v>
          </cell>
          <cell r="C82" t="str">
            <v>MEDIO DE TRANSPORTE CARY BLAIR.</v>
          </cell>
          <cell r="D82" t="str">
            <v>C/U</v>
          </cell>
        </row>
        <row r="83">
          <cell r="B83">
            <v>2102119</v>
          </cell>
          <cell r="C83" t="str">
            <v>CEFEPIME DISCO 30 mcg.</v>
          </cell>
          <cell r="D83" t="str">
            <v>DISCOS</v>
          </cell>
        </row>
        <row r="84">
          <cell r="B84">
            <v>2102120</v>
          </cell>
          <cell r="C84" t="str">
            <v>VANCOMICINA DISCO 30 mcg.</v>
          </cell>
          <cell r="D84" t="str">
            <v>DISCOS</v>
          </cell>
        </row>
        <row r="85">
          <cell r="B85">
            <v>2102123</v>
          </cell>
          <cell r="C85" t="str">
            <v>AMOXICILINA/ACIDO CLAVULANICO  DISCO 20/</v>
          </cell>
          <cell r="D85" t="str">
            <v>DISCO 30 mcg</v>
          </cell>
        </row>
        <row r="86">
          <cell r="B86">
            <v>2106025</v>
          </cell>
          <cell r="C86" t="str">
            <v>ACEITE DE INMERSION BAJA VISCOSIDAD</v>
          </cell>
          <cell r="D86" t="str">
            <v>ML</v>
          </cell>
        </row>
        <row r="87">
          <cell r="B87">
            <v>3500121</v>
          </cell>
          <cell r="C87" t="str">
            <v>LAMINA CUBRE OBJETOS DE 22X22</v>
          </cell>
          <cell r="D87" t="str">
            <v>C/U</v>
          </cell>
        </row>
        <row r="88">
          <cell r="B88">
            <v>3500122</v>
          </cell>
          <cell r="C88" t="str">
            <v>PIPETA PARA COAGULOMETRO TIPO CLOT 2. C/U</v>
          </cell>
          <cell r="D88" t="str">
            <v>C/U</v>
          </cell>
        </row>
        <row r="89">
          <cell r="B89">
            <v>3500123</v>
          </cell>
          <cell r="C89" t="str">
            <v>LAMINA PORTA OBJETO  3 X 1" EXTREMO ESMERILADO DE VIDRIO.C/U</v>
          </cell>
          <cell r="D89" t="str">
            <v>C/U</v>
          </cell>
        </row>
        <row r="90">
          <cell r="B90">
            <v>3500124</v>
          </cell>
          <cell r="C90" t="str">
            <v>LAMINA SELLADORA PARA MICROHEMATOCRITO. C/U</v>
          </cell>
          <cell r="D90" t="str">
            <v>C/U</v>
          </cell>
        </row>
        <row r="91">
          <cell r="B91">
            <v>3500125</v>
          </cell>
          <cell r="C91" t="str">
            <v>LAMINILLA CUBRE OBJETOS 22 X 50 mm DE VIDRIO. ONZA</v>
          </cell>
          <cell r="D91" t="str">
            <v>ONZA</v>
          </cell>
        </row>
        <row r="92">
          <cell r="B92">
            <v>3500126</v>
          </cell>
          <cell r="C92" t="str">
            <v>LANCETA DESCARTABLE PARA USO PEDIATRICO.C/U</v>
          </cell>
          <cell r="D92" t="str">
            <v>C/U</v>
          </cell>
        </row>
        <row r="93">
          <cell r="B93">
            <v>3500127</v>
          </cell>
          <cell r="C93" t="str">
            <v>LANCETA DESCARTABLE PUNTO MEDIO. C/U</v>
          </cell>
          <cell r="D93" t="str">
            <v>C/U</v>
          </cell>
        </row>
        <row r="94">
          <cell r="B94">
            <v>3500128</v>
          </cell>
          <cell r="C94" t="str">
            <v>PAPEL FILTRO CORRIENTE # 2. PLIEGO</v>
          </cell>
          <cell r="D94" t="str">
            <v>PLIEGO</v>
          </cell>
        </row>
        <row r="95">
          <cell r="B95">
            <v>3500129</v>
          </cell>
          <cell r="C95" t="str">
            <v>PAPEL PARAFINA DE 4" ANCHO,  125" DE LARGO. APROXIMADAMENTE. ROLLO</v>
          </cell>
          <cell r="D95" t="str">
            <v>ROLLO</v>
          </cell>
        </row>
        <row r="96">
          <cell r="B96">
            <v>3500130</v>
          </cell>
          <cell r="C96" t="str">
            <v>CAJA PETRI DESCARTABLE  (100 X 15 mm APROXIMADAMENTE)  DE 1 COMPARTIMIENTO,  ESTERIL. C/U</v>
          </cell>
          <cell r="D96" t="str">
            <v>C/U</v>
          </cell>
        </row>
        <row r="97">
          <cell r="B97">
            <v>3500131</v>
          </cell>
          <cell r="C97" t="str">
            <v>GOTERO PLASTICO 70 mm APROX. C/BULBO</v>
          </cell>
          <cell r="D97" t="str">
            <v>C/U</v>
          </cell>
        </row>
        <row r="98">
          <cell r="B98">
            <v>3500132</v>
          </cell>
          <cell r="C98" t="str">
            <v>PUNTA PLASTICA DESCARTABLE PARA FIBROSISTEMA. C/U</v>
          </cell>
          <cell r="D98" t="str">
            <v>C/U</v>
          </cell>
        </row>
        <row r="99">
          <cell r="B99">
            <v>3500012</v>
          </cell>
          <cell r="C99" t="str">
            <v>PUNTA PLASTICA DE 1 mL  (1000µL )  PARA USAR CON PIPETA TIPO OXFORD O SIMILAR. C/U</v>
          </cell>
          <cell r="D99" t="str">
            <v>C/U</v>
          </cell>
        </row>
        <row r="100">
          <cell r="B100">
            <v>3500133</v>
          </cell>
          <cell r="C100" t="str">
            <v>PUNTA PLASTICA DE 0.5 mL  (500 µL )  PARA USAR CON PIPETA TIPO OXFORD O SIMILAR. C/U</v>
          </cell>
          <cell r="D100" t="str">
            <v>C/U</v>
          </cell>
        </row>
        <row r="101">
          <cell r="B101">
            <v>3500134</v>
          </cell>
          <cell r="C101" t="str">
            <v>PUNTA PLASTICA DE 0.1 mL  (100 µL )  PARA USAR CON PIPETA TIPO OXFORD O SIMILAR. C/U</v>
          </cell>
          <cell r="D101" t="str">
            <v>C/U</v>
          </cell>
        </row>
        <row r="102">
          <cell r="B102">
            <v>3500135</v>
          </cell>
          <cell r="C102" t="str">
            <v>TUBO CAPILAR HEPARINIZADO PARA MICROHEMATOCRITO 1.3 X 1.5 X 75 mm. C/U</v>
          </cell>
          <cell r="D102" t="str">
            <v>C/U</v>
          </cell>
        </row>
        <row r="103">
          <cell r="B103">
            <v>3500136</v>
          </cell>
          <cell r="C103" t="str">
            <v>TUBO CAPILAR NO HEPARINIZADO PARA MICROHEMATOCRITO 1.3 X 1.5 X 75 mm. C/U</v>
          </cell>
          <cell r="D103" t="str">
            <v>C/U</v>
          </cell>
        </row>
        <row r="104">
          <cell r="B104">
            <v>3500137</v>
          </cell>
          <cell r="C104" t="str">
            <v>PUNTA PLASTICA DE 2  -  100 µl PARA USAR CON PIPETA TIPO BRAND  (TRANSFERPETTE)  O SIMILAR. C/U</v>
          </cell>
          <cell r="D104" t="str">
            <v>C/U</v>
          </cell>
        </row>
        <row r="105">
          <cell r="B105">
            <v>3500018</v>
          </cell>
          <cell r="C105" t="str">
            <v>PUNTA PLASTICA DE 101  -  1000 µl  PARA USAR CON PIPETA TIPO BRAND  (TRANSFERPETTE)  O SIMILAR. C/U</v>
          </cell>
          <cell r="D105" t="str">
            <v>C/U</v>
          </cell>
        </row>
        <row r="106">
          <cell r="B106">
            <v>3500138</v>
          </cell>
          <cell r="C106" t="str">
            <v>CUBETA DE PLASTICO DESCARTABLE, TRANSPARENTE, CON SU RESPECTIVO MAGNETO, PARA COAGULOMETRO DE  MARCA Y MODELO DE EQUIPO INSTITUCIONAL. CUBETA.</v>
          </cell>
          <cell r="D106" t="str">
            <v>CUBETA</v>
          </cell>
        </row>
        <row r="107">
          <cell r="B107">
            <v>3500020</v>
          </cell>
          <cell r="C107" t="str">
            <v xml:space="preserve">CAJA PLASTICA PARA RECOLECCION DE HECES,  COLOR Y TAPADERA BLANCA DE ROSCA,  DIAMETRO 4.5 cm  (APROXIMADAMENTE). C/U </v>
          </cell>
          <cell r="D107" t="str">
            <v>C/U</v>
          </cell>
        </row>
        <row r="108">
          <cell r="B108">
            <v>3500139</v>
          </cell>
          <cell r="C108" t="str">
            <v>FILTRO  PARA  DESMINERALIZADOR  DE  AGUA,  TIPO DEEMINIZER O SIMILAR. C/U</v>
          </cell>
          <cell r="D108" t="str">
            <v>C/U</v>
          </cell>
        </row>
        <row r="109">
          <cell r="B109">
            <v>3500140</v>
          </cell>
          <cell r="C109" t="str">
            <v xml:space="preserve">CAJA PETRI DESCARTABLE  (100 X 15 mm APROXIMADAMENTE)  DE 2 COMPARTIMIENTOS,  ESTERIL. C/U </v>
          </cell>
          <cell r="D109" t="str">
            <v>C/U</v>
          </cell>
        </row>
        <row r="110">
          <cell r="B110">
            <v>3500141</v>
          </cell>
          <cell r="C110" t="str">
            <v xml:space="preserve">CAJA PETRI DESCARTABLE  (100 X 15 mm APROXIMADAMENTE)  DE 3 COMPARTIMIENTOS,  ESTERIL. C/U </v>
          </cell>
          <cell r="D110" t="str">
            <v>C/U</v>
          </cell>
        </row>
        <row r="111">
          <cell r="B111">
            <v>3500142</v>
          </cell>
          <cell r="C111" t="str">
            <v>COPA PLASTICA PARA FIBROSISTEMA. C/U</v>
          </cell>
          <cell r="D111" t="str">
            <v>C/U</v>
          </cell>
        </row>
        <row r="112">
          <cell r="B112">
            <v>3500143</v>
          </cell>
          <cell r="C112" t="str">
            <v>ALAMBRE  CROMADO ( ALEACION DE NIQUEL - CROMO)  # 26 PARA AGUJAS Y ASAS BACTERIOLOGICAS. PIE</v>
          </cell>
          <cell r="D112" t="str">
            <v>PIE</v>
          </cell>
        </row>
        <row r="113">
          <cell r="B113">
            <v>3500144</v>
          </cell>
          <cell r="C113" t="str">
            <v>AGUJA DESCARTABLE PARA RECOLECTAR SANGRE AL VACIO,  DE USO MULTIPLE # 21 X 1 1/2",  ESTERIL. C/U</v>
          </cell>
          <cell r="D113" t="str">
            <v>C/U</v>
          </cell>
        </row>
        <row r="114">
          <cell r="B114">
            <v>3500027</v>
          </cell>
          <cell r="C114" t="str">
            <v>CUBETA DESCARTABLE DE PLASTICO TRANSPARENTE COMPATIBLE CON  ESPECTROFOTOMETRO 4010. C/U</v>
          </cell>
          <cell r="D114" t="str">
            <v>C/U</v>
          </cell>
        </row>
        <row r="115">
          <cell r="B115">
            <v>3500145</v>
          </cell>
          <cell r="C115" t="str">
            <v>CAJA PETRI DESCARTABLE  (150 X 15 mm APROXIMADAMENTE)  DE 1 COMPARTIMIENTO,  ESTERIL. C/U</v>
          </cell>
          <cell r="D115" t="str">
            <v>C/U</v>
          </cell>
        </row>
        <row r="116">
          <cell r="B116">
            <v>3500146</v>
          </cell>
          <cell r="C116" t="str">
            <v>TUBO DESCARTABLE PLASTICO CON TAPADERA DE 12 X 75  mm. C/U</v>
          </cell>
          <cell r="D116" t="str">
            <v>C/U</v>
          </cell>
        </row>
        <row r="117">
          <cell r="B117">
            <v>3500147</v>
          </cell>
          <cell r="C117" t="str">
            <v>CURITA CIRCULAR</v>
          </cell>
          <cell r="D117" t="str">
            <v>C/U</v>
          </cell>
        </row>
        <row r="118">
          <cell r="B118">
            <v>3500211</v>
          </cell>
          <cell r="C118" t="str">
            <v>BOLSA DOBLE PARA RECOLECTAR SANGRE, CON ANTICOAGULANTE CPDA - 1, CON CAPACIDAD  DE 500 mL APROXIMADAMENTE CON AGUJA # 16,  SISTEMA CERRADO,  BOLSA SATELITE PARA PRESERVAR PLAQUETAS POR 5 DIAS, CON CAPACIDAD  DE 300 mL,  ESTERIL,  CON SU RESPECTIVO SISTEMA</v>
          </cell>
          <cell r="D118" t="str">
            <v>C/U</v>
          </cell>
        </row>
        <row r="119">
          <cell r="B119">
            <v>3500032</v>
          </cell>
          <cell r="C119" t="str">
            <v>BOLSA SIMPLE PARA RECOLECCION DE SANGRE CON ANTICOAGULANTE CPDA - 1,  CAPACIDAD DE 500 mL APROXIMADAMENTE CON AGUJA # 16,  ESTERIL,  CON SISTEMA DESCARTABLE PARA TRANSFUSION DE SANGRE Y COMPONENTES,  CON FILTRO STANDARD  (PORO ENTRE 170 - 260 MICRAS) ,  A</v>
          </cell>
          <cell r="D119" t="str">
            <v>C/U</v>
          </cell>
        </row>
        <row r="120">
          <cell r="B120">
            <v>3500149</v>
          </cell>
          <cell r="C120" t="str">
            <v>BOLSA TRIPLE PARA RECOLECCION DE SANGRE CON ANTICOAGULANTE CPDA -  1. CAPACIDAD DE 500 mL APROXIMADAMENTE. CON AGUJA N° 16,  SISTEMA CERRADO,  BOLSA SATELITE PARA PRESERVAR PLAQUETAS POR 5 DIAS,  CON CAPACIDAD DE 300 mL ESTERIL,  CON SU SISTEMA DESCARTABL</v>
          </cell>
          <cell r="D120" t="str">
            <v>C/U</v>
          </cell>
        </row>
        <row r="121">
          <cell r="B121">
            <v>3500150</v>
          </cell>
          <cell r="C121" t="str">
            <v xml:space="preserve">BOLSA TRANSFER SIN ANTICOAGULANTE,  CON CAPACIDAD DE 150 mL,   (APROXIMADAMENTE) ,  ESTERIL. C/U </v>
          </cell>
          <cell r="D121" t="str">
            <v>C/U</v>
          </cell>
        </row>
        <row r="122">
          <cell r="B122">
            <v>3500035</v>
          </cell>
          <cell r="C122" t="str">
            <v>CUBETA COMPATIBLE CON COULTER COUNTER. C/U</v>
          </cell>
          <cell r="D122" t="str">
            <v>C/U</v>
          </cell>
        </row>
        <row r="123">
          <cell r="B123">
            <v>3500151</v>
          </cell>
          <cell r="C123" t="str">
            <v>SISTEMA DESCARTABLE PARA TRANSFUSION  (PLAQUETA,  PLASMA Y CRIO PRECIPITADO) ,  CON FILTRO ESPECIAL ADAPTABLE  A  LA BOLSA  DE RECOLECCION DE SANGRE O COMPONENTES,  ESTERIL,  LIBRE DE PIROGENOS,  CON AGUJA # 18 - G,  USO ENDOVENOSO. C/U</v>
          </cell>
          <cell r="D123" t="str">
            <v>C/U</v>
          </cell>
        </row>
        <row r="124">
          <cell r="B124">
            <v>3500152</v>
          </cell>
          <cell r="C124" t="str">
            <v>SISTEMA DESCARTABLE EN "Y",  PARA TRANSFUSION DE UNIDADES DE GLOBULOS ROJOS,  MEZCLA DE SOLUCION SALINA NORMAL,  CON FILTRO STANDARD  (PORO ENTRE 170  -  260 MICRAS) ,  ADAPTABLE A BOLSA DE RECOLECCION DE SANGRE Y SOLUCION SALINA,  ESTERIL,  LIBRE DE PIRO</v>
          </cell>
          <cell r="D124" t="str">
            <v>C/U</v>
          </cell>
        </row>
        <row r="125">
          <cell r="B125">
            <v>3500153</v>
          </cell>
          <cell r="C125" t="str">
            <v>AGUJA DESCARTABLE PARA RECOLECTAR SANGRE AL VACIO  DE MUESTRAS PEDIATRICAS,  USO MULTIPLE,  ESTERIL,  22 X 1". C/U</v>
          </cell>
          <cell r="D125" t="str">
            <v>C/U</v>
          </cell>
        </row>
        <row r="126">
          <cell r="B126">
            <v>3500154</v>
          </cell>
          <cell r="C126" t="str">
            <v xml:space="preserve">MICROTUBO DE PLASTICO,  CON ANTICOAGULANTE EDTA,  TAPON MORADO P/ RECOLECTAR SANGRE A NEONATOS,  CON CAPAC 0.5 - 1 mL,  MED 10 ± 1 mm DE DIAM SUPERIOR Y 40 - 55 mm DE LARGO,  </v>
          </cell>
          <cell r="D126" t="str">
            <v>C/U</v>
          </cell>
        </row>
        <row r="127">
          <cell r="B127">
            <v>3500155</v>
          </cell>
          <cell r="C127" t="str">
            <v xml:space="preserve">MICROTUBO DE PLASTICO, SIN ANTICOAG,  C/ GEL,  TAPON ROJO, P/ RECOLECTAR SANGRE A NEONATOS,  CON CAPACIDAD DE 0.5 - 1 mL,  MEDIDAS DE 10 ± 1 mm DE DIAMETRO SUPERIOR Y 40 - 55 mm DE LARGO,  </v>
          </cell>
          <cell r="D127" t="str">
            <v>C/U</v>
          </cell>
        </row>
        <row r="128">
          <cell r="B128">
            <v>3500156</v>
          </cell>
          <cell r="C128" t="str">
            <v>FRASCO PLAST. TRANSP. TAPA/ROSCA, 90-150 ml</v>
          </cell>
          <cell r="D128" t="str">
            <v>C/U</v>
          </cell>
        </row>
        <row r="129">
          <cell r="B129">
            <v>3500157</v>
          </cell>
          <cell r="C129" t="str">
            <v xml:space="preserve">MICROTUBO DE PLASTICO, SIN ANTICOAG,  SIN GEL,  TAPON ROJO P/ RECOLECTAR SANGRE A NEONATOS,  CON CAPACIDAD DE 0.5 - 1 mL,  MEDIDAS DE 10 ± 1 mm DE DIAMETRO SUPERIOR Y 40 - 55 mm DE LARGO,  </v>
          </cell>
          <cell r="D129" t="str">
            <v>C/U</v>
          </cell>
        </row>
        <row r="130">
          <cell r="B130">
            <v>3500158</v>
          </cell>
          <cell r="C130" t="str">
            <v xml:space="preserve">MICROTUBO DE PLASTICO, C/ CITRATO D SODIO,  TAPON CELESTE P/ RECOLECTAR SANGRE A NEONATOS,  CON CAPACIDAD DE 0.5  -  1 mL,  MEDIDAS DE 10 ± 1 mm DE DIAMETRO SUPERIOR Y 40  -  55 mm DE LARGO,  </v>
          </cell>
          <cell r="D130" t="str">
            <v>C/U</v>
          </cell>
        </row>
        <row r="131">
          <cell r="B131">
            <v>3500159</v>
          </cell>
          <cell r="C131" t="str">
            <v>FRASCO BOCA ANCHA TAPADERA DE ROSCA 30-50 ML</v>
          </cell>
          <cell r="D131" t="str">
            <v>C/U</v>
          </cell>
        </row>
        <row r="132">
          <cell r="B132">
            <v>3500160</v>
          </cell>
          <cell r="C132" t="str">
            <v>TUBO CONICO PLASTICO CON TAPADERA DE 1.5 X 0.5 mL COMPATIBLE CON CITOCENTRIFUGA DE LABOFUGE. C/U</v>
          </cell>
          <cell r="D132" t="str">
            <v>C/U</v>
          </cell>
        </row>
        <row r="133">
          <cell r="B133">
            <v>3500161</v>
          </cell>
          <cell r="C133" t="str">
            <v>BOLSA DE PAPEL-PLASTICO, PARA ESTERILIZAR MATERIAL A BAJA Y ALTA TEMPERATURA, DE 28 - 32 X 35 - 40 cm CON AUTOSELLANTE.</v>
          </cell>
          <cell r="D133" t="str">
            <v>C/U</v>
          </cell>
        </row>
        <row r="134">
          <cell r="B134">
            <v>3500162</v>
          </cell>
          <cell r="C134" t="str">
            <v>PUNTA PLASTICA CON FILTRO PREESTERILIZADA DE 500 - 1000 µl PARA USAR CON PIPETA AUTOMATICA TIPO FINIPIPETTE O SIMILAR. C/U</v>
          </cell>
          <cell r="D134" t="str">
            <v>C/U</v>
          </cell>
        </row>
        <row r="135">
          <cell r="B135">
            <v>3500163</v>
          </cell>
          <cell r="C135" t="str">
            <v>PUNTA PLASTICA CON FILTRO PREESTERILIZADA DE 10 - 100 µl PARA USAR CON PIPETA AUTOMATICA TIPO FINIPIPETTE O SIMILAR. C/U</v>
          </cell>
          <cell r="D135" t="str">
            <v>C/U</v>
          </cell>
        </row>
        <row r="136">
          <cell r="B136">
            <v>3500164</v>
          </cell>
          <cell r="C136" t="str">
            <v>PUNTA PLASTICA CON FILTRO PREESTERILIZADA DE 1 - 20 µl PARA USAR CON PIPETA AUTOMATICA TIPO FINIPIPETTE O SIMILAR. C/U</v>
          </cell>
          <cell r="D136" t="str">
            <v>C/U</v>
          </cell>
        </row>
        <row r="137">
          <cell r="B137">
            <v>3500165</v>
          </cell>
          <cell r="C137" t="str">
            <v>TUBO CONICO PLASTICO CON TAPADERA INCORPORADA ESTERIL TIPO FISHER O SIMILAR DE 1.5 ML (PARA MICROCENTRIFUGA). C/U</v>
          </cell>
          <cell r="D137" t="str">
            <v>C/U</v>
          </cell>
        </row>
        <row r="138">
          <cell r="B138">
            <v>3500166</v>
          </cell>
          <cell r="C138" t="str">
            <v>TUBO CONICO PLASTICO CON TAPADERA INCORPORADA ESTERIL TIPO FISHER O SIMILAR DE 0.5 ML (PARA MICROCENTRIFUGA). C/U</v>
          </cell>
          <cell r="D138" t="str">
            <v>C/U</v>
          </cell>
        </row>
        <row r="139">
          <cell r="B139">
            <v>3500167</v>
          </cell>
          <cell r="C139" t="str">
            <v xml:space="preserve">TUBO AL VACIO PLASTICO, SIN ANTICOAG,  CON GEL,  TAPON ROJO P/ RECOLECTAR SANGRE,  CAPACIDAD DE 8 - 10 mL,  DE 15 ± 1 mm DE DIAMETRO Y 100 - 116 mm DE LARGO,  </v>
          </cell>
          <cell r="D139" t="str">
            <v>C/U</v>
          </cell>
        </row>
        <row r="140">
          <cell r="B140">
            <v>3500168</v>
          </cell>
          <cell r="C140" t="str">
            <v>PIPETA SEROLOGICA DE 1 mL EN 0.01 mL,  PLASTICA, DESCARTABLE</v>
          </cell>
          <cell r="D140" t="str">
            <v>C/U</v>
          </cell>
        </row>
        <row r="141">
          <cell r="B141">
            <v>3500169</v>
          </cell>
          <cell r="C141" t="str">
            <v>PIPETA SEROLOGICA DE 10  mL EN 0.1 mL,  PLASTICA, DESCARTABLE</v>
          </cell>
          <cell r="D141" t="str">
            <v>C/U</v>
          </cell>
        </row>
        <row r="142">
          <cell r="B142">
            <v>3500170</v>
          </cell>
          <cell r="C142" t="str">
            <v>PIPETA SEROLOGICA DE 5 mL EN 0.1 mL,  PLASTICA, DESCARTABLE</v>
          </cell>
          <cell r="D142" t="str">
            <v>C/U</v>
          </cell>
        </row>
        <row r="143">
          <cell r="B143">
            <v>3500171</v>
          </cell>
          <cell r="C143" t="str">
            <v>PIPETA SEROLOGICA DE 2  mL EN 0.1 mL,  PLASTICA, DESCARTABLE</v>
          </cell>
          <cell r="D143" t="str">
            <v>C/U</v>
          </cell>
        </row>
        <row r="144">
          <cell r="B144">
            <v>3500172</v>
          </cell>
          <cell r="C144" t="str">
            <v>HISOPO DE ALGINATO DE CALCIO ESTERIL,  DESCARTABLE PARA CITOLOGIA DEL MOCO NASAL</v>
          </cell>
          <cell r="D144" t="str">
            <v>C/U</v>
          </cell>
        </row>
        <row r="145">
          <cell r="B145">
            <v>3500173</v>
          </cell>
          <cell r="C145" t="str">
            <v>TUBO CONICO PLASTICO,  CON TAPADERA,  ESTERIL,  CAPACIDAD 2 mL (PARA  MICROCENTRIFUGA)</v>
          </cell>
          <cell r="D145" t="str">
            <v>C/U</v>
          </cell>
        </row>
        <row r="146">
          <cell r="B146">
            <v>3500059</v>
          </cell>
          <cell r="C146" t="str">
            <v>PUNTA PLASTICA DE 1 mL  (1000  µL )  PARA USAR CON  PIPETA TIPO EPPENDORF O SIMILAR</v>
          </cell>
          <cell r="D146" t="str">
            <v>C/U</v>
          </cell>
        </row>
        <row r="147">
          <cell r="B147">
            <v>3500060</v>
          </cell>
          <cell r="C147" t="str">
            <v>PUNTA PLASTICA DE 0.5 mL  (500  µL )  PARA USAR CON PIPETA TIPO EPPENDORF O SIMILAR</v>
          </cell>
          <cell r="D147" t="str">
            <v>C/U</v>
          </cell>
        </row>
        <row r="148">
          <cell r="B148">
            <v>3500061</v>
          </cell>
          <cell r="C148" t="str">
            <v>PUNTA PLASTICA DE 0.1 mL  (100  µL )  PARA USAR CON PIPETA TIPO EPPENDORF O SIMILAR</v>
          </cell>
          <cell r="D148" t="str">
            <v>C/U</v>
          </cell>
        </row>
        <row r="149">
          <cell r="B149">
            <v>3500062</v>
          </cell>
          <cell r="C149" t="str">
            <v>PUNTA PLASTICA DE 0.005 mL  (5  µL )  PARA USAR CON PIPETA TIPO EPPENDORF O SIMILAR</v>
          </cell>
          <cell r="D149" t="str">
            <v>C/U</v>
          </cell>
        </row>
        <row r="150">
          <cell r="B150">
            <v>3500063</v>
          </cell>
          <cell r="C150" t="str">
            <v>COPA PLASTICA PARA COAGULOMETRO TIPO COAG -A - MATE. C/U</v>
          </cell>
          <cell r="D150" t="str">
            <v>C/U</v>
          </cell>
        </row>
        <row r="151">
          <cell r="B151">
            <v>3500064</v>
          </cell>
          <cell r="C151" t="str">
            <v>COPA PLASTICA PARA COAGULOMETRO TIPO HUMA - CLOT. C/U</v>
          </cell>
          <cell r="D151" t="str">
            <v>C/U</v>
          </cell>
        </row>
        <row r="152">
          <cell r="B152">
            <v>3500174</v>
          </cell>
          <cell r="C152" t="str">
            <v>FILTRO DE 9 mm DOBLE ORIFICIO COMPATIBLE CON CITOCENTRIFUGA LABOFUGE. C/U</v>
          </cell>
          <cell r="D152" t="str">
            <v>C/U</v>
          </cell>
        </row>
        <row r="153">
          <cell r="B153">
            <v>3500175</v>
          </cell>
          <cell r="C153" t="str">
            <v>MICRO - PLACA DE POLIESTIRENO TIPO TERASAKI,   ESTERIL,  SIN COMPONENTE ANTIGENICO DE 72 POCILLOS MEDIDAS APROXIMADAS DE 84.2 X 58.6 X 8.7 mm. C/U</v>
          </cell>
          <cell r="D153" t="str">
            <v>C/U</v>
          </cell>
        </row>
        <row r="154">
          <cell r="B154">
            <v>3500176</v>
          </cell>
          <cell r="C154" t="str">
            <v xml:space="preserve">TUBO AL VACIO PLASTICO, CON ANTICOAG EDTA,  TAPON MORADO P/ RECOLECTAR SANGRE,  CAPACIDAD DE 3  -   5 mL,  DE 12 ± 1 mm DE DIAMETRO Y 75  -  110 mm DE LARGO,  </v>
          </cell>
          <cell r="D154" t="str">
            <v>C/U</v>
          </cell>
        </row>
        <row r="155">
          <cell r="B155">
            <v>3500177</v>
          </cell>
          <cell r="C155" t="str">
            <v xml:space="preserve">TUBO AL VACIO PLASTICO, SIN ANTICOAG,  SIN GEL,  TAPON ROJO PARA RECOLECTAR SANGRE,  CAPACIDAD DE 8  -  10 mL,  DE 15 ± 1 mm DE DIAMETRO Y 100  -  116 mm DE LARGO,  </v>
          </cell>
          <cell r="D155" t="str">
            <v>C/U</v>
          </cell>
        </row>
        <row r="156">
          <cell r="B156">
            <v>3500069</v>
          </cell>
          <cell r="C156" t="str">
            <v xml:space="preserve">TUBO AL VACIO PLASTICO, CON ANTICOAG HEPARINA DE LITIO,  TAPON VERDE PARA RECOLECTAR SANGRE,  CAPACIDAD DE 3 - 5 mL,   DE 12  ± 1 mm DE DIAMETRO Y 75 - 110 mm DE LARGO,   </v>
          </cell>
          <cell r="D156" t="str">
            <v>C/U</v>
          </cell>
        </row>
        <row r="157">
          <cell r="B157">
            <v>3500178</v>
          </cell>
          <cell r="C157" t="str">
            <v>TUBO AL VACIO CIT. D/ SODIO TAPON CELESTE</v>
          </cell>
          <cell r="D157" t="str">
            <v>C/U</v>
          </cell>
        </row>
        <row r="158">
          <cell r="B158">
            <v>3500179</v>
          </cell>
          <cell r="C158" t="str">
            <v xml:space="preserve">TUBO AL VACIO PLASTICO, C/ ANTICOAG FLORURO D SODIO,  TAPON GRIS PARA RECOLECTAR SANGRE,  CAPACIDAD DE 3 - 5 mL,  DE 12 ± 1 mm DE DIAMETRO Y 75 - 110  mm DE LARGO,  </v>
          </cell>
          <cell r="D158" t="str">
            <v>C/U</v>
          </cell>
        </row>
        <row r="159">
          <cell r="B159">
            <v>3500180</v>
          </cell>
          <cell r="C159" t="str">
            <v>TUBO DE ENSAYO DESCARTABLE,   12 X 75 mm. C/U</v>
          </cell>
          <cell r="D159" t="str">
            <v>C/U</v>
          </cell>
        </row>
        <row r="160">
          <cell r="B160">
            <v>3500181</v>
          </cell>
          <cell r="C160" t="str">
            <v>LAMINA CUBRE PLACA DE TERASAKI DE PLASTICO TRANSPARENTE. C/U</v>
          </cell>
          <cell r="D160" t="str">
            <v>C/U</v>
          </cell>
        </row>
        <row r="161">
          <cell r="B161">
            <v>3500182</v>
          </cell>
          <cell r="C161" t="str">
            <v>SISTEMA DESCARTABLE PARA TRANSFUSION DE UNIDADES DE GLOBULOS ROJOS,  CON FILTRO STANDARD  (PORO ENTRE 170  -  260 MICRAS) ,  ADAPTABLE A BOLSA DE RECOLECCION DE SANGRE,  ESTERIL,  LIBRE DE PIROGENOS,  CON AGUJA  # 18 - G,  USO ENDOVENOSO. C/U</v>
          </cell>
          <cell r="D161" t="str">
            <v>C/U</v>
          </cell>
        </row>
        <row r="162">
          <cell r="B162">
            <v>3500183</v>
          </cell>
          <cell r="C162" t="str">
            <v>LANCETA CON RETRACCION AUTOMATICA PARA ADULTO. C/U</v>
          </cell>
          <cell r="D162" t="str">
            <v>C/U</v>
          </cell>
        </row>
        <row r="163">
          <cell r="B163">
            <v>3500184</v>
          </cell>
          <cell r="C163" t="str">
            <v>LANCETA CON RETRACCION AUTOMATICA PARA NIÑO. C/U</v>
          </cell>
          <cell r="D163" t="str">
            <v>C/U</v>
          </cell>
        </row>
        <row r="164">
          <cell r="B164">
            <v>3500185</v>
          </cell>
          <cell r="C164" t="str">
            <v>FILTRO PARA DESMINERALIZADOR DE AGUA DE ALTA CAPACIDAD,  COMPATIBLE CON MARCA BARNSTEAD,  MODELO B 4521,  B - PURE. C/U</v>
          </cell>
          <cell r="D164" t="str">
            <v>C/U</v>
          </cell>
        </row>
        <row r="165">
          <cell r="B165">
            <v>3500186</v>
          </cell>
          <cell r="C165" t="str">
            <v>FILTRO ESTERIL DE 0.22 µm,  TIPO MILLIPORE  PARA ADAPTAR A JERINGAS DE TODO TAMAÑO. C/U</v>
          </cell>
          <cell r="D165" t="str">
            <v>C/U</v>
          </cell>
        </row>
        <row r="166">
          <cell r="B166">
            <v>3500187</v>
          </cell>
          <cell r="C166" t="str">
            <v>FILTRO PARA DESMINERALIZADOR DE AGUA DE ALTA CAPACIDAD COMPATIBLE CON MARCA THERMO LYNE  BARNSTEAD,  MODELO   BANTAN D 0800. C/U</v>
          </cell>
          <cell r="D166" t="str">
            <v>C/U</v>
          </cell>
        </row>
        <row r="167">
          <cell r="B167">
            <v>3500188</v>
          </cell>
          <cell r="C167" t="str">
            <v>BOLSA CUADRUPLE PARA RECOLECCION DE SANGRE CON ANTICOAGULANTE CPDA - 1. CAPACIDAD 500 mL APROXIMADAMENTE,  CON AGUJA  # 16,  SISTEMA CERRADO ESTERIL,  BOLSA SATELITE. CAPACIDAD DE 300 mL PARA PRESERVAR PLAQUETAS POR 5 DIAS. C/U</v>
          </cell>
          <cell r="D167" t="str">
            <v>C/U</v>
          </cell>
        </row>
        <row r="168">
          <cell r="B168">
            <v>3500189</v>
          </cell>
          <cell r="C168" t="str">
            <v>TUBO AL VACIO PLASTICO , PARA RECOLECTAR SANGRE,  CAPACIDAD DE 4  -  7 mL,  MEDIDAS:  12 ± 1 X 75 mm CON ANTICOAGULANTE HEPARINA DE SODIO,  TAPON VERDE. C/U</v>
          </cell>
          <cell r="D168" t="str">
            <v>C/U</v>
          </cell>
        </row>
        <row r="169">
          <cell r="B169">
            <v>3500190</v>
          </cell>
          <cell r="C169" t="str">
            <v xml:space="preserve">SISTEMA CERRADO ESTERIL CON FILTRO LEUCORREDUCTOR PARA GLOBULOS ROJOS CON BOLSA DE TRANSFERENCIA PVC GRADO MEDICO, EN LINEA, CON CAPACIDAD DE 600 mL O MAS.C/U  </v>
          </cell>
          <cell r="D169" t="str">
            <v>C/U</v>
          </cell>
        </row>
        <row r="170">
          <cell r="B170">
            <v>3500191</v>
          </cell>
          <cell r="C170" t="str">
            <v xml:space="preserve">SISTEMA CERRADO ESTERIL CON FILTRO LEUCORREDUCTOR PARA PLAQUETAS CON BOLSA DE TRANSFERENCIA PVC GRADO MEDICO, EN LINEA, CON CAPACIDAD DE 600 mL O MAS. C/U  </v>
          </cell>
          <cell r="D170" t="str">
            <v>C/U</v>
          </cell>
        </row>
        <row r="171">
          <cell r="B171">
            <v>3500192</v>
          </cell>
          <cell r="C171" t="str">
            <v>FCOS. PLAS. TRANSPARENTE ESTERIL 90-150ml</v>
          </cell>
          <cell r="D171" t="str">
            <v>C/U</v>
          </cell>
        </row>
        <row r="172">
          <cell r="B172">
            <v>3500193</v>
          </cell>
          <cell r="C172" t="str">
            <v>FRASCO VIAL DE VIDRIO TRANSPARENTE, AL VACIO, ESTERIL, LIBRE DE PIROGENOS, CON CAPACIDAD DE 10 - 25 mL, PARA ELUIR TECNESIO - 99m. FRASCO VIAL.</v>
          </cell>
          <cell r="D172" t="str">
            <v>FRASCO VIAL</v>
          </cell>
        </row>
        <row r="173">
          <cell r="B173">
            <v>3500086</v>
          </cell>
          <cell r="C173" t="str">
            <v>SOLUCION DE CLORURO DE SODIO AL 0.9%, ESTERIL, LIBRE DE PIROGENO. FRASCO VIAL DE VIDRIO TRANSPARENTE, COMPATIBLE CON GENERADOR DE TECNESIO - 99m INSTITUCIONAL. FRASCO VIAL</v>
          </cell>
          <cell r="D173" t="str">
            <v>FRASCO VIAL</v>
          </cell>
        </row>
        <row r="174">
          <cell r="B174">
            <v>3500194</v>
          </cell>
          <cell r="C174" t="str">
            <v>TUBO CAPILAR PLASTICO HEPARINIZADO DE 0.5 X 1.1 X75 MM, PARA MICROHEMATOCRITO DE CENTRIFUGA INSTITUCIONAL</v>
          </cell>
          <cell r="D174" t="str">
            <v>ELIM LIST OFICIAL</v>
          </cell>
        </row>
        <row r="175">
          <cell r="B175">
            <v>3501102</v>
          </cell>
          <cell r="C175" t="str">
            <v>FRASCO CLARO,  DE POLIETILENO,  BOCA ANGOSTA,  8 ONZAS CON TAPON DE ROSCA. C/U</v>
          </cell>
          <cell r="D175" t="str">
            <v>C/U</v>
          </cell>
        </row>
        <row r="176">
          <cell r="B176">
            <v>3501103</v>
          </cell>
          <cell r="C176" t="str">
            <v>TAPON DE HULE SOLIDO # 2,  PARA TUBO DE 16 X 125 mm. C/U</v>
          </cell>
          <cell r="D176" t="str">
            <v>C/U</v>
          </cell>
        </row>
        <row r="177">
          <cell r="B177">
            <v>3501104</v>
          </cell>
          <cell r="C177" t="str">
            <v xml:space="preserve">EMBUDO DE POLIETILENO,   DIAMETRO 75 mm  (APROXIMADAMENTE). C/U  </v>
          </cell>
          <cell r="D177" t="str">
            <v>C/U</v>
          </cell>
        </row>
        <row r="178">
          <cell r="B178">
            <v>3501105</v>
          </cell>
          <cell r="C178" t="str">
            <v xml:space="preserve">EMBUDO DE POLIETILENO,  DIAMETRO  100 mm  (APROXIMADAMENTE). C/U  </v>
          </cell>
          <cell r="D178" t="str">
            <v>C/U</v>
          </cell>
        </row>
        <row r="179">
          <cell r="B179">
            <v>3501106</v>
          </cell>
          <cell r="C179" t="str">
            <v xml:space="preserve">EMBUDO DE POLIETILENO,  DIAMETRO  160 mm  (APROXIMADAMENTE). C/U  </v>
          </cell>
          <cell r="D179" t="str">
            <v>C/U</v>
          </cell>
        </row>
        <row r="180">
          <cell r="B180">
            <v>3501107</v>
          </cell>
          <cell r="C180" t="str">
            <v>FRASCO AMBAR DE POLIETILENO BOCA ANGOSTA,  4 ONZAS CON TAPON DE ROSCA. C/U</v>
          </cell>
          <cell r="D180" t="str">
            <v>C/U</v>
          </cell>
        </row>
        <row r="181">
          <cell r="B181">
            <v>3501108</v>
          </cell>
          <cell r="C181" t="str">
            <v>FRASCO AMBAR DE POLIETILENO,  BOCA ANGOSTA , 16 ONZAS,  CON TAPON DE ROSCA. C/U</v>
          </cell>
          <cell r="D181" t="str">
            <v>C/U</v>
          </cell>
        </row>
        <row r="182">
          <cell r="B182">
            <v>3501109</v>
          </cell>
          <cell r="C182" t="str">
            <v>FRASCO CLARO DE POLIETILENO,  BOCA ANGOSTA,  16 ONZAS,  CON TAPON DE ROSCA. C/U</v>
          </cell>
          <cell r="D182" t="str">
            <v>C/U</v>
          </cell>
        </row>
        <row r="183">
          <cell r="B183">
            <v>3501110</v>
          </cell>
          <cell r="C183" t="str">
            <v>FRASCO AMBAR DE POLIETILENO,  BOCA ANGOSTA,  32 ONZAS CON TAPON DE ROSCA. C/U</v>
          </cell>
          <cell r="D183" t="str">
            <v>C/U</v>
          </cell>
        </row>
        <row r="184">
          <cell r="B184">
            <v>3501111</v>
          </cell>
          <cell r="C184" t="str">
            <v>FRASCO CLARO DE POLIETILENO,  BOCA ANGOSTA,  32 ONZAS,  CON TAPON DE ROSCA. C/U</v>
          </cell>
          <cell r="D184" t="str">
            <v>C/U</v>
          </cell>
        </row>
        <row r="185">
          <cell r="B185">
            <v>3501112</v>
          </cell>
          <cell r="C185" t="str">
            <v>FRASCO AMBAR DE POLIETILENO,  BOCA ANGOSTA,  8 ONZAS CON TAPON DE ROSCA. C/U</v>
          </cell>
          <cell r="D185" t="str">
            <v>C/U</v>
          </cell>
        </row>
        <row r="186">
          <cell r="B186">
            <v>3501113</v>
          </cell>
          <cell r="C186" t="str">
            <v>FRASCO CLARO DE POLIETILENO,  BOCA ANGOSTA,  4 ONZAS,  CON TAPON DE ROSCA. C/U</v>
          </cell>
          <cell r="D186" t="str">
            <v>C/U</v>
          </cell>
        </row>
        <row r="187">
          <cell r="B187">
            <v>3501114</v>
          </cell>
          <cell r="C187" t="str">
            <v>FRASCO LAVADOR,  DE POLIETILENO,  CON PIPETA,  CAPACIDAD 8 ONZAS. C/U</v>
          </cell>
          <cell r="D187" t="str">
            <v>C/U</v>
          </cell>
        </row>
        <row r="188">
          <cell r="B188">
            <v>3501115</v>
          </cell>
          <cell r="C188" t="str">
            <v>FRASCO LAVADOR,  DE POLIETILENO,  CON PIPETA,  CAPACIDAD 16 ONZAS. C/U</v>
          </cell>
          <cell r="D188" t="str">
            <v>C/U</v>
          </cell>
        </row>
        <row r="189">
          <cell r="B189">
            <v>3501116</v>
          </cell>
          <cell r="C189" t="str">
            <v>GARRAFON CLARO DE POLIETILENO,  CAPACIDAD DE 20 - 25 L,  CON AGARRADERA Y TAPON DE ROSCA. C/U</v>
          </cell>
          <cell r="D189" t="str">
            <v>C/U</v>
          </cell>
        </row>
        <row r="190">
          <cell r="B190">
            <v>3501015</v>
          </cell>
          <cell r="C190" t="str">
            <v>GRADILLA CONSTRUIDA DE:  ALUMINIO,  PLASTICO,  ACERO PLASTICO O SIMILARES,  PARA MICROTUBO DE 10 ± 1 mm  DE DIAMETRO Y 40  -   55 mm DE ALTURA,  CAPACIDAD DE 70   -  100 MICROTUBOS. C/U</v>
          </cell>
          <cell r="D190" t="str">
            <v>C/U</v>
          </cell>
        </row>
        <row r="191">
          <cell r="B191">
            <v>3501117</v>
          </cell>
          <cell r="C191" t="str">
            <v>FRASCO LAVADOR,  DE POLIETILENO,  4 ONZAS CON PIPETA. C/U</v>
          </cell>
          <cell r="D191" t="str">
            <v>C/U</v>
          </cell>
        </row>
        <row r="192">
          <cell r="B192">
            <v>3501118</v>
          </cell>
          <cell r="C192" t="str">
            <v>ASA BACTERIOLOGICA 3" DE LARGO APROXIMADAMENTE,  NO CALIBRADA,  DE ALAMBRE CROMADO # 28, C/U</v>
          </cell>
          <cell r="D192" t="str">
            <v>C/U</v>
          </cell>
        </row>
        <row r="193">
          <cell r="B193">
            <v>3501018</v>
          </cell>
          <cell r="C193" t="str">
            <v xml:space="preserve">PIPETA AUTOMATICA  DE 0.005 mL  (5   µl). C/U </v>
          </cell>
          <cell r="D193" t="str">
            <v>C/U</v>
          </cell>
        </row>
        <row r="194">
          <cell r="B194">
            <v>3501019</v>
          </cell>
          <cell r="C194" t="str">
            <v xml:space="preserve">PIPETA AUTOMATICA DE 0.010 mL  (10  µl). C/U </v>
          </cell>
          <cell r="D194" t="str">
            <v>C/U</v>
          </cell>
        </row>
        <row r="195">
          <cell r="B195">
            <v>3501020</v>
          </cell>
          <cell r="C195" t="str">
            <v xml:space="preserve">PIPETA AUTOMATICA  DE 0.020 mL  (20  µl). C/U </v>
          </cell>
          <cell r="D195" t="str">
            <v>C/U</v>
          </cell>
        </row>
        <row r="196">
          <cell r="B196">
            <v>3501021</v>
          </cell>
          <cell r="C196" t="str">
            <v xml:space="preserve">PIPETA AUTOMATICA  DE 0.025 mL  (25  µl). C/U </v>
          </cell>
          <cell r="D196" t="str">
            <v>C/U</v>
          </cell>
        </row>
        <row r="197">
          <cell r="B197">
            <v>3501022</v>
          </cell>
          <cell r="C197" t="str">
            <v xml:space="preserve">PIPETA AUTOMATICA  DE 0.050 mL  (50  µl). C/U </v>
          </cell>
          <cell r="D197" t="str">
            <v>C/U</v>
          </cell>
        </row>
        <row r="198">
          <cell r="B198">
            <v>3501023</v>
          </cell>
          <cell r="C198" t="str">
            <v xml:space="preserve">PIPETA AUTOMATICA  DE 0.1 mL  (100  µl). C/U </v>
          </cell>
          <cell r="D198" t="str">
            <v>C/U</v>
          </cell>
        </row>
        <row r="199">
          <cell r="B199">
            <v>3501024</v>
          </cell>
          <cell r="C199" t="str">
            <v xml:space="preserve">PIPETA AUTOMATICA  DE 0.2 mL  (200  µl). C/U </v>
          </cell>
          <cell r="D199" t="str">
            <v>C/U</v>
          </cell>
        </row>
        <row r="200">
          <cell r="B200">
            <v>3501025</v>
          </cell>
          <cell r="C200" t="str">
            <v>PIPETA AUTOMATICA  DE 0.25 mL  (250  µl). C/U</v>
          </cell>
          <cell r="D200" t="str">
            <v>C/U</v>
          </cell>
        </row>
        <row r="201">
          <cell r="B201">
            <v>3501026</v>
          </cell>
          <cell r="C201" t="str">
            <v xml:space="preserve">PIPETA AUTOMATICA  DE 0.3 mL  (300  µl). C/U </v>
          </cell>
          <cell r="D201" t="str">
            <v>C/U</v>
          </cell>
        </row>
        <row r="202">
          <cell r="B202">
            <v>3501027</v>
          </cell>
          <cell r="C202" t="str">
            <v xml:space="preserve">PIPETA AUTOMATICA DE 0.5 mL  (500  µl). C/U </v>
          </cell>
          <cell r="D202" t="str">
            <v>C/U</v>
          </cell>
        </row>
        <row r="203">
          <cell r="B203">
            <v>3501028</v>
          </cell>
          <cell r="C203" t="str">
            <v xml:space="preserve">PIPETA AUTOMATICA  DE 1 mL  ( 1000  µl). C/U </v>
          </cell>
          <cell r="D203" t="str">
            <v>C/U</v>
          </cell>
        </row>
        <row r="204">
          <cell r="B204">
            <v>3501119</v>
          </cell>
          <cell r="C204" t="str">
            <v xml:space="preserve">EMBUDO DE POLIETILENO,  DIAMETRO  50 mm  (APROXIMADAMENTE). C/U </v>
          </cell>
          <cell r="D204" t="str">
            <v>C/U</v>
          </cell>
        </row>
        <row r="205">
          <cell r="B205">
            <v>3501120</v>
          </cell>
          <cell r="C205" t="str">
            <v>BANDA DE HULE PLANO  (TORNIQUETE) ,  PARA TOMA DE MUESTRAS DE SANGRE. C/U</v>
          </cell>
          <cell r="D205" t="str">
            <v>C/U</v>
          </cell>
        </row>
        <row r="206">
          <cell r="B206">
            <v>3501121</v>
          </cell>
          <cell r="C206" t="str">
            <v>GARRAFA DE VIDRIO CON TAPON,  COLOR AMBAR,  DE 1 GALON  (APROXIMADO) ,  CON AGARRADERA. C/U</v>
          </cell>
          <cell r="D206" t="str">
            <v>C/U</v>
          </cell>
        </row>
        <row r="207">
          <cell r="B207">
            <v>3501122</v>
          </cell>
          <cell r="C207" t="str">
            <v xml:space="preserve">GARRAFA DE POLIETILENO,  COLOR AMBAR,  CON TAPON DE  ROSCA,  DE 1 GALON  (APROXIMADAMENTE). C/U </v>
          </cell>
          <cell r="D207" t="str">
            <v>C/U</v>
          </cell>
        </row>
        <row r="208">
          <cell r="B208">
            <v>3501123</v>
          </cell>
          <cell r="C208" t="str">
            <v>TUBO CONICO GRADUADO PARA CENTRIFUGA,  DE  15 mL, DE POLIETILENO. C/U</v>
          </cell>
          <cell r="D208" t="str">
            <v>C/U</v>
          </cell>
        </row>
        <row r="209">
          <cell r="B209">
            <v>3501124</v>
          </cell>
          <cell r="C209" t="str">
            <v xml:space="preserve">CEPILLO PARA LAVAR TUBO,  LARGO 9 cm. ,   DIAMETRO 1 1/2 cm.  (APROXIMADAMENTE). C/U </v>
          </cell>
          <cell r="D209" t="str">
            <v>C/U</v>
          </cell>
        </row>
        <row r="210">
          <cell r="B210">
            <v>3501125</v>
          </cell>
          <cell r="C210" t="str">
            <v xml:space="preserve">CEPILLO PARA LAVAR TUBO,   LARGO 14 cm.,  DIAMETRO 2 cm.  (APROXIMADAMENTE). C/U </v>
          </cell>
          <cell r="D210" t="str">
            <v>C/U</v>
          </cell>
        </row>
        <row r="211">
          <cell r="B211">
            <v>3501126</v>
          </cell>
          <cell r="C211" t="str">
            <v>CEPILLO DE CERDA TIPO ZAPATO,  PARA LAVAR EQUIPO. C/U</v>
          </cell>
          <cell r="D211" t="str">
            <v>C/U</v>
          </cell>
        </row>
        <row r="212">
          <cell r="B212">
            <v>3501127</v>
          </cell>
          <cell r="C212" t="str">
            <v>CEPILLO DE CERDA TIPO GIGANTE PARA LAVAR MATERIAL  DE LABORATORIO. C/U</v>
          </cell>
          <cell r="D212" t="str">
            <v>C/U</v>
          </cell>
        </row>
        <row r="213">
          <cell r="B213">
            <v>3501128</v>
          </cell>
          <cell r="C213" t="str">
            <v>ASA BACTERIOLOGICA DE IRIDIUM PLATINO,  CALIBRADA A  0.001 mL,  PARA UROCULTIVO. C/U</v>
          </cell>
          <cell r="D213" t="str">
            <v>C/U</v>
          </cell>
        </row>
        <row r="214">
          <cell r="B214">
            <v>3501129</v>
          </cell>
          <cell r="C214" t="str">
            <v>LAMINILLA CUBRE OBJETO 22 X 30 mm. C/U</v>
          </cell>
          <cell r="D214" t="str">
            <v>C/U</v>
          </cell>
        </row>
        <row r="215">
          <cell r="B215">
            <v>3501130</v>
          </cell>
          <cell r="C215" t="str">
            <v>LAMINILLA CUBRE CAMARA PARA RECUENTO DE GLOBULOS 20 X 25 mm ESPESOR 1 mm. C/U</v>
          </cell>
          <cell r="D215" t="str">
            <v>C/U</v>
          </cell>
        </row>
        <row r="216">
          <cell r="B216">
            <v>3501041</v>
          </cell>
          <cell r="C216" t="str">
            <v>PRO - PIPETA PORTABLE ELECTRICA COMPATIBLE CON PIPETA SEROLOGICAS DE DIFERENTES VOLUMENES. C/U</v>
          </cell>
          <cell r="D216" t="str">
            <v>C/U</v>
          </cell>
        </row>
        <row r="217">
          <cell r="B217">
            <v>3501131</v>
          </cell>
          <cell r="C217" t="str">
            <v xml:space="preserve">DISPENSADOR A  REPETICION COMPATIBLE CON JERINGA DE VIDRIO DE 50,  100,  250 Y 500 µL. C/U </v>
          </cell>
          <cell r="D217" t="str">
            <v>C/U</v>
          </cell>
        </row>
        <row r="218">
          <cell r="B218">
            <v>3501132</v>
          </cell>
          <cell r="C218" t="str">
            <v xml:space="preserve">DISPENSADOR A  REPETICION DE 6 CANALES CON JERINGAS PUNTA RECTAS,  DE VIDRIO,  TIPO HAMILTON CAPACIDAD DE 250 µL. C/U </v>
          </cell>
          <cell r="D218" t="str">
            <v>C/U</v>
          </cell>
        </row>
        <row r="219">
          <cell r="B219">
            <v>3501133</v>
          </cell>
          <cell r="C219" t="str">
            <v>TUBO CONICO PLASTICO GRADUADO,  CON TAPADERA,  AUTOCLAVABLES CAPACIDAD 15 mL. C/U</v>
          </cell>
          <cell r="D219" t="str">
            <v>C/U</v>
          </cell>
        </row>
        <row r="220">
          <cell r="B220">
            <v>3501134</v>
          </cell>
          <cell r="C220" t="str">
            <v>TUBO CONICO GRADUADO DE 50 mL CON TAPADERA,  DE POLIPROPILENO. C/U</v>
          </cell>
          <cell r="D220" t="str">
            <v>C/U</v>
          </cell>
        </row>
        <row r="221">
          <cell r="B221">
            <v>3501135</v>
          </cell>
          <cell r="C221" t="str">
            <v xml:space="preserve">DISPENSADOR RAPIDO PARA MICROPLACA QUE CONSISTE EN UNA PISTOLA CON AGARRADERA,  UN ADAPTADOR DE 6 AGUJAS,  INCREMENTOS DE 10,  25 Y 100 µL. C/U </v>
          </cell>
          <cell r="D221" t="str">
            <v>C/U</v>
          </cell>
        </row>
        <row r="222">
          <cell r="B222">
            <v>3501136</v>
          </cell>
          <cell r="C222" t="str">
            <v>CAJA PLASTICA PARA CONGELAR SUEROS CON CELDAS DIVISORIAS,  CON MEDIDAS APROXIMADAS DE 2" DE ALTO X 5.25" DE ANCHO,  PARA 60 UNIDADES O MAS, COMPATIBLE CON GRADILLA DE METAL DE FREEZER HORIZONTAL MARCA REVCO MODELO ULTIMA 101. C/U</v>
          </cell>
          <cell r="D222" t="str">
            <v>C/U</v>
          </cell>
        </row>
        <row r="223">
          <cell r="B223">
            <v>3501048</v>
          </cell>
          <cell r="C223" t="str">
            <v>PIPETA AUTOMATICA DE VOLUMENES VARIABLES DE 0.5 -  10 µL ,  DIGITAL, CON CERTIFICADO DE CALIBRACION,  AUTOCLAVABLE. C/U</v>
          </cell>
          <cell r="D223" t="str">
            <v>C/U</v>
          </cell>
        </row>
        <row r="224">
          <cell r="B224">
            <v>3501049</v>
          </cell>
          <cell r="C224" t="str">
            <v>PIPETA AUTOMATICA DE VOLUMENES VARIABLES DE 10 - 100 µL ,  DIGITAL,  CON CERTIFICADO DE CALIBRACION,  AUTOCLAVABLE. C/U</v>
          </cell>
          <cell r="D224" t="str">
            <v>C/U</v>
          </cell>
        </row>
        <row r="225">
          <cell r="B225">
            <v>3501050</v>
          </cell>
          <cell r="C225" t="str">
            <v>PIPETA AUTOMATICA DE VOLUMENES VARIABLES DE 100 -  1000 µL ,  DIGITAL,  CON CERTIFICADO DE CALIBRACION,  AUTOCLAVABLE. C/U</v>
          </cell>
          <cell r="D225" t="str">
            <v>C/U</v>
          </cell>
        </row>
        <row r="226">
          <cell r="B226">
            <v>3501137</v>
          </cell>
          <cell r="C226" t="str">
            <v xml:space="preserve">JERINGA DE VIDRIO TIPO HAMILTON,  CON PUNTA DE METAL RECTA  ( SIN BISEL) ,  EMBOLO DE ACERO INOXIDABLE Y EXTREMO DE TEFLON, CAPACIDAD DE 50 µL. C/U </v>
          </cell>
          <cell r="D226" t="str">
            <v>C/U</v>
          </cell>
        </row>
        <row r="227">
          <cell r="B227">
            <v>3501138</v>
          </cell>
          <cell r="C227" t="str">
            <v>FRASCO DE VIDRIO CON TAPADERA DE ROSCA AUTOCLAVABLE. PARA CONGELAR SUEROS CAPACIDAD DE     2 - 4 ML C/U</v>
          </cell>
          <cell r="D227" t="str">
            <v>C/U</v>
          </cell>
        </row>
        <row r="228">
          <cell r="B228">
            <v>3501139</v>
          </cell>
          <cell r="C228" t="str">
            <v>BULBO PARA PIPETA PEQUEÑA TIPO PASTEUR,  CAPACIDAD DE 2 mL. C/U</v>
          </cell>
          <cell r="D228" t="str">
            <v>C/U</v>
          </cell>
        </row>
        <row r="229">
          <cell r="B229">
            <v>3501140</v>
          </cell>
          <cell r="C229" t="str">
            <v>PLATO PLASTICO HEXAGONAL PARA PESAR REACTIVOS,  MEDIDAS APROXIMADAS 64 X 51 mm. C/U</v>
          </cell>
          <cell r="D229" t="str">
            <v>C/U</v>
          </cell>
        </row>
        <row r="230">
          <cell r="B230">
            <v>3501141</v>
          </cell>
          <cell r="C230" t="str">
            <v>REMOVEDOR DE TAPONES PARA DIFERENTES TUBOS  AL VACIO. C/U</v>
          </cell>
          <cell r="D230" t="str">
            <v>C/U</v>
          </cell>
        </row>
        <row r="231">
          <cell r="B231">
            <v>3501142</v>
          </cell>
          <cell r="C231" t="str">
            <v>SOSTENEDOR PLASTICO DE TUBO CON DISPARADOR DE AGUJA,  ADAPTABLE A TUBO AL VACIO DE 2 - 10 mL Y AGUJAS MULTIMUESTRAS. C/U</v>
          </cell>
          <cell r="D231" t="str">
            <v>C/U</v>
          </cell>
        </row>
        <row r="232">
          <cell r="B232">
            <v>3501143</v>
          </cell>
          <cell r="C232" t="str">
            <v>JERINGA DE VIDRIO TIPO HAMILTON,  CON PUNTA DE METAL RECTA  ( SIN BISEL ) ,  EMBOLO DE ACERO INOXIDABLE Y EXTREMO DE TEFLON CAPACIDAD DE 100 µL. C/U</v>
          </cell>
          <cell r="D232" t="str">
            <v>C/U</v>
          </cell>
        </row>
        <row r="233">
          <cell r="B233">
            <v>3501144</v>
          </cell>
          <cell r="C233" t="str">
            <v xml:space="preserve">JERINGA DE VIDRIO TIPO HAMILTON,  CON PUNTA DE METAL RECTA  ( SIN BISEL ) ,  EMBOLO DE ACERO INOXIDABLE Y EXTREMO DE TEFLON CAPACIDAD DE 250 µL. C/U </v>
          </cell>
          <cell r="D233" t="str">
            <v>C/U</v>
          </cell>
        </row>
        <row r="234">
          <cell r="B234">
            <v>3501059</v>
          </cell>
          <cell r="C234" t="str">
            <v>GRADILLA ACRILICA, AUTOCLAVABLE  DISEÑADA PARA TUBO DE MICROCENTRIFUGA DE 1.5 mL,  QUE SOSTENGA DE 25 - 50  TUBOS, C/U</v>
          </cell>
          <cell r="D234" t="str">
            <v>C/U</v>
          </cell>
        </row>
        <row r="235">
          <cell r="B235">
            <v>3501145</v>
          </cell>
          <cell r="C235" t="str">
            <v>GRADILLA ACRILICA, AUTOCLAVABLE  DISEÑADA PARA TUBO DE MICROCENTRIFUGA DE 2 mL,  QUE SOSTENGA DE 25 - 50  TUBOS,  VERTICALMENTE, C/U</v>
          </cell>
          <cell r="D235" t="str">
            <v>C/U</v>
          </cell>
        </row>
        <row r="236">
          <cell r="B236">
            <v>3501146</v>
          </cell>
          <cell r="C236" t="str">
            <v>GRADILLA ACRILICA, AUTOCLAVABLE, DISEÑADA PARA TUBO DE MICROCENTRIFUGA DE 0.5 - 0.7 mL,  QUE SOSTENGA DE 25 - 50  TUBOS,  C/U</v>
          </cell>
          <cell r="D236" t="str">
            <v>C/U</v>
          </cell>
        </row>
        <row r="237">
          <cell r="B237">
            <v>3501062</v>
          </cell>
          <cell r="C237" t="str">
            <v>GRADILLA PLASTICA,  AUTOCLAVABLE, PARA TUBO DE CENTRIFUGA DE 15 mL, C/U</v>
          </cell>
          <cell r="D237" t="str">
            <v>C/U</v>
          </cell>
        </row>
        <row r="238">
          <cell r="B238">
            <v>3501063</v>
          </cell>
          <cell r="C238" t="str">
            <v>GRADILLA PLASTICA,  AUTOCLAVABLE PARA TUBO 13 X100 mm,  CAPACIDAD DE 36 O MAS TUBOS. C/U</v>
          </cell>
          <cell r="D238" t="str">
            <v>C/U</v>
          </cell>
        </row>
        <row r="239">
          <cell r="B239">
            <v>3501147</v>
          </cell>
          <cell r="C239" t="str">
            <v>CUBIERTA DE VIDRIO DE 50 X 75 mm GROSOR 0.05 mm. C/U</v>
          </cell>
          <cell r="D239" t="str">
            <v>C/U</v>
          </cell>
        </row>
        <row r="240">
          <cell r="B240">
            <v>3501065</v>
          </cell>
          <cell r="C240" t="str">
            <v>PIPETA AUTOMATICA DE VOLUMENES VARIABLES DE 2 - 20  µL ,  DIGITAL,  CON CERTIFICADO DE CALIBRACION,  AUTOCLAVABLE. C/U</v>
          </cell>
          <cell r="D240" t="str">
            <v>C/U</v>
          </cell>
        </row>
        <row r="241">
          <cell r="B241">
            <v>3501148</v>
          </cell>
          <cell r="C241" t="str">
            <v>PROBETA GRADUADA DE 2000 mL DE POLIETILENO. C/U</v>
          </cell>
          <cell r="D241" t="str">
            <v>C/U</v>
          </cell>
        </row>
        <row r="242">
          <cell r="B242">
            <v>3501067</v>
          </cell>
          <cell r="C242" t="str">
            <v>GRADILLA DE POLIPROPILENO O POLIETILENO DE 70 - 96 MICROTUBOS,  CON MEDIDAS APROXIMADAS DE 19.5 cm. DE LARGO,  POR 12 cm. DE ANCHO,  POR 4 cm. DE ALTURA Y 1.0 cm. DE DIAMETRO POR ORIFICIO. C/U</v>
          </cell>
          <cell r="D242" t="str">
            <v>C/U</v>
          </cell>
        </row>
        <row r="243">
          <cell r="B243">
            <v>3500195</v>
          </cell>
          <cell r="C243" t="str">
            <v>PUNTA PLASTICA UNIVERSAL DE 0.5 - 10 µL, FORMATO LARGO, DESCARTABLE, COMPATIBLE Y FUNCIONAL CON MICROPIPETA DE MARCA INSTITUCIONAL. C/U</v>
          </cell>
          <cell r="D243" t="str">
            <v>C/U</v>
          </cell>
        </row>
        <row r="244">
          <cell r="B244">
            <v>3500196</v>
          </cell>
          <cell r="C244" t="str">
            <v>FRASCO RECOLECTOR DE HECES, PLASTICO TRANSPARENTE, TAPADERA DE ROSCA CON ESPATULA ADHERIDA , NO ESTERIL, MEDIDA 5 ± 1 cm ALTURA x 6 ± 1 cm DIAMETRO.</v>
          </cell>
          <cell r="D244" t="str">
            <v>C/U</v>
          </cell>
        </row>
        <row r="245">
          <cell r="B245">
            <v>3500197</v>
          </cell>
          <cell r="C245" t="str">
            <v>HISOPO DE ALUMINIO ULTRA FINO, FLEXIBLE, CON PUNTA DE ALGINATO DE CALCIO O NYLON, ESTERIL,  DESCARTABLE.</v>
          </cell>
          <cell r="D245" t="str">
            <v>C/U</v>
          </cell>
        </row>
        <row r="246">
          <cell r="B246">
            <v>3500198</v>
          </cell>
          <cell r="C246" t="str">
            <v>HISOPO DE PLASTICO ROMPIBLE O MADERA, CON PUNTA DE DACRON O RAYON, ESTERIL, DESCARTABLE</v>
          </cell>
          <cell r="D246" t="str">
            <v>C/U</v>
          </cell>
        </row>
        <row r="247">
          <cell r="B247">
            <v>3500199</v>
          </cell>
          <cell r="C247" t="str">
            <v xml:space="preserve">TUBO PLASTICO CON SISTEMA DE EXTRACCION DE SANGRE AL VACIO, S/ ANTICOAG,  TAPON ROJO CAPACIDAD DE 2 - 3 mL,  Y MEDIDAS DE 12 ± 1 mm DE DIAMETRO Y 75 - 110  mm DE LARGO,  </v>
          </cell>
          <cell r="D247" t="str">
            <v>C/U</v>
          </cell>
        </row>
        <row r="248">
          <cell r="B248">
            <v>3500200</v>
          </cell>
          <cell r="C248" t="str">
            <v xml:space="preserve"> TUBO PLASTICO CON SISTEMA DE EXTRACCION DE SANGRE AL VACIO, C/ ANTICOAG EDTA,  TAPON MORADO CAPACIDAD DE 2 - 3 mL,  Y MEDIDA DE 12 ± 1 mm DE DIAMETRO Y 75 - 110  mm DE LARGO,  </v>
          </cell>
          <cell r="D248" t="str">
            <v>C/U</v>
          </cell>
        </row>
        <row r="249">
          <cell r="B249">
            <v>3500201</v>
          </cell>
          <cell r="C249" t="str">
            <v xml:space="preserve">TUBO PLASTICO CON SISTEMA DE EXTRACCION DE SANGRE AL VACIO, C/ ANTICOAG CITRATO DE SODIO, AL 3.2 -3.8 %, TAPON CELESTE CAPACIDAD DE 2 - 3 mL,  Y MEDIDAS DE 12 ± 1 mm DE DIAMETRO Y 75 - 110  mm DE LARGO,  </v>
          </cell>
          <cell r="D249" t="str">
            <v>C/U</v>
          </cell>
        </row>
        <row r="250">
          <cell r="B250">
            <v>3500202</v>
          </cell>
          <cell r="C250" t="str">
            <v xml:space="preserve">TUBO PLASTICO PARA TOMAR MUESTRA DE SANGRE AL VACIO,SIN GEL, TAPON AMARILLO CON ANTICOAGULANTE ACD  SOLUCION A  (ACIDO CITRICO, CITRATO TRISODICO Y DEXTROSA), CON CAPACIDAD  DE 8.5 mL, MEDIDAS DE 16 X 100 mm, </v>
          </cell>
          <cell r="D250" t="str">
            <v>C/U</v>
          </cell>
        </row>
        <row r="251">
          <cell r="B251">
            <v>3500203</v>
          </cell>
          <cell r="C251" t="str">
            <v>TUBO CONICO PLASTICO, COLOR AMBAR, CON TAPON DE ROSCA, ESTERIL, CON CAPACIDAD DE 1.5 - 2.0 mL, QUE RESISTA TEMPERATURAS BAJAS DE HASTA  -70 °C, AUTOCLAVABLE. C/U</v>
          </cell>
          <cell r="D251" t="str">
            <v>C/U</v>
          </cell>
        </row>
        <row r="252">
          <cell r="B252">
            <v>3501162</v>
          </cell>
          <cell r="C252" t="str">
            <v>GRADILLA DE PLASTICO AUTOCLAVABLE, CON PESTAÑAS DE SEGURIDAD PARA ADAPTACION DE DIFERENTES MEDIDAS DE DIAMETRO DE 13 - 20 mm, CON CAPACIDAD DE 30 - 50 TUBOS. C/U</v>
          </cell>
          <cell r="D252" t="str">
            <v>C/U</v>
          </cell>
        </row>
        <row r="253">
          <cell r="B253">
            <v>3501163</v>
          </cell>
          <cell r="C253" t="str">
            <v>FRASCO DE VIDRIO TRANSPARENTE, BOCA ANCHA, CON TAPADERA DE ROSCA, DE METAL O PLASTICO, CAPACIDAD 4 -  6 ONZAS, DIAMETRO  4 - 5  cm,  AUTOCLAVABLE. C/U</v>
          </cell>
          <cell r="D253" t="str">
            <v>C/U</v>
          </cell>
        </row>
        <row r="254">
          <cell r="B254">
            <v>3700025</v>
          </cell>
          <cell r="C254" t="str">
            <v>GRADILLA PARA TUBOS DE 30 mm  DE DIAMETRO, PLASTICA, AUTOCLAVABLE, CAPACIDAD DE 10 - 21 TUBOS DE 50 mL. C/U</v>
          </cell>
          <cell r="D254" t="str">
            <v>C/U</v>
          </cell>
        </row>
        <row r="255">
          <cell r="B255">
            <v>3501149</v>
          </cell>
          <cell r="C255" t="str">
            <v>JERINGA DE VIDRIO TIPO HAMILTON,  CON PUNTA  DE METAL RECTA  (SIN BISEL) ,  EMBOLO DE ACERO INOXIDABLE Y EXTREMO DE TEFLON. CAPACIDAD DE 500 µL. C/U</v>
          </cell>
          <cell r="D255" t="str">
            <v>C/U</v>
          </cell>
        </row>
        <row r="256">
          <cell r="B256">
            <v>3501150</v>
          </cell>
          <cell r="C256" t="str">
            <v>FRASCO PLASTICO CON TAPADERA DE ROSCA,   TRANSPARENTE,  GRADUADO DE 100 - 2, 000 mL TIPO NALGENE,  COMPATIBLE CON LAVADOR DE ELISA MARCA HYPERIUM. C/U</v>
          </cell>
          <cell r="D256" t="str">
            <v>C/U</v>
          </cell>
        </row>
        <row r="257">
          <cell r="B257">
            <v>3501151</v>
          </cell>
          <cell r="C257" t="str">
            <v>TORNIQUETE DE HULE CON VELCRO PARA TOMA DE MUESTRA DE SANGRE. C/U</v>
          </cell>
          <cell r="D257" t="str">
            <v>C/U</v>
          </cell>
        </row>
        <row r="258">
          <cell r="B258">
            <v>3501071</v>
          </cell>
          <cell r="C258" t="str">
            <v>BEAKER GRADUADO DE ACERO INOXIDABLE DE 2000 mL. C/U</v>
          </cell>
          <cell r="D258" t="str">
            <v>C/U</v>
          </cell>
        </row>
        <row r="259">
          <cell r="B259">
            <v>3501152</v>
          </cell>
          <cell r="C259" t="str">
            <v>FRASCO DE POLIETILENO,  CON TAPON DE ROSCA DE 16 ± 2 ONZAS,  BOCA ANCHA DE 7  -  10 cm DE DIAMETRO. C/U</v>
          </cell>
          <cell r="D259" t="str">
            <v>C/U</v>
          </cell>
        </row>
        <row r="260">
          <cell r="B260">
            <v>3501153</v>
          </cell>
          <cell r="C260" t="str">
            <v>FRASCO DE POLIETILENO CON TAPON DE ROSCA DE 30 ±  2 ONZAS,  BOCA ANCHA DE 7  -  10 cm DE DIAMETRO. C/U</v>
          </cell>
          <cell r="D260" t="str">
            <v>C/U</v>
          </cell>
        </row>
        <row r="261">
          <cell r="B261">
            <v>3501154</v>
          </cell>
          <cell r="C261" t="str">
            <v>FRASCO DE POLIETILENO CON TAPON DE ROSCA DE 50 ± 5 ONZAS,  BOCA ANCHA DE 10  -  15 cm DE DIAMETRO. C/U</v>
          </cell>
          <cell r="D261" t="str">
            <v>C/U</v>
          </cell>
        </row>
        <row r="262">
          <cell r="B262">
            <v>3501155</v>
          </cell>
          <cell r="C262" t="str">
            <v>FRASCO DE POLIETILENO CON TAPON DE ROSCA DE 100 ±  5 ONZAS,  BOCA ANCHA DE 10 - 15 cm DE DIAMETRO. C/U</v>
          </cell>
          <cell r="D262" t="str">
            <v>C/U</v>
          </cell>
        </row>
        <row r="263">
          <cell r="B263">
            <v>3501156</v>
          </cell>
          <cell r="C263" t="str">
            <v xml:space="preserve">DISPENSADOR A  REPETICION DE 6 CANALES CON JERINGAS DE VIDRIO  PUNTAS  RECTAS,  TIPO HAMILTON. CAPACIDAD DE 50 µL. C/U </v>
          </cell>
          <cell r="D263" t="str">
            <v>C/U</v>
          </cell>
        </row>
        <row r="264">
          <cell r="B264">
            <v>3501157</v>
          </cell>
          <cell r="C264" t="str">
            <v xml:space="preserve">DISPENSADOR A  REPETICION DE 6 CANALES CON JERINGAS DE VIDRIO,  PUNTAS  RECTAS,   TIPO HAMILTON. CAPACIDAD DE 500 µL. C/U </v>
          </cell>
          <cell r="D264" t="str">
            <v>C/U</v>
          </cell>
        </row>
        <row r="265">
          <cell r="B265">
            <v>3501158</v>
          </cell>
          <cell r="C265" t="str">
            <v>PROPIPETA CALIBRADA DE POLIPROPILENO  . CON DOBLE FUNCION:   SUCCION Y DISPENSADO MANUAL  PARA PIPETA SEROLOGICA DE 2 mL. C/U</v>
          </cell>
          <cell r="D265" t="str">
            <v>C/U</v>
          </cell>
        </row>
        <row r="266">
          <cell r="B266">
            <v>3501159</v>
          </cell>
          <cell r="C266" t="str">
            <v>PROPIPETA CALIBRADA DE POLIPROPILENO CON DOBLE FUNCION:   SUCCION Y DISPENSADO MANUAL  PARA PIPETA SEROLOGICA DE  5 mL. C/U</v>
          </cell>
          <cell r="D266" t="str">
            <v>C/U</v>
          </cell>
        </row>
        <row r="267">
          <cell r="B267">
            <v>3501160</v>
          </cell>
          <cell r="C267" t="str">
            <v>PROPIPETA CALIBRADA DE POLIPROPILENO CON DOBLE FUNCION:   SUCCION Y DISPENSADO MANUAL  PARA PIPETA SEROLOGICA DE 10 mL. C/U</v>
          </cell>
          <cell r="D267" t="str">
            <v>C/U</v>
          </cell>
        </row>
        <row r="268">
          <cell r="B268">
            <v>3501161</v>
          </cell>
          <cell r="C268" t="str">
            <v xml:space="preserve">FRASCO VIAL DE VIDRIO COLOR AMBAR DE 10 mL CAPACIDAD TOTAL 12 CC CON TAPON DE GOMA, ESTÉRIL </v>
          </cell>
          <cell r="D268" t="str">
            <v>FRASCO VIAL</v>
          </cell>
        </row>
        <row r="269">
          <cell r="B269">
            <v>3600090</v>
          </cell>
          <cell r="C269" t="str">
            <v>TUBO GRADUADO PARA ERITROSEDIMENTACION,  TIPO WESTERGREEN PARA MUESTRAS PEDIATRICAS. C/U</v>
          </cell>
          <cell r="D269" t="str">
            <v>C/U</v>
          </cell>
        </row>
        <row r="270">
          <cell r="B270">
            <v>3600001</v>
          </cell>
          <cell r="C270" t="str">
            <v xml:space="preserve">FRASCO DE VIDRIO CLARO,  BOCA ANGOSTA DE 4 ONZAS,  TAPON DE ROSCA DE VAQUELITA  (PARA HEMOCULTIVOS). C/U </v>
          </cell>
          <cell r="D270" t="str">
            <v>C/U</v>
          </cell>
        </row>
        <row r="271">
          <cell r="B271">
            <v>3600091</v>
          </cell>
          <cell r="C271" t="str">
            <v>TUBO DE VIDRIO CON TAPON DE ROSCA,  CAPACIDAD DE 12 – 14 X 100 mm,  AUTOCLAVABLE. C/U</v>
          </cell>
          <cell r="D271" t="str">
            <v>C/U</v>
          </cell>
        </row>
        <row r="272">
          <cell r="B272">
            <v>3600092</v>
          </cell>
          <cell r="C272" t="str">
            <v>BALON FONDO PLANO DE 1000 mL,  DE VIDRIO. C/U</v>
          </cell>
          <cell r="D272" t="str">
            <v>C/U</v>
          </cell>
        </row>
        <row r="273">
          <cell r="B273">
            <v>3600093</v>
          </cell>
          <cell r="C273" t="str">
            <v>BALON FONDO PLANO DE  500 mL,  DE VIDRIO. C/U</v>
          </cell>
          <cell r="D273" t="str">
            <v>C/U</v>
          </cell>
        </row>
        <row r="274">
          <cell r="B274">
            <v>3600094</v>
          </cell>
          <cell r="C274" t="str">
            <v>BALON FONDO PLANO DE  250 mL,  DE VIDRIO. C/U</v>
          </cell>
          <cell r="D274" t="str">
            <v>C/U</v>
          </cell>
        </row>
        <row r="275">
          <cell r="B275">
            <v>3600095</v>
          </cell>
          <cell r="C275" t="str">
            <v>BEAKER  DE 1000 mL,  DE VIDRIO. C/U</v>
          </cell>
          <cell r="D275" t="str">
            <v>C/U</v>
          </cell>
        </row>
        <row r="276">
          <cell r="B276">
            <v>3600096</v>
          </cell>
          <cell r="C276" t="str">
            <v>BEAKER DE 500 mL, DE VIDRIO. C/U</v>
          </cell>
          <cell r="D276" t="str">
            <v>C/U</v>
          </cell>
        </row>
        <row r="277">
          <cell r="B277">
            <v>3600097</v>
          </cell>
          <cell r="C277" t="str">
            <v>BEAKER  DE 250 mL,  DE VIDRIO. C/U</v>
          </cell>
          <cell r="D277" t="str">
            <v>C/U</v>
          </cell>
        </row>
        <row r="278">
          <cell r="B278">
            <v>3600098</v>
          </cell>
          <cell r="C278" t="str">
            <v>BEAKER  DE 150 mL,  DE VIDRIO. C/U</v>
          </cell>
          <cell r="D278" t="str">
            <v>C/U</v>
          </cell>
        </row>
        <row r="279">
          <cell r="B279">
            <v>3600099</v>
          </cell>
          <cell r="C279" t="str">
            <v>BEAKER  DE 50 mL,  DE VIDRIO.  C/U</v>
          </cell>
          <cell r="D279" t="str">
            <v>C/U</v>
          </cell>
        </row>
        <row r="280">
          <cell r="B280">
            <v>3600011</v>
          </cell>
          <cell r="C280" t="str">
            <v>BEAKER  DE 2000 mL,  DE VIDRIO. C/U</v>
          </cell>
          <cell r="D280" t="str">
            <v>C/U</v>
          </cell>
        </row>
        <row r="281">
          <cell r="B281">
            <v>3600101</v>
          </cell>
          <cell r="C281" t="str">
            <v>CAMARA PARA RECUENTO DE GLOBULOS,  TIPO NEUBAWER. C/U</v>
          </cell>
          <cell r="D281" t="str">
            <v>C/U</v>
          </cell>
        </row>
        <row r="282">
          <cell r="B282">
            <v>3600102</v>
          </cell>
          <cell r="C282" t="str">
            <v>PROBETA GRADUADA DE 2000 mL,  DE VIDRIO. C/U</v>
          </cell>
          <cell r="D282" t="str">
            <v>C/U</v>
          </cell>
        </row>
        <row r="283">
          <cell r="B283">
            <v>3600103</v>
          </cell>
          <cell r="C283" t="str">
            <v>PROBETA GRADUADA DE 1000 mL,  DE VIDRIO. C/U</v>
          </cell>
          <cell r="D283" t="str">
            <v>C/U</v>
          </cell>
        </row>
        <row r="284">
          <cell r="B284">
            <v>3600104</v>
          </cell>
          <cell r="C284" t="str">
            <v>PROBETA GRADUADA DE 500 mL,  DE VIDRIO. C/U</v>
          </cell>
          <cell r="D284" t="str">
            <v>C/U</v>
          </cell>
        </row>
        <row r="285">
          <cell r="B285">
            <v>3600105</v>
          </cell>
          <cell r="C285" t="str">
            <v>PROBETA GRADUADA DE 250 mL,  DE VIDRIO. C/U</v>
          </cell>
          <cell r="D285" t="str">
            <v>C/U</v>
          </cell>
        </row>
        <row r="286">
          <cell r="B286">
            <v>3600106</v>
          </cell>
          <cell r="C286" t="str">
            <v>ERLENMEYER  DE  2000 mL BOCA ANGOSTA,  DE VIDRIO. C/U</v>
          </cell>
          <cell r="D286" t="str">
            <v>C/U</v>
          </cell>
        </row>
        <row r="287">
          <cell r="B287">
            <v>3600107</v>
          </cell>
          <cell r="C287" t="str">
            <v>ERLENMEYER  DE 1000 mL BOCA ANGOSTA,  DE VIDRIO. C/U</v>
          </cell>
          <cell r="D287" t="str">
            <v>C/U</v>
          </cell>
        </row>
        <row r="288">
          <cell r="B288">
            <v>3600108</v>
          </cell>
          <cell r="C288" t="str">
            <v>ERLENMEYER  DE 500 mL,  BOCA ANGOSTA,  DE VIDRIO. C/U</v>
          </cell>
          <cell r="D288" t="str">
            <v>C/U</v>
          </cell>
        </row>
        <row r="289">
          <cell r="B289">
            <v>3600109</v>
          </cell>
          <cell r="C289" t="str">
            <v>ERLENMEYER DE 250 mL BOCA ANGOSTA,  DE VIDRIO. C/U</v>
          </cell>
          <cell r="D289" t="str">
            <v>C/U</v>
          </cell>
        </row>
        <row r="290">
          <cell r="B290">
            <v>3600110</v>
          </cell>
          <cell r="C290" t="str">
            <v xml:space="preserve">FRASCO GOTERO DE VIDRIO,  DE 60 mL  (APROXIMADAMENTE). C/U </v>
          </cell>
          <cell r="D290" t="str">
            <v>C/U</v>
          </cell>
        </row>
        <row r="291">
          <cell r="B291">
            <v>3600111</v>
          </cell>
          <cell r="C291" t="str">
            <v>FRASCO VOLUMETRICO,  TAPON ESMERILADO DE 2000 mL. C/U</v>
          </cell>
          <cell r="D291" t="str">
            <v>C/U</v>
          </cell>
        </row>
        <row r="292">
          <cell r="B292">
            <v>3600112</v>
          </cell>
          <cell r="C292" t="str">
            <v>FRASCO VOLUMETRICO,  TAPON ESMERILADO DE 1000 mL. C/U</v>
          </cell>
          <cell r="D292" t="str">
            <v>C/U</v>
          </cell>
        </row>
        <row r="293">
          <cell r="B293">
            <v>3600113</v>
          </cell>
          <cell r="C293" t="str">
            <v>FRASCO VOLUMETRICO,  TAPON ESMERILADO DE 500 mL. C/U</v>
          </cell>
          <cell r="D293" t="str">
            <v>C/U</v>
          </cell>
        </row>
        <row r="294">
          <cell r="B294">
            <v>3600025</v>
          </cell>
          <cell r="C294" t="str">
            <v>FRASCO VOLUMETRICO,  TAPON ESMERILADO DE 250 mL. C/U</v>
          </cell>
          <cell r="D294" t="str">
            <v>C/U</v>
          </cell>
        </row>
        <row r="295">
          <cell r="B295">
            <v>3600114</v>
          </cell>
          <cell r="C295" t="str">
            <v>FRASCO VOLUMETRICO,  TAPON  ESMERILADO DE 200 mL. C/U</v>
          </cell>
          <cell r="D295" t="str">
            <v>C/U</v>
          </cell>
        </row>
        <row r="296">
          <cell r="B296">
            <v>3600115</v>
          </cell>
          <cell r="C296" t="str">
            <v>FRASCO VOLUMETRICO,  TAPON ESMERILADO,  DE  100 mL. C/U</v>
          </cell>
          <cell r="D296" t="str">
            <v>C/U</v>
          </cell>
        </row>
        <row r="297">
          <cell r="B297">
            <v>3600116</v>
          </cell>
          <cell r="C297" t="str">
            <v>FRASCO VOLUMETRICO,  TAPON ESMERILADO,  DE   50 mL. C/U</v>
          </cell>
          <cell r="D297" t="str">
            <v>C/U</v>
          </cell>
        </row>
        <row r="298">
          <cell r="B298">
            <v>3600117</v>
          </cell>
          <cell r="C298" t="str">
            <v>PIPETA PARA CONTEO DE GLOBULOS BLANCOS. C/U</v>
          </cell>
          <cell r="D298" t="str">
            <v>C/U</v>
          </cell>
        </row>
        <row r="299">
          <cell r="B299">
            <v>3600118</v>
          </cell>
          <cell r="C299" t="str">
            <v>PIPETA PARA CONTEO DE GLOBULOS ROJOS. C/U</v>
          </cell>
          <cell r="D299" t="str">
            <v>C/U</v>
          </cell>
        </row>
        <row r="300">
          <cell r="B300">
            <v>3600119</v>
          </cell>
          <cell r="C300" t="str">
            <v>PIPETA SEROLOGICA DE 10 mL EN 0.1 mL DE VIDRIO. C/U</v>
          </cell>
          <cell r="D300" t="str">
            <v>C/U</v>
          </cell>
        </row>
        <row r="301">
          <cell r="B301">
            <v>3600120</v>
          </cell>
          <cell r="C301" t="str">
            <v>PIPETA SEROLOGICA DE 5 mL EN 0.1 mL DE VIDRIO. C/U</v>
          </cell>
          <cell r="D301" t="str">
            <v>C/U</v>
          </cell>
        </row>
        <row r="302">
          <cell r="B302">
            <v>3600121</v>
          </cell>
          <cell r="C302" t="str">
            <v>PIPETA SEROLOGICA DE 2 mL EN 0.01 mL DE VIDRIO. C/U</v>
          </cell>
          <cell r="D302" t="str">
            <v>C/U</v>
          </cell>
        </row>
        <row r="303">
          <cell r="B303">
            <v>3600122</v>
          </cell>
          <cell r="C303" t="str">
            <v>PIPETA SEROLOGICA DE 1 mL EN 0.01 mL DE VIDRIO. C/U</v>
          </cell>
          <cell r="D303" t="str">
            <v>C/U</v>
          </cell>
        </row>
        <row r="304">
          <cell r="B304">
            <v>3600123</v>
          </cell>
          <cell r="C304" t="str">
            <v>PIPETA SEROLOGICA DE 0.2 mL EN 0.001 mL DE VIDRIO. C/U</v>
          </cell>
          <cell r="D304" t="str">
            <v>C/U</v>
          </cell>
        </row>
        <row r="305">
          <cell r="B305">
            <v>3600036</v>
          </cell>
          <cell r="C305" t="str">
            <v>PIPETA SEROLOGICA DE 0.1 mL EN 0.001 mL DE VIDRIO. C/U</v>
          </cell>
          <cell r="D305" t="str">
            <v>C/U</v>
          </cell>
        </row>
        <row r="306">
          <cell r="B306">
            <v>3600124</v>
          </cell>
          <cell r="C306" t="str">
            <v>PIPETA VOLUMETRICA DE 5 mL,  DE VIDRIO. C/U</v>
          </cell>
          <cell r="D306" t="str">
            <v>C/U</v>
          </cell>
        </row>
        <row r="307">
          <cell r="B307">
            <v>3600125</v>
          </cell>
          <cell r="C307" t="str">
            <v>PIPETA VOLUMETRICA DE 1 mL DE VIDRIO. C/U</v>
          </cell>
          <cell r="D307" t="str">
            <v>C/U</v>
          </cell>
        </row>
        <row r="308">
          <cell r="B308">
            <v>3600039</v>
          </cell>
          <cell r="C308" t="str">
            <v>TERMOMETRO DE 10° A 100°C. C/U</v>
          </cell>
          <cell r="D308" t="str">
            <v>C/U</v>
          </cell>
        </row>
        <row r="309">
          <cell r="B309">
            <v>3600040</v>
          </cell>
          <cell r="C309" t="str">
            <v>TERMOMETRO DE 5° A  200°C. C/U</v>
          </cell>
          <cell r="D309" t="str">
            <v>C/U</v>
          </cell>
        </row>
        <row r="310">
          <cell r="B310">
            <v>3600126</v>
          </cell>
          <cell r="C310" t="str">
            <v>TUBO CONICO,  GRADUADO DE 15 mL,  DE VIDRIO. C/U</v>
          </cell>
          <cell r="D310" t="str">
            <v>C/U</v>
          </cell>
        </row>
        <row r="311">
          <cell r="B311">
            <v>3600127</v>
          </cell>
          <cell r="C311" t="str">
            <v>TUBO DE ENSAYO DE VIDRIO,  TAPON DE ROSCA,  16 X 125  mm. C/U</v>
          </cell>
          <cell r="D311" t="str">
            <v>C/U</v>
          </cell>
        </row>
        <row r="312">
          <cell r="B312">
            <v>3600128</v>
          </cell>
          <cell r="C312" t="str">
            <v>TUBO DE ENSAYO DE VIDRIO CON BORDE 13 X 100 mm, C/U</v>
          </cell>
          <cell r="D312" t="str">
            <v>C/U</v>
          </cell>
        </row>
        <row r="313">
          <cell r="B313">
            <v>3600129</v>
          </cell>
          <cell r="C313" t="str">
            <v>TUBO DE ENSAYO DE VIDRIO CON BORDE 16 X 125 mm. C/U</v>
          </cell>
          <cell r="D313" t="str">
            <v>C/U</v>
          </cell>
        </row>
        <row r="314">
          <cell r="B314">
            <v>3600130</v>
          </cell>
          <cell r="C314" t="str">
            <v>TUBO DE ENSAYO DE VIDRIO CON BORDE 16 X 150 mm. C/U</v>
          </cell>
          <cell r="D314" t="str">
            <v>C/U</v>
          </cell>
        </row>
        <row r="315">
          <cell r="B315">
            <v>3600131</v>
          </cell>
          <cell r="C315" t="str">
            <v>TUBO  WINTROBE PARA HEMATOCRITO. C/U</v>
          </cell>
          <cell r="D315" t="str">
            <v>C/U</v>
          </cell>
        </row>
        <row r="316">
          <cell r="B316">
            <v>3600132</v>
          </cell>
          <cell r="C316" t="str">
            <v xml:space="preserve">VARILLA DE VIDRIO SOLIDO DE 7 mm X 250 mm  (APROXIMADAMENTE). C/U </v>
          </cell>
          <cell r="D316" t="str">
            <v>C/U</v>
          </cell>
        </row>
        <row r="317">
          <cell r="B317">
            <v>3600133</v>
          </cell>
          <cell r="C317" t="str">
            <v>PERLAS DE VIDRIO. ONZA</v>
          </cell>
          <cell r="D317" t="str">
            <v>ONZA</v>
          </cell>
        </row>
        <row r="318">
          <cell r="B318">
            <v>3600134</v>
          </cell>
          <cell r="C318" t="str">
            <v>TUBO GRADUADO  PARA  ERITROSEDIMENTACION,  TIPO WESTERGREEN. C/U</v>
          </cell>
          <cell r="D318" t="str">
            <v>C/U</v>
          </cell>
        </row>
        <row r="319">
          <cell r="B319">
            <v>3600135</v>
          </cell>
          <cell r="C319" t="str">
            <v xml:space="preserve">PIPETA PASTEUR, CORTA,  DE 200 µL,  DE VIDRIO. C/U </v>
          </cell>
          <cell r="D319" t="str">
            <v>C/U</v>
          </cell>
        </row>
        <row r="320">
          <cell r="B320">
            <v>3600136</v>
          </cell>
          <cell r="C320" t="str">
            <v>TUBO DE ENSAYO DE VIDRIO,  TAPON DE ROSCA DE 16 X150 mm. C/U</v>
          </cell>
          <cell r="D320" t="str">
            <v>C/U</v>
          </cell>
        </row>
        <row r="321">
          <cell r="B321">
            <v>3600137</v>
          </cell>
          <cell r="C321" t="str">
            <v>TUBO DE ENSAYO DE VIDRIO, TAPON DE ROSCA 20 X 150 mm. C/U</v>
          </cell>
          <cell r="D321" t="str">
            <v>C/U</v>
          </cell>
        </row>
        <row r="322">
          <cell r="B322">
            <v>3600138</v>
          </cell>
          <cell r="C322" t="str">
            <v>CUBETA PARA TINCION DE LAMINA PORTA OBJETOS,  CON CAPACIDAD PARA 25 LAMINAS  (APROXIMADAMENTE)  DE ACERO INOXIDABLE. C/U</v>
          </cell>
          <cell r="D322" t="str">
            <v>C/U</v>
          </cell>
        </row>
        <row r="323">
          <cell r="B323">
            <v>3600139</v>
          </cell>
          <cell r="C323" t="str">
            <v xml:space="preserve">CUBETA PARA TINCION DE LAMINA PORTA OBJETOS,   CON CAPACIDAD PARA 50 LAMINAS  (APROXIMADAMENTE). C/U </v>
          </cell>
          <cell r="D323" t="str">
            <v>C/U</v>
          </cell>
        </row>
        <row r="324">
          <cell r="B324">
            <v>3600140</v>
          </cell>
          <cell r="C324" t="str">
            <v>VIDRIO DE RELOJ DE 100 mm DE DIAMETRO. C/U</v>
          </cell>
          <cell r="D324" t="str">
            <v>C/U</v>
          </cell>
        </row>
        <row r="325">
          <cell r="B325">
            <v>3600141</v>
          </cell>
          <cell r="C325" t="str">
            <v>BALON FONDO PLANO DE  125 mL,  DE VIDRIO. C/U</v>
          </cell>
          <cell r="D325" t="str">
            <v>C/U</v>
          </cell>
        </row>
        <row r="326">
          <cell r="B326">
            <v>3600142</v>
          </cell>
          <cell r="C326" t="str">
            <v>PROBETA GRADUADA DE  100 mL,  DE VIDRIO. C/U</v>
          </cell>
          <cell r="D326" t="str">
            <v>C/U</v>
          </cell>
        </row>
        <row r="327">
          <cell r="B327">
            <v>3600143</v>
          </cell>
          <cell r="C327" t="str">
            <v>ERLENMEYER DE 200 mL,  DE VIDRIO. C/U</v>
          </cell>
          <cell r="D327" t="str">
            <v>C/U</v>
          </cell>
        </row>
        <row r="328">
          <cell r="B328">
            <v>3600059</v>
          </cell>
          <cell r="C328" t="str">
            <v>ERLENMEYER  DE 100 mL,  DE VIDRIO. C/U</v>
          </cell>
          <cell r="D328" t="str">
            <v>C/U</v>
          </cell>
        </row>
        <row r="329">
          <cell r="B329">
            <v>3600060</v>
          </cell>
          <cell r="C329" t="str">
            <v xml:space="preserve">LAMINA DE VIDRIO PARA ANTIGENOS FEBRILES 26 X 15 cm.  (APROXIMADAMENTE). C/U </v>
          </cell>
          <cell r="D329" t="str">
            <v>C/U</v>
          </cell>
        </row>
        <row r="330">
          <cell r="B330">
            <v>3600144</v>
          </cell>
          <cell r="C330" t="str">
            <v xml:space="preserve">LAMINA DE VIDRIO PARA SEROLOGIA,  PARA VDRL,  10  CAVIDADES  (APROXIMADAMENTE). C/U </v>
          </cell>
          <cell r="D330" t="str">
            <v>C/U</v>
          </cell>
        </row>
        <row r="331">
          <cell r="B331">
            <v>3600145</v>
          </cell>
          <cell r="C331" t="str">
            <v>PROBETA GRADUADA DE 25 mL,  DE VIDRIO. C/U</v>
          </cell>
          <cell r="D331" t="str">
            <v>C/U</v>
          </cell>
        </row>
        <row r="332">
          <cell r="B332">
            <v>3600063</v>
          </cell>
          <cell r="C332" t="str">
            <v>TUBO DE ENSAYO DESCARTABLE,  TAPON DE ROSCA 12 X 100 mm. C/U</v>
          </cell>
          <cell r="D332" t="str">
            <v>C/U</v>
          </cell>
        </row>
        <row r="333">
          <cell r="B333">
            <v>3600146</v>
          </cell>
          <cell r="C333" t="str">
            <v>JARRA  KOPLICK DE VIDRIO DE 47 X 47 mm,  CON TAPADERA BOCA ANCHA DE VIDRIO Y HENDIDURAS INTERNAS. C/U</v>
          </cell>
          <cell r="D333" t="str">
            <v>C/U</v>
          </cell>
        </row>
        <row r="334">
          <cell r="B334">
            <v>3600147</v>
          </cell>
          <cell r="C334" t="str">
            <v>TERMOMETRO PARA TEMPERATURAS BAJAS DE  - 4°  A   -120°C. C/U</v>
          </cell>
          <cell r="D334" t="str">
            <v>C/U</v>
          </cell>
        </row>
        <row r="335">
          <cell r="B335">
            <v>3600148</v>
          </cell>
          <cell r="C335" t="str">
            <v>TUBO DE ENSAYO DE VIDRIO,  TAPON DE ROSCA 9.5 X 1.5 cm. C/U</v>
          </cell>
          <cell r="D335" t="str">
            <v>C/U</v>
          </cell>
        </row>
        <row r="336">
          <cell r="B336">
            <v>3600149</v>
          </cell>
          <cell r="C336" t="str">
            <v>VASIJA Y  TAPADERA DE VIDRIO CON SU RESPECTIVO  RACK METALICO. CAPACIDAD DE 25 LAMINAS. C/U</v>
          </cell>
          <cell r="D336" t="str">
            <v>C/U</v>
          </cell>
        </row>
        <row r="337">
          <cell r="B337">
            <v>3600150</v>
          </cell>
          <cell r="C337" t="str">
            <v>PROBETA GRADUADA 1000 ML POLIETILENO</v>
          </cell>
          <cell r="D337" t="str">
            <v>C/U</v>
          </cell>
        </row>
        <row r="338">
          <cell r="B338">
            <v>3600151</v>
          </cell>
          <cell r="C338" t="str">
            <v>TERMOMETRO DE  - 10° A  100°C. C/U</v>
          </cell>
          <cell r="D338" t="str">
            <v>C/U</v>
          </cell>
        </row>
        <row r="339">
          <cell r="B339">
            <v>3600152</v>
          </cell>
          <cell r="C339" t="str">
            <v>VASIJA COMPLETA CON SU RESPECTIVA TAPADERA DE VIDRIO Y RACK METALICO CON CAPACIDAD DE 50  LAMINAS. C/U</v>
          </cell>
          <cell r="D339" t="str">
            <v>C/U</v>
          </cell>
        </row>
        <row r="340">
          <cell r="B340">
            <v>3700020</v>
          </cell>
          <cell r="C340" t="str">
            <v>CAJA  PORTA LAMINA,  PARA 100 LAMINAS. C/U</v>
          </cell>
          <cell r="D340" t="str">
            <v>C/U</v>
          </cell>
        </row>
        <row r="341">
          <cell r="B341">
            <v>3700021</v>
          </cell>
          <cell r="C341" t="str">
            <v>CAJA PORTA LAMINA,  PARA 25 LAMINAS. C/U</v>
          </cell>
          <cell r="D341" t="str">
            <v>C/U</v>
          </cell>
        </row>
        <row r="342">
          <cell r="B342">
            <v>3700022</v>
          </cell>
          <cell r="C342" t="str">
            <v>CAMPANA PARA ATMOSFERA ANAEROBICA COMPLETA,  CON SU RESPECTIVA TAPADERA,  SIMILAR  GASPAK. C/U</v>
          </cell>
          <cell r="D342" t="str">
            <v>C/U</v>
          </cell>
        </row>
        <row r="343">
          <cell r="B343">
            <v>3700023</v>
          </cell>
          <cell r="C343" t="str">
            <v>VASIJA DE PLASTICO,  FONDO EN “V” CON CAPACIDAD DE 50 mL PARA DISPENSAR REACTIVOS CON PIPETA TIPO HAMILTON. C/U</v>
          </cell>
          <cell r="D343" t="str">
            <v>C/U</v>
          </cell>
        </row>
        <row r="344">
          <cell r="B344">
            <v>3700024</v>
          </cell>
          <cell r="C344" t="str">
            <v>PINZA MANUAL CON RODILLO PARA MEZCLAR SANGRE DEL TUBO DE LA UNIDAD RECOLECTORA DE SANGRE.</v>
          </cell>
          <cell r="D344" t="str">
            <v>C/U</v>
          </cell>
        </row>
        <row r="345">
          <cell r="B345">
            <v>3701040</v>
          </cell>
          <cell r="C345" t="str">
            <v xml:space="preserve">CANASTA CUADRADA DE METAL INOXIDABLE,  6" X  6" X 6".  (APROXIMADAMENTE). C/U </v>
          </cell>
          <cell r="D345" t="str">
            <v>C/U</v>
          </cell>
        </row>
        <row r="346">
          <cell r="B346">
            <v>3701041</v>
          </cell>
          <cell r="C346" t="str">
            <v xml:space="preserve">CANASTA RECTANGULAR DE METAL INOXIDABLE 11 1/2" X 8" X 7"  (APROXIMADAMENTE). C/U </v>
          </cell>
          <cell r="D346" t="str">
            <v>C/U</v>
          </cell>
        </row>
        <row r="347">
          <cell r="B347">
            <v>3701042</v>
          </cell>
          <cell r="C347" t="str">
            <v xml:space="preserve">CANASTA RECTANGULAR DE METAL INOXIDABLE 10" X 6" X 6"  (APROXIMADAMENTE). C/U </v>
          </cell>
          <cell r="D347" t="str">
            <v>C/U</v>
          </cell>
        </row>
        <row r="348">
          <cell r="B348">
            <v>3701043</v>
          </cell>
          <cell r="C348" t="str">
            <v xml:space="preserve">CANASTA REDONDA DE METAL INOXIDABLE 10 "X 6"  (APROXIMADAMENTE). C/U </v>
          </cell>
          <cell r="D348" t="str">
            <v>C/U</v>
          </cell>
        </row>
        <row r="349">
          <cell r="B349">
            <v>3701044</v>
          </cell>
          <cell r="C349" t="str">
            <v xml:space="preserve">CANASTA REDONDA DE METAL INOXIDABLE 6" X 5"  (APROXIMADAMENTE). C/U </v>
          </cell>
          <cell r="D349" t="str">
            <v>C/U</v>
          </cell>
        </row>
        <row r="350">
          <cell r="B350">
            <v>3701005</v>
          </cell>
          <cell r="C350" t="str">
            <v>CONTOMETRO PARA FORMULA DIFERENCIAL DE 8 TECLAS. C/U</v>
          </cell>
          <cell r="D350" t="str">
            <v>C/U</v>
          </cell>
        </row>
        <row r="351">
          <cell r="B351">
            <v>3701006</v>
          </cell>
          <cell r="C351" t="str">
            <v>CONTOMETRO PARA FORMULA DIFERENCIAL DE 5 TECLAS. C/U</v>
          </cell>
          <cell r="D351" t="str">
            <v>C/U</v>
          </cell>
        </row>
        <row r="352">
          <cell r="B352">
            <v>3701007</v>
          </cell>
          <cell r="C352" t="str">
            <v>CONTOMETRO DE MANO PARA CONTEO DE GLOBULOS. C/U</v>
          </cell>
          <cell r="D352" t="str">
            <v>C/U</v>
          </cell>
        </row>
        <row r="353">
          <cell r="B353">
            <v>3701008</v>
          </cell>
          <cell r="C353" t="str">
            <v>CRONOMETRO DE 1 HORA EN 1/10 SEGUNDOS. C/U</v>
          </cell>
          <cell r="D353" t="str">
            <v>C/U</v>
          </cell>
        </row>
        <row r="354">
          <cell r="B354">
            <v>3701045</v>
          </cell>
          <cell r="C354" t="str">
            <v>DISCO CLASIFICADOR DE ANEMIA TIPO BEST. C/U</v>
          </cell>
          <cell r="D354" t="str">
            <v>C/U</v>
          </cell>
        </row>
        <row r="355">
          <cell r="B355">
            <v>3701046</v>
          </cell>
          <cell r="C355" t="str">
            <v xml:space="preserve">ESPATULA DE ACERO INOXIDABLE,  HOJA PLANA 12 cm.,  MANGO 11 cm.  (APROXIMADAMENTE). C/U </v>
          </cell>
          <cell r="D355" t="str">
            <v>C/U</v>
          </cell>
        </row>
        <row r="356">
          <cell r="B356">
            <v>3701047</v>
          </cell>
          <cell r="C356" t="str">
            <v xml:space="preserve">ESPATULA DE ACERO INOXIDABLE,  HOJA PLANA 20 cm.,  MANGO 12 cm.  (APROXIMADAMENTE). C/U </v>
          </cell>
          <cell r="D356" t="str">
            <v>C/U</v>
          </cell>
        </row>
        <row r="357">
          <cell r="B357">
            <v>3701012</v>
          </cell>
          <cell r="C357" t="str">
            <v>GRADILLA CONSTRUIDA DE:  ALUMINIO,  PLASTICO,  ACERO - PLASTICO O SIMILARES,  PARA TUBO DE 12 X 75 mm  CAPACIDAD DE 20 - 40 TUBOS. C/U</v>
          </cell>
          <cell r="D357" t="str">
            <v>C/U</v>
          </cell>
        </row>
        <row r="358">
          <cell r="B358">
            <v>3701048</v>
          </cell>
          <cell r="C358" t="str">
            <v>GRADILLA CONSTRUIDA DE:  ALUMINIO,  PLASTICO,  ACERO - PLASTICO O SIMILARES,  PARA TUBO DE 15 X 100 mm,  CAPACIDAD DE 20 - 40 TUBOS. C/U</v>
          </cell>
          <cell r="D358" t="str">
            <v>C/U</v>
          </cell>
        </row>
        <row r="359">
          <cell r="B359">
            <v>3701049</v>
          </cell>
          <cell r="C359" t="str">
            <v>GRADILLA CONSTRUIDA DE:  ALUMINIO,  PLASTICO,  ACERO - PLASTICO O SIMILARES,  PARA TUBO DE 16 X 150 mm,  CAPACIDAD 24 - 48 TUBOS. C/U</v>
          </cell>
          <cell r="D359" t="str">
            <v>C/U</v>
          </cell>
        </row>
        <row r="360">
          <cell r="B360">
            <v>3701050</v>
          </cell>
          <cell r="C360" t="str">
            <v>GRADILLA CONSTRUIDA DE:  ALUMINIO,  PLASTICO,  ACERO - PLASTICO O SIMILARES,  PARA TUBO DE 20 X 150 mm,  CAPACIDAD DE 24 - 48 TUBOS. C/U</v>
          </cell>
          <cell r="D360" t="str">
            <v>C/U</v>
          </cell>
        </row>
        <row r="361">
          <cell r="B361">
            <v>3701051</v>
          </cell>
          <cell r="C361" t="str">
            <v>LAPICERO PUNTA DE DIAMANTE. C/U</v>
          </cell>
          <cell r="D361" t="str">
            <v>C/U</v>
          </cell>
        </row>
        <row r="362">
          <cell r="B362">
            <v>3701052</v>
          </cell>
          <cell r="C362" t="str">
            <v>MANGO PARA ASAS BACTERIOLOGICAS CON ROSCA DE 10" LARGO  (APROXIMADAMENTE). C/U</v>
          </cell>
          <cell r="D362" t="str">
            <v>C/U</v>
          </cell>
        </row>
        <row r="363">
          <cell r="B363">
            <v>3701053</v>
          </cell>
          <cell r="C363" t="str">
            <v>QUEMADOR DE BUNSEN O SIMILAR. C/U</v>
          </cell>
          <cell r="D363" t="str">
            <v>C/U</v>
          </cell>
        </row>
        <row r="364">
          <cell r="B364">
            <v>3701019</v>
          </cell>
          <cell r="C364" t="str">
            <v>GRADILLA CONSTRUIDA DE:  ALUMINIO,  PLASTICO,  ACERO - PLASTICO O SIMILARES,  PARA TUBO DE 16 X 150 mm,  CAPACIDAD DE 60 - 80 TUBOS. C/U</v>
          </cell>
          <cell r="D364" t="str">
            <v>C/U</v>
          </cell>
        </row>
        <row r="365">
          <cell r="B365">
            <v>3701054</v>
          </cell>
          <cell r="C365" t="str">
            <v>SOPORTE PARA ERITROSEDIMENTACION TIPO WESTERGREEN. C/U</v>
          </cell>
          <cell r="D365" t="str">
            <v>C/U</v>
          </cell>
        </row>
        <row r="366">
          <cell r="B366">
            <v>3701021</v>
          </cell>
          <cell r="C366" t="str">
            <v>CHISPERO DE MANO QUE INCLUYA 12 PIEDRAS DE REPUESTO. C/U</v>
          </cell>
          <cell r="D366" t="str">
            <v>C/U</v>
          </cell>
        </row>
        <row r="367">
          <cell r="B367">
            <v>3701022</v>
          </cell>
          <cell r="C367" t="str">
            <v>AGITADOR MAGNETICO. C/U</v>
          </cell>
          <cell r="D367" t="str">
            <v>C/U</v>
          </cell>
        </row>
        <row r="368">
          <cell r="B368">
            <v>3701023</v>
          </cell>
          <cell r="C368" t="str">
            <v>GRADILLA CONSTRUIDA DE:  ALUMINIO,  PLASTICO,  ACERO - PLASTICO O SIMILARES,  PARA TUBO DE 12 X 75 mm,  CAPACIDAD DE 70 - 100 TUBOS. C/U</v>
          </cell>
          <cell r="D368" t="str">
            <v>C/U</v>
          </cell>
        </row>
        <row r="369">
          <cell r="B369">
            <v>3701024</v>
          </cell>
          <cell r="C369" t="str">
            <v>GRADILLA CONSTRUIDA DE:  ALUMINIO,  PLASTICO,  ACERO - PLASTICO O SIMILARES,  PARA TUBO DE 15 X 100 mm,  CAPACIDAD DE 60 - 80 TUBOS. C/U</v>
          </cell>
          <cell r="D369" t="str">
            <v>C/U</v>
          </cell>
        </row>
        <row r="370">
          <cell r="B370">
            <v>3701025</v>
          </cell>
          <cell r="C370" t="str">
            <v xml:space="preserve">GRADILLA GALVANIZADA CIRCULAR,  PARA EBULLICION,  DE 6 X 5"  (APROXIMADAMENTE). C/U </v>
          </cell>
          <cell r="D370" t="str">
            <v>C/U</v>
          </cell>
        </row>
        <row r="371">
          <cell r="B371">
            <v>3701055</v>
          </cell>
          <cell r="C371" t="str">
            <v xml:space="preserve">CANASTA CUADRADA DE METAL INOXIDABLE,  10" X 10" X 8"  (APROXIMADAMENTE). C/U  </v>
          </cell>
          <cell r="D371" t="str">
            <v>C/U</v>
          </cell>
        </row>
        <row r="372">
          <cell r="B372">
            <v>3701027</v>
          </cell>
          <cell r="C372" t="str">
            <v>GRADILLA CONSTRUIDA DE:  ALUMINIO,  PLASTICO,  ACERO - PLASTICO O SIMILARES,  PARA TUBO DE 20 X 150 mm,  CAPACIDAD DE 20 - 36 TUBOS. C/U</v>
          </cell>
          <cell r="D372" t="str">
            <v>C/U</v>
          </cell>
        </row>
        <row r="373">
          <cell r="B373">
            <v>3701056</v>
          </cell>
          <cell r="C373" t="str">
            <v>GRADILLA DE METAL QUE CONTENGA 11 DEPOSITOS PARA ALMACENAR CAJAS CON SUEROS COMPATIBLES CON FREEZER ULT REVCO O SIMILAR. C/U</v>
          </cell>
          <cell r="D373" t="str">
            <v>C/U</v>
          </cell>
        </row>
        <row r="374">
          <cell r="B374">
            <v>3701057</v>
          </cell>
          <cell r="C374" t="str">
            <v xml:space="preserve"> PORTA LAMINA PARA 50 LAMINAS TIPO LIPSCHAW DE ACERO INOXIDABLE. C/U</v>
          </cell>
          <cell r="D374" t="str">
            <v>C/U</v>
          </cell>
        </row>
        <row r="375">
          <cell r="B375">
            <v>3701058</v>
          </cell>
          <cell r="C375" t="str">
            <v xml:space="preserve"> PORTA LAMINA PARA 25 LAMINAS TIPO LIPSCHAW DE ACERO INOXIDABLE. C/U</v>
          </cell>
          <cell r="D375" t="str">
            <v>C/U</v>
          </cell>
        </row>
        <row r="376">
          <cell r="B376">
            <v>3701059</v>
          </cell>
          <cell r="C376" t="str">
            <v xml:space="preserve">AGUJA DE  WINTROBE CON SU RESPECTIVA PERILLA,  PUNTA DE METAL. C/U </v>
          </cell>
          <cell r="D376" t="str">
            <v>C/U</v>
          </cell>
        </row>
        <row r="377">
          <cell r="B377">
            <v>3800020</v>
          </cell>
          <cell r="C377" t="str">
            <v xml:space="preserve">ACEITE DE OLIVA,  TIPO SASSO,  DE 100 mL  (APROXIMADAMENTE). FRASCO </v>
          </cell>
          <cell r="D377" t="str">
            <v>FRASCO</v>
          </cell>
        </row>
        <row r="378">
          <cell r="B378">
            <v>3800021</v>
          </cell>
          <cell r="C378" t="str">
            <v>PUNTA PLASTICA PARA PIPETA MULTICANAL 1  -  200 mL. C/U</v>
          </cell>
          <cell r="D378" t="str">
            <v>C/U</v>
          </cell>
        </row>
        <row r="379">
          <cell r="B379">
            <v>3800002</v>
          </cell>
          <cell r="C379" t="str">
            <v>TUBO AL VACIO PED. S/ANTIC TAPON ROJO</v>
          </cell>
          <cell r="D379" t="str">
            <v>C/U</v>
          </cell>
        </row>
        <row r="380">
          <cell r="B380">
            <v>3800022</v>
          </cell>
          <cell r="C380" t="str">
            <v>PAPEL TERMICO COMPATIBLE CON  ANALIZADOR DE ELECTROLITOS NOVA 5,  DE 10.7 cm. DE ANCHO. ROLLO</v>
          </cell>
          <cell r="D380" t="str">
            <v>ROLLO</v>
          </cell>
        </row>
        <row r="381">
          <cell r="B381">
            <v>3800023</v>
          </cell>
          <cell r="C381" t="str">
            <v>DETERGENTE LIQUIDO CONCENTRADO BIODEGRADABLE</v>
          </cell>
          <cell r="D381" t="str">
            <v>GALON</v>
          </cell>
        </row>
        <row r="382">
          <cell r="B382">
            <v>3800024</v>
          </cell>
          <cell r="C382" t="str">
            <v xml:space="preserve">PAPEL TERMICO COMPATIBLE CON  ESPECTROFOTOMETRO HUMALYZER DE 6.3 cm. DE ANCHO.ROLLO  </v>
          </cell>
          <cell r="D382" t="str">
            <v>ROLLO</v>
          </cell>
        </row>
        <row r="383">
          <cell r="B383">
            <v>3800006</v>
          </cell>
          <cell r="C383" t="str">
            <v xml:space="preserve">TARJETA IMPRESA COMPATIBLE CON  CONTADOR  HEMATOLOGICO,  COULTER COUNTER SS - 80. C/U </v>
          </cell>
          <cell r="D383" t="str">
            <v>C/U</v>
          </cell>
        </row>
        <row r="384">
          <cell r="B384">
            <v>3800007</v>
          </cell>
          <cell r="C384" t="str">
            <v>TUBO AL VACIO PED. C/EDTA, TAPON MORADO</v>
          </cell>
          <cell r="D384" t="str">
            <v>C/U</v>
          </cell>
        </row>
        <row r="385">
          <cell r="B385">
            <v>3800008</v>
          </cell>
          <cell r="C385" t="str">
            <v>TUBO AL VACIO PEDIATRICO TAPON CELESTE</v>
          </cell>
          <cell r="D385" t="str">
            <v>C/U</v>
          </cell>
        </row>
        <row r="386">
          <cell r="B386">
            <v>3800025</v>
          </cell>
          <cell r="C386" t="str">
            <v>CAJA CON GRADILLA Y TAPADERA DE  POLIPROPILENO,  CON CAPACIDAD DE 90 - 100  PUNTAS, DE 2 - 100 µL. C/U</v>
          </cell>
          <cell r="D386" t="str">
            <v>C/U</v>
          </cell>
        </row>
        <row r="387">
          <cell r="B387">
            <v>3800026</v>
          </cell>
          <cell r="C387" t="str">
            <v>CAJA CON GRADILLA Y TAPADERA DE POLIPROPILENO,  CON CAPACIDAD  DE 90 - 100 PUNTAS. DE  500 - 1000  µL. C/U</v>
          </cell>
          <cell r="D387" t="str">
            <v>C/U</v>
          </cell>
        </row>
        <row r="388">
          <cell r="B388">
            <v>3800011</v>
          </cell>
          <cell r="C388" t="str">
            <v>PLUMON MARCADOR CON TINTA DE SECADO RAPIDO E INDELEBLE ,  PUNTA EXTRAFINA. COLOR ROJO. C/U</v>
          </cell>
          <cell r="D388" t="str">
            <v>C/U</v>
          </cell>
        </row>
        <row r="389">
          <cell r="B389">
            <v>3800012</v>
          </cell>
          <cell r="C389" t="str">
            <v>PLUMON MARCADOR  CON TINTA DE SECADO RAPIDO E INDELEBLE,  PUNTA EXTRAFINA. COLOR NEGRO. C/U</v>
          </cell>
          <cell r="D389" t="str">
            <v>C/U</v>
          </cell>
        </row>
        <row r="390">
          <cell r="B390">
            <v>3800027</v>
          </cell>
          <cell r="C390" t="str">
            <v>CAJA PORTATIL  ORGANIZADORA CON GRADILLA Y AGARRADERO DE POLIETILENO,   PARA TOMA DE MUESTRAS,  MEDIDAS 38 X 36 X 27 cm. APROXIMADAMENTE. C/U</v>
          </cell>
          <cell r="D390" t="str">
            <v>C/U</v>
          </cell>
        </row>
        <row r="391">
          <cell r="B391">
            <v>3800028</v>
          </cell>
          <cell r="C391" t="str">
            <v>PAPEL DE REGISTRO DE IMAGENES BLANCO Y NEGRO COMPATIBLE CON  IMPRESOR “CODONICS” MODELO Np – 1660M MEDICAL PRINTER. C/U</v>
          </cell>
          <cell r="D391" t="str">
            <v>C/U</v>
          </cell>
        </row>
        <row r="392">
          <cell r="B392">
            <v>3800029</v>
          </cell>
          <cell r="C392" t="str">
            <v xml:space="preserve">PAPEL DE REGISTRO DE IMAGENES A COLOR  COMPATIBLE CON  IMPRESOR “CODONICS” MODELO Np – 1660M MEDICAL PRINTER. C/U </v>
          </cell>
          <cell r="D392" t="str">
            <v>C/U</v>
          </cell>
        </row>
        <row r="393">
          <cell r="B393">
            <v>3990124</v>
          </cell>
          <cell r="C393" t="str">
            <v>GUANTE PARA LAVAR CRISTALERIA.</v>
          </cell>
          <cell r="D393" t="str">
            <v>PAR</v>
          </cell>
        </row>
        <row r="394">
          <cell r="B394">
            <v>4005061</v>
          </cell>
          <cell r="C394" t="str">
            <v>FRESA PARA PULIR AMALGAMA EN FORMA DE HU</v>
          </cell>
          <cell r="D394" t="str">
            <v>C/U</v>
          </cell>
        </row>
        <row r="395">
          <cell r="B395">
            <v>4000001</v>
          </cell>
          <cell r="C395" t="str">
            <v>FRESA DE CARBURO FISURA EXTREMO PLANO, AGARRE POR FRICCION # 701, ALTA VELOCIDAD</v>
          </cell>
          <cell r="D395" t="str">
            <v>C/U</v>
          </cell>
        </row>
        <row r="396">
          <cell r="B396">
            <v>4001000</v>
          </cell>
          <cell r="C396" t="str">
            <v xml:space="preserve">HUESO LIOFILIZADO PARA TRATAMIENTO DE DEFECTOS OSEOS. FRASCO O BOLSA DE 0.25 MG                     </v>
          </cell>
          <cell r="D396" t="str">
            <v>FRASCO Ó BOLSA DE 0.25 MG.</v>
          </cell>
        </row>
        <row r="397">
          <cell r="B397">
            <v>4001001</v>
          </cell>
          <cell r="C397" t="str">
            <v>LACA FLUORADA COMPUESTA POR FLUORURO DE SODIO Y FLUORURO DE CALCIO</v>
          </cell>
          <cell r="D397" t="str">
            <v>ESTUCHE</v>
          </cell>
        </row>
        <row r="398">
          <cell r="B398">
            <v>4001021</v>
          </cell>
          <cell r="C398" t="str">
            <v>MEMBRANA DE REGENERACION TISULAR REABSORBIBLE PARA USO PERIODONTAL</v>
          </cell>
          <cell r="D398" t="str">
            <v>C/U</v>
          </cell>
        </row>
        <row r="399">
          <cell r="B399">
            <v>4002060</v>
          </cell>
          <cell r="C399" t="str">
            <v>CEMENTO PARA OBSTURACION TEMPORARIA</v>
          </cell>
          <cell r="D399" t="str">
            <v>C/U</v>
          </cell>
        </row>
        <row r="400">
          <cell r="B400">
            <v>4002061</v>
          </cell>
          <cell r="C400" t="str">
            <v>CEMENTO SELLADOR BIOCOMPATIBLE DE CANALES RADICULARES</v>
          </cell>
          <cell r="D400" t="str">
            <v>SET</v>
          </cell>
        </row>
        <row r="401">
          <cell r="B401">
            <v>4002062</v>
          </cell>
          <cell r="C401" t="str">
            <v>CEMENTO TRIOXIDO MINERAL AGREGADO</v>
          </cell>
          <cell r="D401" t="str">
            <v>SET</v>
          </cell>
        </row>
        <row r="402">
          <cell r="B402">
            <v>4002063</v>
          </cell>
          <cell r="C402" t="str">
            <v>CLOROFORMO SOLUCION</v>
          </cell>
          <cell r="D402" t="str">
            <v>FRASCO DE 30 - 60 mL.</v>
          </cell>
        </row>
        <row r="403">
          <cell r="B403">
            <v>4002064</v>
          </cell>
          <cell r="C403" t="str">
            <v xml:space="preserve">EDTA (ACIDO ETILEN-DIAMINO TETRAACETATO)  FRASCO </v>
          </cell>
          <cell r="D403" t="str">
            <v>FRASCO</v>
          </cell>
        </row>
        <row r="404">
          <cell r="B404">
            <v>4002065</v>
          </cell>
          <cell r="C404" t="str">
            <v>FRESA ENDO Z</v>
          </cell>
          <cell r="D404" t="str">
            <v>C/U</v>
          </cell>
        </row>
        <row r="405">
          <cell r="B405">
            <v>4002066</v>
          </cell>
          <cell r="C405" t="str">
            <v>FRESA TIPO GATES GLIDDEN (DEL 1 AL 6), DE 25 MM, PARA APERTURA DE CANALES</v>
          </cell>
          <cell r="D405" t="str">
            <v>JUEGO</v>
          </cell>
        </row>
        <row r="406">
          <cell r="B406">
            <v>4002007</v>
          </cell>
          <cell r="C406" t="str">
            <v>GRAPAS PARA ENDODONCIA # 14 A</v>
          </cell>
          <cell r="D406" t="str">
            <v>C/U</v>
          </cell>
        </row>
        <row r="407">
          <cell r="B407">
            <v>4002067</v>
          </cell>
          <cell r="C407" t="str">
            <v>GRAPAS PARA ENDODONCIA # 201</v>
          </cell>
          <cell r="D407" t="str">
            <v>C/U</v>
          </cell>
        </row>
        <row r="408">
          <cell r="B408">
            <v>4002009</v>
          </cell>
          <cell r="C408" t="str">
            <v>GRAPAS PARA ENDODONCIA # 206</v>
          </cell>
          <cell r="D408" t="str">
            <v>C/U</v>
          </cell>
        </row>
        <row r="409">
          <cell r="B409">
            <v>4002010</v>
          </cell>
          <cell r="C409" t="str">
            <v>GRAPAS PARA ENDODONCIA # 210</v>
          </cell>
          <cell r="D409" t="str">
            <v>C/U</v>
          </cell>
        </row>
        <row r="410">
          <cell r="B410">
            <v>4002011</v>
          </cell>
          <cell r="C410" t="str">
            <v>GRAPAS PARA ENDODONCIA # 212</v>
          </cell>
          <cell r="D410" t="str">
            <v>C/U</v>
          </cell>
        </row>
        <row r="411">
          <cell r="B411">
            <v>4002068</v>
          </cell>
          <cell r="C411" t="str">
            <v>GRAPAS PARA ENDODONCIA # 26</v>
          </cell>
          <cell r="D411" t="str">
            <v>C/U</v>
          </cell>
        </row>
        <row r="412">
          <cell r="B412">
            <v>4002069</v>
          </cell>
          <cell r="C412" t="str">
            <v>GRAPAS PARA ENDODONCIA # 8</v>
          </cell>
          <cell r="D412" t="str">
            <v>C/U</v>
          </cell>
        </row>
        <row r="413">
          <cell r="B413">
            <v>4002014</v>
          </cell>
          <cell r="C413" t="str">
            <v>GRAPA PARA ENDODONCIA CON ALAS # 200 Ó # 7</v>
          </cell>
          <cell r="D413" t="str">
            <v>C/U</v>
          </cell>
        </row>
        <row r="414">
          <cell r="B414">
            <v>4002015</v>
          </cell>
          <cell r="C414" t="str">
            <v>GRAPA PARA ENDODONCIA SIN ALAS # 27 Ó W2A</v>
          </cell>
          <cell r="D414" t="str">
            <v>C/U</v>
          </cell>
        </row>
        <row r="415">
          <cell r="B415">
            <v>4002070</v>
          </cell>
          <cell r="C415" t="str">
            <v>HIDROXIDO DE CALCIO MAS PARAMONOCLOROFENOL ALCANFORADO (FORMULA CALEN PMCC)</v>
          </cell>
          <cell r="D415" t="str">
            <v>SET</v>
          </cell>
        </row>
        <row r="416">
          <cell r="B416">
            <v>4002071</v>
          </cell>
          <cell r="C416" t="str">
            <v xml:space="preserve">LIMAS DE NIQUEL TITANIO DEL SISTEMA ROTATORIO </v>
          </cell>
          <cell r="D416" t="str">
            <v>JUEGO</v>
          </cell>
        </row>
        <row r="417">
          <cell r="B417">
            <v>4002072</v>
          </cell>
          <cell r="C417" t="str">
            <v>LIMAS MANUALES DE NIQUEL TITANIO DEL 15 AL 40</v>
          </cell>
          <cell r="D417" t="str">
            <v>SET</v>
          </cell>
        </row>
        <row r="418">
          <cell r="B418">
            <v>4002073</v>
          </cell>
          <cell r="C418" t="str">
            <v>LIMAS MANUALES DE NIQUEL TITANIO DEL 45 AL 80</v>
          </cell>
          <cell r="D418" t="str">
            <v>SET</v>
          </cell>
        </row>
        <row r="419">
          <cell r="B419">
            <v>4002074</v>
          </cell>
          <cell r="C419" t="str">
            <v>LIMAS TIPO K DE ACERO INOXIDABLE DEL 15 AL 40 DE 25 MM. DE LARGO, CON MANGO</v>
          </cell>
          <cell r="D419" t="str">
            <v>JUEGO</v>
          </cell>
        </row>
        <row r="420">
          <cell r="B420">
            <v>4002075</v>
          </cell>
          <cell r="C420" t="str">
            <v>LIMAS TIPO K DE ACERO INOXIDABLE DEL 15 AL 40 DE 31 MM. DE LARGO</v>
          </cell>
          <cell r="D420" t="str">
            <v>JUEGO</v>
          </cell>
        </row>
        <row r="421">
          <cell r="B421">
            <v>4002076</v>
          </cell>
          <cell r="C421" t="str">
            <v>LIMAS TIPO K DE ACERO INOXIDABLE DEL 45 AL 80 DE 25 MM. DE LARGO, CON MANGO</v>
          </cell>
          <cell r="D421" t="str">
            <v>JUEGO</v>
          </cell>
        </row>
        <row r="422">
          <cell r="B422">
            <v>4002077</v>
          </cell>
          <cell r="C422" t="str">
            <v>LIMAS TIPO K DE ACERO INOXIDABLE DEL 45 AL 80 DE 31 MM. DE LARGO</v>
          </cell>
          <cell r="D422" t="str">
            <v>JUEGO</v>
          </cell>
        </row>
        <row r="423">
          <cell r="B423">
            <v>4002078</v>
          </cell>
          <cell r="C423" t="str">
            <v>LIMAS TIPO K DE ACERO INOXIDABLE SERIE ACCESORIA (0.6 - 10)</v>
          </cell>
          <cell r="D423" t="str">
            <v>SET</v>
          </cell>
        </row>
        <row r="424">
          <cell r="B424">
            <v>4002079</v>
          </cell>
          <cell r="C424" t="str">
            <v>LIMA TIPO K NO. 15</v>
          </cell>
          <cell r="D424" t="str">
            <v>CAJA</v>
          </cell>
        </row>
        <row r="425">
          <cell r="B425">
            <v>4002080</v>
          </cell>
          <cell r="C425" t="str">
            <v>LIMA TIPO K NO. 20</v>
          </cell>
          <cell r="D425" t="str">
            <v>CAJA</v>
          </cell>
        </row>
        <row r="426">
          <cell r="B426">
            <v>4002081</v>
          </cell>
          <cell r="C426" t="str">
            <v>LIMA TIPO K NO. 25</v>
          </cell>
          <cell r="D426" t="str">
            <v>CAJA</v>
          </cell>
        </row>
        <row r="427">
          <cell r="B427">
            <v>4002082</v>
          </cell>
          <cell r="C427" t="str">
            <v>PARAMONOCLOROFENOL SOLUCION</v>
          </cell>
          <cell r="D427" t="str">
            <v>FRASCO DE 10-30 mL</v>
          </cell>
        </row>
        <row r="428">
          <cell r="B428">
            <v>4002083</v>
          </cell>
          <cell r="C428" t="str">
            <v>PELICULA RADIOGRAFICA INTRA-ORAL DOBLE FILM PARA ADULTO</v>
          </cell>
          <cell r="D428" t="str">
            <v>C/U</v>
          </cell>
        </row>
        <row r="429">
          <cell r="B429">
            <v>4002084</v>
          </cell>
          <cell r="C429" t="str">
            <v>PUNTAS DE GUTAPERCHA ACCESORIA FINE MEDIUM</v>
          </cell>
          <cell r="D429" t="str">
            <v>CAJA</v>
          </cell>
        </row>
        <row r="430">
          <cell r="B430">
            <v>4002085</v>
          </cell>
          <cell r="C430" t="str">
            <v>PUNTAS DE GUTAPERCHA ACCESORIA MEDIUM</v>
          </cell>
          <cell r="D430" t="str">
            <v>CAJA</v>
          </cell>
        </row>
        <row r="431">
          <cell r="B431">
            <v>4002086</v>
          </cell>
          <cell r="C431" t="str">
            <v>PUNTAS DE GUTAPERCHA ACCESORIA MEDIUM FINE</v>
          </cell>
          <cell r="D431" t="str">
            <v>CAJA</v>
          </cell>
        </row>
        <row r="432">
          <cell r="B432">
            <v>4002087</v>
          </cell>
          <cell r="C432" t="str">
            <v>PUNTAS DE GUTAPERCHA ACCESORIAS DE 0.04% DEL 20 AL 45</v>
          </cell>
          <cell r="D432" t="str">
            <v>ESTUCHE</v>
          </cell>
        </row>
        <row r="433">
          <cell r="B433">
            <v>4002088</v>
          </cell>
          <cell r="C433" t="str">
            <v>PUNTAS DE GUTAPERCHA DEL 15 AL 40</v>
          </cell>
          <cell r="D433" t="str">
            <v>JUEGO</v>
          </cell>
        </row>
        <row r="434">
          <cell r="B434">
            <v>4002089</v>
          </cell>
          <cell r="C434" t="str">
            <v>PUNTAS DE GUTAPERCHA DEL 45 AL 80</v>
          </cell>
          <cell r="D434" t="str">
            <v>JUEGO</v>
          </cell>
        </row>
        <row r="435">
          <cell r="B435">
            <v>4002090</v>
          </cell>
          <cell r="C435" t="str">
            <v>PUNTAS DE PAPEL DEL 15 AL 40</v>
          </cell>
          <cell r="D435" t="str">
            <v>CAJA</v>
          </cell>
        </row>
        <row r="436">
          <cell r="B436">
            <v>4002091</v>
          </cell>
          <cell r="C436" t="str">
            <v>PUNTAS DE PAPEL DEL 45 AL 80</v>
          </cell>
          <cell r="D436" t="str">
            <v>CAJA</v>
          </cell>
        </row>
        <row r="437">
          <cell r="B437">
            <v>4003040</v>
          </cell>
          <cell r="C437" t="str">
            <v>ACRILICO AUTOPOLIMERIZABLE  POLVO Y LIQUIDO.</v>
          </cell>
          <cell r="D437" t="str">
            <v>SET</v>
          </cell>
        </row>
        <row r="438">
          <cell r="B438">
            <v>4003041</v>
          </cell>
          <cell r="C438" t="str">
            <v>FRESA QUIRURGICA DE TALLO LARGO # 702 PARA ALTA VELOCIDAD, TIPO BUFALO O SIMILAR</v>
          </cell>
          <cell r="D438" t="str">
            <v>C/U</v>
          </cell>
        </row>
        <row r="439">
          <cell r="B439">
            <v>4003042</v>
          </cell>
          <cell r="C439" t="str">
            <v>HILO DE ALAMBRE 0.40 MM. X 0.016" ACERO INOXIDABLE MALEABLE</v>
          </cell>
          <cell r="D439" t="str">
            <v>ROLLO</v>
          </cell>
        </row>
        <row r="440">
          <cell r="B440">
            <v>4003043</v>
          </cell>
          <cell r="C440" t="str">
            <v>HILO DE ALAMBRE 0.50 MM. X 0.020" ACERO INOXIDABLE MALEABLE</v>
          </cell>
          <cell r="D440" t="str">
            <v>ROLLO</v>
          </cell>
        </row>
        <row r="441">
          <cell r="B441">
            <v>4003044</v>
          </cell>
          <cell r="C441" t="str">
            <v>FRESA QUIRURGICA DE TALLO LARGO # 702 PARA ALTA VELOCIDAD, TIPO BUFALO O SIMILAR</v>
          </cell>
          <cell r="D441" t="str">
            <v>C/U</v>
          </cell>
        </row>
        <row r="442">
          <cell r="B442">
            <v>4003005</v>
          </cell>
          <cell r="C442" t="str">
            <v>MINIPLACAS DE 16 HOLE BATCH O SIMILAR</v>
          </cell>
          <cell r="D442" t="str">
            <v>PAQUETE</v>
          </cell>
        </row>
        <row r="443">
          <cell r="B443">
            <v>4003006</v>
          </cell>
          <cell r="C443" t="str">
            <v>MINIPLACAS DE 4 HOLE, PAQUETE DE 10 UNIDADES</v>
          </cell>
          <cell r="D443" t="str">
            <v>PAQUETE</v>
          </cell>
        </row>
        <row r="444">
          <cell r="B444">
            <v>4003007</v>
          </cell>
          <cell r="C444" t="str">
            <v>MINIPLACAS DE 6 HOLE, PAQUETE DE 10 UNIDADES</v>
          </cell>
          <cell r="D444" t="str">
            <v>PAQUETE</v>
          </cell>
        </row>
        <row r="445">
          <cell r="B445">
            <v>4003008</v>
          </cell>
          <cell r="C445" t="str">
            <v>TORNILLO DE TITANIO DE 2 MM., PAQUETE DE 10 UNIDADES</v>
          </cell>
          <cell r="D445" t="str">
            <v>PAQUETE</v>
          </cell>
        </row>
        <row r="446">
          <cell r="B446">
            <v>4003009</v>
          </cell>
          <cell r="C446" t="str">
            <v>TORNILLO DE TITANIO DE 5 MM., PAQUETE DE 10 UNIDADES</v>
          </cell>
          <cell r="D446" t="str">
            <v>PAQUETE</v>
          </cell>
        </row>
        <row r="447">
          <cell r="B447">
            <v>4003010</v>
          </cell>
          <cell r="C447" t="str">
            <v>TORNILLO DE TITANIO DE 7 MM., PAQUETE DE 10 UNIDADES</v>
          </cell>
          <cell r="D447" t="str">
            <v>PAQUETE</v>
          </cell>
        </row>
        <row r="448">
          <cell r="B448">
            <v>4004000</v>
          </cell>
          <cell r="C448" t="str">
            <v>COPA DE HULE PARA CONTRANGULA DE PASADOR</v>
          </cell>
          <cell r="D448" t="str">
            <v>C/U</v>
          </cell>
        </row>
        <row r="449">
          <cell r="B449">
            <v>4004010</v>
          </cell>
          <cell r="C449" t="str">
            <v>RESINA COMPOSITA, CATALIZADOR Y BASE, DE AUTOCURADO PARA SELLADO DE FOSAS Y FISURAS</v>
          </cell>
          <cell r="D449" t="str">
            <v>SET</v>
          </cell>
        </row>
        <row r="450">
          <cell r="B450">
            <v>4005070</v>
          </cell>
          <cell r="C450" t="str">
            <v>ACIDO GRABADOR DE ESMALTE EN GEL</v>
          </cell>
          <cell r="D450" t="str">
            <v>C/U</v>
          </cell>
        </row>
        <row r="451">
          <cell r="B451">
            <v>4005071</v>
          </cell>
          <cell r="C451" t="str">
            <v>ADHESIVO PARA RESINA COMPOSITA DE FOTOCURADO</v>
          </cell>
          <cell r="D451" t="str">
            <v>C/U</v>
          </cell>
        </row>
        <row r="452">
          <cell r="B452">
            <v>4005072</v>
          </cell>
          <cell r="C452" t="str">
            <v>AGUJA CARPULE CORTA # 27 DESCARTABLE</v>
          </cell>
          <cell r="D452" t="str">
            <v>C/U</v>
          </cell>
        </row>
        <row r="453">
          <cell r="B453">
            <v>4005073</v>
          </cell>
          <cell r="C453" t="str">
            <v>AGUJA CARPULE CORTA # 30 DESCARTABLE</v>
          </cell>
          <cell r="D453" t="str">
            <v>C/U</v>
          </cell>
        </row>
        <row r="454">
          <cell r="B454">
            <v>4005074</v>
          </cell>
          <cell r="C454" t="str">
            <v>AGUJA CARPULE LARGA # 27 DESCARTABLE</v>
          </cell>
          <cell r="D454" t="str">
            <v>C/U</v>
          </cell>
        </row>
        <row r="455">
          <cell r="B455">
            <v>4005075</v>
          </cell>
          <cell r="C455" t="str">
            <v>ALEACION DE AMALGAMA DE PLATA EN CAPSULA</v>
          </cell>
          <cell r="D455" t="str">
            <v>C/U</v>
          </cell>
        </row>
        <row r="456">
          <cell r="B456">
            <v>4005076</v>
          </cell>
          <cell r="C456" t="str">
            <v>BASE PROTECTORA PULPAL DE FOTOCURADO</v>
          </cell>
          <cell r="D456" t="str">
            <v>C/U</v>
          </cell>
        </row>
        <row r="457">
          <cell r="B457">
            <v>4201049</v>
          </cell>
          <cell r="C457" t="str">
            <v>CARETA DE PROTECCION CON VISOR PLASTICO</v>
          </cell>
          <cell r="D457" t="str">
            <v>C/U</v>
          </cell>
        </row>
        <row r="458">
          <cell r="B458">
            <v>4005077</v>
          </cell>
          <cell r="C458" t="str">
            <v>CELULOIDE EN TIRAS</v>
          </cell>
          <cell r="D458" t="str">
            <v>C/U</v>
          </cell>
        </row>
        <row r="459">
          <cell r="B459">
            <v>4005078</v>
          </cell>
          <cell r="C459" t="str">
            <v>CEMENTO  DE  HIDROXIDO  DE  CALCIO  EN  PASTA     CATALIZADOR Y BASE DE FRAGUADO REGULAR</v>
          </cell>
          <cell r="D459" t="str">
            <v>SET</v>
          </cell>
        </row>
        <row r="460">
          <cell r="B460">
            <v>4005079</v>
          </cell>
          <cell r="C460" t="str">
            <v>CEMENTO  DE  OXIDO  DE ZINC  CON  EUGENOL POLVO, ENDURECIMIENTO RAPIDO</v>
          </cell>
          <cell r="D460" t="str">
            <v>FRASCO</v>
          </cell>
        </row>
        <row r="461">
          <cell r="B461">
            <v>4005080</v>
          </cell>
          <cell r="C461" t="str">
            <v>CEMENTO DE FOSFATO DE ZINC LIQUIDO</v>
          </cell>
          <cell r="D461" t="str">
            <v>FRASCO</v>
          </cell>
        </row>
        <row r="462">
          <cell r="B462">
            <v>4005081</v>
          </cell>
          <cell r="C462" t="str">
            <v>CEMENTO DE FOSFATO DE ZINC POLVO</v>
          </cell>
          <cell r="D462" t="str">
            <v>C/U</v>
          </cell>
        </row>
        <row r="463">
          <cell r="B463">
            <v>4005082</v>
          </cell>
          <cell r="C463" t="str">
            <v>CEMENTO DE OXIDO DE ZINC CON EUGENO LIQUIDO</v>
          </cell>
          <cell r="D463" t="str">
            <v>C/U</v>
          </cell>
        </row>
        <row r="464">
          <cell r="B464">
            <v>4005083</v>
          </cell>
          <cell r="C464" t="str">
            <v>CEMENTO DE POLICARBOXILATO LIQUIDO</v>
          </cell>
          <cell r="D464" t="str">
            <v>C/U</v>
          </cell>
        </row>
        <row r="465">
          <cell r="B465">
            <v>4005084</v>
          </cell>
          <cell r="C465" t="str">
            <v>CEMENTO DE POLICARBOXILATO POLVO</v>
          </cell>
          <cell r="D465" t="str">
            <v>C/U</v>
          </cell>
        </row>
        <row r="466">
          <cell r="B466">
            <v>4005085</v>
          </cell>
          <cell r="C466" t="str">
            <v>CHUCK METALICO P/PIEZA DE MANO DE ALTA</v>
          </cell>
          <cell r="D466" t="str">
            <v>C/U</v>
          </cell>
        </row>
        <row r="467">
          <cell r="B467">
            <v>4005086</v>
          </cell>
          <cell r="C467" t="str">
            <v>CINTA BANDA MATRIZ DE 5 MM. DE ANCHO, METALICA</v>
          </cell>
          <cell r="D467" t="str">
            <v>ROLLO</v>
          </cell>
        </row>
        <row r="468">
          <cell r="B468">
            <v>4005087</v>
          </cell>
          <cell r="C468" t="str">
            <v>CINTA BANDA MATRIZ DE 7 MM DE ANCHO MET</v>
          </cell>
          <cell r="D468" t="str">
            <v>C/U</v>
          </cell>
        </row>
        <row r="469">
          <cell r="B469">
            <v>4005088</v>
          </cell>
          <cell r="C469" t="str">
            <v>COPA DE HULE DE ATORNILLAR</v>
          </cell>
          <cell r="D469" t="str">
            <v>C/U</v>
          </cell>
        </row>
        <row r="470">
          <cell r="B470">
            <v>4005089</v>
          </cell>
          <cell r="C470" t="str">
            <v>COPA O TAZA DAPPEN DE PLASTICO</v>
          </cell>
          <cell r="D470" t="str">
            <v>C/U</v>
          </cell>
        </row>
        <row r="471">
          <cell r="B471">
            <v>4005090</v>
          </cell>
          <cell r="C471" t="str">
            <v>COPA O TAZA DAPPEN DE VIDRIO</v>
          </cell>
          <cell r="D471" t="str">
            <v>C/U</v>
          </cell>
        </row>
        <row r="472">
          <cell r="B472">
            <v>4005091</v>
          </cell>
          <cell r="C472" t="str">
            <v>CUÑAS DE MADERA</v>
          </cell>
          <cell r="D472" t="str">
            <v xml:space="preserve"> CAJA O BOLSA</v>
          </cell>
        </row>
        <row r="473">
          <cell r="B473">
            <v>4005092</v>
          </cell>
          <cell r="C473" t="str">
            <v>EYECTOR DE SALIVA DERCARTABLE</v>
          </cell>
          <cell r="D473" t="str">
            <v>C/U</v>
          </cell>
        </row>
        <row r="474">
          <cell r="B474">
            <v>4005093</v>
          </cell>
          <cell r="C474" t="str">
            <v>FORMOCRESOL SOLUCION (FORMALDEHIDO 19% CREASETINA 35%)</v>
          </cell>
          <cell r="D474" t="str">
            <v>FRASCO DE 10-30 mL</v>
          </cell>
        </row>
        <row r="475">
          <cell r="B475">
            <v>4005094</v>
          </cell>
          <cell r="C475" t="str">
            <v>FRESA DE ARKANSAS REDONDA PARA PULIDO DE RESINAS</v>
          </cell>
          <cell r="D475" t="str">
            <v>C/U</v>
          </cell>
        </row>
        <row r="476">
          <cell r="B476">
            <v>4005095</v>
          </cell>
          <cell r="C476" t="str">
            <v>FRESA DE CARBURO FISURA EXTREMO PLANO AGARRE POR  FRICCION # 556</v>
          </cell>
          <cell r="D476" t="str">
            <v>C/U</v>
          </cell>
        </row>
        <row r="477">
          <cell r="B477">
            <v>4005096</v>
          </cell>
          <cell r="C477" t="str">
            <v>FRESA DE CARBURO FISURA EXTREMO PLANO #5</v>
          </cell>
          <cell r="D477" t="str">
            <v>C/U</v>
          </cell>
        </row>
        <row r="478">
          <cell r="B478">
            <v>4005097</v>
          </cell>
          <cell r="C478" t="str">
            <v>FRESA D CARBURO FISURA EXTREMO PLANO #24</v>
          </cell>
          <cell r="D478" t="str">
            <v>C/U</v>
          </cell>
        </row>
        <row r="479">
          <cell r="B479">
            <v>4005098</v>
          </cell>
          <cell r="C479" t="str">
            <v>FRESA DE CARBURO REDONDA #2</v>
          </cell>
          <cell r="D479" t="str">
            <v>C/U</v>
          </cell>
        </row>
        <row r="480">
          <cell r="B480">
            <v>4005099</v>
          </cell>
          <cell r="C480" t="str">
            <v>FRESA DE CARBURO REDONDA #4</v>
          </cell>
          <cell r="D480" t="str">
            <v>C/U</v>
          </cell>
        </row>
        <row r="481">
          <cell r="B481">
            <v>4005100</v>
          </cell>
          <cell r="C481" t="str">
            <v>FRESA DE CARBURO REDONDA, AGARRE POR FRICCION # 6</v>
          </cell>
          <cell r="D481" t="str">
            <v>C/U</v>
          </cell>
        </row>
        <row r="482">
          <cell r="B482">
            <v>4005101</v>
          </cell>
          <cell r="C482" t="str">
            <v>FRESA DE CARBURO REDONDA DE AGARRE POR FRICCION</v>
          </cell>
          <cell r="D482" t="str">
            <v>C/U</v>
          </cell>
        </row>
        <row r="483">
          <cell r="B483">
            <v>4005102</v>
          </cell>
          <cell r="C483" t="str">
            <v>FRESA DE CARBURO, AGARRE POR FRICCION # 330</v>
          </cell>
          <cell r="D483" t="str">
            <v>C/U</v>
          </cell>
        </row>
        <row r="484">
          <cell r="B484">
            <v>4005103</v>
          </cell>
          <cell r="C484" t="str">
            <v>FRESA DE DIAMANTE EN FORMA DE RUEDA</v>
          </cell>
          <cell r="D484" t="str">
            <v>C/U</v>
          </cell>
        </row>
        <row r="485">
          <cell r="B485">
            <v>4005104</v>
          </cell>
          <cell r="C485" t="str">
            <v>FRESA DE DIAMANTE TRONCO CONICA FINA</v>
          </cell>
          <cell r="D485" t="str">
            <v>C/U</v>
          </cell>
        </row>
        <row r="486">
          <cell r="B486">
            <v>4005105</v>
          </cell>
          <cell r="C486" t="str">
            <v>FRESA ESPECIAL DE ALTA VELOCIDAD</v>
          </cell>
          <cell r="D486" t="str">
            <v>C/U</v>
          </cell>
        </row>
        <row r="487">
          <cell r="B487">
            <v>4005106</v>
          </cell>
          <cell r="C487" t="str">
            <v xml:space="preserve">FRESA PARA PULIR AMALGAMA REDONDA No. </v>
          </cell>
          <cell r="D487" t="str">
            <v>C/U</v>
          </cell>
        </row>
        <row r="488">
          <cell r="B488">
            <v>4005107</v>
          </cell>
          <cell r="C488" t="str">
            <v xml:space="preserve">FRESA PARA PULIR AMALGAMA REDONDA No.6 </v>
          </cell>
          <cell r="D488" t="str">
            <v>C/U</v>
          </cell>
        </row>
        <row r="489">
          <cell r="B489">
            <v>4005108</v>
          </cell>
          <cell r="C489" t="str">
            <v>FRESA PARA TERMINADO FINAL DE AMALGAMA EN FORMA DE PERA</v>
          </cell>
          <cell r="D489" t="str">
            <v>C/U</v>
          </cell>
        </row>
        <row r="490">
          <cell r="B490">
            <v>4005109</v>
          </cell>
          <cell r="C490" t="str">
            <v>FRESA QUIMICA CILINDRICA #557 TALLO</v>
          </cell>
          <cell r="D490" t="str">
            <v>C/U</v>
          </cell>
        </row>
        <row r="491">
          <cell r="B491">
            <v>4005110</v>
          </cell>
          <cell r="C491" t="str">
            <v>HIDROXIDO DE CALCIO QUIMICAMENTE PURO, EN POLVO</v>
          </cell>
          <cell r="D491" t="str">
            <v>FRASCO</v>
          </cell>
        </row>
        <row r="492">
          <cell r="B492">
            <v>4005111</v>
          </cell>
          <cell r="C492" t="str">
            <v>JERINGA CON GRASA PARA LUBRICAR PIEZA DE MANO</v>
          </cell>
          <cell r="D492" t="str">
            <v>C/U</v>
          </cell>
        </row>
        <row r="493">
          <cell r="B493">
            <v>4005112</v>
          </cell>
          <cell r="C493" t="str">
            <v>LENTE DE PROTECCION PARA LAMPARA DE FOTOCURADO</v>
          </cell>
          <cell r="D493" t="str">
            <v>C/U</v>
          </cell>
        </row>
        <row r="494">
          <cell r="B494">
            <v>4005113</v>
          </cell>
          <cell r="C494" t="str">
            <v>LIQUIDOS PARA PROCESAR PELICULAS RADIOGRAFICAS</v>
          </cell>
          <cell r="D494" t="str">
            <v>C/U</v>
          </cell>
        </row>
        <row r="495">
          <cell r="B495">
            <v>4005114</v>
          </cell>
          <cell r="C495" t="str">
            <v>LUBRICANTE EN SPRAY PARA PIEZA DE MANO</v>
          </cell>
          <cell r="D495" t="str">
            <v>C/U</v>
          </cell>
        </row>
        <row r="496">
          <cell r="B496">
            <v>4005115</v>
          </cell>
          <cell r="C496" t="str">
            <v>PELICULA RADIOGRAFICA PERIAPICAL P/ADULTOS</v>
          </cell>
          <cell r="D496" t="str">
            <v>C/U</v>
          </cell>
        </row>
        <row r="497">
          <cell r="B497">
            <v>4005116</v>
          </cell>
          <cell r="C497" t="str">
            <v>PIEDRA DE ARKANSAS EN FORMA DE LLAMA</v>
          </cell>
          <cell r="D497" t="str">
            <v>C/U</v>
          </cell>
        </row>
        <row r="498">
          <cell r="B498">
            <v>4005117</v>
          </cell>
          <cell r="C498" t="str">
            <v>PIEDRA DE ARKANSAS PARA AFILAR # 8-A</v>
          </cell>
          <cell r="D498" t="str">
            <v>C/U</v>
          </cell>
        </row>
        <row r="499">
          <cell r="B499">
            <v>4005118</v>
          </cell>
          <cell r="C499" t="str">
            <v>PINCEL PARA APLICACION DE RESINAS COMPOSITAS</v>
          </cell>
          <cell r="D499" t="str">
            <v>C/U</v>
          </cell>
        </row>
        <row r="500">
          <cell r="B500">
            <v>4005119</v>
          </cell>
          <cell r="C500" t="str">
            <v>RESINA COMPOSITA CURADA POR LUZ VISIBLE, COLOR A3. JERINGA PRELLENADA</v>
          </cell>
          <cell r="D500" t="str">
            <v>C/U</v>
          </cell>
        </row>
        <row r="501">
          <cell r="B501">
            <v>4005120</v>
          </cell>
          <cell r="C501" t="str">
            <v>RESINA COMPOSITA CURADA POR LUZ VISIBLE, COLOR A3.5. JERINGA PRELLENADA</v>
          </cell>
          <cell r="D501" t="str">
            <v>C/U</v>
          </cell>
        </row>
        <row r="502">
          <cell r="B502">
            <v>4005121</v>
          </cell>
          <cell r="C502" t="str">
            <v>RESINA COMPOSITA CURADA COLOR A-2 A-3 A-3,5</v>
          </cell>
          <cell r="D502" t="str">
            <v>C/U</v>
          </cell>
        </row>
        <row r="503">
          <cell r="B503">
            <v>4005122</v>
          </cell>
          <cell r="C503" t="str">
            <v>RODETE DE ALGODÓN</v>
          </cell>
          <cell r="D503" t="str">
            <v>C/U</v>
          </cell>
        </row>
        <row r="504">
          <cell r="B504">
            <v>4005123</v>
          </cell>
          <cell r="C504" t="str">
            <v>TIRANERVIOS DEL 15 AL 40</v>
          </cell>
          <cell r="D504" t="str">
            <v>JUEGO</v>
          </cell>
        </row>
        <row r="505">
          <cell r="B505">
            <v>4005124</v>
          </cell>
          <cell r="C505" t="str">
            <v>TIRAS DE LIJA SURTIDA</v>
          </cell>
          <cell r="D505" t="str">
            <v>C/U</v>
          </cell>
        </row>
        <row r="506">
          <cell r="B506">
            <v>4005125</v>
          </cell>
          <cell r="C506" t="str">
            <v>COPAS DE HULE PARA CONTRANGULO DE PASADOR</v>
          </cell>
          <cell r="D506" t="str">
            <v>C/U</v>
          </cell>
        </row>
        <row r="507">
          <cell r="B507">
            <v>4100010</v>
          </cell>
          <cell r="C507" t="str">
            <v>ATACADOR DOBLE DE  ACERO INOXIDABLE  # 1</v>
          </cell>
          <cell r="D507" t="str">
            <v>C/U</v>
          </cell>
        </row>
        <row r="508">
          <cell r="B508">
            <v>4100011</v>
          </cell>
          <cell r="C508" t="str">
            <v>CONDENSADOR  DE  AMALGAMA  HOLLENBACK # 3, DOBLE  EXTREMO</v>
          </cell>
          <cell r="D508" t="str">
            <v>C/U</v>
          </cell>
        </row>
        <row r="509">
          <cell r="B509">
            <v>4100012</v>
          </cell>
          <cell r="C509" t="str">
            <v>TALLADOR PARA CERA Y AMALGAMA FRAHM # 6 DE UNO O DOBLE EXTREMO</v>
          </cell>
          <cell r="D509" t="str">
            <v>C/U</v>
          </cell>
        </row>
        <row r="510">
          <cell r="B510">
            <v>4100003</v>
          </cell>
          <cell r="C510" t="str">
            <v>QUITA  Y  PONE  FRESA  PARA  ALTA VELOCIDAD, TIPO STARFLITE</v>
          </cell>
          <cell r="D510" t="str">
            <v>C/U</v>
          </cell>
        </row>
        <row r="511">
          <cell r="B511">
            <v>4100004</v>
          </cell>
          <cell r="C511" t="str">
            <v>QUITA CORONAS CON PUNTAS INTERCAMBIABLES</v>
          </cell>
          <cell r="D511" t="str">
            <v>C/U</v>
          </cell>
        </row>
        <row r="512">
          <cell r="B512">
            <v>4101020</v>
          </cell>
          <cell r="C512" t="str">
            <v>BISTURI INTERDENTAL # 5-6 BUCK DE DOBLE EXTREMO</v>
          </cell>
          <cell r="D512" t="str">
            <v>C/U</v>
          </cell>
        </row>
        <row r="513">
          <cell r="B513">
            <v>4101021</v>
          </cell>
          <cell r="C513" t="str">
            <v>BISTURI KIRKLANND # 15-16 DOBLE EXTREMO</v>
          </cell>
          <cell r="D513" t="str">
            <v>C/U</v>
          </cell>
        </row>
        <row r="514">
          <cell r="B514">
            <v>4101022</v>
          </cell>
          <cell r="C514" t="str">
            <v>CINCEL PARA HUESO # 4 OCHSENBEIN</v>
          </cell>
          <cell r="D514" t="str">
            <v>C/U</v>
          </cell>
        </row>
        <row r="515">
          <cell r="B515">
            <v>4101023</v>
          </cell>
          <cell r="C515" t="str">
            <v>CUCHILLO CRANE KAPLAND CK-3</v>
          </cell>
          <cell r="D515" t="str">
            <v>C/U</v>
          </cell>
        </row>
        <row r="516">
          <cell r="B516">
            <v>4101024</v>
          </cell>
          <cell r="C516" t="str">
            <v>CUCHILLO CRANE KAPLAND DE DOBLE EXTREMO, 5 - 6</v>
          </cell>
          <cell r="D516" t="str">
            <v>C/U</v>
          </cell>
        </row>
        <row r="517">
          <cell r="B517">
            <v>4101025</v>
          </cell>
          <cell r="C517" t="str">
            <v>CURETA MC CALL 13 - 14 S , DOBLE EXTREMO</v>
          </cell>
          <cell r="D517" t="str">
            <v>C/U</v>
          </cell>
        </row>
        <row r="518">
          <cell r="B518">
            <v>4101026</v>
          </cell>
          <cell r="C518" t="str">
            <v>CURETA MC CALL 13 - 14, DOBLE EXTREMO</v>
          </cell>
          <cell r="D518" t="str">
            <v>C/U</v>
          </cell>
        </row>
        <row r="519">
          <cell r="B519">
            <v>4101027</v>
          </cell>
          <cell r="C519" t="str">
            <v>CURETA MC CALL 17 - 18 S , DOBLE EXTREMO</v>
          </cell>
          <cell r="D519" t="str">
            <v>C/U</v>
          </cell>
        </row>
        <row r="520">
          <cell r="B520">
            <v>4101028</v>
          </cell>
          <cell r="C520" t="str">
            <v>CURETA MC CALL 17 - 18, DOBLE EXTREMO</v>
          </cell>
          <cell r="D520" t="str">
            <v>C/U</v>
          </cell>
        </row>
        <row r="521">
          <cell r="B521">
            <v>4101029</v>
          </cell>
          <cell r="C521" t="str">
            <v>INSTRUMENTO DE PROFILAXIS # 103, DARBY PERRY</v>
          </cell>
          <cell r="D521" t="str">
            <v>C/U</v>
          </cell>
        </row>
        <row r="522">
          <cell r="B522">
            <v>4101030</v>
          </cell>
          <cell r="C522" t="str">
            <v>INSTRUMENTO DE PROFILAXIS # 104, DARBY PERRY</v>
          </cell>
          <cell r="D522" t="str">
            <v>C/U</v>
          </cell>
        </row>
        <row r="523">
          <cell r="B523">
            <v>4101031</v>
          </cell>
          <cell r="C523" t="str">
            <v>LIMA PARA HUESO SCHULER</v>
          </cell>
          <cell r="D523" t="str">
            <v>C/U</v>
          </cell>
        </row>
        <row r="524">
          <cell r="B524">
            <v>4101032</v>
          </cell>
          <cell r="C524" t="str">
            <v>PINZA AUXILIAR UNIVERSAL RECTA DE 20 CMS</v>
          </cell>
          <cell r="D524" t="str">
            <v>C/U</v>
          </cell>
        </row>
        <row r="525">
          <cell r="B525">
            <v>4101033</v>
          </cell>
          <cell r="C525" t="str">
            <v>TIJERA PARA ENCIA SEMICURVA GOLDMAN-FO</v>
          </cell>
          <cell r="D525" t="str">
            <v>C/U</v>
          </cell>
        </row>
        <row r="526">
          <cell r="B526">
            <v>4102000</v>
          </cell>
          <cell r="C526" t="str">
            <v>ARCO PARA DIQUE DE GOMA METALICO Ó PLASTICO</v>
          </cell>
          <cell r="D526" t="str">
            <v>C/U</v>
          </cell>
        </row>
        <row r="527">
          <cell r="B527">
            <v>4102001</v>
          </cell>
          <cell r="C527" t="str">
            <v>CUCHARILLA ENDODONTICA</v>
          </cell>
          <cell r="D527" t="str">
            <v>C/U</v>
          </cell>
        </row>
        <row r="528">
          <cell r="B528">
            <v>4102010</v>
          </cell>
          <cell r="C528" t="str">
            <v>ESPACIADOR O CONDENSADOR DE GUTAPERCHA # D-11-T</v>
          </cell>
          <cell r="D528" t="str">
            <v>C/U</v>
          </cell>
        </row>
        <row r="529">
          <cell r="B529">
            <v>4102011</v>
          </cell>
          <cell r="C529" t="str">
            <v>ESTUCHE METALICO ORGANIZADOR DE ENDODONCIA</v>
          </cell>
          <cell r="D529" t="str">
            <v>ESTUCHE</v>
          </cell>
        </row>
        <row r="530">
          <cell r="B530">
            <v>4102004</v>
          </cell>
          <cell r="C530" t="str">
            <v>EXPLORADOR PARA ENDODONCIA</v>
          </cell>
          <cell r="D530" t="str">
            <v>C/U</v>
          </cell>
        </row>
        <row r="531">
          <cell r="B531">
            <v>4102005</v>
          </cell>
          <cell r="C531" t="str">
            <v>PERFORADORA DE DIQUE DE GOMA</v>
          </cell>
          <cell r="D531" t="str">
            <v>C/U</v>
          </cell>
        </row>
        <row r="532">
          <cell r="B532">
            <v>4102006</v>
          </cell>
          <cell r="C532" t="str">
            <v>PINZA PORTAGRAPA PARA DIQUE DE GOMA</v>
          </cell>
          <cell r="D532" t="str">
            <v>C/U</v>
          </cell>
        </row>
        <row r="533">
          <cell r="B533">
            <v>4102012</v>
          </cell>
          <cell r="C533" t="str">
            <v>REGLA MILIMETRADA ENDODONTICA</v>
          </cell>
          <cell r="D533" t="str">
            <v>C/U</v>
          </cell>
        </row>
        <row r="534">
          <cell r="B534">
            <v>4102013</v>
          </cell>
          <cell r="C534" t="str">
            <v>VERIFICADOR DE APICES</v>
          </cell>
          <cell r="D534" t="str">
            <v>C/U</v>
          </cell>
        </row>
        <row r="535">
          <cell r="B535">
            <v>4103020</v>
          </cell>
          <cell r="C535" t="str">
            <v>ABREBOCA "DENHART" INOXIDABLE</v>
          </cell>
          <cell r="D535" t="str">
            <v>C/U</v>
          </cell>
        </row>
        <row r="536">
          <cell r="B536">
            <v>4103001</v>
          </cell>
          <cell r="C536" t="str">
            <v>ABREBOCA DE HULE PEQUEÑO, MEDIANO Y GRANDE</v>
          </cell>
          <cell r="D536" t="str">
            <v>SET</v>
          </cell>
        </row>
        <row r="537">
          <cell r="B537">
            <v>4103021</v>
          </cell>
          <cell r="C537" t="str">
            <v>CANULAS DE ASPIRACION, COUPLAND 24 CMS., 9 1/2"   (APROX.)</v>
          </cell>
          <cell r="D537" t="str">
            <v>C/U</v>
          </cell>
        </row>
        <row r="538">
          <cell r="B538">
            <v>4103022</v>
          </cell>
          <cell r="C538" t="str">
            <v>LEZNA PARA ARCO CIGAMATICO, TIPO " OBWERGESER "   23 CMS., 9" (APROX.)</v>
          </cell>
          <cell r="D538" t="str">
            <v>C/U</v>
          </cell>
        </row>
        <row r="539">
          <cell r="B539">
            <v>4103023</v>
          </cell>
          <cell r="C539" t="str">
            <v>LEZNA PARA MANDIBULA, TIPO " OBWERGESER " 14 CMS.,5 1/2" (APROX.)</v>
          </cell>
          <cell r="D539" t="str">
            <v>C/U</v>
          </cell>
        </row>
        <row r="540">
          <cell r="B540">
            <v>4103024</v>
          </cell>
          <cell r="C540" t="str">
            <v>PINZA TIRA LENGUA,TIPO "COLLIN", 16 CMS., 6 1/4" (APROX.)</v>
          </cell>
          <cell r="D540" t="str">
            <v>C/U</v>
          </cell>
        </row>
        <row r="541">
          <cell r="B541">
            <v>4103025</v>
          </cell>
          <cell r="C541" t="str">
            <v>RETRACTOR ACANALADO, TIPO " OBWERGESER " 16 CMS., 6 1/4" (APROX.)</v>
          </cell>
          <cell r="D541" t="str">
            <v>C/U</v>
          </cell>
        </row>
        <row r="542">
          <cell r="B542">
            <v>4103026</v>
          </cell>
          <cell r="C542" t="str">
            <v>RETRACTOR SIMPLE TIPO " OBWERGESER " 11 X 42 MM.  (APROX.)</v>
          </cell>
          <cell r="D542" t="str">
            <v>C/U</v>
          </cell>
        </row>
        <row r="543">
          <cell r="B543">
            <v>4103027</v>
          </cell>
          <cell r="C543" t="str">
            <v>SEPARADOR DE PERIOSTIO, TIPO " FREER " 19 CMS.,   7 1/2" (APROX.)</v>
          </cell>
          <cell r="D543" t="str">
            <v>C/U</v>
          </cell>
        </row>
        <row r="544">
          <cell r="B544">
            <v>4103028</v>
          </cell>
          <cell r="C544" t="str">
            <v>TIJERA CORTADORA DE ALAMBRE UNIVERSAL 12 CMS., 4 3/4" (APROX.)</v>
          </cell>
          <cell r="D544" t="str">
            <v>C/U</v>
          </cell>
        </row>
        <row r="545">
          <cell r="B545">
            <v>4104090</v>
          </cell>
          <cell r="C545" t="str">
            <v>ANGULO DE ATORNILLAR PARA PROFILAXIS</v>
          </cell>
          <cell r="D545" t="str">
            <v>C/U</v>
          </cell>
        </row>
        <row r="546">
          <cell r="B546">
            <v>4104091</v>
          </cell>
          <cell r="C546" t="str">
            <v>APLICADOR METALICO P/ CEMENTO DE HID</v>
          </cell>
          <cell r="D546" t="str">
            <v>C/U</v>
          </cell>
        </row>
        <row r="547">
          <cell r="B547">
            <v>4104092</v>
          </cell>
          <cell r="C547" t="str">
            <v>APLICADOR CONDENS. DE CEMENTO WOODSON #</v>
          </cell>
          <cell r="D547" t="str">
            <v>C/U</v>
          </cell>
        </row>
        <row r="548">
          <cell r="B548">
            <v>4104093</v>
          </cell>
          <cell r="C548" t="str">
            <v>APLICADOR CONDES. PLASTICO PARA RESINA</v>
          </cell>
          <cell r="D548" t="str">
            <v>C/U</v>
          </cell>
        </row>
        <row r="549">
          <cell r="B549">
            <v>4104094</v>
          </cell>
          <cell r="C549" t="str">
            <v>APLICADOR CONDENSADOR PLASTICO PARA RESINA</v>
          </cell>
          <cell r="D549" t="str">
            <v>C/U</v>
          </cell>
        </row>
        <row r="550">
          <cell r="B550">
            <v>4104095</v>
          </cell>
          <cell r="C550" t="str">
            <v>BRUÑIDOR # 28 - 29, INOXIDABLE</v>
          </cell>
          <cell r="D550" t="str">
            <v>C/U</v>
          </cell>
        </row>
        <row r="551">
          <cell r="B551">
            <v>4104096</v>
          </cell>
          <cell r="C551" t="str">
            <v>BRUÑIDOR ANATOMICO # 2</v>
          </cell>
          <cell r="D551" t="str">
            <v>C/U</v>
          </cell>
        </row>
        <row r="552">
          <cell r="B552">
            <v>4104097</v>
          </cell>
          <cell r="C552" t="str">
            <v>CONDENSADOR DE AMALGAMA CUADRUPLE BENNET</v>
          </cell>
          <cell r="D552" t="str">
            <v>C/U</v>
          </cell>
        </row>
        <row r="553">
          <cell r="B553">
            <v>4104098</v>
          </cell>
          <cell r="C553" t="str">
            <v>CONDENSADOR DE AMALGAMA HOLLENBACK # 4, DOBLE EXTREMO</v>
          </cell>
          <cell r="D553" t="str">
            <v>C/U</v>
          </cell>
        </row>
        <row r="554">
          <cell r="B554">
            <v>4104099</v>
          </cell>
          <cell r="C554" t="str">
            <v>CONDENSADOR DE AMALGAMA SMITH</v>
          </cell>
          <cell r="D554" t="str">
            <v>C/U</v>
          </cell>
        </row>
        <row r="555">
          <cell r="B555">
            <v>4104100</v>
          </cell>
          <cell r="C555" t="str">
            <v>CONTRANGULO DE PASADOR DE BAJA VELOCIDAD PARA PIEZA DE MANO</v>
          </cell>
          <cell r="D555" t="str">
            <v>C/U</v>
          </cell>
        </row>
        <row r="556">
          <cell r="B556">
            <v>4104101</v>
          </cell>
          <cell r="C556" t="str">
            <v>CUCHARILLA O EXCAVADOR PARA DENTINA #14</v>
          </cell>
          <cell r="D556" t="str">
            <v>C/U</v>
          </cell>
        </row>
        <row r="557">
          <cell r="B557">
            <v>4104102</v>
          </cell>
          <cell r="C557" t="str">
            <v>CUCHARILLA O EXCAVADOR PARA DENTINA #17</v>
          </cell>
          <cell r="D557" t="str">
            <v>C/U</v>
          </cell>
        </row>
        <row r="558">
          <cell r="B558">
            <v>4104103</v>
          </cell>
          <cell r="C558" t="str">
            <v>CURETA "LUCAS" # 15, INOXIDABLE</v>
          </cell>
          <cell r="D558" t="str">
            <v>C/U</v>
          </cell>
        </row>
        <row r="559">
          <cell r="B559">
            <v>4104104</v>
          </cell>
          <cell r="C559" t="str">
            <v>CURETA "LUCAS" # 85, INOXIDABLE</v>
          </cell>
          <cell r="D559" t="str">
            <v>C/U</v>
          </cell>
        </row>
        <row r="560">
          <cell r="B560">
            <v>4104105</v>
          </cell>
          <cell r="C560" t="str">
            <v>CURETA "LUCAS" #88 INOXIDABLE</v>
          </cell>
          <cell r="D560" t="str">
            <v>C/U</v>
          </cell>
        </row>
        <row r="561">
          <cell r="B561">
            <v>4104106</v>
          </cell>
          <cell r="C561" t="str">
            <v>CURETA UNIVERSAL MUHLEMANN # 6 INOXIDABLE</v>
          </cell>
          <cell r="D561" t="str">
            <v>C/U</v>
          </cell>
        </row>
        <row r="562">
          <cell r="B562">
            <v>4104107</v>
          </cell>
          <cell r="C562" t="str">
            <v>DENTOFORMO ARMADO PARA ADULTO</v>
          </cell>
          <cell r="D562" t="str">
            <v>C/U</v>
          </cell>
        </row>
        <row r="563">
          <cell r="B563">
            <v>4104108</v>
          </cell>
          <cell r="C563" t="str">
            <v>DENTOFORMO ARMADO PARA NIÑOS</v>
          </cell>
          <cell r="D563" t="str">
            <v>C/U</v>
          </cell>
        </row>
        <row r="564">
          <cell r="B564">
            <v>4104019</v>
          </cell>
          <cell r="C564" t="str">
            <v>DEPRESOR DE LENGUA, TIPO "WIEDER" 32 CMS. (APROX.)</v>
          </cell>
          <cell r="D564" t="str">
            <v>C/U</v>
          </cell>
        </row>
        <row r="565">
          <cell r="B565">
            <v>4104109</v>
          </cell>
          <cell r="C565" t="str">
            <v>ELEVADOR APICAL RECTO TIPO SELDIN # 301, INOXIDABLE</v>
          </cell>
          <cell r="D565" t="str">
            <v>C/U</v>
          </cell>
        </row>
        <row r="566">
          <cell r="B566">
            <v>4104110</v>
          </cell>
          <cell r="C566" t="str">
            <v>ELEVADOR APICAL TIPO SELDIN # 302, INOXIDABLE</v>
          </cell>
          <cell r="D566" t="str">
            <v>C/U</v>
          </cell>
        </row>
        <row r="567">
          <cell r="B567">
            <v>4104111</v>
          </cell>
          <cell r="C567" t="str">
            <v>ELEVADOR APICAL TIPO SELDIN # 305, INOXIDABLE</v>
          </cell>
          <cell r="D567" t="str">
            <v>C/U</v>
          </cell>
        </row>
        <row r="568">
          <cell r="B568">
            <v>4104112</v>
          </cell>
          <cell r="C568" t="str">
            <v>ELEVADOR DE PERIOSTIO MOLT #9 INOXIDABLE</v>
          </cell>
          <cell r="D568" t="str">
            <v>C/U</v>
          </cell>
        </row>
        <row r="569">
          <cell r="B569">
            <v>4104113</v>
          </cell>
          <cell r="C569" t="str">
            <v>ELEVADOR DE RAIZ "BARRY" # 320 INOXIDABLE</v>
          </cell>
          <cell r="D569" t="str">
            <v>C/U</v>
          </cell>
        </row>
        <row r="570">
          <cell r="B570">
            <v>4104114</v>
          </cell>
          <cell r="C570" t="str">
            <v>ELEVADOR DE RAIZ "BARRY" # 321 INOXIDABLE</v>
          </cell>
          <cell r="D570" t="str">
            <v>C/U</v>
          </cell>
        </row>
        <row r="571">
          <cell r="B571">
            <v>4104115</v>
          </cell>
          <cell r="C571" t="str">
            <v>ELEVADOR DE RAIZ "BARRY" # 370, INOXIDABLE</v>
          </cell>
          <cell r="D571" t="str">
            <v>C/U</v>
          </cell>
        </row>
        <row r="572">
          <cell r="B572">
            <v>4104116</v>
          </cell>
          <cell r="C572" t="str">
            <v>ELEVADOR DE RAIZ "BARRY" #371 INOXIDABLE</v>
          </cell>
          <cell r="D572" t="str">
            <v>C/U</v>
          </cell>
        </row>
        <row r="573">
          <cell r="B573">
            <v>4104117</v>
          </cell>
          <cell r="C573" t="str">
            <v>ELEVADOR DE RAIZ "SELDIN" #2 INOXIDABLE</v>
          </cell>
          <cell r="D573" t="str">
            <v>C/U</v>
          </cell>
        </row>
        <row r="574">
          <cell r="B574">
            <v>4104118</v>
          </cell>
          <cell r="C574" t="str">
            <v>ELEVADOR DE RAIZ "SELDIN" #3 INOXIDABLE</v>
          </cell>
          <cell r="D574" t="str">
            <v>C/U</v>
          </cell>
        </row>
        <row r="575">
          <cell r="B575">
            <v>4104119</v>
          </cell>
          <cell r="C575" t="str">
            <v>ELEVADOR PLANO RECTO INOXIDABLE</v>
          </cell>
          <cell r="D575" t="str">
            <v>C/U</v>
          </cell>
        </row>
        <row r="576">
          <cell r="B576">
            <v>4104120</v>
          </cell>
          <cell r="C576" t="str">
            <v xml:space="preserve">ELEVADOR RECTO ACANALADO TIPO SELDIN N° 34 </v>
          </cell>
          <cell r="D576" t="str">
            <v>C/U</v>
          </cell>
        </row>
        <row r="577">
          <cell r="B577">
            <v>4104121</v>
          </cell>
          <cell r="C577" t="str">
            <v>ESPATULA PARA CEMENTO DOBLE EXTREMO</v>
          </cell>
          <cell r="D577" t="str">
            <v>C/U</v>
          </cell>
        </row>
        <row r="578">
          <cell r="B578">
            <v>4104122</v>
          </cell>
          <cell r="C578" t="str">
            <v>ESPEJO # 5 SIN AUMENTO ADAPT A MANGO</v>
          </cell>
          <cell r="D578" t="str">
            <v>C/U</v>
          </cell>
        </row>
        <row r="579">
          <cell r="B579">
            <v>4104123</v>
          </cell>
          <cell r="C579" t="str">
            <v>EXPLORADOR DOBLE # 5</v>
          </cell>
          <cell r="D579" t="str">
            <v>C/U</v>
          </cell>
        </row>
        <row r="580">
          <cell r="B580">
            <v>4104124</v>
          </cell>
          <cell r="C580" t="str">
            <v>FORCEPS DE EXTRACCION # 101, INOXIDABLE</v>
          </cell>
          <cell r="D580" t="str">
            <v>C/U</v>
          </cell>
        </row>
        <row r="581">
          <cell r="B581">
            <v>4104125</v>
          </cell>
          <cell r="C581" t="str">
            <v>FORCEPS DE EXTRACCION # 15, INOXIDABLE</v>
          </cell>
          <cell r="D581" t="str">
            <v>C/U</v>
          </cell>
        </row>
        <row r="582">
          <cell r="B582">
            <v>4104126</v>
          </cell>
          <cell r="C582" t="str">
            <v>FORCEPS DE EXTRACCION # 150, INOXIDABLE</v>
          </cell>
          <cell r="D582" t="str">
            <v>C/U</v>
          </cell>
        </row>
        <row r="583">
          <cell r="B583">
            <v>4104127</v>
          </cell>
          <cell r="C583" t="str">
            <v>FORCEPS DE EXTRACCION # 151, INOXIDABLE</v>
          </cell>
          <cell r="D583" t="str">
            <v>C/U</v>
          </cell>
        </row>
        <row r="584">
          <cell r="B584">
            <v>4104128</v>
          </cell>
          <cell r="C584" t="str">
            <v>FORCEPS DE EXTRACCION # 16 INOXIDABLE</v>
          </cell>
          <cell r="D584" t="str">
            <v>C/U</v>
          </cell>
        </row>
        <row r="585">
          <cell r="B585">
            <v>4104129</v>
          </cell>
          <cell r="C585" t="str">
            <v>FORCEPS DE EXTRACCION # 18 L INOXIDABLE</v>
          </cell>
          <cell r="D585" t="str">
            <v>C/U</v>
          </cell>
        </row>
        <row r="586">
          <cell r="B586">
            <v>4104130</v>
          </cell>
          <cell r="C586" t="str">
            <v>FORCEPS DE EXTRACCION # 18 R, INOXIDABLE</v>
          </cell>
          <cell r="D586" t="str">
            <v>C/U</v>
          </cell>
        </row>
        <row r="587">
          <cell r="B587">
            <v>4104131</v>
          </cell>
          <cell r="C587" t="str">
            <v>FORCEPS DE EXTRACCION # 210</v>
          </cell>
          <cell r="D587" t="str">
            <v>C/U</v>
          </cell>
        </row>
        <row r="588">
          <cell r="B588">
            <v>4104132</v>
          </cell>
          <cell r="C588" t="str">
            <v>FORCEPS DE EXTRACCION # 222  INOXIDABLE</v>
          </cell>
          <cell r="D588" t="str">
            <v>C/U</v>
          </cell>
        </row>
        <row r="589">
          <cell r="B589">
            <v>4104133</v>
          </cell>
          <cell r="C589" t="str">
            <v>FORCEPS DE EXTRACCION # 24, INOXIDABLE</v>
          </cell>
          <cell r="D589" t="str">
            <v>C/U</v>
          </cell>
        </row>
        <row r="590">
          <cell r="B590">
            <v>4104134</v>
          </cell>
          <cell r="C590" t="str">
            <v>FORCEPS DE EXTRACCION # 65 INOXIDABLE</v>
          </cell>
          <cell r="D590" t="str">
            <v>C/U</v>
          </cell>
        </row>
        <row r="591">
          <cell r="B591">
            <v>4104135</v>
          </cell>
          <cell r="C591" t="str">
            <v>FORCEPS DE EXTRACCION # 69, INOXIDABLE</v>
          </cell>
          <cell r="D591" t="str">
            <v>C/U</v>
          </cell>
        </row>
        <row r="592">
          <cell r="B592">
            <v>4104136</v>
          </cell>
          <cell r="C592" t="str">
            <v>FORCEPS DE EXTRACCION # 88 L, LARGO, INOXIDABLE</v>
          </cell>
          <cell r="D592" t="str">
            <v>C/U</v>
          </cell>
        </row>
        <row r="593">
          <cell r="B593">
            <v>4104137</v>
          </cell>
          <cell r="C593" t="str">
            <v>FORCEPS DE EXTRACCION # 88 L-2 INOXIDABLE CORTO</v>
          </cell>
          <cell r="D593" t="str">
            <v>C/U</v>
          </cell>
        </row>
        <row r="594">
          <cell r="B594">
            <v>4104138</v>
          </cell>
          <cell r="C594" t="str">
            <v>FORCEPS DE EXTRACCION # 88 R LARGO INOXIDABLE</v>
          </cell>
          <cell r="D594" t="str">
            <v>C/U</v>
          </cell>
        </row>
        <row r="595">
          <cell r="B595">
            <v>4104140</v>
          </cell>
          <cell r="C595" t="str">
            <v>GANCHOS  COLGADORES  PARA  PELICULAS  DENTALES DE RAYOS X, DE 10 PRECILLAS</v>
          </cell>
          <cell r="D595" t="str">
            <v>C/U</v>
          </cell>
        </row>
        <row r="596">
          <cell r="B596">
            <v>4104141</v>
          </cell>
          <cell r="C596" t="str">
            <v>GANCHOS DE UN CLIP /RADIOGRAFIA PERIA</v>
          </cell>
          <cell r="D596" t="str">
            <v>C/U</v>
          </cell>
        </row>
        <row r="597">
          <cell r="B597">
            <v>4104142</v>
          </cell>
          <cell r="C597" t="str">
            <v>INSTRUMENTO DE PROFILAXIS # 128 USC</v>
          </cell>
          <cell r="D597" t="str">
            <v>C/U</v>
          </cell>
        </row>
        <row r="598">
          <cell r="B598">
            <v>4104143</v>
          </cell>
          <cell r="C598" t="str">
            <v>INSSTRUMENTO DE PROFILAXIS ZERFIN RECTO</v>
          </cell>
          <cell r="D598" t="str">
            <v>C/U</v>
          </cell>
        </row>
        <row r="599">
          <cell r="B599">
            <v>4104144</v>
          </cell>
          <cell r="C599" t="str">
            <v>INSTRUMENTO PARA RESINA COMPOSITA METALICO</v>
          </cell>
          <cell r="D599" t="str">
            <v>C/U</v>
          </cell>
        </row>
        <row r="600">
          <cell r="B600">
            <v>4104145</v>
          </cell>
          <cell r="C600" t="str">
            <v>JERING CARPULE</v>
          </cell>
          <cell r="D600" t="str">
            <v>C/U</v>
          </cell>
        </row>
        <row r="601">
          <cell r="B601">
            <v>4104146</v>
          </cell>
          <cell r="C601" t="str">
            <v>JERINGA TRIPLE</v>
          </cell>
          <cell r="D601" t="str">
            <v>C/U</v>
          </cell>
        </row>
        <row r="602">
          <cell r="B602">
            <v>4104147</v>
          </cell>
          <cell r="C602" t="str">
            <v>LIMA PARA HUESO DOBLE EXTREMO #3 TIPO</v>
          </cell>
          <cell r="D602" t="str">
            <v>C/U</v>
          </cell>
        </row>
        <row r="603">
          <cell r="B603">
            <v>4104148</v>
          </cell>
          <cell r="C603" t="str">
            <v>MANGO # 14 PARA ESPEJO BUCAL # 5</v>
          </cell>
          <cell r="D603" t="str">
            <v>C/U</v>
          </cell>
        </row>
        <row r="604">
          <cell r="B604">
            <v>4104149</v>
          </cell>
          <cell r="C604" t="str">
            <v>PIEZA DE MANO DE ALTA VELOCIDAD, CON DOS ORIFICIOS DE ENTRADA</v>
          </cell>
          <cell r="D604" t="str">
            <v>C/U</v>
          </cell>
        </row>
        <row r="605">
          <cell r="B605">
            <v>4104150</v>
          </cell>
          <cell r="C605" t="str">
            <v xml:space="preserve">PINZA PARA ALGODÓN Y CURACIONES </v>
          </cell>
          <cell r="D605" t="str">
            <v>C/U</v>
          </cell>
        </row>
        <row r="606">
          <cell r="B606">
            <v>4104151</v>
          </cell>
          <cell r="C606" t="str">
            <v>PINZA PARA ENCIA TIPO "MOSLE"</v>
          </cell>
          <cell r="D606" t="str">
            <v>C/U</v>
          </cell>
        </row>
        <row r="607">
          <cell r="B607">
            <v>4104152</v>
          </cell>
          <cell r="C607" t="str">
            <v>PINZA PARA PAPEL ARTICULAR</v>
          </cell>
          <cell r="D607" t="str">
            <v>C/U</v>
          </cell>
        </row>
        <row r="608">
          <cell r="B608">
            <v>4104153</v>
          </cell>
          <cell r="C608" t="str">
            <v>PORTA AMALGAMA GRANDE, CON PUNTA DE METAL DESMONTABLE</v>
          </cell>
          <cell r="D608" t="str">
            <v>C/U</v>
          </cell>
        </row>
        <row r="609">
          <cell r="B609">
            <v>4104154</v>
          </cell>
          <cell r="C609" t="str">
            <v>PORTA AMALGAMA MEDIANO, CON PUNTA DE METAL</v>
          </cell>
          <cell r="D609" t="str">
            <v>C/U</v>
          </cell>
        </row>
        <row r="610">
          <cell r="B610">
            <v>4104155</v>
          </cell>
          <cell r="C610" t="str">
            <v>PORTA MATRIZ DE 1/4" P/BANDAS DE 5 MM</v>
          </cell>
          <cell r="D610" t="str">
            <v>C/U</v>
          </cell>
        </row>
        <row r="611">
          <cell r="B611">
            <v>4104156</v>
          </cell>
          <cell r="C611" t="str">
            <v>PORTA MATRIZ DE 1/4" P/BANDAS DE 7 MM</v>
          </cell>
          <cell r="D611" t="str">
            <v>C/U</v>
          </cell>
        </row>
        <row r="612">
          <cell r="B612">
            <v>4104157</v>
          </cell>
          <cell r="C612" t="str">
            <v>SONDA PERIODONTAL UNIVERSAL TEXAS</v>
          </cell>
          <cell r="D612" t="str">
            <v>C/U</v>
          </cell>
        </row>
        <row r="613">
          <cell r="B613">
            <v>4104158</v>
          </cell>
          <cell r="C613" t="str">
            <v>TALLADOR DISCOIDE CLEOIDE 3/16"</v>
          </cell>
          <cell r="D613" t="str">
            <v>C/U</v>
          </cell>
        </row>
        <row r="614">
          <cell r="B614">
            <v>4104159</v>
          </cell>
          <cell r="C614" t="str">
            <v>TALLADOR DISCOIDE CLEOIDE 1/2"</v>
          </cell>
          <cell r="D614" t="str">
            <v>C/U</v>
          </cell>
        </row>
        <row r="615">
          <cell r="B615">
            <v>4104160</v>
          </cell>
          <cell r="C615" t="str">
            <v>TALLADOR PARA AMALGAMA, HOLLENBACK # 3, INOXIDABLE</v>
          </cell>
          <cell r="D615" t="str">
            <v>C/U</v>
          </cell>
        </row>
        <row r="616">
          <cell r="B616">
            <v>4104161</v>
          </cell>
          <cell r="C616" t="str">
            <v>TALLADOR PARA CERA Y AMALGAMA # 6-10 DOBLE</v>
          </cell>
          <cell r="D616" t="str">
            <v>C/U</v>
          </cell>
        </row>
        <row r="617">
          <cell r="B617">
            <v>4104162</v>
          </cell>
          <cell r="C617" t="str">
            <v>TALLADOR PARA CERA Y AMALGAMA FRAHM # 10</v>
          </cell>
          <cell r="D617" t="str">
            <v>C/U</v>
          </cell>
        </row>
        <row r="618">
          <cell r="B618">
            <v>4104163</v>
          </cell>
          <cell r="C618" t="str">
            <v>TIJERA PARA ENCIA RECTA IRIS 5-17</v>
          </cell>
          <cell r="D618" t="str">
            <v>C/U</v>
          </cell>
        </row>
        <row r="619">
          <cell r="B619">
            <v>4200000</v>
          </cell>
          <cell r="C619" t="str">
            <v>DIQUE DE GOMA, GRUESO, TIPO YOUNG, 6 X 6"</v>
          </cell>
          <cell r="D619" t="str">
            <v>CAJA</v>
          </cell>
        </row>
        <row r="620">
          <cell r="B620">
            <v>4200001</v>
          </cell>
          <cell r="C620" t="str">
            <v>LAMPARA DE VIDRIO O DE METAL PARA ALCOHOL</v>
          </cell>
          <cell r="D620" t="str">
            <v>C/U</v>
          </cell>
        </row>
        <row r="621">
          <cell r="B621">
            <v>4201030</v>
          </cell>
          <cell r="C621" t="str">
            <v>AMALGAMADOR DE ALTA VELOCIDAD</v>
          </cell>
          <cell r="D621" t="str">
            <v>C/U</v>
          </cell>
        </row>
        <row r="622">
          <cell r="B622">
            <v>4201031</v>
          </cell>
          <cell r="C622" t="str">
            <v>BOMBILLOS ORIGINALES PARA LAMPARA DENTAL PELTON   FANTASTIC</v>
          </cell>
          <cell r="D622" t="str">
            <v>C/U</v>
          </cell>
        </row>
        <row r="623">
          <cell r="B623">
            <v>4201032</v>
          </cell>
          <cell r="C623" t="str">
            <v>CAJA REVELADORA DE PELICULA PARA RADIOGRAFIAS DENTALES</v>
          </cell>
          <cell r="D623" t="str">
            <v>C/U</v>
          </cell>
        </row>
        <row r="624">
          <cell r="B624">
            <v>4201033</v>
          </cell>
          <cell r="C624" t="str">
            <v>FOCO  HALOGENO  DE  LUZ  FRIA  PARA  LAMPARA FARO COOLBEAM</v>
          </cell>
          <cell r="D624" t="str">
            <v>C/U</v>
          </cell>
        </row>
        <row r="625">
          <cell r="B625">
            <v>4201034</v>
          </cell>
          <cell r="C625" t="str">
            <v>FOCO HALOGENO DE LUZ FRIA PARA LAMPARA PHELTON    FANTASTIC</v>
          </cell>
          <cell r="D625" t="str">
            <v>C/U</v>
          </cell>
        </row>
        <row r="626">
          <cell r="B626">
            <v>4201035</v>
          </cell>
          <cell r="C626" t="str">
            <v>FOCO PARA LAMPARA DE FOTOCURADO TIPO VISILUX</v>
          </cell>
          <cell r="D626" t="str">
            <v>C/U</v>
          </cell>
        </row>
        <row r="627">
          <cell r="B627">
            <v>4201036</v>
          </cell>
          <cell r="C627" t="str">
            <v>HILO DENTAL CON CERA</v>
          </cell>
          <cell r="D627" t="str">
            <v>YARDA</v>
          </cell>
        </row>
        <row r="628">
          <cell r="B628">
            <v>4201037</v>
          </cell>
          <cell r="C628" t="str">
            <v>LAMPARA PARA FOTOCURADO DE RESINAS COMPOSITAS</v>
          </cell>
          <cell r="D628" t="str">
            <v>C/U</v>
          </cell>
        </row>
        <row r="629">
          <cell r="B629">
            <v>4201038</v>
          </cell>
          <cell r="C629" t="str">
            <v>LOSA PLANA DE VIDRIO P/MEZCLAR 6"X3"</v>
          </cell>
          <cell r="D629" t="str">
            <v>C/U</v>
          </cell>
        </row>
        <row r="630">
          <cell r="B630">
            <v>4201039</v>
          </cell>
          <cell r="C630" t="str">
            <v>MICROMOTOR DE BAJA  VELOCIDAD CON ADAPTADOR PARA CONTRANGULO DE PASADOR</v>
          </cell>
          <cell r="D630" t="str">
            <v>C/U</v>
          </cell>
        </row>
        <row r="631">
          <cell r="B631">
            <v>4201040</v>
          </cell>
          <cell r="C631" t="str">
            <v>PAPEL DE ARTICULAR EN LIBRETA</v>
          </cell>
          <cell r="D631" t="str">
            <v>C/U</v>
          </cell>
        </row>
        <row r="632">
          <cell r="B632">
            <v>4201041</v>
          </cell>
          <cell r="C632" t="str">
            <v>PIEDRA POMEZ EN POLVO FINO</v>
          </cell>
          <cell r="D632" t="str">
            <v>BOLSA O FRASCO DE 1 LB.</v>
          </cell>
        </row>
        <row r="633">
          <cell r="B633">
            <v>4201042</v>
          </cell>
          <cell r="C633" t="str">
            <v>PUNTA P-10  30K PARA UNIDAD ULTRASONICA 3000</v>
          </cell>
          <cell r="D633" t="str">
            <v>C/U</v>
          </cell>
        </row>
        <row r="634">
          <cell r="B634">
            <v>4201043</v>
          </cell>
          <cell r="C634" t="str">
            <v>PUNTA P10 25K PARA UNIDAD ULTRASONICA MODELO 700-II C</v>
          </cell>
          <cell r="D634" t="str">
            <v>C/U</v>
          </cell>
        </row>
        <row r="635">
          <cell r="B635">
            <v>4201044</v>
          </cell>
          <cell r="C635" t="str">
            <v>RECIPIENTE METALICO #1 P/ALGODÓN TIPO M</v>
          </cell>
          <cell r="D635" t="str">
            <v>C/U</v>
          </cell>
        </row>
        <row r="636">
          <cell r="B636">
            <v>4201045</v>
          </cell>
          <cell r="C636" t="str">
            <v>TURBINA PARA PIEZA DE MANO DE ALTA VELOCIDAD</v>
          </cell>
          <cell r="D636" t="str">
            <v>C/U</v>
          </cell>
        </row>
        <row r="637">
          <cell r="B637">
            <v>4201046</v>
          </cell>
          <cell r="C637" t="str">
            <v>UNIDAD ULTRASONICA PARA HIGIENE DENTAL</v>
          </cell>
          <cell r="D637" t="str">
            <v>C/U</v>
          </cell>
        </row>
        <row r="638">
          <cell r="B638">
            <v>4201047</v>
          </cell>
          <cell r="C638" t="str">
            <v>VISOR PLASTICO TRANSPARENTE DE REPUESTO</v>
          </cell>
          <cell r="D638" t="str">
            <v>C/U</v>
          </cell>
        </row>
        <row r="639">
          <cell r="B639">
            <v>4900000</v>
          </cell>
          <cell r="C639" t="str">
            <v>MANGUERA FORRADA DE SEDA DE 1/4 X 16 PIES</v>
          </cell>
          <cell r="D639" t="str">
            <v>PIE</v>
          </cell>
        </row>
        <row r="640">
          <cell r="B640">
            <v>4990238</v>
          </cell>
          <cell r="C640" t="str">
            <v>FRASCO DE POLIETILENO  O PVC TRANSPARENTE DE 4 ONZAS</v>
          </cell>
          <cell r="D640" t="str">
            <v>C/U</v>
          </cell>
        </row>
        <row r="641">
          <cell r="B641">
            <v>4990240</v>
          </cell>
          <cell r="C641" t="str">
            <v>FOCOS PARA LAMPARA DE FOTOCURADO MODELOVISOLUX II,III,3 MM</v>
          </cell>
          <cell r="D641" t="str">
            <v>ELIM LIST OFICIAL</v>
          </cell>
        </row>
        <row r="642">
          <cell r="B642">
            <v>6050016</v>
          </cell>
          <cell r="C642" t="str">
            <v>PINZA ALLIS  18-20 CM</v>
          </cell>
          <cell r="D642" t="str">
            <v>C/U</v>
          </cell>
        </row>
        <row r="643">
          <cell r="B643">
            <v>6050070</v>
          </cell>
          <cell r="C643" t="str">
            <v>PINZA KOCHER, 13-16 CM.</v>
          </cell>
          <cell r="D643" t="str">
            <v>C/U</v>
          </cell>
        </row>
        <row r="644">
          <cell r="B644">
            <v>6050083</v>
          </cell>
          <cell r="C644" t="str">
            <v>PINZA SIN GARRA 4 3/4" PARA DISECCION ADSON</v>
          </cell>
          <cell r="D644" t="str">
            <v>C/U</v>
          </cell>
        </row>
        <row r="645">
          <cell r="B645">
            <v>6050087</v>
          </cell>
          <cell r="C645" t="str">
            <v>PINZA ADSON DE DISECCION 1X2 GARRAS 4 3/4</v>
          </cell>
          <cell r="D645" t="str">
            <v>C/U</v>
          </cell>
        </row>
        <row r="646">
          <cell r="B646">
            <v>6052009</v>
          </cell>
          <cell r="C646" t="str">
            <v>PINZA KELLY RECTA DE 13-15 cm</v>
          </cell>
          <cell r="D646" t="str">
            <v>C/U</v>
          </cell>
        </row>
        <row r="647">
          <cell r="B647">
            <v>6052017</v>
          </cell>
          <cell r="C647" t="str">
            <v>PINZA MURPHY, CURVA 6"-7"</v>
          </cell>
          <cell r="D647" t="str">
            <v>C/U</v>
          </cell>
        </row>
        <row r="648">
          <cell r="B648">
            <v>6055006</v>
          </cell>
          <cell r="C648" t="str">
            <v>PINZA BACKHAUS DE 8-11 cm.</v>
          </cell>
          <cell r="D648" t="str">
            <v>C/U</v>
          </cell>
        </row>
        <row r="649">
          <cell r="B649">
            <v>6062013</v>
          </cell>
          <cell r="C649" t="str">
            <v>SEPARADOR FARABEUF, DE 11-13 cm</v>
          </cell>
          <cell r="D649" t="str">
            <v>C/U</v>
          </cell>
        </row>
        <row r="650">
          <cell r="B650">
            <v>6070001</v>
          </cell>
          <cell r="C650" t="str">
            <v>TIJ. METZENBAUM, CURVA, DE 22-25 cm</v>
          </cell>
          <cell r="D650" t="str">
            <v>C/U</v>
          </cell>
        </row>
        <row r="651">
          <cell r="B651">
            <v>6070004</v>
          </cell>
          <cell r="C651" t="str">
            <v>TIJ.METZENBAUM, CURVA, DE 13 -15 cm</v>
          </cell>
          <cell r="D651" t="str">
            <v>C/U</v>
          </cell>
        </row>
        <row r="652">
          <cell r="B652">
            <v>6071021</v>
          </cell>
          <cell r="C652" t="str">
            <v>TIJ. QUIRURGICA, CURVA, AGUDA-AGUDA</v>
          </cell>
          <cell r="D652" t="str">
            <v>C/U</v>
          </cell>
        </row>
        <row r="653">
          <cell r="B653">
            <v>6071022</v>
          </cell>
          <cell r="C653" t="str">
            <v>TIJ. QUIRURGICA, CURVA, AGUDA-ROMA</v>
          </cell>
          <cell r="D653" t="str">
            <v>C/U</v>
          </cell>
        </row>
        <row r="654">
          <cell r="B654">
            <v>6990550</v>
          </cell>
          <cell r="C654" t="str">
            <v>ESTETOSCOPIO PEDIATRICO</v>
          </cell>
          <cell r="D654" t="str">
            <v>C/U</v>
          </cell>
        </row>
        <row r="655">
          <cell r="B655">
            <v>6990551</v>
          </cell>
          <cell r="C655" t="str">
            <v>TENSIOMETRO PEDIATRICO ANEROIDE</v>
          </cell>
          <cell r="D655" t="str">
            <v>C/U</v>
          </cell>
        </row>
        <row r="656">
          <cell r="B656">
            <v>6990576</v>
          </cell>
          <cell r="C656" t="str">
            <v>VASO PLASTICO DESCARTABLE DE 4 ONZAS</v>
          </cell>
          <cell r="D656" t="str">
            <v>C/U</v>
          </cell>
        </row>
        <row r="657">
          <cell r="B657">
            <v>7050047</v>
          </cell>
          <cell r="C657" t="str">
            <v>CATGUT SIMPLE 3/0 CON AGUJA 1/2 CIRCULO</v>
          </cell>
          <cell r="D657" t="str">
            <v>DOCENA</v>
          </cell>
        </row>
        <row r="658">
          <cell r="B658">
            <v>7011104</v>
          </cell>
          <cell r="C658" t="str">
            <v>JERINGA DESCARTABLE DE PLASTICO DE 1 CC</v>
          </cell>
          <cell r="D658" t="str">
            <v>C/U</v>
          </cell>
        </row>
        <row r="659">
          <cell r="B659">
            <v>7010091</v>
          </cell>
          <cell r="C659" t="str">
            <v>AGUJA CATETER INTRAVENOSA 14 G, LONGITUD DE CATETER DE 1 1/4" - 2" DE POLIURETANO RADIOPACO, ESTERIL, DESCARTABLE.</v>
          </cell>
          <cell r="D659" t="str">
            <v>C/U</v>
          </cell>
        </row>
        <row r="660">
          <cell r="B660">
            <v>7010092</v>
          </cell>
          <cell r="C660" t="str">
            <v>AGUJA CATETER INTRAVENOSA 16 G, LONGITUD DE CATETER DE 1 1/4" - 2", DE POLIURETANO, RADIOPACO, ESTERIL, DESCARTABLE.</v>
          </cell>
          <cell r="D660" t="str">
            <v>C/U</v>
          </cell>
        </row>
        <row r="661">
          <cell r="B661">
            <v>7010093</v>
          </cell>
          <cell r="C661" t="str">
            <v>AGUJA CATETER INTRAVENOSA 18 G, LONGITUD DE CATETER DE 1 1/4" - 2", DE POLIURETANO, RADIOPACO, ESTERIL, DESCARTABLE.</v>
          </cell>
          <cell r="D661" t="str">
            <v>C/U</v>
          </cell>
        </row>
        <row r="662">
          <cell r="B662">
            <v>7010094</v>
          </cell>
          <cell r="C662" t="str">
            <v>AGUJA CATETER INTRAVENOSA 20 G, LONGITUD DE CATETER DE 1 1/4" - 2", DE POLIURETANO, RADIOPACO, ESTERIL, DESCARTABLE.</v>
          </cell>
          <cell r="D662" t="str">
            <v>C/U</v>
          </cell>
        </row>
        <row r="663">
          <cell r="B663">
            <v>7010095</v>
          </cell>
          <cell r="C663" t="str">
            <v>AGUJA CATETER INTRAVENOSA 22 G, LONGITUD DE CATETER DE 1" - 1¼", DE POLIURETANO, RADIOPACO, ESTERIL, DESCARTABLE.</v>
          </cell>
          <cell r="D663" t="str">
            <v>C/U</v>
          </cell>
        </row>
        <row r="664">
          <cell r="B664">
            <v>7010096</v>
          </cell>
          <cell r="C664" t="str">
            <v>AGUJA CATETER INTRAVENOSA 24 G, LONGITUD DE CATETER DE 3/4" - 1", DE POLIURETANO, RADIOPACO, ESTERIL, DESCARTABLE.</v>
          </cell>
          <cell r="D664" t="str">
            <v>C/U</v>
          </cell>
        </row>
        <row r="665">
          <cell r="B665">
            <v>7010105</v>
          </cell>
          <cell r="C665" t="str">
            <v>AGUJA HIPODERMICA  21 G, 1 1/2" DE LONGITUD,  DESCARTABLE,   ESTERIL.</v>
          </cell>
          <cell r="D665" t="str">
            <v>C/U</v>
          </cell>
        </row>
        <row r="666">
          <cell r="B666">
            <v>7010109</v>
          </cell>
          <cell r="C666" t="str">
            <v>AGUJA HIPODERMICA  26 G, 1/2" DE LONGITUD, DESCARTABLE, ESTERIL</v>
          </cell>
          <cell r="D666" t="str">
            <v>C/U</v>
          </cell>
        </row>
        <row r="667">
          <cell r="B667">
            <v>7010110</v>
          </cell>
          <cell r="C667" t="str">
            <v>AGUJA HIPODERMICA 18 G</v>
          </cell>
          <cell r="D667" t="str">
            <v>C/U</v>
          </cell>
        </row>
        <row r="668">
          <cell r="B668">
            <v>7010111</v>
          </cell>
          <cell r="C668" t="str">
            <v>AGUJA HIPODERMICA 20 G</v>
          </cell>
          <cell r="D668" t="str">
            <v>C/U</v>
          </cell>
        </row>
        <row r="669">
          <cell r="B669">
            <v>7010112</v>
          </cell>
          <cell r="C669" t="str">
            <v>AGUJA HIPODERMICA 22 G</v>
          </cell>
          <cell r="D669" t="str">
            <v>C/U</v>
          </cell>
        </row>
        <row r="670">
          <cell r="B670">
            <v>7010113</v>
          </cell>
          <cell r="C670" t="str">
            <v>AGUJA HIPODERMICA 23 G</v>
          </cell>
          <cell r="D670" t="str">
            <v>C/U</v>
          </cell>
        </row>
        <row r="671">
          <cell r="B671">
            <v>7010114</v>
          </cell>
          <cell r="C671" t="str">
            <v>AGUJA HIPODERMICA 24 G</v>
          </cell>
          <cell r="D671" t="str">
            <v>C/U</v>
          </cell>
        </row>
        <row r="672">
          <cell r="B672">
            <v>7010125</v>
          </cell>
          <cell r="C672" t="str">
            <v>AGUJA PARA INFUSION INTRAVENOSA # 19 DE 3/4", CON TUBO DE EXTENSION DE 12", TIPO MARIPOSA.</v>
          </cell>
          <cell r="D672" t="str">
            <v>C/U</v>
          </cell>
        </row>
        <row r="673">
          <cell r="B673">
            <v>7010126</v>
          </cell>
          <cell r="C673" t="str">
            <v>AGUJA INFUSION INTRAVENOSA #21 DE 3/4</v>
          </cell>
          <cell r="D673" t="str">
            <v>C/U</v>
          </cell>
        </row>
        <row r="674">
          <cell r="B674">
            <v>7010127</v>
          </cell>
          <cell r="C674" t="str">
            <v>AGUJA PARA INFUSION INTRAVENOSA # 23 DE 3/4", CON TUBO DE EXTENSION DE 12", TIPO MARIPOSA.</v>
          </cell>
          <cell r="D674" t="str">
            <v>C/U</v>
          </cell>
        </row>
        <row r="675">
          <cell r="B675">
            <v>7010016</v>
          </cell>
          <cell r="C675" t="str">
            <v>AGUJA ABRAMS PARA BIOPSIA PLEURAL REUTILIZABLE</v>
          </cell>
          <cell r="D675" t="str">
            <v>C/U</v>
          </cell>
        </row>
        <row r="676">
          <cell r="B676">
            <v>7010097</v>
          </cell>
          <cell r="C676" t="str">
            <v>AGUJA CON OBTURADOR, PARED DELGADA # 18 DE 3/64", ESTERIL, DESCARTABLE, TIPO POTTS COURNAND PARA ANGIOGRAFIA CEREBRAL.</v>
          </cell>
          <cell r="D676" t="str">
            <v>SET</v>
          </cell>
        </row>
        <row r="677">
          <cell r="B677">
            <v>7010098</v>
          </cell>
          <cell r="C677" t="str">
            <v>AGUJA CON RECUBRIMIENTO ESPECIAL TAMANO 20 G  X 150 MM</v>
          </cell>
          <cell r="D677" t="str">
            <v>C/U</v>
          </cell>
        </row>
        <row r="678">
          <cell r="B678">
            <v>7010099</v>
          </cell>
          <cell r="C678" t="str">
            <v>AGUJA CON RECUBRIMIENTO ESPECIAL TAMANO 25 G X 35 MM</v>
          </cell>
          <cell r="D678" t="str">
            <v>C/U</v>
          </cell>
        </row>
        <row r="679">
          <cell r="B679">
            <v>7010100</v>
          </cell>
          <cell r="C679" t="str">
            <v>AGUJA CONCENTRICA L=25 MM; D=0.5 MM</v>
          </cell>
          <cell r="D679" t="str">
            <v>C/U</v>
          </cell>
        </row>
        <row r="680">
          <cell r="B680">
            <v>7010101</v>
          </cell>
          <cell r="C680" t="str">
            <v>AGUJA CONCENTRICA L=35 MM; D=0.5 MM</v>
          </cell>
          <cell r="D680" t="str">
            <v>C/U</v>
          </cell>
        </row>
        <row r="681">
          <cell r="B681">
            <v>7010102</v>
          </cell>
          <cell r="C681" t="str">
            <v>AGUJA CONCENTRICA L=45 MM; D=0.5 MM</v>
          </cell>
          <cell r="D681" t="str">
            <v>C/U</v>
          </cell>
        </row>
        <row r="682">
          <cell r="B682">
            <v>7010103</v>
          </cell>
          <cell r="C682" t="str">
            <v>AGUJA CONCENTRICA L=65 MM D=0.5 MM</v>
          </cell>
          <cell r="D682" t="str">
            <v>C/U</v>
          </cell>
        </row>
        <row r="683">
          <cell r="B683">
            <v>7010104</v>
          </cell>
          <cell r="C683" t="str">
            <v>AGUJA DE ASPIRADO Y BIOPSIA DE MEDULA OSEA TIPO JAMSHIDI, DE ACERO INOXIDABLE, TAMAÑO PARA ADULTO N° 11Ga X 4", REESTERILIZABLE</v>
          </cell>
          <cell r="D683" t="str">
            <v>C/U</v>
          </cell>
        </row>
        <row r="684">
          <cell r="B684">
            <v>7010025</v>
          </cell>
          <cell r="C684" t="str">
            <v>AGUJA PARA PUNCION DE MEDULA OSEA  11 G, 4" DE LONGITUD, CON MANDRIL, ESTERIL, DESCARTABLE.</v>
          </cell>
          <cell r="D684" t="str">
            <v>C/U</v>
          </cell>
        </row>
        <row r="685">
          <cell r="B685">
            <v>7010026</v>
          </cell>
          <cell r="C685" t="str">
            <v>AGUJA PARA ANESTESIA DE PLEXO 0.55 X 25, DE 24G X 1"</v>
          </cell>
          <cell r="D685" t="str">
            <v>C/U</v>
          </cell>
        </row>
        <row r="686">
          <cell r="B686">
            <v>7010027</v>
          </cell>
          <cell r="C686" t="str">
            <v>AGUJA PARA ANESTESIA DE PLEXO 0.70 X 50,DE 22 G X 2"</v>
          </cell>
          <cell r="D686" t="str">
            <v>C/U</v>
          </cell>
        </row>
        <row r="687">
          <cell r="B687">
            <v>7010028</v>
          </cell>
          <cell r="C687" t="str">
            <v>AGUJA PARA ANESTESIA DE PLEXO 0.90 X 150, DE 20G X 6"</v>
          </cell>
          <cell r="D687" t="str">
            <v>C/U</v>
          </cell>
        </row>
        <row r="688">
          <cell r="B688">
            <v>7010029</v>
          </cell>
          <cell r="C688" t="str">
            <v>AGUJA PARA BIOPSIA DE TEJIDOS BLANDOS 14 G X 6" DE LONGITUD, DESCARTABLE, ESTERIL, TIPO TRUCUT.</v>
          </cell>
          <cell r="D688" t="str">
            <v>C/U</v>
          </cell>
        </row>
        <row r="689">
          <cell r="B689">
            <v>7010030</v>
          </cell>
          <cell r="C689" t="str">
            <v>AGUJA PARA MARCAJE HOMMER DE 10 CMS. DE LONGITUD.</v>
          </cell>
          <cell r="D689" t="str">
            <v>C/U</v>
          </cell>
        </row>
        <row r="690">
          <cell r="B690">
            <v>7010031</v>
          </cell>
          <cell r="C690" t="str">
            <v>AGUJA PARA MARCAJE PREOPERATORIO DE LESIONES NO PALPABLES DE MAMA, DE DIFERENTES LONGITUDES Y CALIBRES</v>
          </cell>
          <cell r="D690" t="str">
            <v>C/U</v>
          </cell>
        </row>
        <row r="691">
          <cell r="B691">
            <v>7010032</v>
          </cell>
          <cell r="C691" t="str">
            <v>AGUJA MONOPOLAR S=2 MM; D=0.35 MM; L=35 MM</v>
          </cell>
          <cell r="D691" t="str">
            <v>C/U</v>
          </cell>
        </row>
        <row r="692">
          <cell r="B692">
            <v>7010133</v>
          </cell>
          <cell r="C692" t="str">
            <v>AGUJA PARA PUNCION ESPINAL CON MANDRIL N° 26Ga DE 3 1/2" DESCARTABLE, CON SU CATETER PARA ANESTESIA RAQUIDEA CONTINUA (APROXIMADAMENTE 100 cm )</v>
          </cell>
          <cell r="D692" t="str">
            <v>C/U</v>
          </cell>
        </row>
        <row r="693">
          <cell r="B693">
            <v>7010134</v>
          </cell>
          <cell r="C693" t="str">
            <v>AGUJA PARA PUNCION ESPINAL, PUNTA TIPO "QUINCKE", ESTERIL, DESCARTABLE, 22G Y DE 3½" - 4" DE LONGITUD</v>
          </cell>
          <cell r="D693" t="str">
            <v>C/U</v>
          </cell>
        </row>
        <row r="694">
          <cell r="B694">
            <v>7010135</v>
          </cell>
          <cell r="C694" t="str">
            <v>AGUJA PARA PUNCION ESPINAL, PUNTA TIPO "QUINCKE", ESTERIL, DESCARTABLE, 22G Y DE 4¼" - 5" DE LONGITUD</v>
          </cell>
          <cell r="D694" t="str">
            <v>C/U</v>
          </cell>
        </row>
        <row r="695">
          <cell r="B695">
            <v>7010136</v>
          </cell>
          <cell r="C695" t="str">
            <v>AGUJA PARA PUNCION ESPINAL, PUNTA TIPO "QUINCKE", ESTERIL, DESCARTABLE, 25 G Y DE 3½" - 4" DE LONGITUD</v>
          </cell>
          <cell r="D695" t="str">
            <v>C/U</v>
          </cell>
        </row>
        <row r="696">
          <cell r="B696">
            <v>7010137</v>
          </cell>
          <cell r="C696" t="str">
            <v>AGUJA PARA PUNCION ESPINAL, PUNTA TIPO "QUINCKE", ESTERIL, DESCARTABLE, 25 G Y DE 4¼" - 5" DE LONGITUD</v>
          </cell>
          <cell r="D696" t="str">
            <v>C/U</v>
          </cell>
        </row>
        <row r="697">
          <cell r="B697">
            <v>7010138</v>
          </cell>
          <cell r="C697" t="str">
            <v>AGUJA PARA PUNCION ESPINAL, PUNTA TIPO "QUINCKE", ESTERIL, DESCARTABLE, 27G Y DE 3½" - 4" DE LONGITUD</v>
          </cell>
          <cell r="D697" t="str">
            <v>C/U</v>
          </cell>
        </row>
        <row r="698">
          <cell r="B698">
            <v>7010039</v>
          </cell>
          <cell r="C698" t="str">
            <v>AGUJA PARA PUNCION ESPINAL, PUNTA TIPO "QUINCKE", ESTERIL, DESCARTABLE, 27G Y DE 4¼" - 5" DE LONGITUD</v>
          </cell>
          <cell r="D698" t="str">
            <v>C/U</v>
          </cell>
        </row>
        <row r="699">
          <cell r="B699">
            <v>7010040</v>
          </cell>
          <cell r="C699" t="str">
            <v>AGUJA PARA PUNCION ESPINAL, PUNTA TIPO "WHITACRE", ESTERIL, DESCARTABLE, 25 G Y DE 3½" - 4" DE LONGITUD</v>
          </cell>
          <cell r="D699" t="str">
            <v>C/U</v>
          </cell>
        </row>
        <row r="700">
          <cell r="B700">
            <v>7010041</v>
          </cell>
          <cell r="C700" t="str">
            <v>AGUJA PARA PUNCION ESPINAL, PUNTA TIPO "WHITACRE", ESTERIL, DESCARTABLE, 25 G Y DE 4¼" - 5" DE LONGITUD</v>
          </cell>
          <cell r="D700" t="str">
            <v>C/U</v>
          </cell>
        </row>
        <row r="701">
          <cell r="B701">
            <v>7010042</v>
          </cell>
          <cell r="C701" t="str">
            <v>AGUJAS PARA ESCLEROSIS DE VARICES (DESCARTABLES)</v>
          </cell>
          <cell r="D701" t="str">
            <v>SET</v>
          </cell>
        </row>
        <row r="702">
          <cell r="B702">
            <v>7010043</v>
          </cell>
          <cell r="C702" t="str">
            <v>AGUJA CON BISEL, TIPO HUBER, PARA PUNCION DE RESERVORIOS IMPLANTABLES</v>
          </cell>
          <cell r="D702" t="str">
            <v>C/U</v>
          </cell>
        </row>
        <row r="703">
          <cell r="B703">
            <v>7010044</v>
          </cell>
          <cell r="C703" t="str">
            <v>AGUJA PARA PUNCION ARTERIAL SIMPLE, SIN MANDRIL NI CAMISA, DE 19 G, QUE PERMITA GUIA 0.035" - 0.038"</v>
          </cell>
          <cell r="D703" t="str">
            <v>C/U</v>
          </cell>
        </row>
        <row r="704">
          <cell r="B704">
            <v>7010109</v>
          </cell>
          <cell r="C704" t="str">
            <v>AGUJA HIPODERMICA 26 G</v>
          </cell>
          <cell r="D704" t="str">
            <v>C/U</v>
          </cell>
        </row>
        <row r="705">
          <cell r="B705">
            <v>7011071</v>
          </cell>
          <cell r="C705" t="str">
            <v>CATETER ARTERIAL QUE INCLUYE AGUJA INTRODUCTORA 20 G, DE 2" DE LONGITUD, ALAMBRE GUIA Y CATETER RADIOPACO, DESCARTABLE ESTERIL.</v>
          </cell>
          <cell r="D705" t="str">
            <v>C/U</v>
          </cell>
        </row>
        <row r="706">
          <cell r="B706">
            <v>7011001</v>
          </cell>
          <cell r="C706" t="str">
            <v>CATETER DE ARTERIA PULMONAR 7 FRENCH CON CUBIERTA PLASTICA 4 LUMEN, PROXIMAL Y DISTAL CON ADAPTADOR LUER LOCK.</v>
          </cell>
          <cell r="D706" t="str">
            <v>C/U</v>
          </cell>
        </row>
        <row r="707">
          <cell r="B707">
            <v>7011002</v>
          </cell>
          <cell r="C707" t="str">
            <v>CATETER DE EXTENSION CON CONECTOR SIMPLES HEMBRA Y MACHO LUER LOCK, DE 30 - 40 CM DE LONGITUD, ESTERIL DESCARTABLE.</v>
          </cell>
          <cell r="D707" t="str">
            <v>C/U</v>
          </cell>
        </row>
        <row r="708">
          <cell r="B708">
            <v>7011003</v>
          </cell>
          <cell r="C708" t="str">
            <v>CATETER DE EXTENSION CON CONECTORES SIMPLES HEMBRA Y MACHO LUER LOCK, DE 150 CM - 200 CM DE LONGITUD, ESTERIL, DESCARTABLE.</v>
          </cell>
          <cell r="D708" t="str">
            <v>C/U</v>
          </cell>
        </row>
        <row r="709">
          <cell r="B709">
            <v>7011004</v>
          </cell>
          <cell r="C709" t="str">
            <v>CATETER DE EXTENSION Y LLAVE DE 3 VIAS</v>
          </cell>
          <cell r="D709" t="str">
            <v>C/U</v>
          </cell>
        </row>
        <row r="710">
          <cell r="B710">
            <v>7011005</v>
          </cell>
          <cell r="C710" t="str">
            <v>CATETER IMPLANTABLE PARA QUIMIOTERAPIA INTRA-ARTERIAL # 6.5</v>
          </cell>
          <cell r="D710" t="str">
            <v>C/U</v>
          </cell>
        </row>
        <row r="711">
          <cell r="B711">
            <v>7011006</v>
          </cell>
          <cell r="C711" t="str">
            <v>CATETER IMPLANTABLE PARA QUIMIOTERAPIA INTRA-VENOSO #8.5</v>
          </cell>
          <cell r="D711" t="str">
            <v>C/U</v>
          </cell>
        </row>
        <row r="712">
          <cell r="B712">
            <v>7011007</v>
          </cell>
          <cell r="C712" t="str">
            <v>CATETER PARA ARTERIA UMBILICAL, CON LINEA CENTINELA RADIOPACA, NUMERADO EN CENTIMETROS, LONGITUD DE 14" - 15", DIAMETRO 3.5 FRENCH</v>
          </cell>
          <cell r="D712" t="str">
            <v>C/U</v>
          </cell>
        </row>
        <row r="713">
          <cell r="B713">
            <v>7011008</v>
          </cell>
          <cell r="C713" t="str">
            <v>CATETER PARA ARTERIA UMBILICAL, CON LINEA CENTINELA RADIOPACA, NUMERADO EN CENTIMETROS, LONGITUD DE 14" - 15", DIAMETRO 5 FRENCH</v>
          </cell>
          <cell r="D713" t="str">
            <v>C/U</v>
          </cell>
        </row>
        <row r="714">
          <cell r="B714">
            <v>7011009</v>
          </cell>
          <cell r="C714" t="str">
            <v>CATETER VENOSO  CENTRAL DE DOS VIAS, PARA INTRODUCCION POR VENA PERIFERICA, 27" - 30" DE LONGITUD, PERCUTANEO, CON MARCADORES RADIOPACOS, GRADUADO, CON DISPOSITIVO DE FIJACIÓN A PIEL, PARA INTRODUCCION POR TECNICA SELDINGER.</v>
          </cell>
          <cell r="D714" t="str">
            <v>C/U</v>
          </cell>
        </row>
        <row r="715">
          <cell r="B715">
            <v>7011010</v>
          </cell>
          <cell r="C715" t="str">
            <v>CATETER VENOSO 7 FR. DE 3 VIAS, 20 - 30 CM DE LONGITUD, CON UNA VIA DE 16 G y DOS VIAS 18 G, CON INTRODUCTOR, AGUJA,  DILATADOR, GUIA METALICA PUNTA EN "J" Y DISPOSITIVOS DE FIJACION A PIEL, ESTERIL.</v>
          </cell>
          <cell r="D715" t="str">
            <v>SET</v>
          </cell>
        </row>
        <row r="716">
          <cell r="B716">
            <v>7011011</v>
          </cell>
          <cell r="C716" t="str">
            <v>CATETER VENOSO CENTRAL DE 2 VIAS, DIAMETRO 7 FRENCH, 20 - 30 CM DE LONGITUD, CON INTRODUCTOR, AGUJA, DILATADOR, GUIA METALICA PUNTA EN "J", Y DISPOSITIVOS DE FIJACION A PIEL,  ESTERIL.</v>
          </cell>
          <cell r="D716" t="str">
            <v>C/U</v>
          </cell>
        </row>
        <row r="717">
          <cell r="B717">
            <v>7011012</v>
          </cell>
          <cell r="C717" t="str">
            <v>CATETER VENOSO CENTRAL DE 2 VIAS, DIAMETRO 8 FRENCH, 20 - 30 CM DE LONGITUD, CON INTRODUCTOR, AGUJA, DILATADOR, GUIA METALICA PUNTA EN "J" Y DISPOSITIVOS DE FIJACION A PIEL, ESTERIL.</v>
          </cell>
          <cell r="D717" t="str">
            <v>C/U</v>
          </cell>
        </row>
        <row r="718">
          <cell r="B718">
            <v>7011013</v>
          </cell>
          <cell r="C718" t="str">
            <v>CATETER VENOSO CENTRAL DE UNA VIA, DE 20 - 30 CM DE LONGITUD, 5 - 6 FRENCH DE DIAMETRO, CON INTRODUCTOR, AGUJA, DILATADOR, GUIA METALICA PUNTA EN "J" Y DISPOSITIVOS DE FIJACION A PIEL, ESTERIL.</v>
          </cell>
          <cell r="D718" t="str">
            <v>C/U</v>
          </cell>
        </row>
        <row r="719">
          <cell r="B719">
            <v>7011079</v>
          </cell>
          <cell r="C719" t="str">
            <v>CATETER PARA SUCCION, TRANSPARENTE, CON REGULACION DE VACIO, DESCARTABLE, 36 - 42 CM DE LONGITUD, DIAMETRO 8 FRENCH, SUCCION EN LA PUNTA Y 2 VENTANAS LATERALES, ESTERIL</v>
          </cell>
          <cell r="D719" t="str">
            <v>C/U</v>
          </cell>
        </row>
        <row r="720">
          <cell r="B720">
            <v>7011080</v>
          </cell>
          <cell r="C720" t="str">
            <v>CATETER PARA SUCCION, TRANSPARENTE, CON REGULACION DE VACIO, DESCARTABLE, 38 CM DE LONGITUD, DIAMETRO 6 FRENCH, ESTERIL</v>
          </cell>
          <cell r="D720" t="str">
            <v>C/U</v>
          </cell>
        </row>
        <row r="721">
          <cell r="B721">
            <v>7011081</v>
          </cell>
          <cell r="C721" t="str">
            <v>CATETER PARA SUCCION, TRANSPARENTE, CON REGULACION DE VACIO, DESCARTABLE, 54 - 60 CM DE LONGITUD, DIAMETRO 14 FRENCH, ESTERIL, SUCCION EN LA PUNTA Y 2 VENTANAS LATERALES</v>
          </cell>
          <cell r="D721" t="str">
            <v>C/U</v>
          </cell>
        </row>
        <row r="722">
          <cell r="B722">
            <v>7011083</v>
          </cell>
          <cell r="C722" t="str">
            <v>CATETER RADIOPACO, DE 1.3 MM X 80 MM DE LONGITUD, CON AGUJA TOUHY 18 G X 31/4", DESCARTABLE, ESTERIL</v>
          </cell>
          <cell r="D722" t="str">
            <v>SET</v>
          </cell>
        </row>
        <row r="723">
          <cell r="B723">
            <v>7011082</v>
          </cell>
          <cell r="C723" t="str">
            <v xml:space="preserve">CATETER PARA TROMBOLISIS, CALIBRE 5 FRENCH, COMPATIBLE CON GUIA 0.035", DE 100 - 110 cm DE LONGITUD, CON MARCADORES RADIOPACOS  </v>
          </cell>
          <cell r="D723" t="str">
            <v>C/U</v>
          </cell>
        </row>
        <row r="724">
          <cell r="B724">
            <v>7011106</v>
          </cell>
          <cell r="C724" t="str">
            <v>JERINGA DE 1 mL, CON AGUJA DE 26 - 27 G X 3/8 - 1/2" DE LARGO, ESTERIL DESCARTABLE</v>
          </cell>
          <cell r="D724" t="str">
            <v>C/U</v>
          </cell>
        </row>
        <row r="725">
          <cell r="B725">
            <v>7011111</v>
          </cell>
          <cell r="C725" t="str">
            <v>JERINGA 1ml. AGUJA 28 G X1/2"</v>
          </cell>
          <cell r="D725" t="str">
            <v>C/U</v>
          </cell>
        </row>
        <row r="726">
          <cell r="B726">
            <v>7011112</v>
          </cell>
          <cell r="C726" t="str">
            <v>JERINGA 1ml. AGUJA 27 G X1/2"</v>
          </cell>
          <cell r="D726" t="str">
            <v>C/U</v>
          </cell>
        </row>
        <row r="727">
          <cell r="B727">
            <v>7011101</v>
          </cell>
          <cell r="C727" t="str">
            <v>JERINGA 3 ml. AGUJA 22 G X 1 1/2 "</v>
          </cell>
          <cell r="D727" t="str">
            <v>C/U</v>
          </cell>
        </row>
        <row r="728">
          <cell r="B728">
            <v>7011103</v>
          </cell>
          <cell r="C728" t="str">
            <v>JERINGA 5 ml. AGUJA 22 G X 1 1/2 "</v>
          </cell>
          <cell r="D728" t="str">
            <v>C/U</v>
          </cell>
        </row>
        <row r="729">
          <cell r="B729">
            <v>7011099</v>
          </cell>
          <cell r="C729" t="str">
            <v>JERINGA 10 ml. AGUJA 22 GX 1 1/2</v>
          </cell>
          <cell r="D729" t="str">
            <v>C/U</v>
          </cell>
        </row>
        <row r="730">
          <cell r="B730">
            <v>7011100</v>
          </cell>
          <cell r="C730" t="str">
            <v>JERINGA 20 ml. DESCARTABLE ESTERIL</v>
          </cell>
          <cell r="D730" t="str">
            <v>C/U</v>
          </cell>
        </row>
        <row r="731">
          <cell r="B731">
            <v>7011026</v>
          </cell>
          <cell r="C731" t="str">
            <v>JERINGA CON ADAPTADOR LUER LOCK,  DE 30 mL, DESCARTABLE, ESTERIL.</v>
          </cell>
          <cell r="D731" t="str">
            <v>C/U</v>
          </cell>
        </row>
        <row r="732">
          <cell r="B732">
            <v>7011098</v>
          </cell>
          <cell r="C732" t="str">
            <v>JERINGA CATETER DE 50 - 60 mL DESCARTABLE, ESTERIL</v>
          </cell>
          <cell r="D732" t="str">
            <v>C/U</v>
          </cell>
        </row>
        <row r="733">
          <cell r="B733">
            <v>7011028</v>
          </cell>
          <cell r="C733" t="str">
            <v>JERINGA TRANSPARENTE DE 50 - 60 mL PARA BOMBA PERFUSORA, ANTIREFLUJO, SIN AGUJA, CON ADAPTADOR LUER LOCK, DESCARTABLE, ESTERIL</v>
          </cell>
          <cell r="D733" t="str">
            <v>C/U</v>
          </cell>
        </row>
        <row r="734">
          <cell r="B734">
            <v>7011029</v>
          </cell>
          <cell r="C734" t="str">
            <v>JERINGA NEGRA DE 50 - 60 mL PARA BOMBA PERFUSORA. ANTIREFLUJO, SIN AGUJA, CON ADAPTADOR LUER LOCK, DESCARTABLE, ESTERIL</v>
          </cell>
          <cell r="D734" t="str">
            <v>C/U</v>
          </cell>
        </row>
        <row r="735">
          <cell r="B735">
            <v>7011030</v>
          </cell>
          <cell r="C735" t="str">
            <v>JERINGA DE 3 Ml CON HEPARINA DE LITIO, SIN AGUJA, PARA TOMA DE GASES ARTERIALES</v>
          </cell>
          <cell r="D735" t="str">
            <v>C/U</v>
          </cell>
        </row>
        <row r="736">
          <cell r="B736">
            <v>7011031</v>
          </cell>
          <cell r="C736" t="str">
            <v>ADAPTADOR MACHO PARA AGUJA HIPODERMICA</v>
          </cell>
          <cell r="D736" t="str">
            <v>C/U</v>
          </cell>
        </row>
        <row r="737">
          <cell r="B737">
            <v>7011032</v>
          </cell>
          <cell r="C737" t="str">
            <v>DESCARTABLE COLOR NEGRO PARA BOMBA DE INFUSION VOLUMETRICA, CON ADAPTADOR LUER LOCK, EMPAQUE INDIVIDUAL ESTERIL</v>
          </cell>
          <cell r="D737" t="str">
            <v>C/U</v>
          </cell>
        </row>
        <row r="738">
          <cell r="B738">
            <v>7011033</v>
          </cell>
          <cell r="C738" t="str">
            <v>DESCARTABLE TRANSPARENTE PARA BOMBA DE INFUSION VOLUMETRICA, CON ADAPTADOR LUER LOCK, EMPAQUE INDIVIDUAL ESTERIL</v>
          </cell>
          <cell r="D738" t="str">
            <v>C/U</v>
          </cell>
        </row>
        <row r="739">
          <cell r="B739">
            <v>7011091</v>
          </cell>
          <cell r="C739" t="str">
            <v>DESCARTABLE PARA VENOCLISIS</v>
          </cell>
          <cell r="D739" t="str">
            <v>C/U</v>
          </cell>
        </row>
        <row r="740">
          <cell r="B740">
            <v>7011035</v>
          </cell>
          <cell r="C740" t="str">
            <v>DESCARTABLE PARA BOMBA DE DOLOR DE TIPO PCA, COMPATIBLE CON MARCA Y MODELO DE EQUIPO INSTITUCIONAL</v>
          </cell>
          <cell r="D740" t="str">
            <v>C/U</v>
          </cell>
        </row>
        <row r="741">
          <cell r="B741">
            <v>7011036</v>
          </cell>
          <cell r="C741" t="str">
            <v>EXTENSOR NEGRO, PARA JERINGA DE BOMBA PERFUSORA, CON ADAPTADOR LUER LOCK, LONGITUD DE 140 - 160 cm, DESCARTABLE, ESTERIL</v>
          </cell>
          <cell r="D741" t="str">
            <v>C/U</v>
          </cell>
        </row>
        <row r="742">
          <cell r="B742">
            <v>7011096</v>
          </cell>
          <cell r="C742" t="str">
            <v>INFUSOR INTRAVENOSO, GRADUADO, CON MICROGOTERO DE 0 - 100 ML., ESTERIL, DESCARTABLE.</v>
          </cell>
          <cell r="D742" t="str">
            <v>SET</v>
          </cell>
        </row>
        <row r="743">
          <cell r="B743">
            <v>7011115</v>
          </cell>
          <cell r="C743" t="str">
            <v>LLAVE  DE 3 VIAS CON  2 ADAPTADORES HEMBRA  LUER LOCK Y UNO MACHO SIMPLE, DESCARTABLE  ESTERIL</v>
          </cell>
          <cell r="D743" t="str">
            <v>C/U</v>
          </cell>
        </row>
        <row r="744">
          <cell r="B744">
            <v>7011116</v>
          </cell>
          <cell r="C744" t="str">
            <v>SET DE INFUSION CON PUERTO EN "Y", Y AGUJA TIPO MARIPOSA DE 19 G. X 3/4" DE LONGITUD, EN ANGULO DE 90 GRADOS CON EXTENSION DE 8".</v>
          </cell>
          <cell r="D744" t="str">
            <v>SET</v>
          </cell>
        </row>
        <row r="745">
          <cell r="B745">
            <v>7011117</v>
          </cell>
          <cell r="C745" t="str">
            <v>SET DE INFUSION CON PUERTO EN "Y", Y AGUJA TIPO MARIPOSA DE 20 G. X 3/4" DE LONGITUD, EN ANGULO DE 90 GRADOS CON EXTENSION DE 8".</v>
          </cell>
          <cell r="D745" t="str">
            <v>SET</v>
          </cell>
        </row>
        <row r="746">
          <cell r="B746">
            <v>7011121</v>
          </cell>
          <cell r="C746" t="str">
            <v>SELLO DE HEPARINA</v>
          </cell>
          <cell r="D746" t="str">
            <v>C/U</v>
          </cell>
        </row>
        <row r="747">
          <cell r="B747">
            <v>7011042</v>
          </cell>
          <cell r="C747" t="str">
            <v>SISTEMA DE DRENAJE CERRADO DE SILICON PARA HERIDAS, RESERVORIO DE 50 - 100 ML, QUE INCLUYA TROCAR DE INTRODUCCION</v>
          </cell>
          <cell r="D747" t="str">
            <v>C/U.</v>
          </cell>
        </row>
        <row r="748">
          <cell r="B748">
            <v>7011122</v>
          </cell>
          <cell r="C748" t="str">
            <v>TUBO CONECTOR DE PLASTICO, UNIVERSAL, PARA VARIAS  MEDIDAS DE CATETER, TIPO COCODRILO.</v>
          </cell>
          <cell r="D748" t="str">
            <v>C/U</v>
          </cell>
        </row>
        <row r="749">
          <cell r="B749">
            <v>7011044</v>
          </cell>
          <cell r="C749" t="str">
            <v>UNIDAD DE TRANSFERENCIA PARA LIQUIDOS ESTERILES</v>
          </cell>
          <cell r="D749" t="str">
            <v>C/U</v>
          </cell>
        </row>
        <row r="750">
          <cell r="B750">
            <v>7011045</v>
          </cell>
          <cell r="C750" t="str">
            <v>EXTENSOR TRANSPARENTE, PARA JERINGA DE BOMBA PERFUSORA, CON ADAPTADOR LUER LOCK, LONGITUD DE 140 - 160 cm, DESCARTABLE, ESTERIL</v>
          </cell>
          <cell r="D750" t="str">
            <v>C/U</v>
          </cell>
        </row>
        <row r="751">
          <cell r="B751">
            <v>7011113</v>
          </cell>
          <cell r="C751" t="str">
            <v>JERINGA TRANSPARENTE DE 20 - 30 mL PARA BOMBA PERFUSORA, ANTIREFLUJO, SIN AGUJA, CON ADAPTADOR LUER LOCK, DESCARTABLE, ESTERIL</v>
          </cell>
          <cell r="D751" t="str">
            <v>C/U</v>
          </cell>
        </row>
        <row r="752">
          <cell r="B752">
            <v>7011091</v>
          </cell>
          <cell r="C752" t="str">
            <v>DESCARTABLE PARA VENOCLISIS</v>
          </cell>
          <cell r="D752" t="str">
            <v>C/U</v>
          </cell>
        </row>
        <row r="753">
          <cell r="B753">
            <v>7011101</v>
          </cell>
          <cell r="C753" t="str">
            <v>JERINGA 3 ml. AGUJA 22 G X 1 1/2 "</v>
          </cell>
          <cell r="D753" t="str">
            <v>C/U</v>
          </cell>
        </row>
        <row r="754">
          <cell r="B754">
            <v>7012000</v>
          </cell>
          <cell r="C754" t="str">
            <v>CATETER TORAXICO # 10</v>
          </cell>
          <cell r="D754" t="str">
            <v>C/U</v>
          </cell>
        </row>
        <row r="755">
          <cell r="B755">
            <v>7012095</v>
          </cell>
          <cell r="C755" t="str">
            <v>CATETER TORAXICO # 12</v>
          </cell>
          <cell r="D755" t="str">
            <v>C/U</v>
          </cell>
        </row>
        <row r="756">
          <cell r="B756">
            <v>7012002</v>
          </cell>
          <cell r="C756" t="str">
            <v>CATETER TORAXICO # 14</v>
          </cell>
          <cell r="D756" t="str">
            <v>C/U</v>
          </cell>
        </row>
        <row r="757">
          <cell r="B757">
            <v>7012003</v>
          </cell>
          <cell r="C757" t="str">
            <v>CATETER TORAXICO RECTO, # 28, DESCARTABLE. ESTERIL</v>
          </cell>
          <cell r="D757" t="str">
            <v>C/U</v>
          </cell>
        </row>
        <row r="758">
          <cell r="B758">
            <v>7012098</v>
          </cell>
          <cell r="C758" t="str">
            <v>CATETER TORAXICO RECTO, # 32, DESCARTABLE ESTERIL</v>
          </cell>
          <cell r="D758" t="str">
            <v>C/U</v>
          </cell>
        </row>
        <row r="759">
          <cell r="B759">
            <v>7012099</v>
          </cell>
          <cell r="C759" t="str">
            <v>CATETER TORAXICO RECTO, # 36, DESCARTABLE ESTERIL</v>
          </cell>
          <cell r="D759" t="str">
            <v>C/U</v>
          </cell>
        </row>
        <row r="760">
          <cell r="B760">
            <v>7012006</v>
          </cell>
          <cell r="C760" t="str">
            <v>DRENO BLANDO DE HULE DE 18" X 1", EN EMPAQUE INDIVIDUAL.</v>
          </cell>
          <cell r="D760" t="str">
            <v>C/U</v>
          </cell>
        </row>
        <row r="761">
          <cell r="B761">
            <v>7012007</v>
          </cell>
          <cell r="C761" t="str">
            <v>DRENO BLANDO DE HULE DE 18" X 1/2", EN EMPAQUE INDIVIDUAL.</v>
          </cell>
          <cell r="D761" t="str">
            <v>C/U</v>
          </cell>
        </row>
        <row r="762">
          <cell r="B762">
            <v>7012008</v>
          </cell>
          <cell r="C762" t="str">
            <v>DRENO BLANDO DE HULE DE 18" X 1/4", EN EMPAQUE INDIVIDUAL.</v>
          </cell>
          <cell r="D762" t="str">
            <v>C/U</v>
          </cell>
        </row>
        <row r="763">
          <cell r="B763">
            <v>7012009</v>
          </cell>
          <cell r="C763" t="str">
            <v>DRENO BLANDO DE HULE DE 18" X 3/8", EN EMPAQUE INDIVIDUAL.</v>
          </cell>
          <cell r="D763" t="str">
            <v>C/U</v>
          </cell>
        </row>
        <row r="764">
          <cell r="B764">
            <v>7012104</v>
          </cell>
          <cell r="C764" t="str">
            <v>DRENO BLANDO DE HULE DE 18" X 5/8", EN EMPAQUE INDIVIDUAL ESTERIL.</v>
          </cell>
          <cell r="D764" t="str">
            <v>C/U</v>
          </cell>
        </row>
        <row r="765">
          <cell r="B765">
            <v>7012090</v>
          </cell>
          <cell r="C765" t="str">
            <v>BOLSA DESCARTABLE GRADUADA A 100 mL, PARA RECOLECTAR ORINA EN RECIEN NACIDOS.</v>
          </cell>
          <cell r="D765" t="str">
            <v>C/U</v>
          </cell>
        </row>
        <row r="766">
          <cell r="B766">
            <v>7012091</v>
          </cell>
          <cell r="C766" t="str">
            <v>BOLSA DRENAJE URINARIO 500-600 ML</v>
          </cell>
          <cell r="D766" t="str">
            <v>C/U</v>
          </cell>
        </row>
        <row r="767">
          <cell r="B767">
            <v>7012093</v>
          </cell>
          <cell r="C767" t="str">
            <v>BOLSA RECOLECTORA DE ORINA.LATEX # 16. PARA USO EN PACIENTE PARAPLEJICO</v>
          </cell>
          <cell r="D767" t="str">
            <v>SET</v>
          </cell>
        </row>
        <row r="768">
          <cell r="B768">
            <v>7012014</v>
          </cell>
          <cell r="C768" t="str">
            <v>FRASCO RECOLECTOR DE PLASTICO PARA SUCCION CON BRACKET Y TAPADERA DE 1300 CC, CON TRAMPA DE SOBREFLUJO</v>
          </cell>
          <cell r="D768" t="str">
            <v>C/U</v>
          </cell>
        </row>
        <row r="769">
          <cell r="B769">
            <v>7012015</v>
          </cell>
          <cell r="C769" t="str">
            <v>HEMOSUCCION CERRADA 400 CC. CON  AGUJA 6 1/4"</v>
          </cell>
          <cell r="D769" t="str">
            <v>SET</v>
          </cell>
        </row>
        <row r="770">
          <cell r="B770">
            <v>7012107</v>
          </cell>
          <cell r="C770" t="str">
            <v>SISTEMA CERRADO DE DRENAJE TORAXICO, ESTERIL, CON ESCALA MEDIDORA DE PRESION Y DESCARTABLE, 3 CAMARAS, CAPACIDAD DE LA BOLSA DE 1000 - 2500 CC.</v>
          </cell>
          <cell r="D770" t="str">
            <v>C/U</v>
          </cell>
        </row>
        <row r="771">
          <cell r="B771">
            <v>7012017</v>
          </cell>
          <cell r="C771" t="str">
            <v>SISTEMA CERRADO PARA DRENAJE URINARIO CON CAJA CUENTA GOTAS DE 500 - 600 ML, VALVULA ANTIRREFLUJO CON BOLSA RECOLECTORA CON DRENAJE AL EXTERIOR CON CAPACIDAD DE 1500 - 2000 ML CON SISTEMA DE BLOQUEO Y FILTRO BACTERIANO.</v>
          </cell>
          <cell r="D771" t="str">
            <v>C/U</v>
          </cell>
        </row>
        <row r="772">
          <cell r="B772">
            <v>7012111</v>
          </cell>
          <cell r="C772" t="str">
            <v>SISTEMA DE DRENAJE URINARIO CERRADO CON VALVULA DE ANTIRREFLUJO, CON CAPACIDAD DE 1500 - 1600 ML., FILTRO BACTERIOLOGICO, CON TUBO DE CONEXION DE PVC DE 3/8 DE DIAMETRO INTERNO, CON TUBO PARA TOMA DE MUESTRAS Y CLAN INTERRUPTOR. ESTERIL.</v>
          </cell>
          <cell r="D772" t="str">
            <v>SET</v>
          </cell>
        </row>
        <row r="773">
          <cell r="B773">
            <v>7012019</v>
          </cell>
          <cell r="C773" t="str">
            <v>BOLSA PARA DRENO, CAPACIDAD DE 200 mL, CON ADHESIVO A PIEL Y VALVULA DE VACIADO, DESCARTABLE, ESTERIL</v>
          </cell>
          <cell r="D773" t="str">
            <v>C/U</v>
          </cell>
        </row>
        <row r="774">
          <cell r="B774">
            <v>7012020</v>
          </cell>
          <cell r="C774" t="str">
            <v>SISTEMA DE DRENAJE CERRADO DE SILICON, REDONDO, ACANALADO, PARA USO VASCULAR # 15 RESERVORIO DE 100 ML</v>
          </cell>
          <cell r="D774" t="str">
            <v>C/U</v>
          </cell>
        </row>
        <row r="775">
          <cell r="B775">
            <v>7012021</v>
          </cell>
          <cell r="C775" t="str">
            <v>SISTEMA DE DRENAJE CERRADO DE SILICON, REDONDO, ACANALADO, PARA USO VASCULAR # 19 RESERVORIO DE 100 ML</v>
          </cell>
          <cell r="D775" t="str">
            <v>C/U</v>
          </cell>
        </row>
        <row r="776">
          <cell r="B776">
            <v>7012022</v>
          </cell>
          <cell r="C776" t="str">
            <v>SONDA DE ALIMENTACION # 10, ESTERIL</v>
          </cell>
          <cell r="D776" t="str">
            <v>C/U</v>
          </cell>
        </row>
        <row r="777">
          <cell r="B777">
            <v>7012127</v>
          </cell>
          <cell r="C777" t="str">
            <v>SONDA DE HULE TIPO PEZZER, # 10</v>
          </cell>
          <cell r="D777" t="str">
            <v>C/U</v>
          </cell>
        </row>
        <row r="778">
          <cell r="B778">
            <v>7012128</v>
          </cell>
          <cell r="C778" t="str">
            <v>SONDA DE HULE TIPO PEZZER, # 12</v>
          </cell>
          <cell r="D778" t="str">
            <v>C/U</v>
          </cell>
        </row>
        <row r="779">
          <cell r="B779">
            <v>7012025</v>
          </cell>
          <cell r="C779" t="str">
            <v>SONDA EN "T" # 12, DE SILICONIZADA.</v>
          </cell>
          <cell r="D779" t="str">
            <v>C/U</v>
          </cell>
        </row>
        <row r="780">
          <cell r="B780">
            <v>7012026</v>
          </cell>
          <cell r="C780" t="str">
            <v>SONDA EN "T" # 14, DE SILICONIZADA.</v>
          </cell>
          <cell r="D780" t="str">
            <v>C/U</v>
          </cell>
        </row>
        <row r="781">
          <cell r="B781">
            <v>7012132</v>
          </cell>
          <cell r="C781" t="str">
            <v>SONDA EN "T" # 16, DE SILICONIZADA.</v>
          </cell>
          <cell r="D781" t="str">
            <v>C/U</v>
          </cell>
        </row>
        <row r="782">
          <cell r="B782">
            <v>7012028</v>
          </cell>
          <cell r="C782" t="str">
            <v>SONDA EN "T" # 18, DE  SILICONIZADA.</v>
          </cell>
          <cell r="D782" t="str">
            <v>C/U</v>
          </cell>
        </row>
        <row r="783">
          <cell r="B783">
            <v>7012029</v>
          </cell>
          <cell r="C783" t="str">
            <v>SONDA EN "T" # 20, DE SILICONIZADA.</v>
          </cell>
          <cell r="D783" t="str">
            <v>C/U</v>
          </cell>
        </row>
        <row r="784">
          <cell r="B784">
            <v>7012135</v>
          </cell>
          <cell r="C784" t="str">
            <v>SONDA FOLEY # 10, BALON 3 - 5 mL., SILICONIZADA.</v>
          </cell>
          <cell r="D784" t="str">
            <v>C/U</v>
          </cell>
        </row>
        <row r="785">
          <cell r="B785">
            <v>7012031</v>
          </cell>
          <cell r="C785" t="str">
            <v>SONDA FOLEY # 12, BALON 5 - 15 mL., SILICONIZADA.</v>
          </cell>
          <cell r="D785" t="str">
            <v>C/U</v>
          </cell>
        </row>
        <row r="786">
          <cell r="B786">
            <v>7012137</v>
          </cell>
          <cell r="C786" t="str">
            <v>SONDA FOLEY # 14, BALON 15 - 30 mL., SILICONIZADA.</v>
          </cell>
          <cell r="D786" t="str">
            <v>C/U</v>
          </cell>
        </row>
        <row r="787">
          <cell r="B787">
            <v>7012138</v>
          </cell>
          <cell r="C787" t="str">
            <v>SONDA FOLEY # 16, BALON 15 - 30 mL., SILICONIZADA.</v>
          </cell>
          <cell r="D787" t="str">
            <v>C/U</v>
          </cell>
        </row>
        <row r="788">
          <cell r="B788">
            <v>7012139</v>
          </cell>
          <cell r="C788" t="str">
            <v>SONDA FOLEY # 16, DE 3 VIAS, BALON 14 - 30 mL. SILICONIZADA</v>
          </cell>
          <cell r="D788" t="str">
            <v>C/U</v>
          </cell>
        </row>
        <row r="789">
          <cell r="B789">
            <v>7012140</v>
          </cell>
          <cell r="C789" t="str">
            <v>SONDA FOLEY # 18, BALON 15 - 30 mL., SILICONIZADA.</v>
          </cell>
          <cell r="D789" t="str">
            <v>C/U</v>
          </cell>
        </row>
        <row r="790">
          <cell r="B790">
            <v>7012141</v>
          </cell>
          <cell r="C790" t="str">
            <v>SONDA FOLEY # 20, BALON 15 - 30 mL., SILICONIZADA.</v>
          </cell>
          <cell r="D790" t="str">
            <v>C/U</v>
          </cell>
        </row>
        <row r="791">
          <cell r="B791">
            <v>7012142</v>
          </cell>
          <cell r="C791" t="str">
            <v>SONDA FOLEY # 20, BALON 75mL, SILICONIZADA</v>
          </cell>
          <cell r="D791" t="str">
            <v>C/U</v>
          </cell>
        </row>
        <row r="792">
          <cell r="B792">
            <v>7012143</v>
          </cell>
          <cell r="C792" t="str">
            <v>SONDA FOLEY # 22, BALON 15 - 30 mL., SILICONIZADA.</v>
          </cell>
          <cell r="D792" t="str">
            <v>C/U</v>
          </cell>
        </row>
        <row r="793">
          <cell r="B793">
            <v>7012144</v>
          </cell>
          <cell r="C793" t="str">
            <v>SONDA FOLEY # 22, DE 3 VIAS, BALON 14 - 30 mL. SILICONIZADA</v>
          </cell>
          <cell r="D793" t="str">
            <v>C/U</v>
          </cell>
        </row>
        <row r="794">
          <cell r="B794">
            <v>7012145</v>
          </cell>
          <cell r="C794" t="str">
            <v>SONDA FOLEY # 24, BALON 15 - 30 mL., SILICONIZADA.</v>
          </cell>
          <cell r="D794" t="str">
            <v>C/U</v>
          </cell>
        </row>
        <row r="795">
          <cell r="B795">
            <v>7012146</v>
          </cell>
          <cell r="C795" t="str">
            <v>SONDA FOLEY # 24, BALON 75mL. SILICONIZADA</v>
          </cell>
          <cell r="D795" t="str">
            <v>C/U</v>
          </cell>
        </row>
        <row r="796">
          <cell r="B796">
            <v>7012147</v>
          </cell>
          <cell r="C796" t="str">
            <v>SONDA FOLEY # 24, DE 3 VIAS, BALON 15 - 30 mL.</v>
          </cell>
          <cell r="D796" t="str">
            <v>C/U</v>
          </cell>
        </row>
        <row r="797">
          <cell r="B797">
            <v>7012148</v>
          </cell>
          <cell r="C797" t="str">
            <v>SONDA FOLEY # 26, BALON 15 - 30 mL., SILICONIZADA.</v>
          </cell>
          <cell r="D797" t="str">
            <v>C/U</v>
          </cell>
        </row>
        <row r="798">
          <cell r="B798">
            <v>7012044</v>
          </cell>
          <cell r="C798" t="str">
            <v>SONDA FOLEY # 26, BALON 75mL. SILICONIZADA</v>
          </cell>
          <cell r="D798" t="str">
            <v>C/U</v>
          </cell>
        </row>
        <row r="799">
          <cell r="B799">
            <v>7012153</v>
          </cell>
          <cell r="C799" t="str">
            <v>SONDA FOLEY #22,BALON 75mL. SILICONIZADA</v>
          </cell>
          <cell r="D799" t="str">
            <v>C/U</v>
          </cell>
        </row>
        <row r="800">
          <cell r="B800">
            <v>7012046</v>
          </cell>
          <cell r="C800" t="str">
            <v>SONDA NASOGASTRICA DE REFLUJO DE 2 VIAS, TRANSPARENTE, PARA RECIEN NACIDOS.</v>
          </cell>
          <cell r="D800" t="str">
            <v>C/U</v>
          </cell>
        </row>
        <row r="801">
          <cell r="B801">
            <v>7012047</v>
          </cell>
          <cell r="C801" t="str">
            <v>SONDA NASOGASTRICA LEVIN # 16, DESCARTABLE, ESTERIL</v>
          </cell>
          <cell r="D801" t="str">
            <v>C/U</v>
          </cell>
        </row>
        <row r="802">
          <cell r="B802">
            <v>7012157</v>
          </cell>
          <cell r="C802" t="str">
            <v>SONDA NASOGASTRICA LEVIN # 18, DESCARTABLE, ESTERIL</v>
          </cell>
          <cell r="D802" t="str">
            <v>C/U</v>
          </cell>
        </row>
        <row r="803">
          <cell r="B803">
            <v>7012160</v>
          </cell>
          <cell r="C803" t="str">
            <v>SONDA NASOYEYUNAL DE LARGA DURACION, 10 FRENCH, CON PUNTA DE TUNGSTENO, GUIA METALICA, ESTERIL, PARA COLOCACION MANUAL</v>
          </cell>
          <cell r="D803" t="str">
            <v>C/U</v>
          </cell>
        </row>
        <row r="804">
          <cell r="B804">
            <v>7012161</v>
          </cell>
          <cell r="C804" t="str">
            <v>SONDA NASOYEYUNAL DE LARGA DURACION, 12 FRENCH, CON PUNTA DE TUNGSTENO, GUIA METALICA, ESTERIL, PARA COLOCACION MANUAL</v>
          </cell>
          <cell r="D804" t="str">
            <v>C/U</v>
          </cell>
        </row>
        <row r="805">
          <cell r="B805">
            <v>7012051</v>
          </cell>
          <cell r="C805" t="str">
            <v>SONDA NASOYEYUNAL DE LARGA DURACION, 8 FRENCH, CON PUNTA DE TUNGSTENO, GUIA METALICA, ESTERIL, PARA COLOCACION MANUAL</v>
          </cell>
          <cell r="D805" t="str">
            <v>C/U</v>
          </cell>
        </row>
        <row r="806">
          <cell r="B806">
            <v>7012052</v>
          </cell>
          <cell r="C806" t="str">
            <v>SONDA NELATON #  8, TRANSPARENTE, ESTERIL</v>
          </cell>
          <cell r="D806" t="str">
            <v>C/U</v>
          </cell>
        </row>
        <row r="807">
          <cell r="B807">
            <v>7012053</v>
          </cell>
          <cell r="C807" t="str">
            <v>SONDA NELATON # 10, TRANSPARENTE, ESTERIL</v>
          </cell>
          <cell r="D807" t="str">
            <v>C/U</v>
          </cell>
        </row>
        <row r="808">
          <cell r="B808">
            <v>7012054</v>
          </cell>
          <cell r="C808" t="str">
            <v>SONDA NELATON # 12, TRANSPARENTE, ESTERIL</v>
          </cell>
          <cell r="D808" t="str">
            <v>C/U</v>
          </cell>
        </row>
        <row r="809">
          <cell r="B809">
            <v>7012055</v>
          </cell>
          <cell r="C809" t="str">
            <v>SONDA NELATON # 14, TRANSPARENTE, ESTERIL</v>
          </cell>
          <cell r="D809" t="str">
            <v>C/U</v>
          </cell>
        </row>
        <row r="810">
          <cell r="B810">
            <v>7012167</v>
          </cell>
          <cell r="C810" t="str">
            <v>SONDA NELATON # 16, TRANSPARENTE, ESTERIL</v>
          </cell>
          <cell r="D810" t="str">
            <v>C/U</v>
          </cell>
        </row>
        <row r="811">
          <cell r="B811">
            <v>7012168</v>
          </cell>
          <cell r="C811" t="str">
            <v>SONDA NELATON # 18, TRANSPARENTE, ESTERIL</v>
          </cell>
          <cell r="D811" t="str">
            <v>C/U</v>
          </cell>
        </row>
        <row r="812">
          <cell r="B812">
            <v>7012169</v>
          </cell>
          <cell r="C812" t="str">
            <v>SONDA NELATON # 20, TRANSPARENTE, ESTERIL</v>
          </cell>
          <cell r="D812" t="str">
            <v>C/U</v>
          </cell>
        </row>
        <row r="813">
          <cell r="B813">
            <v>7012059</v>
          </cell>
          <cell r="C813" t="str">
            <v>SONDA DE ALIMENTACION, DIAMETRO 5 FRENCH, DE P. V. C. GRADO MEDICO, MARCADA EN CENTIMETROS, DESCARTABLE, ESTERIL</v>
          </cell>
          <cell r="D813" t="str">
            <v>C/U</v>
          </cell>
        </row>
        <row r="814">
          <cell r="B814">
            <v>7012126</v>
          </cell>
          <cell r="C814" t="str">
            <v>SONDA DE ALIMENTACION, DIAMETRO 8 FRENCH, DE P. V. C. GRADO MEDICO, MARCADA EN CENTIMETROS, DESCARTABLE, ESTERIL</v>
          </cell>
          <cell r="D814" t="str">
            <v>C/U</v>
          </cell>
        </row>
        <row r="815">
          <cell r="B815">
            <v>7012129</v>
          </cell>
          <cell r="C815" t="str">
            <v>SONDA DE HULE TIPO PEZZER, # 18</v>
          </cell>
          <cell r="D815" t="str">
            <v>C/U</v>
          </cell>
        </row>
        <row r="816">
          <cell r="B816">
            <v>7012062</v>
          </cell>
          <cell r="C816" t="str">
            <v>SONDA FOLEY # 26, DE 3 VIAS,  BALON DE 15 - 30 mL. SILICONIZADA</v>
          </cell>
          <cell r="D816" t="str">
            <v>C/U</v>
          </cell>
        </row>
        <row r="817">
          <cell r="B817">
            <v>7012063</v>
          </cell>
          <cell r="C817" t="str">
            <v>SONDA FOLEY # 6, BALON DE 3 - 5 mL., SILICONIZADA.</v>
          </cell>
          <cell r="D817" t="str">
            <v>C/U</v>
          </cell>
        </row>
        <row r="818">
          <cell r="B818">
            <v>7012152</v>
          </cell>
          <cell r="C818" t="str">
            <v>SONDA FOLEY # 8, BALON DE 3 - 5 mL., SILICONIZADA.</v>
          </cell>
          <cell r="D818" t="str">
            <v>C/U</v>
          </cell>
        </row>
        <row r="819">
          <cell r="B819">
            <v>7012065</v>
          </cell>
          <cell r="C819" t="str">
            <v>SONDA NASOGASTRICA TIPO LEVIN, # 5, ESTERIL, DESCARTABLE</v>
          </cell>
          <cell r="D819" t="str">
            <v>C/U</v>
          </cell>
        </row>
        <row r="820">
          <cell r="B820">
            <v>7012066</v>
          </cell>
          <cell r="C820" t="str">
            <v>SONDA NASOGASTRICA TIPO LEVIN, # 8, ESTERIL, DESCARTABLE</v>
          </cell>
          <cell r="D820" t="str">
            <v>C/U</v>
          </cell>
        </row>
        <row r="821">
          <cell r="B821">
            <v>7013078</v>
          </cell>
          <cell r="C821" t="str">
            <v xml:space="preserve">BOLSA PAPEL - PAPEL, GRADO MEDICO, PARA ESTERILIZAR A BAJA Y ALTA TEMPERATURA,  7.5 - 11 cm DE ANCHO X 18 - 23 cm  DE LARGO X 4 - 5 cm DE FUELLE </v>
          </cell>
          <cell r="D821" t="str">
            <v>C/U</v>
          </cell>
        </row>
        <row r="822">
          <cell r="B822">
            <v>7013076</v>
          </cell>
          <cell r="C822" t="str">
            <v xml:space="preserve">BOLSA PAPEL - PAPEL, GRADO MEDICO, PARA ESTERILIZAR A BAJA Y ALTA TEMPERATURA,  12 - 15 cm DE ANCHO X 25 - 30 cm  DE LARGO X 4 - 5 cm DE FUELLE </v>
          </cell>
          <cell r="D822" t="str">
            <v>C/U</v>
          </cell>
        </row>
        <row r="823">
          <cell r="B823">
            <v>7013077</v>
          </cell>
          <cell r="C823" t="str">
            <v xml:space="preserve">BOLSA PAPEL - PAPEL, GRADO MEDICO, PARA ESTERILIZAR A BAJA Y ALTA TEMPERATURA,  25 - 35 cm DE ANCHO X 55 - 65 cm  DE LARGO X 10 - 15 cm DE FUELLE </v>
          </cell>
          <cell r="D823" t="str">
            <v>C/U</v>
          </cell>
        </row>
        <row r="824">
          <cell r="B824">
            <v>7013073</v>
          </cell>
          <cell r="C824" t="str">
            <v>BOLSA COMBINADA PAPEL - PLASTICO, GRADO MEDICO, PARA ESTERILIZAR A BAJA Y ALTA TEMPERATURA, 10 - 15  cm  DE ANCHO X 20 - 30  cm DE LARGO</v>
          </cell>
          <cell r="D824" t="str">
            <v>C/U</v>
          </cell>
        </row>
        <row r="825">
          <cell r="B825">
            <v>7013074</v>
          </cell>
          <cell r="C825" t="str">
            <v>BOLSA COMBINADA PAPEL - PLASTICO, GRADO MEDICO, PARA ESTERILIZAR A BAJA Y ALTA TEMPERATURA, 20 - 30  cm  DE ANCHO X 35 - 40  cm DE LARGO</v>
          </cell>
          <cell r="D825" t="str">
            <v>C/U</v>
          </cell>
        </row>
        <row r="826">
          <cell r="B826">
            <v>7013075</v>
          </cell>
          <cell r="C826" t="str">
            <v>BOLSA COMBINADA PAPEL - PLASTICO, GRADO MEDICO, PARA ESTERILIZAR A BAJA Y ALTA TEMPERATURA, 40 - 50  cm  DE ANCHO X 50 - 60  cm DE LARGO</v>
          </cell>
          <cell r="D826" t="str">
            <v>C/U</v>
          </cell>
        </row>
        <row r="827">
          <cell r="B827">
            <v>7013083</v>
          </cell>
          <cell r="C827" t="str">
            <v>INDICADOR QUIMICO DE CONTROL EXTERNO, PARA ESTERILIZACION A GAS (OXIDO DE ETILENO)</v>
          </cell>
          <cell r="D827" t="str">
            <v>C/U</v>
          </cell>
        </row>
        <row r="828">
          <cell r="B828">
            <v>7013084</v>
          </cell>
          <cell r="C828" t="str">
            <v>INDICADOR QUIMICO DE CONTROL EXTERNO, PARA ESTERILIZACION A VAPOR</v>
          </cell>
          <cell r="D828" t="str">
            <v>C/U</v>
          </cell>
        </row>
        <row r="829">
          <cell r="B829">
            <v>7013081</v>
          </cell>
          <cell r="C829" t="str">
            <v>INDICADOR BIOLOGICO DE LECTURA RAPIDA PARA ESTERILIZACION A GAS (OXIDO DE ETILENO)</v>
          </cell>
          <cell r="D829" t="str">
            <v>C/U</v>
          </cell>
        </row>
        <row r="830">
          <cell r="B830">
            <v>7013082</v>
          </cell>
          <cell r="C830" t="str">
            <v>INDICADOR BIOLOGICO DE LECTURA RAPIDA PARA ESTERILIZACION A VAPOR</v>
          </cell>
          <cell r="D830" t="str">
            <v>C/U</v>
          </cell>
        </row>
        <row r="831">
          <cell r="B831">
            <v>7013088</v>
          </cell>
          <cell r="C831" t="str">
            <v>OXIDO DE ETILENO AL 100% PARA ESTERILIZADOR</v>
          </cell>
          <cell r="D831" t="str">
            <v>CARTUCHO</v>
          </cell>
        </row>
        <row r="832">
          <cell r="B832">
            <v>7013089</v>
          </cell>
          <cell r="C832" t="str">
            <v xml:space="preserve">PAPEL CREPADO GRADO MEDICO, 110X 100CM </v>
          </cell>
          <cell r="D832" t="str">
            <v>PAQUETE</v>
          </cell>
        </row>
        <row r="833">
          <cell r="B833">
            <v>7013101</v>
          </cell>
          <cell r="C833" t="str">
            <v>SOLUCION DE GLUTARALDEHIDO AL 2%</v>
          </cell>
          <cell r="D833" t="str">
            <v>C/U</v>
          </cell>
        </row>
        <row r="834">
          <cell r="B834">
            <v>7013012</v>
          </cell>
          <cell r="C834" t="str">
            <v>SOLUCION DESINFECTANTE NO ESTERILIZANTE  DE USO  PARA LIMPIEZA DE  SUPERFICIES  INANIMADAS A BASE  DE CLORO (pH  6.2).</v>
          </cell>
          <cell r="D834" t="str">
            <v>GALON</v>
          </cell>
        </row>
        <row r="835">
          <cell r="B835">
            <v>7013013</v>
          </cell>
          <cell r="C835" t="str">
            <v>PAPEL CREPADO GRADO MEDICO, HOJA SUELTA DE 60 X 60 cm (24 X 24"), PAQUETE DE 250 HOJAS</v>
          </cell>
          <cell r="D835" t="str">
            <v>PAQUETE</v>
          </cell>
        </row>
        <row r="836">
          <cell r="B836">
            <v>7013090</v>
          </cell>
          <cell r="C836" t="str">
            <v>PAPEL CREPADO GRADO MEDICO, HOJA DE 90 X 90 cm (36 X 36"), PAQUETE DE 250 HOJAS</v>
          </cell>
          <cell r="D836" t="str">
            <v>PAQUETE</v>
          </cell>
        </row>
        <row r="837">
          <cell r="B837">
            <v>7013016</v>
          </cell>
          <cell r="C837" t="str">
            <v>ROLLO COMBINADO PAPEL - PLASTICO GRADO MEDICO, PARA ESTERILIZAR A BAJA Y ALTA TEMPERATURA, DE 10 cm DE ANCHO X 200 mt DE LARGO</v>
          </cell>
          <cell r="D837" t="str">
            <v>ROLLO</v>
          </cell>
        </row>
        <row r="838">
          <cell r="B838">
            <v>7013096</v>
          </cell>
          <cell r="C838" t="str">
            <v>ROLLO COMBINADO PAPEL - PLASTICO GRADO MEDICO, PARA ESTERILIZAR A BAJA Y ALTA TEMPERATURA, DE 20 cm DE ANCHO X 200 mt DE LARGO</v>
          </cell>
          <cell r="D838" t="str">
            <v>ROLLO</v>
          </cell>
        </row>
        <row r="839">
          <cell r="B839">
            <v>7013097</v>
          </cell>
          <cell r="C839" t="str">
            <v>ROLLO COMBINADO PAPEL - PLASTICO GRADO MEDICO, PARA ESTERILIZAR A BAJA Y ALTA TEMPERATURA, DE 40 cm DE ANCHO X 200 mt DE LARGO</v>
          </cell>
          <cell r="D839" t="str">
            <v>ROLLO</v>
          </cell>
        </row>
        <row r="840">
          <cell r="B840">
            <v>7013098</v>
          </cell>
          <cell r="C840" t="str">
            <v>ROLLO COMBINADO PAPEL - PLASTICO GRADO MEDICO, PARA ESTERILIZAR A BAJA Y ALTA TEMPERATURA, DE 50 cm DE ANCHO X 200 mt DE LARGO</v>
          </cell>
          <cell r="D840" t="str">
            <v>ROLLO</v>
          </cell>
        </row>
        <row r="841">
          <cell r="B841">
            <v>7013020</v>
          </cell>
          <cell r="C841" t="str">
            <v>INDICADOR QUIMICO DE CONTROL INTERNO, PARA ESTERILIZACION A GAS (OXIDO DE ETILENO)</v>
          </cell>
          <cell r="D841" t="str">
            <v>CAJA</v>
          </cell>
        </row>
        <row r="842">
          <cell r="B842">
            <v>7013087</v>
          </cell>
          <cell r="C842" t="str">
            <v>INDICADOR QUIMICO DE CONTROL INTERNO, PARA ESTERILIZACION A VAPOR</v>
          </cell>
          <cell r="D842" t="str">
            <v>CAJA</v>
          </cell>
        </row>
        <row r="843">
          <cell r="B843">
            <v>7013022</v>
          </cell>
          <cell r="C843" t="str">
            <v>SET DE VALIDACION QUIMICA DE CONTROL INTERNO, PARA ESTERILIZACION POR FORMALDEHIDO</v>
          </cell>
          <cell r="D843" t="str">
            <v>SET</v>
          </cell>
        </row>
        <row r="844">
          <cell r="B844">
            <v>7013023</v>
          </cell>
          <cell r="C844" t="str">
            <v>SOLUCION DE FORMALDEHIDO AL 2 % PARA ESTERILIZADOR, A BAJA TEMPERATURA, BOLSA DE 2.7 LITROS</v>
          </cell>
          <cell r="D844" t="str">
            <v>BOLSA</v>
          </cell>
        </row>
        <row r="845">
          <cell r="B845">
            <v>7013024</v>
          </cell>
          <cell r="C845" t="str">
            <v>INDICADOR QUIMICO DE CONTROL EXTERNO, PARA ESTERILIZACION POR FORMALDEHIDO, CAJA DE 250 PUNTOS INDICADORES</v>
          </cell>
          <cell r="D845" t="str">
            <v>CAJA</v>
          </cell>
        </row>
        <row r="846">
          <cell r="B846">
            <v>7013106</v>
          </cell>
          <cell r="C846" t="str">
            <v>ALCOHOL ETILICO DESNATURALIZADO 70%</v>
          </cell>
          <cell r="D846" t="str">
            <v>ML</v>
          </cell>
        </row>
        <row r="847">
          <cell r="B847">
            <v>7013042</v>
          </cell>
          <cell r="C847" t="str">
            <v>ALCOHOL ETILICO 90° MINIMO</v>
          </cell>
          <cell r="D847" t="str">
            <v>GALON</v>
          </cell>
        </row>
        <row r="848">
          <cell r="B848">
            <v>7013079</v>
          </cell>
          <cell r="C848" t="str">
            <v xml:space="preserve">CLORHEXIDINA 4% </v>
          </cell>
          <cell r="D848" t="str">
            <v>LITRO</v>
          </cell>
        </row>
        <row r="849">
          <cell r="B849">
            <v>7013094</v>
          </cell>
          <cell r="C849" t="str">
            <v xml:space="preserve">POLIVIDONA IODADA 8 % JABON LIQUIDO     </v>
          </cell>
          <cell r="D849" t="str">
            <v>LITRO</v>
          </cell>
        </row>
        <row r="850">
          <cell r="B850">
            <v>7013093</v>
          </cell>
          <cell r="C850" t="str">
            <v xml:space="preserve">POLIVIDONA IODADA 10 % SOLUCION         </v>
          </cell>
          <cell r="D850" t="str">
            <v>LITRO</v>
          </cell>
        </row>
        <row r="851">
          <cell r="B851">
            <v>7013092</v>
          </cell>
          <cell r="C851" t="str">
            <v xml:space="preserve">PEROXIDO DE HIDROGENO (3 %)             </v>
          </cell>
          <cell r="D851" t="str">
            <v>FRASCO</v>
          </cell>
        </row>
        <row r="852">
          <cell r="B852">
            <v>7013071</v>
          </cell>
          <cell r="C852" t="str">
            <v>ALC. ISOPROPILICO 60-90% ó ETILICO 70%</v>
          </cell>
          <cell r="D852" t="str">
            <v>C/U</v>
          </cell>
        </row>
        <row r="853">
          <cell r="B853">
            <v>7013077</v>
          </cell>
          <cell r="C853" t="str">
            <v xml:space="preserve">BOLSA PAPEL - PAPEL, GRADO MEDICO, PARA ESTERILIZAR A BAJA Y ALTA TEMPERATURA,  25 - 35 cm DE ANCHO X 55 - 65 cm  DE LARGO X 10 - 15 cm DE FUELLE </v>
          </cell>
          <cell r="D853" t="str">
            <v>C/U</v>
          </cell>
        </row>
        <row r="854">
          <cell r="B854">
            <v>7013110</v>
          </cell>
          <cell r="C854" t="str">
            <v>POLIVIDONA 10%</v>
          </cell>
          <cell r="D854" t="str">
            <v>ML</v>
          </cell>
        </row>
        <row r="855">
          <cell r="B855">
            <v>7014091</v>
          </cell>
          <cell r="C855" t="str">
            <v>APOSITO ALGINATO CALCIO 8-12 X 10-20</v>
          </cell>
          <cell r="D855" t="str">
            <v>C/U</v>
          </cell>
        </row>
        <row r="856">
          <cell r="B856">
            <v>7014092</v>
          </cell>
          <cell r="C856" t="str">
            <v xml:space="preserve">APOSITO DE CARBON ACTIVADO IMPREGNADO CON PLATA DE 10 - 12 X 10 - 12 CM </v>
          </cell>
          <cell r="D856" t="str">
            <v>C/U</v>
          </cell>
        </row>
        <row r="857">
          <cell r="B857">
            <v>7014093</v>
          </cell>
          <cell r="C857" t="str">
            <v>APOSITO DE CARBON ACTIVADO IMPREGNADO CON PLATA DE 10 – 15 x 19 - 21CM</v>
          </cell>
          <cell r="D857" t="str">
            <v>C/U</v>
          </cell>
        </row>
        <row r="858">
          <cell r="B858">
            <v>7014096</v>
          </cell>
          <cell r="C858" t="str">
            <v>APOSITO HIDROCOLOIDE  DELG . 5-8" X5-8"</v>
          </cell>
          <cell r="D858" t="str">
            <v>C/U</v>
          </cell>
        </row>
        <row r="859">
          <cell r="B859">
            <v>7014004</v>
          </cell>
          <cell r="C859" t="str">
            <v xml:space="preserve">APOSITO HIDROCOLOIDE DELG.  8-12" </v>
          </cell>
          <cell r="D859" t="str">
            <v>C/U</v>
          </cell>
        </row>
        <row r="860">
          <cell r="B860">
            <v>7014005</v>
          </cell>
          <cell r="C860" t="str">
            <v>APOSITO OCLUSIVO HIDROCOLOIDE, GRUESO ENTRE 5 - 8 " DE ANCHO Y 5 - 8 " DE LARGO</v>
          </cell>
          <cell r="D860" t="str">
            <v>C/U</v>
          </cell>
        </row>
        <row r="861">
          <cell r="B861">
            <v>7014099</v>
          </cell>
          <cell r="C861" t="str">
            <v>APOSITO HICROCOLOIDE DELG. 5-8"X5-8"</v>
          </cell>
          <cell r="D861" t="str">
            <v>C/U</v>
          </cell>
        </row>
        <row r="862">
          <cell r="B862">
            <v>7014007</v>
          </cell>
          <cell r="C862" t="str">
            <v>APOSITO PRIMARIO NO ADHERENTE DE CELULOSA IMPREGNADO CON PETROLATO DE  7.6  X 20.3 CM ± 10%</v>
          </cell>
          <cell r="D862" t="str">
            <v>C/U</v>
          </cell>
        </row>
        <row r="863">
          <cell r="B863">
            <v>7014117</v>
          </cell>
          <cell r="C863" t="str">
            <v>GASA IMPREGNADA CON FUSIDATO DE SODIO, ESTERIL</v>
          </cell>
          <cell r="D863" t="str">
            <v>C/U</v>
          </cell>
        </row>
        <row r="864">
          <cell r="B864">
            <v>7014009</v>
          </cell>
          <cell r="C864" t="str">
            <v>SISTEMA MULTICAPA DE COMPRESION PARA ULCERAS VENOSAS QUE CONSTA DE APOSITO NO ADHERENTE DE 5" X 9" ± 10% VENDA DE ABSORCION DE ALGODON, VENDAJE DE COMPRESION Y VENDAJE DE COMPRESION COHESIVA.</v>
          </cell>
          <cell r="D864" t="str">
            <v>SET</v>
          </cell>
        </row>
        <row r="865">
          <cell r="B865">
            <v>7014142</v>
          </cell>
          <cell r="C865" t="str">
            <v>VENDA MEDICADA O BOTA DE UNNA.</v>
          </cell>
          <cell r="D865" t="str">
            <v>C/U</v>
          </cell>
        </row>
        <row r="866">
          <cell r="B866">
            <v>7014125</v>
          </cell>
          <cell r="C866" t="str">
            <v xml:space="preserve">GEL HIDROCOLOIDE 100% BIOLOGICA, TUBO 30 - 50 gr </v>
          </cell>
          <cell r="D866" t="str">
            <v>C/U</v>
          </cell>
        </row>
        <row r="867">
          <cell r="B867">
            <v>7014090</v>
          </cell>
          <cell r="C867" t="str">
            <v>ALGODÓN QUIRURGICO HIDROFILIZADO</v>
          </cell>
          <cell r="D867" t="str">
            <v>C/U</v>
          </cell>
        </row>
        <row r="868">
          <cell r="B868">
            <v>7014100</v>
          </cell>
          <cell r="C868" t="str">
            <v xml:space="preserve">APOSITO OCULAR OVALADO, ESTERIL, DE 6.5 - 7.0 X 4.5 - 5.0 cm </v>
          </cell>
          <cell r="D868" t="str">
            <v>C/U</v>
          </cell>
        </row>
        <row r="869">
          <cell r="B869">
            <v>7014014</v>
          </cell>
          <cell r="C869" t="str">
            <v>APOSITO TRANSPARENTE  ADHESIVO, IMPERMEABLE, DE 4 - 6 X 4 - 6 CM, ESTERIL.</v>
          </cell>
          <cell r="D869" t="str">
            <v>C/U</v>
          </cell>
        </row>
        <row r="870">
          <cell r="B870">
            <v>7014015</v>
          </cell>
          <cell r="C870" t="str">
            <v>APOSITO TRANSPARENTE ADHESIVO, IMPERMEABLE, DE 6 - 8 X 7 - 10 CM ESTERIL.</v>
          </cell>
          <cell r="D870" t="str">
            <v>C/U</v>
          </cell>
        </row>
        <row r="871">
          <cell r="B871">
            <v>7014016</v>
          </cell>
          <cell r="C871" t="str">
            <v>APOSITO TRANSPARENTE ADHESIVO, IMPERMEABLE, DE 8 - 13 X 10 - 15 CM ESTERIL.</v>
          </cell>
          <cell r="D871" t="str">
            <v>C/U</v>
          </cell>
        </row>
        <row r="872">
          <cell r="B872">
            <v>7014105</v>
          </cell>
          <cell r="C872" t="str">
            <v>CINTA ADHESIVA DE PAPEL 3" X 10 YARDAS</v>
          </cell>
          <cell r="D872" t="str">
            <v>ROLLOS</v>
          </cell>
        </row>
        <row r="873">
          <cell r="B873">
            <v>7014106</v>
          </cell>
          <cell r="C873" t="str">
            <v>CINTA ADHESIVA DE PAPEL 1" X 10 YARDAS</v>
          </cell>
          <cell r="D873" t="str">
            <v>ROLLOS</v>
          </cell>
        </row>
        <row r="874">
          <cell r="B874">
            <v>7014107</v>
          </cell>
          <cell r="C874" t="str">
            <v>CINTA ADHESIVA DE PAPEL 1/2" X 10 YARDAS</v>
          </cell>
          <cell r="D874" t="str">
            <v>ROLLOS</v>
          </cell>
        </row>
        <row r="875">
          <cell r="B875">
            <v>7014108</v>
          </cell>
          <cell r="C875" t="str">
            <v>CINTA ADHESIVA DE PAPEL 2"X10 YARDAS</v>
          </cell>
          <cell r="D875" t="str">
            <v>ROLLOS</v>
          </cell>
        </row>
        <row r="876">
          <cell r="B876">
            <v>7014109</v>
          </cell>
          <cell r="C876" t="str">
            <v>CINTA QUIRURGICA 1" X 10 YARDAS, ANTIALERGICA,    ACRILICA, TRANSPARENTE</v>
          </cell>
          <cell r="D876" t="str">
            <v>ROLLO</v>
          </cell>
        </row>
        <row r="877">
          <cell r="B877">
            <v>7014110</v>
          </cell>
          <cell r="C877" t="str">
            <v>CINTA QUIRURGICA 2" X 10 YARDAS, ANTIALERGICA,    ACRILICA, TRANSPARENTE</v>
          </cell>
          <cell r="D877" t="str">
            <v>ROLLO</v>
          </cell>
        </row>
        <row r="878">
          <cell r="B878">
            <v>7014111</v>
          </cell>
          <cell r="C878" t="str">
            <v>CINTA QUIRURGICA 3" X 10 YARDAS, ANTIALERGICA,    ACRILICA, TRANSPARENTE</v>
          </cell>
          <cell r="D878" t="str">
            <v>ROLLO</v>
          </cell>
        </row>
        <row r="879">
          <cell r="B879">
            <v>7014113</v>
          </cell>
          <cell r="C879" t="str">
            <v>CINTA QUIRURGICA 4", ADHESIVA, IMPERMEABLE, TELA ASEDADA.</v>
          </cell>
          <cell r="D879" t="str">
            <v>ROLLO</v>
          </cell>
        </row>
        <row r="880">
          <cell r="B880">
            <v>7014118</v>
          </cell>
          <cell r="C880" t="str">
            <v>GASA QUIRURGICA 20 X 24 HILOS X PULGADA CUADRADA, 36"  DE ANCHO PREDOBLADO EN HOJAS DE 36" , PIEZA DE 100 YARDAS, 100% ALGODON.</v>
          </cell>
          <cell r="D880" t="str">
            <v>PIEZA</v>
          </cell>
        </row>
        <row r="881">
          <cell r="B881">
            <v>7014136</v>
          </cell>
          <cell r="C881" t="str">
            <v>RAYON CON ALGODON ABSORBENTE 3" X 8" ESTERIL (APOSITO).</v>
          </cell>
          <cell r="D881" t="str">
            <v>SOBRE</v>
          </cell>
        </row>
        <row r="882">
          <cell r="B882">
            <v>7014137</v>
          </cell>
          <cell r="C882" t="str">
            <v>RAYON CON PORO 1/2" X4 EN TIRAS</v>
          </cell>
          <cell r="D882" t="str">
            <v>TIRAS</v>
          </cell>
        </row>
        <row r="883">
          <cell r="B883">
            <v>7014139</v>
          </cell>
          <cell r="C883" t="str">
            <v>VENDA DE GASA DE 2" X 10 YARDAS BORDES CON ACABADO QUE NO DESHILE.</v>
          </cell>
          <cell r="D883" t="str">
            <v>C/U</v>
          </cell>
        </row>
        <row r="884">
          <cell r="B884">
            <v>7014140</v>
          </cell>
          <cell r="C884" t="str">
            <v>VENDA DE GASA DE 3" X 10 YARDAS</v>
          </cell>
          <cell r="D884" t="str">
            <v>C/U</v>
          </cell>
        </row>
        <row r="885">
          <cell r="B885">
            <v>7014141</v>
          </cell>
          <cell r="C885" t="str">
            <v>VENDA DE GASA DE 4" X 10 YARDAS</v>
          </cell>
          <cell r="D885" t="str">
            <v>C/U</v>
          </cell>
        </row>
        <row r="886">
          <cell r="B886">
            <v>7014126</v>
          </cell>
          <cell r="C886" t="str">
            <v>HOJA DE BISTURI # 10, ESTERIL, CAJA SELLADA.</v>
          </cell>
          <cell r="D886" t="str">
            <v>C/U</v>
          </cell>
        </row>
        <row r="887">
          <cell r="B887">
            <v>7014127</v>
          </cell>
          <cell r="C887" t="str">
            <v>HOJA DE BISTURI # 11, ESTERIL, CAJA SELLADA</v>
          </cell>
          <cell r="D887" t="str">
            <v>C/U</v>
          </cell>
        </row>
        <row r="888">
          <cell r="B888">
            <v>7014128</v>
          </cell>
          <cell r="C888" t="str">
            <v>HOJA DE BISTURI # 12, ESTERIL, CAJA SELLADA</v>
          </cell>
          <cell r="D888" t="str">
            <v>C/U</v>
          </cell>
        </row>
        <row r="889">
          <cell r="B889">
            <v>7014129</v>
          </cell>
          <cell r="C889" t="str">
            <v>HOJA DE BISTURI # 15, ESTERIL, CAJA SELLADA</v>
          </cell>
          <cell r="D889" t="str">
            <v>C/U</v>
          </cell>
        </row>
        <row r="890">
          <cell r="B890">
            <v>7014130</v>
          </cell>
          <cell r="C890" t="str">
            <v>HOJA DE BISTURI # 20, ESTERIL, CAJA SELLADA</v>
          </cell>
          <cell r="D890" t="str">
            <v>C/U</v>
          </cell>
        </row>
        <row r="891">
          <cell r="B891">
            <v>7014036</v>
          </cell>
          <cell r="C891" t="str">
            <v>HOJA DE BISTURI # 21, ESTERIL, CAJA SELLADA</v>
          </cell>
          <cell r="D891" t="str">
            <v>C/U</v>
          </cell>
        </row>
        <row r="892">
          <cell r="B892">
            <v>7014037</v>
          </cell>
          <cell r="C892" t="str">
            <v>HOJA DE BISTURI # 22, ESTERIL, CAJA SELLADA</v>
          </cell>
          <cell r="D892" t="str">
            <v>C/U</v>
          </cell>
        </row>
        <row r="893">
          <cell r="B893">
            <v>7014038</v>
          </cell>
          <cell r="C893" t="str">
            <v>HOJA DE BISTURI # 23, ESTERIL, CAJA SELLADA</v>
          </cell>
          <cell r="D893" t="str">
            <v>C/U</v>
          </cell>
        </row>
        <row r="894">
          <cell r="B894">
            <v>7014039</v>
          </cell>
          <cell r="C894" t="str">
            <v>HOJA DE BISTURI # 24, ESTERIL, CAJA SELLADA</v>
          </cell>
          <cell r="D894" t="str">
            <v>C/U</v>
          </cell>
        </row>
        <row r="895">
          <cell r="B895">
            <v>7014040</v>
          </cell>
          <cell r="C895" t="str">
            <v>CUCHILLA DE DOBLE FILO PARA MANGO DE BISTURI 527.40 X 5</v>
          </cell>
          <cell r="D895" t="str">
            <v>C/U</v>
          </cell>
        </row>
        <row r="896">
          <cell r="B896">
            <v>7014041</v>
          </cell>
          <cell r="C896" t="str">
            <v>FRASCO RECOLECTOR PARA EL MANEJO DE HERIDAS ASISTIDO POR VACIO, CAPACIDAD DE 500 Ml, ESTERIL, DESCARTABLE, CON FILTROS HIDROFOBICOS Y DE CARBON INTEGRADO</v>
          </cell>
          <cell r="D896" t="str">
            <v>C/U</v>
          </cell>
        </row>
        <row r="897">
          <cell r="B897">
            <v>7014042</v>
          </cell>
          <cell r="C897" t="str">
            <v>FRASCO RECOLECTOR PARA EL MANEJO DE HERIDAS ASISTIDO POR VACIO, CAPACIDAD DE 1000 Ml, ESTERIL, DESCARTABLE, CON FILTROS HIDROFOBICOS Y DE CARBON INTEGRADO</v>
          </cell>
          <cell r="D897" t="str">
            <v>C/U</v>
          </cell>
        </row>
        <row r="898">
          <cell r="B898">
            <v>7014043</v>
          </cell>
          <cell r="C898" t="str">
            <v>ESPONJA DE POLIURETANO GRADO MEDICO, DE 12.5 X 18 X 3.5 cm, ESTERIL, HIDROFOBICA, CON POROS DE 400 - 600 MICRAS, QUE INCLUYA DOS PELICULAS ADHESIVAS SEMI PERMEABLES Y VENTOSA CON TUBERIA DE CONEXION A SISTEMA DE MANEJO DE HERIDAS ASISTIDO POR VACIO</v>
          </cell>
          <cell r="D898" t="str">
            <v>SET</v>
          </cell>
        </row>
        <row r="899">
          <cell r="B899">
            <v>7014044</v>
          </cell>
          <cell r="C899" t="str">
            <v>ESPONJA DE POLIURETANO GRADO MEDICO, DE 15 X 26 X 3.5 cm, ESTERIL, HIDROFOBICA, CON POROS DE 400 - 600 MICRAS, QUE INCLUYA DOS PELICULAS ADHESIVAS SEMI PERMEABLES Y VENTOSA CON TUBERIA DE CONEXION A SISTEMA DE MANEJO DE HERIDAS ASISTIDO POR VACIO</v>
          </cell>
          <cell r="D899" t="str">
            <v>SET</v>
          </cell>
        </row>
        <row r="900">
          <cell r="B900">
            <v>7014045</v>
          </cell>
          <cell r="C900" t="str">
            <v xml:space="preserve">APOSITO DE COLAGENO 90 % Y ALGINATO DE CALCIO 10%, DE 10 – 12 X 10 – 12 CM </v>
          </cell>
          <cell r="D900" t="str">
            <v>C/U</v>
          </cell>
        </row>
        <row r="901">
          <cell r="B901">
            <v>7015000</v>
          </cell>
          <cell r="C901" t="str">
            <v>ARANDELA ADHESIVA TIPO ELECTRODO PARA MONITOREO 28 MM DE DIAMETRO Y ORIFICIO INTERNO DE 9 MM.</v>
          </cell>
          <cell r="D901" t="str">
            <v>C/U</v>
          </cell>
        </row>
        <row r="902">
          <cell r="B902">
            <v>7015001</v>
          </cell>
          <cell r="C902" t="str">
            <v>BRAZALETE PARA TOMA DE TENSION NO INVASIVA EN NEONATOS # 1</v>
          </cell>
          <cell r="D902" t="str">
            <v>C/U</v>
          </cell>
        </row>
        <row r="903">
          <cell r="B903">
            <v>7015002</v>
          </cell>
          <cell r="C903" t="str">
            <v>BRAZALETE PARA TOMA DE TENSION NO INVASIVA EN NEONATOS # 2</v>
          </cell>
          <cell r="D903" t="str">
            <v>C/U</v>
          </cell>
        </row>
        <row r="904">
          <cell r="B904">
            <v>7015003</v>
          </cell>
          <cell r="C904" t="str">
            <v>BRAZALETE PARA TOMA DE TENSION NO INVASIVA EN NEONATOS # 3</v>
          </cell>
          <cell r="D904" t="str">
            <v>C/U</v>
          </cell>
        </row>
        <row r="905">
          <cell r="B905">
            <v>7015004</v>
          </cell>
          <cell r="C905" t="str">
            <v>BRAZALETE PARA TOMA DE TENSION NO INVASIVA EN NEONATOS # 4</v>
          </cell>
          <cell r="D905" t="str">
            <v>C/U</v>
          </cell>
        </row>
        <row r="906">
          <cell r="B906">
            <v>7015005</v>
          </cell>
          <cell r="C906" t="str">
            <v>BRAZALETE PARA TOMA DE TENSION NO INVASIVA EN NEONATOS # 5</v>
          </cell>
          <cell r="D906" t="str">
            <v>C/U</v>
          </cell>
        </row>
        <row r="907">
          <cell r="B907">
            <v>7015006</v>
          </cell>
          <cell r="C907" t="str">
            <v>BRAZALETE PARA TOMA DE TENSION NO INVASIVA PARA NIÑO</v>
          </cell>
          <cell r="D907" t="str">
            <v>C/U</v>
          </cell>
        </row>
        <row r="908">
          <cell r="B908">
            <v>7015007</v>
          </cell>
          <cell r="C908" t="str">
            <v>CONDUCTOR DE PRESION TRANSMEMBRANA.</v>
          </cell>
          <cell r="D908" t="str">
            <v>C/U</v>
          </cell>
        </row>
        <row r="909">
          <cell r="B909">
            <v>7015008</v>
          </cell>
          <cell r="C909" t="str">
            <v>DESCARTABLE PARA MONITOREO HEMODINAMICO CON ADAPTADOR LUER LOCK Y EXTENSION DE 1.5 MT  PARA PACIENTE, DOMO Y VALVULA DE 3 VIAS DESCARTABLE ESTERIL.</v>
          </cell>
          <cell r="D909" t="str">
            <v>C/U</v>
          </cell>
        </row>
        <row r="910">
          <cell r="B910">
            <v>7015009</v>
          </cell>
          <cell r="C910" t="str">
            <v>DISCO ADHESIVO DESCARTABLE PARA ESTETOSCOPIO PRECORDIAL.</v>
          </cell>
          <cell r="D910" t="str">
            <v>PAQUETE</v>
          </cell>
        </row>
        <row r="911">
          <cell r="B911">
            <v>7015076</v>
          </cell>
          <cell r="C911" t="str">
            <v>DOMOS TRANSPARENTES DESCARTABLES ESTERILES PARA TRANSDUCTORES SEGUN MODELO DE EQUIPO</v>
          </cell>
          <cell r="D911" t="str">
            <v>C/U</v>
          </cell>
        </row>
        <row r="912">
          <cell r="B912">
            <v>7015082</v>
          </cell>
          <cell r="C912" t="str">
            <v>ELECTRODO DESCARTABLE DE ESPUMA PARA MONITOREO, ADHESIVO, HIPOALERGICO, GELATINA LUBRICADA, BROCHE STANDAR DE CLORURO DE PLATA, PARA ADULTOS.</v>
          </cell>
          <cell r="D912" t="str">
            <v>C/U</v>
          </cell>
        </row>
        <row r="913">
          <cell r="B913">
            <v>7015012</v>
          </cell>
          <cell r="C913" t="str">
            <v>ELECTRODO DESCARTABLE PARA RECIEN NACIDO, GELATINA SOLIDA HIPOALERGICA.</v>
          </cell>
          <cell r="D913" t="str">
            <v>C/U</v>
          </cell>
        </row>
        <row r="914">
          <cell r="B914">
            <v>7015013</v>
          </cell>
          <cell r="C914" t="str">
            <v>GEL ELECTROLITICA PARA TRASMISION SOLUBLE EN AGUA.</v>
          </cell>
          <cell r="D914" t="str">
            <v>LITRO</v>
          </cell>
        </row>
        <row r="915">
          <cell r="B915">
            <v>7015088</v>
          </cell>
          <cell r="C915" t="str">
            <v>JALEA O PASTA ELECTROCONDUCTIVA</v>
          </cell>
          <cell r="D915" t="str">
            <v>GRAMOS</v>
          </cell>
        </row>
        <row r="916">
          <cell r="B916">
            <v>7015015</v>
          </cell>
          <cell r="C916" t="str">
            <v>MANGUERAS CONECTORAS PARA BRAZALETE DE PRESION NO INVASIVA DE NEONATOS COMPATIBLE CON BRAZALETES.</v>
          </cell>
          <cell r="D916" t="str">
            <v>C/U</v>
          </cell>
        </row>
        <row r="917">
          <cell r="B917">
            <v>7015092</v>
          </cell>
          <cell r="C917" t="str">
            <v>MANOMETRO PARA MEDIR PRESION VENOSA CENTRAL DE 25 - 40 CM CON LLAVE DE 3 O 4 VIAS, QUE POSEA ADAPTADOR TIPO PINZA PARA FIJAR AL ATRIL CON EXTENSIONES DE 1.40 - 1.60 MT CON PUNTO DE INYECCION A LA EXTENSION DEL PACIENTE, ESTERIL. DESCARTABLE.</v>
          </cell>
          <cell r="D917" t="str">
            <v>SET</v>
          </cell>
        </row>
        <row r="918">
          <cell r="B918">
            <v>7015105</v>
          </cell>
          <cell r="C918" t="str">
            <v>PUNTAS DE ELECTROCAUTERIO DESCARTABLES (VARIOS TIPOS)</v>
          </cell>
          <cell r="D918" t="str">
            <v>SET</v>
          </cell>
        </row>
        <row r="919">
          <cell r="B919">
            <v>7015111</v>
          </cell>
          <cell r="C919" t="str">
            <v>VALVULA O PIEZA T PARA GASTO CARDIACO TRANSPARENTE ESTERIL</v>
          </cell>
          <cell r="D919" t="str">
            <v>C/U</v>
          </cell>
        </row>
        <row r="920">
          <cell r="B920">
            <v>7015107</v>
          </cell>
          <cell r="C920" t="str">
            <v>SENSOR PARA SATURACION DE OXIGENO EN OXIMETRO DE PULSO, PARA ADULTO. CON SUS CONEXIONES Y ADAPTADORES. DIFERENTES MARCAS.</v>
          </cell>
          <cell r="D920" t="str">
            <v>C/U</v>
          </cell>
        </row>
        <row r="921">
          <cell r="B921">
            <v>7015061</v>
          </cell>
          <cell r="C921" t="str">
            <v>BRAZALETE PARA TENSIOMETRO DE ADULTO</v>
          </cell>
          <cell r="D921" t="str">
            <v>C/U</v>
          </cell>
        </row>
        <row r="922">
          <cell r="B922">
            <v>7015021</v>
          </cell>
          <cell r="C922" t="str">
            <v>CATETER PARA MARCAPASO EXTERNO, DIAMETRO 5 FRENCH, CON SU INTRODUCTOR Y BALON</v>
          </cell>
          <cell r="D922" t="str">
            <v>C/U</v>
          </cell>
        </row>
        <row r="923">
          <cell r="B923">
            <v>7015077</v>
          </cell>
          <cell r="C923" t="str">
            <v>DOMUS PARA PRESION INVASIVA, PARA MONITOR MARCA Y MODELO DE USO INSTITUCIONAL</v>
          </cell>
          <cell r="D923" t="str">
            <v>C/U</v>
          </cell>
        </row>
        <row r="924">
          <cell r="B924">
            <v>7015084</v>
          </cell>
          <cell r="C924" t="str">
            <v>ELECTRODO LOOP (ASA PARA ELECTROCIRUGIA)</v>
          </cell>
          <cell r="D924" t="str">
            <v>C/U</v>
          </cell>
        </row>
        <row r="925">
          <cell r="B925">
            <v>7015024</v>
          </cell>
          <cell r="C925" t="str">
            <v xml:space="preserve">PERILLA PARA TENSIOMETRO </v>
          </cell>
          <cell r="D925" t="str">
            <v>C/U</v>
          </cell>
        </row>
        <row r="926">
          <cell r="B926">
            <v>7015025</v>
          </cell>
          <cell r="C926" t="str">
            <v>PLACA AUTOADHESIVA PARA ELECTROCAUTERIO, MARCA Y MODELO DE USO INSTITUCIONAL, DIFERENTES MEDIDAS, DESCARTABLE</v>
          </cell>
          <cell r="D926" t="str">
            <v>C/U</v>
          </cell>
        </row>
        <row r="927">
          <cell r="B927">
            <v>7015026</v>
          </cell>
          <cell r="C927" t="str">
            <v>MARCAPASO FISIOLOGICO TELEMETRICO MULTIPROGRAMABLE CON AUTO SET.</v>
          </cell>
          <cell r="D927" t="str">
            <v>ELIM LIST OFICIAL</v>
          </cell>
        </row>
        <row r="928">
          <cell r="B928">
            <v>7015027</v>
          </cell>
          <cell r="C928" t="str">
            <v>MARCAPASO DOBLE CAMARA MULTIPROGRAMABLE CON SU ELECTRODO ENDOCARDICO.</v>
          </cell>
          <cell r="D928" t="str">
            <v>ELIM LIST OFICIAL</v>
          </cell>
        </row>
        <row r="929">
          <cell r="B929">
            <v>7015028</v>
          </cell>
          <cell r="C929" t="str">
            <v>MARCAPASO VVIR MULTIPROGRAMABLE CON SU ELECTRODO  ENDOCARDICO.</v>
          </cell>
          <cell r="D929" t="str">
            <v>ELIM LIST OFICIAL</v>
          </cell>
        </row>
        <row r="930">
          <cell r="B930">
            <v>7015040</v>
          </cell>
          <cell r="C930" t="str">
            <v>MARCAPASO VVI, TELEMETRICO MULTIPROGRAMABLE</v>
          </cell>
          <cell r="D930" t="str">
            <v>ELIM LIST OFICIAL</v>
          </cell>
        </row>
        <row r="931">
          <cell r="B931">
            <v>7016109</v>
          </cell>
          <cell r="C931" t="str">
            <v>APLICADOR DE MADERA CON ALGODON DE 6" ESTERIL, (EN EMPAQUE INDIVIDUAL DE 100 UNIDADES)</v>
          </cell>
          <cell r="D931" t="str">
            <v>C/U</v>
          </cell>
        </row>
        <row r="932">
          <cell r="B932">
            <v>7016110</v>
          </cell>
          <cell r="C932" t="str">
            <v>APLICADOR DE MADERA DE SIN  ALGODÓN</v>
          </cell>
          <cell r="D932" t="str">
            <v>C/U</v>
          </cell>
        </row>
        <row r="933">
          <cell r="B933">
            <v>7016112</v>
          </cell>
          <cell r="C933" t="str">
            <v>BAJALENGUA DE MADERA DE 3/4" X 6" EN EMPAQUE INDIVIDUAL DE 100 UNIDADES.</v>
          </cell>
          <cell r="D933" t="str">
            <v>C/U</v>
          </cell>
        </row>
        <row r="934">
          <cell r="B934">
            <v>7016113</v>
          </cell>
          <cell r="C934" t="str">
            <v>BAÑO DE ASIENTO PLASTICO CON SU BOLSA PLASTICA.</v>
          </cell>
          <cell r="D934" t="str">
            <v>C/U</v>
          </cell>
        </row>
        <row r="935">
          <cell r="B935">
            <v>7016004</v>
          </cell>
          <cell r="C935" t="str">
            <v>BOLSA CERRADA PARA COLOSTOMIA PARA ADULTO, CON FILTRO PARA GASES Y ARO DE FIJACION O PLACA ADHESIVA CON AREA  RECORTABLE DE 60 mm MINIMO, CON ARO DE FIJACION A BOLSA. POR CADA 30 BOLSAS INCLUIR 10 PLACAS</v>
          </cell>
          <cell r="D935" t="str">
            <v>C/U</v>
          </cell>
        </row>
        <row r="936">
          <cell r="B936">
            <v>7016005</v>
          </cell>
          <cell r="C936" t="str">
            <v>BOLSA DE ALIMENTACION PARENTERAL GRADUADA TRANSPARENTE CON CAPACIDAD PARA 1000 mL, PARA USO EN BOMBA DE INFUSION</v>
          </cell>
          <cell r="D936" t="str">
            <v>C/U</v>
          </cell>
        </row>
        <row r="937">
          <cell r="B937">
            <v>7016120</v>
          </cell>
          <cell r="C937" t="str">
            <v>BOLSA DE POLIETILENO DESCARTABLE DE 2 - 3 LITROS, PARA ELIMINACION DE DESECHOS, CON TAPADERA CON SUS CONECTORES (PARA CIRUGIA SEPTICA)</v>
          </cell>
          <cell r="D937" t="str">
            <v>BOLSA</v>
          </cell>
        </row>
        <row r="938">
          <cell r="B938">
            <v>7016007</v>
          </cell>
          <cell r="C938" t="str">
            <v>BOLSA PARA ALIMENTACION ENTERAL POR GRAVEDAD, EN ADULTO</v>
          </cell>
          <cell r="D938" t="str">
            <v>C/U</v>
          </cell>
        </row>
        <row r="939">
          <cell r="B939">
            <v>7016116</v>
          </cell>
          <cell r="C939" t="str">
            <v>BOLSA PARA ALIMENTACION ENTERAL, EN ADULTO, CON BOMBA DE INFUSION EN COMODATO</v>
          </cell>
          <cell r="D939" t="str">
            <v>C/U</v>
          </cell>
        </row>
        <row r="940">
          <cell r="B940">
            <v>7016122</v>
          </cell>
          <cell r="C940" t="str">
            <v>CANULA NASAL PARA ADULTO 80-100"</v>
          </cell>
          <cell r="D940" t="str">
            <v>C/U</v>
          </cell>
        </row>
        <row r="941">
          <cell r="B941">
            <v>7016124</v>
          </cell>
          <cell r="C941" t="str">
            <v>CEPILLO DE NYLON PARA CIRUJANO</v>
          </cell>
          <cell r="D941" t="str">
            <v>C/U</v>
          </cell>
        </row>
        <row r="942">
          <cell r="B942">
            <v>7016011</v>
          </cell>
          <cell r="C942" t="str">
            <v>CEPILLO ESTERIL DE NYLON PARA CIRUJANO CON 15 - 20 ML DE SOLUCION A BASE DE YODO.</v>
          </cell>
          <cell r="D942" t="str">
            <v>C/U</v>
          </cell>
        </row>
        <row r="943">
          <cell r="B943">
            <v>7016127</v>
          </cell>
          <cell r="C943" t="str">
            <v>CINTA UMBILICAL,TRENZADA 100 YARDAS.</v>
          </cell>
          <cell r="D943" t="str">
            <v>FRASCO</v>
          </cell>
        </row>
        <row r="944">
          <cell r="B944">
            <v>7016013</v>
          </cell>
          <cell r="C944" t="str">
            <v>CLAMP UMBILICAL, DESCARTABLE</v>
          </cell>
          <cell r="D944" t="str">
            <v>C/U</v>
          </cell>
        </row>
        <row r="945">
          <cell r="B945">
            <v>7016133</v>
          </cell>
          <cell r="C945" t="str">
            <v>GORRO DESCARTABLE PARA ENFERMERA.</v>
          </cell>
          <cell r="D945" t="str">
            <v>C/U</v>
          </cell>
        </row>
        <row r="946">
          <cell r="B946">
            <v>7016134</v>
          </cell>
          <cell r="C946" t="str">
            <v>GORRO DESCARTABLE PARA MEDICOS</v>
          </cell>
          <cell r="D946" t="str">
            <v>C/U</v>
          </cell>
        </row>
        <row r="947">
          <cell r="B947">
            <v>7016135</v>
          </cell>
          <cell r="C947" t="str">
            <v>GUANTE NO ESTERIL DE LATEX TALLA "L"</v>
          </cell>
          <cell r="D947" t="str">
            <v>C/U</v>
          </cell>
        </row>
        <row r="948">
          <cell r="B948">
            <v>7016136</v>
          </cell>
          <cell r="C948" t="str">
            <v>GUANTE NO ESTERIL DE LATEX TALLA "M"</v>
          </cell>
          <cell r="D948" t="str">
            <v>C/U</v>
          </cell>
        </row>
        <row r="949">
          <cell r="B949">
            <v>7016137</v>
          </cell>
          <cell r="C949" t="str">
            <v>GUANTE NO ESTERIL DE LATEX TALLA "S"</v>
          </cell>
          <cell r="D949" t="str">
            <v>C/U</v>
          </cell>
        </row>
        <row r="950">
          <cell r="B950">
            <v>7016138</v>
          </cell>
          <cell r="C950" t="str">
            <v xml:space="preserve">GUANTE QUIRURGICO # 6 1/2, ESTERIL, DE LATEX,  PARA CIRUGIA </v>
          </cell>
          <cell r="D950" t="str">
            <v>PAR</v>
          </cell>
        </row>
        <row r="951">
          <cell r="B951">
            <v>7016139</v>
          </cell>
          <cell r="C951" t="str">
            <v>GUANTE QUIRURGICO # 7 1/2, ESTERIL, DE LATEX,  PARA CIRUGIA.</v>
          </cell>
          <cell r="D951" t="str">
            <v>PAR</v>
          </cell>
        </row>
        <row r="952">
          <cell r="B952">
            <v>7016140</v>
          </cell>
          <cell r="C952" t="str">
            <v>GUANTE QUIRURGICO # 7, ESTERIL, DE LATEX,  PARA CIRUGIA.</v>
          </cell>
          <cell r="D952" t="str">
            <v>PAR</v>
          </cell>
        </row>
        <row r="953">
          <cell r="B953">
            <v>7016141</v>
          </cell>
          <cell r="C953" t="str">
            <v>GUANTE QUIRURGICO # 8 1/2, ESTERIL DE LATEX,  PARA CIRUGIA, ESTERIL</v>
          </cell>
          <cell r="D953" t="str">
            <v>PAR</v>
          </cell>
        </row>
        <row r="954">
          <cell r="B954">
            <v>7016142</v>
          </cell>
          <cell r="C954" t="str">
            <v>GUANTE QUIRUGICO #8 ESTERIL</v>
          </cell>
          <cell r="D954" t="str">
            <v>(en blanco)</v>
          </cell>
        </row>
        <row r="955">
          <cell r="B955">
            <v>70160143</v>
          </cell>
          <cell r="C955" t="str">
            <v>GUANTE QUIRURGICO # 9, ESTERIL DE LATEX,  PARA CIRUGIA.</v>
          </cell>
          <cell r="D955" t="str">
            <v>PAR</v>
          </cell>
        </row>
        <row r="956">
          <cell r="B956">
            <v>7016144</v>
          </cell>
          <cell r="C956" t="str">
            <v>HUATA QUIRURGICA DE 36" X 6 YARDAS</v>
          </cell>
          <cell r="D956" t="str">
            <v>C/U</v>
          </cell>
        </row>
        <row r="957">
          <cell r="B957">
            <v>7016145</v>
          </cell>
          <cell r="C957" t="str">
            <v>INFUSOR A PRESION MANUAL</v>
          </cell>
          <cell r="D957" t="str">
            <v>C/U</v>
          </cell>
        </row>
        <row r="958">
          <cell r="B958">
            <v>7016146</v>
          </cell>
          <cell r="C958" t="str">
            <v>JALEA LUBRICANTE DE USO MEDICO PARA DILATACION, pH NEUTRO, CONTENIDO DE 5 - 8 ONZAS.</v>
          </cell>
          <cell r="D958" t="str">
            <v>ONZAS</v>
          </cell>
        </row>
        <row r="959">
          <cell r="B959">
            <v>7016147</v>
          </cell>
          <cell r="C959" t="str">
            <v>LENTES PROTECTORES QUIRURGICOS</v>
          </cell>
          <cell r="D959" t="str">
            <v>C/U</v>
          </cell>
        </row>
        <row r="960">
          <cell r="B960">
            <v>7016149</v>
          </cell>
          <cell r="C960" t="str">
            <v>MARCARILLA DESCARTABLE CON VICERA</v>
          </cell>
          <cell r="D960" t="str">
            <v>C/U</v>
          </cell>
        </row>
        <row r="961">
          <cell r="B961">
            <v>7016150</v>
          </cell>
          <cell r="C961" t="str">
            <v>MASCARILLA QUIRUGICA DESCARTABLE</v>
          </cell>
          <cell r="D961" t="str">
            <v>C/U</v>
          </cell>
        </row>
        <row r="962">
          <cell r="B962">
            <v>7016154</v>
          </cell>
          <cell r="C962" t="str">
            <v>PERILLA DE HULE DE 2 O 3 ONZAS,  PARA ASPIRAR,    INFANTES.</v>
          </cell>
          <cell r="D962" t="str">
            <v>C/U</v>
          </cell>
        </row>
        <row r="963">
          <cell r="B963">
            <v>7016160</v>
          </cell>
          <cell r="C963" t="str">
            <v>SET DE BANCO DE LLAVES DE 3 VIAS CON EXTENSION</v>
          </cell>
          <cell r="D963" t="str">
            <v>SET</v>
          </cell>
        </row>
        <row r="964">
          <cell r="B964">
            <v>7016033</v>
          </cell>
          <cell r="C964" t="str">
            <v>SUCCIONADOR DE LEE CON TRAMPA, GRADUADO CON CAPACIDAD DE 20 mL, CON TUBO MOLDEABLE DE  8 FRECH, CON BOQUILLA DESCARTABLE</v>
          </cell>
          <cell r="D964" t="str">
            <v>C/U</v>
          </cell>
        </row>
        <row r="965">
          <cell r="B965">
            <v>7016163</v>
          </cell>
          <cell r="C965" t="str">
            <v>SUSPENSOR ELASTICO CLINICO GRANDE</v>
          </cell>
          <cell r="D965" t="str">
            <v>C/U</v>
          </cell>
        </row>
        <row r="966">
          <cell r="B966">
            <v>7016164</v>
          </cell>
          <cell r="C966" t="str">
            <v>SUSPENSOR ELASTICO CLINICO MEDIANO</v>
          </cell>
          <cell r="D966" t="str">
            <v>C/U</v>
          </cell>
        </row>
        <row r="967">
          <cell r="B967">
            <v>7016166</v>
          </cell>
          <cell r="C967" t="str">
            <v>TERMOMETRO ORAL DE MERCURIO</v>
          </cell>
          <cell r="D967" t="str">
            <v>C/U</v>
          </cell>
        </row>
        <row r="968">
          <cell r="B968">
            <v>7016168</v>
          </cell>
          <cell r="C968" t="str">
            <v>TERMOMETRO RECTAL DE MERCURIO GRADUADO EN GRADOS CENTRIGRADOS.</v>
          </cell>
          <cell r="D968" t="str">
            <v>C/U</v>
          </cell>
        </row>
        <row r="969">
          <cell r="B969">
            <v>7016169</v>
          </cell>
          <cell r="C969" t="str">
            <v xml:space="preserve">TOALLAS SANITARIAS </v>
          </cell>
          <cell r="D969" t="str">
            <v>C/U</v>
          </cell>
        </row>
        <row r="970">
          <cell r="B970">
            <v>7016170</v>
          </cell>
          <cell r="C970" t="str">
            <v>TUBO CONECTOR EN Y, DE 1/4", PLASTICO</v>
          </cell>
          <cell r="D970" t="str">
            <v>C/U</v>
          </cell>
        </row>
        <row r="971">
          <cell r="B971">
            <v>7016171</v>
          </cell>
          <cell r="C971" t="str">
            <v>TUBO DE POLIETILENO PARA ESTERILIZAR SONDAS  3" X 75".</v>
          </cell>
          <cell r="D971" t="str">
            <v>ROLLO</v>
          </cell>
        </row>
        <row r="972">
          <cell r="B972">
            <v>7016172</v>
          </cell>
          <cell r="C972" t="str">
            <v>TUBO FLEXIBLE  DE POLIURETANO GRADO HOSPITALARIO TRANSPARENTE  3/8" X  1/2"  X 3/32", DE 50 PIES DE LARGO</v>
          </cell>
          <cell r="D972" t="str">
            <v>PIE</v>
          </cell>
        </row>
        <row r="973">
          <cell r="B973">
            <v>7016173</v>
          </cell>
          <cell r="C973" t="str">
            <v>TUBO FLEXIBLE DE POLIURETANO GRADO HOSPITALARIO TRANSPARENTE  1/4" X  3/8"  X 1/16", DE 50 PIES DE LARGO</v>
          </cell>
          <cell r="D973" t="str">
            <v>PIE</v>
          </cell>
        </row>
        <row r="974">
          <cell r="B974">
            <v>7016175</v>
          </cell>
          <cell r="C974" t="str">
            <v>VENDA ELASTICA DE 2" X 3 Ó 5 YARDAS.</v>
          </cell>
          <cell r="D974" t="str">
            <v>C/U</v>
          </cell>
        </row>
        <row r="975">
          <cell r="B975">
            <v>7016176</v>
          </cell>
          <cell r="C975" t="str">
            <v>VENDA ELASTICA DE 3" X 3 Ó 5 YARDAS.</v>
          </cell>
          <cell r="D975" t="str">
            <v>C/U</v>
          </cell>
        </row>
        <row r="976">
          <cell r="B976">
            <v>7016177</v>
          </cell>
          <cell r="C976" t="str">
            <v>VENDA ELASTICA DE 4" X 3 Ó 5 YARDAS.</v>
          </cell>
          <cell r="D976" t="str">
            <v>C/U</v>
          </cell>
        </row>
        <row r="977">
          <cell r="B977">
            <v>7016178</v>
          </cell>
          <cell r="C977" t="str">
            <v>VENDA ELASTICA DE 6" X 3 Ó 5 YARDAS.</v>
          </cell>
          <cell r="D977" t="str">
            <v>C/U</v>
          </cell>
        </row>
        <row r="978">
          <cell r="B978">
            <v>7016114</v>
          </cell>
          <cell r="C978" t="str">
            <v>BOLSA ABIERTA PARA ILEOSTOMIA, CON CLAMP, ANILLO SINTETICO RECORTABLE Y ADHESIVO DE PAPEL</v>
          </cell>
          <cell r="D978" t="str">
            <v>C/U</v>
          </cell>
        </row>
        <row r="979">
          <cell r="B979">
            <v>7016153</v>
          </cell>
          <cell r="C979" t="str">
            <v>PASTA O GEL  SELLADORA Y DE PROTECCION PARA PLACAS O BOLSAS DE OSTOMIA DE DIFERENTES COMPONENTES</v>
          </cell>
          <cell r="D979" t="str">
            <v>C/U</v>
          </cell>
        </row>
        <row r="980">
          <cell r="B980">
            <v>7016049</v>
          </cell>
          <cell r="C980" t="str">
            <v>CANULA NASAL PARA RECIEN NACIDO, CON DOS CONDUCTORES Y TUBO PARA OXIGENO, 80 - 100" DE LONGITUD, EMPAQUE INDIVIDUAL</v>
          </cell>
          <cell r="D980" t="str">
            <v>C/U</v>
          </cell>
        </row>
        <row r="981">
          <cell r="B981">
            <v>7016050</v>
          </cell>
          <cell r="C981" t="str">
            <v>CANULA NASAL PARA ADULTO, CON DOS CONDUCTORES Y TUBO PARA OXIGENO DE 50 PIES, RESISTENTE A  ALTAS PRESIONES DE OXIGENO, AJUSTABLE BAJO LA MANDIBULA.</v>
          </cell>
          <cell r="D981" t="str">
            <v>C/U</v>
          </cell>
        </row>
        <row r="982">
          <cell r="B982">
            <v>7016051</v>
          </cell>
          <cell r="C982" t="str">
            <v>COLCHON DE AIRE CON BOMBA CON SISTEMA ELECTRICO 120 V. ± 10%, 60 HZ..</v>
          </cell>
          <cell r="D982" t="str">
            <v>C/U</v>
          </cell>
        </row>
        <row r="983">
          <cell r="B983">
            <v>7016130</v>
          </cell>
          <cell r="C983" t="str">
            <v>CONECTOR DOBLE, MACHO LUER LOCK/MACHO LUER LOCK EN AMBOS LADOS</v>
          </cell>
          <cell r="D983" t="str">
            <v>C/U</v>
          </cell>
        </row>
        <row r="984">
          <cell r="B984">
            <v>7016132</v>
          </cell>
          <cell r="C984" t="str">
            <v>FILTRO PARA EQUIPO DE SUCCION DE MARCA Y MODELO DE USO INSTITUCIONAL</v>
          </cell>
          <cell r="D984" t="str">
            <v>C/U</v>
          </cell>
        </row>
        <row r="985">
          <cell r="B985">
            <v>7016054</v>
          </cell>
          <cell r="C985" t="str">
            <v>LUBRICANTE CONCENTRADO PARA INSTRUMENTAL QUIRURGICO</v>
          </cell>
          <cell r="D985" t="str">
            <v>LITRO</v>
          </cell>
        </row>
        <row r="986">
          <cell r="B986">
            <v>7016155</v>
          </cell>
          <cell r="C986" t="str">
            <v>PISTOLA PARA DISPARAR AGUJA PARA BIOPSIA TIPO TRUCUT</v>
          </cell>
          <cell r="D986" t="str">
            <v>C/U</v>
          </cell>
        </row>
        <row r="987">
          <cell r="B987">
            <v>7016152</v>
          </cell>
          <cell r="C987" t="str">
            <v>NAVAJA DESCARTABLE PARA RASURADO QUIRURGICO, ESTERIL, DE ACERO INOXIDABLE, COMPATIBLE CON RASURADORA ELECTRICA TIPO CLIPPER O SIMILAR, USO HOSPITALARIO</v>
          </cell>
          <cell r="D987" t="str">
            <v>C/U</v>
          </cell>
        </row>
        <row r="988">
          <cell r="B988">
            <v>7016119</v>
          </cell>
          <cell r="C988" t="str">
            <v>BOLSA DE PEGAR PARA COLOSTOMIA, CERRADA, RECORTABLE, CON FILTRO DE CARBÓN</v>
          </cell>
          <cell r="D988" t="str">
            <v>C/U</v>
          </cell>
        </row>
        <row r="989">
          <cell r="B989">
            <v>7016136</v>
          </cell>
          <cell r="C989" t="str">
            <v>GUANTE NO ESTERIL DE LATEX TALLA "M"</v>
          </cell>
          <cell r="D989" t="str">
            <v>C/U</v>
          </cell>
        </row>
        <row r="990">
          <cell r="B990">
            <v>7016137</v>
          </cell>
          <cell r="C990" t="str">
            <v>GUANTE NO ESTERIL DE LATEX TALLA "S"</v>
          </cell>
          <cell r="D990" t="str">
            <v>C/U</v>
          </cell>
        </row>
        <row r="991">
          <cell r="B991">
            <v>7016169</v>
          </cell>
          <cell r="C991" t="str">
            <v xml:space="preserve">TOALLAS SANITARIAS </v>
          </cell>
          <cell r="D991" t="str">
            <v>C/U</v>
          </cell>
        </row>
        <row r="992">
          <cell r="B992">
            <v>7017000</v>
          </cell>
          <cell r="C992" t="str">
            <v>PAPEL ABSORBENTE PARA ADULTO</v>
          </cell>
          <cell r="D992" t="str">
            <v>PAQUETE</v>
          </cell>
        </row>
        <row r="993">
          <cell r="B993">
            <v>7017051</v>
          </cell>
          <cell r="C993" t="str">
            <v>PAPEL DE IMPRESION TERMICO DE ALTA DENSIDAD,PARA  EQUIPO ULTRASONOGRAFIA.</v>
          </cell>
          <cell r="D993" t="str">
            <v>ROLLO</v>
          </cell>
        </row>
        <row r="994">
          <cell r="B994">
            <v>7017052</v>
          </cell>
          <cell r="C994" t="str">
            <v>PAPEL GRAFICADOR PARA ELECTROCARDIOGRAFO DE 1 CANAL, 50 MM., DIAMETRO DE CARRETE 1".</v>
          </cell>
          <cell r="D994" t="str">
            <v>ROLLO</v>
          </cell>
        </row>
        <row r="995">
          <cell r="B995">
            <v>7017003</v>
          </cell>
          <cell r="C995" t="str">
            <v>PAPEL GRAFICADOR PARA ELECTROCARDIOGRAFO DE 1 CANAL, 50 MM., DIAMETRO DE CARRETE 5/8".</v>
          </cell>
          <cell r="D995" t="str">
            <v>ROLLO</v>
          </cell>
        </row>
        <row r="996">
          <cell r="B996">
            <v>7017054</v>
          </cell>
          <cell r="C996" t="str">
            <v>PAPEL GRAFICADOR PARA ELECTROCARDIOGRAFO DE 1 CANAL, 63 MM., DIAMETRO DE CARRETE 5/8".</v>
          </cell>
          <cell r="D996" t="str">
            <v>ROLLO</v>
          </cell>
        </row>
        <row r="997">
          <cell r="B997">
            <v>7017055</v>
          </cell>
          <cell r="C997" t="str">
            <v>PAPEL GRAFICADOR PARA MONITOR DE 3 CANALES, PREDOBLADO, TIPO QUINTON, DOBLE RAYADO.</v>
          </cell>
          <cell r="D997" t="str">
            <v>BLOCK</v>
          </cell>
        </row>
        <row r="998">
          <cell r="B998">
            <v>7017006</v>
          </cell>
          <cell r="C998" t="str">
            <v>PAPEL GRAFICADOR PARA MONITOR FETAL TIPO COROMETRIC O SIMILAR.</v>
          </cell>
          <cell r="D998" t="str">
            <v>ROLLO</v>
          </cell>
        </row>
        <row r="999">
          <cell r="B999">
            <v>7017057</v>
          </cell>
          <cell r="C999" t="str">
            <v>PAPEL GRAFICADOR PREDOBLADO PARA ELECTROCARDIOGRAFO DE 12 CANALES TIPO QUINTON.</v>
          </cell>
          <cell r="D999" t="str">
            <v>BLOCK</v>
          </cell>
        </row>
        <row r="1000">
          <cell r="B1000">
            <v>7017058</v>
          </cell>
          <cell r="C1000" t="str">
            <v>PAPEL MILIMETRADO CON ESCALA 240 - 30, DE 15 X 10 CM</v>
          </cell>
          <cell r="D1000" t="str">
            <v>PAQUETE</v>
          </cell>
        </row>
        <row r="1001">
          <cell r="B1001">
            <v>7017009</v>
          </cell>
          <cell r="C1001" t="str">
            <v>PAPEL MILIMETRADO EN LIBRETA DE 100 HOJAS</v>
          </cell>
          <cell r="D1001" t="str">
            <v>LIBRETA</v>
          </cell>
        </row>
        <row r="1002">
          <cell r="B1002">
            <v>7017060</v>
          </cell>
          <cell r="C1002" t="str">
            <v>PAPEL PARA ELECTROCARDIOGRAFO PORTATIL (5 CMS.DE ANCHO) PARA MARCA Y MODELO INSTITUCIONAL</v>
          </cell>
          <cell r="D1002" t="str">
            <v>ROLLO</v>
          </cell>
        </row>
        <row r="1003">
          <cell r="B1003">
            <v>7017011</v>
          </cell>
          <cell r="C1003" t="str">
            <v>PAPEL PARA ESPIROMETRO, CAJA PARA UN ROLLO</v>
          </cell>
          <cell r="D1003" t="str">
            <v>C/U</v>
          </cell>
        </row>
        <row r="1004">
          <cell r="B1004">
            <v>7017012</v>
          </cell>
          <cell r="C1004" t="str">
            <v>PAPEL PARA MONITOR FETAL INTRAPARTUN (SONICAID)</v>
          </cell>
          <cell r="D1004" t="str">
            <v>BLOCK</v>
          </cell>
        </row>
        <row r="1005">
          <cell r="B1005">
            <v>7017013</v>
          </cell>
          <cell r="C1005" t="str">
            <v>PAPEL PARA MONITOR TIPO PAC KARD</v>
          </cell>
          <cell r="D1005" t="str">
            <v>ROLLO</v>
          </cell>
        </row>
        <row r="1006">
          <cell r="B1006">
            <v>7017014</v>
          </cell>
          <cell r="C1006" t="str">
            <v>PAPEL PREDOBLADO MILIMETRADO PARA MONITOREO DE  HOLTER.</v>
          </cell>
          <cell r="D1006" t="str">
            <v>HOJA</v>
          </cell>
        </row>
        <row r="1007">
          <cell r="B1007">
            <v>7017015</v>
          </cell>
          <cell r="C1007" t="str">
            <v>PAPEL PREDOBLADO PARA FONOCARDIOGRAFO</v>
          </cell>
          <cell r="D1007" t="str">
            <v>HOJA</v>
          </cell>
        </row>
        <row r="1008">
          <cell r="B1008">
            <v>7017016</v>
          </cell>
          <cell r="C1008" t="str">
            <v>PAPEL PREDOBLADO PARA MONITOR FETAL MODELO 111.</v>
          </cell>
          <cell r="D1008" t="str">
            <v>PAQUETE</v>
          </cell>
        </row>
        <row r="1009">
          <cell r="B1009">
            <v>7017017</v>
          </cell>
          <cell r="C1009" t="str">
            <v>PAPEL TERMICO ANALIZADOR IRMA</v>
          </cell>
          <cell r="D1009" t="str">
            <v>ROLLO</v>
          </cell>
        </row>
        <row r="1010">
          <cell r="B1010">
            <v>7017018</v>
          </cell>
          <cell r="C1010" t="str">
            <v>PAPEL TERMICO 110 MM P/USG MARCA SONY</v>
          </cell>
          <cell r="D1010" t="str">
            <v xml:space="preserve">ROLLO </v>
          </cell>
        </row>
        <row r="1011">
          <cell r="B1011">
            <v>7017019</v>
          </cell>
          <cell r="C1011" t="str">
            <v>PAPEL TERMICO DE ALTA DENSIDAD PARA ESPIROMETRO  55 MM DE ANCHO Y 5/8" DIAMETRO DE CARRETE.</v>
          </cell>
          <cell r="D1011" t="str">
            <v>ROLLO</v>
          </cell>
        </row>
        <row r="1012">
          <cell r="B1012">
            <v>7017020</v>
          </cell>
          <cell r="C1012" t="str">
            <v>PAPEL TERMICO DE ALTA DENSIDAD PARA ESPIROMETRO,   11 CM DE ANCHO Y 5/8" DIAMETRO DE CARRETE.</v>
          </cell>
          <cell r="D1012" t="str">
            <v>ROLLO</v>
          </cell>
        </row>
        <row r="1013">
          <cell r="B1013">
            <v>7017021</v>
          </cell>
          <cell r="C1013" t="str">
            <v>PAPEL TERMICO PARA GRAFICADORA COMPATIBLE CON EQUIPO SIEMENS</v>
          </cell>
          <cell r="D1013" t="str">
            <v>ROLLO</v>
          </cell>
        </row>
        <row r="1014">
          <cell r="B1014">
            <v>7017022</v>
          </cell>
          <cell r="C1014" t="str">
            <v>PAPEL TERMICO PARA HUMA CLOT .</v>
          </cell>
          <cell r="D1014" t="str">
            <v>C/U</v>
          </cell>
        </row>
        <row r="1015">
          <cell r="B1015">
            <v>7017023</v>
          </cell>
          <cell r="C1015" t="str">
            <v>PAPEL TERMICO PARA PRINTER</v>
          </cell>
          <cell r="D1015" t="str">
            <v>C/U</v>
          </cell>
        </row>
        <row r="1016">
          <cell r="B1016">
            <v>7017024</v>
          </cell>
          <cell r="C1016" t="str">
            <v>PAPEL TERMICO PARA PROCESADOR HEMATOLOGICO</v>
          </cell>
          <cell r="D1016" t="str">
            <v>ROLLO</v>
          </cell>
        </row>
        <row r="1017">
          <cell r="B1017">
            <v>7017025</v>
          </cell>
          <cell r="C1017" t="str">
            <v>TABLILLA PARA PAPEL IMPRESOR</v>
          </cell>
          <cell r="D1017" t="str">
            <v>C/U</v>
          </cell>
        </row>
        <row r="1018">
          <cell r="B1018">
            <v>7017064</v>
          </cell>
          <cell r="C1018" t="str">
            <v>PAPEL TERMICO PARA ELECTROCARDIOGRAFO DE 3 CANALES, SEGÚN MARCA Y MODELO DE EQUIPO INSTITUCIONAL</v>
          </cell>
          <cell r="D1018" t="str">
            <v>ROLLO</v>
          </cell>
        </row>
        <row r="1019">
          <cell r="B1019">
            <v>7017027</v>
          </cell>
          <cell r="C1019" t="str">
            <v>PAPEL MILIMETRADO, PREDOBLADO, PARA BANDA SIN FIN, SEGÚN MARCA Y MODELO DE EQUIPO INSTITUCIONAL</v>
          </cell>
          <cell r="D1019" t="str">
            <v>C/U</v>
          </cell>
        </row>
        <row r="1020">
          <cell r="B1020">
            <v>7017028</v>
          </cell>
          <cell r="C1020" t="str">
            <v>PAPEL TERMICO PARA GASOMETRO SEGÚN MARCA Y MODELO DE USO INSTITUCIONAL, PARA IMPRESIÓN DE 200 MUESTRAS COMO MINIMO</v>
          </cell>
          <cell r="D1020" t="str">
            <v>C/U</v>
          </cell>
        </row>
        <row r="1021">
          <cell r="B1021">
            <v>7018060</v>
          </cell>
          <cell r="C1021" t="str">
            <v>BALDE INOXIDABLE DE 15" DIAMETRO SUPERIOR, 12" ALTO.</v>
          </cell>
          <cell r="D1021" t="str">
            <v>C/U</v>
          </cell>
        </row>
        <row r="1022">
          <cell r="B1022">
            <v>7018001</v>
          </cell>
          <cell r="C1022" t="str">
            <v>BANDEJA INOXIDABLE  DE  17" X 11 1/2" X 1/2"      .</v>
          </cell>
          <cell r="D1022" t="str">
            <v>C/U</v>
          </cell>
        </row>
        <row r="1023">
          <cell r="B1023">
            <v>7018062</v>
          </cell>
          <cell r="C1023" t="str">
            <v>BANDEJA INOXIDABLE DE 13 1/2" X 9 3/4" X 5/8"  .</v>
          </cell>
          <cell r="D1023" t="str">
            <v>C/U</v>
          </cell>
        </row>
        <row r="1024">
          <cell r="B1024">
            <v>7018063</v>
          </cell>
          <cell r="C1024" t="str">
            <v>BANDEJA INOXIDABLE DE 15 1/8" X 10 1/2" X 1/2" .</v>
          </cell>
          <cell r="D1024" t="str">
            <v>C/U</v>
          </cell>
        </row>
        <row r="1025">
          <cell r="B1025">
            <v>7018064</v>
          </cell>
          <cell r="C1025" t="str">
            <v>BANDEJA INOXIDABLE DE 19" X 12 1/2" X 5/8", PARA MESA MAYO.</v>
          </cell>
          <cell r="D1025" t="str">
            <v>C/U</v>
          </cell>
        </row>
        <row r="1026">
          <cell r="B1026">
            <v>7018066</v>
          </cell>
          <cell r="C1026" t="str">
            <v>CAJA PARA ESTERILIZAR INSTRUMENTAL</v>
          </cell>
          <cell r="D1026" t="str">
            <v>C/U</v>
          </cell>
        </row>
        <row r="1027">
          <cell r="B1027">
            <v>7018006</v>
          </cell>
          <cell r="C1027" t="str">
            <v>CAJA PARA ESTERILIZAR INSTRUMENTAL DE MICROCIRUGIA</v>
          </cell>
          <cell r="D1027" t="str">
            <v>C/U</v>
          </cell>
        </row>
        <row r="1028">
          <cell r="B1028">
            <v>7018007</v>
          </cell>
          <cell r="C1028" t="str">
            <v>CAJA PARA ESTERILIZAR MATERIAL DE ORTOPEDIA</v>
          </cell>
          <cell r="D1028" t="str">
            <v>C/U</v>
          </cell>
        </row>
        <row r="1029">
          <cell r="B1029">
            <v>7018008</v>
          </cell>
          <cell r="C1029" t="str">
            <v>CAJA CON TAPADERA PARA MICROINSTRUMENTOS 230 X 130X 50 MM. INOXIDABLE.</v>
          </cell>
          <cell r="D1029" t="str">
            <v>C/U</v>
          </cell>
        </row>
        <row r="1030">
          <cell r="B1030">
            <v>7018069</v>
          </cell>
          <cell r="C1030" t="str">
            <v>COMODO INOXIDABLE PARA ADULTO.</v>
          </cell>
          <cell r="D1030" t="str">
            <v>C/U</v>
          </cell>
        </row>
        <row r="1031">
          <cell r="B1031">
            <v>7018010</v>
          </cell>
          <cell r="C1031" t="str">
            <v>COPA INOXIDABLE GRADUADA DE  2 ONZAS.</v>
          </cell>
          <cell r="D1031" t="str">
            <v>C/U</v>
          </cell>
        </row>
        <row r="1032">
          <cell r="B1032">
            <v>7018071</v>
          </cell>
          <cell r="C1032" t="str">
            <v>COPA INOXIDABLE GRADUADA DE 1000 mL SIN ASA.</v>
          </cell>
          <cell r="D1032" t="str">
            <v>C/U</v>
          </cell>
        </row>
        <row r="1033">
          <cell r="B1033">
            <v>7018072</v>
          </cell>
          <cell r="C1033" t="str">
            <v>COPA INOXIDABLE GRADUADA DE 500 mL CON ASA.</v>
          </cell>
          <cell r="D1033" t="str">
            <v>C/U</v>
          </cell>
        </row>
        <row r="1034">
          <cell r="B1034">
            <v>7018013</v>
          </cell>
          <cell r="C1034" t="str">
            <v>ESCUDILLA INOXIDABLE DE 4 3/8" X 2 5/8"</v>
          </cell>
          <cell r="D1034" t="str">
            <v>C/U</v>
          </cell>
        </row>
        <row r="1035">
          <cell r="B1035">
            <v>7018014</v>
          </cell>
          <cell r="C1035" t="str">
            <v>ESCUDILLA INOXIDABLE DE 5 3/4" X 2 3/8"</v>
          </cell>
          <cell r="D1035" t="str">
            <v>C/U</v>
          </cell>
        </row>
        <row r="1036">
          <cell r="B1036">
            <v>7018015</v>
          </cell>
          <cell r="C1036" t="str">
            <v>ESCUDILLA INOXIDABLE DE 6 1/2" X 2 1/2"</v>
          </cell>
          <cell r="D1036" t="str">
            <v>C/U</v>
          </cell>
        </row>
        <row r="1037">
          <cell r="B1037">
            <v>7018016</v>
          </cell>
          <cell r="C1037" t="str">
            <v>ESTETOSCOPIO CON CAMPANA Y DIAFRAGMA ADULTO</v>
          </cell>
          <cell r="D1037" t="str">
            <v>C/U</v>
          </cell>
        </row>
        <row r="1038">
          <cell r="B1038">
            <v>7018017</v>
          </cell>
          <cell r="C1038" t="str">
            <v>FRASCO DE VIDRIO CON TAPADERA INOXIDABLE, PARA TORUNDAS Y PALILLOS, 5" X 5" .</v>
          </cell>
          <cell r="D1038" t="str">
            <v>C/U</v>
          </cell>
        </row>
        <row r="1039">
          <cell r="B1039">
            <v>7018078</v>
          </cell>
          <cell r="C1039" t="str">
            <v>FRASCO DE VIDRIO CON TAPADERA INOXIDABLE, PARA TORUNDAS Y PALILLOS, 7" X 4" .</v>
          </cell>
          <cell r="D1039" t="str">
            <v>C/U</v>
          </cell>
        </row>
        <row r="1040">
          <cell r="B1040">
            <v>7018081</v>
          </cell>
          <cell r="C1040" t="str">
            <v>IRRIGADOR INOXIDABLE DE 2 1/4 LITRO .</v>
          </cell>
          <cell r="D1040" t="str">
            <v>C/U</v>
          </cell>
        </row>
        <row r="1041">
          <cell r="B1041">
            <v>7018020</v>
          </cell>
          <cell r="C1041" t="str">
            <v>PORTA BALDE, CON RODOS, PARA SALA  DE OPERACIONES (CON BALDE).</v>
          </cell>
          <cell r="D1041" t="str">
            <v>C/U</v>
          </cell>
        </row>
        <row r="1042">
          <cell r="B1042">
            <v>7018083</v>
          </cell>
          <cell r="C1042" t="str">
            <v>PORTA EXPEDIENTE,DE ALUMINIO 9" X 12"</v>
          </cell>
          <cell r="D1042" t="str">
            <v>C/U</v>
          </cell>
        </row>
        <row r="1043">
          <cell r="B1043">
            <v>7018084</v>
          </cell>
          <cell r="C1043" t="str">
            <v>PORTA PINZA INOXIDABLE 7 1/4" X 3 1/8"</v>
          </cell>
          <cell r="D1043" t="str">
            <v>C/U</v>
          </cell>
        </row>
        <row r="1044">
          <cell r="B1044">
            <v>7018023</v>
          </cell>
          <cell r="C1044" t="str">
            <v>RACK PORTA INSTRUMENTO DE ALUMINIO CON TAPADERA.</v>
          </cell>
          <cell r="D1044" t="str">
            <v>C/U</v>
          </cell>
        </row>
        <row r="1045">
          <cell r="B1045">
            <v>7018024</v>
          </cell>
          <cell r="C1045" t="str">
            <v>RACK PORTA INSTRUMENTO FINO INOXIDABLE PEQUEÑO.</v>
          </cell>
          <cell r="D1045" t="str">
            <v>C/U</v>
          </cell>
        </row>
        <row r="1046">
          <cell r="B1046">
            <v>7018087</v>
          </cell>
          <cell r="C1046" t="str">
            <v>RECIPIENTE INOXIDABLE 12 3/4" X 3 1/2", TIPO HUACAL</v>
          </cell>
          <cell r="D1046" t="str">
            <v>C/U</v>
          </cell>
        </row>
        <row r="1047">
          <cell r="B1047">
            <v>7018088</v>
          </cell>
          <cell r="C1047" t="str">
            <v>TAMBO INOXIDABLE CON TAPADERA 7" X 7"</v>
          </cell>
          <cell r="D1047" t="str">
            <v>C/U</v>
          </cell>
        </row>
        <row r="1048">
          <cell r="B1048">
            <v>7018027</v>
          </cell>
          <cell r="C1048" t="str">
            <v>TAMBO INOXIDABLE CON TAPADERA, 4 7/8" X 6 7/8"</v>
          </cell>
          <cell r="D1048" t="str">
            <v>C/U</v>
          </cell>
        </row>
        <row r="1049">
          <cell r="B1049">
            <v>7018028</v>
          </cell>
          <cell r="C1049" t="str">
            <v>URINAL INOXIDABLE MASCULINO  CON  ASA</v>
          </cell>
          <cell r="D1049" t="str">
            <v>C/U</v>
          </cell>
        </row>
        <row r="1050">
          <cell r="B1050">
            <v>7018092</v>
          </cell>
          <cell r="C1050" t="str">
            <v>VASIJA ARRIÑONADA, INOXIDABLE, 8" X 3 1/2" X 2" .</v>
          </cell>
          <cell r="D1050" t="str">
            <v>C/U</v>
          </cell>
        </row>
        <row r="1051">
          <cell r="B1051">
            <v>7018030</v>
          </cell>
          <cell r="C1051" t="str">
            <v>VASIJA DE ACERO INOXIDABLE DE 5 X 2 "</v>
          </cell>
          <cell r="D1051" t="str">
            <v>C/U</v>
          </cell>
        </row>
        <row r="1052">
          <cell r="B1052">
            <v>7018031</v>
          </cell>
          <cell r="C1052" t="str">
            <v>VASIJA INOXIDABLE, SIN TAPADERA, 10 3/8" X 6 3/8" X 2 1/2" .</v>
          </cell>
          <cell r="D1052" t="str">
            <v>C/U</v>
          </cell>
        </row>
        <row r="1053">
          <cell r="B1053">
            <v>7018032</v>
          </cell>
          <cell r="C1053" t="str">
            <v>VASIJA INOXIDABLE, SIN TAPADERA, 10" X 6 1/2" X 2".</v>
          </cell>
          <cell r="D1053" t="str">
            <v>C/U</v>
          </cell>
        </row>
        <row r="1054">
          <cell r="B1054">
            <v>7018033</v>
          </cell>
          <cell r="C1054" t="str">
            <v>VASIJA INOXIDABLE, SIN TAPADERA, 12 1/4" X 7 5/8" X 2 1/8" .</v>
          </cell>
          <cell r="D1054" t="str">
            <v>C/U</v>
          </cell>
        </row>
        <row r="1055">
          <cell r="B1055">
            <v>7018034</v>
          </cell>
          <cell r="C1055" t="str">
            <v>VASIJA INOXIDABLE SIN TAPADERA 2 1/2" X 9 3/4</v>
          </cell>
          <cell r="D1055" t="str">
            <v>C/U</v>
          </cell>
        </row>
        <row r="1056">
          <cell r="B1056">
            <v>7018035</v>
          </cell>
          <cell r="C1056" t="str">
            <v>VASIJA INOXIDABLE SIN TAPADERA 2 1/2" X 6 7/8</v>
          </cell>
          <cell r="D1056" t="str">
            <v>C/U</v>
          </cell>
        </row>
        <row r="1057">
          <cell r="B1057">
            <v>7018036</v>
          </cell>
          <cell r="C1057" t="str">
            <v>VASIJA INOXIDABLE, SIN TAPADERA, 20 3/4" X 12 3/4"X 2 1/2" .</v>
          </cell>
          <cell r="D1057" t="str">
            <v>C/U</v>
          </cell>
        </row>
        <row r="1058">
          <cell r="B1058">
            <v>7018037</v>
          </cell>
          <cell r="C1058" t="str">
            <v>VASIJA INOXIDABLE, SIN TAPADERA, 8 7/8" X 5" X 2" .</v>
          </cell>
          <cell r="D1058" t="str">
            <v>C/U</v>
          </cell>
        </row>
        <row r="1059">
          <cell r="B1059">
            <v>7020146</v>
          </cell>
          <cell r="C1059" t="str">
            <v>BOLSAS PARA ARCHIVAR ESTUDIOS RADIOGRAFICOS DE 19" X 15", CON IDENTIFICACION DE PACIENTE Y LOGO DEL  ISSS.</v>
          </cell>
          <cell r="D1059" t="str">
            <v>C/U</v>
          </cell>
        </row>
        <row r="1060">
          <cell r="B1060">
            <v>7020172</v>
          </cell>
          <cell r="C1060" t="str">
            <v>ENEMA DE SULFATO DE BARIO DE ALTA DENSIDAD, CON SU CANULA Y BALON INCORPORADO</v>
          </cell>
          <cell r="D1060" t="str">
            <v>SET</v>
          </cell>
        </row>
        <row r="1061">
          <cell r="B1061">
            <v>7020204</v>
          </cell>
          <cell r="C1061" t="str">
            <v>PELICULA RADIOGRAFICA PARA MAMOGRAFIA DE ALTA RESOLUCION, DENSIDAD Y CONTRASTE, DE UNA SOLA EMULSION, PARA PROCESO AUTOMATICO TAMAÑO 24 X 30 CMS.</v>
          </cell>
          <cell r="D1061" t="str">
            <v>HOJA</v>
          </cell>
        </row>
        <row r="1062">
          <cell r="B1062">
            <v>7020212</v>
          </cell>
          <cell r="C1062" t="str">
            <v>SUSTANCIA PARA PREPARAR QUIMICO REVELADOR REFORZADOR PARA PROCESADORA AUTOMATICA DE PELICULAS.</v>
          </cell>
          <cell r="D1062" t="str">
            <v>LITRO</v>
          </cell>
        </row>
        <row r="1063">
          <cell r="B1063">
            <v>7020211</v>
          </cell>
          <cell r="C1063" t="str">
            <v>SUSTANCIA PARA PREPARAR QUIMICO FIJADOR REFORZADOR PARA PROCESADORA AUTOMATICA DE PELICULAS</v>
          </cell>
          <cell r="D1063" t="str">
            <v>LITRO</v>
          </cell>
        </row>
        <row r="1064">
          <cell r="B1064">
            <v>7020203</v>
          </cell>
          <cell r="C1064" t="str">
            <v>PELICULA RADIOGRAFICA PARA MAMOGRAFIA DE ALTA RESOLUCION DENSIDAD Y CONTRASTE DE UNA SOLA EMULSION, PARA PROCESO AUTOMATICO DE 18 X 24 CM</v>
          </cell>
          <cell r="D1064" t="str">
            <v>HOJA</v>
          </cell>
        </row>
        <row r="1065">
          <cell r="B1065">
            <v>7020201</v>
          </cell>
          <cell r="C1065" t="str">
            <v>PELICULA DE 7X17 SENSIBLE LUZ VERDE</v>
          </cell>
          <cell r="D1065" t="str">
            <v>C/U</v>
          </cell>
        </row>
        <row r="1066">
          <cell r="B1066">
            <v>7020175</v>
          </cell>
          <cell r="C1066" t="str">
            <v>GEL PARA USO EN ULTRASONOGRAFIA</v>
          </cell>
          <cell r="D1066" t="str">
            <v>C/U</v>
          </cell>
        </row>
        <row r="1067">
          <cell r="B1067">
            <v>7020187</v>
          </cell>
          <cell r="C1067" t="str">
            <v>MEDIO DE CONTRASTE ENDOVENOSO IONICO PARA USO EN PROCEDIMIENTOS RADIOGRAFICOS. FRASCO DE 30 - 150 mL.</v>
          </cell>
          <cell r="D1067" t="str">
            <v>ML</v>
          </cell>
        </row>
        <row r="1068">
          <cell r="B1068">
            <v>7020210</v>
          </cell>
          <cell r="C1068" t="str">
            <v>SULFATO DE BARIO</v>
          </cell>
          <cell r="D1068" t="str">
            <v>KG</v>
          </cell>
        </row>
        <row r="1069">
          <cell r="B1069">
            <v>7020188</v>
          </cell>
          <cell r="C1069" t="str">
            <v>MEDIO DE CONTRASTE ENDOVENOSO NO IONICO   PARA PROCEDIMIENTOS RADIOGRAFICOS. FRASCO DE 30 - 150 mL</v>
          </cell>
          <cell r="D1069" t="str">
            <v>ML</v>
          </cell>
        </row>
        <row r="1070">
          <cell r="B1070">
            <v>7020011</v>
          </cell>
          <cell r="C1070" t="str">
            <v>MEDIO DE CONTRASTE YODADO PARA ESTUDIO DE ARBOL BRONQUIAL.</v>
          </cell>
          <cell r="D1070" t="str">
            <v>ML</v>
          </cell>
        </row>
        <row r="1071">
          <cell r="B1071">
            <v>7020191</v>
          </cell>
          <cell r="C1071" t="str">
            <v>MEDIO DE CONTRASTE ORAL BARITADO DE BAJA DENSIDAD EN SUSPENSION CONCENTRADA. FRASCO DE 150 - 300 mL.</v>
          </cell>
          <cell r="D1071" t="str">
            <v>ML</v>
          </cell>
        </row>
        <row r="1072">
          <cell r="B1072">
            <v>7020186</v>
          </cell>
          <cell r="C1072" t="str">
            <v>MEDIO DE CONTRASTE EFERVECENTE</v>
          </cell>
          <cell r="D1072" t="str">
            <v>C/U</v>
          </cell>
        </row>
        <row r="1073">
          <cell r="B1073">
            <v>7020202</v>
          </cell>
          <cell r="C1073" t="str">
            <v>PELICULA DE 8"X 10" SENSIBLE LUZ</v>
          </cell>
          <cell r="D1073" t="str">
            <v>C/U</v>
          </cell>
        </row>
        <row r="1074">
          <cell r="B1074">
            <v>7020197</v>
          </cell>
          <cell r="C1074" t="str">
            <v>PELICULA DE 10X12 SENSIBLE LUZ VERDE</v>
          </cell>
          <cell r="D1074" t="str">
            <v>C/U</v>
          </cell>
        </row>
        <row r="1075">
          <cell r="B1075">
            <v>7020198</v>
          </cell>
          <cell r="C1075" t="str">
            <v>PELICULA DE 11"X14" SENSIBLE A LA LUZ</v>
          </cell>
          <cell r="D1075" t="str">
            <v>C/U</v>
          </cell>
        </row>
        <row r="1076">
          <cell r="B1076">
            <v>7020199</v>
          </cell>
          <cell r="C1076" t="str">
            <v>PELICULA DE 14X14 SENSIBLE LUZ VERDE</v>
          </cell>
          <cell r="D1076" t="str">
            <v>C/U</v>
          </cell>
        </row>
        <row r="1077">
          <cell r="B1077">
            <v>7020200</v>
          </cell>
          <cell r="C1077" t="str">
            <v>PELICULA DE 14X17 SENSIBLE LUZ VERDE</v>
          </cell>
          <cell r="D1077" t="str">
            <v>C/U</v>
          </cell>
        </row>
        <row r="1078">
          <cell r="B1078">
            <v>7020019</v>
          </cell>
          <cell r="C1078" t="str">
            <v>CATETER RENAL DOBLE CURVA FRENCH 6</v>
          </cell>
          <cell r="D1078" t="str">
            <v>C/U</v>
          </cell>
        </row>
        <row r="1079">
          <cell r="B1079">
            <v>7020171</v>
          </cell>
          <cell r="C1079" t="str">
            <v xml:space="preserve">DILATADOR RADIOPACO, DIAMETRO 6 FRENCH, DE 15 CM DE LARGO, ± 3 CM </v>
          </cell>
          <cell r="D1079" t="str">
            <v>C/U</v>
          </cell>
        </row>
        <row r="1080">
          <cell r="B1080">
            <v>7020021</v>
          </cell>
          <cell r="C1080" t="str">
            <v xml:space="preserve">DILATADOR RADIOPACO, DIAMETRO 5 FRENCH, DE 15 CM DE LARGO, ± 3 CM </v>
          </cell>
          <cell r="D1080" t="str">
            <v>C/U</v>
          </cell>
        </row>
        <row r="1081">
          <cell r="B1081">
            <v>7020022</v>
          </cell>
          <cell r="C1081" t="str">
            <v>EQUIPO PARA SIALOGRAFIA, DESECHABLE, QUE INCLUYA AGUJA Y DILATADORES.</v>
          </cell>
          <cell r="D1081" t="str">
            <v>SET</v>
          </cell>
        </row>
        <row r="1082">
          <cell r="B1082">
            <v>7020023</v>
          </cell>
          <cell r="C1082" t="str">
            <v xml:space="preserve">AGUJA CHIBA DESECHABLE # 19 DE 20 CM  DE LARGO, ± 3 CM </v>
          </cell>
          <cell r="D1082" t="str">
            <v>C/U</v>
          </cell>
        </row>
        <row r="1083">
          <cell r="B1083">
            <v>7020141</v>
          </cell>
          <cell r="C1083" t="str">
            <v xml:space="preserve">AGUJA CHIBA DESECHABLE # 20 DE 20 CM  DE LARGO, ± 3 CM </v>
          </cell>
          <cell r="D1083" t="str">
            <v>C/U</v>
          </cell>
        </row>
        <row r="1084">
          <cell r="B1084">
            <v>7020142</v>
          </cell>
          <cell r="C1084" t="str">
            <v xml:space="preserve">AGUJA CHIBA DESECHABLE # 21 DE 20 CM  DE LARGO, ± 3 CM </v>
          </cell>
          <cell r="D1084" t="str">
            <v>C/U</v>
          </cell>
        </row>
        <row r="1085">
          <cell r="B1085">
            <v>7020143</v>
          </cell>
          <cell r="C1085" t="str">
            <v xml:space="preserve">AGUJA CHIBA DESECHABLE # 22 DE 20 CM  DE LARGO , ± 3 CM </v>
          </cell>
          <cell r="D1085" t="str">
            <v>C/U</v>
          </cell>
        </row>
        <row r="1086">
          <cell r="B1086">
            <v>7020027</v>
          </cell>
          <cell r="C1086" t="str">
            <v>AGUJA DESECHABLE FRANSEN PARA BIOPSIA PULMONAR</v>
          </cell>
          <cell r="D1086" t="str">
            <v>C/U</v>
          </cell>
        </row>
        <row r="1087">
          <cell r="B1087">
            <v>7020028</v>
          </cell>
          <cell r="C1087" t="str">
            <v>JERINGA ANGIOGRAFICA  TRI-PACK DESECHABLE DE 125 - 200  mL. ADAPTABLE A INYECTOR DE ALTA  PRESION MEDRAD.   C/U</v>
          </cell>
          <cell r="D1087" t="str">
            <v>C/U</v>
          </cell>
        </row>
        <row r="1088">
          <cell r="B1088">
            <v>7020180</v>
          </cell>
          <cell r="C1088" t="str">
            <v>JERINGA ANGIOGRAFICA DE BAJA PRESION DESECHABLE DE 200cc. ADAPTABLE A INYECTOR DE PRESION MEDRAD.  C/U</v>
          </cell>
          <cell r="D1088" t="str">
            <v>C/U</v>
          </cell>
        </row>
        <row r="1089">
          <cell r="B1089">
            <v>7020030</v>
          </cell>
          <cell r="C1089" t="str">
            <v>PELICULA 8 X 10 PARA RADIOGRAFIA DIGITAL PARA USO EN TERMO IMPRESOR</v>
          </cell>
          <cell r="D1089" t="str">
            <v>HOJA</v>
          </cell>
        </row>
        <row r="1090">
          <cell r="B1090">
            <v>7020190</v>
          </cell>
          <cell r="C1090" t="str">
            <v>MEDIO DE CONTRASTE ENDOVENOSO PARAMAGNETICO FRASCO DE 10 - 50 mL.</v>
          </cell>
          <cell r="D1090" t="str">
            <v>ML</v>
          </cell>
        </row>
        <row r="1091">
          <cell r="B1091">
            <v>7020032</v>
          </cell>
          <cell r="C1091" t="str">
            <v>CHASIS CON PANTALLAS DE FOSFORO CON MEMORIA 10" X 12"</v>
          </cell>
          <cell r="D1091" t="str">
            <v>C/U</v>
          </cell>
        </row>
        <row r="1092">
          <cell r="B1092">
            <v>7020033</v>
          </cell>
          <cell r="C1092" t="str">
            <v>CHASIS CON PANTALLAS DE FOSFORO CON MEMORIA 11" X 14"</v>
          </cell>
          <cell r="D1092" t="str">
            <v>C/U</v>
          </cell>
        </row>
        <row r="1093">
          <cell r="B1093">
            <v>7020034</v>
          </cell>
          <cell r="C1093" t="str">
            <v>CHASIS CON PANTALLAS DE FOSFORO CON MEMORIA 14" X 14"</v>
          </cell>
          <cell r="D1093" t="str">
            <v>C/U</v>
          </cell>
        </row>
        <row r="1094">
          <cell r="B1094">
            <v>7020166</v>
          </cell>
          <cell r="C1094" t="str">
            <v>CHASIS CON PANTALLAS DE FOSFORO CON MEMORIA 14" X 17"</v>
          </cell>
          <cell r="D1094" t="str">
            <v>C/U</v>
          </cell>
        </row>
        <row r="1095">
          <cell r="B1095">
            <v>7020036</v>
          </cell>
          <cell r="C1095" t="str">
            <v>JERINGA TRI-PACK  PARA INYECTOR TIPO MEDRAD DE BAJA PRESION DE DOBLE EMBOLO DE 20 - 50 ml C/U .</v>
          </cell>
          <cell r="D1095" t="str">
            <v>C/U</v>
          </cell>
        </row>
        <row r="1096">
          <cell r="B1096">
            <v>7020205</v>
          </cell>
          <cell r="C1096" t="str">
            <v>PELICULA TERMICA 14" X 17" D T 2 B, COMPATIBLE CON  CAMARA SECA AGFA DRYSTAR 5,300</v>
          </cell>
          <cell r="D1096" t="str">
            <v>C/U</v>
          </cell>
        </row>
        <row r="1097">
          <cell r="B1097">
            <v>7020214</v>
          </cell>
          <cell r="C1097" t="str">
            <v>TUBO CONECTOR DOBLE EN ESPIRAL DE BAJA PRESION PARA INYECTOR TIPO MEDRAD, DE 50" - 70" DE LONGITUD</v>
          </cell>
          <cell r="D1097" t="str">
            <v>C/U</v>
          </cell>
        </row>
        <row r="1098">
          <cell r="B1098">
            <v>7020215</v>
          </cell>
          <cell r="C1098" t="str">
            <v>TUBO CONECTOR EN ESPIRAL DE BAJA PRESION HASTA 355 P.S.I. PARA INYECTOR TIPO MEDRAD DE 50"- 70" DE LONGITUD</v>
          </cell>
          <cell r="D1098" t="str">
            <v>C/U</v>
          </cell>
        </row>
        <row r="1099">
          <cell r="B1099">
            <v>7020148</v>
          </cell>
          <cell r="C1099" t="str">
            <v>CASETA RADIOGRAFICA PARA ALTA CARGA DE TRABAJO, CON SU RESPECTIVO PAR DE PANTALLAS INTENSIFICADORAS DE ALTA VELOCIDAD, SENSIBLE A LUZ VERDE 10" X 12". UNIDAD</v>
          </cell>
          <cell r="D1099" t="str">
            <v>C/U</v>
          </cell>
        </row>
        <row r="1100">
          <cell r="B1100">
            <v>7020149</v>
          </cell>
          <cell r="C1100" t="str">
            <v>CASETA RADIOGRAFICA PARA ALTA CARGA DE TRABAJO, CON SU RESPECTIVO PAR DE PANTALLAS INTENSIFICADORAS DE ALTA VELOCIDAD, SENSIBLE A LUZ VERDE 11" X 14". UNIDAD</v>
          </cell>
          <cell r="D1100" t="str">
            <v>C/U</v>
          </cell>
        </row>
        <row r="1101">
          <cell r="B1101">
            <v>7020150</v>
          </cell>
          <cell r="C1101" t="str">
            <v>CASETA RADIOGRAFICA PARA ALTA CARGA DE TRABAJO, CON SU RESPECTIVO PAR DE PANTALLAS INTENSIFICADORAS DE ALTA VELOCIDAD, SENSIBLE A LUZ VERDE 14" X 14". UNIDAD</v>
          </cell>
          <cell r="D1101" t="str">
            <v>C/U</v>
          </cell>
        </row>
        <row r="1102">
          <cell r="B1102">
            <v>7020151</v>
          </cell>
          <cell r="C1102" t="str">
            <v>CASETA RADIOGRAFICA PARA ALTA CARGA DE TRABAJO, CON SU RESPECTIVO PAR DE PANTALLAS INTENSIFICADORAS DE ALTA VELOCIDAD, SENSIBLE A LUZ VERDE 14" X 17". UNIDAD</v>
          </cell>
          <cell r="D1102" t="str">
            <v>C/U</v>
          </cell>
        </row>
        <row r="1103">
          <cell r="B1103">
            <v>7020044</v>
          </cell>
          <cell r="C1103" t="str">
            <v>CATETER VISCERAL RENAL DOBLE CURVA, DIAMETRO 6.0 FRENCH, 38MM, LONGITUD 65 CM ± 10%.</v>
          </cell>
          <cell r="D1103" t="str">
            <v>C/U</v>
          </cell>
        </row>
        <row r="1104">
          <cell r="B1104">
            <v>7020045</v>
          </cell>
          <cell r="C1104" t="str">
            <v>CATETER VISCERAL RENAL DOBLE CURVA, DIAMETRO 7.0 FRENCH, 38 MM; LONGITUD 65 CM ± 10%</v>
          </cell>
          <cell r="D1104" t="str">
            <v>C/U</v>
          </cell>
        </row>
        <row r="1105">
          <cell r="B1105">
            <v>7020046</v>
          </cell>
          <cell r="C1105" t="str">
            <v>DELANTAL PLOMADO CON ESPESOR DE 0.5 - 0.7  MM. DE PLOMO O EQUIVALENTE, SEGÚN NORMA.</v>
          </cell>
          <cell r="D1105" t="str">
            <v>C/U</v>
          </cell>
        </row>
        <row r="1106">
          <cell r="B1106">
            <v>7020047</v>
          </cell>
          <cell r="C1106" t="str">
            <v>DEPOSITO PLOMADO PARA ALMACENAR PELICULAS DE DIFERENTES TAMAÑOS EN CUARTO OBSCURO</v>
          </cell>
          <cell r="D1106" t="str">
            <v>C/U</v>
          </cell>
        </row>
        <row r="1107">
          <cell r="B1107">
            <v>7020048</v>
          </cell>
          <cell r="C1107" t="str">
            <v>GABINETE PLOMADO DE TRANSFERENCIA PARA EL PASO DE  CASETAS HACIA EL CUARTO OSCURO</v>
          </cell>
          <cell r="D1107" t="str">
            <v>C/U</v>
          </cell>
        </row>
        <row r="1108">
          <cell r="B1108">
            <v>7020049</v>
          </cell>
          <cell r="C1108" t="str">
            <v xml:space="preserve">GUANTE PLOMADO FLEXIBLE CON PROTECCION  DE 0.25 mm de Pb. </v>
          </cell>
          <cell r="D1108" t="str">
            <v>C/U</v>
          </cell>
        </row>
        <row r="1109">
          <cell r="B1109">
            <v>7020050</v>
          </cell>
          <cell r="C1109" t="str">
            <v>LETRAS  DE PLOMO "R"  Y "L",  O   "DERECHA" E "IZQUIERDA" O " D" E "I."  PAR</v>
          </cell>
          <cell r="D1109" t="str">
            <v>PAR</v>
          </cell>
        </row>
        <row r="1110">
          <cell r="B1110">
            <v>7020051</v>
          </cell>
          <cell r="C1110" t="str">
            <v>SET DE SONDAS PARA ESTUDIO DE SIALOGRAFIA, DESECHABLES.</v>
          </cell>
          <cell r="D1110" t="str">
            <v>SET</v>
          </cell>
        </row>
        <row r="1111">
          <cell r="B1111">
            <v>7020052</v>
          </cell>
          <cell r="C1111" t="str">
            <v>CHASIS (CASETA) RADIOGRAFICA CON PARRILLA ANTIDIFUSORA, INOXIDABLE, PARA TRABAJO PESADO, DE 10" X 12" APROXIMADO, CON SU PANTALLA INTENSIFICADORA DE ALTA VELOCIDAD DE EMISION DE LUZ VERDE Y SU RESPECTIVA MARCA DE IDENTIFICACION INCORPORADA.</v>
          </cell>
          <cell r="D1111" t="str">
            <v>C/U</v>
          </cell>
        </row>
        <row r="1112">
          <cell r="B1112">
            <v>7020156</v>
          </cell>
          <cell r="C1112" t="str">
            <v>CATETER PARA HISTEROSALPINGOGRAFIA CON BALON DE 6 - 8 FRENCH</v>
          </cell>
          <cell r="D1112" t="str">
            <v>SET</v>
          </cell>
        </row>
        <row r="1113">
          <cell r="B1113">
            <v>7020054</v>
          </cell>
          <cell r="C1113" t="str">
            <v>CHASIS (CASETA) RADIOGRAFICA CON PARRILLA ANTIDIFUSORA, INOXIDABLE, PARA TRABAJO PESADO, DE 11" X 14" APROXIMADO, CON SU PANTALLA INTENSIFICADORA DE ALTA VELOCIDAD DE EMISION DE LUZ VERDE Y SU RESPECTIVA MARCA DE IDENTIFICACION INCORPORADA.</v>
          </cell>
          <cell r="D1113" t="str">
            <v>C/U</v>
          </cell>
        </row>
        <row r="1114">
          <cell r="B1114">
            <v>7020055</v>
          </cell>
          <cell r="C1114" t="str">
            <v>CASETA RADIOGRAFICA PARA ALTA CARGA DE TRABAJO, CON SU RESPECTIVO PAR DE PANTALLAS INTENSIFICADORAS DE ALTA VELOCIDAD, SENSIBLE A LUZ VERDE 7" X 17", UNIDAD</v>
          </cell>
          <cell r="D1114" t="str">
            <v>C/U</v>
          </cell>
        </row>
        <row r="1115">
          <cell r="B1115">
            <v>7020056</v>
          </cell>
          <cell r="C1115" t="str">
            <v>CHASIS (CASETA) RADIOGRAFICA CON PARRILLA ANTIDIFUSORA, INOXIDABLE, PARA TRABAJO PESADO, DE 14" X 17" APROXIMADO, CON SU PANTALLA INTENSIFICADORA DE ALTA VELOCIDAD DE EMISION DE LUZ VERDE Y SU RESPECTIVA MARCA DE IDENTIFICACION INCORPORADA.</v>
          </cell>
          <cell r="D1115" t="str">
            <v>C/U</v>
          </cell>
        </row>
        <row r="1116">
          <cell r="B1116">
            <v>7020057</v>
          </cell>
          <cell r="C1116" t="str">
            <v>CASETA RADIOGRAFICA PARA ALTA CARGA DE TRABAJO, CON SU RESPECTIVO PAR DE PANTALLAS INTENSIFICADORAS DE ALTA VELOCIDAD, SENSIBLE A LUZ VERDE 8" X 10". UNIDAD</v>
          </cell>
          <cell r="D1116" t="str">
            <v>C/U</v>
          </cell>
        </row>
        <row r="1117">
          <cell r="B1117">
            <v>7020058</v>
          </cell>
          <cell r="C1117" t="str">
            <v>CHASIS (CASETA) RADIOGRAFICA CON PARRILLA ANTIDIFUSORA, CURVA, INOXIDABLE, PARA TRABAJO PESADO, DE 8" X 10" APROXIMADO, CON SU PANTALLA INTENSIFICADORA DE ALTA VELOCIDAD DE EMISION DE LUZ VERDE Y SU RESPECTIVA MARCA DE IDENTIFICACION INCORPORADA.</v>
          </cell>
          <cell r="D1117" t="str">
            <v>C/U</v>
          </cell>
        </row>
        <row r="1118">
          <cell r="B1118">
            <v>7020059</v>
          </cell>
          <cell r="C1118" t="str">
            <v>CUELLO PLOMADO (BAJO NORMA)</v>
          </cell>
          <cell r="D1118" t="str">
            <v>C/U</v>
          </cell>
        </row>
        <row r="1119">
          <cell r="B1119">
            <v>7020060</v>
          </cell>
          <cell r="C1119" t="str">
            <v>HELIO LIQUIDO PARA EQUIPO DE RESONANCIA MAGNETICA, CILINDRO DE 250 - 500 LITROS</v>
          </cell>
          <cell r="D1119" t="str">
            <v>LITRO</v>
          </cell>
        </row>
        <row r="1120">
          <cell r="B1120">
            <v>7020061</v>
          </cell>
          <cell r="C1120" t="str">
            <v>LENTE PLOMADO (BAJO NORMA)</v>
          </cell>
          <cell r="D1120" t="str">
            <v>C/U</v>
          </cell>
        </row>
        <row r="1121">
          <cell r="B1121">
            <v>7020195</v>
          </cell>
          <cell r="C1121" t="str">
            <v>PELICULA DRY VIEW PARA CAMARA SECA LASER  14” X 17” BASE DE PLATA</v>
          </cell>
          <cell r="D1121" t="str">
            <v>HOJA</v>
          </cell>
        </row>
        <row r="1122">
          <cell r="B1122">
            <v>7020063</v>
          </cell>
          <cell r="C1122" t="str">
            <v>PELICULA PARA CAMARA SECA TERMICA 14” X 17”  PARA DRYSTAR 3000</v>
          </cell>
          <cell r="D1122" t="str">
            <v>HOJA</v>
          </cell>
        </row>
        <row r="1123">
          <cell r="B1123">
            <v>7022000</v>
          </cell>
          <cell r="C1123" t="str">
            <v xml:space="preserve">ALEACION DE BISMUTO, CADMIO, ESTAÑO Y PLOMO. BLOQUE </v>
          </cell>
          <cell r="D1123" t="str">
            <v>C/U</v>
          </cell>
        </row>
        <row r="1124">
          <cell r="B1124">
            <v>7022001</v>
          </cell>
          <cell r="C1124" t="str">
            <v xml:space="preserve">BOLSA DE SELLADO AL VACIO DE 50 - 60 cm DE ANCHO Y 70 - 90 cm DE LARGO, DE NYLON REFORZADO </v>
          </cell>
          <cell r="D1124" t="str">
            <v>C/U</v>
          </cell>
        </row>
        <row r="1125">
          <cell r="B1125">
            <v>7022002</v>
          </cell>
          <cell r="C1125" t="str">
            <v xml:space="preserve">BOLSA DE SELLADO AL VACIO DE 90 - 110 cm  DE ANCHO Y 130 - 150 cm DE LARGO, DE NYLON REFORZADO </v>
          </cell>
          <cell r="D1125" t="str">
            <v>C/U</v>
          </cell>
        </row>
        <row r="1126">
          <cell r="B1126">
            <v>7022003</v>
          </cell>
          <cell r="C1126" t="str">
            <v>ESPUMA PLANA DE ALTA DENSIDAD DE 12" X 12" Y 3" DE GROSOR APROXIMADO</v>
          </cell>
          <cell r="D1126" t="str">
            <v>BLOQUE</v>
          </cell>
        </row>
        <row r="1127">
          <cell r="B1127">
            <v>7022004</v>
          </cell>
          <cell r="C1127" t="str">
            <v>ESPUMA PLANA DE ALTA DENSIDAD DE 30.5 X 30.5 cm Y 2 cm DE ESPESOR</v>
          </cell>
          <cell r="D1127" t="str">
            <v>BLOQUE</v>
          </cell>
        </row>
        <row r="1128">
          <cell r="B1128">
            <v>7022066</v>
          </cell>
          <cell r="C1128" t="str">
            <v>MASCARAS TERMOFORMABLES 9" X 10" X 2.4" APROXIMADO</v>
          </cell>
          <cell r="D1128" t="str">
            <v>C/U</v>
          </cell>
        </row>
        <row r="1129">
          <cell r="B1129">
            <v>7022006</v>
          </cell>
          <cell r="C1129" t="str">
            <v>PELICULA DE VERIFICACION GAMMAGRAFIA 14" X 17"</v>
          </cell>
          <cell r="D1129" t="str">
            <v>C/U</v>
          </cell>
        </row>
        <row r="1130">
          <cell r="B1130">
            <v>7022007</v>
          </cell>
          <cell r="C1130" t="str">
            <v>SOPORTE DE MATERIAL ACRILICO DE 30.8 X 30.8 cm, DE 8 mm DE ESPESOR, CON SAQUE DE 8.5 cm DE LARGO X 1.9 cm DE ANCHO</v>
          </cell>
          <cell r="D1130" t="str">
            <v>C/U</v>
          </cell>
        </row>
        <row r="1131">
          <cell r="B1131">
            <v>7022008</v>
          </cell>
          <cell r="C1131" t="str">
            <v>SOPORTE DE MATERIAL ACRILICO DE 33 X 33 cm Y DE 0.5 - 1.5 cm DE GROSOR, CON 3 CISAS ALREDEDOR DEL MARCO</v>
          </cell>
          <cell r="D1131" t="str">
            <v>C/U</v>
          </cell>
        </row>
        <row r="1132">
          <cell r="B1132">
            <v>7022009</v>
          </cell>
          <cell r="C1132" t="str">
            <v>FERULA DE FIBRA DE VIDRIO O PLASTICO RADIOTRANSLUCENTE, PARA INMOVILIZAR MIEMBROS SUPERIORES</v>
          </cell>
          <cell r="D1132" t="str">
            <v>C/U</v>
          </cell>
        </row>
        <row r="1133">
          <cell r="B1133">
            <v>7022010</v>
          </cell>
          <cell r="C1133" t="str">
            <v>TUBO DE FUENTE DE CESIO 137 PARA BRAQUITERAPIA, EQUIVALENTE A 40 mg DE Ra 226. CONTENIDO EN DOS CAPSULAS METALICAS</v>
          </cell>
          <cell r="D1133" t="str">
            <v>C/U.</v>
          </cell>
        </row>
        <row r="1134">
          <cell r="B1134">
            <v>7022011</v>
          </cell>
          <cell r="C1134" t="str">
            <v>TUBO DE FUENTE DE CESIO 137 PARA BRAQUITERAPIA, EQUIVALENTE A 30 mg DE Ra 226. CONTENIDO EN DOS CAPSULAS METALICAS</v>
          </cell>
          <cell r="D1134" t="str">
            <v>C/U.</v>
          </cell>
        </row>
        <row r="1135">
          <cell r="B1135">
            <v>7022012</v>
          </cell>
          <cell r="C1135" t="str">
            <v xml:space="preserve">BIOMBO MOVIL PARA PROTECCION RADIOLOGICA DE 0.5 mm DE Pb, AJUSTABLE EN ALTURA </v>
          </cell>
          <cell r="D1135" t="str">
            <v>C/U</v>
          </cell>
        </row>
        <row r="1136">
          <cell r="B1136">
            <v>7022013</v>
          </cell>
          <cell r="C1136" t="str">
            <v>COLLAR PLOMADO CON PROTECCION DE 0.5 mm DE Pb. CON CIERRE VELCRO</v>
          </cell>
          <cell r="D1136" t="str">
            <v>C/U</v>
          </cell>
        </row>
        <row r="1137">
          <cell r="B1137">
            <v>7022014</v>
          </cell>
          <cell r="C1137" t="str">
            <v>DEPOSITO PLOMADO PARA TRASLADO DE JERINGAS, CON CAPACIDAD PARA MULTIPLES JERINGAS DE 2 A 20 CC</v>
          </cell>
          <cell r="D1137" t="str">
            <v>C/U</v>
          </cell>
        </row>
        <row r="1138">
          <cell r="B1138">
            <v>7022061</v>
          </cell>
          <cell r="C1138" t="str">
            <v>GUANTE PLOMADO FLEXIBLE CON PROTECCION  DE 0.5 mm DE Pb. CON CUBIERTA DE VINIL</v>
          </cell>
          <cell r="D1138" t="str">
            <v>C/U</v>
          </cell>
        </row>
        <row r="1139">
          <cell r="B1139">
            <v>7022016</v>
          </cell>
          <cell r="C1139" t="str">
            <v>PROTECTOR DE JERINGA DE 10 CC, DE TUNGSTENO CON MANGUITO BLINDADO DESLIZANTE, CON VISOR DE CRISTAL DE PLOMO</v>
          </cell>
          <cell r="D1139" t="str">
            <v>C/U</v>
          </cell>
        </row>
        <row r="1140">
          <cell r="B1140">
            <v>7022017</v>
          </cell>
          <cell r="C1140" t="str">
            <v>PROTECTOR DE JERINGA DE 5 CC, DE TUNGSTENO CON MANGUITO BLINDADO DESLIZANTE, CON VISOR DE CRISTAL DE PLOMO</v>
          </cell>
          <cell r="D1140" t="str">
            <v>C/U</v>
          </cell>
        </row>
        <row r="1141">
          <cell r="B1141">
            <v>7022018</v>
          </cell>
          <cell r="C1141" t="str">
            <v>KIT DE NEBULIZACION PARA CENTELLOGRAMA PULMONAR-VENTILATORIO</v>
          </cell>
          <cell r="D1141" t="str">
            <v>KIT</v>
          </cell>
        </row>
        <row r="1142">
          <cell r="B1142">
            <v>7030000</v>
          </cell>
          <cell r="C1142" t="str">
            <v>CAMPO QUIRURGICO IODADO ESTERIL, AUTOADHESIVO, 90 X 45 CM.</v>
          </cell>
          <cell r="D1142" t="str">
            <v>C/U</v>
          </cell>
        </row>
        <row r="1143">
          <cell r="B1143">
            <v>7030001</v>
          </cell>
          <cell r="C1143" t="str">
            <v>CAMPO QUIRURGICO IODADO, AUTOADHESIVO, ESTERIL, DE 60 X 90 CM</v>
          </cell>
          <cell r="D1143" t="str">
            <v>C/U</v>
          </cell>
        </row>
        <row r="1144">
          <cell r="B1144">
            <v>7030027</v>
          </cell>
          <cell r="C1144" t="str">
            <v>ESPONJA DE HEMOSTATICO, ABSORBIBLE DE GELATINA DE 7 X 5 X 1 CM</v>
          </cell>
          <cell r="D1144" t="str">
            <v>SOBRE</v>
          </cell>
        </row>
        <row r="1145">
          <cell r="B1145">
            <v>7030028</v>
          </cell>
          <cell r="C1145" t="str">
            <v>ESPONJA DE HEMOSTATICO, ABSORBIBLE DE GELATINA DE 7x 5 x 0.1 CM</v>
          </cell>
          <cell r="D1145" t="str">
            <v>SOBRE</v>
          </cell>
        </row>
        <row r="1146">
          <cell r="B1146">
            <v>7030029</v>
          </cell>
          <cell r="C1146" t="str">
            <v>ESPONJA HEMOSTATICO ABSORBIBLE DE GELATINA 3 x 5 CM.</v>
          </cell>
          <cell r="D1146" t="str">
            <v>C/U</v>
          </cell>
        </row>
        <row r="1147">
          <cell r="B1147">
            <v>7030030</v>
          </cell>
          <cell r="C1147" t="str">
            <v>ESPONJA HEMOSTATICO CON GELATINA 5 X 8 CM ABSORBIBLE</v>
          </cell>
          <cell r="D1147" t="str">
            <v>C/U</v>
          </cell>
        </row>
        <row r="1148">
          <cell r="B1148">
            <v>7030031</v>
          </cell>
          <cell r="C1148" t="str">
            <v>GARFIO MICHEL 11 MM (25 X GUSANO)</v>
          </cell>
          <cell r="D1148" t="str">
            <v>C/U</v>
          </cell>
        </row>
        <row r="1149">
          <cell r="B1149">
            <v>7030035</v>
          </cell>
          <cell r="C1149" t="str">
            <v>GARFIO MICHEL 14 MM (25 X GUSANO)</v>
          </cell>
          <cell r="D1149" t="str">
            <v>C/U</v>
          </cell>
        </row>
        <row r="1150">
          <cell r="B1150">
            <v>7030037</v>
          </cell>
          <cell r="C1150" t="str">
            <v>GARFIO MICHEL 16 MM (25 X GUSANO)</v>
          </cell>
          <cell r="D1150" t="str">
            <v>C/U</v>
          </cell>
        </row>
        <row r="1151">
          <cell r="B1151">
            <v>7030041</v>
          </cell>
          <cell r="C1151" t="str">
            <v>MEDIAS ELASTICAS PEQUEÑAS, PARA VARICES,TIPO PANTY</v>
          </cell>
          <cell r="D1151" t="str">
            <v>PAR</v>
          </cell>
        </row>
        <row r="1152">
          <cell r="B1152">
            <v>7030040</v>
          </cell>
          <cell r="C1152" t="str">
            <v>MEDIAS ELASTICAS MEDIANAS, PARA VARICES,TIPO PANTY</v>
          </cell>
          <cell r="D1152" t="str">
            <v>PAR</v>
          </cell>
        </row>
        <row r="1153">
          <cell r="B1153">
            <v>7030039</v>
          </cell>
          <cell r="C1153" t="str">
            <v>MEDIAS ELASTICAS GRANDES PARA VARICES, TIPO PANTY</v>
          </cell>
          <cell r="D1153" t="str">
            <v>PAR</v>
          </cell>
        </row>
        <row r="1154">
          <cell r="B1154">
            <v>7030042</v>
          </cell>
          <cell r="C1154" t="str">
            <v>MEDIAS ELASTICAS XL PARA VARICES TIPO PANTY.</v>
          </cell>
          <cell r="D1154" t="str">
            <v>PAR</v>
          </cell>
        </row>
        <row r="1155">
          <cell r="B1155">
            <v>7032065</v>
          </cell>
          <cell r="C1155" t="str">
            <v>FERULA PARA DEDO MALEABLE 12 1/2" LARGO X 2 1/2" ANCHO, ± 10%</v>
          </cell>
          <cell r="D1155" t="str">
            <v>C/U</v>
          </cell>
        </row>
        <row r="1156">
          <cell r="B1156">
            <v>7032005</v>
          </cell>
          <cell r="C1156" t="str">
            <v>FERULA PARA DEDO, DE ALUMINIO DE 18 PULGADAS DE LARGO X 0.6 ANCHO ± 10%</v>
          </cell>
          <cell r="D1156" t="str">
            <v>C/U</v>
          </cell>
        </row>
        <row r="1157">
          <cell r="B1157">
            <v>7034017</v>
          </cell>
          <cell r="C1157" t="str">
            <v>CATETER TRANSURETRAL, DOBLE LUMEN – CONTORNO DE PRESION, DIAMETRO DE 7 – 9 FRENCH, COMPATIBLE CON EQUIPO DE URODINAMIA MARCA Y MODELO DE USO INSTITUCIONAL</v>
          </cell>
          <cell r="D1157" t="str">
            <v>C/U</v>
          </cell>
        </row>
        <row r="1158">
          <cell r="B1158">
            <v>7034045</v>
          </cell>
          <cell r="C1158" t="str">
            <v>CEPILLO ENDOCERVICAL</v>
          </cell>
          <cell r="D1158" t="str">
            <v>C/U</v>
          </cell>
        </row>
        <row r="1159">
          <cell r="B1159">
            <v>7034046</v>
          </cell>
          <cell r="C1159" t="str">
            <v>CONDON DE USO MASCULINO</v>
          </cell>
          <cell r="D1159" t="str">
            <v>C/U</v>
          </cell>
        </row>
        <row r="1160">
          <cell r="B1160">
            <v>7034042</v>
          </cell>
          <cell r="C1160" t="str">
            <v>BANDAS DE OBSTRUCCION TUBARICA (ANILLOS DE YOON), DE SILICONA</v>
          </cell>
          <cell r="D1160" t="str">
            <v>PAR</v>
          </cell>
        </row>
        <row r="1161">
          <cell r="B1161">
            <v>7034043</v>
          </cell>
          <cell r="C1161" t="str">
            <v>BOMBA PARA MAMAS (TIRA LECHE)</v>
          </cell>
          <cell r="D1161" t="str">
            <v>C/U</v>
          </cell>
        </row>
        <row r="1162">
          <cell r="B1162">
            <v>7034045</v>
          </cell>
          <cell r="C1162" t="str">
            <v>CEPILLO ENDOCERVICAL</v>
          </cell>
          <cell r="D1162" t="str">
            <v>C/U</v>
          </cell>
        </row>
        <row r="1163">
          <cell r="B1163">
            <v>7035003</v>
          </cell>
          <cell r="C1163" t="str">
            <v>CONDON DE USO MASCULINO</v>
          </cell>
          <cell r="D1163" t="str">
            <v>C/U</v>
          </cell>
        </row>
        <row r="1164">
          <cell r="B1164">
            <v>7034047</v>
          </cell>
          <cell r="C1164" t="str">
            <v xml:space="preserve">DISPOSITIVO ANTICONCEPTIVO INTRAUTERINO DE POLIETILENO EN FORMA DE T, RECUBIERTO DE COBRE (TCu-380A)  </v>
          </cell>
          <cell r="D1164" t="str">
            <v>C/U</v>
          </cell>
        </row>
        <row r="1165">
          <cell r="B1165">
            <v>7034050</v>
          </cell>
          <cell r="C1165" t="str">
            <v>ESPATULA  DE MADERA  PARA FROTIS  GINECOLOGICA</v>
          </cell>
          <cell r="D1165" t="str">
            <v>C/U</v>
          </cell>
        </row>
        <row r="1166">
          <cell r="B1166">
            <v>7035006</v>
          </cell>
          <cell r="C1166" t="str">
            <v>PEZONERA PLASTICA CON BIBERON.</v>
          </cell>
          <cell r="D1166" t="str">
            <v>C/U</v>
          </cell>
        </row>
        <row r="1167">
          <cell r="B1167">
            <v>7035007</v>
          </cell>
          <cell r="C1167" t="str">
            <v xml:space="preserve">ASA CORTE PARA RESECTOSCOPIO, DE 0.3 mm </v>
          </cell>
          <cell r="D1167" t="str">
            <v>C/U</v>
          </cell>
        </row>
        <row r="1168">
          <cell r="B1168">
            <v>7034044</v>
          </cell>
          <cell r="C1168" t="str">
            <v>CANULA PARA OBTENCION DE MUESTRAS DE ENDOMETRIO, (CONSTA DE CANULA Y JERINGA DE ASPIRACIÓN), EMPAQUE INDIVIDUAL, DESCARTABLE, ESTERIL</v>
          </cell>
          <cell r="D1168" t="str">
            <v>C/U</v>
          </cell>
        </row>
        <row r="1169">
          <cell r="B1169">
            <v>7035009</v>
          </cell>
          <cell r="C1169" t="str">
            <v>ELECTRODO REDONDO PARA USO EN RESECTOSCOPIO</v>
          </cell>
          <cell r="D1169" t="str">
            <v>C/U</v>
          </cell>
        </row>
        <row r="1170">
          <cell r="B1170">
            <v>7034052</v>
          </cell>
          <cell r="C1170" t="str">
            <v>ESPECULO VAGINAL DESCARTABLE VARIAS MEDIDAS</v>
          </cell>
          <cell r="D1170" t="str">
            <v>C/U</v>
          </cell>
        </row>
        <row r="1171">
          <cell r="B1171">
            <v>7034054</v>
          </cell>
          <cell r="C1171" t="str">
            <v>TAMPON DE ALGODÓN</v>
          </cell>
          <cell r="D1171" t="str">
            <v>C/U</v>
          </cell>
        </row>
        <row r="1172">
          <cell r="B1172">
            <v>7036000</v>
          </cell>
          <cell r="C1172" t="str">
            <v>CEMENTO EN POLVO PARA PROTESIS EN ORTOPEDIA</v>
          </cell>
          <cell r="D1172" t="str">
            <v>CAJA</v>
          </cell>
        </row>
        <row r="1173">
          <cell r="B1173">
            <v>7036001</v>
          </cell>
          <cell r="C1173" t="str">
            <v>CERA PARA HUESOS, ESTERIL.</v>
          </cell>
          <cell r="D1173" t="str">
            <v>CAJA</v>
          </cell>
        </row>
        <row r="1174">
          <cell r="B1174">
            <v>7036002</v>
          </cell>
          <cell r="C1174" t="str">
            <v>GUIA FEMORAL 2.4 MM 12 O 18 " CON OJAL PARA EQUIPO LIGAMENTO CRUZADO ANTERIOR</v>
          </cell>
          <cell r="D1174" t="str">
            <v>C/U</v>
          </cell>
        </row>
        <row r="1175">
          <cell r="B1175">
            <v>7036003</v>
          </cell>
          <cell r="C1175" t="str">
            <v>GUIA FEMORAL CON AGUJERO PIN 2.4 MM DE 12 O 18 " PARA EQUIPO LIGAMENTO FEMORAL ANTERIOR</v>
          </cell>
          <cell r="D1175" t="str">
            <v>C/U</v>
          </cell>
        </row>
        <row r="1176">
          <cell r="B1176">
            <v>7038063</v>
          </cell>
          <cell r="C1176" t="str">
            <v>HUESO CORTICAL DE 20 CM.</v>
          </cell>
          <cell r="D1176" t="str">
            <v>C/U</v>
          </cell>
        </row>
        <row r="1177">
          <cell r="B1177">
            <v>7036005</v>
          </cell>
          <cell r="C1177" t="str">
            <v>HUESO ULTRAMOLIDO O CHIPS DE HUESO ESPONJOSO.</v>
          </cell>
          <cell r="D1177" t="str">
            <v>ONZA</v>
          </cell>
        </row>
        <row r="1178">
          <cell r="B1178">
            <v>7038065</v>
          </cell>
          <cell r="C1178" t="str">
            <v>INJERTO OSEO ESPONJOSO HUMANO EN TROZOS CUADRADOS DE MAS O MENOS 1 CM. X LADO</v>
          </cell>
          <cell r="D1178" t="str">
            <v>C/U</v>
          </cell>
        </row>
        <row r="1179">
          <cell r="B1179">
            <v>7038066</v>
          </cell>
          <cell r="C1179" t="str">
            <v>JUEGO UNIVERSAL DE TUBOS FLEXIBLES PARA ARTROSCOPIA (8-15 MM)</v>
          </cell>
          <cell r="D1179" t="str">
            <v>JUEGO</v>
          </cell>
        </row>
        <row r="1180">
          <cell r="B1180">
            <v>7036008</v>
          </cell>
          <cell r="C1180" t="str">
            <v>LOCALIZADOR FEMORAL (10 MM/2 MM) PARA EQUIPO LIGAMENTO CRUZADO ANTERIOR</v>
          </cell>
          <cell r="D1180" t="str">
            <v>C/U</v>
          </cell>
        </row>
        <row r="1181">
          <cell r="B1181">
            <v>7036009</v>
          </cell>
          <cell r="C1181" t="str">
            <v>LOCALIZADOR FEMORAL (11 MM/2 MM) PARA EQUIPO LIGAMENTO CRUZADO ANTERIOR</v>
          </cell>
          <cell r="D1181" t="str">
            <v>C/U</v>
          </cell>
        </row>
        <row r="1182">
          <cell r="B1182">
            <v>7038069</v>
          </cell>
          <cell r="C1182" t="str">
            <v>LOCALIZADOR TUNEL FEMORAL PARA EQUIPO LIGAMENTO CRUZADO ANTERIOR</v>
          </cell>
          <cell r="D1182" t="str">
            <v>C/U</v>
          </cell>
        </row>
        <row r="1183">
          <cell r="B1183">
            <v>7036011</v>
          </cell>
          <cell r="C1183" t="str">
            <v>TIRADEDOS CON MAYA DE ALAMBRE PARA LOS 5 DEDOS</v>
          </cell>
          <cell r="D1183" t="str">
            <v>C/U</v>
          </cell>
        </row>
        <row r="1184">
          <cell r="B1184">
            <v>7036012</v>
          </cell>
          <cell r="C1184" t="str">
            <v>VENDA DE HULE PARA TORNIQUETE 3" X 10 YARDAS, TIPO SMARSH.</v>
          </cell>
          <cell r="D1184" t="str">
            <v>C/U</v>
          </cell>
        </row>
        <row r="1185">
          <cell r="B1185">
            <v>7036013</v>
          </cell>
          <cell r="C1185" t="str">
            <v>VENDA DE YESO, SECADO RAPIDO (NO  MAYOR DE 15 MIN.), 8" X 5 YARDAS.</v>
          </cell>
          <cell r="D1185" t="str">
            <v>C/U</v>
          </cell>
        </row>
        <row r="1186">
          <cell r="B1186">
            <v>7036014</v>
          </cell>
          <cell r="C1186" t="str">
            <v>VENDA DE YESO, SECADO RAPIDO (NO MAYOR DE 15 MIN.), 2" X 5 YARDAS.</v>
          </cell>
          <cell r="D1186" t="str">
            <v>C/U</v>
          </cell>
        </row>
        <row r="1187">
          <cell r="B1187">
            <v>7038081</v>
          </cell>
          <cell r="C1187" t="str">
            <v>VENDA DE YESO 4" X 5 YARDAS</v>
          </cell>
          <cell r="D1187" t="str">
            <v>C/U</v>
          </cell>
        </row>
        <row r="1188">
          <cell r="B1188">
            <v>7038082</v>
          </cell>
          <cell r="C1188" t="str">
            <v>VENDA DE YESO 6" X 5 YARDAS</v>
          </cell>
          <cell r="D1188" t="str">
            <v>C/U</v>
          </cell>
        </row>
        <row r="1189">
          <cell r="B1189">
            <v>7038083</v>
          </cell>
          <cell r="C1189" t="str">
            <v>VENDA STOKINETE DE 2" X 25 YARDAS</v>
          </cell>
          <cell r="D1189" t="str">
            <v>C/U</v>
          </cell>
        </row>
        <row r="1190">
          <cell r="B1190">
            <v>7038084</v>
          </cell>
          <cell r="C1190" t="str">
            <v>VENDA STOKINETE DE 4" X 25 YARDAS</v>
          </cell>
          <cell r="D1190" t="str">
            <v>C/U</v>
          </cell>
        </row>
        <row r="1191">
          <cell r="B1191">
            <v>7038085</v>
          </cell>
          <cell r="C1191" t="str">
            <v>VENDA STOKINETE DE 6" X 25 YARDAS.</v>
          </cell>
          <cell r="D1191" t="str">
            <v>ROLLO</v>
          </cell>
        </row>
        <row r="1192">
          <cell r="B1192">
            <v>7038086</v>
          </cell>
          <cell r="C1192" t="str">
            <v>VENDA STOKINETE DE 8" X 25 YARDAS.</v>
          </cell>
          <cell r="D1192" t="str">
            <v>ROLLO</v>
          </cell>
        </row>
        <row r="1193">
          <cell r="B1193">
            <v>7038088</v>
          </cell>
          <cell r="C1193" t="str">
            <v>VENDAS DE FIBRA DE VIDRIO DE 4" DE ANCHO PARA TRATAMIENTO DE FRACTURA</v>
          </cell>
          <cell r="D1193" t="str">
            <v>C/U</v>
          </cell>
        </row>
        <row r="1194">
          <cell r="B1194">
            <v>7036022</v>
          </cell>
          <cell r="C1194" t="str">
            <v>VENDAS DE FIBRA DE VIDRIO DE 5" ANCHO, PARA TRATAMIENTO DE FRACTURA</v>
          </cell>
          <cell r="D1194" t="str">
            <v>C/U</v>
          </cell>
        </row>
        <row r="1195">
          <cell r="B1195">
            <v>7036023</v>
          </cell>
          <cell r="C1195" t="str">
            <v>VENDAS DE FIBRA DE VIDRIO DE 6" ANCHO, PARA TRATAMIENTO DE FRACTURA</v>
          </cell>
          <cell r="D1195" t="str">
            <v>C/U</v>
          </cell>
        </row>
        <row r="1196">
          <cell r="B1196">
            <v>7038050</v>
          </cell>
          <cell r="C1196" t="str">
            <v>ALMOHADA ABDUCTORA DE CADERA</v>
          </cell>
          <cell r="D1196" t="str">
            <v>C/U</v>
          </cell>
        </row>
        <row r="1197">
          <cell r="B1197">
            <v>7038058</v>
          </cell>
          <cell r="C1197" t="str">
            <v>FERULA DE BOHLER-BRAUN MODIFICADA, PARA ADULTO.</v>
          </cell>
          <cell r="D1197" t="str">
            <v>C/U</v>
          </cell>
        </row>
        <row r="1198">
          <cell r="B1198">
            <v>7038059</v>
          </cell>
          <cell r="C1198" t="str">
            <v>FERULA DE THOMAS, PARA PIERNA DE ADULTO, ARO COMPLETO</v>
          </cell>
          <cell r="D1198" t="str">
            <v>C/U</v>
          </cell>
        </row>
        <row r="1199">
          <cell r="B1199">
            <v>7036027</v>
          </cell>
          <cell r="C1199" t="str">
            <v xml:space="preserve">RODILLERA PREFABRICADA EN NEOPRENE, CON BARRAS LATERALES DE ALUMINIO, CON SUJETADORES EN VELCRO, QUE PERMITA MOVIMIENTO DE FLEXION - EXTENSION </v>
          </cell>
          <cell r="D1199" t="str">
            <v>C/U</v>
          </cell>
        </row>
        <row r="1200">
          <cell r="B1200">
            <v>7038087</v>
          </cell>
          <cell r="C1200" t="str">
            <v>VENDAJE EN "8" PARA HOMBROS, TALLA L</v>
          </cell>
          <cell r="D1200" t="str">
            <v>C/U</v>
          </cell>
        </row>
        <row r="1201">
          <cell r="B1201">
            <v>7036133</v>
          </cell>
          <cell r="C1201" t="str">
            <v>CUCHILLA DE ULTRA PODER DE DOS ESTRILLAS EN FORMA DE HUSO, DE 2.2 X 16.0 mm, PARA EL SISTEMA DE CRANEOTOMO</v>
          </cell>
          <cell r="D1201" t="str">
            <v>SET</v>
          </cell>
        </row>
        <row r="1202">
          <cell r="B1202">
            <v>7036030</v>
          </cell>
          <cell r="C1202" t="str">
            <v>HAEMOCLIPS DE TITANIO MEDIANO. CAJA DE 250</v>
          </cell>
          <cell r="D1202" t="str">
            <v>C/U</v>
          </cell>
        </row>
        <row r="1203">
          <cell r="B1203">
            <v>7036031</v>
          </cell>
          <cell r="C1203" t="str">
            <v>HAEMOCLIPS DE TITANIO PEQUEÑO. CAJA DE 300</v>
          </cell>
          <cell r="D1203" t="str">
            <v>C/U</v>
          </cell>
        </row>
        <row r="1204">
          <cell r="B1204">
            <v>7036032</v>
          </cell>
          <cell r="C1204" t="str">
            <v xml:space="preserve">HAEMOCLIPS DE TITANIO GRANDE. CAJA DE 200 </v>
          </cell>
          <cell r="D1204" t="str">
            <v>C/U</v>
          </cell>
        </row>
        <row r="1205">
          <cell r="B1205">
            <v>7036130</v>
          </cell>
          <cell r="C1205" t="str">
            <v>CUBIERTA ESTERIL PARA MICROSCOPIO, MEDIDAS SEGUN MARCA Y MODELO DE EQUIPO INSTITUCIONAL</v>
          </cell>
          <cell r="D1205" t="str">
            <v>C/U</v>
          </cell>
        </row>
        <row r="1206">
          <cell r="B1206">
            <v>7036092</v>
          </cell>
          <cell r="C1206" t="str">
            <v>ALGODON COMPRIMIDO 1 1/2" X 1 1/2"</v>
          </cell>
          <cell r="D1206" t="str">
            <v>SOBRE</v>
          </cell>
        </row>
        <row r="1207">
          <cell r="B1207">
            <v>7037001</v>
          </cell>
          <cell r="C1207" t="str">
            <v>ALGODON COMPRIMIDO 1" X 1", TIPO COTONOID.</v>
          </cell>
          <cell r="D1207" t="str">
            <v>SOBRE</v>
          </cell>
        </row>
        <row r="1208">
          <cell r="B1208">
            <v>7037002</v>
          </cell>
          <cell r="C1208" t="str">
            <v>ALGODON COMPRIMIDO 1" X 3", TIPO COTONOID.</v>
          </cell>
          <cell r="D1208" t="str">
            <v>SOBRE</v>
          </cell>
        </row>
        <row r="1209">
          <cell r="B1209">
            <v>7036095</v>
          </cell>
          <cell r="C1209" t="str">
            <v>ALGODON COMPRIMIDO 1/2" X 1"</v>
          </cell>
          <cell r="D1209" t="str">
            <v>SOBRE</v>
          </cell>
        </row>
        <row r="1210">
          <cell r="B1210">
            <v>7036096</v>
          </cell>
          <cell r="C1210" t="str">
            <v>ALGODON COMPRIMIDO 1/2" X 1/2"</v>
          </cell>
          <cell r="D1210" t="str">
            <v>SOBRE</v>
          </cell>
        </row>
        <row r="1211">
          <cell r="B1211">
            <v>7036097</v>
          </cell>
          <cell r="C1211" t="str">
            <v>ALGODON COMPRIMIDO 1/2" X 2"</v>
          </cell>
          <cell r="D1211" t="str">
            <v>SOBRE</v>
          </cell>
        </row>
        <row r="1212">
          <cell r="B1212">
            <v>7037006</v>
          </cell>
          <cell r="C1212" t="str">
            <v>ALGODON COMPRIMIDO 1/2" X 3"</v>
          </cell>
          <cell r="D1212" t="str">
            <v>SOBRE</v>
          </cell>
        </row>
        <row r="1213">
          <cell r="B1213">
            <v>7037007</v>
          </cell>
          <cell r="C1213" t="str">
            <v>ALGODON COMPRIMIDO 2" X 6", TIPO COTONOID.</v>
          </cell>
          <cell r="D1213" t="str">
            <v>SOBRE</v>
          </cell>
        </row>
        <row r="1214">
          <cell r="B1214">
            <v>7037008</v>
          </cell>
          <cell r="C1214" t="str">
            <v>ALGODON COMPRIMIDO 3" X 3", TIPO COTONOID.</v>
          </cell>
          <cell r="D1214" t="str">
            <v>SOBRE</v>
          </cell>
        </row>
        <row r="1215">
          <cell r="B1215">
            <v>7036101</v>
          </cell>
          <cell r="C1215" t="str">
            <v>ALGODON COMPRIMIDO 3/4" X 3/4"</v>
          </cell>
          <cell r="D1215" t="str">
            <v>SOBRE</v>
          </cell>
        </row>
        <row r="1216">
          <cell r="B1216">
            <v>7036106</v>
          </cell>
          <cell r="C1216" t="str">
            <v>ALGODON, ESPONJA COLAGENO 3" X 4".</v>
          </cell>
          <cell r="D1216" t="str">
            <v>SOBRE</v>
          </cell>
        </row>
        <row r="1217">
          <cell r="B1217">
            <v>7036108</v>
          </cell>
          <cell r="C1217" t="str">
            <v>CATETER SHUNT DE 91CM  ±  5 CMS PARA SISTEMA HIDROCEFALIA</v>
          </cell>
          <cell r="D1217" t="str">
            <v>C/U</v>
          </cell>
        </row>
        <row r="1218">
          <cell r="B1218">
            <v>7037012</v>
          </cell>
          <cell r="C1218" t="str">
            <v>CEMENTO Y DILUYENTE PARA ANEUROPLASTIC.</v>
          </cell>
          <cell r="D1218" t="str">
            <v>SET</v>
          </cell>
        </row>
        <row r="1219">
          <cell r="B1219">
            <v>7037013</v>
          </cell>
          <cell r="C1219" t="str">
            <v>CEMENTO Y DILUYENTE PARA CRANEOPLASTIC.</v>
          </cell>
          <cell r="D1219" t="str">
            <v>SET</v>
          </cell>
        </row>
        <row r="1220">
          <cell r="B1220">
            <v>7037014</v>
          </cell>
          <cell r="C1220" t="str">
            <v>CORSE DORSO LUMBAR CON BALLENAS METALICAS, TALLA XL</v>
          </cell>
          <cell r="D1220" t="str">
            <v>C/U</v>
          </cell>
        </row>
        <row r="1221">
          <cell r="B1221">
            <v>7037015</v>
          </cell>
          <cell r="C1221" t="str">
            <v>CORSE EN POLIPROPILENO PARA ESCOLIOSIS DORSAL DERECHA Y LUMBAR IZQUIERDA</v>
          </cell>
          <cell r="D1221" t="str">
            <v>C/U</v>
          </cell>
        </row>
        <row r="1222">
          <cell r="B1222">
            <v>7036124</v>
          </cell>
          <cell r="C1222" t="str">
            <v>CORSE LUMBO-SACRO TALLA "S"</v>
          </cell>
          <cell r="D1222" t="str">
            <v>C/U</v>
          </cell>
        </row>
        <row r="1223">
          <cell r="B1223">
            <v>7036123</v>
          </cell>
          <cell r="C1223" t="str">
            <v>CORSE LUMBO-SACRO TALLA "M"</v>
          </cell>
          <cell r="D1223" t="str">
            <v>C/U</v>
          </cell>
        </row>
        <row r="1224">
          <cell r="B1224">
            <v>7036122</v>
          </cell>
          <cell r="C1224" t="str">
            <v>CORSE LUMBO-SACRO TALLA "L"</v>
          </cell>
          <cell r="D1224" t="str">
            <v>C/U</v>
          </cell>
        </row>
        <row r="1225">
          <cell r="B1225">
            <v>7036125</v>
          </cell>
          <cell r="C1225" t="str">
            <v>CORSE LUMBO-SACRO TALLA "XL"</v>
          </cell>
          <cell r="D1225" t="str">
            <v>C/U</v>
          </cell>
        </row>
        <row r="1226">
          <cell r="B1226">
            <v>7036126</v>
          </cell>
          <cell r="C1226" t="str">
            <v>CORSE LUMBO-SACRO TALLA "XXL"</v>
          </cell>
          <cell r="D1226" t="str">
            <v>C/U</v>
          </cell>
        </row>
        <row r="1227">
          <cell r="B1227">
            <v>7036129</v>
          </cell>
          <cell r="C1227" t="str">
            <v>CORSE TORACO-LUMBAR CON BARRAS TALLA "S"</v>
          </cell>
          <cell r="D1227" t="str">
            <v>C/U</v>
          </cell>
        </row>
        <row r="1228">
          <cell r="B1228">
            <v>7036128</v>
          </cell>
          <cell r="C1228" t="str">
            <v>CORSE TORACO-LUMBAR CON BARRAS TALLA "M"</v>
          </cell>
          <cell r="D1228" t="str">
            <v>C/U</v>
          </cell>
        </row>
        <row r="1229">
          <cell r="B1229">
            <v>7036127</v>
          </cell>
          <cell r="C1229" t="str">
            <v>CORSE TORACO-LUMBAR CON BARRAS TALLA "L"</v>
          </cell>
          <cell r="D1229" t="str">
            <v>C/U</v>
          </cell>
        </row>
        <row r="1230">
          <cell r="B1230">
            <v>7036135</v>
          </cell>
          <cell r="C1230" t="str">
            <v>CUELLO CERVICAL RIGIDO, AJUSTABLE, GRANDE, CON CIERRE VELCRO.</v>
          </cell>
          <cell r="D1230" t="str">
            <v>C/U</v>
          </cell>
        </row>
        <row r="1231">
          <cell r="B1231">
            <v>7036136</v>
          </cell>
          <cell r="C1231" t="str">
            <v>CUELLO CERVICAL RIGIDO MEDIANO</v>
          </cell>
          <cell r="D1231" t="str">
            <v>C/U</v>
          </cell>
        </row>
        <row r="1232">
          <cell r="B1232">
            <v>7036137</v>
          </cell>
          <cell r="C1232" t="str">
            <v>CUELLO CERVICAL RIGIDO, AJUSTABLE, PEQUEÑO, CON CIERRE VELCRO.</v>
          </cell>
          <cell r="D1232" t="str">
            <v>C/U</v>
          </cell>
        </row>
        <row r="1233">
          <cell r="B1233">
            <v>7036119</v>
          </cell>
          <cell r="C1233" t="str">
            <v>COLLAR CERVICAL TIPO FILADELFIA, TALLA "S"</v>
          </cell>
          <cell r="D1233" t="str">
            <v>C/U</v>
          </cell>
        </row>
        <row r="1234">
          <cell r="B1234">
            <v>7036139</v>
          </cell>
          <cell r="C1234" t="str">
            <v>CUELLO CERVICAL TIPO FILADELFIA "M".</v>
          </cell>
          <cell r="D1234" t="str">
            <v>C/U</v>
          </cell>
        </row>
        <row r="1235">
          <cell r="B1235">
            <v>7036138</v>
          </cell>
          <cell r="C1235" t="str">
            <v>CUELLO CERVICAL TIPO FILADELFIA "L".</v>
          </cell>
          <cell r="D1235" t="str">
            <v>C/U</v>
          </cell>
        </row>
        <row r="1236">
          <cell r="B1236">
            <v>7037030</v>
          </cell>
          <cell r="C1236" t="str">
            <v>FAJA LUMBAR SIN BARRAS TALLA "S"</v>
          </cell>
          <cell r="D1236" t="str">
            <v>C/U</v>
          </cell>
        </row>
        <row r="1237">
          <cell r="B1237">
            <v>7036141</v>
          </cell>
          <cell r="C1237" t="str">
            <v>FAJA LUMBAR SIN BARRAS TALLA "M"</v>
          </cell>
          <cell r="D1237" t="str">
            <v>C/U</v>
          </cell>
        </row>
        <row r="1238">
          <cell r="B1238">
            <v>7042017</v>
          </cell>
          <cell r="C1238" t="str">
            <v>TUBO O MANGUERA PARA TRANSMISION DE PRESION, LONGITUD DE 180 – 190 cm, COMPATIBLE CON EQUIPO DE URODINAMIA MARCA Y MODELO DE USO INSTITUCIONAL</v>
          </cell>
          <cell r="D1238" t="str">
            <v>C/U</v>
          </cell>
        </row>
        <row r="1239">
          <cell r="B1239">
            <v>7050036</v>
          </cell>
          <cell r="C1239" t="str">
            <v>CATGUT  CROMICO # 4/0,  AGUJA  PUNTA  REDONDA,</v>
          </cell>
          <cell r="D1239" t="str">
            <v>DOCENA</v>
          </cell>
        </row>
        <row r="1240">
          <cell r="B1240">
            <v>7050032</v>
          </cell>
          <cell r="C1240" t="str">
            <v>CATGUT  CROMICO # 1,  AGUJA  PUNTA  REDONDA, 1/2 CIRCULO, DE 34 - 37 MM, HEBRA  DE 70 - 90 CM</v>
          </cell>
          <cell r="D1240" t="str">
            <v>DOCENA</v>
          </cell>
        </row>
        <row r="1241">
          <cell r="B1241">
            <v>7050033</v>
          </cell>
          <cell r="C1241" t="str">
            <v>CATGUT  CROMICO # 2/0,  AGUJA  PUNTA  REDONDA, 1/2 CIRCULO, DE 34 - 37 MM, HEBRA  DE 70 - 90 CM</v>
          </cell>
          <cell r="D1241" t="str">
            <v>DOCENA</v>
          </cell>
        </row>
        <row r="1242">
          <cell r="B1242">
            <v>7050040</v>
          </cell>
          <cell r="C1242" t="str">
            <v>CATGUT CROMICO # 1,   AGUJA PUNTA ROMA , 1/2 CIRCULO DE 85 - 95 MM, HEBRA DE 70 - 90 CM</v>
          </cell>
          <cell r="D1242" t="str">
            <v>DOCENA</v>
          </cell>
        </row>
        <row r="1243">
          <cell r="B1243">
            <v>7050038</v>
          </cell>
          <cell r="C1243" t="str">
            <v>CATGUT CROMICO  # 2/0, AGUJA PUNTA REDONDA,1/2  CIRCULO DE 25 - 27 MM, HEBRA 70 - 90 CM</v>
          </cell>
          <cell r="D1243" t="str">
            <v>DOCENA</v>
          </cell>
        </row>
        <row r="1244">
          <cell r="B1244">
            <v>7050040</v>
          </cell>
          <cell r="C1244" t="str">
            <v>CATGUT SIMPLE # 2/0, AGUJA PUNTA  REDONDA 1/2 CIRCULO, DE 30 - 35 MM, HEBRA  DE 60 - 90 CM</v>
          </cell>
          <cell r="D1244" t="str">
            <v>DOCENA</v>
          </cell>
        </row>
        <row r="1245">
          <cell r="B1245">
            <v>7050039</v>
          </cell>
          <cell r="C1245" t="str">
            <v>CATGUT CROMICO # 0, SIN AGUJA., HEBRA DE 125 - 150 CMS</v>
          </cell>
          <cell r="D1245" t="str">
            <v>DOCENA</v>
          </cell>
        </row>
        <row r="1246">
          <cell r="B1246">
            <v>7050041</v>
          </cell>
          <cell r="C1246" t="str">
            <v>CATGUT CROMICO # 1, SIN AGUJA., HEBRA DE 125 - 150 CMS</v>
          </cell>
          <cell r="D1246" t="str">
            <v>DOCENA</v>
          </cell>
        </row>
        <row r="1247">
          <cell r="B1247">
            <v>7050042</v>
          </cell>
          <cell r="C1247" t="str">
            <v>CATGUT CROMICO # 2/0, SIN AGUJA., HEBRA DE 125 - 150 CMS</v>
          </cell>
          <cell r="D1247" t="str">
            <v>DOCENA</v>
          </cell>
        </row>
        <row r="1248">
          <cell r="B1248">
            <v>7050045</v>
          </cell>
          <cell r="C1248" t="str">
            <v>CATGUT SIMPLE 2/0, AGUJA 1/2 CIRCULO, 35 A 37 MM,  HEBRA DE 70  -  75 CM</v>
          </cell>
          <cell r="D1248" t="str">
            <v>DOCENA</v>
          </cell>
        </row>
        <row r="1249">
          <cell r="B1249">
            <v>7050043</v>
          </cell>
          <cell r="C1249" t="str">
            <v>CATGUT CROMICO # 2/0,AGUJA PUNTA REDONDA  (AHUSADA) CUERPO REDONDO  1/2 CIRCULO DE 17 - 20 MM. HEBRA DE 70 - 90 CM</v>
          </cell>
          <cell r="D1249" t="str">
            <v>DOCENA</v>
          </cell>
        </row>
        <row r="1250">
          <cell r="B1250">
            <v>7050049</v>
          </cell>
          <cell r="C1250" t="str">
            <v>CINTA DE COLAGENO PARA PARENQUIMA. DOBLE AGUJA, 1/2 CIRCULO, PUNTA ROMA DE 85 - 90 MM. DE 3 - 4 CM DE ANCHO X 40 - 60 CM DE LARGO.</v>
          </cell>
          <cell r="D1250" t="str">
            <v>DOCENA</v>
          </cell>
        </row>
        <row r="1251">
          <cell r="B1251">
            <v>7051000</v>
          </cell>
          <cell r="C1251" t="str">
            <v>SUTURA SINTET ABSORB RECUB 2/0, AGUJA  RERVERSO  CORTANTE 1/2 CIRCULO DE 34 - 37 MM, HEBRA  DE 70-90 CM</v>
          </cell>
          <cell r="D1251" t="str">
            <v>DOCENA</v>
          </cell>
        </row>
        <row r="1252">
          <cell r="B1252">
            <v>7051048</v>
          </cell>
          <cell r="C1252" t="str">
            <v>SUTURA SINTET ABSORB RECUB 2/0, AGUJA  PUNTA REDONDA 1/2 CIRCULO DE 20-22 MM, HEBRA DE 70-90 CM</v>
          </cell>
          <cell r="D1252" t="str">
            <v>DOCENA</v>
          </cell>
        </row>
        <row r="1253">
          <cell r="B1253">
            <v>7051002</v>
          </cell>
          <cell r="C1253" t="str">
            <v>SUTURA SINTET ABSORB RECUB 3/0, AGUJA  PUNTA REDONDA 1/2 CIRCULO DE 34-37 MM,HEBRA DE 60-90 CMS</v>
          </cell>
          <cell r="D1253" t="str">
            <v>DOCENA</v>
          </cell>
        </row>
        <row r="1254">
          <cell r="B1254">
            <v>7051051</v>
          </cell>
          <cell r="C1254" t="str">
            <v>SUTURA SINTET ABSORB RECUB 3/0, AGUJA  PUNTA REDONDA 1/2 CIRCULO DE 26-27 MM,HEBRA DE 60-90 CMS</v>
          </cell>
          <cell r="D1254" t="str">
            <v>DOCENA</v>
          </cell>
        </row>
        <row r="1255">
          <cell r="B1255">
            <v>7051004</v>
          </cell>
          <cell r="C1255" t="str">
            <v>CATGUT SIMPLE 4/0 AGUJA 19-24  MM</v>
          </cell>
          <cell r="D1255" t="str">
            <v>DOCENA</v>
          </cell>
        </row>
        <row r="1256">
          <cell r="B1256">
            <v>7051045</v>
          </cell>
          <cell r="C1256" t="str">
            <v>SUTURA SINTET ABSORB RECUB 0, AGUJA PUNTA REDONDA 1/2 CIRCULO DE 34-37 MM, HEBRA 70-90 CMS</v>
          </cell>
          <cell r="D1256" t="str">
            <v>DOCENA</v>
          </cell>
        </row>
        <row r="1257">
          <cell r="B1257">
            <v>7051006</v>
          </cell>
          <cell r="C1257" t="str">
            <v>SUTURA SINTET ABSORB RECUB 2/0, AGUJA   PUNTA REDONDA 1/2 CIRCULO DE  34-37 MM, HEBRA  DE 70-90 CMS</v>
          </cell>
          <cell r="D1257" t="str">
            <v>DOCENA</v>
          </cell>
        </row>
        <row r="1258">
          <cell r="B1258">
            <v>7051007</v>
          </cell>
          <cell r="C1258" t="str">
            <v>SUTURA SINTET ABSORB RECUB 2/0, AGUJA  REVERSO CORTANTE 3/8 CIRCULO  DE 24-27 MM, HEBRA  DE 60-90 CMS</v>
          </cell>
          <cell r="D1258" t="str">
            <v>DOCENA</v>
          </cell>
        </row>
        <row r="1259">
          <cell r="B1259">
            <v>7051008</v>
          </cell>
          <cell r="C1259" t="str">
            <v>SUTURA SINTET ABSORB RECUB 3/0, AGUJA REVERSO CORTANTE 3/8 CIRCULO DE 19-24 MM. HEBRA DE 45 - 60.</v>
          </cell>
          <cell r="D1259" t="str">
            <v>DOCENA</v>
          </cell>
        </row>
        <row r="1260">
          <cell r="B1260">
            <v>7051053</v>
          </cell>
          <cell r="C1260" t="str">
            <v>SUTURA SINTET ABSORB RECUB 4/0, AGUJA  REVERSO CORTANTE 3/8 CIRCULO  DE 12-13 MM, HEBRA DE 45-60 CMS</v>
          </cell>
          <cell r="D1260" t="str">
            <v>DOCENA</v>
          </cell>
        </row>
        <row r="1261">
          <cell r="B1261">
            <v>7051057</v>
          </cell>
          <cell r="C1261" t="str">
            <v>SUTURA SINTET ABSORB RECUB 7/0, DOBLE  AGUJA MICROPUNTA ESPATULA 3/8 CIRCULO DE  6.0-6.5 MM, HEBRA  45 CMS</v>
          </cell>
          <cell r="D1261" t="str">
            <v>DOCENA</v>
          </cell>
        </row>
        <row r="1262">
          <cell r="B1262">
            <v>7051011</v>
          </cell>
          <cell r="C1262" t="str">
            <v>SUTURA SINTET ABSORB RECUB 5/0, AGUJA  3/8 DE CIRCULO PUNTA DE PRECISION REVERSO PUNTA CORTANTE DE 11 - 15 MM, HEBRA DE 45-60 CMS.</v>
          </cell>
          <cell r="D1262" t="str">
            <v>DOCENA</v>
          </cell>
        </row>
        <row r="1263">
          <cell r="B1263">
            <v>7051012</v>
          </cell>
          <cell r="C1263" t="str">
            <v>SUTURA SINTET ABSORB RECUB MONOF 4/0, DOBLE  AGUJA PUNTA REDONDA 1/2 CIRCULO  DE 15-17 MM, HEBRA  DE 60-90 CMS</v>
          </cell>
          <cell r="D1263" t="str">
            <v>DOCENA</v>
          </cell>
        </row>
        <row r="1264">
          <cell r="B1264">
            <v>7051013</v>
          </cell>
          <cell r="C1264" t="str">
            <v>SUTURA SINTET ABSORB MONOF 5/0, DOBLE AGUJA PUNTA REDONDA 3/8 DE CIRCULO DE 13-15 MM, HEBRA DE 60-90 CMS</v>
          </cell>
          <cell r="D1264" t="str">
            <v>DOCENA</v>
          </cell>
        </row>
        <row r="1265">
          <cell r="B1265">
            <v>7051056</v>
          </cell>
          <cell r="C1265" t="str">
            <v>SUTURA SINTET ABSORB RECUB 7/0 (ACIDO POLIGLICOLICO) DOBLE AGUJA MICRO PUNTA ESPATULADA  1/4 DE CIRCULO DE 6.0-8.0 MM,HEBRA DE 30-45 CMS.</v>
          </cell>
          <cell r="D1265" t="str">
            <v>DOCENA</v>
          </cell>
        </row>
        <row r="1266">
          <cell r="B1266">
            <v>7051015</v>
          </cell>
          <cell r="C1266" t="str">
            <v>SUTURA SINTET ABSORB RECUB 8/0 (ACIDO POLIGLICOLICO) DOBLE AGUJA MICRO PUNTA ESPATULADA  3/4 DE CIRCULO DE 6.0-8.0 MM,HEBRA DE 30-45 CMS.</v>
          </cell>
          <cell r="D1266" t="str">
            <v>DOCENA</v>
          </cell>
        </row>
        <row r="1267">
          <cell r="B1267">
            <v>7051016</v>
          </cell>
          <cell r="C1267" t="str">
            <v>SUTURA SINTET ABSORB MONOF 6/0 DOBLE  AGUJA  PUNTA  REDONDA 3/8  DE  CIRCULO  DE 12-13 MM, HEBRA  DE 60-90 CMS</v>
          </cell>
          <cell r="D1267" t="str">
            <v>DOCENA</v>
          </cell>
        </row>
        <row r="1268">
          <cell r="B1268">
            <v>7051017</v>
          </cell>
          <cell r="C1268" t="str">
            <v>SUTURA SINTET ABSORB RECUB 1 AGUJA PUNTA REDONDA MEDIO CIRCULO DE 34 A 35 MILIMETROS, LARGO DE HEBRA DE 70 A 90,</v>
          </cell>
          <cell r="D1268" t="str">
            <v>DOCENA</v>
          </cell>
        </row>
        <row r="1269">
          <cell r="B1269">
            <v>7051071</v>
          </cell>
          <cell r="C1269" t="str">
            <v>SUTURA SINTET MONOF ABSORB 2/0 CON AGUJA REDONDA 1/2 CIRCULO DE 34-37 MM HEBRA DE 60-90 CMS</v>
          </cell>
          <cell r="D1269" t="str">
            <v>DOCENA</v>
          </cell>
        </row>
        <row r="1270">
          <cell r="B1270">
            <v>7051069</v>
          </cell>
          <cell r="C1270" t="str">
            <v>SUTURA SINTET MONOFILAM ABSORB 1 C/ AGUJA REDONDA 1/2 CIRCULO DE 34 - 37 MM HEBRA DE 60-90 CMS</v>
          </cell>
          <cell r="D1270" t="str">
            <v>DOCENA</v>
          </cell>
        </row>
        <row r="1271">
          <cell r="B1271">
            <v>7051070</v>
          </cell>
          <cell r="C1271" t="str">
            <v>SUTURA SINTET MONOFIL ABSORB 2/0 CON AGUJA REDONDA 1/2 CIRCULO DE 24 - 26 MM HEBRA DE 65 - 75 CMS</v>
          </cell>
          <cell r="D1271" t="str">
            <v>DOCENA</v>
          </cell>
        </row>
        <row r="1272">
          <cell r="B1272">
            <v>7051021</v>
          </cell>
          <cell r="C1272" t="str">
            <v>SUTURA SINTET ABSORB MULTIF RECUB CALIBRE 6-0 CON HEBRA DE 45 - 60 cm DE LARGO AGUJA DE CUERPO ESTRIADO LONGITUDINAL, DE ACERO INOXIDABLE, CON PUNTA REVERSO CORTANTE, CURVATURA DE 3/8 DE CIRCULO CON CUERPO DE 1.1 - 1.5 cm</v>
          </cell>
          <cell r="D1272" t="str">
            <v>DOCENA</v>
          </cell>
        </row>
        <row r="1273">
          <cell r="B1273">
            <v>7051022</v>
          </cell>
          <cell r="C1273" t="str">
            <v>SUTURA SINTET ABSORB MULTIF RECUB CALIBRE 4-0 CON HEBRA DE 45 - 60 cm DE LARGO AGUJA DE CUERPO ESTRIADO LONGITUDINAL, DE ACERO INOXIDABLE, CON PUNTA REVERSO CORTANTE CURVATURA DE 1/2 DE CIRCULO CON CUERPO DE 1.1 - 1.6 cm</v>
          </cell>
          <cell r="D1273" t="str">
            <v>DOCENA</v>
          </cell>
        </row>
        <row r="1274">
          <cell r="B1274">
            <v>7051023</v>
          </cell>
          <cell r="C1274" t="str">
            <v>SUTURA SINTET ABSORB MULTIFIL RECUB CALIB 6-0 CON HEBRA DE 45 - 60 cm DE LARGO AGUJA DE CUERPO ESTRIADO LONGITUDINAL, DE ACERO INOXIDABLE, CON PUNTA REVERSO CORTANTE CURVATURA DE 1/2 DE CIRCULO CON CUERPO DE 1.1 - 1.6 cm</v>
          </cell>
          <cell r="D1274" t="str">
            <v>DOCENA</v>
          </cell>
        </row>
        <row r="1275">
          <cell r="B1275">
            <v>7051024</v>
          </cell>
          <cell r="C1275" t="str">
            <v>SUTURA SINTET ABSORB RECUB MULTIFIL CALIBRE 5-0 CON HEBRA DE 45 - 60 cm DE LARGO AGUJA DE CUERPO ESTRIADO LONGITUDINAL, DE ACERO INOXIDABLE, CON PUNTA REVERSO CORTANTE CURVATURA DE 1/2 DE CIRCULO CON CUERPO DE 1.1 - 1.6 cm</v>
          </cell>
          <cell r="D1275" t="str">
            <v>DOCENA</v>
          </cell>
        </row>
        <row r="1276">
          <cell r="B1276">
            <v>7051068</v>
          </cell>
          <cell r="C1276" t="str">
            <v>SUTURA SINTET ABSORBIB RECUB CALIB 6/0, CON DOBLE AGUJA 1/4 DE CIRCULO, DE 8 - 10 mm DE LONGITUD, HEBRA DE 40 - 50 cm DE LONGITUD</v>
          </cell>
          <cell r="D1276" t="str">
            <v>DOCENA</v>
          </cell>
        </row>
        <row r="1277">
          <cell r="B1277">
            <v>7051026</v>
          </cell>
          <cell r="C1277" t="str">
            <v>SUTURA SINTET ABSORB RECUB CALIB 6/0, CON DOBLE AGUJA 3/8 DE CIRCULO, CORTANTE LATERAL EN ESPATULA, DE 6 - 7 mm DE LONGITUD, HEBRA DE 30 - 50 cm DE LONGITUD</v>
          </cell>
          <cell r="D1277" t="str">
            <v>DOCENA</v>
          </cell>
        </row>
        <row r="1278">
          <cell r="B1278">
            <v>7052000</v>
          </cell>
          <cell r="C1278" t="str">
            <v>SEDA 2/0 AGUJA DE 25-26 MM</v>
          </cell>
          <cell r="D1278" t="str">
            <v>DOCENA</v>
          </cell>
        </row>
        <row r="1279">
          <cell r="B1279">
            <v>7052039</v>
          </cell>
          <cell r="C1279" t="str">
            <v>SEDA 3/0 AGUJA DE 25-26 MM</v>
          </cell>
          <cell r="D1279" t="str">
            <v>DOCENA</v>
          </cell>
        </row>
        <row r="1280">
          <cell r="B1280">
            <v>7052002</v>
          </cell>
          <cell r="C1280" t="str">
            <v>SEDA NEGRA TRENZADA 3/0, AGUJA 1/2 CIRCULO PUNTA  REDONDA  DE  15-22- MM, HEBRA  DE 75-90 CMS</v>
          </cell>
          <cell r="D1280" t="str">
            <v>DOCENA</v>
          </cell>
        </row>
        <row r="1281">
          <cell r="B1281">
            <v>7052003</v>
          </cell>
          <cell r="C1281" t="str">
            <v>SEDA NEGRA TRENZADA 7/0,   DOBLE AGUJA MICRO ESPATULA 3/8  CIRCULO DE 6.0 - 6.5 MM. HEBRA DE 45 - 60 CMS</v>
          </cell>
          <cell r="D1281" t="str">
            <v>DOCENA</v>
          </cell>
        </row>
        <row r="1282">
          <cell r="B1282">
            <v>7052041</v>
          </cell>
          <cell r="C1282" t="str">
            <v>SEDA 4/0 AGUJA REV. CORT 19-20 MM</v>
          </cell>
          <cell r="D1282" t="str">
            <v>DOCENA</v>
          </cell>
        </row>
        <row r="1283">
          <cell r="B1283">
            <v>7052030</v>
          </cell>
          <cell r="C1283" t="str">
            <v>SEDA  NEGRA  TRENZADA 4/0, DOBLE  AGUJA 3/8 DE  CIRCULO,  REVERSO  CORTANTE, MICRO PUNTA  DE 12-13 MM, HEBRA DE 45-60 CMS</v>
          </cell>
          <cell r="D1283" t="str">
            <v>DOCENA</v>
          </cell>
        </row>
        <row r="1284">
          <cell r="B1284">
            <v>7052031</v>
          </cell>
          <cell r="C1284" t="str">
            <v>SEDA  NEGRA  TRENZADA 5/0, DOBLE  AGUJA 3/8 DE  CIRCULO,  REVERSO  CORTANTE,  DE 12-13 MM, HEBRA DE 45-75 CMS</v>
          </cell>
          <cell r="D1284" t="str">
            <v>DOCENA</v>
          </cell>
        </row>
        <row r="1285">
          <cell r="B1285">
            <v>7052007</v>
          </cell>
          <cell r="C1285" t="str">
            <v>SEDA NEGRA TRENZADA 5/0, AGUJA 3/8 CIRCULO REVERSO CORTANTE  DE 19-20 MM, HEBRA  DE 45-75 CMS</v>
          </cell>
          <cell r="D1285" t="str">
            <v>DOCENA</v>
          </cell>
        </row>
        <row r="1286">
          <cell r="B1286">
            <v>7052008</v>
          </cell>
          <cell r="C1286" t="str">
            <v>SEDA NEGRA TRENZADA 0, SIN AGUJA PRECORTADA DE 10-12 HEBRAS DE 60-75 CMS  DE LARGO</v>
          </cell>
          <cell r="D1286" t="str">
            <v>DOCENA</v>
          </cell>
        </row>
        <row r="1287">
          <cell r="B1287">
            <v>7052009</v>
          </cell>
          <cell r="C1287" t="str">
            <v>SEDA NEGRA TRENZADA 1, SIN AGUJA PRECORTADA DE 10-12 HEBRAS DE 60-75 CMS  DE LARGO</v>
          </cell>
          <cell r="D1287" t="str">
            <v>DOCENA</v>
          </cell>
        </row>
        <row r="1288">
          <cell r="B1288">
            <v>7052010</v>
          </cell>
          <cell r="C1288" t="str">
            <v>SEDA NEGRA TRENZADA 2/0, SIN AGUJA PRECORTADA DE 10-12 HEBRAS DE 60-75 CMS  DE LARGO</v>
          </cell>
          <cell r="D1288" t="str">
            <v>DOCENA</v>
          </cell>
        </row>
        <row r="1289">
          <cell r="B1289">
            <v>7052011</v>
          </cell>
          <cell r="C1289" t="str">
            <v>SEDA NEGRA TRENZADA 3/0, SIN AGUJA PRECORTADA DE 10-12 HEBRAS DE 60-75 CMS  DE LARGO</v>
          </cell>
          <cell r="D1289" t="str">
            <v>DOCENA</v>
          </cell>
        </row>
        <row r="1290">
          <cell r="B1290">
            <v>7052042</v>
          </cell>
          <cell r="C1290" t="str">
            <v>SEDA NEGRA TRENZADA 4/0, SIN AGUJA PRECORTADA DE 10-12 HEBRAS DE 60-75 CMS  DE LARGO</v>
          </cell>
          <cell r="D1290" t="str">
            <v>DOCENA</v>
          </cell>
        </row>
        <row r="1291">
          <cell r="B1291">
            <v>7052013</v>
          </cell>
          <cell r="C1291" t="str">
            <v>SEDA NEGRA TRENZADA 1, AGUJA DE 3/8 DE CIRCULO REVERSO CORTANTE DE 35-40 MM. HEBRA DE 45-75 CMS</v>
          </cell>
          <cell r="D1291" t="str">
            <v>DOCENA</v>
          </cell>
        </row>
        <row r="1292">
          <cell r="B1292">
            <v>7052014</v>
          </cell>
          <cell r="C1292" t="str">
            <v>SEDA NEGRA TRENZADA 5-0, CON AGUJA REDONDA ½ CIRCULO DE 13 A 17 MM. HEBRA 45 - 75 CM.</v>
          </cell>
          <cell r="D1292" t="str">
            <v>DOCENA</v>
          </cell>
        </row>
        <row r="1293">
          <cell r="B1293">
            <v>7052015</v>
          </cell>
          <cell r="C1293" t="str">
            <v xml:space="preserve">SEDA NEGRA TRENZADA 4-0, CON AGUJA REDONDA ½ CIRCULO DE 13 A 17 MM. HEBRA 45 - 75 CM. </v>
          </cell>
          <cell r="D1293" t="str">
            <v>DOCENA</v>
          </cell>
        </row>
        <row r="1294">
          <cell r="B1294">
            <v>7053000</v>
          </cell>
          <cell r="C1294" t="str">
            <v xml:space="preserve">ALAMBRE DE ACERO INOXIDABLE 1, AGUJA 1/2 CIRCULO, 40 - 45 MM, PUNTA CORTANTE, HEBRA DE 45 - 50 CM </v>
          </cell>
          <cell r="D1294" t="str">
            <v>C/U</v>
          </cell>
        </row>
        <row r="1295">
          <cell r="B1295">
            <v>7053001</v>
          </cell>
          <cell r="C1295" t="str">
            <v>CINTA DE POLIESTER DE 5 MM. DE ANCHO X 30 X 50 CMS DE LARGO. CON DOBLE AGUJA, MEDIO CIRCULO, CUERPO REDONDO, PUNTA ROMA DE 45 MM.</v>
          </cell>
          <cell r="D1295" t="str">
            <v>DOCENA</v>
          </cell>
        </row>
        <row r="1296">
          <cell r="B1296">
            <v>7053002</v>
          </cell>
          <cell r="C1296" t="str">
            <v>MALLA QUIRURGICA DE POLIPROPILENO. PLANA TRIDIMENCIONAL DE 5 - 8 CMS X 11 - 13 CM</v>
          </cell>
          <cell r="D1296" t="str">
            <v>C/U</v>
          </cell>
        </row>
        <row r="1297">
          <cell r="B1297">
            <v>7053064</v>
          </cell>
          <cell r="C1297" t="str">
            <v>NYLON 2/0 AGUJA REV CORTA 24-30 MM</v>
          </cell>
          <cell r="D1297" t="str">
            <v>DOCENA</v>
          </cell>
        </row>
        <row r="1298">
          <cell r="B1298">
            <v>7053058</v>
          </cell>
          <cell r="C1298" t="str">
            <v>NYLON  MONOFILAMENTO  9/0,  DOBLE  AGUJA  MICRO   ESPATULA, 3/8 DE CIRCILO, DE 6.0 - 6.5 MM, HEBRA DE 30 - 45 CM</v>
          </cell>
          <cell r="D1298" t="str">
            <v>DOCENA</v>
          </cell>
        </row>
        <row r="1299">
          <cell r="B1299">
            <v>7053063</v>
          </cell>
          <cell r="C1299" t="str">
            <v>NYLON MONOFILAMENTO # 10/0, DOBLE AGUJA, MICRO ESPATULA, CORTE LATERAL 3/8 DE CIRCULO DE 6.0 - 6.5 MM, HEBRA 30-45 CMS, MAS SEDA 4/0, AGUJA MICRO PUNTA REVERSO CORTANTE 3/8 DE CIRCULO DE 13 CM, HEBRA DE 30 A 45 CM</v>
          </cell>
          <cell r="D1299" t="str">
            <v>DOCENA</v>
          </cell>
        </row>
        <row r="1300">
          <cell r="B1300">
            <v>7053061</v>
          </cell>
          <cell r="C1300" t="str">
            <v>NYLON MONOFILAMENTO # 0, AGUJA 1/2 CIRCULO, PUNTA  REDONDA DE 27 - 30 MM, HEBRA  DE 75 - 100 CM</v>
          </cell>
          <cell r="D1300" t="str">
            <v>DOCENA</v>
          </cell>
        </row>
        <row r="1301">
          <cell r="B1301">
            <v>7053065</v>
          </cell>
          <cell r="C1301" t="str">
            <v>NYLON 3/0 AGUJA 3/8 CIRC. CORTA 19-24</v>
          </cell>
          <cell r="D1301" t="str">
            <v>DOCENA</v>
          </cell>
        </row>
        <row r="1302">
          <cell r="B1302">
            <v>7053062</v>
          </cell>
          <cell r="C1302" t="str">
            <v>NYLON MONOFILAMENTO # 1, AGUJA 3/8 CIRCULO, PUNTA  REVERSO CORTANTE DE 75 - 90 MM, HEBRA DE 75 - 100 CM</v>
          </cell>
          <cell r="D1302" t="str">
            <v>DOCENA</v>
          </cell>
        </row>
        <row r="1303">
          <cell r="B1303">
            <v>7053066</v>
          </cell>
          <cell r="C1303" t="str">
            <v>NYLON MONOFILAMENTO 4/0, AGUJA 3/8 CIRCULO, PUNTA DE PRECISION REVERSO CORTANTE, DE 18 - 19 mm, CON ESTRIA LONGITUDINAL EN EL CUERPO, HEBRA DE 45 - 60 cm</v>
          </cell>
          <cell r="D1303" t="str">
            <v>DOCENA</v>
          </cell>
        </row>
        <row r="1304">
          <cell r="B1304">
            <v>7053067</v>
          </cell>
          <cell r="C1304" t="str">
            <v>NYLON 5/0 AGUJA PRECISION</v>
          </cell>
          <cell r="D1304" t="str">
            <v>DOCENA</v>
          </cell>
        </row>
        <row r="1305">
          <cell r="B1305">
            <v>7053068</v>
          </cell>
          <cell r="C1305" t="str">
            <v>NYLON MONOFILAMENTO 6/0, AGUJA 3/8 CIRCULO, PUNTA DE PRECISION REVERSO CORTANTE DE 11 - 15 mm, CON ESTRIA LONGITUDINAL EN EL CUERPO, HEBRA DE 45 - 60 cm</v>
          </cell>
          <cell r="D1305" t="str">
            <v>DOCENA</v>
          </cell>
        </row>
        <row r="1306">
          <cell r="B1306">
            <v>7053069</v>
          </cell>
          <cell r="C1306" t="str">
            <v>NYLON NEGRO TRENZADO 4-0, AGUJA 1/2 CIRCULO PUNTA  REDONDA DE 12-13 MM. HEBRA DE 45 - 60 CMS O PAQUETE DE 8 HEBRAS</v>
          </cell>
          <cell r="D1306" t="str">
            <v>DOCENA</v>
          </cell>
        </row>
        <row r="1307">
          <cell r="B1307">
            <v>7053013</v>
          </cell>
          <cell r="C1307" t="str">
            <v>POLIESTER TRENZADO 3/0, DOBLE AGUJA 1/2 CIRCULO PUNTA REDONDA  DE 15-18 MM, HEBRA  DE 75-90 CMS</v>
          </cell>
          <cell r="D1307" t="str">
            <v>DOCENA</v>
          </cell>
        </row>
        <row r="1308">
          <cell r="B1308">
            <v>7053077</v>
          </cell>
          <cell r="C1308" t="str">
            <v>POLIPROPILENO MONOFILAMENTO 3/0, DOBLE AGUJA 1/2  CIRCULO PUNTA REDONDA  DE 15 -18 MM, HEBRA  DE 75-90 CMS</v>
          </cell>
          <cell r="D1308" t="str">
            <v>DOCENA</v>
          </cell>
        </row>
        <row r="1309">
          <cell r="B1309">
            <v>7053015</v>
          </cell>
          <cell r="C1309" t="str">
            <v>POLIPROPILENO MONOFILAMENTO 4/0, DOBLE AGUJA 1/2  CIRCULO PUNTA REDONDA  DE 15-18 MM.M HEBRA  DE 60-90 CMS</v>
          </cell>
          <cell r="D1309" t="str">
            <v>DOCENA</v>
          </cell>
        </row>
        <row r="1310">
          <cell r="B1310">
            <v>7053079</v>
          </cell>
          <cell r="C1310" t="str">
            <v>POLIPROPILENO MONOFILAMENTO 5/0, DOBLE AGUJA 1/2  CIRCULO PUNTA REDONDA  DE 10-13 MM, HEBRA  DE 60-90 CMS</v>
          </cell>
          <cell r="D1310" t="str">
            <v>DOCENA</v>
          </cell>
        </row>
        <row r="1311">
          <cell r="B1311">
            <v>7053081</v>
          </cell>
          <cell r="C1311" t="str">
            <v>POLIPROPILENO MONOFILAMENTO 6/0, DOBLE AGUJA 3/8  CIRCULO PUNTA REDONDA DE 8-10 MM, HEBRA 60-90 CMS</v>
          </cell>
          <cell r="D1311" t="str">
            <v>DOCENA</v>
          </cell>
        </row>
        <row r="1312">
          <cell r="B1312">
            <v>7053018</v>
          </cell>
          <cell r="C1312" t="str">
            <v>POLIPROPILENO MONOFILAMENTO 7/0, DOBLE AGUJA 3/8  CIRCULO PUNTA REDONDA DE 8-10 MM, HEBRA 60-90 CMS</v>
          </cell>
          <cell r="D1312" t="str">
            <v>DOCENA</v>
          </cell>
        </row>
        <row r="1313">
          <cell r="B1313">
            <v>7053088</v>
          </cell>
          <cell r="C1313" t="str">
            <v>SUTURA MONOFILAMENTO DE POLIPROPILENO 2/0, DOBLE AGUJA 1/2 CIRCULO PUNTA REDONDA DE 25-26 MM, HEBRA  DE 75-90 CMS</v>
          </cell>
          <cell r="D1313" t="str">
            <v>DOCENA</v>
          </cell>
        </row>
        <row r="1314">
          <cell r="B1314">
            <v>7053020</v>
          </cell>
          <cell r="C1314" t="str">
            <v>ACERO MONOFILAR # 7, AGUJA CORTANTE 1/2 CIRCULO DE 120 MM, HEBRA DE 60 CMS ± 10%</v>
          </cell>
          <cell r="D1314" t="str">
            <v>DOCENA</v>
          </cell>
        </row>
        <row r="1315">
          <cell r="B1315">
            <v>7053021</v>
          </cell>
          <cell r="C1315" t="str">
            <v>MALLA QUIRURGICA DE POLIPROPILENO. PLANA  DE 20 - 30 CMS X 30 - 40 CM</v>
          </cell>
          <cell r="D1315" t="str">
            <v>C/U</v>
          </cell>
        </row>
        <row r="1316">
          <cell r="B1316">
            <v>7053086</v>
          </cell>
          <cell r="C1316" t="str">
            <v>SET DE PUNTOS DE RETENSION ACERO RECUBIERTO DE 1.3MM DIAMET.,DOBLE AGUJA 3/8 DE CIRCULO CORTANTE DE 100 MM.,HEBRA DE 75-90 CMS Y SUS RESPECTIVAS PLACAS PLASTICAS OVALES.</v>
          </cell>
          <cell r="D1316" t="str">
            <v>CAJA</v>
          </cell>
        </row>
        <row r="1317">
          <cell r="B1317">
            <v>7053023</v>
          </cell>
          <cell r="C1317" t="str">
            <v>POLYESTER 2/0  DOBLE AGUJA 1/2 CIRCULO REDONDO DE 22-25 MM, HEBRA DE 60-90 CM</v>
          </cell>
          <cell r="D1317" t="str">
            <v>DOCENA</v>
          </cell>
        </row>
        <row r="1318">
          <cell r="B1318">
            <v>7053082</v>
          </cell>
          <cell r="C1318" t="str">
            <v>POLIPROPILENO MONOFILAMENTO 6/0, DOBLE AGUJA 3/8  CIRCULO, PUNTA  CORTANTE  DE 8-10  MM, HEBRA  DE  60-90 CMS</v>
          </cell>
          <cell r="D1318" t="str">
            <v>DOCENA</v>
          </cell>
        </row>
        <row r="1319">
          <cell r="B1319">
            <v>7053025</v>
          </cell>
          <cell r="C1319" t="str">
            <v>POLIPROPILENO MONOFILAMENTO 7/0, DOBLE AGUJA 3/8  CIRCULO, PUNTA  CORTANTE  DE 8-10  MM, HEBRA  DE  60-90 CMS</v>
          </cell>
          <cell r="D1319" t="str">
            <v>DOCENA</v>
          </cell>
        </row>
        <row r="1320">
          <cell r="B1320">
            <v>7053076</v>
          </cell>
          <cell r="C1320" t="str">
            <v>POLIPROPILENO MONOFILAMENTO # 0,  AGUJA 1/2  CIRCULO, PUNTA  REDONDA  DE 35-40  MM, HEBRA  DE 75-100 CMS</v>
          </cell>
          <cell r="D1320" t="str">
            <v>DOCENA</v>
          </cell>
        </row>
        <row r="1321">
          <cell r="B1321">
            <v>7053053</v>
          </cell>
          <cell r="C1321" t="str">
            <v>BANDA QUIRURGICA DE ACERO  INOXIDABLE PARA SUTURA DE EXTERNON 36 - 40 CM DE LONGITUD DOBLE AGUJA N║ V-3 PUNTA CORTANTE</v>
          </cell>
          <cell r="D1321" t="str">
            <v>DOCENA</v>
          </cell>
        </row>
        <row r="1322">
          <cell r="B1322">
            <v>7053028</v>
          </cell>
          <cell r="C1322" t="str">
            <v>POLIESTER TRENZADO 5/0, DOBLE AGUJA 1/4 CIRCULO   PUNTA  ESPATULADA  DE 8.0-9.0 MM, HEBRA  DE 30-45 CMS</v>
          </cell>
          <cell r="D1322" t="str">
            <v>DOCENA</v>
          </cell>
        </row>
        <row r="1323">
          <cell r="B1323">
            <v>7053029</v>
          </cell>
          <cell r="C1323" t="str">
            <v>POLIESTER TRENZADO 6/0, DOBLE AGUJA 1/4 CIRCULO   PUNTA  ESPATULADA  DE 8.0-9.0 MM, HEBRA  DE 30-45 CMS</v>
          </cell>
          <cell r="D1323" t="str">
            <v>DOCENA</v>
          </cell>
        </row>
        <row r="1324">
          <cell r="B1324">
            <v>7053071</v>
          </cell>
          <cell r="C1324" t="str">
            <v>POLIESTER BLANCO TRENZADO 5-0 DOBLE AGUJA PUNTA ESPATULADA DE 1/4, CIRCULO DE 8-9 MM LARGO HEBRA 40-50 CM</v>
          </cell>
          <cell r="D1324" t="str">
            <v>DOCENA</v>
          </cell>
        </row>
        <row r="1325">
          <cell r="B1325">
            <v>7053087</v>
          </cell>
          <cell r="C1325" t="str">
            <v>SUTURA DE SINTETICA NO ABSORBIBLE DE POLIPROPILENO CALIBRE 2/0, HEBRA DE 60 - 75 cm. DE LONGITUD, AGUJA ATRAUMATICA DE 1/2 CIRCULO CON CUERPO DE 2.1 - 2.5 cm</v>
          </cell>
          <cell r="D1325" t="str">
            <v>DOCENA</v>
          </cell>
        </row>
        <row r="1326">
          <cell r="B1326">
            <v>7053090</v>
          </cell>
          <cell r="C1326" t="str">
            <v>SUTURA SINTETICA NO ABSORBIBLE MONO FILAMENTO DE NYLON, CALIBRE 4/0 CON HEBRA DE 45 - 60 cm DE LARGO AGUJA DE CUERPO ESTRIADO LONGITUDINAL DE ACERO INOXIDABLE CON PUNTA REVERSO CORTANTE CURVATURA DE 1/2 CIRCULO CON CUERPO DE 1.1 - 1.6 cm</v>
          </cell>
          <cell r="D1326" t="str">
            <v>DOCENA</v>
          </cell>
        </row>
        <row r="1327">
          <cell r="B1327">
            <v>7053091</v>
          </cell>
          <cell r="C1327" t="str">
            <v>SUTURA SINTETICA NO ABSORBIBLE MONOFILAMENTO DE NYLON, CALIBRE 4/0 CON HEBRA DE 45 - 60 cm DE LARGO AGUJA DE CUERPO ESTRIADO LONGITUDINAL DE ACERO INOXIDABLE CON PUNTA REVERSO CORTANTE CURVATURA DE 3/8 CIRCULO CON CUERPO DE 1.1 - 1.5 cm</v>
          </cell>
          <cell r="D1327" t="str">
            <v>DOCENA</v>
          </cell>
        </row>
        <row r="1328">
          <cell r="B1328">
            <v>7053092</v>
          </cell>
          <cell r="C1328" t="str">
            <v>SUTURA SINTETICA NO ABSORBIBLE, MONOFILAMENTO DE NYLON CALIBRE 6/0, CON HEBRA DE 45 - 60 cm DE LARGO, AGUJA DE CUERPO ESTRIADO LONGITUDINAL DE ACERO INOXIDALBE CON PUNTA REVERSO CORTANTE, CURVATURA DE 1/2 CIRCULO CON CUERPO DE 1.3 - 1.6 cm</v>
          </cell>
          <cell r="D1328" t="str">
            <v>DOCENA</v>
          </cell>
        </row>
        <row r="1329">
          <cell r="B1329">
            <v>7053035</v>
          </cell>
          <cell r="C1329" t="str">
            <v>POLIPROPILENO MONOFILAMENTO 5/0, DOBLE AGUJA 1/2  CIRCULO PUNTA REDONDA  TIPO HEMOSEAL, DE 10 -13 MM, HEBRA  DE 60 - 90 CM</v>
          </cell>
          <cell r="D1329" t="str">
            <v>C/U</v>
          </cell>
        </row>
        <row r="1330">
          <cell r="B1330">
            <v>7053060</v>
          </cell>
          <cell r="C1330" t="str">
            <v>ACERO QUIRURGICO # 5 CON AGUJA CORTANTE, 1/2 CIRCULO DE 55 - 65 MM. SOBRE DE 2 HEBRAS X 75 - 85 CMS</v>
          </cell>
          <cell r="D1330" t="str">
            <v>ELIM LIST OFICIAL</v>
          </cell>
        </row>
        <row r="1331">
          <cell r="B1331">
            <v>7070158</v>
          </cell>
          <cell r="C1331" t="str">
            <v>MASCARA FACIAL PARA APLICACION DE VENTILACIÓN NO INVASIVA, CON PUERTO PARA O2 - CO2 Y VALVULA DE EXHALACIÓN; TAMAÑO "M", QUE INCLUYA ARNE</v>
          </cell>
          <cell r="D1331" t="str">
            <v>C/U</v>
          </cell>
        </row>
        <row r="1332">
          <cell r="B1332">
            <v>7070157</v>
          </cell>
          <cell r="C1332" t="str">
            <v>MASCARA FACIAL PARA APLICACION DE VENTILACION NO INVASIVA, CON PUERTO PARA O2 - CO2 Y VALVULA DE EXHALACIÓN; TAMAÑO "L", QUE INCLUYA ARNE</v>
          </cell>
          <cell r="D1332" t="str">
            <v>C/U</v>
          </cell>
        </row>
        <row r="1333">
          <cell r="B1333">
            <v>7070005</v>
          </cell>
          <cell r="C1333" t="str">
            <v>CANULA OROFARINGEA TRANSPARENTE DE 60 mm DE LONGITUD</v>
          </cell>
          <cell r="D1333" t="str">
            <v>C/U</v>
          </cell>
        </row>
        <row r="1334">
          <cell r="B1334">
            <v>7070006</v>
          </cell>
          <cell r="C1334" t="str">
            <v>CANULA OROFARINGEA TRANSPARENTE DE 70 mm DE LONGITUD</v>
          </cell>
          <cell r="D1334" t="str">
            <v>C/U</v>
          </cell>
        </row>
        <row r="1335">
          <cell r="B1335">
            <v>7070007</v>
          </cell>
          <cell r="C1335" t="str">
            <v>CANULA OROFARINGEA TRANSPARENTE DE 80 mm DE LONGITUD</v>
          </cell>
          <cell r="D1335" t="str">
            <v>C/U</v>
          </cell>
        </row>
        <row r="1336">
          <cell r="B1336">
            <v>7070128</v>
          </cell>
          <cell r="C1336" t="str">
            <v>CANULA OROFARINGEA TRANSPARENTE DE 90 mm DE LONGITUD</v>
          </cell>
          <cell r="D1336" t="str">
            <v>C/U</v>
          </cell>
        </row>
        <row r="1337">
          <cell r="B1337">
            <v>7070121</v>
          </cell>
          <cell r="C1337" t="str">
            <v>CANULA OROFARINGEA TRANSPARENTE DE 100 mm DE LONGITUD</v>
          </cell>
          <cell r="D1337" t="str">
            <v>C/U</v>
          </cell>
        </row>
        <row r="1338">
          <cell r="B1338">
            <v>7070010</v>
          </cell>
          <cell r="C1338" t="str">
            <v>TUBO DE LATEX AMBAR 1/4 X 1/2 X 1/8 PIES</v>
          </cell>
          <cell r="D1338" t="str">
            <v>C/U</v>
          </cell>
        </row>
        <row r="1339">
          <cell r="B1339">
            <v>7070011</v>
          </cell>
          <cell r="C1339" t="str">
            <v>MANGUERA VERDE PARA VENTILADOR DE ALTA FRECUENCIA</v>
          </cell>
          <cell r="D1339" t="str">
            <v>C/U</v>
          </cell>
        </row>
        <row r="1340">
          <cell r="B1340">
            <v>7070012</v>
          </cell>
          <cell r="C1340" t="str">
            <v>MANGUERA ROJA PARA VENTILADOR DE ALTA FRECUENCIA</v>
          </cell>
          <cell r="D1340" t="str">
            <v>C/U</v>
          </cell>
        </row>
        <row r="1341">
          <cell r="B1341">
            <v>7070013</v>
          </cell>
          <cell r="C1341" t="str">
            <v>MANGUERA AZUL PARA VENTILADOR DE ALTA FRECUENCIA</v>
          </cell>
          <cell r="D1341" t="str">
            <v>C/U</v>
          </cell>
        </row>
        <row r="1342">
          <cell r="B1342">
            <v>7070161</v>
          </cell>
          <cell r="C1342" t="str">
            <v>MASCARILLA DE ALTA EFICIENCIA CON FILTRO</v>
          </cell>
          <cell r="D1342" t="str">
            <v>C/U</v>
          </cell>
        </row>
        <row r="1343">
          <cell r="B1343">
            <v>7070202</v>
          </cell>
          <cell r="C1343" t="str">
            <v>VALVULA DE EXHALACION, L</v>
          </cell>
          <cell r="D1343" t="str">
            <v>C/U</v>
          </cell>
        </row>
        <row r="1344">
          <cell r="B1344">
            <v>7070192</v>
          </cell>
          <cell r="C1344" t="str">
            <v>SOSTENEDOR DE TUBO ENDOTRAQUEAL SIN MORDEDERA PARA ADULTO</v>
          </cell>
          <cell r="D1344" t="str">
            <v>C/U</v>
          </cell>
        </row>
        <row r="1345">
          <cell r="B1345">
            <v>7070017</v>
          </cell>
          <cell r="C1345" t="str">
            <v>ESPACIADOR DE VOLUMEN DESCARTABLE CON SILBATO (ALARMA), BOQUILLA Y ADAPTADOR A LOS VENTILADORES MECANICOS</v>
          </cell>
          <cell r="D1345" t="str">
            <v>C/U</v>
          </cell>
        </row>
        <row r="1346">
          <cell r="B1346">
            <v>7070018</v>
          </cell>
          <cell r="C1346" t="str">
            <v>NEBULIZADOR CON SELECTOR DE CONCENTRACION, CON SISTEMA VENTURI, DE ALTO VOLUMEN, DESCARTABLE</v>
          </cell>
          <cell r="D1346" t="str">
            <v>C/U</v>
          </cell>
        </row>
        <row r="1347">
          <cell r="B1347">
            <v>7070187</v>
          </cell>
          <cell r="C1347" t="str">
            <v>SET PARA TOMA DE GASES ARTERIALES QUE CONTENGA: JERINGA DE 3 cc Y AGUJA DE 23 G, HEPARINA DE LITIO, TORUNDA CON ALCOHOL Y YODO, VENDA AUTO ADHESIVA Y CON IDENTIFICACION PARA JERINGA</v>
          </cell>
          <cell r="D1347" t="str">
            <v>SET</v>
          </cell>
        </row>
        <row r="1348">
          <cell r="B1348">
            <v>7070020</v>
          </cell>
          <cell r="C1348" t="str">
            <v>COLLAR PARA AEROSOLES EN PACIENTES CON TRAQUEOTOMIA CON SUJETADOR ELASTICO</v>
          </cell>
          <cell r="D1348" t="str">
            <v>C/U</v>
          </cell>
        </row>
        <row r="1349">
          <cell r="B1349">
            <v>7070152</v>
          </cell>
          <cell r="C1349" t="str">
            <v>INSPIROMETRO INCENTIVO CON ADAPTADOR PARA O2  DE FLUJO O DE VOLUMEN, DESCARTABLES.</v>
          </cell>
          <cell r="D1349" t="str">
            <v>C/U</v>
          </cell>
        </row>
        <row r="1350">
          <cell r="B1350">
            <v>7070171</v>
          </cell>
          <cell r="C1350" t="str">
            <v>NEBULIZADOR CON MASCARILLA PARA NEONATOS, TODA POSICION</v>
          </cell>
          <cell r="D1350" t="str">
            <v>C/U</v>
          </cell>
        </row>
        <row r="1351">
          <cell r="B1351">
            <v>7070169</v>
          </cell>
          <cell r="C1351" t="str">
            <v>NEBULIZADOR CON MASCARILLA MEDIANA PARA ADULTOS, TODA POSICION</v>
          </cell>
          <cell r="D1351" t="str">
            <v>C/U</v>
          </cell>
        </row>
        <row r="1352">
          <cell r="B1352">
            <v>7070172</v>
          </cell>
          <cell r="C1352" t="str">
            <v>NEBULIZADOR CON PIEZA "T" DE DOBLE TERMINACION, EXTREMOS DE 15 Y 22 mm PARA ADAPTAR A VENTILADOR MECANICO, CON SU LINEA DE OXIGENO</v>
          </cell>
          <cell r="D1352" t="str">
            <v>C/U</v>
          </cell>
        </row>
        <row r="1353">
          <cell r="B1353">
            <v>7070167</v>
          </cell>
          <cell r="C1353" t="str">
            <v>NEBULIZADOR CON BOQUILLA Y LINEA DE OXIGENO</v>
          </cell>
          <cell r="D1353" t="str">
            <v>C/U</v>
          </cell>
        </row>
        <row r="1354">
          <cell r="B1354">
            <v>7070026</v>
          </cell>
          <cell r="C1354" t="str">
            <v>TAPADERA DE RECIPIENTE DE DESCARTE</v>
          </cell>
          <cell r="D1354" t="str">
            <v>C/U</v>
          </cell>
        </row>
        <row r="1355">
          <cell r="B1355">
            <v>7070027</v>
          </cell>
          <cell r="C1355" t="str">
            <v>CANULA OROFARINGEA TRANSPARENTE DE 40 mm DE LONGITUD</v>
          </cell>
          <cell r="D1355" t="str">
            <v>C/U</v>
          </cell>
        </row>
        <row r="1356">
          <cell r="B1356">
            <v>7070028</v>
          </cell>
          <cell r="C1356" t="str">
            <v>CANULA OROFARINGEA TRANSPARENTE DE 50 mm DE LONGITUD</v>
          </cell>
          <cell r="D1356" t="str">
            <v>C/U</v>
          </cell>
        </row>
        <row r="1357">
          <cell r="B1357">
            <v>7070029</v>
          </cell>
          <cell r="C1357" t="str">
            <v>PERCUTOR NEONATAL DE GOMA CON ADAPTADORES PLASTICOS</v>
          </cell>
          <cell r="D1357" t="str">
            <v>C/U</v>
          </cell>
        </row>
        <row r="1358">
          <cell r="B1358">
            <v>7070030</v>
          </cell>
          <cell r="C1358" t="str">
            <v>MASCARILLA NEONATAL ADAPTABLE A RESUCITADOR MANUAL</v>
          </cell>
          <cell r="D1358" t="str">
            <v>C/U</v>
          </cell>
        </row>
        <row r="1359">
          <cell r="B1359">
            <v>7070031</v>
          </cell>
          <cell r="C1359" t="str">
            <v>COLCHON DE HULE DE ESPUMA CON FORRO IMPERMEABLE EN EN MEDIDAS DE 1.0 X 1.2 M X 15 CM.</v>
          </cell>
          <cell r="D1359" t="str">
            <v>C/U</v>
          </cell>
        </row>
        <row r="1360">
          <cell r="B1360">
            <v>7070032</v>
          </cell>
          <cell r="C1360" t="str">
            <v>PULMON DE PRUEBA DE 1000 - 2000 mL</v>
          </cell>
          <cell r="D1360" t="str">
            <v>C/U</v>
          </cell>
        </row>
        <row r="1361">
          <cell r="B1361">
            <v>7070033</v>
          </cell>
          <cell r="C1361" t="str">
            <v>CONDUCTOR MOLDEABLE PARA TUBOS ENDOTRAQUEALES.</v>
          </cell>
          <cell r="D1361" t="str">
            <v>C/U</v>
          </cell>
        </row>
        <row r="1362">
          <cell r="B1362">
            <v>7070137</v>
          </cell>
          <cell r="C1362" t="str">
            <v>ENTRENADOR MUSCULAR INSPIRATORIO</v>
          </cell>
          <cell r="D1362" t="str">
            <v>C/U</v>
          </cell>
        </row>
        <row r="1363">
          <cell r="B1363">
            <v>7070035</v>
          </cell>
          <cell r="C1363" t="str">
            <v>DISPOSITIVO DE PRESION POSITIVA ESPIRATORIA OSCILATORIA REUTILIZABLE</v>
          </cell>
          <cell r="D1363" t="str">
            <v>C/U</v>
          </cell>
        </row>
        <row r="1364">
          <cell r="B1364">
            <v>7070036</v>
          </cell>
          <cell r="C1364" t="str">
            <v>PERCUTOR PARA ADULTO</v>
          </cell>
          <cell r="D1364" t="str">
            <v>C/U</v>
          </cell>
        </row>
        <row r="1365">
          <cell r="B1365">
            <v>7070037</v>
          </cell>
          <cell r="C1365" t="str">
            <v>CONECTOR DIAMOND PARA MANGUERA DE VENTILADOR MECANICO PARA OXIGENO.</v>
          </cell>
          <cell r="D1365" t="str">
            <v>C/U</v>
          </cell>
        </row>
        <row r="1366">
          <cell r="B1366">
            <v>7070038</v>
          </cell>
          <cell r="C1366" t="str">
            <v>CONECTOR DIAMOND PARA MANGUERA DE VENTILADOR MECANICO PARA AIRE COMPRIMIDO.</v>
          </cell>
          <cell r="D1366" t="str">
            <v>C/U</v>
          </cell>
        </row>
        <row r="1367">
          <cell r="B1367">
            <v>7070039</v>
          </cell>
          <cell r="C1367" t="str">
            <v>CANULA OROFARINGEA TRANSPARENTE DE 30 MM DE LONGITUD</v>
          </cell>
          <cell r="D1367" t="str">
            <v>C/U</v>
          </cell>
        </row>
        <row r="1368">
          <cell r="B1368">
            <v>7070040</v>
          </cell>
          <cell r="C1368" t="str">
            <v>CEPILLO PARA LAVAR TUBO CORRUGADO, LARGO 50 - 60 cm, DIAMETRO  2 cm (APROXIMADO)</v>
          </cell>
          <cell r="D1368" t="str">
            <v>C/U</v>
          </cell>
        </row>
        <row r="1369">
          <cell r="B1369">
            <v>7070041</v>
          </cell>
          <cell r="C1369" t="str">
            <v>CUELLO CERVICAL PARA ADAPTAR CANULA DE TRAQUEOSTOMIA PARA ADULTO</v>
          </cell>
          <cell r="D1369" t="str">
            <v>C/U</v>
          </cell>
        </row>
        <row r="1370">
          <cell r="B1370">
            <v>7070139</v>
          </cell>
          <cell r="C1370" t="str">
            <v>ESPACIADOR DE VOLUMEN CON MASCARILLA NEONATAL</v>
          </cell>
          <cell r="D1370" t="str">
            <v>C/U</v>
          </cell>
        </row>
        <row r="1371">
          <cell r="B1371">
            <v>7070144</v>
          </cell>
          <cell r="C1371" t="str">
            <v>ESPACIADOR DE VOLUMEN CON MASCARILLA PEDIATRICA PEQUEÑA</v>
          </cell>
          <cell r="D1371" t="str">
            <v>C/U</v>
          </cell>
        </row>
        <row r="1372">
          <cell r="B1372">
            <v>7070143</v>
          </cell>
          <cell r="C1372" t="str">
            <v>ESPACIADOR DE VOLUMEN CON MASCARILLA PEDIATRICA MEDIANA</v>
          </cell>
          <cell r="D1372" t="str">
            <v>C/U</v>
          </cell>
        </row>
        <row r="1373">
          <cell r="B1373">
            <v>7070142</v>
          </cell>
          <cell r="C1373" t="str">
            <v>ESPACIADOR DE VOLUMEN CON MASCARILLA PEDIATRICA GRANDE</v>
          </cell>
          <cell r="D1373" t="str">
            <v>C/U</v>
          </cell>
        </row>
        <row r="1374">
          <cell r="B1374">
            <v>7070046</v>
          </cell>
          <cell r="C1374" t="str">
            <v>FRASCO NEBULIZADOR DE OXIGENO CON SU RESPECTIVO   CALENTADOR.</v>
          </cell>
          <cell r="D1374" t="str">
            <v>C/U</v>
          </cell>
        </row>
        <row r="1375">
          <cell r="B1375">
            <v>7070150</v>
          </cell>
          <cell r="C1375" t="str">
            <v>HUMIDIFICADOR DESCARTABLE CON  RESERVORIO TIPO BURBUJA</v>
          </cell>
          <cell r="D1375" t="str">
            <v>C/U</v>
          </cell>
        </row>
        <row r="1376">
          <cell r="B1376">
            <v>7070151</v>
          </cell>
          <cell r="C1376" t="str">
            <v>INSPIROMETRO 600 - 1,200 C.C. DE CAPACIDAD INSPIRATORIA DESCARTABLE</v>
          </cell>
          <cell r="D1376" t="str">
            <v>C/U</v>
          </cell>
        </row>
        <row r="1377">
          <cell r="B1377">
            <v>7070049</v>
          </cell>
          <cell r="C1377" t="str">
            <v>MANOMETRO DE PRESION DE BALON DE TUBO ENDOTRAQUEAL O ENDOBRONQUIAL, CON INSUFLADOR</v>
          </cell>
          <cell r="D1377" t="str">
            <v>C/U</v>
          </cell>
        </row>
        <row r="1378">
          <cell r="B1378">
            <v>7070050</v>
          </cell>
          <cell r="C1378" t="str">
            <v>MASCARA PARA OXIGENO TIPO VENTURI PARA ADULTO CON LINEA  DE OXIGENO DE 6 -  9 PIES</v>
          </cell>
          <cell r="D1378" t="str">
            <v>C/U</v>
          </cell>
        </row>
        <row r="1379">
          <cell r="B1379">
            <v>7070051</v>
          </cell>
          <cell r="C1379" t="str">
            <v xml:space="preserve">MASCARA TRANSPARENTE RESERVORIO Nº 5, CON EXTENSION PARA OXIGENO 1.5 - 2 MT. DE LARGO, CON VALVULA DE CONCENTRACION ALTA DE OXIGENO, DESCARTABLE, ESTERIL </v>
          </cell>
          <cell r="D1379" t="str">
            <v>C/U</v>
          </cell>
        </row>
        <row r="1380">
          <cell r="B1380">
            <v>7070052</v>
          </cell>
          <cell r="C1380" t="str">
            <v>MASCARILLA DE POLIPROPILENO # 3, ADAPTABLE A RESUCITADOR MANUAL PARA NIÑOS</v>
          </cell>
          <cell r="D1380" t="str">
            <v>C/U</v>
          </cell>
        </row>
        <row r="1381">
          <cell r="B1381">
            <v>7070053</v>
          </cell>
          <cell r="C1381" t="str">
            <v>MASCARILLA DE POLIPROPILENO # 4, ADAPTABLE A RESUCITADOR MANUAL PARA ADULTO</v>
          </cell>
          <cell r="D1381" t="str">
            <v>C/U</v>
          </cell>
        </row>
        <row r="1382">
          <cell r="B1382">
            <v>7070165</v>
          </cell>
          <cell r="C1382" t="str">
            <v>MASCARILLA DE POLIPROPILENO # 5, ADAPTABLE A RESUCITADOR MANUAL PARA ADULTO</v>
          </cell>
          <cell r="D1382" t="str">
            <v>C/U</v>
          </cell>
        </row>
        <row r="1383">
          <cell r="B1383">
            <v>7070168</v>
          </cell>
          <cell r="C1383" t="str">
            <v>NEBULIZADOR CON MASCARILLA GRANDE</v>
          </cell>
          <cell r="D1383" t="str">
            <v>C/U</v>
          </cell>
        </row>
        <row r="1384">
          <cell r="B1384">
            <v>7070170</v>
          </cell>
          <cell r="C1384" t="str">
            <v>NEBULIZADOR CON MASCARILLA INFANTES</v>
          </cell>
          <cell r="D1384" t="str">
            <v>C/U</v>
          </cell>
        </row>
        <row r="1385">
          <cell r="B1385">
            <v>7070057</v>
          </cell>
          <cell r="C1385" t="str">
            <v>PIEZA EN "T" DE 14 - 16 mm DE DIAMETRO INTERNO, DESCARTABLE</v>
          </cell>
          <cell r="D1385" t="str">
            <v>C/U</v>
          </cell>
        </row>
        <row r="1386">
          <cell r="B1386">
            <v>7070178</v>
          </cell>
          <cell r="C1386" t="str">
            <v>PIEZA EN "T" DE 20 - 22 mm DE DIAMETRO INTERNO, DESCARTABLE</v>
          </cell>
          <cell r="D1386" t="str">
            <v>C/U</v>
          </cell>
        </row>
        <row r="1387">
          <cell r="B1387">
            <v>7070059</v>
          </cell>
          <cell r="C1387" t="str">
            <v xml:space="preserve">PULMON DE PRUEBA DE 150 - 300 mL                                                                      </v>
          </cell>
          <cell r="D1387" t="str">
            <v>C/U</v>
          </cell>
        </row>
        <row r="1388">
          <cell r="B1388">
            <v>7070060</v>
          </cell>
          <cell r="C1388" t="str">
            <v>RESUCITADOR MANUAL INFANTIL, DE SILICON, TRASPARENTE, CON VALVULA LIMITADORA DE PRESION ADAPTABLE A FUENTE DE OXIGENO, CON SU RESPECTIVA BOLSA RESERVORIO.</v>
          </cell>
          <cell r="D1388" t="str">
            <v>C/U</v>
          </cell>
        </row>
        <row r="1389">
          <cell r="B1389">
            <v>7070061</v>
          </cell>
          <cell r="C1389" t="str">
            <v>RESUCITADOR MANUAL PARA ADULTO, DE SILICON, TRASPARENTE, CON VALVULA LIMITADORA DE PRESION, ADAPTABLE A FUENTE DE OXIGENO, CON SU RESPECTIVA BOLSA RESERVORIO Y VALVULA PEEP</v>
          </cell>
          <cell r="D1389" t="str">
            <v>C/U</v>
          </cell>
        </row>
        <row r="1390">
          <cell r="B1390">
            <v>7070188</v>
          </cell>
          <cell r="C1390" t="str">
            <v>SISTEMA CERRADO DE ASPIRACION BRONQUIAL # 14, FLEXIBLE, CON INTERRUPTOR, PUNTA REDONDA ATRAUMATICA, ESTERIL, DESCARTABLE</v>
          </cell>
          <cell r="D1390" t="str">
            <v>C/U</v>
          </cell>
        </row>
        <row r="1391">
          <cell r="B1391">
            <v>7070063</v>
          </cell>
          <cell r="C1391" t="str">
            <v>NEBULIZADOR CON SELECTOR DE CONCENTRACION, CON SISTEMA VENTURI, DE ALTO VOLUMEN, CON SU RESPECTIVO CALENTADOR</v>
          </cell>
          <cell r="D1391" t="str">
            <v>C/U</v>
          </cell>
        </row>
        <row r="1392">
          <cell r="B1392">
            <v>7070064</v>
          </cell>
          <cell r="C1392" t="str">
            <v>FILTRO BACTERIANO PARA NEBULIZADOR ULTRASONICO, COMPATIBLE CON EQUIPO INSTITUCIONAL</v>
          </cell>
          <cell r="D1392" t="str">
            <v>C/U</v>
          </cell>
        </row>
        <row r="1393">
          <cell r="B1393">
            <v>7070166</v>
          </cell>
          <cell r="C1393" t="str">
            <v>MEDIDOR DE FLUJO EXPIRATORIO MAXIMO (PEAK FLOW)</v>
          </cell>
          <cell r="D1393" t="str">
            <v>C/U</v>
          </cell>
        </row>
        <row r="1394">
          <cell r="B1394">
            <v>7070191</v>
          </cell>
          <cell r="C1394" t="str">
            <v>SISTEMA DE PRESION EXPIRATORIA POSITIVA OSCILANTE PARA HIGIENE BRONQUIAL</v>
          </cell>
          <cell r="D1394" t="str">
            <v>C/U</v>
          </cell>
        </row>
        <row r="1395">
          <cell r="B1395">
            <v>7070196</v>
          </cell>
          <cell r="C1395" t="str">
            <v>TUBO CORRUGADO, DE 100 PIES DE LONGITUD, DESCARTABLE</v>
          </cell>
          <cell r="D1395" t="str">
            <v>CAJA</v>
          </cell>
        </row>
        <row r="1396">
          <cell r="B1396">
            <v>7070203</v>
          </cell>
          <cell r="C1396" t="str">
            <v>VALVULA PEEP UNIVERSAL DE 0 - 20 cm DE AGUA PARA RESUCITADOR MANUAL</v>
          </cell>
          <cell r="D1396" t="str">
            <v>C/U</v>
          </cell>
        </row>
        <row r="1397">
          <cell r="B1397">
            <v>7070069</v>
          </cell>
          <cell r="C1397" t="str">
            <v>AMPOLLA DE CALIBRACION SLOPE PARA GASOMETRO SEGÚN MARCA Y MODELO DE EQUIPO INSTITUCIONAL</v>
          </cell>
          <cell r="D1397" t="str">
            <v>C/U</v>
          </cell>
        </row>
        <row r="1398">
          <cell r="B1398">
            <v>7070140</v>
          </cell>
          <cell r="C1398" t="str">
            <v>ESPACIADOR DE VOLUMEN PARA ADULTO</v>
          </cell>
          <cell r="D1398" t="str">
            <v>C/U</v>
          </cell>
        </row>
        <row r="1399">
          <cell r="B1399">
            <v>7071066</v>
          </cell>
          <cell r="C1399" t="str">
            <v>CANULA NASOFARINGEA DE 4.5 mm, IZQUIERDA, DE PLASTICO TRANSPARENTE, FLEXIBLE, DE UNA VIA</v>
          </cell>
          <cell r="D1399" t="str">
            <v>C/U</v>
          </cell>
        </row>
        <row r="1400">
          <cell r="B1400">
            <v>7071001</v>
          </cell>
          <cell r="C1400" t="str">
            <v>CANULA NASOFARINGEA DE 5.5 mm, IZQUIERDA, DE PLASTICO TRANSPARENTE, FLEXIBLE, DE UNA VIA</v>
          </cell>
          <cell r="D1400" t="str">
            <v>C/U</v>
          </cell>
        </row>
        <row r="1401">
          <cell r="B1401">
            <v>7071072</v>
          </cell>
          <cell r="C1401" t="str">
            <v>CANULA NASOFARINGEA DE 6 mm, IZQUIERDA, DE PLASTICO TRANSPARENTE, FLEXIBLE, DE UNA VIA</v>
          </cell>
          <cell r="D1401" t="str">
            <v>C/U</v>
          </cell>
        </row>
        <row r="1402">
          <cell r="B1402">
            <v>7071003</v>
          </cell>
          <cell r="C1402" t="str">
            <v>MASCARA LARINGEA PRO SEAL #3</v>
          </cell>
          <cell r="D1402" t="str">
            <v>C/U</v>
          </cell>
        </row>
        <row r="1403">
          <cell r="B1403">
            <v>7071004</v>
          </cell>
          <cell r="C1403" t="str">
            <v>MASCARA LARINGEA PRO SEAL #4</v>
          </cell>
          <cell r="D1403" t="str">
            <v>C/U</v>
          </cell>
        </row>
        <row r="1404">
          <cell r="B1404">
            <v>7071005</v>
          </cell>
          <cell r="C1404" t="str">
            <v>MASCARA LARINGEA PRO SEAL #5</v>
          </cell>
          <cell r="D1404" t="str">
            <v>C/U</v>
          </cell>
        </row>
        <row r="1405">
          <cell r="B1405">
            <v>7071006</v>
          </cell>
          <cell r="C1405" t="str">
            <v>MASCARA LARINGEA TIPO FAST TRACK #3, QUE INCLUYA ADAPTADOR, ESPACIADOR Y TUBO</v>
          </cell>
          <cell r="D1405" t="str">
            <v>C/U</v>
          </cell>
        </row>
        <row r="1406">
          <cell r="B1406">
            <v>7071007</v>
          </cell>
          <cell r="C1406" t="str">
            <v>MASCARA LARINGEA TIPO FAST TRACK #4, QUE INCLUYA ADAPTADOR, ESPACIADOR Y TUBO</v>
          </cell>
          <cell r="D1406" t="str">
            <v>C/U</v>
          </cell>
        </row>
        <row r="1407">
          <cell r="B1407">
            <v>7071008</v>
          </cell>
          <cell r="C1407" t="str">
            <v>MASCARA LARINGEA TIPO FAST TRACK #5, QUE INCLUYA ADAPTADOR, ESPACIADOR Y TUBO</v>
          </cell>
          <cell r="D1407" t="str">
            <v>C/U</v>
          </cell>
        </row>
        <row r="1408">
          <cell r="B1408">
            <v>7071087</v>
          </cell>
          <cell r="C1408" t="str">
            <v>SET DE ANESTESIA EPIDURAL Y ANALGESICO QUE CONTENGA: AGUJA TIPO TOUHY 18 Ga X 3 1/4" CON CONEXIÓN LUER LOCK, CATETER 20 Ga X ±100 cm FILTRO PLANO ANTIBACTERIAL, CONECTOR PLASTICO, TRANSPARENTE DE ROSCA Y JERINGA CON PERDIDA DE RESISTENCIA DE 10 ml</v>
          </cell>
          <cell r="D1408" t="str">
            <v>C/U</v>
          </cell>
        </row>
        <row r="1409">
          <cell r="B1409">
            <v>7071010</v>
          </cell>
          <cell r="C1409" t="str">
            <v>TUBO ENDOTRAQUEAL ORAL DE 4.5 mm, TRANSPARENTE,  CON OJO MURPHY Y LINEA CENTINELA,  DE MATERIAL RADIOPACO QUE PERMITA CONSERVAR SU CURVATURA</v>
          </cell>
          <cell r="D1409" t="str">
            <v>C/U</v>
          </cell>
        </row>
        <row r="1410">
          <cell r="B1410">
            <v>7071011</v>
          </cell>
          <cell r="C1410" t="str">
            <v>TUBO ENDOTRAQUEAL ORAL DE 5.0 mm, TRANSPARENTE,  CON OJO MURPHY Y LINEA CENTINELA,  DE MATERIAL RADIOPACO QUE PERMITA CONSERVAR SU CURVATURA</v>
          </cell>
          <cell r="D1410" t="str">
            <v>C/U</v>
          </cell>
        </row>
        <row r="1411">
          <cell r="B1411">
            <v>7071105</v>
          </cell>
          <cell r="C1411" t="str">
            <v>TUBO ENDOTRAQUEAL ORAL DE 5.5 mm, TRANSPARENTE,  CON OJO MURPHY Y LINEA CENTINELA,  DE MATERIAL RADIOPACO QUE PERMITA CONSERVAR SU CURVATURA</v>
          </cell>
          <cell r="D1411" t="str">
            <v>C/U</v>
          </cell>
        </row>
        <row r="1412">
          <cell r="B1412">
            <v>7071117</v>
          </cell>
          <cell r="C1412" t="str">
            <v>TUBO ENDOTRAQUEAL, CON ALMA DE ACERO, CON BALON DE ALTO VOLUMEN DE BAJA PRESION DE 7.5 mm</v>
          </cell>
          <cell r="D1412" t="str">
            <v>C/U</v>
          </cell>
        </row>
        <row r="1413">
          <cell r="B1413">
            <v>7071014</v>
          </cell>
          <cell r="C1413" t="str">
            <v>TUBO TRAQUEOBRONQUIAL PARA VENTILACION INDEPENDIENTE DERECHO, CON BALON DE BAJA PRESION Y ALTO VOLUMEN, 37 FRENCH, TIPO ROBERTSHOW</v>
          </cell>
          <cell r="D1413" t="str">
            <v>C/U</v>
          </cell>
        </row>
        <row r="1414">
          <cell r="B1414">
            <v>7071121</v>
          </cell>
          <cell r="C1414" t="str">
            <v>TUBO TRAQUEOBRONQUIAL PARA VENTILACION INDEPENDIENTE DERECHO, CON BALON DE BAJA PRESION Y ALTO VOLUMEN, 38 FRENCH, TIPO ROBERTSHOW</v>
          </cell>
          <cell r="D1414" t="str">
            <v>C/U</v>
          </cell>
        </row>
        <row r="1415">
          <cell r="B1415">
            <v>7071016</v>
          </cell>
          <cell r="C1415" t="str">
            <v>TUBO TRAQUEOBRONQUIAL PARA VENTILACION INDEPENDIENTE IZQUIERDO, CON BALON DE BAJA PRESION Y ALTO VOLUMEN, 37 FRENCH, TIPO ROBERTSHOW</v>
          </cell>
          <cell r="D1415" t="str">
            <v>C/U</v>
          </cell>
        </row>
        <row r="1416">
          <cell r="B1416">
            <v>7071124</v>
          </cell>
          <cell r="C1416" t="str">
            <v>TUBO TRAQUEOBRONQUIAL PARA VENTILACION INDEPENDIENTE IZQUIERDO, CON BALON DE BAJA PRESION Y ALTO VOLUMEN, 38 FRENCH, TIPO ROBERTSHOW</v>
          </cell>
          <cell r="D1416" t="str">
            <v>C/U</v>
          </cell>
        </row>
        <row r="1417">
          <cell r="B1417">
            <v>7071018</v>
          </cell>
          <cell r="C1417" t="str">
            <v>TUBO TRAQUEOBRONQUIAL PARA VENTILACION INDEPENDIENTE IZQUIERDO, CON BALON DE BAJA PRESION Y ALTO VOLUMEN, 39 FRENCH, TIPO ROBERTSHOW</v>
          </cell>
          <cell r="D1417" t="str">
            <v>C/U</v>
          </cell>
        </row>
        <row r="1418">
          <cell r="B1418">
            <v>7071019</v>
          </cell>
          <cell r="C1418" t="str">
            <v>BLOQUEO CONTINUO DE PLEXO CON CATETER 0.45 X 0.85 X 400 mm</v>
          </cell>
          <cell r="D1418" t="str">
            <v>SET</v>
          </cell>
        </row>
        <row r="1419">
          <cell r="B1419">
            <v>7071062</v>
          </cell>
          <cell r="C1419" t="str">
            <v>BOLSA DE HULE PARA ANESTESIA, CAPACIDAD 3 LITROS.</v>
          </cell>
          <cell r="D1419" t="str">
            <v>C/U</v>
          </cell>
        </row>
        <row r="1420">
          <cell r="B1420">
            <v>7071064</v>
          </cell>
          <cell r="C1420" t="str">
            <v>CAL SODADA.</v>
          </cell>
          <cell r="D1420" t="str">
            <v>GRAMO</v>
          </cell>
        </row>
        <row r="1421">
          <cell r="B1421">
            <v>7071022</v>
          </cell>
          <cell r="C1421" t="str">
            <v>CANULA NASOFARINGEA DE 4.5 mm, DERECHA, DE PLASTICO TRANSPARENTE, FLEXIBLE, DE UNA VIA</v>
          </cell>
          <cell r="D1421" t="str">
            <v>C/U</v>
          </cell>
        </row>
        <row r="1422">
          <cell r="B1422">
            <v>7071023</v>
          </cell>
          <cell r="C1422" t="str">
            <v>CANULA NASOFARINGEA DE 5.5 mm, DERECHA, DE PLASTICO TRANSPARENTE, FLEXIBLE, DE UNA VIA</v>
          </cell>
          <cell r="D1422" t="str">
            <v>C/U</v>
          </cell>
        </row>
        <row r="1423">
          <cell r="B1423">
            <v>7071069</v>
          </cell>
          <cell r="C1423" t="str">
            <v>CANULA NASOFARINGEA DE 6 mm, DERECHA, DE PLASTICO TRANSPARENTE, FLEXIBLE, DE UNA VIA</v>
          </cell>
          <cell r="D1423" t="str">
            <v>C/U</v>
          </cell>
        </row>
        <row r="1424">
          <cell r="B1424">
            <v>7071025</v>
          </cell>
          <cell r="C1424" t="str">
            <v>REPUESTOS PARA CIRCUITOS DE ANESTESIA JACKSON REES DE 1 LITRO.</v>
          </cell>
          <cell r="D1424" t="str">
            <v>C/U</v>
          </cell>
        </row>
        <row r="1425">
          <cell r="B1425">
            <v>7071086</v>
          </cell>
          <cell r="C1425" t="str">
            <v xml:space="preserve">REPUESTOS PARA CIRCUITOS DE ANESTESIA JACKSON REES DE 500 ml </v>
          </cell>
          <cell r="D1425" t="str">
            <v>C/U</v>
          </cell>
        </row>
        <row r="1426">
          <cell r="B1426">
            <v>7071027</v>
          </cell>
          <cell r="C1426" t="str">
            <v>SISTEMA LINEAL DE ANESTESIA DE 25 ml</v>
          </cell>
          <cell r="D1426" t="str">
            <v>C/U</v>
          </cell>
        </row>
        <row r="1427">
          <cell r="B1427">
            <v>7071028</v>
          </cell>
          <cell r="C1427" t="str">
            <v>SISTEMA LINEAL DE ANESTESIA DE 50 ml</v>
          </cell>
          <cell r="D1427" t="str">
            <v>C/U</v>
          </cell>
        </row>
        <row r="1428">
          <cell r="B1428">
            <v>7071091</v>
          </cell>
          <cell r="C1428" t="str">
            <v>TUBO ENDOTRAQUEAL CON ALMA DE ACERO DE 6.0 mm DE DIAMETRO, CON BALON DE ALTO VOLUMEN Y BAJA PRESION</v>
          </cell>
          <cell r="D1428" t="str">
            <v>C/U</v>
          </cell>
        </row>
        <row r="1429">
          <cell r="B1429">
            <v>7071030</v>
          </cell>
          <cell r="C1429" t="str">
            <v>TUBO ENDOTRAQUEAL CON ALMA DE ACERO DE 7.0 mm DE DIAMETRO, CON BALON ALTO VOLUMEN Y BAJA PRESION</v>
          </cell>
          <cell r="D1429" t="str">
            <v>C/U</v>
          </cell>
        </row>
        <row r="1430">
          <cell r="B1430">
            <v>7071031</v>
          </cell>
          <cell r="C1430" t="str">
            <v>TUBO ENDOTRAQUEAL CON ALMA DE ACERO DE 7.5 mm DE DIAMETRO, CON BALON ALTO VOLUMEN Y BAJA PRESION</v>
          </cell>
          <cell r="D1430" t="str">
            <v>C/U</v>
          </cell>
        </row>
        <row r="1431">
          <cell r="B1431">
            <v>7071094</v>
          </cell>
          <cell r="C1431" t="str">
            <v>TUBO ENDOTRAQUEAL CON ALMA DE ACERO DE 8.5 mm DE DIAMETRO, CON BALON DE ALTO VOLUMEN Y BAJA PRESION</v>
          </cell>
          <cell r="D1431" t="str">
            <v>C/U</v>
          </cell>
        </row>
        <row r="1432">
          <cell r="B1432">
            <v>7071033</v>
          </cell>
          <cell r="C1432" t="str">
            <v>TUBO ENDOTRAQUEAL ORAL DE 10 mm (#40), TRANSPARENTE,CON BALON DE BAJA PRESION Y ALTO VOLUMEN, CON OJO MURPHY, LINEA CENTINELA, DE MATERIAL QUE PERMITA MANTENER SU CURVATURA.</v>
          </cell>
          <cell r="D1432" t="str">
            <v>C/U</v>
          </cell>
        </row>
        <row r="1433">
          <cell r="B1433">
            <v>7071034</v>
          </cell>
          <cell r="C1433" t="str">
            <v>TUBO ENDOTRAQUEAL ORAL DE 2.5 mm, TRANSPARENTE,  CON OJO MURPHY, LINEA CENTINELA E IDENTIFICADOR DE CUERDAS VOCALES,  DE MATERIAL RADIOPACO QUE PERMITA MANTENER SU CURVATURA</v>
          </cell>
          <cell r="D1433" t="str">
            <v>C/U</v>
          </cell>
        </row>
        <row r="1434">
          <cell r="B1434">
            <v>7071100</v>
          </cell>
          <cell r="C1434" t="str">
            <v>TUBO ENDOTRAQUEAL ORAL DE 3.0 mm, TRANSPARENTE,  CON OJO MURPHY, LINEA CENTINELA E IDENTIFICADOR DE CUERDAS VOCALES,  DE MATERIAL RADIOPACO QUE PERMITA MANTENER SU CURVATURA</v>
          </cell>
          <cell r="D1434" t="str">
            <v>C/U</v>
          </cell>
        </row>
        <row r="1435">
          <cell r="B1435">
            <v>7071036</v>
          </cell>
          <cell r="C1435" t="str">
            <v>TUBO ENDOTRAQUEAL ORAL DE 3.5 mm, TRANSPARENTE,  CON OJO MURPHY, LINEA CENTINELA E IDENTIFICADOR DE CUERDAS VOCALES,  DE MATERIAL RADIOPACO QUE PERMITA MANTENER SU CURVATURA</v>
          </cell>
          <cell r="D1435" t="str">
            <v>C/U</v>
          </cell>
        </row>
        <row r="1436">
          <cell r="B1436">
            <v>7071037</v>
          </cell>
          <cell r="C1436" t="str">
            <v>TUBO ENDOTRAQUEAL ORAL DE 4.0 mm, TRANSPARENTE,  CON OJO MURPHY, LINEA CENTINELA E IDENTIFICADOR DE CUERDAS VOCALES,  DE MATERIAL RADIOPACO QUE PERMITA MANTENER SU CURVATURA</v>
          </cell>
          <cell r="D1436" t="str">
            <v>C/U</v>
          </cell>
        </row>
        <row r="1437">
          <cell r="B1437">
            <v>7071038</v>
          </cell>
          <cell r="C1437" t="str">
            <v>TUBO ENDOTRAQUEAL ORAL DE 6 mm (#24), TRANSPARENTE, CON BALON DE BAJA PRESION Y ALTO VOLUMEN, CON OJO MURPHY, LINEA CENTINELA, DE MATERIAL QUE PERMITA MANTENER SU CURVATURA.</v>
          </cell>
          <cell r="D1437" t="str">
            <v>C/U</v>
          </cell>
        </row>
        <row r="1438">
          <cell r="B1438">
            <v>7071107</v>
          </cell>
          <cell r="C1438" t="str">
            <v>TUBO ENDOTRAQUEAL ORAL DE 6.5 mm (#26), TRANSPARENTE, CON BALON DE BAJA PRESION Y ALTO VOLUMEN, CON OJO MURPHY, LINEA CENTINELA, DE MATERIAL QUE PERMITA MANTENER SU CURVATURA.</v>
          </cell>
          <cell r="D1438" t="str">
            <v>C/U</v>
          </cell>
        </row>
        <row r="1439">
          <cell r="B1439">
            <v>7071040</v>
          </cell>
          <cell r="C1439" t="str">
            <v>TUBO ENDOTRAQUEAL ORAL DE 7 mm (#28), TRANSPARENTE, CON BALON DE BAJA PRESION Y ALTO VOLUMEN, CON OJO MURPHY, LINEA CENTINELA, DE MATERIAL QUE PERMITA MANTENER SU CURVATURA.</v>
          </cell>
          <cell r="D1439" t="str">
            <v>C/U</v>
          </cell>
        </row>
        <row r="1440">
          <cell r="B1440">
            <v>7071041</v>
          </cell>
          <cell r="C1440" t="str">
            <v>TUBO ENDOTRAQUEAL ORAL DE 7.5 mm (#30), TRANSPARENTE, CON BALON DE BAJA PRESION Y ALTO VOLUMEN, CON OJO MURPHY, LINEA CENTINELA, DE MATERIAL QUE PERMITA MANTENER SU CURVATURA.</v>
          </cell>
          <cell r="D1440" t="str">
            <v>C/U</v>
          </cell>
        </row>
        <row r="1441">
          <cell r="B1441">
            <v>7071042</v>
          </cell>
          <cell r="C1441" t="str">
            <v>TUBO ENDOTRAQUEAL ORAL DE 8 mm (#32), TRANSPARENTE, CON BALON DE BAJA PRESION Y ALTO VOLUMEN, CON OJO MURPHY, LINEA CENTINELA, DE MATERIAL QUE PERMITA MANTENER SU CURVATURA.</v>
          </cell>
          <cell r="D1441" t="str">
            <v>C/U</v>
          </cell>
        </row>
        <row r="1442">
          <cell r="B1442">
            <v>7071043</v>
          </cell>
          <cell r="C1442" t="str">
            <v>TUBO ENDOTRAQUEAL ORAL DE 8.5 mm (#34), TRANSPARENTE, CON BALON DE BAJA PRESION Y ALTO VOLUMEN, CON OJO MURPHY, LINEA CENTINELA, DE MATERIAL QUE PERMITA MANTENER SU CURVATURA.</v>
          </cell>
          <cell r="D1442" t="str">
            <v>C/U</v>
          </cell>
        </row>
        <row r="1443">
          <cell r="B1443">
            <v>7071112</v>
          </cell>
          <cell r="C1443" t="str">
            <v>TUBO ENDOTRAQUEAL ORAL DE 9 mm (#36), TRANSPARENTE, CON BALON DE BAJA PRESION Y ALTO VOLUMEN, CON OJO MURPHY, LINEA CENTINELA, DE MATERIAL QUE PERMITA MANTENER SU CURVATURA.</v>
          </cell>
          <cell r="D1443" t="str">
            <v>C/U</v>
          </cell>
        </row>
        <row r="1444">
          <cell r="B1444">
            <v>7071113</v>
          </cell>
          <cell r="C1444" t="str">
            <v>TUBO ENDOTRAQUEAL ORAL DE 9.5 mm (#38), TRANSPARENTE,CON BALON DE BAJA PRESION Y ALTO VOLUMEN, CON OJO MURPHY, LINEA CENTINELA, DE MATERIAL QUE PERMITA CONTENER SU CURVATURA.</v>
          </cell>
          <cell r="D1444" t="str">
            <v>C/U</v>
          </cell>
        </row>
        <row r="1445">
          <cell r="B1445">
            <v>7071122</v>
          </cell>
          <cell r="C1445" t="str">
            <v>TUBO TRAQUEOBRONQUIAL PARA VENTILACION INDEPENDIENTE DERECHO, CON BALON DE BAJA PRESION Y ALTO VOLUMEN, 39 FRENCH, TIPO ROBERTSHOW</v>
          </cell>
          <cell r="D1445" t="str">
            <v>C/U</v>
          </cell>
        </row>
        <row r="1446">
          <cell r="B1446">
            <v>7071088</v>
          </cell>
          <cell r="C1446" t="str">
            <v xml:space="preserve">SET TUBOS CORRUGADOS CON FILTRO, MASCARA, BOLSA DE 3 LITROS Y CODO PARA MAQUINA DE ANESTESIA </v>
          </cell>
          <cell r="D1446" t="str">
            <v>SET</v>
          </cell>
        </row>
        <row r="1447">
          <cell r="B1447">
            <v>7071118</v>
          </cell>
          <cell r="C1447" t="str">
            <v>TUBO ENDOTRAQUEAL, CON ALMA DE ACERO, CON BALON DE ALTO VOLUMEN Y BAJA PRESION DE 5 mm</v>
          </cell>
          <cell r="D1447" t="str">
            <v>C/U</v>
          </cell>
        </row>
        <row r="1448">
          <cell r="B1448">
            <v>7071049</v>
          </cell>
          <cell r="C1448" t="str">
            <v>TUBO ENDOTRAQUEAL, CON ALMA DE ACERO, CON BALON DE ALTO VOLUMEN Y BAJA PRESION DE 8 mm</v>
          </cell>
          <cell r="D1448" t="str">
            <v>C/U</v>
          </cell>
        </row>
        <row r="1449">
          <cell r="B1449">
            <v>7071050</v>
          </cell>
          <cell r="C1449" t="str">
            <v>CODO PARA CAPNOGRAFO</v>
          </cell>
          <cell r="D1449" t="str">
            <v>C/U</v>
          </cell>
        </row>
        <row r="1450">
          <cell r="B1450">
            <v>7072000</v>
          </cell>
          <cell r="C1450" t="str">
            <v>ADAPTADORES NASALES TALLA "M" (2) PARA PROCEDIMIENTOS DE RINOMETRIA</v>
          </cell>
          <cell r="D1450" t="str">
            <v>C/U</v>
          </cell>
        </row>
        <row r="1451">
          <cell r="B1451">
            <v>7072021</v>
          </cell>
          <cell r="C1451" t="str">
            <v>ATOMIZADOR PARA APLICAR MEDICAMENTO DURANTE PLEUROSCOPIA</v>
          </cell>
          <cell r="D1451" t="str">
            <v>C/U</v>
          </cell>
        </row>
        <row r="1452">
          <cell r="B1452">
            <v>7072022</v>
          </cell>
          <cell r="C1452" t="str">
            <v>BOQUILLA DESCARTABLE PARA ESPIROMETRO PARA MARCA Y MODELO DE USO INSTITUCIONAL</v>
          </cell>
          <cell r="D1452" t="str">
            <v>C/U</v>
          </cell>
        </row>
        <row r="1453">
          <cell r="B1453">
            <v>7072003</v>
          </cell>
          <cell r="C1453" t="str">
            <v>CEPILLO DESCARTABLE PEDIATRICO PARA CEPILLADO BRONQUIAL # 51</v>
          </cell>
          <cell r="D1453" t="str">
            <v>C/U</v>
          </cell>
        </row>
        <row r="1454">
          <cell r="B1454">
            <v>7072004</v>
          </cell>
          <cell r="C1454" t="str">
            <v>SET DE CEPILLOS PARA CITOLOGIA, PARA FIBROBRONCOSCOPIO CON CANAL DE TRABAJO DE 2 mm</v>
          </cell>
          <cell r="D1454" t="str">
            <v>SET</v>
          </cell>
        </row>
        <row r="1455">
          <cell r="B1455">
            <v>7992171</v>
          </cell>
          <cell r="C1455" t="str">
            <v>FOCO PARA LAMPARA CIELITICA 120  VOLTIOS</v>
          </cell>
          <cell r="D1455" t="str">
            <v>C/U</v>
          </cell>
        </row>
        <row r="1456">
          <cell r="B1456">
            <v>9090160</v>
          </cell>
          <cell r="C1456" t="str">
            <v>BOLSA DE PAPEL MANILA SIN CLIP, MEDIDAS  1</v>
          </cell>
          <cell r="D1456" t="str">
            <v>C/U</v>
          </cell>
        </row>
        <row r="1457">
          <cell r="B1457">
            <v>9990002</v>
          </cell>
          <cell r="C1457" t="str">
            <v>LIBRETA DE PAPEL PERIODICO TAMAÑO OFICIO</v>
          </cell>
          <cell r="D1457" t="str">
            <v>C/U</v>
          </cell>
        </row>
        <row r="1458">
          <cell r="B1458">
            <v>9990003</v>
          </cell>
          <cell r="C1458" t="str">
            <v>LIBRETA DE PAPEL PERIODICO TAMAÑO CARTA</v>
          </cell>
          <cell r="D1458" t="str">
            <v>C/U</v>
          </cell>
        </row>
        <row r="1459">
          <cell r="B1459">
            <v>9990006</v>
          </cell>
          <cell r="C1459" t="str">
            <v>PAPEL BOND BLANCO MEMBRETADO A UNA TINTA TAMAÑO OFICIO</v>
          </cell>
          <cell r="D1459" t="str">
            <v>C/U</v>
          </cell>
        </row>
        <row r="1460">
          <cell r="B1460">
            <v>9990028</v>
          </cell>
          <cell r="C1460" t="str">
            <v>DESINFECTANTE CONCENTRADO DE TRIPLE ACCION, CON AROMATIZANTE</v>
          </cell>
          <cell r="D1460" t="str">
            <v>GALON</v>
          </cell>
        </row>
        <row r="1461">
          <cell r="B1461">
            <v>9990029</v>
          </cell>
          <cell r="C1461" t="str">
            <v>DESOD. PARA INOD., CON SUJETADOR, DE V. FRAG., P/ COLOCAR EN TAZA O TANQUE</v>
          </cell>
          <cell r="D1461" t="str">
            <v>C/U.</v>
          </cell>
        </row>
        <row r="1462">
          <cell r="B1462">
            <v>9990030</v>
          </cell>
          <cell r="C1462" t="str">
            <v xml:space="preserve">DET. EN POLVO, TIPO INDUST. INOD., SOLUBLE, ESP., C/ PODER DESENGRAS.  </v>
          </cell>
          <cell r="D1462" t="str">
            <v>LIBRA</v>
          </cell>
        </row>
        <row r="1463">
          <cell r="B1463">
            <v>9990031</v>
          </cell>
          <cell r="C1463" t="str">
            <v>JABON DE TOCADOR, PASTILLA DE 1 ONZA</v>
          </cell>
          <cell r="D1463" t="str">
            <v>C/U.</v>
          </cell>
        </row>
        <row r="1464">
          <cell r="B1464">
            <v>9990032</v>
          </cell>
          <cell r="C1464" t="str">
            <v>JABON P/ DISPENS. DE SERVICIOS SANITARIOS,LIQUIDO, AROMATIZADO (PARA MANOS)</v>
          </cell>
          <cell r="D1464" t="str">
            <v>GALON</v>
          </cell>
        </row>
        <row r="1465">
          <cell r="B1465">
            <v>9990035</v>
          </cell>
          <cell r="C1465" t="str">
            <v xml:space="preserve">CEPILLO OVALADO, LARGO APROX. DE 18 A 20 CMS.CON FIBRA SINTETICA RESISTENTE,  </v>
          </cell>
          <cell r="D1465" t="str">
            <v>C/U.</v>
          </cell>
        </row>
        <row r="1466">
          <cell r="B1466">
            <v>9990036</v>
          </cell>
          <cell r="C1466" t="str">
            <v xml:space="preserve">CEPILLO MANGO CORTO, MEDIDA APROX. 30 CM. CONFIBRA SINTETICA , </v>
          </cell>
          <cell r="D1466" t="str">
            <v>C/U.</v>
          </cell>
        </row>
        <row r="1467">
          <cell r="B1467">
            <v>9990037</v>
          </cell>
          <cell r="C1467" t="str">
            <v>ESCOBA DE FIBRA NATURAL, CON UN MINIMO DE CUATRO AMARRES</v>
          </cell>
          <cell r="D1467" t="str">
            <v>C/U.</v>
          </cell>
        </row>
        <row r="1468">
          <cell r="B1468">
            <v>9990038</v>
          </cell>
          <cell r="C1468" t="str">
            <v>ESCOBA DE FIBRA SINTETICA, TIPO CEPILLO</v>
          </cell>
          <cell r="D1468" t="str">
            <v>C/U.</v>
          </cell>
        </row>
        <row r="1469">
          <cell r="B1469">
            <v>9990040</v>
          </cell>
          <cell r="C1469" t="str">
            <v>MASCON DE FIBRA SINTETICA, PARA FREGAR TRASTOS</v>
          </cell>
          <cell r="D1469" t="str">
            <v>C/U.</v>
          </cell>
        </row>
        <row r="1470">
          <cell r="B1470">
            <v>9990042</v>
          </cell>
          <cell r="C1470" t="str">
            <v xml:space="preserve">PALO P/ TRAPEADOR, METALICO, DE 1.5 MTS. LARGO,CON SOPORTE RESISTENTE </v>
          </cell>
          <cell r="D1470" t="str">
            <v>C/U.</v>
          </cell>
        </row>
        <row r="1471">
          <cell r="B1471">
            <v>9990043</v>
          </cell>
          <cell r="C1471" t="str">
            <v xml:space="preserve">TRAPEADORES DE TELA ABSORB., DOBLE TELA Y AGUJERO REFORZADO, </v>
          </cell>
          <cell r="D1471" t="str">
            <v>C/U.</v>
          </cell>
        </row>
        <row r="1472">
          <cell r="B1472">
            <v>9990044</v>
          </cell>
          <cell r="C1472" t="str">
            <v>VASO DE DURAPAX DE 6 ONZAS</v>
          </cell>
          <cell r="D1472" t="str">
            <v>C/U.</v>
          </cell>
        </row>
        <row r="1473">
          <cell r="B1473">
            <v>9990075</v>
          </cell>
          <cell r="C1473" t="str">
            <v>TRAPEADOR DE MECHA COMPLETO PALO Y MECHA</v>
          </cell>
          <cell r="D1473" t="str">
            <v>C/U</v>
          </cell>
        </row>
        <row r="1474">
          <cell r="B1474">
            <v>9990076</v>
          </cell>
          <cell r="C1474" t="str">
            <v>TRAPEADOR DE MOPA COMPLETO PALO Y MOPA</v>
          </cell>
          <cell r="D1474" t="str">
            <v>C/U</v>
          </cell>
        </row>
        <row r="1475">
          <cell r="B1475">
            <v>9990084</v>
          </cell>
          <cell r="C1475" t="str">
            <v xml:space="preserve">JABON PARA DISPENSADOR LIQUIDO </v>
          </cell>
          <cell r="D1475" t="str">
            <v>C/U</v>
          </cell>
        </row>
        <row r="1476">
          <cell r="B1476">
            <v>9990087</v>
          </cell>
          <cell r="C1476" t="str">
            <v>PAÑALES DESECHABLES DIFERENTES TALLAS</v>
          </cell>
          <cell r="D1476" t="str">
            <v>C/U</v>
          </cell>
        </row>
        <row r="1477">
          <cell r="B1477">
            <v>9990089</v>
          </cell>
          <cell r="C1477" t="str">
            <v>PELICULA PARA FAX PANASONIC KX-FHD 351</v>
          </cell>
          <cell r="D1477" t="str">
            <v>C/U</v>
          </cell>
        </row>
        <row r="1478">
          <cell r="B1478">
            <v>9990095</v>
          </cell>
          <cell r="C1478" t="str">
            <v>CARTERON DE CUERO</v>
          </cell>
          <cell r="D1478" t="str">
            <v>C/U.</v>
          </cell>
        </row>
        <row r="1479">
          <cell r="B1479">
            <v>9990100</v>
          </cell>
          <cell r="C1479" t="str">
            <v>LAMPARA DE MANO, SIN BATERIA, CAPACIDAD 2 BATERIAS</v>
          </cell>
          <cell r="D1479" t="str">
            <v>C/U.</v>
          </cell>
        </row>
        <row r="1480">
          <cell r="B1480">
            <v>9990105</v>
          </cell>
          <cell r="C1480" t="str">
            <v>PILA MEDIANA 1 LP.,C/U.</v>
          </cell>
          <cell r="D1480" t="str">
            <v>C/U.</v>
          </cell>
        </row>
        <row r="1481">
          <cell r="B1481">
            <v>9990106</v>
          </cell>
          <cell r="C1481" t="str">
            <v>PILA PARA LAMPARA DE MANO 2 LP.</v>
          </cell>
          <cell r="D1481" t="str">
            <v>C/U.</v>
          </cell>
        </row>
        <row r="1482">
          <cell r="B1482">
            <v>9990107</v>
          </cell>
          <cell r="C1482" t="str">
            <v>PILA PARA TRANSISTORES DE 7 R</v>
          </cell>
          <cell r="D1482" t="str">
            <v>C/U.</v>
          </cell>
        </row>
        <row r="1483">
          <cell r="B1483">
            <v>9990108</v>
          </cell>
          <cell r="C1483" t="str">
            <v>DISKETTES VARIOS TIPOS Y MEDIDAS</v>
          </cell>
          <cell r="D1483" t="str">
            <v>CAJA</v>
          </cell>
        </row>
        <row r="1484">
          <cell r="B1484">
            <v>9990121</v>
          </cell>
          <cell r="C1484" t="str">
            <v>DESODORANTE PURIFICADOR EN SPRAY,PARA USO HOSPITALARIO.</v>
          </cell>
          <cell r="D1484" t="str">
            <v>C/U</v>
          </cell>
        </row>
        <row r="1485">
          <cell r="B1485">
            <v>9990127</v>
          </cell>
          <cell r="C1485" t="str">
            <v>CERA LIQUIDA INDUSTRIAL ANTIDESLIZANTE,PARA PISOS.</v>
          </cell>
          <cell r="D1485" t="str">
            <v>GALON</v>
          </cell>
        </row>
        <row r="1486">
          <cell r="B1486">
            <v>9990141</v>
          </cell>
          <cell r="C1486" t="str">
            <v>CINTA PARA IMPRESOR ESPECIAL DE VIÑETAS</v>
          </cell>
          <cell r="D1486" t="str">
            <v>UN</v>
          </cell>
        </row>
        <row r="1487">
          <cell r="B1487">
            <v>9990149</v>
          </cell>
          <cell r="C1487" t="str">
            <v>PILA DE DIFERENTES TAMAÑOS Y CAPACIDADES</v>
          </cell>
          <cell r="D1487" t="str">
            <v>UN</v>
          </cell>
        </row>
        <row r="1488">
          <cell r="B1488">
            <v>9990158</v>
          </cell>
          <cell r="C1488" t="str">
            <v>PLUMONES DE AGUA PARA ESCRIBIR EN PIZARRA VARIAS MARCAS Y COLORES.,C/U.</v>
          </cell>
          <cell r="D1488" t="str">
            <v>C/U.</v>
          </cell>
        </row>
        <row r="1489">
          <cell r="B1489">
            <v>9990159</v>
          </cell>
          <cell r="C1489" t="str">
            <v>PAPEL PARA FAX DE 30MTS</v>
          </cell>
          <cell r="D1489" t="str">
            <v>C/U.</v>
          </cell>
        </row>
        <row r="1490">
          <cell r="B1490">
            <v>9990160</v>
          </cell>
          <cell r="C1490" t="str">
            <v>BOLSA PAPEL MANILA SIN CLIP MEDIDA 1</v>
          </cell>
          <cell r="D1490" t="str">
            <v>C/U.</v>
          </cell>
        </row>
        <row r="1491">
          <cell r="B1491">
            <v>9990178</v>
          </cell>
          <cell r="C1491" t="str">
            <v>GARRAFON PLASTICO CAPACIDAD 1 GALON</v>
          </cell>
          <cell r="D1491" t="str">
            <v>C/U</v>
          </cell>
        </row>
        <row r="1492">
          <cell r="B1492">
            <v>9990190</v>
          </cell>
          <cell r="C1492" t="str">
            <v>POST IT 653</v>
          </cell>
          <cell r="D1492" t="str">
            <v>BLOCK</v>
          </cell>
        </row>
        <row r="1493">
          <cell r="B1493">
            <v>9990205</v>
          </cell>
          <cell r="C1493" t="str">
            <v>PAPEL FORMULA CONTINUA DE 3 PARTES</v>
          </cell>
          <cell r="D1493" t="str">
            <v>JUEGO</v>
          </cell>
        </row>
        <row r="1494">
          <cell r="B1494">
            <v>9990227</v>
          </cell>
          <cell r="C1494" t="str">
            <v>PILA DE 9 VOLTIOS.</v>
          </cell>
          <cell r="D1494" t="str">
            <v>C/U</v>
          </cell>
        </row>
        <row r="1495">
          <cell r="B1495">
            <v>9990232</v>
          </cell>
          <cell r="C1495" t="str">
            <v>BATERIA 3 AAA ( TRIPLE "A" ).</v>
          </cell>
          <cell r="D1495" t="str">
            <v>C/U.</v>
          </cell>
        </row>
        <row r="1496">
          <cell r="B1496">
            <v>9990238</v>
          </cell>
          <cell r="C1496" t="str">
            <v>RASTRILLO METALICO PARA JARDINERIA.</v>
          </cell>
          <cell r="D1496" t="str">
            <v>C/U</v>
          </cell>
        </row>
        <row r="1497">
          <cell r="B1497">
            <v>9990240</v>
          </cell>
          <cell r="C1497" t="str">
            <v>FORMULA CONTINUA "HOJA DE EMERGENCIA" MEDIDAS DE-91/2 X 11" EN UNA PARTE.</v>
          </cell>
          <cell r="D1497" t="str">
            <v>C/U.</v>
          </cell>
        </row>
        <row r="1498">
          <cell r="B1498">
            <v>9990252</v>
          </cell>
          <cell r="C1498" t="str">
            <v>CD'S EN BLANCO P. LECTURA Y ESCRIT. V. MARCAS Y MOD. (CD-R SOLO SE GRABA 1 VEZ)</v>
          </cell>
          <cell r="D1498" t="str">
            <v>C/U</v>
          </cell>
        </row>
        <row r="1499">
          <cell r="B1499">
            <v>9990254</v>
          </cell>
          <cell r="C1499" t="str">
            <v>INSECTICIDA ADULTICIDA PIRETROIDE</v>
          </cell>
          <cell r="D1499" t="str">
            <v>LITRO</v>
          </cell>
        </row>
        <row r="1500">
          <cell r="B1500">
            <v>9990266</v>
          </cell>
          <cell r="C1500" t="str">
            <v>BOLSA PLASTICA LECHOSA 14X20</v>
          </cell>
          <cell r="D1500" t="str">
            <v>C/U</v>
          </cell>
        </row>
        <row r="1501">
          <cell r="B1501">
            <v>90202110</v>
          </cell>
          <cell r="C1501" t="str">
            <v>PAPEL BOBINA PARA CANAPE 16 " ANCHO</v>
          </cell>
          <cell r="D1501" t="str">
            <v>C/U</v>
          </cell>
        </row>
        <row r="1502">
          <cell r="B1502">
            <v>9990278</v>
          </cell>
          <cell r="C1502" t="str">
            <v>DISCO LASER TIPO CD-RW REGRABABLE</v>
          </cell>
          <cell r="D1502" t="str">
            <v>C/U</v>
          </cell>
        </row>
        <row r="1503">
          <cell r="B1503">
            <v>9990284</v>
          </cell>
          <cell r="C1503" t="str">
            <v>INSECTICIDA LARVACIDA ORGANO FOSFORADO  AL 1%</v>
          </cell>
          <cell r="D1503" t="str">
            <v>KILOG</v>
          </cell>
        </row>
        <row r="1504">
          <cell r="B1504">
            <v>90101013</v>
          </cell>
          <cell r="C1504" t="str">
            <v>PILA DE 1.5 V ALCALINA "AAA"</v>
          </cell>
          <cell r="D1504" t="str">
            <v>UN</v>
          </cell>
        </row>
        <row r="1505">
          <cell r="B1505">
            <v>90102000</v>
          </cell>
          <cell r="C1505" t="str">
            <v>BOLSA  DE PAPEL  MANILA  S / N  CLIP  DE 10*X15</v>
          </cell>
          <cell r="D1505" t="str">
            <v>C/U</v>
          </cell>
        </row>
        <row r="1506">
          <cell r="B1506">
            <v>90102001</v>
          </cell>
          <cell r="C1506" t="str">
            <v>BOLSA DE PAPEL MANILA CON CLIP, MEDIDAS 10" X 15"</v>
          </cell>
          <cell r="D1506" t="str">
            <v>C/U</v>
          </cell>
        </row>
        <row r="1507">
          <cell r="B1507">
            <v>90102002</v>
          </cell>
          <cell r="C1507" t="str">
            <v>BOLSA DE PAPEL MANILA C/CLIP 7"X10"</v>
          </cell>
          <cell r="D1507" t="str">
            <v>C/U</v>
          </cell>
        </row>
        <row r="1508">
          <cell r="B1508">
            <v>90102004</v>
          </cell>
          <cell r="C1508" t="str">
            <v>BOLSA DE PAPEL MANILA S/CLIP 10"X15"</v>
          </cell>
          <cell r="D1508" t="str">
            <v>C/U</v>
          </cell>
        </row>
        <row r="1509">
          <cell r="B1509">
            <v>90102005</v>
          </cell>
          <cell r="C1509" t="str">
            <v>BOLSA DE PAPEL MANILA SIN CLIP, MEDIDAS 10" X 13"</v>
          </cell>
          <cell r="D1509" t="str">
            <v>C/U</v>
          </cell>
        </row>
        <row r="1510">
          <cell r="B1510">
            <v>90102008</v>
          </cell>
          <cell r="C1510" t="str">
            <v>SOBRE BLANCO SIN MEMBRETE TAMAÑO CARTA DE PAPEL BOND</v>
          </cell>
          <cell r="D1510" t="str">
            <v>C/U.</v>
          </cell>
        </row>
        <row r="1511">
          <cell r="B1511">
            <v>90102009</v>
          </cell>
          <cell r="C1511" t="str">
            <v>SOBRE BLANCO SIN MEMBRETE TAMAÑO OFICIO DE PAPEL BOND</v>
          </cell>
          <cell r="D1511" t="str">
            <v>C/U.</v>
          </cell>
        </row>
        <row r="1512">
          <cell r="B1512">
            <v>90102011</v>
          </cell>
          <cell r="C1512" t="str">
            <v>SOBRE DE MANILA CON IMPRECION SEGÚN MUESTRA PARA SERVICIO DE CARDIOLOGIA</v>
          </cell>
          <cell r="D1512" t="str">
            <v>C/U</v>
          </cell>
        </row>
        <row r="1513">
          <cell r="B1513">
            <v>90103001</v>
          </cell>
          <cell r="C1513" t="str">
            <v>BOLIGRAFOS DESECHABLES COLOR AZUL</v>
          </cell>
          <cell r="D1513" t="str">
            <v>C/U.</v>
          </cell>
        </row>
        <row r="1514">
          <cell r="B1514">
            <v>90103002</v>
          </cell>
          <cell r="C1514" t="str">
            <v>BOLIGRAFOS DESECHABLES COLOR NEGRO</v>
          </cell>
          <cell r="D1514" t="str">
            <v>C/U.</v>
          </cell>
        </row>
        <row r="1515">
          <cell r="B1515">
            <v>90103003</v>
          </cell>
          <cell r="C1515" t="str">
            <v>BOLIGRAFOS DESECHABLES COLOR ROJO</v>
          </cell>
          <cell r="D1515" t="str">
            <v>C/U.</v>
          </cell>
        </row>
        <row r="1516">
          <cell r="B1516">
            <v>90103004</v>
          </cell>
          <cell r="C1516" t="str">
            <v>BOLIGRAFO  DESECHABLE  COLOR  VERDE</v>
          </cell>
          <cell r="D1516" t="str">
            <v>C/U</v>
          </cell>
        </row>
        <row r="1517">
          <cell r="B1517">
            <v>90103007</v>
          </cell>
          <cell r="C1517" t="str">
            <v>BORRADOR PARA PIZARRA</v>
          </cell>
          <cell r="D1517" t="str">
            <v>C/U.</v>
          </cell>
        </row>
        <row r="1518">
          <cell r="B1518">
            <v>90103008</v>
          </cell>
          <cell r="C1518" t="str">
            <v>BORRADOR SUAVE PARA LAPIZ</v>
          </cell>
          <cell r="D1518" t="str">
            <v>C/U.</v>
          </cell>
        </row>
        <row r="1519">
          <cell r="B1519">
            <v>90103009</v>
          </cell>
          <cell r="C1519" t="str">
            <v>BORRADOR TIPO LAPIZ PARA TINTA</v>
          </cell>
          <cell r="D1519" t="str">
            <v>C/U</v>
          </cell>
        </row>
        <row r="1520">
          <cell r="B1520">
            <v>90103010</v>
          </cell>
          <cell r="C1520" t="str">
            <v>CINTA BICOLOR PARA CALCULADORA</v>
          </cell>
          <cell r="D1520" t="str">
            <v>C/U.</v>
          </cell>
        </row>
        <row r="1521">
          <cell r="B1521">
            <v>90103012</v>
          </cell>
          <cell r="C1521" t="str">
            <v>CINTA BICOLOR PARA MAQUINA DE ESCRIBIR NO ELECTRICA</v>
          </cell>
          <cell r="D1521" t="str">
            <v>C/U.</v>
          </cell>
        </row>
        <row r="1522">
          <cell r="B1522">
            <v>90103013</v>
          </cell>
          <cell r="C1522" t="str">
            <v xml:space="preserve">CINTA CORRECTORA P/ MAQUINA DE ESCRIBIR ELECTRICA </v>
          </cell>
          <cell r="D1522" t="str">
            <v>C/U.</v>
          </cell>
        </row>
        <row r="1523">
          <cell r="B1523">
            <v>90103014</v>
          </cell>
          <cell r="C1523" t="str">
            <v>CINTA METRICA AHULADA.,C/U.</v>
          </cell>
          <cell r="D1523" t="str">
            <v>C/U.</v>
          </cell>
        </row>
        <row r="1524">
          <cell r="B1524">
            <v>90103018</v>
          </cell>
          <cell r="C1524" t="str">
            <v xml:space="preserve">CINTA PARA  MAQUINA DE ESCRIBIR ELÉCTRICA  </v>
          </cell>
          <cell r="D1524" t="str">
            <v>C/U</v>
          </cell>
        </row>
        <row r="1525">
          <cell r="B1525">
            <v>90103026</v>
          </cell>
          <cell r="C1525" t="str">
            <v>CORRECTOR LIQUIDO COLOR BLANCO, PARA PAPEL</v>
          </cell>
          <cell r="D1525" t="str">
            <v>FRASCO</v>
          </cell>
        </row>
        <row r="1526">
          <cell r="B1526">
            <v>90103027</v>
          </cell>
          <cell r="C1526" t="str">
            <v>CORRECTOR PARA MAQUINA DE ESCRIBIR, TIPO LIBRETA</v>
          </cell>
          <cell r="D1526" t="str">
            <v>C/U.</v>
          </cell>
        </row>
        <row r="1527">
          <cell r="B1527">
            <v>90103029</v>
          </cell>
          <cell r="C1527" t="str">
            <v>FECHADOR DE HULE.</v>
          </cell>
          <cell r="D1527" t="str">
            <v>C/U.</v>
          </cell>
        </row>
        <row r="1528">
          <cell r="B1528">
            <v>90103030</v>
          </cell>
          <cell r="C1528" t="str">
            <v>FECHADORES DE HULE, MEDIDAS 1 1/2" X 1 3/4"</v>
          </cell>
          <cell r="D1528" t="str">
            <v>C/U.</v>
          </cell>
        </row>
        <row r="1529">
          <cell r="B1529">
            <v>90103031</v>
          </cell>
          <cell r="C1529" t="str">
            <v>FECHADORES DE HULE, MEDIDAS 1 1/2" X 1"</v>
          </cell>
          <cell r="D1529" t="str">
            <v>C/U.</v>
          </cell>
        </row>
        <row r="1530">
          <cell r="B1530">
            <v>90103032</v>
          </cell>
          <cell r="C1530" t="str">
            <v>NUMERADORA AUTOMATICA STANDARD</v>
          </cell>
          <cell r="D1530" t="str">
            <v>C/U.</v>
          </cell>
        </row>
        <row r="1531">
          <cell r="B1531">
            <v>90103034</v>
          </cell>
          <cell r="C1531" t="str">
            <v>LAPIZ BICOLOR, ROJO Y AZUL.</v>
          </cell>
          <cell r="D1531" t="str">
            <v>C/U.</v>
          </cell>
        </row>
        <row r="1532">
          <cell r="B1532">
            <v>90103035</v>
          </cell>
          <cell r="C1532" t="str">
            <v>LAPIZ DE GRASO, COLOR AZUL</v>
          </cell>
          <cell r="D1532" t="str">
            <v>C/U</v>
          </cell>
        </row>
        <row r="1533">
          <cell r="B1533">
            <v>90103036</v>
          </cell>
          <cell r="C1533" t="str">
            <v>LAPIZ DE GRASO, COLOR ROJO</v>
          </cell>
          <cell r="D1533" t="str">
            <v>C/U.</v>
          </cell>
        </row>
        <row r="1534">
          <cell r="B1534">
            <v>90103038</v>
          </cell>
          <cell r="C1534" t="str">
            <v>LAPIZ NEGRO CON BORRADOR CORRIENTE</v>
          </cell>
          <cell r="D1534" t="str">
            <v>C/U.</v>
          </cell>
        </row>
        <row r="1535">
          <cell r="B1535">
            <v>90103040</v>
          </cell>
          <cell r="C1535" t="str">
            <v>PEGAMENTO LIQUIDO PARA PAPEL</v>
          </cell>
          <cell r="D1535" t="str">
            <v>FRASCO</v>
          </cell>
        </row>
        <row r="1536">
          <cell r="B1536">
            <v>90103041</v>
          </cell>
          <cell r="C1536" t="str">
            <v>PEGAMENTO PARA FORMAR BLOCK DE PAPEL</v>
          </cell>
          <cell r="D1536" t="str">
            <v>GALON</v>
          </cell>
        </row>
        <row r="1537">
          <cell r="B1537">
            <v>90103050</v>
          </cell>
          <cell r="C1537" t="str">
            <v>PLUMON PUNTO GRUESO COLOR AZUL</v>
          </cell>
          <cell r="D1537" t="str">
            <v>C/U.</v>
          </cell>
        </row>
        <row r="1538">
          <cell r="B1538">
            <v>90103051</v>
          </cell>
          <cell r="C1538" t="str">
            <v>PLUMON PUNTO GRUESO COLOR NEGRO</v>
          </cell>
          <cell r="D1538" t="str">
            <v>C/U.</v>
          </cell>
        </row>
        <row r="1539">
          <cell r="B1539">
            <v>90103052</v>
          </cell>
          <cell r="C1539" t="str">
            <v>PLUMON PUNTO GRUESO COLOR ROJO</v>
          </cell>
          <cell r="D1539" t="str">
            <v>C/U.</v>
          </cell>
        </row>
        <row r="1540">
          <cell r="B1540">
            <v>90103053</v>
          </cell>
          <cell r="C1540" t="str">
            <v>PLUMON PUNTO GRUESO COLOR VERDE</v>
          </cell>
          <cell r="D1540" t="str">
            <v>C/U.</v>
          </cell>
        </row>
        <row r="1541">
          <cell r="B1541">
            <v>90103056</v>
          </cell>
          <cell r="C1541" t="str">
            <v>PLUMONES FLUORESCENTES VARIOS COLORES.,C/U.</v>
          </cell>
          <cell r="D1541" t="str">
            <v>C/U.</v>
          </cell>
        </row>
        <row r="1542">
          <cell r="B1542">
            <v>90103065</v>
          </cell>
          <cell r="C1542" t="str">
            <v>TINTA PARA ALMOHADILLA (VARIOS COLORES)</v>
          </cell>
          <cell r="D1542" t="str">
            <v>FRASCO</v>
          </cell>
        </row>
        <row r="1543">
          <cell r="B1543">
            <v>90103066</v>
          </cell>
          <cell r="C1543" t="str">
            <v>TINTA  P/NUMERA Y SELLO METALICO</v>
          </cell>
          <cell r="D1543" t="str">
            <v>FRASCO</v>
          </cell>
        </row>
        <row r="1544">
          <cell r="B1544">
            <v>90104000</v>
          </cell>
          <cell r="C1544" t="str">
            <v>YESO DE COLORES</v>
          </cell>
          <cell r="D1544" t="str">
            <v>CAJA</v>
          </cell>
        </row>
        <row r="1545">
          <cell r="B1545">
            <v>90104002</v>
          </cell>
          <cell r="C1545" t="str">
            <v>ALMOHADILLA PARA SELLO DE HULE, MEDIDAS 4 1/2" X3 1/2", EN CAJA METALICA.</v>
          </cell>
          <cell r="D1545" t="str">
            <v>C/U.</v>
          </cell>
        </row>
        <row r="1546">
          <cell r="B1546">
            <v>90104003</v>
          </cell>
          <cell r="C1546" t="str">
            <v>ALMOHADILLA PARA SELLO DE HULE, 6"X31/2"</v>
          </cell>
          <cell r="D1546" t="str">
            <v>C/U</v>
          </cell>
        </row>
        <row r="1547">
          <cell r="B1547">
            <v>90104007</v>
          </cell>
          <cell r="C1547" t="str">
            <v>ETIQUETAS SELLO TAPE DE COLOR</v>
          </cell>
          <cell r="D1547" t="str">
            <v>ROLLO</v>
          </cell>
        </row>
        <row r="1548">
          <cell r="B1548">
            <v>90104008</v>
          </cell>
          <cell r="C1548" t="str">
            <v>POST IT NO. R-330 AUTOADHESIVO</v>
          </cell>
          <cell r="D1548" t="str">
            <v>BLOCK</v>
          </cell>
        </row>
        <row r="1549">
          <cell r="B1549">
            <v>90104014</v>
          </cell>
          <cell r="C1549" t="str">
            <v>VIÑETAS PARA IMPRESIÓN</v>
          </cell>
          <cell r="D1549" t="str">
            <v>ROLLO</v>
          </cell>
        </row>
        <row r="1550">
          <cell r="B1550">
            <v>90105000</v>
          </cell>
          <cell r="C1550" t="str">
            <v>CARTULINA BRISTOL CORR., BASE 200 GR., PLIEGODE 25 1/2" X 30 1/2", COLOR BLANCO</v>
          </cell>
          <cell r="D1550" t="str">
            <v>C/U</v>
          </cell>
        </row>
        <row r="1551">
          <cell r="B1551">
            <v>90105001</v>
          </cell>
          <cell r="C1551" t="str">
            <v>CARTULINA BRISTOL CORR., BASE 200 GR., PLIEGODE 25 1/2" X 30 1/2", COLOR AMARILLA</v>
          </cell>
          <cell r="D1551" t="str">
            <v>PLIEGO</v>
          </cell>
        </row>
        <row r="1552">
          <cell r="B1552">
            <v>90105002</v>
          </cell>
          <cell r="C1552" t="str">
            <v>CARTULINA BRISTOL  CORRIENTE., BASE 200 GR., PLIEGODE 25 1/2" X 30 1/2", COLOR ROSADO</v>
          </cell>
          <cell r="D1552" t="str">
            <v>PLIEGO</v>
          </cell>
        </row>
        <row r="1553">
          <cell r="B1553">
            <v>90105003</v>
          </cell>
          <cell r="C1553" t="str">
            <v>CARTULINA BRISTOL CTE., BASE 200 GR., PLIEGODE 25 1/2" X 30 1/2", COLOR VERDE</v>
          </cell>
          <cell r="D1553" t="str">
            <v>PLIEGO</v>
          </cell>
        </row>
        <row r="1554">
          <cell r="B1554">
            <v>90105004</v>
          </cell>
          <cell r="C1554" t="str">
            <v>CARTULINA BRISTOL CORRIENTE, BASE 200 GR., PLIEGO 25 1/2" X 30 1/2", COL. CELESTE</v>
          </cell>
          <cell r="D1554" t="str">
            <v>PLIEGO</v>
          </cell>
        </row>
        <row r="1555">
          <cell r="B1555">
            <v>90105007</v>
          </cell>
          <cell r="C1555" t="str">
            <v>PAPEL BOND BLANCO B-20 DE 26"X34"</v>
          </cell>
          <cell r="D1555" t="str">
            <v>PLIEGOS</v>
          </cell>
        </row>
        <row r="1556">
          <cell r="B1556">
            <v>90105013</v>
          </cell>
          <cell r="C1556" t="str">
            <v>PAPEL PERIODICO, PLIEGO DE 26" X 34"</v>
          </cell>
          <cell r="D1556" t="str">
            <v>PLIEGO</v>
          </cell>
        </row>
        <row r="1557">
          <cell r="B1557">
            <v>90105015</v>
          </cell>
          <cell r="C1557" t="str">
            <v>PAPEL CRAFT, PLIEGO DE 26" X 34"</v>
          </cell>
          <cell r="D1557" t="str">
            <v>PLIEGO</v>
          </cell>
        </row>
        <row r="1558">
          <cell r="B1558">
            <v>90105018</v>
          </cell>
          <cell r="C1558" t="str">
            <v xml:space="preserve">CARTON GRIS BASE 80 PLIEGO DE 30 PULGADAS </v>
          </cell>
          <cell r="D1558" t="str">
            <v>PLIEGO</v>
          </cell>
        </row>
        <row r="1559">
          <cell r="B1559">
            <v>90105023</v>
          </cell>
          <cell r="C1559" t="str">
            <v>ARCHIVADOR DE PALANCA, TAMAÑO OFICIO</v>
          </cell>
          <cell r="D1559" t="str">
            <v>C/U.</v>
          </cell>
        </row>
        <row r="1560">
          <cell r="B1560">
            <v>90105028</v>
          </cell>
          <cell r="C1560" t="str">
            <v>BANDAS DE HULE, EN CAJAS DE 100 UNIDADES</v>
          </cell>
          <cell r="D1560" t="str">
            <v>CAJA</v>
          </cell>
        </row>
        <row r="1561">
          <cell r="B1561">
            <v>90105029</v>
          </cell>
          <cell r="C1561" t="str">
            <v>CAJAS DE CARTON DE 5 LITROS</v>
          </cell>
          <cell r="D1561" t="str">
            <v>C/U</v>
          </cell>
        </row>
        <row r="1562">
          <cell r="B1562">
            <v>90105030</v>
          </cell>
          <cell r="C1562" t="str">
            <v>CARPETA COLGANTE TAMAÑO OFICIO, PARA ARCHIVADOR</v>
          </cell>
          <cell r="D1562" t="str">
            <v>C/U</v>
          </cell>
        </row>
        <row r="1563">
          <cell r="B1563">
            <v>90105034</v>
          </cell>
          <cell r="C1563" t="str">
            <v>CARTAPACIO DE CARTULINA MANILA, CON GUSANO,TAMAÑO OFICIO TROQUELADO.</v>
          </cell>
          <cell r="D1563" t="str">
            <v>C/U</v>
          </cell>
        </row>
        <row r="1564">
          <cell r="B1564">
            <v>90105035</v>
          </cell>
          <cell r="C1564" t="str">
            <v>CARTAPACIO DE CARTULINA MANILA, SIN GUSANO, TAMAÑO CARTA</v>
          </cell>
          <cell r="D1564" t="str">
            <v>C/U.</v>
          </cell>
        </row>
        <row r="1565">
          <cell r="B1565">
            <v>90105036</v>
          </cell>
          <cell r="C1565" t="str">
            <v>CARTAPACIO DE CARTULINA MANILA, SIN GUSANO, TAMAÑO OFICIO</v>
          </cell>
          <cell r="D1565" t="str">
            <v>C/U</v>
          </cell>
        </row>
        <row r="1566">
          <cell r="B1566">
            <v>90105040</v>
          </cell>
          <cell r="C1566" t="str">
            <v>CINTA ADHESIVA DE 2" ANCHO X 60 YARDAS PARA SELLAR CAJAS</v>
          </cell>
          <cell r="D1566" t="str">
            <v>ROLLO</v>
          </cell>
        </row>
        <row r="1567">
          <cell r="B1567">
            <v>90105041</v>
          </cell>
          <cell r="C1567" t="str">
            <v>CINTA ADHESIVA TRANSP., DE 3/4" ANCHO Y 36 YARDAS DE LARGO APROXIMADAMENTE</v>
          </cell>
          <cell r="D1567" t="str">
            <v>ROLLO</v>
          </cell>
        </row>
        <row r="1568">
          <cell r="B1568">
            <v>90105042</v>
          </cell>
          <cell r="C1568" t="str">
            <v>CINTA DE PAPEL ENGOMADO, DE 2 1/2" ANCHO X 200 YARDAS DE LARGO APROX.</v>
          </cell>
          <cell r="D1568" t="str">
            <v>ROLLO</v>
          </cell>
        </row>
        <row r="1569">
          <cell r="B1569">
            <v>90106000</v>
          </cell>
          <cell r="C1569" t="str">
            <v>CLAMP NO. 1 (TIPO MARIPOSA)</v>
          </cell>
          <cell r="D1569" t="str">
            <v>CAJA</v>
          </cell>
        </row>
        <row r="1570">
          <cell r="B1570">
            <v>90106001</v>
          </cell>
          <cell r="C1570" t="str">
            <v>CLIP NO. 1, LARGO APROXIMADO 32 MM.</v>
          </cell>
          <cell r="D1570" t="str">
            <v>CAJA</v>
          </cell>
        </row>
        <row r="1571">
          <cell r="B1571">
            <v>90106002</v>
          </cell>
          <cell r="C1571" t="str">
            <v>CLIP NO. 3, LARGO APROXIMADO 20 MM.</v>
          </cell>
          <cell r="D1571" t="str">
            <v>CAJA</v>
          </cell>
        </row>
        <row r="1572">
          <cell r="B1572">
            <v>90106004</v>
          </cell>
          <cell r="C1572" t="str">
            <v>CLIP TIPO JUMBO, LARGO APROXIMADO 50 MM.</v>
          </cell>
          <cell r="D1572" t="str">
            <v>CAJA</v>
          </cell>
        </row>
        <row r="1573">
          <cell r="B1573">
            <v>90106007</v>
          </cell>
          <cell r="C1573" t="str">
            <v>REGLA DE PLASTICO, GRADUADA CON ESCALA DE 12" Y 30 CM.</v>
          </cell>
          <cell r="D1573" t="str">
            <v>C/U.</v>
          </cell>
        </row>
        <row r="1574">
          <cell r="B1574">
            <v>90106009</v>
          </cell>
          <cell r="C1574" t="str">
            <v>DESENGRAPADOR METALICO</v>
          </cell>
          <cell r="D1574" t="str">
            <v>C/U.</v>
          </cell>
        </row>
        <row r="1575">
          <cell r="B1575">
            <v>90106012</v>
          </cell>
          <cell r="C1575" t="str">
            <v>FASTENER DE 8 CM.</v>
          </cell>
          <cell r="D1575" t="str">
            <v>CAJA</v>
          </cell>
        </row>
        <row r="1576">
          <cell r="B1576">
            <v>90106018</v>
          </cell>
          <cell r="C1576" t="str">
            <v>GRAPAS DE MEDIDA STANDARD</v>
          </cell>
          <cell r="D1576" t="str">
            <v>CAJA</v>
          </cell>
        </row>
        <row r="1577">
          <cell r="B1577">
            <v>90106021</v>
          </cell>
          <cell r="C1577" t="str">
            <v>GRAPAS TIPO PESADO</v>
          </cell>
          <cell r="D1577" t="str">
            <v>CAJA</v>
          </cell>
        </row>
        <row r="1578">
          <cell r="B1578">
            <v>90106025</v>
          </cell>
          <cell r="C1578" t="str">
            <v xml:space="preserve">MARCO METALICO PARA ARCHIVADOR </v>
          </cell>
          <cell r="D1578" t="str">
            <v>C/U</v>
          </cell>
        </row>
        <row r="1579">
          <cell r="B1579">
            <v>90106037</v>
          </cell>
          <cell r="C1579" t="str">
            <v>ROLLOS DE TIRRO.</v>
          </cell>
          <cell r="D1579" t="str">
            <v>ROLLO</v>
          </cell>
        </row>
        <row r="1580">
          <cell r="B1580">
            <v>90107016</v>
          </cell>
          <cell r="C1580" t="str">
            <v>PAPEL BOND BLANCO PARA CONTOMETRO, DE 2 1/4"</v>
          </cell>
          <cell r="D1580" t="str">
            <v>ROLLO</v>
          </cell>
        </row>
        <row r="1581">
          <cell r="B1581">
            <v>90107019</v>
          </cell>
          <cell r="C1581" t="str">
            <v>PAPEL BOND BLANCO PARA FOTOCOPIADORA TAMAÑO CARTA</v>
          </cell>
          <cell r="D1581" t="str">
            <v>HOJA</v>
          </cell>
        </row>
        <row r="1582">
          <cell r="B1582">
            <v>90107020</v>
          </cell>
          <cell r="C1582" t="str">
            <v>PAPEL BOND BLANCO PARA FOTOCOPIADORA TAMAÑO OFICIO</v>
          </cell>
          <cell r="D1582" t="str">
            <v>HOJA</v>
          </cell>
        </row>
        <row r="1583">
          <cell r="B1583">
            <v>90107024</v>
          </cell>
          <cell r="C1583" t="str">
            <v>PAPEL CARBON PARA LAPIZ</v>
          </cell>
          <cell r="D1583" t="str">
            <v>CAJA</v>
          </cell>
        </row>
        <row r="1584">
          <cell r="B1584">
            <v>90107025</v>
          </cell>
          <cell r="C1584" t="str">
            <v>PAPEL CARBON PARA MAQUINA DE ESCRIBIR, TAMAÑO OFICIO.</v>
          </cell>
          <cell r="D1584" t="str">
            <v>CAJA</v>
          </cell>
        </row>
        <row r="1585">
          <cell r="B1585">
            <v>90107038</v>
          </cell>
          <cell r="C1585" t="str">
            <v>PAPEL PARA FAXCIMIL</v>
          </cell>
          <cell r="D1585" t="str">
            <v>ROLLO</v>
          </cell>
        </row>
        <row r="1586">
          <cell r="B1586">
            <v>90107039</v>
          </cell>
          <cell r="C1586" t="str">
            <v>PAPEL PARA IMPRESOR TMU DE 3 DE ANCHO LONGIT. EN PAPEL BOND BASE 20</v>
          </cell>
          <cell r="D1586" t="str">
            <v>ROLLO</v>
          </cell>
        </row>
        <row r="1587">
          <cell r="B1587">
            <v>90108000</v>
          </cell>
          <cell r="C1587" t="str">
            <v>ACETATO PARA COMPUTADORA</v>
          </cell>
          <cell r="D1587" t="str">
            <v>CAJA</v>
          </cell>
        </row>
        <row r="1588">
          <cell r="B1588">
            <v>90108002</v>
          </cell>
          <cell r="C1588" t="str">
            <v>ACETATO PARA FOTOCOPIADORA</v>
          </cell>
          <cell r="D1588" t="str">
            <v>CAJA</v>
          </cell>
        </row>
        <row r="1589">
          <cell r="B1589">
            <v>90110000</v>
          </cell>
          <cell r="C1589" t="str">
            <v>ALMOHADILLA MOJA DEDOS</v>
          </cell>
          <cell r="D1589" t="str">
            <v>C/U.</v>
          </cell>
        </row>
        <row r="1590">
          <cell r="B1590">
            <v>90110003</v>
          </cell>
          <cell r="C1590" t="str">
            <v>ENGRAPADORA METALICA, PARA GRAPA TAMAÑO STANDARD</v>
          </cell>
          <cell r="D1590" t="str">
            <v>C/U.</v>
          </cell>
        </row>
        <row r="1591">
          <cell r="B1591">
            <v>90110006</v>
          </cell>
          <cell r="C1591" t="str">
            <v>GLICERINE MOJA DEDOS</v>
          </cell>
          <cell r="D1591" t="str">
            <v>C/U</v>
          </cell>
        </row>
        <row r="1592">
          <cell r="B1592">
            <v>90110008</v>
          </cell>
          <cell r="C1592" t="str">
            <v>PAPELERA METALICA DE 3 COMPARTIMIENTOS PARA ESCRITORIO</v>
          </cell>
          <cell r="D1592" t="str">
            <v>C/U.</v>
          </cell>
        </row>
        <row r="1593">
          <cell r="B1593">
            <v>90110010</v>
          </cell>
          <cell r="C1593" t="str">
            <v>PERFORADORA METALICA DE DOS AGUJEROS DE SEPARACION</v>
          </cell>
          <cell r="D1593" t="str">
            <v>C/U.</v>
          </cell>
        </row>
        <row r="1594">
          <cell r="B1594">
            <v>90110011</v>
          </cell>
          <cell r="C1594" t="str">
            <v>PERFORADORA METALICA DE DOS AGUJEROS DE SEPARACIONPARA USO PESADO</v>
          </cell>
          <cell r="D1594" t="str">
            <v>C/U.</v>
          </cell>
        </row>
        <row r="1595">
          <cell r="B1595">
            <v>90110014</v>
          </cell>
          <cell r="C1595" t="str">
            <v>PRENSA PAPELES N0 .40 DE 7 A 8CMS. DE ANCHO</v>
          </cell>
          <cell r="D1595" t="str">
            <v>C/U.</v>
          </cell>
        </row>
        <row r="1596">
          <cell r="B1596">
            <v>90110016</v>
          </cell>
          <cell r="C1596" t="str">
            <v>SACAPUNTAS DE PARED CON DIAL DE VARIAS MEDIDAS</v>
          </cell>
          <cell r="D1596" t="str">
            <v>C/U.</v>
          </cell>
        </row>
        <row r="1597">
          <cell r="B1597">
            <v>90110018</v>
          </cell>
          <cell r="C1597" t="str">
            <v>TIJERAS METALICAS (VARIAS MEDIDAS).,C/U.</v>
          </cell>
          <cell r="D1597" t="str">
            <v>C/U</v>
          </cell>
        </row>
        <row r="1598">
          <cell r="B1598">
            <v>90111003</v>
          </cell>
          <cell r="C1598" t="str">
            <v>FORMULA CONTINUA 9 1/2"X11" EN UNA PARTE BASE 20</v>
          </cell>
          <cell r="D1598" t="str">
            <v>C/U</v>
          </cell>
        </row>
        <row r="1599">
          <cell r="B1599">
            <v>90111006</v>
          </cell>
          <cell r="C1599" t="str">
            <v>FORMULA CONTINUA DE 4 PARTES 9 1/2 X 11"</v>
          </cell>
          <cell r="D1599" t="str">
            <v>JUEGO</v>
          </cell>
        </row>
        <row r="1600">
          <cell r="B1600">
            <v>90111024</v>
          </cell>
          <cell r="C1600" t="str">
            <v>FORMULA CONTINUA EN DOS PARTES 9 1/2 X 11".</v>
          </cell>
          <cell r="D1600" t="str">
            <v>JUEGO</v>
          </cell>
        </row>
        <row r="1601">
          <cell r="B1601">
            <v>90111025</v>
          </cell>
          <cell r="C1601" t="str">
            <v>FORMULA CONTINUA EN TRES  PARTES 9  1/2 X11</v>
          </cell>
          <cell r="D1601" t="str">
            <v>JUEGO</v>
          </cell>
        </row>
        <row r="1602">
          <cell r="B1602">
            <v>90111028</v>
          </cell>
          <cell r="C1602" t="str">
            <v>FORMULA CONTINUA EN UNA PARTE MEDIDA 9½"X11"BASE 20 DE 3 DESPRENDIB.PARA LABORATORIO</v>
          </cell>
          <cell r="D1602" t="str">
            <v>C/U</v>
          </cell>
        </row>
        <row r="1603">
          <cell r="B1603">
            <v>90111030</v>
          </cell>
          <cell r="C1603" t="str">
            <v>FORMULARIO "CONTROL DE RECEPIONES" EN UNA PARTE 9 1/2" X 11 PAPEL BOND BLCO. B-20 PARA EMERGENCIAS</v>
          </cell>
          <cell r="D1603" t="str">
            <v>C/U</v>
          </cell>
        </row>
        <row r="1604">
          <cell r="B1604">
            <v>90112011</v>
          </cell>
          <cell r="C1604" t="str">
            <v>LIBRETA PARA TOMA DE DICTADOS</v>
          </cell>
          <cell r="D1604" t="str">
            <v>C/U</v>
          </cell>
        </row>
        <row r="1605">
          <cell r="B1605">
            <v>90112013</v>
          </cell>
          <cell r="C1605" t="str">
            <v>LIBRO CON PAGINAS RAYADAS DE 500 HOJAS</v>
          </cell>
          <cell r="D1605" t="str">
            <v>C/U</v>
          </cell>
        </row>
        <row r="1606">
          <cell r="B1606">
            <v>90112018</v>
          </cell>
          <cell r="C1606" t="str">
            <v>ORDER  BOOK TAMAÑO OFICIO</v>
          </cell>
          <cell r="D1606" t="str">
            <v>C/U</v>
          </cell>
        </row>
        <row r="1607">
          <cell r="B1607">
            <v>90202000</v>
          </cell>
          <cell r="C1607" t="str">
            <v>ABRILLANTADOR PARA PISO ANTI-DESLIZANTE.</v>
          </cell>
          <cell r="D1607" t="str">
            <v>GALON.</v>
          </cell>
        </row>
        <row r="1608">
          <cell r="B1608">
            <v>90202002</v>
          </cell>
          <cell r="C1608" t="str">
            <v>BALDE PLASTICO CON AGARRADERO METALICO, ALTURA APROXIMADA DE 30 CMS.</v>
          </cell>
          <cell r="D1608" t="str">
            <v>C/U.</v>
          </cell>
        </row>
        <row r="1609">
          <cell r="B1609">
            <v>90202009</v>
          </cell>
          <cell r="C1609" t="str">
            <v xml:space="preserve">DETERGENTE  LIMPIADOR  ENPOLVO </v>
          </cell>
          <cell r="D1609" t="str">
            <v>FRASC</v>
          </cell>
        </row>
        <row r="1610">
          <cell r="B1610">
            <v>90202024</v>
          </cell>
          <cell r="C1610" t="str">
            <v>LIMPIADOR DE AZULEJOS.</v>
          </cell>
          <cell r="D1610" t="str">
            <v>GALON.</v>
          </cell>
        </row>
        <row r="1611">
          <cell r="B1611">
            <v>90202031</v>
          </cell>
          <cell r="C1611" t="str">
            <v>PALA PLASTICA DE APROX. 28 CMS. ANCHO, CON MANGO APROX. 1 M. LARGO, P/  BASURA</v>
          </cell>
          <cell r="D1611" t="str">
            <v>C/U.</v>
          </cell>
        </row>
        <row r="1612">
          <cell r="B1612">
            <v>90202032</v>
          </cell>
          <cell r="C1612" t="str">
            <v>PALO PARA MOPA</v>
          </cell>
          <cell r="D1612" t="str">
            <v>C/U</v>
          </cell>
        </row>
        <row r="1613">
          <cell r="B1613">
            <v>90202038</v>
          </cell>
          <cell r="C1613" t="str">
            <v>TRAPEADORES DE MOPA</v>
          </cell>
          <cell r="D1613" t="str">
            <v>C/U</v>
          </cell>
        </row>
        <row r="1614">
          <cell r="B1614">
            <v>90202040</v>
          </cell>
          <cell r="C1614" t="str">
            <v>VENTOSA DE HULE DIAMETRO APROX. 10CM P/DESTAPAR LAVAMANOS</v>
          </cell>
          <cell r="D1614" t="str">
            <v>C/U</v>
          </cell>
        </row>
        <row r="1615">
          <cell r="B1615">
            <v>90202041</v>
          </cell>
          <cell r="C1615" t="str">
            <v>VENTOSA DE HULE DIAMETRO APROX. 15 CM P/DESTAPAR HINODORO</v>
          </cell>
          <cell r="D1615" t="str">
            <v xml:space="preserve">C/U </v>
          </cell>
        </row>
        <row r="1616">
          <cell r="B1616">
            <v>90202042</v>
          </cell>
          <cell r="C1616" t="str">
            <v>FRANELA LISA, VARIOS COLORES</v>
          </cell>
          <cell r="D1616" t="str">
            <v>YARDA</v>
          </cell>
        </row>
        <row r="1617">
          <cell r="B1617">
            <v>90202043</v>
          </cell>
          <cell r="C1617" t="str">
            <v>HIPOCLORITO DE SODIO</v>
          </cell>
          <cell r="D1617" t="str">
            <v>GALON</v>
          </cell>
        </row>
        <row r="1618">
          <cell r="B1618">
            <v>90202046</v>
          </cell>
          <cell r="C1618" t="str">
            <v>DETERGENTE EN POLVO</v>
          </cell>
          <cell r="D1618" t="str">
            <v>LIBRA</v>
          </cell>
        </row>
        <row r="1619">
          <cell r="B1619">
            <v>90202054</v>
          </cell>
          <cell r="C1619" t="str">
            <v>DISPENSADOR PARA CONOS</v>
          </cell>
          <cell r="D1619" t="str">
            <v>C/U</v>
          </cell>
        </row>
        <row r="1620">
          <cell r="B1620">
            <v>90202056</v>
          </cell>
          <cell r="C1620" t="str">
            <v>DESINFECTANTE CONCENTRADO DE TRIPLE ACCION, CON AROMATIZANTE</v>
          </cell>
          <cell r="D1620" t="str">
            <v>UN</v>
          </cell>
        </row>
        <row r="1621">
          <cell r="B1621">
            <v>90202057</v>
          </cell>
          <cell r="C1621" t="str">
            <v>TRAPEADOR DE TELA ABSORBENTE DOBLE TELA</v>
          </cell>
          <cell r="D1621" t="str">
            <v>UN</v>
          </cell>
        </row>
        <row r="1622">
          <cell r="B1622">
            <v>90202074</v>
          </cell>
          <cell r="C1622" t="str">
            <v>GUANTE DE HULE LISO PARA HOGAR; PAR</v>
          </cell>
          <cell r="D1622" t="str">
            <v>UN</v>
          </cell>
        </row>
        <row r="1623">
          <cell r="B1623">
            <v>90301000</v>
          </cell>
          <cell r="C1623" t="str">
            <v>VASO CONICO DE 4 ONZAS, PARA AGUA</v>
          </cell>
          <cell r="D1623" t="str">
            <v>BATON</v>
          </cell>
        </row>
        <row r="1624">
          <cell r="B1624">
            <v>90301002</v>
          </cell>
          <cell r="C1624" t="str">
            <v>VASO PARAFINADO DE 4 ONZAS</v>
          </cell>
          <cell r="D1624" t="str">
            <v>C/U.</v>
          </cell>
        </row>
        <row r="1625">
          <cell r="B1625">
            <v>90301010</v>
          </cell>
          <cell r="C1625" t="str">
            <v>VASO PLASTICO DESECHABLE DE 5 ONZAS</v>
          </cell>
          <cell r="D1625" t="str">
            <v>C/U</v>
          </cell>
        </row>
        <row r="1626">
          <cell r="B1626">
            <v>90301011</v>
          </cell>
          <cell r="C1626" t="str">
            <v>VASO PLASTICO DE PLASTICO DESECHABLE DE 5 ONZAS</v>
          </cell>
          <cell r="D1626" t="str">
            <v>C/U.</v>
          </cell>
        </row>
        <row r="1627">
          <cell r="B1627">
            <v>90303000</v>
          </cell>
          <cell r="C1627" t="str">
            <v>BOLSA GRANDE NEGRA DE 34 X 52 PULGADAS</v>
          </cell>
          <cell r="D1627" t="str">
            <v>C/U</v>
          </cell>
        </row>
        <row r="1628">
          <cell r="B1628">
            <v>90303001</v>
          </cell>
          <cell r="C1628" t="str">
            <v xml:space="preserve">BOLSA PLASTICA PARA RECOLECTAR BASURA, C. NEGRO, MEDIANA  APROX. 0.70 MT </v>
          </cell>
          <cell r="D1628" t="str">
            <v>C/U</v>
          </cell>
        </row>
        <row r="1629">
          <cell r="B1629">
            <v>90303002</v>
          </cell>
          <cell r="C1629" t="str">
            <v>BOLSA PLASTICA, MEDIDA APROX. : ALTO 31 CM.ANCHO 20 CM. Y FUELLE LATERAL DE 6 CM.PARA DESPACHO DE MEDICAMENTO</v>
          </cell>
          <cell r="D1629" t="str">
            <v>C/U.</v>
          </cell>
        </row>
        <row r="1630">
          <cell r="B1630">
            <v>90303003</v>
          </cell>
          <cell r="C1630" t="str">
            <v>BOLSA PLASTICA TRANSPARENTE DE 5 LIBRAS 20X15CM</v>
          </cell>
          <cell r="D1630" t="str">
            <v>C/U</v>
          </cell>
        </row>
        <row r="1631">
          <cell r="B1631">
            <v>90303008</v>
          </cell>
          <cell r="C1631" t="str">
            <v>BOLSA PLASTICA MEDIANA COLOR ROJO PARA RECOLETARBASURA 200 GG.</v>
          </cell>
          <cell r="D1631" t="str">
            <v>C/U</v>
          </cell>
        </row>
        <row r="1632">
          <cell r="B1632">
            <v>90303009</v>
          </cell>
          <cell r="C1632" t="str">
            <v>BOLSA PLASTICA 5X8</v>
          </cell>
          <cell r="D1632" t="str">
            <v>C/U</v>
          </cell>
        </row>
        <row r="1633">
          <cell r="B1633">
            <v>90303011</v>
          </cell>
          <cell r="C1633" t="str">
            <v>BOLSA PLAST. 14X20</v>
          </cell>
          <cell r="D1633" t="str">
            <v>C/U</v>
          </cell>
        </row>
        <row r="1634">
          <cell r="B1634">
            <v>90303012</v>
          </cell>
          <cell r="C1634" t="str">
            <v>BOLSA PLASTICA GRANDE COLOR ROJO PARA RECOLECTAR BASURA.</v>
          </cell>
          <cell r="D1634" t="str">
            <v>C/U</v>
          </cell>
        </row>
        <row r="1635">
          <cell r="B1635">
            <v>90304000</v>
          </cell>
          <cell r="C1635" t="str">
            <v xml:space="preserve">CAJA No. 1 CARTONCILLO BLANCO </v>
          </cell>
          <cell r="D1635" t="str">
            <v>C/U</v>
          </cell>
        </row>
        <row r="1636">
          <cell r="B1636">
            <v>90304001</v>
          </cell>
          <cell r="C1636" t="str">
            <v xml:space="preserve">CAJA No. 2 CARTONCILLO BLANCO </v>
          </cell>
          <cell r="D1636" t="str">
            <v>C/U.</v>
          </cell>
        </row>
        <row r="1637">
          <cell r="B1637">
            <v>90304002</v>
          </cell>
          <cell r="C1637" t="str">
            <v>CAJA No. 3 CARTONCILLO BLANCO</v>
          </cell>
          <cell r="D1637" t="str">
            <v>C/U</v>
          </cell>
        </row>
        <row r="1638">
          <cell r="B1638">
            <v>90304004</v>
          </cell>
          <cell r="C1638" t="str">
            <v>DYPER DESECHABLE PARA LACTANTE.</v>
          </cell>
          <cell r="D1638" t="str">
            <v>C/U</v>
          </cell>
        </row>
        <row r="1639">
          <cell r="B1639">
            <v>90304017</v>
          </cell>
          <cell r="C1639" t="str">
            <v>TOALLAS DE PAPEL DESECHABLES</v>
          </cell>
          <cell r="D1639" t="str">
            <v>ROL</v>
          </cell>
        </row>
        <row r="1640">
          <cell r="B1640">
            <v>90305001</v>
          </cell>
          <cell r="C1640" t="str">
            <v>MAQUINA PARA AFEITAR DESECHABLE</v>
          </cell>
          <cell r="D1640" t="str">
            <v>C/U.</v>
          </cell>
        </row>
        <row r="1641">
          <cell r="B1641">
            <v>90305002</v>
          </cell>
          <cell r="C1641" t="str">
            <v>PAÑUELOS DESECHABLES</v>
          </cell>
          <cell r="D1641" t="str">
            <v>CAJA</v>
          </cell>
        </row>
        <row r="1642">
          <cell r="B1642">
            <v>90305003</v>
          </cell>
          <cell r="C1642" t="str">
            <v>PAPEL HIGIENICO</v>
          </cell>
          <cell r="D1642" t="str">
            <v>ROLLO</v>
          </cell>
        </row>
        <row r="1643">
          <cell r="B1643">
            <v>90305004</v>
          </cell>
          <cell r="C1643" t="str">
            <v>SERVILLETAS CORRIENTES</v>
          </cell>
          <cell r="D1643" t="str">
            <v>PAQUET</v>
          </cell>
        </row>
        <row r="1644">
          <cell r="B1644">
            <v>90305005</v>
          </cell>
          <cell r="C1644" t="str">
            <v>TOALLA DESECHABLE INTERFOLIADA.</v>
          </cell>
          <cell r="D1644" t="str">
            <v>PAQUET</v>
          </cell>
        </row>
        <row r="1645">
          <cell r="B1645">
            <v>90305006</v>
          </cell>
          <cell r="C1645" t="str">
            <v>TOALLAS DE PAPEL DESECHABLES</v>
          </cell>
          <cell r="D1645" t="str">
            <v>ROLLO</v>
          </cell>
        </row>
        <row r="1646">
          <cell r="B1646">
            <v>90305007</v>
          </cell>
          <cell r="C1646" t="str">
            <v>PAPEL HIGIENICO JUMBO ROLL PARA DISPENSADORES</v>
          </cell>
          <cell r="D1646" t="str">
            <v>ROLLO</v>
          </cell>
        </row>
        <row r="1647">
          <cell r="B1647">
            <v>90305013</v>
          </cell>
          <cell r="C1647" t="str">
            <v>PAPEL BOBINA PARA CANAPE</v>
          </cell>
          <cell r="D1647" t="str">
            <v>ROLLO</v>
          </cell>
        </row>
        <row r="1648">
          <cell r="B1648">
            <v>90305022</v>
          </cell>
          <cell r="C1648" t="str">
            <v>KIT DE PROTECCION PERSONAL MEDIUM</v>
          </cell>
          <cell r="D1648" t="str">
            <v>C/U</v>
          </cell>
        </row>
        <row r="1649">
          <cell r="B1649">
            <v>90305028</v>
          </cell>
          <cell r="C1649" t="str">
            <v>FRASCO POLIETILENO O PVC TRANS CAPA 4 OZ</v>
          </cell>
          <cell r="D1649" t="str">
            <v>C/U</v>
          </cell>
        </row>
        <row r="1650">
          <cell r="B1650">
            <v>90305039</v>
          </cell>
          <cell r="C1650" t="str">
            <v>TOALLA DE PAPEL INTERFOLIADA (PAQUETE)</v>
          </cell>
          <cell r="D1650" t="str">
            <v>PAQUET</v>
          </cell>
        </row>
        <row r="1651">
          <cell r="B1651">
            <v>90306000</v>
          </cell>
          <cell r="C1651" t="str">
            <v>FRASCO VIDRIO DE 4 ONZAS</v>
          </cell>
          <cell r="D1651" t="str">
            <v>C/U</v>
          </cell>
        </row>
        <row r="1652">
          <cell r="B1652">
            <v>90501013</v>
          </cell>
          <cell r="C1652" t="str">
            <v>TONER PARA IMPRESOR LEXMARK E -320</v>
          </cell>
          <cell r="D1652" t="str">
            <v>C/U</v>
          </cell>
        </row>
        <row r="1653">
          <cell r="B1653">
            <v>90501014</v>
          </cell>
          <cell r="C1653" t="str">
            <v>TONER PARA IMPRESOR LEXMAR MODELO 232 ORIGINAL</v>
          </cell>
          <cell r="D1653" t="str">
            <v>C/U</v>
          </cell>
        </row>
        <row r="1654">
          <cell r="B1654">
            <v>90501027</v>
          </cell>
          <cell r="C1654" t="str">
            <v>TONER PARA IMPRESOR XEROX PHASER  3110</v>
          </cell>
          <cell r="D1654" t="str">
            <v>C/U</v>
          </cell>
        </row>
        <row r="1655">
          <cell r="B1655">
            <v>90502013</v>
          </cell>
          <cell r="C1655" t="str">
            <v>CINTA PARA IMPRESOR "EPSON",C/U FX 850</v>
          </cell>
          <cell r="D1655" t="str">
            <v>C/U</v>
          </cell>
        </row>
        <row r="1656">
          <cell r="B1656">
            <v>90502017</v>
          </cell>
          <cell r="C1656" t="str">
            <v>CINTA PARA IMPRESOR "EPSON",C/U FX 1180</v>
          </cell>
          <cell r="D1656" t="str">
            <v>C/U</v>
          </cell>
        </row>
        <row r="1657">
          <cell r="B1657">
            <v>90502018</v>
          </cell>
          <cell r="C1657" t="str">
            <v>CINTA PARA IMPRESOR EPSON FX1180 MOD.981A</v>
          </cell>
          <cell r="D1657" t="str">
            <v>C/U</v>
          </cell>
        </row>
        <row r="1658">
          <cell r="B1658">
            <v>90502029</v>
          </cell>
          <cell r="C1658" t="str">
            <v>CINTA  PARA IMPRESORA EPSON 8750-DP</v>
          </cell>
          <cell r="D1658" t="str">
            <v>C/U</v>
          </cell>
        </row>
        <row r="1659">
          <cell r="B1659">
            <v>90502030</v>
          </cell>
          <cell r="C1659" t="str">
            <v>CINTA PARA IMPRESORA EPSON LX-300</v>
          </cell>
          <cell r="D1659" t="str">
            <v>C/U</v>
          </cell>
        </row>
        <row r="1660">
          <cell r="B1660">
            <v>90502059</v>
          </cell>
          <cell r="C1660" t="str">
            <v>CINTA PARA IMPRESOR MATRICIAL  EPSON FX-2190 MODELO S015335</v>
          </cell>
          <cell r="D1660" t="str">
            <v>C/U</v>
          </cell>
        </row>
        <row r="1661">
          <cell r="B1661">
            <v>90502062</v>
          </cell>
          <cell r="C1661" t="str">
            <v>CINTAS EPSON PURPURA TM ERC -38 ORIGINAL</v>
          </cell>
          <cell r="D1661" t="str">
            <v>C/U</v>
          </cell>
        </row>
        <row r="1662">
          <cell r="B1662">
            <v>90502066</v>
          </cell>
          <cell r="C1662" t="str">
            <v>CINTA EPSON PURPURA TM ER-38 ORIGINAL</v>
          </cell>
          <cell r="D1662" t="str">
            <v>C/U</v>
          </cell>
        </row>
        <row r="1663">
          <cell r="B1663">
            <v>90503035</v>
          </cell>
          <cell r="C1663" t="str">
            <v>TONER PARA IMPRESOR MARCA LEXMARK MODELO E-120</v>
          </cell>
          <cell r="D1663" t="str">
            <v>C/U</v>
          </cell>
        </row>
        <row r="1664">
          <cell r="B1664">
            <v>9990228</v>
          </cell>
          <cell r="C1664" t="str">
            <v>BOLSA PLASTICA VARIA ME Y COL.</v>
          </cell>
          <cell r="D1664" t="str">
            <v>UN</v>
          </cell>
        </row>
        <row r="1665">
          <cell r="B1665">
            <v>109990045</v>
          </cell>
          <cell r="C1665" t="str">
            <v>BATERIA CR 2032 3V DE SERV. DE EMERGENCIA</v>
          </cell>
          <cell r="D1665" t="str">
            <v>C/U</v>
          </cell>
        </row>
        <row r="1666">
          <cell r="B1666">
            <v>109990067</v>
          </cell>
          <cell r="C1666" t="str">
            <v>KIT PARA MEDICION DE CLORO LIBRE EN AGUA</v>
          </cell>
          <cell r="D1666" t="str">
            <v>C/U</v>
          </cell>
        </row>
        <row r="1667">
          <cell r="B1667">
            <v>120701014</v>
          </cell>
          <cell r="C1667" t="str">
            <v>CLAVO ENDOMEDULAR BLOQUEADO</v>
          </cell>
          <cell r="D1667" t="str">
            <v>ELIM LIST OFICIAL</v>
          </cell>
        </row>
        <row r="1668">
          <cell r="B1668">
            <v>121005037</v>
          </cell>
          <cell r="C1668" t="str">
            <v>CILINDRO DE GAS CALIBRACION, NIVEL BAJO, CO2 5%, 12% O2, BALANCE N2</v>
          </cell>
          <cell r="D1668" t="str">
            <v>C/U</v>
          </cell>
        </row>
        <row r="1669">
          <cell r="B1669">
            <v>121005038</v>
          </cell>
          <cell r="C1669" t="str">
            <v xml:space="preserve">CILINDRO DE GAS DE CALIBRACION, NIVEL ALTO, CO2 0.266 %, He 9.26% </v>
          </cell>
          <cell r="D1669" t="str">
            <v>C/U</v>
          </cell>
        </row>
        <row r="1670">
          <cell r="B1670">
            <v>121005039</v>
          </cell>
          <cell r="C1670" t="str">
            <v>CILINDRO DE GAS DE CALIBRACION, NIVEL MEDIO, TIPO E. P. O2 21%, BALANCE N2</v>
          </cell>
          <cell r="D1670" t="str">
            <v>C/U</v>
          </cell>
        </row>
        <row r="1671">
          <cell r="B1671">
            <v>130101010</v>
          </cell>
          <cell r="C1671" t="str">
            <v>AUTORIZACION DE PERMISO SALIDA DE OFICINA</v>
          </cell>
          <cell r="D1671" t="str">
            <v>BLOCK</v>
          </cell>
        </row>
        <row r="1672">
          <cell r="B1672">
            <v>130101011</v>
          </cell>
          <cell r="C1672" t="str">
            <v>AUTORIZACION PARA RETIRO Y/O COBRO DE SUBSIDIO. FORM.153-81-129.,BLOCK</v>
          </cell>
          <cell r="D1672" t="str">
            <v>DESC</v>
          </cell>
        </row>
        <row r="1673">
          <cell r="B1673">
            <v>130101012</v>
          </cell>
          <cell r="C1673" t="str">
            <v>AVISO DE ACCIDENTE DE TRABAJO. FORM.153-74*-01., BLOCK</v>
          </cell>
          <cell r="D1673" t="str">
            <v>BLOCK</v>
          </cell>
        </row>
        <row r="1674">
          <cell r="B1674">
            <v>130101021</v>
          </cell>
          <cell r="C1674" t="str">
            <v>BOLETIN DE REMISION. FORM. 023-74-05.,BLOCK</v>
          </cell>
          <cell r="D1674" t="str">
            <v>BLOCK</v>
          </cell>
        </row>
        <row r="1675">
          <cell r="B1675">
            <v>130101037</v>
          </cell>
          <cell r="C1675" t="str">
            <v>CONSTANCIA DE 12 SEMANAS</v>
          </cell>
          <cell r="D1675" t="str">
            <v>BLOCK</v>
          </cell>
        </row>
        <row r="1676">
          <cell r="B1676">
            <v>130101042</v>
          </cell>
          <cell r="C1676" t="str">
            <v>CONTRASEÑA RECLAMO ORDEN DE PAGO.*FORM. 153-80-13. ,TARJETA</v>
          </cell>
          <cell r="D1676" t="str">
            <v>TARJ</v>
          </cell>
        </row>
        <row r="1677">
          <cell r="B1677">
            <v>130101066</v>
          </cell>
          <cell r="C1677" t="str">
            <v>CONTROL DE TRANSPORTE,FORM.214-91-002.</v>
          </cell>
          <cell r="D1677" t="str">
            <v>DESCA</v>
          </cell>
        </row>
        <row r="1678">
          <cell r="B1678">
            <v>130101079</v>
          </cell>
          <cell r="C1678" t="str">
            <v>FICHA DE CONTROL PARA INVENTARIOS. FORM.PROV.75003 ,TARJETA</v>
          </cell>
          <cell r="D1678" t="str">
            <v>TARJETA</v>
          </cell>
        </row>
        <row r="1679">
          <cell r="B1679">
            <v>130101091</v>
          </cell>
          <cell r="C1679" t="str">
            <v>HOJA DE CONTROL DE LLAMADAS TELEFONICAS.   FORM.M-70055.,BLOCK</v>
          </cell>
          <cell r="D1679" t="str">
            <v>BLOCK</v>
          </cell>
        </row>
        <row r="1680">
          <cell r="B1680">
            <v>130101092</v>
          </cell>
          <cell r="C1680" t="str">
            <v>CONSTANCIA DE RETIRO POR MATERNIDAD. FORM.400-87-0 05,BLOCK</v>
          </cell>
          <cell r="D1680" t="str">
            <v>BLOCK</v>
          </cell>
        </row>
        <row r="1681">
          <cell r="B1681">
            <v>130101099</v>
          </cell>
          <cell r="C1681" t="str">
            <v>MARBETE PARA CONTROL DE EXISTENCIAS EN ALMACENES.  FORM.100-79-18.,TARJETA</v>
          </cell>
          <cell r="D1681" t="str">
            <v>TARJET</v>
          </cell>
        </row>
        <row r="1682">
          <cell r="B1682">
            <v>130101100</v>
          </cell>
          <cell r="C1682" t="str">
            <v>MEMORANDUM. FORM. # G-54004.,BLOCK</v>
          </cell>
          <cell r="D1682" t="str">
            <v>DESC</v>
          </cell>
        </row>
        <row r="1683">
          <cell r="B1683">
            <v>130101116</v>
          </cell>
          <cell r="C1683" t="str">
            <v>ORDEN PARA PAGO DE VIATICOS</v>
          </cell>
          <cell r="D1683" t="str">
            <v>BLOCK</v>
          </cell>
        </row>
        <row r="1684">
          <cell r="B1684">
            <v>130101122</v>
          </cell>
          <cell r="C1684" t="str">
            <v>PROPUESTA DE NOMBRAMIENTO  FORM.022-90-008,BLOCK</v>
          </cell>
          <cell r="D1684" t="str">
            <v>BLOCK</v>
          </cell>
        </row>
        <row r="1685">
          <cell r="B1685">
            <v>130101123</v>
          </cell>
          <cell r="C1685" t="str">
            <v>RECIBO DE INGRESO COPIA</v>
          </cell>
          <cell r="D1685" t="str">
            <v>BLOCK</v>
          </cell>
        </row>
        <row r="1686">
          <cell r="B1686">
            <v>130101130</v>
          </cell>
          <cell r="C1686" t="str">
            <v xml:space="preserve">AUTORIZACION- COMPROMISO RECONOCIMIENTO DE OBLIG. Y PROPUESTA DE PAGO </v>
          </cell>
          <cell r="D1686" t="str">
            <v>BLOCK</v>
          </cell>
        </row>
        <row r="1687">
          <cell r="B1687">
            <v>130101131</v>
          </cell>
          <cell r="C1687" t="str">
            <v xml:space="preserve">ANEXO AUTORIZ. - COMPROMISO RECONOCIMIENTO  DE OBLIG. Y PROPUESTA DE PAGO </v>
          </cell>
          <cell r="D1687" t="str">
            <v>BLOCK</v>
          </cell>
        </row>
        <row r="1688">
          <cell r="B1688">
            <v>130101137</v>
          </cell>
          <cell r="C1688" t="str">
            <v>RESUMEN DE CONSUMOS. FORM.035-90-006,BLOCK</v>
          </cell>
          <cell r="D1688" t="str">
            <v>DESCA</v>
          </cell>
        </row>
        <row r="1689">
          <cell r="B1689">
            <v>130101143</v>
          </cell>
          <cell r="C1689" t="str">
            <v>SOLICITUD DE LICENCIA. FORM. 011-81-149.,BLOCK</v>
          </cell>
          <cell r="D1689" t="str">
            <v>BLOCK</v>
          </cell>
        </row>
        <row r="1690">
          <cell r="B1690">
            <v>130101149</v>
          </cell>
          <cell r="C1690" t="str">
            <v>SOLICITUD PARA TRABAJAR EN TIEMPO EXTRAORDINARIO.  FORM. 041-76-01.,BLOCK</v>
          </cell>
          <cell r="D1690" t="str">
            <v>BLOCK</v>
          </cell>
        </row>
        <row r="1691">
          <cell r="B1691">
            <v>130101153</v>
          </cell>
          <cell r="C1691" t="str">
            <v xml:space="preserve"> TRANSFERENCIA  DE  MOBILIARIO  Y EQUIPO ENTRE DEPENDENCIA</v>
          </cell>
          <cell r="D1691" t="str">
            <v>BLOCK</v>
          </cell>
        </row>
        <row r="1692">
          <cell r="B1692">
            <v>130101154</v>
          </cell>
          <cell r="C1692" t="str">
            <v>VALE DE CONSUMO. FORM.PROV.70003.,BLOCK</v>
          </cell>
          <cell r="D1692" t="str">
            <v>BLOCK</v>
          </cell>
        </row>
        <row r="1693">
          <cell r="B1693">
            <v>130101181</v>
          </cell>
          <cell r="C1693" t="str">
            <v>SOLICITUD DE SERVICIO - ORDEN DE*TRABAJO. FORM.16 1-85-002.,BLOCK</v>
          </cell>
          <cell r="D1693" t="str">
            <v>BLOCK</v>
          </cell>
        </row>
        <row r="1694">
          <cell r="B1694">
            <v>130101217</v>
          </cell>
          <cell r="C1694" t="str">
            <v>CONTROL DE TIEMPO PARA EL REINTEGRO DEL FONDO CIRCIRCULANTE Y CAJA CHICA</v>
          </cell>
          <cell r="D1694" t="str">
            <v>BLOCK</v>
          </cell>
        </row>
        <row r="1695">
          <cell r="B1695">
            <v>130101230</v>
          </cell>
          <cell r="C1695" t="str">
            <v>REPORTE DE PRODUCTOS CON DEFECTO DE CALIDAD, FORM. 230002-94001.</v>
          </cell>
          <cell r="D1695" t="str">
            <v>BLOCK</v>
          </cell>
        </row>
        <row r="1696">
          <cell r="B1696">
            <v>130101241</v>
          </cell>
          <cell r="C1696" t="str">
            <v xml:space="preserve">CONTROL  DE  DESPACHO DE COMBUSTIBLE </v>
          </cell>
          <cell r="D1696" t="str">
            <v>BLOCK</v>
          </cell>
        </row>
        <row r="1697">
          <cell r="B1697">
            <v>130201002</v>
          </cell>
          <cell r="C1697" t="str">
            <v>AUTORIZACION PARA TRATAMIENTO Y/O INTERVENCION QUI RURGICA</v>
          </cell>
          <cell r="D1697" t="str">
            <v>BLOCK</v>
          </cell>
        </row>
        <row r="1698">
          <cell r="B1698">
            <v>130201004</v>
          </cell>
          <cell r="C1698" t="str">
            <v>BACTERIOLOGIA ANTIBIOGRAMA. FORM.*749-80-26.,BLOCK</v>
          </cell>
          <cell r="D1698" t="str">
            <v>BLOCK</v>
          </cell>
        </row>
        <row r="1699">
          <cell r="B1699">
            <v>130201005</v>
          </cell>
          <cell r="C1699" t="str">
            <v>BACTERIOLOGIA DE ACIDO RESISTENTE. FORM. M-72020., BLOCK</v>
          </cell>
          <cell r="D1699" t="str">
            <v>BLOCK</v>
          </cell>
        </row>
        <row r="1700">
          <cell r="B1700">
            <v>130201006</v>
          </cell>
          <cell r="C1700" t="str">
            <v>BALANCE DE LIQUIDOS. FORM. M-59004.,BLOCK</v>
          </cell>
          <cell r="D1700" t="str">
            <v>BLOCK</v>
          </cell>
        </row>
        <row r="1701">
          <cell r="B1701">
            <v>130201009</v>
          </cell>
          <cell r="C1701" t="str">
            <v>BOLETA PARA PRESTAMO DE PLACAS DE RAYOS "X". FORM. M-69018.,BLOCK</v>
          </cell>
          <cell r="D1701" t="str">
            <v>BLOCK</v>
          </cell>
        </row>
        <row r="1702">
          <cell r="B1702">
            <v>130201011</v>
          </cell>
          <cell r="C1702" t="str">
            <v>CARATULA PARA EXPEDIENTE CLINICO,COLOR AMARILLO.FORM. M-74018.</v>
          </cell>
          <cell r="D1702" t="str">
            <v>JUEGO</v>
          </cell>
        </row>
        <row r="1703">
          <cell r="B1703">
            <v>130201012</v>
          </cell>
          <cell r="C1703" t="str">
            <v>CARATULA PARA EXPEDIENTE CLINICO,COLOR CELESTE.F ORM.M-74018.</v>
          </cell>
          <cell r="D1703" t="str">
            <v>JUEGO</v>
          </cell>
        </row>
        <row r="1704">
          <cell r="B1704">
            <v>130201017</v>
          </cell>
          <cell r="C1704" t="str">
            <v xml:space="preserve">CARNET CONTROL DE VACUNACION  (VACUNA TOXOIDE TETANICA) </v>
          </cell>
          <cell r="D1704" t="str">
            <v>TARJETA</v>
          </cell>
        </row>
        <row r="1705">
          <cell r="B1705">
            <v>130201021</v>
          </cell>
          <cell r="C1705" t="str">
            <v xml:space="preserve">CERTIFICADO DE INCAPACIDAD TEMPORAL (GENERA SUBSIDIOS) </v>
          </cell>
          <cell r="D1705" t="str">
            <v>BLOCK</v>
          </cell>
        </row>
        <row r="1706">
          <cell r="B1706">
            <v>130201023</v>
          </cell>
          <cell r="C1706" t="str">
            <v xml:space="preserve">CERTIFICADO DE INCAPACIDAD TEMPORAL (NO GENERA SUBSIDIOS) </v>
          </cell>
          <cell r="D1706" t="str">
            <v>BLOCK</v>
          </cell>
        </row>
        <row r="1707">
          <cell r="B1707">
            <v>130201034</v>
          </cell>
          <cell r="C1707" t="str">
            <v>CONTESTACION DE EXAMEN DE HEMATOLOGIA.</v>
          </cell>
          <cell r="D1707" t="str">
            <v>BLOCK</v>
          </cell>
        </row>
        <row r="1708">
          <cell r="B1708">
            <v>130201035</v>
          </cell>
          <cell r="C1708" t="str">
            <v>CONTESTACION DE EXAMEN DE HECES. FORM.M-54023 REV. 66.,BLOCK</v>
          </cell>
          <cell r="D1708" t="str">
            <v>BLOCK</v>
          </cell>
        </row>
        <row r="1709">
          <cell r="B1709">
            <v>130201036</v>
          </cell>
          <cell r="C1709" t="str">
            <v>CONTESTACION DE EXAMENES DIVERSOS. FORM. M-54022., BLOCK</v>
          </cell>
          <cell r="D1709" t="str">
            <v>BLOCK</v>
          </cell>
        </row>
        <row r="1710">
          <cell r="B1710">
            <v>130201037</v>
          </cell>
          <cell r="C1710" t="str">
            <v xml:space="preserve">CONTESTACION DE EXAMEN GENERAL  DE  ORINA.   </v>
          </cell>
          <cell r="D1710" t="str">
            <v>BLOCK</v>
          </cell>
        </row>
        <row r="1711">
          <cell r="B1711">
            <v>130201038</v>
          </cell>
          <cell r="C1711" t="str">
            <v>SOLICITUD - RESPUESTA DE EXAMEN RADIOLOGICO,FORM.  553-88-006</v>
          </cell>
          <cell r="D1711" t="str">
            <v>BLOCK</v>
          </cell>
        </row>
        <row r="1712">
          <cell r="B1712">
            <v>130201039</v>
          </cell>
          <cell r="C1712" t="str">
            <v>CONTESTACION DE EXAMEN DE INMUNOLOGIA.FORM.749-80- 32.,BLOCK</v>
          </cell>
          <cell r="D1712" t="str">
            <v>BLOCK</v>
          </cell>
        </row>
        <row r="1713">
          <cell r="B1713">
            <v>130201046</v>
          </cell>
          <cell r="C1713" t="str">
            <v>CONTROL DE CITA MEDICA</v>
          </cell>
          <cell r="D1713" t="str">
            <v>TARJETA</v>
          </cell>
        </row>
        <row r="1714">
          <cell r="B1714">
            <v>130201051</v>
          </cell>
          <cell r="C1714" t="str">
            <v xml:space="preserve">CONTROL DE CONTESTACION DE EXAMEN DE LABORATORIO.  </v>
          </cell>
          <cell r="D1714" t="str">
            <v>BLOCK</v>
          </cell>
        </row>
        <row r="1715">
          <cell r="B1715">
            <v>130201052</v>
          </cell>
          <cell r="C1715" t="str">
            <v>CONTROL DE CONTESTACION DE EXAMEN RADIOLOGICO.</v>
          </cell>
          <cell r="D1715" t="str">
            <v>BLOCK</v>
          </cell>
        </row>
        <row r="1716">
          <cell r="B1716">
            <v>130201058</v>
          </cell>
          <cell r="C1716" t="str">
            <v>CONTROL DE LAVADO Y PLANCHADO DE ROPA</v>
          </cell>
          <cell r="D1716" t="str">
            <v>DESC</v>
          </cell>
        </row>
        <row r="1717">
          <cell r="B1717">
            <v>130201061</v>
          </cell>
          <cell r="C1717" t="str">
            <v>CONTROL DE PACIENTES PARA FISIOTERAPIA.    FORM.M- 70042</v>
          </cell>
          <cell r="D1717" t="str">
            <v>TARJ</v>
          </cell>
        </row>
        <row r="1718">
          <cell r="B1718">
            <v>130201065</v>
          </cell>
          <cell r="C1718" t="str">
            <v>CONTROL DE TRABAJOS BACTERIOLOGICOS.FORM.749-79-27 ,TARJETA</v>
          </cell>
          <cell r="D1718" t="str">
            <v>TARJE</v>
          </cell>
        </row>
        <row r="1719">
          <cell r="B1719">
            <v>130201068</v>
          </cell>
          <cell r="C1719" t="str">
            <v>CONTROL DE ESTUDIOS RADIOLOGICOS. FORM.220-88-004, LIBRO</v>
          </cell>
          <cell r="D1719" t="str">
            <v>LIBRO</v>
          </cell>
        </row>
        <row r="1720">
          <cell r="B1720">
            <v>130201069</v>
          </cell>
          <cell r="C1720" t="str">
            <v>CONTROL PRENATAL DE ASEGURADAS Y BENEFICIARIAS.FORM.M-70024</v>
          </cell>
          <cell r="D1720" t="str">
            <v>BLOCK</v>
          </cell>
        </row>
        <row r="1721">
          <cell r="B1721">
            <v>130201081</v>
          </cell>
          <cell r="C1721" t="str">
            <v>ELECTROCARDIOGRAMA. FORM.M-74009.,BLOCK</v>
          </cell>
          <cell r="D1721" t="str">
            <v>BLOCK</v>
          </cell>
        </row>
        <row r="1722">
          <cell r="B1722">
            <v>130201082</v>
          </cell>
          <cell r="C1722" t="str">
            <v>ELECTROENCEFALOGRAFIA. FORM. M-72015.,BLOCK</v>
          </cell>
          <cell r="D1722" t="str">
            <v>BLOCK</v>
          </cell>
        </row>
        <row r="1723">
          <cell r="B1723">
            <v>130201083</v>
          </cell>
          <cell r="C1723" t="str">
            <v>ESTADISTICA  Y MORBILIDAD  FRONTAL  DE CONSULTA  EXTERNA</v>
          </cell>
          <cell r="D1723" t="str">
            <v>BLOCK</v>
          </cell>
        </row>
        <row r="1724">
          <cell r="B1724">
            <v>130201085</v>
          </cell>
          <cell r="C1724" t="str">
            <v>EVOLUCION DEL CASO. FORM.M-55008 REV/58.,BLOCK</v>
          </cell>
          <cell r="D1724" t="str">
            <v>BLOCK</v>
          </cell>
        </row>
        <row r="1725">
          <cell r="B1725">
            <v>130201088</v>
          </cell>
          <cell r="C1725" t="str">
            <v>FICHA ODONTOLOGICA. FORM.683-74-03.,TARJETA</v>
          </cell>
          <cell r="D1725" t="str">
            <v>TARJE</v>
          </cell>
        </row>
        <row r="1726">
          <cell r="B1726">
            <v>130201092</v>
          </cell>
          <cell r="C1726" t="str">
            <v>HOJA CLINICA,PAGINAS 1 Y 2. FORM.M-58008-2.</v>
          </cell>
          <cell r="D1726" t="str">
            <v>BLOCK</v>
          </cell>
        </row>
        <row r="1727">
          <cell r="B1727">
            <v>130201100</v>
          </cell>
          <cell r="C1727" t="str">
            <v>HOJA DE EJERCICIOS. FORM.M-69029.,BLOCK</v>
          </cell>
          <cell r="D1727" t="str">
            <v>BLOCK</v>
          </cell>
        </row>
        <row r="1728">
          <cell r="B1728">
            <v>130201101</v>
          </cell>
          <cell r="C1728" t="str">
            <v>HOJA DE EMERGENCIA Y ATENCION DOMICILIARIA. FORM.  M-58012</v>
          </cell>
          <cell r="D1728" t="str">
            <v>BLOCK</v>
          </cell>
        </row>
        <row r="1729">
          <cell r="B1729">
            <v>130201103</v>
          </cell>
          <cell r="C1729" t="str">
            <v>HOJA DE OBSERVACION PARA CUIDADO DE ENFERMERIA.FORM. M-72005</v>
          </cell>
          <cell r="D1729" t="str">
            <v>BLOCK</v>
          </cell>
        </row>
        <row r="1730">
          <cell r="B1730">
            <v>130201109</v>
          </cell>
          <cell r="C1730" t="str">
            <v>DISTRIBUCION  MENSUAL DE TURNOS. FORM.210-81-97.,B LOCK</v>
          </cell>
          <cell r="D1730" t="str">
            <v>BLOCK</v>
          </cell>
        </row>
        <row r="1731">
          <cell r="B1731">
            <v>130201116</v>
          </cell>
          <cell r="C1731" t="str">
            <v>INFORME DE INTERVENCIONES QUIRURGICAS. FORM.550-74- 01 REV.76</v>
          </cell>
          <cell r="D1731" t="str">
            <v>BLOCK</v>
          </cell>
        </row>
        <row r="1732">
          <cell r="B1732">
            <v>130201117</v>
          </cell>
          <cell r="C1732" t="str">
            <v>INFORME DIARIO DE CONSULTA ODONTOLOGICA GENERAL.FORM. 533-90-002</v>
          </cell>
          <cell r="D1732" t="str">
            <v>BLOCK</v>
          </cell>
        </row>
        <row r="1733">
          <cell r="B1733">
            <v>130201118</v>
          </cell>
          <cell r="C1733" t="str">
            <v>INFORME DIARIO DE CONSULTA EXTERNA MEDICA.  FORM.  533-90-005</v>
          </cell>
          <cell r="D1733" t="str">
            <v>BLOCK</v>
          </cell>
        </row>
        <row r="1734">
          <cell r="B1734">
            <v>130201119</v>
          </cell>
          <cell r="C1734" t="str">
            <v>INFORME DIARIO DE CONSULTA ODONTOLOGICA DE ESPECIA LIDAD</v>
          </cell>
          <cell r="D1734" t="str">
            <v>BLOCK</v>
          </cell>
        </row>
        <row r="1735">
          <cell r="B1735">
            <v>130201124</v>
          </cell>
          <cell r="C1735" t="str">
            <v>HOJA DE INVESTIGACION DE ACCIDENTE DE TRABAJO</v>
          </cell>
          <cell r="D1735" t="str">
            <v>BLOCK</v>
          </cell>
        </row>
        <row r="1736">
          <cell r="B1736">
            <v>130201125</v>
          </cell>
          <cell r="C1736" t="str">
            <v xml:space="preserve">INFORME Y REFERENCIA MEDICA </v>
          </cell>
          <cell r="D1736" t="str">
            <v>BLOCK</v>
          </cell>
        </row>
        <row r="1737">
          <cell r="B1737">
            <v>130201128</v>
          </cell>
          <cell r="C1737" t="str">
            <v>MEDICINA FISICA. FORM.M-56002.,BLOCK</v>
          </cell>
          <cell r="D1737" t="str">
            <v>BLOCK</v>
          </cell>
        </row>
        <row r="1738">
          <cell r="B1738">
            <v>130201130</v>
          </cell>
          <cell r="C1738" t="str">
            <v>NOTA DE TRANSFERENCIA DE MEDICAMENTOS. FORM.62-00- 24 REV/77.,BLOCK</v>
          </cell>
          <cell r="D1738" t="str">
            <v>BLOCK</v>
          </cell>
        </row>
        <row r="1739">
          <cell r="B1739">
            <v>130201131</v>
          </cell>
          <cell r="C1739" t="str">
            <v>ORDEN DE ATENCION  PARA  EL  ESPECIALISTA.  FORM.  M-54002 REV/58</v>
          </cell>
          <cell r="D1739" t="str">
            <v>BLOCK</v>
          </cell>
        </row>
        <row r="1740">
          <cell r="B1740">
            <v>130201132</v>
          </cell>
          <cell r="C1740" t="str">
            <v>ORDEN DE HOSPITALIZACION Y ALTA  FORM.533-89-027,B LOCK</v>
          </cell>
          <cell r="D1740" t="str">
            <v>BLOCK</v>
          </cell>
        </row>
        <row r="1741">
          <cell r="B1741">
            <v>130201133</v>
          </cell>
          <cell r="C1741" t="str">
            <v>ORDEN MEDICA Y OBSERVACION DE LA ENFERMERA.  FORM. M-58006.,BLOCK</v>
          </cell>
          <cell r="D1741" t="str">
            <v>BLOCK</v>
          </cell>
        </row>
        <row r="1742">
          <cell r="B1742">
            <v>130201134</v>
          </cell>
          <cell r="C1742" t="str">
            <v>ORDEN PARA CURACIONES. FORM.M-58003.,BLOCK</v>
          </cell>
          <cell r="D1742" t="str">
            <v>BLOCK</v>
          </cell>
        </row>
        <row r="1743">
          <cell r="B1743">
            <v>130201135</v>
          </cell>
          <cell r="C1743" t="str">
            <v>ORDEN PARA INYECCIONES. FORM.M-57006.,BLOCK</v>
          </cell>
          <cell r="D1743" t="str">
            <v>BLOCK</v>
          </cell>
        </row>
        <row r="1744">
          <cell r="B1744">
            <v>130201136</v>
          </cell>
          <cell r="C1744" t="str">
            <v>PRIMERA CONSULTA DE EXAMEN DE OFTALMOLOGIA</v>
          </cell>
          <cell r="D1744" t="str">
            <v>BLOCK</v>
          </cell>
        </row>
        <row r="1745">
          <cell r="B1745">
            <v>130201138</v>
          </cell>
          <cell r="C1745" t="str">
            <v>QUIMICA SANGUINEA PRUEBA FUNCIONAL. FORM. M-54016  REV/72.,BLOCK</v>
          </cell>
          <cell r="D1745" t="str">
            <v>BLOCK</v>
          </cell>
        </row>
        <row r="1746">
          <cell r="B1746">
            <v>130201139</v>
          </cell>
          <cell r="C1746" t="str">
            <v>RECETARIOS,COLOR BLANCO. FORM.M-54013 REV/76.</v>
          </cell>
          <cell r="D1746" t="str">
            <v>BLOCK</v>
          </cell>
        </row>
        <row r="1747">
          <cell r="B1747">
            <v>130201140</v>
          </cell>
          <cell r="C1747" t="str">
            <v>RECETARIOS PARA ESTUPEFACIENTES Y BARBITURICOS.FORM.M-55005.,BLOCK</v>
          </cell>
          <cell r="D1747" t="str">
            <v>BLOCK</v>
          </cell>
        </row>
        <row r="1748">
          <cell r="B1748">
            <v>130201149</v>
          </cell>
          <cell r="C1748" t="str">
            <v>REGISTRO DE CERTIFICADO DE INCAPACIDAD TEMPORAL.FORM. M-67023.,BLOCK</v>
          </cell>
          <cell r="D1748" t="str">
            <v>BLOCK</v>
          </cell>
        </row>
        <row r="1749">
          <cell r="B1749">
            <v>130201151</v>
          </cell>
          <cell r="C1749" t="str">
            <v xml:space="preserve">RECETA MEDICA PARA USO REPETITIVO DE MEDICAMENTOS  DE ESPECIALIDAD </v>
          </cell>
          <cell r="D1749" t="str">
            <v>BLOCK</v>
          </cell>
        </row>
        <row r="1750">
          <cell r="B1750">
            <v>130201153</v>
          </cell>
          <cell r="C1750" t="str">
            <v>REGISTRO OPERATORIO. FORM.M-540074 REV/77.,BLOCK</v>
          </cell>
          <cell r="D1750" t="str">
            <v>BLOCK</v>
          </cell>
        </row>
        <row r="1751">
          <cell r="B1751">
            <v>130201154</v>
          </cell>
          <cell r="C1751" t="str">
            <v>REGISTRO DE OPTOMETRIA DE OFTALMOLOGIA</v>
          </cell>
          <cell r="D1751" t="str">
            <v>TARJ</v>
          </cell>
        </row>
        <row r="1752">
          <cell r="B1752">
            <v>130201162</v>
          </cell>
          <cell r="C1752" t="str">
            <v>REQUISICION  INTERNA  PARA  MEDICAMENTOS   FORM.  055-74-09 REV/77.,BLOCK</v>
          </cell>
          <cell r="D1752" t="str">
            <v>BLOCK</v>
          </cell>
        </row>
        <row r="1753">
          <cell r="B1753">
            <v>130201168</v>
          </cell>
          <cell r="C1753" t="str">
            <v>SOLICITUD DE ELECTRO-CARDIOGRAMA. FORM.M-74010.,BL OCK</v>
          </cell>
          <cell r="D1753" t="str">
            <v>BLOCK</v>
          </cell>
        </row>
        <row r="1754">
          <cell r="B1754">
            <v>130201169</v>
          </cell>
          <cell r="C1754" t="str">
            <v>SOLICITUD DE ESTUDIO ANATOMOPATOLOGICO CITOLOGICO. FORM. M67025,BLOCK</v>
          </cell>
          <cell r="D1754" t="str">
            <v>BLOCK</v>
          </cell>
        </row>
        <row r="1755">
          <cell r="B1755">
            <v>130201170</v>
          </cell>
          <cell r="C1755" t="str">
            <v>SOLICITUD DE ESTUDIO CITOLOGICO. (GENITAL).  FORM. 710-80-23,BLOCK</v>
          </cell>
          <cell r="D1755" t="str">
            <v>BLOCK</v>
          </cell>
        </row>
        <row r="1756">
          <cell r="B1756">
            <v>130201171</v>
          </cell>
          <cell r="C1756" t="str">
            <v>SOLICITUD DE EXAMENES DE LABORATORIO. FORM.M-54027 ,BLOCK</v>
          </cell>
          <cell r="D1756" t="str">
            <v>BLOCK</v>
          </cell>
        </row>
        <row r="1757">
          <cell r="B1757">
            <v>130201172</v>
          </cell>
          <cell r="C1757" t="str">
            <v>SOLICITUD DE OPERACION. FORM.M-59009.,BLOCK</v>
          </cell>
          <cell r="D1757" t="str">
            <v>BLOCK</v>
          </cell>
        </row>
        <row r="1758">
          <cell r="B1758">
            <v>130201173</v>
          </cell>
          <cell r="C1758" t="str">
            <v>SOLICITUD DE SERVICIO DE AMBULANCIA. FORM.M-54012  REV/58,BLOCK</v>
          </cell>
          <cell r="D1758" t="str">
            <v>DESC</v>
          </cell>
        </row>
        <row r="1759">
          <cell r="B1759">
            <v>130201175</v>
          </cell>
          <cell r="C1759" t="str">
            <v>SEGUNDA CONSULTA DE OFTALMOLOGIA</v>
          </cell>
          <cell r="D1759" t="str">
            <v>BLOCK</v>
          </cell>
        </row>
        <row r="1760">
          <cell r="B1760">
            <v>130201178</v>
          </cell>
          <cell r="C1760" t="str">
            <v>TARJETA PARA EL SERVICIO DE RADIOLOGIA. FORM.77003 ,TARJETA</v>
          </cell>
          <cell r="D1760" t="str">
            <v>TARJETA</v>
          </cell>
        </row>
        <row r="1761">
          <cell r="B1761">
            <v>130201181</v>
          </cell>
          <cell r="C1761" t="str">
            <v xml:space="preserve">VALE POR PEDIDO-ENTREGA DE INSTRUMENTAL MEDICO QUI RURGICO (VARIOS).   </v>
          </cell>
          <cell r="D1761" t="str">
            <v>BLOCK</v>
          </cell>
        </row>
        <row r="1762">
          <cell r="B1762">
            <v>130201182</v>
          </cell>
          <cell r="C1762" t="str">
            <v xml:space="preserve">VIÑETAS PARA COLOCAR INDICACIONES MEDICAS EN MEDICAMENTOS </v>
          </cell>
          <cell r="D1762" t="str">
            <v>C/U</v>
          </cell>
        </row>
        <row r="1763">
          <cell r="B1763">
            <v>130201189</v>
          </cell>
          <cell r="C1763" t="str">
            <v>ESTUDIO CITOLOGICO EXTRA-GENITAL. FORM.710-80-23REV/81.,BLOCK</v>
          </cell>
          <cell r="D1763" t="str">
            <v>BLOCK</v>
          </cell>
        </row>
        <row r="1764">
          <cell r="B1764">
            <v>130201190</v>
          </cell>
          <cell r="C1764" t="str">
            <v>ESPERMOGRAMA. FORM.749-80-45.,BLOCK</v>
          </cell>
          <cell r="D1764" t="str">
            <v>BLOCK</v>
          </cell>
        </row>
        <row r="1765">
          <cell r="B1765">
            <v>130201192</v>
          </cell>
          <cell r="C1765" t="str">
            <v xml:space="preserve">TARJETA DE REEMPLAZO DE EXPEDIENTE CLINICO  ( EXPE DIENTE MULTIPLE ).  </v>
          </cell>
          <cell r="D1765" t="str">
            <v>TARJ</v>
          </cell>
        </row>
        <row r="1766">
          <cell r="B1766">
            <v>130201194</v>
          </cell>
          <cell r="C1766" t="str">
            <v xml:space="preserve">HOJA DE ENTREVISTA ALIMENTARIA Y CONTROL DIETETICO </v>
          </cell>
          <cell r="D1766" t="str">
            <v>BLOCK</v>
          </cell>
        </row>
        <row r="1767">
          <cell r="B1767">
            <v>130201195</v>
          </cell>
          <cell r="C1767" t="str">
            <v>RECETA DIETETICA. FORM. 650-81-123.,BLOCK</v>
          </cell>
          <cell r="D1767" t="str">
            <v>BLOCK</v>
          </cell>
        </row>
        <row r="1768">
          <cell r="B1768">
            <v>130201198</v>
          </cell>
          <cell r="C1768" t="str">
            <v>COMPROBANTE DE EXAMEN DE RAYOS "X"* FORM. 754-81-1 70.,BLOCK</v>
          </cell>
          <cell r="D1768" t="str">
            <v>BLOCK</v>
          </cell>
        </row>
        <row r="1769">
          <cell r="B1769">
            <v>130201201</v>
          </cell>
          <cell r="C1769" t="str">
            <v>SOLICITUD  DE  CANCELACION  DE  TRANSPORTE. FORM.  650-82-016.,BLOCK</v>
          </cell>
          <cell r="D1769" t="str">
            <v>BLOCK</v>
          </cell>
        </row>
        <row r="1770">
          <cell r="B1770">
            <v>130201203</v>
          </cell>
          <cell r="C1770" t="str">
            <v>HOJA DE ORDEN DE INGRESO. FORM.650-82-017.,BLOCK</v>
          </cell>
          <cell r="D1770" t="str">
            <v>BLOCK</v>
          </cell>
        </row>
        <row r="1771">
          <cell r="B1771">
            <v>130201204</v>
          </cell>
          <cell r="C1771" t="str">
            <v>REPORTE DE HISTORIA MEDICA. FORM.501-82-021.,BLOCK</v>
          </cell>
          <cell r="D1771" t="str">
            <v>BLOCK</v>
          </cell>
        </row>
        <row r="1772">
          <cell r="B1772">
            <v>130201211</v>
          </cell>
          <cell r="C1772" t="str">
            <v>INFORME DIARIO DE ODONTOLOGIA PREVENTIVA. FORM.533 -90-003.,BLOCK</v>
          </cell>
          <cell r="D1772" t="str">
            <v>BLOCK</v>
          </cell>
        </row>
        <row r="1773">
          <cell r="B1773">
            <v>130201219</v>
          </cell>
          <cell r="C1773" t="str">
            <v>HOJA DE EVALUACION COLPOSCOPICA. FORM.213-83-304., BLOCK</v>
          </cell>
          <cell r="D1773" t="str">
            <v>BLOCK</v>
          </cell>
        </row>
        <row r="1774">
          <cell r="B1774">
            <v>130201220</v>
          </cell>
          <cell r="C1774" t="str">
            <v>AGENDA MEDICA PARA CITA PREVIA.  FORM.400-83-012,B LOCK</v>
          </cell>
          <cell r="D1774" t="str">
            <v>BLOCK</v>
          </cell>
        </row>
        <row r="1775">
          <cell r="B1775">
            <v>130201223</v>
          </cell>
          <cell r="C1775" t="str">
            <v>FACTORES DE RIESGO OBSTETRICO Y REPRODUCTIVO. FORM .510401-92-001,BLOCK</v>
          </cell>
          <cell r="D1775" t="str">
            <v>BLOCK</v>
          </cell>
        </row>
        <row r="1776">
          <cell r="B1776">
            <v>130201224</v>
          </cell>
          <cell r="C1776" t="str">
            <v>FICHA DE ANTECEDENTES OBSTETRICOS,FORM. 510401-92- 005</v>
          </cell>
          <cell r="D1776" t="str">
            <v>TARJE</v>
          </cell>
        </row>
        <row r="1777">
          <cell r="B1777">
            <v>130201225</v>
          </cell>
          <cell r="C1777" t="str">
            <v>HOJA DE EVOLUCION Y REFERENCIA (SUB-PROGRAMA DE ATENCION MATERNA)</v>
          </cell>
          <cell r="D1777" t="str">
            <v>BLOCK</v>
          </cell>
        </row>
        <row r="1778">
          <cell r="B1778">
            <v>130201226</v>
          </cell>
          <cell r="C1778" t="str">
            <v>HOJA DE ENFERMERIA (SUB-PROGRAMA DE ATENCION MATER NA),FORM. 510401-92-006.</v>
          </cell>
          <cell r="D1778" t="str">
            <v>BLOCK</v>
          </cell>
        </row>
        <row r="1779">
          <cell r="B1779">
            <v>130201227</v>
          </cell>
          <cell r="C1779" t="str">
            <v>HOJA DE ORDEN DE INGRESO. FORM.400-84-09,BLOCK</v>
          </cell>
          <cell r="D1779" t="str">
            <v>BLOCK</v>
          </cell>
        </row>
        <row r="1780">
          <cell r="B1780">
            <v>130201228</v>
          </cell>
          <cell r="C1780" t="str">
            <v>HOJA DE REFERENCIA A MONITOREO FETAL. FORM. 214-84 -04.,BLOCK</v>
          </cell>
          <cell r="D1780" t="str">
            <v>BLOCK</v>
          </cell>
        </row>
        <row r="1781">
          <cell r="B1781">
            <v>130201231</v>
          </cell>
          <cell r="C1781" t="str">
            <v>SUB-PROGRAMA PARA ATENCION MATERNA -PRE-TABULADOR, FORM. 400-83-021.</v>
          </cell>
          <cell r="D1781" t="str">
            <v>BLOCK</v>
          </cell>
        </row>
        <row r="1782">
          <cell r="B1782">
            <v>130201232</v>
          </cell>
          <cell r="C1782" t="str">
            <v>TARJETA ACTIVA,CENTRO DE ATENCION,SUB-PROGRAMA DE  PLANIFICACION FAMILIAR</v>
          </cell>
          <cell r="D1782" t="str">
            <v>TARJETA</v>
          </cell>
        </row>
        <row r="1783">
          <cell r="B1783">
            <v>130201233</v>
          </cell>
          <cell r="C1783" t="str">
            <v>TARJETA REGISTRO CITAS Y CONTROL DE PAP</v>
          </cell>
          <cell r="D1783" t="str">
            <v>TARJETA</v>
          </cell>
        </row>
        <row r="1784">
          <cell r="B1784">
            <v>130201234</v>
          </cell>
          <cell r="C1784" t="str">
            <v>CONSULTA DE INSCRIPCION (PROGRAMA P.F) FORM.713-89 -025.,BLOCK</v>
          </cell>
          <cell r="D1784" t="str">
            <v>BLOCK</v>
          </cell>
        </row>
        <row r="1785">
          <cell r="B1785">
            <v>130201235</v>
          </cell>
          <cell r="C1785" t="str">
            <v>SOLICITUD DE ESTERILIZACION (PROGRAMA P.F) FORM.71 3-89-022.,BLOCK</v>
          </cell>
          <cell r="D1785" t="str">
            <v>BLOCK</v>
          </cell>
        </row>
        <row r="1786">
          <cell r="B1786">
            <v>130201236</v>
          </cell>
          <cell r="C1786" t="str">
            <v>CONSULTA SUB-SECUENTE (PROGRAMA P.F) FORM.713-89-0 24.,BLOCK</v>
          </cell>
          <cell r="D1786" t="str">
            <v>BLOCK</v>
          </cell>
        </row>
        <row r="1787">
          <cell r="B1787">
            <v>130201237</v>
          </cell>
          <cell r="C1787" t="str">
            <v>REGISTRO DIARIO DE CONSULTAS MEDICAS (PROGRAMA P.F ) FORM.713-89-023.,BLOCK</v>
          </cell>
          <cell r="D1787" t="str">
            <v>BLOCK</v>
          </cell>
        </row>
        <row r="1788">
          <cell r="B1788">
            <v>130201238</v>
          </cell>
          <cell r="C1788" t="str">
            <v>REGISTRO DIARIO DE ANTICONCEPCIONES QUIRURGICAS(P ROGRAMA P.F.)</v>
          </cell>
          <cell r="D1788" t="str">
            <v>BLOCK</v>
          </cell>
        </row>
        <row r="1789">
          <cell r="B1789">
            <v>130201239</v>
          </cell>
          <cell r="C1789" t="str">
            <v xml:space="preserve">REGISTRO DIARIO DE ENTREGA DE ANTICONCEPTIVOS(PROGRAMA P.F) </v>
          </cell>
          <cell r="D1789" t="str">
            <v>BLOCK</v>
          </cell>
        </row>
        <row r="1790">
          <cell r="B1790">
            <v>130201240</v>
          </cell>
          <cell r="C1790" t="str">
            <v xml:space="preserve">INFORME MENSUAL-ENTREGA DE ANTICONCEPTIVOS PROGRAM A P.F.) </v>
          </cell>
          <cell r="D1790" t="str">
            <v>BLOCK</v>
          </cell>
        </row>
        <row r="1791">
          <cell r="B1791">
            <v>130201242</v>
          </cell>
          <cell r="C1791" t="str">
            <v>INFORME DIARIO DE MEDICINA FISICA Y REHABILITACION . FORM.261-84-07.,BLOCK</v>
          </cell>
          <cell r="D1791" t="str">
            <v>BLOCK</v>
          </cell>
        </row>
        <row r="1792">
          <cell r="B1792">
            <v>130201248</v>
          </cell>
          <cell r="C1792" t="str">
            <v>FICHA PARA USO DE HIGIENE DENTAL.,TARJETA</v>
          </cell>
          <cell r="D1792" t="str">
            <v>TARJ</v>
          </cell>
        </row>
        <row r="1793">
          <cell r="B1793">
            <v>130201250</v>
          </cell>
          <cell r="C1793" t="str">
            <v xml:space="preserve">HOJA DE REGISTRO DIARIO DE ATENCION,CRECIMIENTOY  DESARROLLO DEL NINO. </v>
          </cell>
          <cell r="D1793" t="str">
            <v>BLOCK</v>
          </cell>
        </row>
        <row r="1794">
          <cell r="B1794">
            <v>130201253</v>
          </cell>
          <cell r="C1794" t="str">
            <v>INFORME MENSUAL "B" REALIZACIONES DEL PROGRAMA .(P ROGRAMA PLANIF.FAMILIAR)</v>
          </cell>
          <cell r="D1794" t="str">
            <v>BLOCK</v>
          </cell>
        </row>
        <row r="1795">
          <cell r="B1795">
            <v>130201255</v>
          </cell>
          <cell r="C1795" t="str">
            <v>CONSULTA MEDICA 1A. VEZ,HISTORIA CLINICA DE NINO,F ORM.# 536-91-007</v>
          </cell>
          <cell r="D1795" t="str">
            <v>BLOCK</v>
          </cell>
        </row>
        <row r="1796">
          <cell r="B1796">
            <v>130201256</v>
          </cell>
          <cell r="C1796" t="str">
            <v>CONSULTA MEDICA SUBSECUENTE,HISTORIA CLINICA DEL N INO. FORM.# 536-91-008.</v>
          </cell>
          <cell r="D1796" t="str">
            <v>BLOCK</v>
          </cell>
        </row>
        <row r="1797">
          <cell r="B1797">
            <v>130201257</v>
          </cell>
          <cell r="C1797" t="str">
            <v xml:space="preserve">ATENCION DE CRECIMIENTO Y DESARROLLO,HOJA DECONSULTA DEL NINO 1A VEZ. </v>
          </cell>
          <cell r="D1797" t="str">
            <v>BLOCK</v>
          </cell>
        </row>
        <row r="1798">
          <cell r="B1798">
            <v>130201258</v>
          </cell>
          <cell r="C1798" t="str">
            <v>AT. DE CRECIMIENTO Y DESARR.,HOJA DE CONSU LTA SUBSECUENTE DEL NIÑO</v>
          </cell>
          <cell r="D1798" t="str">
            <v>BLOCK</v>
          </cell>
        </row>
        <row r="1799">
          <cell r="B1799">
            <v>130201261</v>
          </cell>
          <cell r="C1799" t="str">
            <v xml:space="preserve">CARNET DE EXAMENES (SUB-PROGRAMA DE ATENCION MATER NA). </v>
          </cell>
          <cell r="D1799" t="str">
            <v>TARJE</v>
          </cell>
        </row>
        <row r="1800">
          <cell r="B1800">
            <v>130201263</v>
          </cell>
          <cell r="C1800" t="str">
            <v>PROGRAMA DE REDUCCION DE PESO. FORM.535-A24-92-007 .,TARJETA</v>
          </cell>
          <cell r="D1800" t="str">
            <v>TARJE</v>
          </cell>
        </row>
        <row r="1801">
          <cell r="B1801">
            <v>130201268</v>
          </cell>
          <cell r="C1801" t="str">
            <v>FICHA DE DIAGNOSTICO Y PLAN DE TRATAMIENTO PERIODONTAL FORM.79006.,TARJETA</v>
          </cell>
          <cell r="D1801" t="str">
            <v>TARJE</v>
          </cell>
        </row>
        <row r="1802">
          <cell r="B1802">
            <v>130201269</v>
          </cell>
          <cell r="C1802" t="str">
            <v xml:space="preserve">HOJA DE EV. Y REFERENCIA (SUB-PROGRAMA DE ATENCION MATERNA) CONTINUACION. </v>
          </cell>
          <cell r="D1802" t="str">
            <v>BLOCK</v>
          </cell>
        </row>
        <row r="1803">
          <cell r="B1803">
            <v>130201270</v>
          </cell>
          <cell r="C1803" t="str">
            <v>HOJA DE IDENTIFICACION Y REGISTRO DEL NINO.  FORM.510401-92-06</v>
          </cell>
          <cell r="D1803" t="str">
            <v>BLOCK</v>
          </cell>
        </row>
        <row r="1804">
          <cell r="B1804">
            <v>130201272</v>
          </cell>
          <cell r="C1804" t="str">
            <v>IDENTIFICACION DE DIABETICO.  FORM.510002-92-021.</v>
          </cell>
          <cell r="D1804" t="str">
            <v>TARJE</v>
          </cell>
        </row>
        <row r="1805">
          <cell r="B1805">
            <v>130201274</v>
          </cell>
          <cell r="C1805" t="str">
            <v>ESCALA SIMPLIFICADA DE EVALUACION DEL DESARROLLO FORM. 510-401012-05-97</v>
          </cell>
          <cell r="D1805" t="str">
            <v>BLOCK</v>
          </cell>
        </row>
        <row r="1806">
          <cell r="B1806">
            <v>130201275</v>
          </cell>
          <cell r="C1806" t="str">
            <v>REFERENCIA PARA EXAMEN MAMOGRAFICO  FORM.522A04-92-027</v>
          </cell>
          <cell r="D1806" t="str">
            <v>BLOCK</v>
          </cell>
        </row>
        <row r="1807">
          <cell r="B1807">
            <v>130201277</v>
          </cell>
          <cell r="C1807" t="str">
            <v>SOLICITUD DE ULTRASONOGRAFIA Y MONITOREO FETAL.  FORM.0522403-93-001</v>
          </cell>
          <cell r="D1807" t="str">
            <v>BLOCK</v>
          </cell>
        </row>
        <row r="1808">
          <cell r="B1808">
            <v>130201278</v>
          </cell>
          <cell r="C1808" t="str">
            <v>HOJA DE RESPUESTA DE ULTRASONOGRAFIA PELVICA.  FORM.522403-93-003</v>
          </cell>
          <cell r="D1808" t="str">
            <v>BLOCK</v>
          </cell>
        </row>
        <row r="1809">
          <cell r="B1809">
            <v>130201279</v>
          </cell>
          <cell r="C1809" t="str">
            <v>HOJA DE RESPUESTA DE ULTRASONOGRAFIA OBSTETRICA.FORM.522403-93-002</v>
          </cell>
          <cell r="D1809" t="str">
            <v>BLOCK</v>
          </cell>
        </row>
        <row r="1810">
          <cell r="B1810">
            <v>130201290</v>
          </cell>
          <cell r="C1810" t="str">
            <v>EXPEDIENTE PEDIATRICO FORM. 510401-93-013,DE SOLIC. DES. INSTITUC.</v>
          </cell>
          <cell r="D1810" t="str">
            <v>JUEGOS</v>
          </cell>
        </row>
        <row r="1811">
          <cell r="B1811">
            <v>130201291</v>
          </cell>
          <cell r="C1811" t="str">
            <v>CARNET DEL NINO, FORM. 51004-93-015SOLIC._DES. INSTITUC.</v>
          </cell>
          <cell r="D1811" t="str">
            <v>TARJ</v>
          </cell>
        </row>
        <row r="1812">
          <cell r="B1812">
            <v>130201292</v>
          </cell>
          <cell r="C1812" t="str">
            <v>TARJETA CONTROL NINO SANO (FORM.510401-93-01</v>
          </cell>
          <cell r="D1812" t="str">
            <v>TARJ</v>
          </cell>
        </row>
        <row r="1813">
          <cell r="B1813">
            <v>130201294</v>
          </cell>
          <cell r="C1813" t="str">
            <v>RECETA PARA USO PEDIATRICO FORM.510000-93-021</v>
          </cell>
          <cell r="D1813" t="str">
            <v>BLOCK</v>
          </cell>
        </row>
        <row r="1814">
          <cell r="B1814">
            <v>130201296</v>
          </cell>
          <cell r="C1814" t="str">
            <v>INFORME DIARIO DE CONSULTA EXTERNA DE PEDIATRIA</v>
          </cell>
          <cell r="D1814" t="str">
            <v>C/U</v>
          </cell>
        </row>
        <row r="1815">
          <cell r="B1815">
            <v>130201297</v>
          </cell>
          <cell r="C1815" t="str">
            <v>PROGRAM. SEMANAL DE  ACTIV. DE ED.EN SALUD,  DE SOLIC.DES. INSTITUC</v>
          </cell>
          <cell r="D1815" t="str">
            <v>BLOCK</v>
          </cell>
        </row>
        <row r="1816">
          <cell r="B1816">
            <v>130201298</v>
          </cell>
          <cell r="C1816" t="str">
            <v>ACTIV. REALIZADAS DE ED. EN SALUD A NIVEL DE EMPRESAS</v>
          </cell>
          <cell r="D1816" t="str">
            <v>BLOCK</v>
          </cell>
        </row>
        <row r="1817">
          <cell r="B1817">
            <v>130201299</v>
          </cell>
          <cell r="C1817" t="str">
            <v xml:space="preserve">ACTIV. REALIZADAS POR LOS ED. EN SALUD A NIVEL DE EMPRESAS, </v>
          </cell>
          <cell r="D1817" t="str">
            <v>BLOCK</v>
          </cell>
        </row>
        <row r="1818">
          <cell r="B1818">
            <v>130201300</v>
          </cell>
          <cell r="C1818" t="str">
            <v>PROGRAMA SEMANAL DE SESIONES DE EDUCACION .FORM. 510401-94-010.</v>
          </cell>
          <cell r="D1818" t="str">
            <v>BLOCK</v>
          </cell>
        </row>
        <row r="1819">
          <cell r="B1819">
            <v>130201301</v>
          </cell>
          <cell r="C1819" t="str">
            <v>ACTIVIDADES REALIZADAS DE EDUCACION EN SALUD A NIVEL DE CENTRO DE ATENCION</v>
          </cell>
          <cell r="D1819" t="str">
            <v>BLOCK</v>
          </cell>
        </row>
        <row r="1820">
          <cell r="B1820">
            <v>130201302</v>
          </cell>
          <cell r="C1820" t="str">
            <v>RESUMEN DE ACTIV. DE EDUCACION EN SALUD REALIZ. A NIVEL DE CENTRO DE ATENCION</v>
          </cell>
          <cell r="D1820" t="str">
            <v>BLOCK</v>
          </cell>
        </row>
        <row r="1821">
          <cell r="B1821">
            <v>130201305</v>
          </cell>
          <cell r="C1821" t="str">
            <v>REPORTE EPIDEMIOLOGICO SEMANAL  FORM 510401-001-01-96</v>
          </cell>
          <cell r="D1821" t="str">
            <v>BLOCK</v>
          </cell>
        </row>
        <row r="1822">
          <cell r="B1822">
            <v>130201307</v>
          </cell>
          <cell r="C1822" t="str">
            <v>CURVA DE CONTROL PRENATAL. FORM. 510401-007-0696</v>
          </cell>
          <cell r="D1822" t="str">
            <v>BLOCK</v>
          </cell>
        </row>
        <row r="1823">
          <cell r="B1823">
            <v>130201312</v>
          </cell>
          <cell r="C1823" t="str">
            <v>FICHA ODONTOLOGICA INFANTIL</v>
          </cell>
          <cell r="D1823" t="str">
            <v>TARJETA</v>
          </cell>
        </row>
        <row r="1824">
          <cell r="B1824">
            <v>130201317</v>
          </cell>
          <cell r="C1824" t="str">
            <v>INFORME MENSUAL DE INMUNIZACIONES, FORM.510401-006-04-99</v>
          </cell>
          <cell r="D1824" t="str">
            <v>BLOCK</v>
          </cell>
        </row>
        <row r="1825">
          <cell r="B1825">
            <v>130201318</v>
          </cell>
          <cell r="C1825" t="str">
            <v>INFORME MENSUAL DE CONSULTA PEDIATRICA, FORM.510401-005-04-99</v>
          </cell>
          <cell r="D1825" t="str">
            <v>BLOCK</v>
          </cell>
        </row>
        <row r="1826">
          <cell r="B1826">
            <v>130201322</v>
          </cell>
          <cell r="C1826" t="str">
            <v>INFORME MENSUAL DE CRECIMIENTO Y DESARROLLO</v>
          </cell>
          <cell r="D1826" t="str">
            <v>BLOCK</v>
          </cell>
        </row>
        <row r="1827">
          <cell r="B1827">
            <v>130201323</v>
          </cell>
          <cell r="C1827" t="str">
            <v xml:space="preserve">CONTROL DE OTORGAMIENTO DE CITAS,  FORM. CONTINUA DE UNA PARTE, TAM. CARTA,  </v>
          </cell>
          <cell r="D1827" t="str">
            <v>C/U</v>
          </cell>
        </row>
        <row r="1828">
          <cell r="B1828">
            <v>130201324</v>
          </cell>
          <cell r="C1828" t="str">
            <v>ESTUDIO EPIDEMIOLOGICO DE CASO. FORM. 510401-007-07-01</v>
          </cell>
          <cell r="D1828" t="str">
            <v>BLOCK</v>
          </cell>
        </row>
        <row r="1829">
          <cell r="B1829">
            <v>130201329</v>
          </cell>
          <cell r="C1829" t="str">
            <v>LISTADO DE INTERCAMBIO DE ALIMENTOS</v>
          </cell>
          <cell r="D1829" t="str">
            <v>BLOCK</v>
          </cell>
        </row>
        <row r="1830">
          <cell r="B1830">
            <v>130201330</v>
          </cell>
          <cell r="C1830" t="str">
            <v>SOLICITUD DE PRUEBAS DE TAMIZAJE : DENSIOMETRIA -MAMOGRAFIA</v>
          </cell>
          <cell r="D1830" t="str">
            <v>BLOCK</v>
          </cell>
        </row>
        <row r="1831">
          <cell r="B1831">
            <v>130201331</v>
          </cell>
          <cell r="C1831" t="str">
            <v>HOJA DE REFERENCIA Y RETORNO</v>
          </cell>
          <cell r="D1831" t="str">
            <v>BLOCK</v>
          </cell>
        </row>
        <row r="1832">
          <cell r="B1832">
            <v>130201332</v>
          </cell>
          <cell r="C1832" t="str">
            <v>HOJA DE INSCRIPCION DE PACIENTES EN EL CLIMATERIO,510401-03-01-04.</v>
          </cell>
          <cell r="D1832" t="str">
            <v>BLOCK</v>
          </cell>
        </row>
        <row r="1833">
          <cell r="B1833">
            <v>130201333</v>
          </cell>
          <cell r="C1833" t="str">
            <v>COMPONENTE DE SALUD MENTAL</v>
          </cell>
          <cell r="D1833" t="str">
            <v>BLOCK</v>
          </cell>
        </row>
        <row r="1834">
          <cell r="B1834">
            <v>130201334</v>
          </cell>
          <cell r="C1834" t="str">
            <v>PRUEBA DE RIESGOS DE DIABETES</v>
          </cell>
          <cell r="D1834" t="str">
            <v>BLOCK</v>
          </cell>
        </row>
        <row r="1835">
          <cell r="B1835">
            <v>130201336</v>
          </cell>
          <cell r="C1835" t="str">
            <v>PROTOCOLO DE CHEQUEO</v>
          </cell>
          <cell r="D1835" t="str">
            <v>BLOCK</v>
          </cell>
        </row>
        <row r="1836">
          <cell r="B1836">
            <v>130201337</v>
          </cell>
          <cell r="C1836" t="str">
            <v>TARJETA DE ATENCIÓN MATERNA</v>
          </cell>
          <cell r="D1836" t="str">
            <v>TARJE</v>
          </cell>
        </row>
        <row r="1837">
          <cell r="B1837">
            <v>130201338</v>
          </cell>
          <cell r="C1837" t="str">
            <v xml:space="preserve">HOJA DE IDENTIFICACION DEL PACIENTE </v>
          </cell>
          <cell r="D1837" t="str">
            <v>BLOCK</v>
          </cell>
        </row>
        <row r="1838">
          <cell r="B1838">
            <v>130201340</v>
          </cell>
          <cell r="C1838" t="str">
            <v>TABULADOR DIARIO DE ACTIVIDADES SERVICIOS DE PARA TRAT.</v>
          </cell>
          <cell r="D1838" t="str">
            <v>BLOCK</v>
          </cell>
        </row>
        <row r="1839">
          <cell r="B1839">
            <v>130201341</v>
          </cell>
          <cell r="C1839" t="str">
            <v>TABULADOR DIARIO DE ACTIVIDADES SUBPROGRAMA LA AT.MAT.</v>
          </cell>
          <cell r="D1839" t="str">
            <v>BLOCK</v>
          </cell>
        </row>
        <row r="1840">
          <cell r="B1840">
            <v>130201343</v>
          </cell>
          <cell r="C1840" t="str">
            <v>CRECIMIENTO DESAR. Y NUTRICION NIÑO DE 5 A 9 AÑOS</v>
          </cell>
          <cell r="D1840" t="str">
            <v>BLOCK</v>
          </cell>
        </row>
        <row r="1841">
          <cell r="B1841">
            <v>130201344</v>
          </cell>
          <cell r="C1841" t="str">
            <v>CRECIMIENTO DESAR. Y NUTRICION NIÑA DE 5 A 9 AÑOS</v>
          </cell>
          <cell r="D1841" t="str">
            <v>BLOCK</v>
          </cell>
        </row>
        <row r="1842">
          <cell r="B1842">
            <v>130201346</v>
          </cell>
          <cell r="C1842" t="str">
            <v>TABLAS DE PESO PARA NIÑA DE 5 A 9</v>
          </cell>
          <cell r="D1842" t="str">
            <v>BLOCK</v>
          </cell>
        </row>
        <row r="1843">
          <cell r="B1843">
            <v>130201347</v>
          </cell>
          <cell r="C1843" t="str">
            <v>EVALUACION DEL ESTADO NUT.SEGÚN MASA  CORP. HOMBRES 10-19</v>
          </cell>
          <cell r="D1843" t="str">
            <v>BLOCK</v>
          </cell>
        </row>
        <row r="1844">
          <cell r="B1844">
            <v>130201348</v>
          </cell>
          <cell r="C1844" t="str">
            <v>EVALUACION DEL ESTADO NUT.SEGÚN MASA  CORP MUJERES 10-19</v>
          </cell>
          <cell r="D1844" t="str">
            <v>BLOCK</v>
          </cell>
        </row>
        <row r="1845">
          <cell r="B1845">
            <v>130201355</v>
          </cell>
          <cell r="C1845" t="str">
            <v>HOJA DE CONTROL DE SUPLEMENTOS NUTRICIONAL</v>
          </cell>
          <cell r="D1845" t="str">
            <v>BLOCK</v>
          </cell>
        </row>
        <row r="1846">
          <cell r="B1846">
            <v>130201356</v>
          </cell>
          <cell r="C1846" t="str">
            <v xml:space="preserve">RENDIMIENTO REALIZADO  DE CONSULTA PEDIATRICA </v>
          </cell>
          <cell r="D1846" t="str">
            <v>BLOCK</v>
          </cell>
        </row>
        <row r="1847">
          <cell r="B1847">
            <v>130201357</v>
          </cell>
          <cell r="C1847" t="str">
            <v>RECETA MEDICA CONSULTA INTEGRAL ESPECIALIZADA  C.I.E.</v>
          </cell>
          <cell r="D1847" t="str">
            <v>BLOCK</v>
          </cell>
        </row>
        <row r="1848">
          <cell r="B1848">
            <v>130201358</v>
          </cell>
          <cell r="C1848" t="str">
            <v>LABORATORIO CLINICO HEMATOLOGIA CONSULTA C.I.E.</v>
          </cell>
          <cell r="D1848" t="str">
            <v>BLOCK</v>
          </cell>
        </row>
        <row r="1849">
          <cell r="B1849">
            <v>130201359</v>
          </cell>
          <cell r="C1849" t="str">
            <v>LABORATORIO CLINICO BACTERIOLOGIA DE TUBERCULOSIS  C.I.E.</v>
          </cell>
          <cell r="D1849" t="str">
            <v>BLOCK</v>
          </cell>
        </row>
        <row r="1850">
          <cell r="B1850">
            <v>130201361</v>
          </cell>
          <cell r="C1850" t="str">
            <v>LABORATORIO CLINICO INMUNOLOGIA C.I.E.</v>
          </cell>
          <cell r="D1850" t="str">
            <v>BLOCK</v>
          </cell>
        </row>
        <row r="1851">
          <cell r="B1851">
            <v>130201362</v>
          </cell>
          <cell r="C1851" t="str">
            <v>LABORATORIO CLINICO BACTERIOLOGIA  C.I.E.</v>
          </cell>
          <cell r="D1851" t="str">
            <v>BLOCK</v>
          </cell>
        </row>
        <row r="1852">
          <cell r="B1852">
            <v>130201363</v>
          </cell>
          <cell r="C1852" t="str">
            <v>SOLICITUD DE RESPUESTA DE EXAMEN RADIOLOGICO C.I.E.</v>
          </cell>
          <cell r="D1852" t="str">
            <v>BLOCK</v>
          </cell>
        </row>
        <row r="1853">
          <cell r="B1853">
            <v>130201364</v>
          </cell>
          <cell r="C1853" t="str">
            <v>LABORATORIO CLINICO DIVERSOS C.I.E.</v>
          </cell>
          <cell r="D1853" t="str">
            <v>BLOCK</v>
          </cell>
        </row>
        <row r="1854">
          <cell r="B1854">
            <v>130201365</v>
          </cell>
          <cell r="C1854" t="str">
            <v>LABORATORIO CLINICO QUIMICA SANGUINEA PRUEBA FUNCIONAL C.I.E.</v>
          </cell>
          <cell r="D1854" t="str">
            <v>BLOCK</v>
          </cell>
        </row>
        <row r="1855">
          <cell r="B1855">
            <v>130201366</v>
          </cell>
          <cell r="C1855" t="str">
            <v>LABORATORIO CLINICO HECES FECALES  C.I.E.</v>
          </cell>
          <cell r="D1855" t="str">
            <v>BLOCK</v>
          </cell>
        </row>
        <row r="1856">
          <cell r="B1856">
            <v>130201367</v>
          </cell>
          <cell r="C1856" t="str">
            <v>LABORATORIO CLINICO EXAMEN GENERAL DE ORINA C.I.E.</v>
          </cell>
          <cell r="D1856" t="str">
            <v>BLOCK</v>
          </cell>
        </row>
        <row r="1857">
          <cell r="B1857">
            <v>130201372</v>
          </cell>
          <cell r="C1857" t="str">
            <v>CONSTANCIA DE PERMANENCIA</v>
          </cell>
          <cell r="D1857" t="str">
            <v>BLOCK</v>
          </cell>
        </row>
        <row r="1858">
          <cell r="B1858">
            <v>130201380</v>
          </cell>
          <cell r="C1858" t="str">
            <v>RESUMEN DE AVISO DE ACCIDENTE DE TRABAJO</v>
          </cell>
          <cell r="D1858" t="str">
            <v>BLOCK</v>
          </cell>
        </row>
        <row r="1859">
          <cell r="B1859">
            <v>130201381</v>
          </cell>
          <cell r="C1859" t="str">
            <v>HOJA DE CONSULTA SUBSECUENTE DE ATENCION A LA MUJER EN CLIMATERIO</v>
          </cell>
          <cell r="D1859" t="str">
            <v>BLOCK</v>
          </cell>
        </row>
        <row r="1860">
          <cell r="B1860">
            <v>130201390</v>
          </cell>
          <cell r="C1860" t="str">
            <v>SOLICITUD ORDEN DE REPRODUCCION</v>
          </cell>
          <cell r="D1860" t="str">
            <v>BLOCK</v>
          </cell>
        </row>
        <row r="1861">
          <cell r="B1861">
            <v>130201395</v>
          </cell>
          <cell r="C1861" t="str">
            <v>DIARIO MICCIONAL SUBDIRECCION DE SALUD</v>
          </cell>
          <cell r="D1861" t="str">
            <v>BLOCK</v>
          </cell>
        </row>
        <row r="1862">
          <cell r="B1862">
            <v>130201396</v>
          </cell>
          <cell r="C1862" t="str">
            <v>SOLICITUD DE ANTIBIOTICOTERAPIA PREQUIRO</v>
          </cell>
          <cell r="D1862" t="str">
            <v>BLOCK</v>
          </cell>
        </row>
        <row r="1863">
          <cell r="B1863">
            <v>130201399</v>
          </cell>
          <cell r="C1863" t="str">
            <v>BITACORA PARA RECORRIDO DE VEHICULOS INSTITUCIONALES</v>
          </cell>
          <cell r="D1863" t="str">
            <v>BLOCK</v>
          </cell>
        </row>
        <row r="1864">
          <cell r="B1864">
            <v>130201400</v>
          </cell>
          <cell r="C1864" t="str">
            <v>TABLA CALCULO DEL INDICE D/MASA CORPORAL</v>
          </cell>
          <cell r="D1864" t="str">
            <v>BLOCK</v>
          </cell>
        </row>
        <row r="1865">
          <cell r="B1865">
            <v>130201402</v>
          </cell>
          <cell r="C1865" t="str">
            <v>CUESTIONARIO  PARA  LA  IDENTIFICACION  DE  CONSULTA DE  ALTO  RIESGO</v>
          </cell>
          <cell r="D1865" t="str">
            <v>BLOCK</v>
          </cell>
        </row>
        <row r="1866">
          <cell r="B1866">
            <v>130201404</v>
          </cell>
          <cell r="C1866" t="str">
            <v>CONSTANCIA DE  DERECHO P/LA AT. DE EMERG. P/PACIENTES EN CALIDAD DE CESANTES</v>
          </cell>
          <cell r="D1866" t="str">
            <v>BLOCK</v>
          </cell>
        </row>
        <row r="1867">
          <cell r="B1867">
            <v>130201405</v>
          </cell>
          <cell r="C1867" t="str">
            <v>SOLICITUD DE ATENCIÓN MEDICA P/TRABAJADORES CESANTES</v>
          </cell>
          <cell r="D1867" t="str">
            <v>BLOCK</v>
          </cell>
        </row>
        <row r="1868">
          <cell r="B1868">
            <v>130201410</v>
          </cell>
          <cell r="C1868" t="str">
            <v xml:space="preserve">CONSTANCIA DE  DERECHO PARA CITAS SUBSECUENTES </v>
          </cell>
          <cell r="D1868" t="str">
            <v>BLOCK</v>
          </cell>
        </row>
        <row r="1869">
          <cell r="B1869">
            <v>130201415</v>
          </cell>
          <cell r="C1869" t="str">
            <v>DIARIO DE CAMPO</v>
          </cell>
          <cell r="D1869" t="str">
            <v>BLOCK</v>
          </cell>
        </row>
        <row r="1870">
          <cell r="B1870">
            <v>130201416</v>
          </cell>
          <cell r="C1870" t="str">
            <v>CONSTANCIA P/RECLAMO DE VIATICO A DERECHO.</v>
          </cell>
          <cell r="D1870" t="str">
            <v>BLOCK</v>
          </cell>
        </row>
        <row r="1871">
          <cell r="B1871">
            <v>130201418</v>
          </cell>
          <cell r="C1871" t="str">
            <v>CARTILLA DE SALUD Y CITAS MEDICAS</v>
          </cell>
          <cell r="D1871" t="str">
            <v>BLOCK</v>
          </cell>
        </row>
        <row r="1872">
          <cell r="B1872">
            <v>130201427</v>
          </cell>
          <cell r="C1872" t="str">
            <v>INDICADORES DEL CLIMATERIO Y MENOPAUSIA</v>
          </cell>
          <cell r="D1872" t="str">
            <v>BLOCK</v>
          </cell>
        </row>
        <row r="1873">
          <cell r="B1873">
            <v>130201429</v>
          </cell>
          <cell r="C1873" t="str">
            <v>HOJA DE CONSULTA MEDICA Y NOTIFICACION DE EXPOSICION AL PLOMO</v>
          </cell>
          <cell r="D1873" t="str">
            <v>BLOCK</v>
          </cell>
        </row>
        <row r="1874">
          <cell r="B1874">
            <v>130201430</v>
          </cell>
          <cell r="C1874" t="str">
            <v>CUESTIONARIO  PARA  LA  EVALUACION FAMILIAR</v>
          </cell>
          <cell r="D1874" t="str">
            <v>BLOCK</v>
          </cell>
        </row>
        <row r="1875">
          <cell r="B1875">
            <v>130201437</v>
          </cell>
          <cell r="C1875" t="str">
            <v>GRAF.DE INDI DE MAS COR Y TAL NIÑAS 5-19</v>
          </cell>
          <cell r="D1875" t="str">
            <v>C/U</v>
          </cell>
        </row>
        <row r="1876">
          <cell r="B1876">
            <v>130201440</v>
          </cell>
          <cell r="C1876" t="str">
            <v>IDENTIFICACION GENERAL DE RIESGO ENFERMEDADES METABOLICAS</v>
          </cell>
          <cell r="D1876" t="str">
            <v>BLOCK</v>
          </cell>
        </row>
        <row r="1877">
          <cell r="B1877">
            <v>130201442</v>
          </cell>
          <cell r="C1877" t="str">
            <v>HOJA DE SEGUIMIENTO DE FACTOR DE RIESGO VASCULAR</v>
          </cell>
          <cell r="D1877" t="str">
            <v>BLOCK</v>
          </cell>
        </row>
        <row r="1878">
          <cell r="B1878">
            <v>130201450</v>
          </cell>
          <cell r="C1878" t="str">
            <v xml:space="preserve">HISTORIA CLINICA PSIQUIATRICA INICIAL </v>
          </cell>
          <cell r="D1878" t="str">
            <v>BLOCK</v>
          </cell>
        </row>
        <row r="1879">
          <cell r="B1879">
            <v>130201463</v>
          </cell>
          <cell r="C1879" t="str">
            <v>ETIQUETA "A" PARA MANEJO DE DESECHOS BIOINFECCIOSOS</v>
          </cell>
          <cell r="D1879" t="str">
            <v>BLOCK</v>
          </cell>
        </row>
        <row r="1880">
          <cell r="B1880">
            <v>130201466</v>
          </cell>
          <cell r="C1880" t="str">
            <v>SOLICITUD DE DONANTE DE SANGRE</v>
          </cell>
          <cell r="D1880" t="str">
            <v>BLOCK</v>
          </cell>
        </row>
        <row r="1881">
          <cell r="B1881">
            <v>130201470</v>
          </cell>
          <cell r="C1881" t="str">
            <v>GRAFICO DE CRECIMIENTO DE NIÑO DE 0-24 MESES</v>
          </cell>
          <cell r="D1881" t="str">
            <v>BLOCK</v>
          </cell>
        </row>
        <row r="1882">
          <cell r="B1882">
            <v>130201471</v>
          </cell>
          <cell r="C1882" t="str">
            <v>GRAFICO DE CRECIMIENTO DE NIÑO DE 2 A 5 AÑOS</v>
          </cell>
          <cell r="D1882" t="str">
            <v>BLOCK</v>
          </cell>
        </row>
        <row r="1883">
          <cell r="B1883">
            <v>130201472</v>
          </cell>
          <cell r="C1883" t="str">
            <v>GRAFICIO DE CRECIMIENTO DE NIÑA DE 0-24 MESES</v>
          </cell>
          <cell r="D1883" t="str">
            <v>BLOCK</v>
          </cell>
        </row>
        <row r="1884">
          <cell r="B1884">
            <v>130201473</v>
          </cell>
          <cell r="C1884" t="str">
            <v>GRAFICIO DE CRECIMIENTO DE NIÑA DE 2 A 5 AÑOS</v>
          </cell>
          <cell r="D1884" t="str">
            <v>BLOCK</v>
          </cell>
        </row>
        <row r="1885">
          <cell r="B1885">
            <v>130201492</v>
          </cell>
          <cell r="C1885" t="str">
            <v>RECETA PEDIATRICA REPETITIVA</v>
          </cell>
          <cell r="D1885" t="str">
            <v>BLOCK</v>
          </cell>
        </row>
        <row r="1886">
          <cell r="B1886">
            <v>130201503</v>
          </cell>
          <cell r="C1886" t="str">
            <v>HISTORIAL CLINICA PSICOLOGICA INICIAL</v>
          </cell>
          <cell r="D1886" t="str">
            <v>BLOCK</v>
          </cell>
        </row>
        <row r="1887">
          <cell r="B1887">
            <v>130201545</v>
          </cell>
          <cell r="C1887" t="str">
            <v>SOLICITUD PARA LA INVESTIGACION ESPECIFICA</v>
          </cell>
          <cell r="D1887" t="str">
            <v>BLOCK</v>
          </cell>
        </row>
        <row r="1888">
          <cell r="B1888">
            <v>130201546</v>
          </cell>
          <cell r="C1888" t="str">
            <v>REPORTE DE RECOMENDACIONES DE ACCIDENTE DE TRABAJO</v>
          </cell>
          <cell r="D1888" t="str">
            <v>BLOCK</v>
          </cell>
        </row>
        <row r="1889">
          <cell r="B1889">
            <v>130201553</v>
          </cell>
          <cell r="C1889" t="str">
            <v>VIÑETA PARA USO INTERNO COLOR AZUL</v>
          </cell>
          <cell r="D1889" t="str">
            <v>C/U</v>
          </cell>
        </row>
        <row r="1890">
          <cell r="B1890">
            <v>130201556</v>
          </cell>
          <cell r="C1890" t="str">
            <v>VIÑETA PARA USO INTERNO COLOR AZUL # 4</v>
          </cell>
          <cell r="D1890" t="str">
            <v>C/U</v>
          </cell>
        </row>
        <row r="1891">
          <cell r="B1891">
            <v>130201557</v>
          </cell>
          <cell r="C1891" t="str">
            <v>VIÑETA PARA USO INTERNO COLOR AZUL # 5</v>
          </cell>
          <cell r="D1891" t="str">
            <v>C/U</v>
          </cell>
        </row>
        <row r="1892">
          <cell r="B1892">
            <v>130201558</v>
          </cell>
          <cell r="C1892" t="str">
            <v>VIÑETA PARA USO INTERNO COLOR AZUL # 6</v>
          </cell>
          <cell r="D1892" t="str">
            <v>C/U</v>
          </cell>
        </row>
        <row r="1893">
          <cell r="B1893">
            <v>130201560</v>
          </cell>
          <cell r="C1893" t="str">
            <v>VIÑETA PARA USO EXTERNO COLOR ROJO # 1</v>
          </cell>
          <cell r="D1893" t="str">
            <v>C/U</v>
          </cell>
        </row>
        <row r="1894">
          <cell r="B1894">
            <v>130201561</v>
          </cell>
          <cell r="C1894" t="str">
            <v>VIÑETA PARA USO EXTERNO COLOR ROJO # 2</v>
          </cell>
          <cell r="D1894" t="str">
            <v>C/U</v>
          </cell>
        </row>
        <row r="1895">
          <cell r="B1895">
            <v>130201562</v>
          </cell>
          <cell r="C1895" t="str">
            <v>VIÑETA PARA USO EXTERNO COLOR ROJO # 3</v>
          </cell>
          <cell r="D1895" t="str">
            <v>C/U</v>
          </cell>
        </row>
        <row r="1896">
          <cell r="B1896">
            <v>130201571</v>
          </cell>
          <cell r="C1896" t="str">
            <v>CONTROL DE REFERENCIA Y RETORNO</v>
          </cell>
          <cell r="D1896" t="str">
            <v>BLOCK</v>
          </cell>
        </row>
        <row r="1897">
          <cell r="B1897">
            <v>130201625</v>
          </cell>
          <cell r="C1897" t="str">
            <v>CONTROL DE USO DE ANTIMICROBIANOS</v>
          </cell>
          <cell r="D1897" t="str">
            <v>UN</v>
          </cell>
        </row>
        <row r="1898">
          <cell r="B1898">
            <v>150101000</v>
          </cell>
          <cell r="C1898" t="str">
            <v>CAMISA TELA VERDE, DACRON ESCOTE V, L</v>
          </cell>
          <cell r="D1898" t="str">
            <v>C/U</v>
          </cell>
        </row>
        <row r="1899">
          <cell r="B1899">
            <v>150101001</v>
          </cell>
          <cell r="C1899" t="str">
            <v>CAMISA TELA VERDE, DACRON ESCOTE V, XL</v>
          </cell>
          <cell r="D1899" t="str">
            <v>C/U</v>
          </cell>
        </row>
        <row r="1900">
          <cell r="B1900">
            <v>150102000</v>
          </cell>
          <cell r="C1900" t="str">
            <v>BATA DE TELA TIPO OXFOR, TALLA L</v>
          </cell>
          <cell r="D1900" t="str">
            <v>C/U</v>
          </cell>
        </row>
        <row r="1901">
          <cell r="B1901">
            <v>150103000</v>
          </cell>
          <cell r="C1901" t="str">
            <v>PANTALON DE TELA VERDE, TIPO DACRON, L</v>
          </cell>
          <cell r="D1901" t="str">
            <v>C/U</v>
          </cell>
        </row>
        <row r="1902">
          <cell r="B1902">
            <v>150103001</v>
          </cell>
          <cell r="C1902" t="str">
            <v>PANTALON DE TELA VERDE, TIPO DACRON, XL</v>
          </cell>
          <cell r="D1902" t="str">
            <v>C/U</v>
          </cell>
        </row>
        <row r="1903">
          <cell r="B1903">
            <v>150106000</v>
          </cell>
          <cell r="C1903" t="str">
            <v>MEDIA SABANA DE MANTA VERDE, DOBLE UNA TELA</v>
          </cell>
          <cell r="D1903" t="str">
            <v>C/U</v>
          </cell>
        </row>
        <row r="1904">
          <cell r="B1904">
            <v>150106002</v>
          </cell>
          <cell r="C1904" t="str">
            <v>SABANA GINECOLOGICA DE MANTA</v>
          </cell>
          <cell r="D1904" t="str">
            <v>C/U</v>
          </cell>
        </row>
        <row r="1905">
          <cell r="B1905">
            <v>150106006</v>
          </cell>
          <cell r="C1905" t="str">
            <v>SABANA CORRIENTE DE TELA DE MANTA</v>
          </cell>
          <cell r="D1905" t="str">
            <v>C/U</v>
          </cell>
        </row>
        <row r="1906">
          <cell r="B1906">
            <v>150107000</v>
          </cell>
          <cell r="C1906" t="str">
            <v>GORRO PARA CIRUGIA DE MANTA VERDE</v>
          </cell>
          <cell r="D1906" t="str">
            <v>C/U</v>
          </cell>
        </row>
        <row r="1907">
          <cell r="B1907">
            <v>150108000</v>
          </cell>
          <cell r="C1907" t="str">
            <v>FUNDA PARA MESA MAYO DE MANTA</v>
          </cell>
          <cell r="D1907" t="str">
            <v>C/U</v>
          </cell>
        </row>
        <row r="1908">
          <cell r="B1908">
            <v>150112000</v>
          </cell>
          <cell r="C1908" t="str">
            <v>TOALLAS BLANCAS CON LOGO</v>
          </cell>
          <cell r="D1908" t="str">
            <v>C/U</v>
          </cell>
        </row>
        <row r="1909">
          <cell r="B1909">
            <v>150112001</v>
          </cell>
          <cell r="C1909" t="str">
            <v>TOALLA BLANCA CON LOGO DEL ISSS</v>
          </cell>
          <cell r="D1909" t="str">
            <v>C/U</v>
          </cell>
        </row>
        <row r="1910">
          <cell r="B1910">
            <v>150112002</v>
          </cell>
          <cell r="C1910" t="str">
            <v>TOALLA BLANCA CON LOGO DEL ISSS</v>
          </cell>
          <cell r="D1910" t="str">
            <v>C/U</v>
          </cell>
        </row>
        <row r="1911">
          <cell r="B1911">
            <v>150113000</v>
          </cell>
          <cell r="C1911" t="str">
            <v>GABACHON TELA MANTA BLANCA C ESTOCK L</v>
          </cell>
          <cell r="D1911" t="str">
            <v>C/U</v>
          </cell>
        </row>
        <row r="1912">
          <cell r="B1912">
            <v>150113001</v>
          </cell>
          <cell r="C1912" t="str">
            <v>GABACHON TELA MANTA BLANCA, C ESTOCK XL</v>
          </cell>
          <cell r="D1912" t="str">
            <v>C/U</v>
          </cell>
        </row>
        <row r="1913">
          <cell r="B1913">
            <v>150113002</v>
          </cell>
          <cell r="C1913" t="str">
            <v>GABACHON P/ CIRUJIA D/TELA VERDE DACRON L</v>
          </cell>
          <cell r="D1913" t="str">
            <v>C/U</v>
          </cell>
        </row>
        <row r="1914">
          <cell r="B1914">
            <v>150113003</v>
          </cell>
          <cell r="C1914" t="str">
            <v>GABACHON P/ CIRUJIA D/TELA VERDE DACRON XL</v>
          </cell>
          <cell r="D1914" t="str">
            <v>C/U</v>
          </cell>
        </row>
        <row r="1915">
          <cell r="B1915">
            <v>150113010</v>
          </cell>
          <cell r="C1915" t="str">
            <v>GABACHON P/ INFECTOS, TELA DRACRON GRIS L</v>
          </cell>
          <cell r="D1915" t="str">
            <v>C/U</v>
          </cell>
        </row>
        <row r="1916">
          <cell r="B1916">
            <v>150114000</v>
          </cell>
          <cell r="C1916" t="str">
            <v>CAMPO CORRIENTE DE MANTA VERDE DE 36X</v>
          </cell>
          <cell r="D1916" t="str">
            <v>C/U</v>
          </cell>
        </row>
        <row r="1917">
          <cell r="B1917">
            <v>150114002</v>
          </cell>
          <cell r="C1917" t="str">
            <v>CAMPO HENDIDO PARA OJOS DE MANTA</v>
          </cell>
          <cell r="D1917" t="str">
            <v>C/U</v>
          </cell>
        </row>
        <row r="1918">
          <cell r="B1918">
            <v>150114003</v>
          </cell>
          <cell r="C1918" t="str">
            <v>CAMPO HENDI. MANTA BLANCA O CRUDA 1 TELA</v>
          </cell>
          <cell r="D1918" t="str">
            <v>C/U</v>
          </cell>
        </row>
        <row r="1919">
          <cell r="B1919">
            <v>150114004</v>
          </cell>
          <cell r="C1919" t="str">
            <v>CAMPO HENDIDO DE MANTA VERDE, DE 32"X36"</v>
          </cell>
          <cell r="D1919" t="str">
            <v>C/U</v>
          </cell>
        </row>
        <row r="1920">
          <cell r="B1920">
            <v>150115000</v>
          </cell>
          <cell r="C1920" t="str">
            <v>CUBIERTA DE MANTA VERDE DE TELA 12"X12"</v>
          </cell>
          <cell r="D1920" t="str">
            <v>C/U</v>
          </cell>
        </row>
        <row r="1921">
          <cell r="B1921">
            <v>150115001</v>
          </cell>
          <cell r="C1921" t="str">
            <v>CUBIERTA DE MANTA VERDE DE TELA 16"X16"</v>
          </cell>
          <cell r="D1921" t="str">
            <v>C/U</v>
          </cell>
        </row>
        <row r="1922">
          <cell r="B1922">
            <v>150115002</v>
          </cell>
          <cell r="C1922" t="str">
            <v>CUBIERTA DE MANTA VERDE DE TELA 24"X24"</v>
          </cell>
          <cell r="D1922" t="str">
            <v>C/U</v>
          </cell>
        </row>
        <row r="1923">
          <cell r="B1923">
            <v>150115003</v>
          </cell>
          <cell r="C1923" t="str">
            <v>CUBIERTA DE MANTA VERDE DE TELA 32"X32"</v>
          </cell>
          <cell r="D1923" t="str">
            <v>C/U</v>
          </cell>
        </row>
        <row r="1924">
          <cell r="B1924">
            <v>150115005</v>
          </cell>
          <cell r="C1924" t="str">
            <v>CUBIERTA DE MANTA VERDE DE TELA 43½X43½</v>
          </cell>
          <cell r="D1924" t="str">
            <v>C/U</v>
          </cell>
        </row>
        <row r="1925">
          <cell r="B1925">
            <v>150115007</v>
          </cell>
          <cell r="C1925" t="str">
            <v>CUBIERTA TELA, MANTA BLANCA DE TELE 36X36</v>
          </cell>
          <cell r="D1925" t="str">
            <v>C/U</v>
          </cell>
        </row>
        <row r="1926">
          <cell r="B1926">
            <v>150121000</v>
          </cell>
          <cell r="C1926" t="str">
            <v>MANTILLA DE MANTA BLANCA DE 36"X36"</v>
          </cell>
          <cell r="D1926" t="str">
            <v>C/U</v>
          </cell>
        </row>
        <row r="1927">
          <cell r="B1927">
            <v>150123002</v>
          </cell>
          <cell r="C1927" t="str">
            <v>ZAPATERA BLANCA DE TELA DE MANTA</v>
          </cell>
          <cell r="D1927" t="str">
            <v>PAA</v>
          </cell>
        </row>
        <row r="1928">
          <cell r="B1928">
            <v>150123003</v>
          </cell>
          <cell r="C1928" t="str">
            <v>ZAPATERA VERDE DE TELA DE MANTA</v>
          </cell>
          <cell r="D1928" t="str">
            <v>PAA</v>
          </cell>
        </row>
        <row r="1929">
          <cell r="B1929">
            <v>159990047</v>
          </cell>
          <cell r="C1929" t="str">
            <v xml:space="preserve">BATA P/APACIENTE FEMENINO , DE MANTA </v>
          </cell>
          <cell r="D1929" t="str">
            <v>C/U</v>
          </cell>
        </row>
        <row r="1930">
          <cell r="B1930">
            <v>3500000</v>
          </cell>
          <cell r="C1930" t="str">
            <v>!!CODIGO ANTIGUO, VERIFICAR HOJA PRODUCTO!!</v>
          </cell>
          <cell r="D1930" t="str">
            <v>ERROR</v>
          </cell>
        </row>
        <row r="1931">
          <cell r="B1931">
            <v>3500001</v>
          </cell>
          <cell r="C1931" t="str">
            <v>!!CODIGO ANTIGUO, VERIFICAR HOJA PRODUCTO!!</v>
          </cell>
          <cell r="D1931" t="str">
            <v>ERROR</v>
          </cell>
        </row>
        <row r="1932">
          <cell r="B1932">
            <v>3500002</v>
          </cell>
          <cell r="C1932" t="str">
            <v>!!CODIGO ANTIGUO, VERIFICAR HOJA PRODUCTO!!</v>
          </cell>
          <cell r="D1932" t="str">
            <v>ERROR</v>
          </cell>
        </row>
        <row r="1933">
          <cell r="B1933">
            <v>3500003</v>
          </cell>
          <cell r="C1933" t="str">
            <v>!!CODIGO ANTIGUO, VERIFICAR HOJA PRODUCTO!!</v>
          </cell>
          <cell r="D1933" t="str">
            <v>ERROR</v>
          </cell>
        </row>
        <row r="1934">
          <cell r="B1934">
            <v>3500004</v>
          </cell>
          <cell r="C1934" t="str">
            <v>!!CODIGO ANTIGUO, VERIFICAR HOJA PRODUCTO!!</v>
          </cell>
          <cell r="D1934" t="str">
            <v>ERROR</v>
          </cell>
        </row>
        <row r="1935">
          <cell r="B1935">
            <v>3500005</v>
          </cell>
          <cell r="C1935" t="str">
            <v>!!CODIGO ANTIGUO, VERIFICAR HOJA PRODUCTO!!</v>
          </cell>
          <cell r="D1935" t="str">
            <v>ERROR</v>
          </cell>
        </row>
        <row r="1936">
          <cell r="B1936">
            <v>3500006</v>
          </cell>
          <cell r="C1936" t="str">
            <v>!!CODIGO ANTIGUO, VERIFICAR HOJA PRODUCTO!!</v>
          </cell>
          <cell r="D1936" t="str">
            <v>ERROR</v>
          </cell>
        </row>
        <row r="1937">
          <cell r="B1937">
            <v>3500007</v>
          </cell>
          <cell r="C1937" t="str">
            <v>!!CODIGO ANTIGUO, VERIFICAR HOJA PRODUCTO!!</v>
          </cell>
          <cell r="D1937" t="str">
            <v>ERROR</v>
          </cell>
        </row>
        <row r="1938">
          <cell r="B1938">
            <v>3500008</v>
          </cell>
          <cell r="C1938" t="str">
            <v>!!CODIGO ANTIGUO, VERIFICAR HOJA PRODUCTO!!</v>
          </cell>
          <cell r="D1938" t="str">
            <v>ERROR</v>
          </cell>
        </row>
        <row r="1939">
          <cell r="B1939">
            <v>3500009</v>
          </cell>
          <cell r="C1939" t="str">
            <v>!!CODIGO ANTIGUO, VERIFICAR HOJA PRODUCTO!!</v>
          </cell>
          <cell r="D1939" t="str">
            <v>ERROR</v>
          </cell>
        </row>
        <row r="1940">
          <cell r="B1940">
            <v>3500010</v>
          </cell>
          <cell r="C1940" t="str">
            <v>!!CODIGO ANTIGUO, VERIFICAR HOJA PRODUCTO!!</v>
          </cell>
          <cell r="D1940" t="str">
            <v>ERROR</v>
          </cell>
        </row>
        <row r="1941">
          <cell r="B1941">
            <v>3500011</v>
          </cell>
          <cell r="C1941" t="str">
            <v>!!CODIGO ANTIGUO, VERIFICAR HOJA PRODUCTO!!</v>
          </cell>
          <cell r="D1941" t="str">
            <v>ERROR</v>
          </cell>
        </row>
        <row r="1942">
          <cell r="B1942">
            <v>3500013</v>
          </cell>
          <cell r="C1942" t="str">
            <v>!!CODIGO ANTIGUO, VERIFICAR HOJA PRODUCTO!!</v>
          </cell>
          <cell r="D1942" t="str">
            <v>ERROR</v>
          </cell>
        </row>
        <row r="1943">
          <cell r="B1943">
            <v>3500014</v>
          </cell>
          <cell r="C1943" t="str">
            <v>!!CODIGO ANTIGUO, VERIFICAR HOJA PRODUCTO!!</v>
          </cell>
          <cell r="D1943" t="str">
            <v>ERROR</v>
          </cell>
        </row>
        <row r="1944">
          <cell r="B1944">
            <v>3500015</v>
          </cell>
          <cell r="C1944" t="str">
            <v>!!CODIGO ANTIGUO, VERIFICAR HOJA PRODUCTO!!</v>
          </cell>
          <cell r="D1944" t="str">
            <v>ERROR</v>
          </cell>
        </row>
        <row r="1945">
          <cell r="B1945">
            <v>3500016</v>
          </cell>
          <cell r="C1945" t="str">
            <v>!!CODIGO ANTIGUO, VERIFICAR HOJA PRODUCTO!!</v>
          </cell>
          <cell r="D1945" t="str">
            <v>ERROR</v>
          </cell>
        </row>
        <row r="1946">
          <cell r="B1946">
            <v>3500017</v>
          </cell>
          <cell r="C1946" t="str">
            <v>!!CODIGO ANTIGUO, VERIFICAR HOJA PRODUCTO!!</v>
          </cell>
          <cell r="D1946" t="str">
            <v>ERROR</v>
          </cell>
        </row>
        <row r="1947">
          <cell r="B1947">
            <v>3500019</v>
          </cell>
          <cell r="C1947" t="str">
            <v>!!CODIGO ANTIGUO, VERIFICAR HOJA PRODUCTO!!</v>
          </cell>
          <cell r="D1947" t="str">
            <v>ERROR</v>
          </cell>
        </row>
        <row r="1948">
          <cell r="B1948">
            <v>2320030</v>
          </cell>
          <cell r="C1948" t="str">
            <v>!!CODIGO ANTIGUO, VERIFICAR HOJA PRODUCTO!!</v>
          </cell>
          <cell r="D1948" t="str">
            <v>ERROR</v>
          </cell>
        </row>
        <row r="1949">
          <cell r="B1949">
            <v>3500021</v>
          </cell>
          <cell r="C1949" t="str">
            <v>!!CODIGO ANTIGUO, VERIFICAR HOJA PRODUCTO!!</v>
          </cell>
          <cell r="D1949" t="str">
            <v>ERROR</v>
          </cell>
        </row>
        <row r="1950">
          <cell r="B1950">
            <v>3500022</v>
          </cell>
          <cell r="C1950" t="str">
            <v>!!CODIGO ANTIGUO, VERIFICAR HOJA PRODUCTO!!</v>
          </cell>
          <cell r="D1950" t="str">
            <v>ERROR</v>
          </cell>
        </row>
        <row r="1951">
          <cell r="B1951">
            <v>3500023</v>
          </cell>
          <cell r="C1951" t="str">
            <v>!!CODIGO ANTIGUO, VERIFICAR HOJA PRODUCTO!!</v>
          </cell>
          <cell r="D1951" t="str">
            <v>ERROR</v>
          </cell>
        </row>
        <row r="1952">
          <cell r="B1952">
            <v>3500024</v>
          </cell>
          <cell r="C1952" t="str">
            <v>!!CODIGO ANTIGUO, VERIFICAR HOJA PRODUCTO!!</v>
          </cell>
          <cell r="D1952" t="str">
            <v>ERROR</v>
          </cell>
        </row>
        <row r="1953">
          <cell r="B1953">
            <v>3500025</v>
          </cell>
          <cell r="C1953" t="str">
            <v>!!CODIGO ANTIGUO, VERIFICAR HOJA PRODUCTO!!</v>
          </cell>
          <cell r="D1953" t="str">
            <v>ERROR</v>
          </cell>
        </row>
        <row r="1954">
          <cell r="B1954">
            <v>3500026</v>
          </cell>
          <cell r="C1954" t="str">
            <v>!!CODIGO ANTIGUO, VERIFICAR HOJA PRODUCTO!!</v>
          </cell>
          <cell r="D1954" t="str">
            <v>ERROR</v>
          </cell>
        </row>
        <row r="1955">
          <cell r="B1955">
            <v>3500028</v>
          </cell>
          <cell r="C1955" t="str">
            <v>!!CODIGO ANTIGUO, VERIFICAR HOJA PRODUCTO!!</v>
          </cell>
          <cell r="D1955" t="str">
            <v>ERROR</v>
          </cell>
        </row>
        <row r="1956">
          <cell r="B1956">
            <v>3500029</v>
          </cell>
          <cell r="C1956" t="str">
            <v>!!CODIGO ANTIGUO, VERIFICAR HOJA PRODUCTO!!</v>
          </cell>
          <cell r="D1956" t="str">
            <v>ERROR</v>
          </cell>
        </row>
        <row r="1957">
          <cell r="B1957">
            <v>3500030</v>
          </cell>
          <cell r="C1957" t="str">
            <v>!!CODIGO ANTIGUO, VERIFICAR HOJA PRODUCTO!!</v>
          </cell>
          <cell r="D1957" t="str">
            <v>ERROR</v>
          </cell>
        </row>
        <row r="1958">
          <cell r="B1958">
            <v>3500031</v>
          </cell>
          <cell r="C1958" t="str">
            <v>!!CODIGO ANTIGUO, VERIFICAR HOJA PRODUCTO!!</v>
          </cell>
          <cell r="D1958" t="str">
            <v>ERROR</v>
          </cell>
        </row>
        <row r="1959">
          <cell r="B1959">
            <v>3500033</v>
          </cell>
          <cell r="C1959" t="str">
            <v>!!CODIGO ANTIGUO, VERIFICAR HOJA PRODUCTO!!</v>
          </cell>
          <cell r="D1959" t="str">
            <v>ERROR</v>
          </cell>
        </row>
        <row r="1960">
          <cell r="B1960">
            <v>3500034</v>
          </cell>
          <cell r="C1960" t="str">
            <v>!!CODIGO ANTIGUO, VERIFICAR HOJA PRODUCTO!!</v>
          </cell>
          <cell r="D1960" t="str">
            <v>ERROR</v>
          </cell>
        </row>
        <row r="1961">
          <cell r="B1961">
            <v>3500036</v>
          </cell>
          <cell r="C1961" t="str">
            <v>!!CODIGO ANTIGUO, VERIFICAR HOJA PRODUCTO!!</v>
          </cell>
          <cell r="D1961" t="str">
            <v>ERROR</v>
          </cell>
        </row>
        <row r="1962">
          <cell r="B1962">
            <v>3500037</v>
          </cell>
          <cell r="C1962" t="str">
            <v>!!CODIGO ANTIGUO, VERIFICAR HOJA PRODUCTO!!</v>
          </cell>
          <cell r="D1962" t="str">
            <v>ERROR</v>
          </cell>
        </row>
        <row r="1963">
          <cell r="B1963">
            <v>3500038</v>
          </cell>
          <cell r="C1963" t="str">
            <v>!!CODIGO ANTIGUO, VERIFICAR HOJA PRODUCTO!!</v>
          </cell>
          <cell r="D1963" t="str">
            <v>ERROR</v>
          </cell>
        </row>
        <row r="1964">
          <cell r="B1964">
            <v>3500039</v>
          </cell>
          <cell r="C1964" t="str">
            <v>!!CODIGO ANTIGUO, VERIFICAR HOJA PRODUCTO!!</v>
          </cell>
          <cell r="D1964" t="str">
            <v>ERROR</v>
          </cell>
        </row>
        <row r="1965">
          <cell r="B1965">
            <v>3500040</v>
          </cell>
          <cell r="C1965" t="str">
            <v>!!CODIGO ANTIGUO, VERIFICAR HOJA PRODUCTO!!</v>
          </cell>
          <cell r="D1965" t="str">
            <v>ERROR</v>
          </cell>
        </row>
        <row r="1966">
          <cell r="B1966">
            <v>3500041</v>
          </cell>
          <cell r="C1966" t="str">
            <v>!!CODIGO ANTIGUO, VERIFICAR HOJA PRODUCTO!!</v>
          </cell>
          <cell r="D1966" t="str">
            <v>ERROR</v>
          </cell>
        </row>
        <row r="1967">
          <cell r="B1967">
            <v>3500042</v>
          </cell>
          <cell r="C1967" t="str">
            <v>!!CODIGO ANTIGUO, VERIFICAR HOJA PRODUCTO!!</v>
          </cell>
          <cell r="D1967" t="str">
            <v>ERROR</v>
          </cell>
        </row>
        <row r="1968">
          <cell r="B1968">
            <v>3500043</v>
          </cell>
          <cell r="C1968" t="str">
            <v>!!CODIGO ANTIGUO, VERIFICAR HOJA PRODUCTO!!</v>
          </cell>
          <cell r="D1968" t="str">
            <v>ERROR</v>
          </cell>
        </row>
        <row r="1969">
          <cell r="B1969">
            <v>3500044</v>
          </cell>
          <cell r="C1969" t="str">
            <v>!!CODIGO ANTIGUO, VERIFICAR HOJA PRODUCTO!!</v>
          </cell>
          <cell r="D1969" t="str">
            <v>ERROR</v>
          </cell>
        </row>
        <row r="1970">
          <cell r="B1970">
            <v>3500045</v>
          </cell>
          <cell r="C1970" t="str">
            <v>!!CODIGO ANTIGUO, VERIFICAR HOJA PRODUCTO!!</v>
          </cell>
          <cell r="D1970" t="str">
            <v>ERROR</v>
          </cell>
        </row>
        <row r="1971">
          <cell r="B1971">
            <v>3500046</v>
          </cell>
          <cell r="C1971" t="str">
            <v>!!CODIGO ANTIGUO, VERIFICAR HOJA PRODUCTO!!</v>
          </cell>
          <cell r="D1971" t="str">
            <v>ERROR</v>
          </cell>
        </row>
        <row r="1972">
          <cell r="B1972">
            <v>3500047</v>
          </cell>
          <cell r="C1972" t="str">
            <v>!!CODIGO ANTIGUO, VERIFICAR HOJA PRODUCTO!!</v>
          </cell>
          <cell r="D1972" t="str">
            <v>ERROR</v>
          </cell>
        </row>
        <row r="1973">
          <cell r="B1973">
            <v>3500048</v>
          </cell>
          <cell r="C1973" t="str">
            <v>!!CODIGO ANTIGUO, VERIFICAR HOJA PRODUCTO!!</v>
          </cell>
          <cell r="D1973" t="str">
            <v>ERROR</v>
          </cell>
        </row>
        <row r="1974">
          <cell r="B1974">
            <v>3500049</v>
          </cell>
          <cell r="C1974" t="str">
            <v>!!CODIGO ANTIGUO, VERIFICAR HOJA PRODUCTO!!</v>
          </cell>
          <cell r="D1974" t="str">
            <v>ERROR</v>
          </cell>
        </row>
        <row r="1975">
          <cell r="B1975">
            <v>3500050</v>
          </cell>
          <cell r="C1975" t="str">
            <v>!!CODIGO ANTIGUO, VERIFICAR HOJA PRODUCTO!!</v>
          </cell>
          <cell r="D1975" t="str">
            <v>ERROR</v>
          </cell>
        </row>
        <row r="1976">
          <cell r="B1976">
            <v>3500051</v>
          </cell>
          <cell r="C1976" t="str">
            <v>!!CODIGO ANTIGUO, VERIFICAR HOJA PRODUCTO!!</v>
          </cell>
          <cell r="D1976" t="str">
            <v>ERROR</v>
          </cell>
        </row>
        <row r="1977">
          <cell r="B1977">
            <v>3500052</v>
          </cell>
          <cell r="C1977" t="str">
            <v>!!CODIGO ANTIGUO, VERIFICAR HOJA PRODUCTO!!</v>
          </cell>
          <cell r="D1977" t="str">
            <v>ERROR</v>
          </cell>
        </row>
        <row r="1978">
          <cell r="B1978">
            <v>3500053</v>
          </cell>
          <cell r="C1978" t="str">
            <v>!!CODIGO ANTIGUO, VERIFICAR HOJA PRODUCTO!!</v>
          </cell>
          <cell r="D1978" t="str">
            <v>ERROR</v>
          </cell>
        </row>
        <row r="1979">
          <cell r="B1979">
            <v>3500054</v>
          </cell>
          <cell r="C1979" t="str">
            <v>!!CODIGO ANTIGUO, VERIFICAR HOJA PRODUCTO!!</v>
          </cell>
          <cell r="D1979" t="str">
            <v>ERROR</v>
          </cell>
        </row>
        <row r="1980">
          <cell r="B1980">
            <v>3500055</v>
          </cell>
          <cell r="C1980" t="str">
            <v>!!CODIGO ANTIGUO, VERIFICAR HOJA PRODUCTO!!</v>
          </cell>
          <cell r="D1980" t="str">
            <v>ERROR</v>
          </cell>
        </row>
        <row r="1981">
          <cell r="B1981">
            <v>3500056</v>
          </cell>
          <cell r="C1981" t="str">
            <v>!!CODIGO ANTIGUO, VERIFICAR HOJA PRODUCTO!!</v>
          </cell>
          <cell r="D1981" t="str">
            <v>ERROR</v>
          </cell>
        </row>
        <row r="1982">
          <cell r="B1982">
            <v>3500057</v>
          </cell>
          <cell r="C1982" t="str">
            <v>!!CODIGO ANTIGUO, VERIFICAR HOJA PRODUCTO!!</v>
          </cell>
          <cell r="D1982" t="str">
            <v>ERROR</v>
          </cell>
        </row>
        <row r="1983">
          <cell r="B1983">
            <v>3500058</v>
          </cell>
          <cell r="C1983" t="str">
            <v>!!CODIGO ANTIGUO, VERIFICAR HOJA PRODUCTO!!</v>
          </cell>
          <cell r="D1983" t="str">
            <v>ERROR</v>
          </cell>
        </row>
        <row r="1984">
          <cell r="B1984">
            <v>3500065</v>
          </cell>
          <cell r="C1984" t="str">
            <v>!!CODIGO ANTIGUO, VERIFICAR HOJA PRODUCTO!!</v>
          </cell>
          <cell r="D1984" t="str">
            <v>ERROR</v>
          </cell>
        </row>
        <row r="1985">
          <cell r="B1985">
            <v>3500066</v>
          </cell>
          <cell r="C1985" t="str">
            <v>!!CODIGO ANTIGUO, VERIFICAR HOJA PRODUCTO!!</v>
          </cell>
          <cell r="D1985" t="str">
            <v>ERROR</v>
          </cell>
        </row>
        <row r="1986">
          <cell r="B1986">
            <v>3500067</v>
          </cell>
          <cell r="C1986" t="str">
            <v>!!CODIGO ANTIGUO, VERIFICAR HOJA PRODUCTO!!</v>
          </cell>
          <cell r="D1986" t="str">
            <v>ERROR</v>
          </cell>
        </row>
        <row r="1987">
          <cell r="B1987">
            <v>3500068</v>
          </cell>
          <cell r="C1987" t="str">
            <v>!!CODIGO ANTIGUO, VERIFICAR HOJA PRODUCTO!!</v>
          </cell>
          <cell r="D1987" t="str">
            <v>ERROR</v>
          </cell>
        </row>
        <row r="1988">
          <cell r="B1988">
            <v>3500070</v>
          </cell>
          <cell r="C1988" t="str">
            <v>!!CODIGO ANTIGUO, VERIFICAR HOJA PRODUCTO!!</v>
          </cell>
          <cell r="D1988" t="str">
            <v>ERROR</v>
          </cell>
        </row>
        <row r="1989">
          <cell r="B1989">
            <v>3500071</v>
          </cell>
          <cell r="C1989" t="str">
            <v>!!CODIGO ANTIGUO, VERIFICAR HOJA PRODUCTO!!</v>
          </cell>
          <cell r="D1989" t="str">
            <v>ERROR</v>
          </cell>
        </row>
        <row r="1990">
          <cell r="B1990">
            <v>3500072</v>
          </cell>
          <cell r="C1990" t="str">
            <v>!!CODIGO ANTIGUO, VERIFICAR HOJA PRODUCTO!!</v>
          </cell>
          <cell r="D1990" t="str">
            <v>ERROR</v>
          </cell>
        </row>
        <row r="1991">
          <cell r="B1991">
            <v>3500073</v>
          </cell>
          <cell r="C1991" t="str">
            <v>!!CODIGO ANTIGUO, VERIFICAR HOJA PRODUCTO!!</v>
          </cell>
          <cell r="D1991" t="str">
            <v>ERROR</v>
          </cell>
        </row>
        <row r="1992">
          <cell r="B1992">
            <v>3500074</v>
          </cell>
          <cell r="C1992" t="str">
            <v>!!CODIGO ANTIGUO, VERIFICAR HOJA PRODUCTO!!</v>
          </cell>
          <cell r="D1992" t="str">
            <v>ERROR</v>
          </cell>
        </row>
        <row r="1993">
          <cell r="B1993">
            <v>3500075</v>
          </cell>
          <cell r="C1993" t="str">
            <v>!!CODIGO ANTIGUO, VERIFICAR HOJA PRODUCTO!!</v>
          </cell>
          <cell r="D1993" t="str">
            <v>ERROR</v>
          </cell>
        </row>
        <row r="1994">
          <cell r="B1994">
            <v>3500076</v>
          </cell>
          <cell r="C1994" t="str">
            <v>!!CODIGO ANTIGUO, VERIFICAR HOJA PRODUCTO!!</v>
          </cell>
          <cell r="D1994" t="str">
            <v>ERROR</v>
          </cell>
        </row>
        <row r="1995">
          <cell r="B1995">
            <v>3500077</v>
          </cell>
          <cell r="C1995" t="str">
            <v>!!CODIGO ANTIGUO, VERIFICAR HOJA PRODUCTO!!</v>
          </cell>
          <cell r="D1995" t="str">
            <v>ERROR</v>
          </cell>
        </row>
        <row r="1996">
          <cell r="B1996">
            <v>3500078</v>
          </cell>
          <cell r="C1996" t="str">
            <v>!!CODIGO ANTIGUO, VERIFICAR HOJA PRODUCTO!!</v>
          </cell>
          <cell r="D1996" t="str">
            <v>ERROR</v>
          </cell>
        </row>
        <row r="1997">
          <cell r="B1997">
            <v>3500079</v>
          </cell>
          <cell r="C1997" t="str">
            <v>!!CODIGO ANTIGUO, VERIFICAR HOJA PRODUCTO!!</v>
          </cell>
          <cell r="D1997" t="str">
            <v>ERROR</v>
          </cell>
        </row>
        <row r="1998">
          <cell r="B1998">
            <v>3500080</v>
          </cell>
          <cell r="C1998" t="str">
            <v>!!CODIGO ANTIGUO, VERIFICAR HOJA PRODUCTO!!</v>
          </cell>
          <cell r="D1998" t="str">
            <v>ERROR</v>
          </cell>
        </row>
        <row r="1999">
          <cell r="B1999">
            <v>3500081</v>
          </cell>
          <cell r="C1999" t="str">
            <v>!!CODIGO ANTIGUO, VERIFICAR HOJA PRODUCTO!!</v>
          </cell>
          <cell r="D1999" t="str">
            <v>ERROR</v>
          </cell>
        </row>
        <row r="2000">
          <cell r="B2000">
            <v>3500082</v>
          </cell>
          <cell r="C2000" t="str">
            <v>!!CODIGO ANTIGUO, VERIFICAR HOJA PRODUCTO!!</v>
          </cell>
          <cell r="D2000" t="str">
            <v>ERROR</v>
          </cell>
        </row>
        <row r="2001">
          <cell r="B2001">
            <v>3500083</v>
          </cell>
          <cell r="C2001" t="str">
            <v>!!CODIGO ANTIGUO, VERIFICAR HOJA PRODUCTO!!</v>
          </cell>
          <cell r="D2001" t="str">
            <v>ERROR</v>
          </cell>
        </row>
        <row r="2002">
          <cell r="B2002">
            <v>3500084</v>
          </cell>
          <cell r="C2002" t="str">
            <v>!!CODIGO ANTIGUO, VERIFICAR HOJA PRODUCTO!!</v>
          </cell>
          <cell r="D2002" t="str">
            <v>ERROR</v>
          </cell>
        </row>
        <row r="2003">
          <cell r="B2003">
            <v>3500085</v>
          </cell>
          <cell r="C2003" t="str">
            <v>!!CODIGO ANTIGUO, VERIFICAR HOJA PRODUCTO!!</v>
          </cell>
          <cell r="D2003" t="str">
            <v>ERROR</v>
          </cell>
        </row>
        <row r="2004">
          <cell r="B2004">
            <v>3500090</v>
          </cell>
          <cell r="C2004" t="str">
            <v>!!CODIGO ANTIGUO, VERIFICAR HOJA PRODUCTO!!</v>
          </cell>
          <cell r="D2004" t="str">
            <v>ERROR</v>
          </cell>
        </row>
        <row r="2005">
          <cell r="B2005">
            <v>3501000</v>
          </cell>
          <cell r="C2005" t="str">
            <v>!!CODIGO ANTIGUO, VERIFICAR HOJA PRODUCTO!!</v>
          </cell>
          <cell r="D2005" t="str">
            <v>ERROR</v>
          </cell>
        </row>
        <row r="2006">
          <cell r="B2006">
            <v>3501001</v>
          </cell>
          <cell r="C2006" t="str">
            <v>!!CODIGO ANTIGUO, VERIFICAR HOJA PRODUCTO!!</v>
          </cell>
          <cell r="D2006" t="str">
            <v>ERROR</v>
          </cell>
        </row>
        <row r="2007">
          <cell r="B2007">
            <v>3501002</v>
          </cell>
          <cell r="C2007" t="str">
            <v>!!CODIGO ANTIGUO, VERIFICAR HOJA PRODUCTO!!</v>
          </cell>
          <cell r="D2007" t="str">
            <v>ERROR</v>
          </cell>
        </row>
        <row r="2008">
          <cell r="B2008">
            <v>3501003</v>
          </cell>
          <cell r="C2008" t="str">
            <v>!!CODIGO ANTIGUO, VERIFICAR HOJA PRODUCTO!!</v>
          </cell>
          <cell r="D2008" t="str">
            <v>ERROR</v>
          </cell>
        </row>
        <row r="2009">
          <cell r="B2009">
            <v>3501004</v>
          </cell>
          <cell r="C2009" t="str">
            <v>!!CODIGO ANTIGUO, VERIFICAR HOJA PRODUCTO!!</v>
          </cell>
          <cell r="D2009" t="str">
            <v>ERROR</v>
          </cell>
        </row>
        <row r="2010">
          <cell r="B2010">
            <v>3501005</v>
          </cell>
          <cell r="C2010" t="str">
            <v>!!CODIGO ANTIGUO, VERIFICAR HOJA PRODUCTO!!</v>
          </cell>
          <cell r="D2010" t="str">
            <v>ERROR</v>
          </cell>
        </row>
        <row r="2011">
          <cell r="B2011">
            <v>3501006</v>
          </cell>
          <cell r="C2011" t="str">
            <v>!!CODIGO ANTIGUO, VERIFICAR HOJA PRODUCTO!!</v>
          </cell>
          <cell r="D2011" t="str">
            <v>ERROR</v>
          </cell>
        </row>
        <row r="2012">
          <cell r="B2012">
            <v>3501007</v>
          </cell>
          <cell r="C2012" t="str">
            <v>!!CODIGO ANTIGUO, VERIFICAR HOJA PRODUCTO!!</v>
          </cell>
          <cell r="D2012" t="str">
            <v>ERROR</v>
          </cell>
        </row>
        <row r="2013">
          <cell r="B2013">
            <v>3501008</v>
          </cell>
          <cell r="C2013" t="str">
            <v>!!CODIGO ANTIGUO, VERIFICAR HOJA PRODUCTO!!</v>
          </cell>
          <cell r="D2013" t="str">
            <v>ERROR</v>
          </cell>
        </row>
        <row r="2014">
          <cell r="B2014">
            <v>3501009</v>
          </cell>
          <cell r="C2014" t="str">
            <v>!!CODIGO ANTIGUO, VERIFICAR HOJA PRODUCTO!!</v>
          </cell>
          <cell r="D2014" t="str">
            <v>ERROR</v>
          </cell>
        </row>
        <row r="2015">
          <cell r="B2015">
            <v>3501010</v>
          </cell>
          <cell r="C2015" t="str">
            <v>!!CODIGO ANTIGUO, VERIFICAR HOJA PRODUCTO!!</v>
          </cell>
          <cell r="D2015" t="str">
            <v>ERROR</v>
          </cell>
        </row>
        <row r="2016">
          <cell r="B2016">
            <v>3501011</v>
          </cell>
          <cell r="C2016" t="str">
            <v>!!CODIGO ANTIGUO, VERIFICAR HOJA PRODUCTO!!</v>
          </cell>
          <cell r="D2016" t="str">
            <v>ERROR</v>
          </cell>
        </row>
        <row r="2017">
          <cell r="B2017">
            <v>3501012</v>
          </cell>
          <cell r="C2017" t="str">
            <v>!!CODIGO ANTIGUO, VERIFICAR HOJA PRODUCTO!!</v>
          </cell>
          <cell r="D2017" t="str">
            <v>ERROR</v>
          </cell>
        </row>
        <row r="2018">
          <cell r="B2018">
            <v>3501013</v>
          </cell>
          <cell r="C2018" t="str">
            <v>!!CODIGO ANTIGUO, VERIFICAR HOJA PRODUCTO!!</v>
          </cell>
          <cell r="D2018" t="str">
            <v>ERROR</v>
          </cell>
        </row>
        <row r="2019">
          <cell r="B2019">
            <v>3501014</v>
          </cell>
          <cell r="C2019" t="str">
            <v>!!CODIGO ANTIGUO, VERIFICAR HOJA PRODUCTO!!</v>
          </cell>
          <cell r="D2019" t="str">
            <v>ERROR</v>
          </cell>
        </row>
        <row r="2020">
          <cell r="B2020">
            <v>3501016</v>
          </cell>
          <cell r="C2020" t="str">
            <v>!!CODIGO ANTIGUO, VERIFICAR HOJA PRODUCTO!!</v>
          </cell>
          <cell r="D2020" t="str">
            <v>ERROR</v>
          </cell>
        </row>
        <row r="2021">
          <cell r="B2021">
            <v>3501017</v>
          </cell>
          <cell r="C2021" t="str">
            <v>!!CODIGO ANTIGUO, VERIFICAR HOJA PRODUCTO!!</v>
          </cell>
          <cell r="D2021" t="str">
            <v>ERROR</v>
          </cell>
        </row>
        <row r="2022">
          <cell r="B2022">
            <v>3501029</v>
          </cell>
          <cell r="C2022" t="str">
            <v>!!CODIGO ANTIGUO, VERIFICAR HOJA PRODUCTO!!</v>
          </cell>
          <cell r="D2022" t="str">
            <v>ERROR</v>
          </cell>
        </row>
        <row r="2023">
          <cell r="B2023">
            <v>3501030</v>
          </cell>
          <cell r="C2023" t="str">
            <v>!!CODIGO ANTIGUO, VERIFICAR HOJA PRODUCTO!!</v>
          </cell>
          <cell r="D2023" t="str">
            <v>ERROR</v>
          </cell>
        </row>
        <row r="2024">
          <cell r="B2024">
            <v>3501031</v>
          </cell>
          <cell r="C2024" t="str">
            <v>!!CODIGO ANTIGUO, VERIFICAR HOJA PRODUCTO!!</v>
          </cell>
          <cell r="D2024" t="str">
            <v>ERROR</v>
          </cell>
        </row>
        <row r="2025">
          <cell r="B2025">
            <v>3501032</v>
          </cell>
          <cell r="C2025" t="str">
            <v>!!CODIGO ANTIGUO, VERIFICAR HOJA PRODUCTO!!</v>
          </cell>
          <cell r="D2025" t="str">
            <v>ERROR</v>
          </cell>
        </row>
        <row r="2026">
          <cell r="B2026">
            <v>3501033</v>
          </cell>
          <cell r="C2026" t="str">
            <v>!!CODIGO ANTIGUO, VERIFICAR HOJA PRODUCTO!!</v>
          </cell>
          <cell r="D2026" t="str">
            <v>ERROR</v>
          </cell>
        </row>
        <row r="2027">
          <cell r="B2027">
            <v>3501034</v>
          </cell>
          <cell r="C2027" t="str">
            <v>!!CODIGO ANTIGUO, VERIFICAR HOJA PRODUCTO!!</v>
          </cell>
          <cell r="D2027" t="str">
            <v>ERROR</v>
          </cell>
        </row>
        <row r="2028">
          <cell r="B2028">
            <v>3501035</v>
          </cell>
          <cell r="C2028" t="str">
            <v>!!CODIGO ANTIGUO, VERIFICAR HOJA PRODUCTO!!</v>
          </cell>
          <cell r="D2028" t="str">
            <v>ERROR</v>
          </cell>
        </row>
        <row r="2029">
          <cell r="B2029">
            <v>3501036</v>
          </cell>
          <cell r="C2029" t="str">
            <v>!!CODIGO ANTIGUO, VERIFICAR HOJA PRODUCTO!!</v>
          </cell>
          <cell r="D2029" t="str">
            <v>ERROR</v>
          </cell>
        </row>
        <row r="2030">
          <cell r="B2030">
            <v>3501037</v>
          </cell>
          <cell r="C2030" t="str">
            <v>!!CODIGO ANTIGUO, VERIFICAR HOJA PRODUCTO!!</v>
          </cell>
          <cell r="D2030" t="str">
            <v>ERROR</v>
          </cell>
        </row>
        <row r="2031">
          <cell r="B2031">
            <v>3501038</v>
          </cell>
          <cell r="C2031" t="str">
            <v>!!CODIGO ANTIGUO, VERIFICAR HOJA PRODUCTO!!</v>
          </cell>
          <cell r="D2031" t="str">
            <v>ERROR</v>
          </cell>
        </row>
        <row r="2032">
          <cell r="B2032">
            <v>3501039</v>
          </cell>
          <cell r="C2032" t="str">
            <v>!!CODIGO ANTIGUO, VERIFICAR HOJA PRODUCTO!!</v>
          </cell>
          <cell r="D2032" t="str">
            <v>ERROR</v>
          </cell>
        </row>
        <row r="2033">
          <cell r="B2033">
            <v>3501040</v>
          </cell>
          <cell r="C2033" t="str">
            <v>!!CODIGO ANTIGUO, VERIFICAR HOJA PRODUCTO!!</v>
          </cell>
          <cell r="D2033" t="str">
            <v>ERROR</v>
          </cell>
        </row>
        <row r="2034">
          <cell r="B2034">
            <v>3501042</v>
          </cell>
          <cell r="C2034" t="str">
            <v>!!CODIGO ANTIGUO, VERIFICAR HOJA PRODUCTO!!</v>
          </cell>
          <cell r="D2034" t="str">
            <v>ERROR</v>
          </cell>
        </row>
        <row r="2035">
          <cell r="B2035">
            <v>3501043</v>
          </cell>
          <cell r="C2035" t="str">
            <v>!!CODIGO ANTIGUO, VERIFICAR HOJA PRODUCTO!!</v>
          </cell>
          <cell r="D2035" t="str">
            <v>ERROR</v>
          </cell>
        </row>
        <row r="2036">
          <cell r="B2036">
            <v>3501044</v>
          </cell>
          <cell r="C2036" t="str">
            <v>!!CODIGO ANTIGUO, VERIFICAR HOJA PRODUCTO!!</v>
          </cell>
          <cell r="D2036" t="str">
            <v>ERROR</v>
          </cell>
        </row>
        <row r="2037">
          <cell r="B2037">
            <v>3501045</v>
          </cell>
          <cell r="C2037" t="str">
            <v>!!CODIGO ANTIGUO, VERIFICAR HOJA PRODUCTO!!</v>
          </cell>
          <cell r="D2037" t="str">
            <v>ERROR</v>
          </cell>
        </row>
        <row r="2038">
          <cell r="B2038">
            <v>3501046</v>
          </cell>
          <cell r="C2038" t="str">
            <v>!!CODIGO ANTIGUO, VERIFICAR HOJA PRODUCTO!!</v>
          </cell>
          <cell r="D2038" t="str">
            <v>ERROR</v>
          </cell>
        </row>
        <row r="2039">
          <cell r="B2039">
            <v>3501047</v>
          </cell>
          <cell r="C2039" t="str">
            <v>!!CODIGO ANTIGUO, VERIFICAR HOJA PRODUCTO!!</v>
          </cell>
          <cell r="D2039" t="str">
            <v>ERROR</v>
          </cell>
        </row>
        <row r="2040">
          <cell r="B2040">
            <v>3501051</v>
          </cell>
          <cell r="C2040" t="str">
            <v>!!CODIGO ANTIGUO, VERIFICAR HOJA PRODUCTO!!</v>
          </cell>
          <cell r="D2040" t="str">
            <v>ERROR</v>
          </cell>
        </row>
        <row r="2041">
          <cell r="B2041">
            <v>3501052</v>
          </cell>
          <cell r="C2041" t="str">
            <v>!!CODIGO ANTIGUO, VERIFICAR HOJA PRODUCTO!!</v>
          </cell>
          <cell r="D2041" t="str">
            <v>ERROR</v>
          </cell>
        </row>
        <row r="2042">
          <cell r="B2042">
            <v>3501053</v>
          </cell>
          <cell r="C2042" t="str">
            <v>!!CODIGO ANTIGUO, VERIFICAR HOJA PRODUCTO!!</v>
          </cell>
          <cell r="D2042" t="str">
            <v>ERROR</v>
          </cell>
        </row>
        <row r="2043">
          <cell r="B2043">
            <v>3501054</v>
          </cell>
          <cell r="C2043" t="str">
            <v>!!CODIGO ANTIGUO, VERIFICAR HOJA PRODUCTO!!</v>
          </cell>
          <cell r="D2043" t="str">
            <v>ERROR</v>
          </cell>
        </row>
        <row r="2044">
          <cell r="B2044">
            <v>3501055</v>
          </cell>
          <cell r="C2044" t="str">
            <v>!!CODIGO ANTIGUO, VERIFICAR HOJA PRODUCTO!!</v>
          </cell>
          <cell r="D2044" t="str">
            <v>ERROR</v>
          </cell>
        </row>
        <row r="2045">
          <cell r="B2045">
            <v>3501056</v>
          </cell>
          <cell r="C2045" t="str">
            <v>!!CODIGO ANTIGUO, VERIFICAR HOJA PRODUCTO!!</v>
          </cell>
          <cell r="D2045" t="str">
            <v>ERROR</v>
          </cell>
        </row>
        <row r="2046">
          <cell r="B2046">
            <v>3501057</v>
          </cell>
          <cell r="C2046" t="str">
            <v>!!CODIGO ANTIGUO, VERIFICAR HOJA PRODUCTO!!</v>
          </cell>
          <cell r="D2046" t="str">
            <v>ERROR</v>
          </cell>
        </row>
        <row r="2047">
          <cell r="B2047">
            <v>3501058</v>
          </cell>
          <cell r="C2047" t="str">
            <v>!!CODIGO ANTIGUO, VERIFICAR HOJA PRODUCTO!!</v>
          </cell>
          <cell r="D2047" t="str">
            <v>ERROR</v>
          </cell>
        </row>
        <row r="2048">
          <cell r="B2048">
            <v>3501060</v>
          </cell>
          <cell r="C2048" t="str">
            <v>!!CODIGO ANTIGUO, VERIFICAR HOJA PRODUCTO!!</v>
          </cell>
          <cell r="D2048" t="str">
            <v>ERROR</v>
          </cell>
        </row>
        <row r="2049">
          <cell r="B2049">
            <v>3501061</v>
          </cell>
          <cell r="C2049" t="str">
            <v>!!CODIGO ANTIGUO, VERIFICAR HOJA PRODUCTO!!</v>
          </cell>
          <cell r="D2049" t="str">
            <v>ERROR</v>
          </cell>
        </row>
        <row r="2050">
          <cell r="B2050">
            <v>3501064</v>
          </cell>
          <cell r="C2050" t="str">
            <v>!!CODIGO ANTIGUO, VERIFICAR HOJA PRODUCTO!!</v>
          </cell>
          <cell r="D2050" t="str">
            <v>ERROR</v>
          </cell>
        </row>
        <row r="2051">
          <cell r="B2051">
            <v>3501066</v>
          </cell>
          <cell r="C2051" t="str">
            <v>!!CODIGO ANTIGUO, VERIFICAR HOJA PRODUCTO!!</v>
          </cell>
          <cell r="D2051" t="str">
            <v>ERROR</v>
          </cell>
        </row>
        <row r="2052">
          <cell r="B2052">
            <v>3501068</v>
          </cell>
          <cell r="C2052" t="str">
            <v>!!CODIGO ANTIGUO, VERIFICAR HOJA PRODUCTO!!</v>
          </cell>
          <cell r="D2052" t="str">
            <v>ERROR</v>
          </cell>
        </row>
        <row r="2053">
          <cell r="B2053">
            <v>3501069</v>
          </cell>
          <cell r="C2053" t="str">
            <v>!!CODIGO ANTIGUO, VERIFICAR HOJA PRODUCTO!!</v>
          </cell>
          <cell r="D2053" t="str">
            <v>ERROR</v>
          </cell>
        </row>
        <row r="2054">
          <cell r="B2054">
            <v>3501070</v>
          </cell>
          <cell r="C2054" t="str">
            <v>!!CODIGO ANTIGUO, VERIFICAR HOJA PRODUCTO!!</v>
          </cell>
          <cell r="D2054" t="str">
            <v>ERROR</v>
          </cell>
        </row>
        <row r="2055">
          <cell r="B2055">
            <v>3501072</v>
          </cell>
          <cell r="C2055" t="str">
            <v>!!CODIGO ANTIGUO, VERIFICAR HOJA PRODUCTO!!</v>
          </cell>
          <cell r="D2055" t="str">
            <v>ERROR</v>
          </cell>
        </row>
        <row r="2056">
          <cell r="B2056">
            <v>3501073</v>
          </cell>
          <cell r="C2056" t="str">
            <v>!!CODIGO ANTIGUO, VERIFICAR HOJA PRODUCTO!!</v>
          </cell>
          <cell r="D2056" t="str">
            <v>ERROR</v>
          </cell>
        </row>
        <row r="2057">
          <cell r="B2057">
            <v>3501074</v>
          </cell>
          <cell r="C2057" t="str">
            <v>!!CODIGO ANTIGUO, VERIFICAR HOJA PRODUCTO!!</v>
          </cell>
          <cell r="D2057" t="str">
            <v>ERROR</v>
          </cell>
        </row>
        <row r="2058">
          <cell r="B2058">
            <v>3501075</v>
          </cell>
          <cell r="C2058" t="str">
            <v>!!CODIGO ANTIGUO, VERIFICAR HOJA PRODUCTO!!</v>
          </cell>
          <cell r="D2058" t="str">
            <v>ERROR</v>
          </cell>
        </row>
        <row r="2059">
          <cell r="B2059">
            <v>3501076</v>
          </cell>
          <cell r="C2059" t="str">
            <v>!!CODIGO ANTIGUO, VERIFICAR HOJA PRODUCTO!!</v>
          </cell>
          <cell r="D2059" t="str">
            <v>ERROR</v>
          </cell>
        </row>
        <row r="2060">
          <cell r="B2060">
            <v>3501077</v>
          </cell>
          <cell r="C2060" t="str">
            <v>!!CODIGO ANTIGUO, VERIFICAR HOJA PRODUCTO!!</v>
          </cell>
          <cell r="D2060" t="str">
            <v>ERROR</v>
          </cell>
        </row>
        <row r="2061">
          <cell r="B2061">
            <v>3501078</v>
          </cell>
          <cell r="C2061" t="str">
            <v>!!CODIGO ANTIGUO, VERIFICAR HOJA PRODUCTO!!</v>
          </cell>
          <cell r="D2061" t="str">
            <v>ERROR</v>
          </cell>
        </row>
        <row r="2062">
          <cell r="B2062">
            <v>3501079</v>
          </cell>
          <cell r="C2062" t="str">
            <v>!!CODIGO ANTIGUO, VERIFICAR HOJA PRODUCTO!!</v>
          </cell>
          <cell r="D2062" t="str">
            <v>ERROR</v>
          </cell>
        </row>
        <row r="2063">
          <cell r="B2063">
            <v>3501080</v>
          </cell>
          <cell r="C2063" t="str">
            <v>!!CODIGO ANTIGUO, VERIFICAR HOJA PRODUCTO!!</v>
          </cell>
          <cell r="D2063" t="str">
            <v>ERROR</v>
          </cell>
        </row>
        <row r="2064">
          <cell r="B2064">
            <v>3501081</v>
          </cell>
          <cell r="C2064" t="str">
            <v>!!CODIGO ANTIGUO, VERIFICAR HOJA PRODUCTO!!</v>
          </cell>
          <cell r="D2064" t="str">
            <v>ERROR</v>
          </cell>
        </row>
        <row r="2065">
          <cell r="B2065">
            <v>3600000</v>
          </cell>
          <cell r="C2065" t="str">
            <v>!!CODIGO ANTIGUO, VERIFICAR HOJA PRODUCTO!!</v>
          </cell>
          <cell r="D2065" t="str">
            <v>ERROR</v>
          </cell>
        </row>
        <row r="2066">
          <cell r="B2066">
            <v>3600002</v>
          </cell>
          <cell r="C2066" t="str">
            <v>!!CODIGO ANTIGUO, VERIFICAR HOJA PRODUCTO!!</v>
          </cell>
          <cell r="D2066" t="str">
            <v>ERROR</v>
          </cell>
        </row>
        <row r="2067">
          <cell r="B2067">
            <v>3600003</v>
          </cell>
          <cell r="C2067" t="str">
            <v>!!CODIGO ANTIGUO, VERIFICAR HOJA PRODUCTO!!</v>
          </cell>
          <cell r="D2067" t="str">
            <v>ERROR</v>
          </cell>
        </row>
        <row r="2068">
          <cell r="B2068">
            <v>3600004</v>
          </cell>
          <cell r="C2068" t="str">
            <v>!!CODIGO ANTIGUO, VERIFICAR HOJA PRODUCTO!!</v>
          </cell>
          <cell r="D2068" t="str">
            <v>ERROR</v>
          </cell>
        </row>
        <row r="2069">
          <cell r="B2069">
            <v>3600005</v>
          </cell>
          <cell r="C2069" t="str">
            <v>!!CODIGO ANTIGUO, VERIFICAR HOJA PRODUCTO!!</v>
          </cell>
          <cell r="D2069" t="str">
            <v>ERROR</v>
          </cell>
        </row>
        <row r="2070">
          <cell r="B2070">
            <v>3600006</v>
          </cell>
          <cell r="C2070" t="str">
            <v>!!CODIGO ANTIGUO, VERIFICAR HOJA PRODUCTO!!</v>
          </cell>
          <cell r="D2070" t="str">
            <v>ERROR</v>
          </cell>
        </row>
        <row r="2071">
          <cell r="B2071">
            <v>3600007</v>
          </cell>
          <cell r="C2071" t="str">
            <v>!!CODIGO ANTIGUO, VERIFICAR HOJA PRODUCTO!!</v>
          </cell>
          <cell r="D2071" t="str">
            <v>ERROR</v>
          </cell>
        </row>
        <row r="2072">
          <cell r="B2072">
            <v>3600008</v>
          </cell>
          <cell r="C2072" t="str">
            <v>!!CODIGO ANTIGUO, VERIFICAR HOJA PRODUCTO!!</v>
          </cell>
          <cell r="D2072" t="str">
            <v>ERROR</v>
          </cell>
        </row>
        <row r="2073">
          <cell r="B2073">
            <v>3600009</v>
          </cell>
          <cell r="C2073" t="str">
            <v>!!CODIGO ANTIGUO, VERIFICAR HOJA PRODUCTO!!</v>
          </cell>
          <cell r="D2073" t="str">
            <v>ERROR</v>
          </cell>
        </row>
        <row r="2074">
          <cell r="B2074">
            <v>3600010</v>
          </cell>
          <cell r="C2074" t="str">
            <v>!!CODIGO ANTIGUO, VERIFICAR HOJA PRODUCTO!!</v>
          </cell>
          <cell r="D2074" t="str">
            <v>ERROR</v>
          </cell>
        </row>
        <row r="2075">
          <cell r="B2075">
            <v>3600012</v>
          </cell>
          <cell r="C2075" t="str">
            <v>!!CODIGO ANTIGUO, VERIFICAR HOJA PRODUCTO!!</v>
          </cell>
          <cell r="D2075" t="str">
            <v>ERROR</v>
          </cell>
        </row>
        <row r="2076">
          <cell r="B2076">
            <v>3600013</v>
          </cell>
          <cell r="C2076" t="str">
            <v>!!CODIGO ANTIGUO, VERIFICAR HOJA PRODUCTO!!</v>
          </cell>
          <cell r="D2076" t="str">
            <v>ERROR</v>
          </cell>
        </row>
        <row r="2077">
          <cell r="B2077">
            <v>3600014</v>
          </cell>
          <cell r="C2077" t="str">
            <v>!!CODIGO ANTIGUO, VERIFICAR HOJA PRODUCTO!!</v>
          </cell>
          <cell r="D2077" t="str">
            <v>ERROR</v>
          </cell>
        </row>
        <row r="2078">
          <cell r="B2078">
            <v>3600015</v>
          </cell>
          <cell r="C2078" t="str">
            <v>!!CODIGO ANTIGUO, VERIFICAR HOJA PRODUCTO!!</v>
          </cell>
          <cell r="D2078" t="str">
            <v>ERROR</v>
          </cell>
        </row>
        <row r="2079">
          <cell r="B2079">
            <v>3600016</v>
          </cell>
          <cell r="C2079" t="str">
            <v>!!CODIGO ANTIGUO, VERIFICAR HOJA PRODUCTO!!</v>
          </cell>
          <cell r="D2079" t="str">
            <v>ERROR</v>
          </cell>
        </row>
        <row r="2080">
          <cell r="B2080">
            <v>3600017</v>
          </cell>
          <cell r="C2080" t="str">
            <v>!!CODIGO ANTIGUO, VERIFICAR HOJA PRODUCTO!!</v>
          </cell>
          <cell r="D2080" t="str">
            <v>ERROR</v>
          </cell>
        </row>
        <row r="2081">
          <cell r="B2081">
            <v>3600018</v>
          </cell>
          <cell r="C2081" t="str">
            <v>!!CODIGO ANTIGUO, VERIFICAR HOJA PRODUCTO!!</v>
          </cell>
          <cell r="D2081" t="str">
            <v>ERROR</v>
          </cell>
        </row>
        <row r="2082">
          <cell r="B2082">
            <v>3600019</v>
          </cell>
          <cell r="C2082" t="str">
            <v>!!CODIGO ANTIGUO, VERIFICAR HOJA PRODUCTO!!</v>
          </cell>
          <cell r="D2082" t="str">
            <v>ERROR</v>
          </cell>
        </row>
        <row r="2083">
          <cell r="B2083">
            <v>3600020</v>
          </cell>
          <cell r="C2083" t="str">
            <v>!!CODIGO ANTIGUO, VERIFICAR HOJA PRODUCTO!!</v>
          </cell>
          <cell r="D2083" t="str">
            <v>ERROR</v>
          </cell>
        </row>
        <row r="2084">
          <cell r="B2084">
            <v>3600021</v>
          </cell>
          <cell r="C2084" t="str">
            <v>!!CODIGO ANTIGUO, VERIFICAR HOJA PRODUCTO!!</v>
          </cell>
          <cell r="D2084" t="str">
            <v>ERROR</v>
          </cell>
        </row>
        <row r="2085">
          <cell r="B2085">
            <v>3600022</v>
          </cell>
          <cell r="C2085" t="str">
            <v>!!CODIGO ANTIGUO, VERIFICAR HOJA PRODUCTO!!</v>
          </cell>
          <cell r="D2085" t="str">
            <v>ERROR</v>
          </cell>
        </row>
        <row r="2086">
          <cell r="B2086">
            <v>3600023</v>
          </cell>
          <cell r="C2086" t="str">
            <v>!!CODIGO ANTIGUO, VERIFICAR HOJA PRODUCTO!!</v>
          </cell>
          <cell r="D2086" t="str">
            <v>ERROR</v>
          </cell>
        </row>
        <row r="2087">
          <cell r="B2087">
            <v>3600024</v>
          </cell>
          <cell r="C2087" t="str">
            <v>!!CODIGO ANTIGUO, VERIFICAR HOJA PRODUCTO!!</v>
          </cell>
          <cell r="D2087" t="str">
            <v>ERROR</v>
          </cell>
        </row>
        <row r="2088">
          <cell r="B2088">
            <v>3600026</v>
          </cell>
          <cell r="C2088" t="str">
            <v>!!CODIGO ANTIGUO, VERIFICAR HOJA PRODUCTO!!</v>
          </cell>
          <cell r="D2088" t="str">
            <v>ERROR</v>
          </cell>
        </row>
        <row r="2089">
          <cell r="B2089">
            <v>3600027</v>
          </cell>
          <cell r="C2089" t="str">
            <v>!!CODIGO ANTIGUO, VERIFICAR HOJA PRODUCTO!!</v>
          </cell>
          <cell r="D2089" t="str">
            <v>ERROR</v>
          </cell>
        </row>
        <row r="2090">
          <cell r="B2090">
            <v>3600028</v>
          </cell>
          <cell r="C2090" t="str">
            <v>!!CODIGO ANTIGUO, VERIFICAR HOJA PRODUCTO!!</v>
          </cell>
          <cell r="D2090" t="str">
            <v>ERROR</v>
          </cell>
        </row>
        <row r="2091">
          <cell r="B2091">
            <v>3600029</v>
          </cell>
          <cell r="C2091" t="str">
            <v>!!CODIGO ANTIGUO, VERIFICAR HOJA PRODUCTO!!</v>
          </cell>
          <cell r="D2091" t="str">
            <v>ERROR</v>
          </cell>
        </row>
        <row r="2092">
          <cell r="B2092">
            <v>3600030</v>
          </cell>
          <cell r="C2092" t="str">
            <v>!!CODIGO ANTIGUO, VERIFICAR HOJA PRODUCTO!!</v>
          </cell>
          <cell r="D2092" t="str">
            <v>ERROR</v>
          </cell>
        </row>
        <row r="2093">
          <cell r="B2093">
            <v>3600031</v>
          </cell>
          <cell r="C2093" t="str">
            <v>!!CODIGO ANTIGUO, VERIFICAR HOJA PRODUCTO!!</v>
          </cell>
          <cell r="D2093" t="str">
            <v>ERROR</v>
          </cell>
        </row>
        <row r="2094">
          <cell r="B2094">
            <v>3600032</v>
          </cell>
          <cell r="C2094" t="str">
            <v>!!CODIGO ANTIGUO, VERIFICAR HOJA PRODUCTO!!</v>
          </cell>
          <cell r="D2094" t="str">
            <v>ERROR</v>
          </cell>
        </row>
        <row r="2095">
          <cell r="B2095">
            <v>3600033</v>
          </cell>
          <cell r="C2095" t="str">
            <v>!!CODIGO ANTIGUO, VERIFICAR HOJA PRODUCTO!!</v>
          </cell>
          <cell r="D2095" t="str">
            <v>ERROR</v>
          </cell>
        </row>
        <row r="2096">
          <cell r="B2096">
            <v>3600034</v>
          </cell>
          <cell r="C2096" t="str">
            <v>!!CODIGO ANTIGUO, VERIFICAR HOJA PRODUCTO!!</v>
          </cell>
          <cell r="D2096" t="str">
            <v>ERROR</v>
          </cell>
        </row>
        <row r="2097">
          <cell r="B2097">
            <v>3600035</v>
          </cell>
          <cell r="C2097" t="str">
            <v>!!CODIGO ANTIGUO, VERIFICAR HOJA PRODUCTO!!</v>
          </cell>
          <cell r="D2097" t="str">
            <v>ERROR</v>
          </cell>
        </row>
        <row r="2098">
          <cell r="B2098">
            <v>3600037</v>
          </cell>
          <cell r="C2098" t="str">
            <v>!!CODIGO ANTIGUO, VERIFICAR HOJA PRODUCTO!!</v>
          </cell>
          <cell r="D2098" t="str">
            <v>ERROR</v>
          </cell>
        </row>
        <row r="2099">
          <cell r="B2099">
            <v>3600038</v>
          </cell>
          <cell r="C2099" t="str">
            <v>!!CODIGO ANTIGUO, VERIFICAR HOJA PRODUCTO!!</v>
          </cell>
          <cell r="D2099" t="str">
            <v>ERROR</v>
          </cell>
        </row>
        <row r="2100">
          <cell r="B2100">
            <v>3600041</v>
          </cell>
          <cell r="C2100" t="str">
            <v>!!CODIGO ANTIGUO, VERIFICAR HOJA PRODUCTO!!</v>
          </cell>
          <cell r="D2100" t="str">
            <v>ERROR</v>
          </cell>
        </row>
        <row r="2101">
          <cell r="B2101">
            <v>3600042</v>
          </cell>
          <cell r="C2101" t="str">
            <v>!!CODIGO ANTIGUO, VERIFICAR HOJA PRODUCTO!!</v>
          </cell>
          <cell r="D2101" t="str">
            <v>ERROR</v>
          </cell>
        </row>
        <row r="2102">
          <cell r="B2102">
            <v>3600043</v>
          </cell>
          <cell r="C2102" t="str">
            <v>!!CODIGO ANTIGUO, VERIFICAR HOJA PRODUCTO!!</v>
          </cell>
          <cell r="D2102" t="str">
            <v>ERROR</v>
          </cell>
        </row>
        <row r="2103">
          <cell r="B2103">
            <v>3600044</v>
          </cell>
          <cell r="C2103" t="str">
            <v>!!CODIGO ANTIGUO, VERIFICAR HOJA PRODUCTO!!</v>
          </cell>
          <cell r="D2103" t="str">
            <v>ERROR</v>
          </cell>
        </row>
        <row r="2104">
          <cell r="B2104">
            <v>3600045</v>
          </cell>
          <cell r="C2104" t="str">
            <v>!!CODIGO ANTIGUO, VERIFICAR HOJA PRODUCTO!!</v>
          </cell>
          <cell r="D2104" t="str">
            <v>ERROR</v>
          </cell>
        </row>
        <row r="2105">
          <cell r="B2105">
            <v>3600046</v>
          </cell>
          <cell r="C2105" t="str">
            <v>!!CODIGO ANTIGUO, VERIFICAR HOJA PRODUCTO!!</v>
          </cell>
          <cell r="D2105" t="str">
            <v>ERROR</v>
          </cell>
        </row>
        <row r="2106">
          <cell r="B2106">
            <v>3600047</v>
          </cell>
          <cell r="C2106" t="str">
            <v>!!CODIGO ANTIGUO, VERIFICAR HOJA PRODUCTO!!</v>
          </cell>
          <cell r="D2106" t="str">
            <v>ERROR</v>
          </cell>
        </row>
        <row r="2107">
          <cell r="B2107">
            <v>3600048</v>
          </cell>
          <cell r="C2107" t="str">
            <v>!!CODIGO ANTIGUO, VERIFICAR HOJA PRODUCTO!!</v>
          </cell>
          <cell r="D2107" t="str">
            <v>ERROR</v>
          </cell>
        </row>
        <row r="2108">
          <cell r="B2108">
            <v>3600049</v>
          </cell>
          <cell r="C2108" t="str">
            <v>!!CODIGO ANTIGUO, VERIFICAR HOJA PRODUCTO!!</v>
          </cell>
          <cell r="D2108" t="str">
            <v>ERROR</v>
          </cell>
        </row>
        <row r="2109">
          <cell r="B2109">
            <v>3600050</v>
          </cell>
          <cell r="C2109" t="str">
            <v>!!CODIGO ANTIGUO, VERIFICAR HOJA PRODUCTO!!</v>
          </cell>
          <cell r="D2109" t="str">
            <v>ERROR</v>
          </cell>
        </row>
        <row r="2110">
          <cell r="B2110">
            <v>3600051</v>
          </cell>
          <cell r="C2110" t="str">
            <v>!!CODIGO ANTIGUO, VERIFICAR HOJA PRODUCTO!!</v>
          </cell>
          <cell r="D2110" t="str">
            <v>ERROR</v>
          </cell>
        </row>
        <row r="2111">
          <cell r="B2111">
            <v>3600052</v>
          </cell>
          <cell r="C2111" t="str">
            <v>!!CODIGO ANTIGUO, VERIFICAR HOJA PRODUCTO!!</v>
          </cell>
          <cell r="D2111" t="str">
            <v>ERROR</v>
          </cell>
        </row>
        <row r="2112">
          <cell r="B2112">
            <v>3600053</v>
          </cell>
          <cell r="C2112" t="str">
            <v>!!CODIGO ANTIGUO, VERIFICAR HOJA PRODUCTO!!</v>
          </cell>
          <cell r="D2112" t="str">
            <v>ERROR</v>
          </cell>
        </row>
        <row r="2113">
          <cell r="B2113">
            <v>3600054</v>
          </cell>
          <cell r="C2113" t="str">
            <v>!!CODIGO ANTIGUO, VERIFICAR HOJA PRODUCTO!!</v>
          </cell>
          <cell r="D2113" t="str">
            <v>ERROR</v>
          </cell>
        </row>
        <row r="2114">
          <cell r="B2114">
            <v>3600055</v>
          </cell>
          <cell r="C2114" t="str">
            <v>!!CODIGO ANTIGUO, VERIFICAR HOJA PRODUCTO!!</v>
          </cell>
          <cell r="D2114" t="str">
            <v>ERROR</v>
          </cell>
        </row>
        <row r="2115">
          <cell r="B2115">
            <v>3600056</v>
          </cell>
          <cell r="C2115" t="str">
            <v>!!CODIGO ANTIGUO, VERIFICAR HOJA PRODUCTO!!</v>
          </cell>
          <cell r="D2115" t="str">
            <v>ERROR</v>
          </cell>
        </row>
        <row r="2116">
          <cell r="B2116">
            <v>3600057</v>
          </cell>
          <cell r="C2116" t="str">
            <v>!!CODIGO ANTIGUO, VERIFICAR HOJA PRODUCTO!!</v>
          </cell>
          <cell r="D2116" t="str">
            <v>ERROR</v>
          </cell>
        </row>
        <row r="2117">
          <cell r="B2117">
            <v>3600058</v>
          </cell>
          <cell r="C2117" t="str">
            <v>!!CODIGO ANTIGUO, VERIFICAR HOJA PRODUCTO!!</v>
          </cell>
          <cell r="D2117" t="str">
            <v>ERROR</v>
          </cell>
        </row>
        <row r="2118">
          <cell r="B2118">
            <v>3600061</v>
          </cell>
          <cell r="C2118" t="str">
            <v>!!CODIGO ANTIGUO, VERIFICAR HOJA PRODUCTO!!</v>
          </cell>
          <cell r="D2118" t="str">
            <v>ERROR</v>
          </cell>
        </row>
        <row r="2119">
          <cell r="B2119">
            <v>3600062</v>
          </cell>
          <cell r="C2119" t="str">
            <v>!!CODIGO ANTIGUO, VERIFICAR HOJA PRODUCTO!!</v>
          </cell>
          <cell r="D2119" t="str">
            <v>ERROR</v>
          </cell>
        </row>
        <row r="2120">
          <cell r="B2120">
            <v>3600064</v>
          </cell>
          <cell r="C2120" t="str">
            <v>!!CODIGO ANTIGUO, VERIFICAR HOJA PRODUCTO!!</v>
          </cell>
          <cell r="D2120" t="str">
            <v>ERROR</v>
          </cell>
        </row>
        <row r="2121">
          <cell r="B2121">
            <v>3600065</v>
          </cell>
          <cell r="C2121" t="str">
            <v>!!CODIGO ANTIGUO, VERIFICAR HOJA PRODUCTO!!</v>
          </cell>
          <cell r="D2121" t="str">
            <v>ERROR</v>
          </cell>
        </row>
        <row r="2122">
          <cell r="B2122">
            <v>3600066</v>
          </cell>
          <cell r="C2122" t="str">
            <v>!!CODIGO ANTIGUO, VERIFICAR HOJA PRODUCTO!!</v>
          </cell>
          <cell r="D2122" t="str">
            <v>ERROR</v>
          </cell>
        </row>
        <row r="2123">
          <cell r="B2123">
            <v>3600067</v>
          </cell>
          <cell r="C2123" t="str">
            <v>!!CODIGO ANTIGUO, VERIFICAR HOJA PRODUCTO!!</v>
          </cell>
          <cell r="D2123" t="str">
            <v>ERROR</v>
          </cell>
        </row>
        <row r="2124">
          <cell r="B2124">
            <v>3600068</v>
          </cell>
          <cell r="C2124" t="str">
            <v>!!CODIGO ANTIGUO, VERIFICAR HOJA PRODUCTO!!</v>
          </cell>
          <cell r="D2124" t="str">
            <v>ERROR</v>
          </cell>
        </row>
        <row r="2125">
          <cell r="B2125">
            <v>3600069</v>
          </cell>
          <cell r="C2125" t="str">
            <v>!!CODIGO ANTIGUO, VERIFICAR HOJA PRODUCTO!!</v>
          </cell>
          <cell r="D2125" t="str">
            <v>ERROR</v>
          </cell>
        </row>
        <row r="2126">
          <cell r="B2126">
            <v>3600070</v>
          </cell>
          <cell r="C2126" t="str">
            <v>!!CODIGO ANTIGUO, VERIFICAR HOJA PRODUCTO!!</v>
          </cell>
          <cell r="D2126" t="str">
            <v>ERROR</v>
          </cell>
        </row>
        <row r="2127">
          <cell r="B2127">
            <v>3700000</v>
          </cell>
          <cell r="C2127" t="str">
            <v>!!CODIGO ANTIGUO, VERIFICAR HOJA PRODUCTO!!</v>
          </cell>
          <cell r="D2127" t="str">
            <v>ERROR</v>
          </cell>
        </row>
        <row r="2128">
          <cell r="B2128">
            <v>3700001</v>
          </cell>
          <cell r="C2128" t="str">
            <v>!!CODIGO ANTIGUO, VERIFICAR HOJA PRODUCTO!!</v>
          </cell>
          <cell r="D2128" t="str">
            <v>ERROR</v>
          </cell>
        </row>
        <row r="2129">
          <cell r="B2129">
            <v>3700002</v>
          </cell>
          <cell r="C2129" t="str">
            <v>!!CODIGO ANTIGUO, VERIFICAR HOJA PRODUCTO!!</v>
          </cell>
          <cell r="D2129" t="str">
            <v>ERROR</v>
          </cell>
        </row>
        <row r="2130">
          <cell r="B2130">
            <v>3700003</v>
          </cell>
          <cell r="C2130" t="str">
            <v>!!CODIGO ANTIGUO, VERIFICAR HOJA PRODUCTO!!</v>
          </cell>
          <cell r="D2130" t="str">
            <v>ERROR</v>
          </cell>
        </row>
        <row r="2131">
          <cell r="B2131">
            <v>3700004</v>
          </cell>
          <cell r="C2131" t="str">
            <v>!!CODIGO ANTIGUO, VERIFICAR HOJA PRODUCTO!!</v>
          </cell>
          <cell r="D2131" t="str">
            <v>ERROR</v>
          </cell>
        </row>
        <row r="2132">
          <cell r="B2132">
            <v>3701000</v>
          </cell>
          <cell r="C2132" t="str">
            <v>!!CODIGO ANTIGUO, VERIFICAR HOJA PRODUCTO!!</v>
          </cell>
          <cell r="D2132" t="str">
            <v>ERROR</v>
          </cell>
        </row>
        <row r="2133">
          <cell r="B2133">
            <v>3701001</v>
          </cell>
          <cell r="C2133" t="str">
            <v>!!CODIGO ANTIGUO, VERIFICAR HOJA PRODUCTO!!</v>
          </cell>
          <cell r="D2133" t="str">
            <v>ERROR</v>
          </cell>
        </row>
        <row r="2134">
          <cell r="B2134">
            <v>3701002</v>
          </cell>
          <cell r="C2134" t="str">
            <v>!!CODIGO ANTIGUO, VERIFICAR HOJA PRODUCTO!!</v>
          </cell>
          <cell r="D2134" t="str">
            <v>ERROR</v>
          </cell>
        </row>
        <row r="2135">
          <cell r="B2135">
            <v>3701003</v>
          </cell>
          <cell r="C2135" t="str">
            <v>!!CODIGO ANTIGUO, VERIFICAR HOJA PRODUCTO!!</v>
          </cell>
          <cell r="D2135" t="str">
            <v>ERROR</v>
          </cell>
        </row>
        <row r="2136">
          <cell r="B2136">
            <v>3701004</v>
          </cell>
          <cell r="C2136" t="str">
            <v>!!CODIGO ANTIGUO, VERIFICAR HOJA PRODUCTO!!</v>
          </cell>
          <cell r="D2136" t="str">
            <v>ERROR</v>
          </cell>
        </row>
        <row r="2137">
          <cell r="B2137">
            <v>3701009</v>
          </cell>
          <cell r="C2137" t="str">
            <v>!!CODIGO ANTIGUO, VERIFICAR HOJA PRODUCTO!!</v>
          </cell>
          <cell r="D2137" t="str">
            <v>ERROR</v>
          </cell>
        </row>
        <row r="2138">
          <cell r="B2138">
            <v>3701010</v>
          </cell>
          <cell r="C2138" t="str">
            <v>!!CODIGO ANTIGUO, VERIFICAR HOJA PRODUCTO!!</v>
          </cell>
          <cell r="D2138" t="str">
            <v>ERROR</v>
          </cell>
        </row>
        <row r="2139">
          <cell r="B2139">
            <v>3701011</v>
          </cell>
          <cell r="C2139" t="str">
            <v>!!CODIGO ANTIGUO, VERIFICAR HOJA PRODUCTO!!</v>
          </cell>
          <cell r="D2139" t="str">
            <v>ERROR</v>
          </cell>
        </row>
        <row r="2140">
          <cell r="B2140">
            <v>3701013</v>
          </cell>
          <cell r="C2140" t="str">
            <v>!!CODIGO ANTIGUO, VERIFICAR HOJA PRODUCTO!!</v>
          </cell>
          <cell r="D2140" t="str">
            <v>ERROR</v>
          </cell>
        </row>
        <row r="2141">
          <cell r="B2141">
            <v>3701014</v>
          </cell>
          <cell r="C2141" t="str">
            <v>!!CODIGO ANTIGUO, VERIFICAR HOJA PRODUCTO!!</v>
          </cell>
          <cell r="D2141" t="str">
            <v>ERROR</v>
          </cell>
        </row>
        <row r="2142">
          <cell r="B2142">
            <v>3701015</v>
          </cell>
          <cell r="C2142" t="str">
            <v>!!CODIGO ANTIGUO, VERIFICAR HOJA PRODUCTO!!</v>
          </cell>
          <cell r="D2142" t="str">
            <v>ERROR</v>
          </cell>
        </row>
        <row r="2143">
          <cell r="B2143">
            <v>3701016</v>
          </cell>
          <cell r="C2143" t="str">
            <v>!!CODIGO ANTIGUO, VERIFICAR HOJA PRODUCTO!!</v>
          </cell>
          <cell r="D2143" t="str">
            <v>ERROR</v>
          </cell>
        </row>
        <row r="2144">
          <cell r="B2144">
            <v>3701017</v>
          </cell>
          <cell r="C2144" t="str">
            <v>!!CODIGO ANTIGUO, VERIFICAR HOJA PRODUCTO!!</v>
          </cell>
          <cell r="D2144" t="str">
            <v>ERROR</v>
          </cell>
        </row>
        <row r="2145">
          <cell r="B2145">
            <v>3701018</v>
          </cell>
          <cell r="C2145" t="str">
            <v>!!CODIGO ANTIGUO, VERIFICAR HOJA PRODUCTO!!</v>
          </cell>
          <cell r="D2145" t="str">
            <v>ERROR</v>
          </cell>
        </row>
        <row r="2146">
          <cell r="B2146">
            <v>3701020</v>
          </cell>
          <cell r="C2146" t="str">
            <v>!!CODIGO ANTIGUO, VERIFICAR HOJA PRODUCTO!!</v>
          </cell>
          <cell r="D2146" t="str">
            <v>ERROR</v>
          </cell>
        </row>
        <row r="2147">
          <cell r="B2147">
            <v>3701026</v>
          </cell>
          <cell r="C2147" t="str">
            <v>!!CODIGO ANTIGUO, VERIFICAR HOJA PRODUCTO!!</v>
          </cell>
          <cell r="D2147" t="str">
            <v>ERROR</v>
          </cell>
        </row>
        <row r="2148">
          <cell r="B2148">
            <v>3701028</v>
          </cell>
          <cell r="C2148" t="str">
            <v>!!CODIGO ANTIGUO, VERIFICAR HOJA PRODUCTO!!</v>
          </cell>
          <cell r="D2148" t="str">
            <v>ERROR</v>
          </cell>
        </row>
        <row r="2149">
          <cell r="B2149">
            <v>3701029</v>
          </cell>
          <cell r="C2149" t="str">
            <v>!!CODIGO ANTIGUO, VERIFICAR HOJA PRODUCTO!!</v>
          </cell>
          <cell r="D2149" t="str">
            <v>ERROR</v>
          </cell>
        </row>
        <row r="2150">
          <cell r="B2150">
            <v>3701030</v>
          </cell>
          <cell r="C2150" t="str">
            <v>!!CODIGO ANTIGUO, VERIFICAR HOJA PRODUCTO!!</v>
          </cell>
          <cell r="D2150" t="str">
            <v>ERROR</v>
          </cell>
        </row>
        <row r="2151">
          <cell r="B2151">
            <v>3701031</v>
          </cell>
          <cell r="C2151" t="str">
            <v>!!CODIGO ANTIGUO, VERIFICAR HOJA PRODUCTO!!</v>
          </cell>
          <cell r="D2151" t="str">
            <v>ERROR</v>
          </cell>
        </row>
        <row r="2152">
          <cell r="B2152">
            <v>3800000</v>
          </cell>
          <cell r="C2152" t="str">
            <v>!!CODIGO ANTIGUO, VERIFICAR HOJA PRODUCTO!!</v>
          </cell>
          <cell r="D2152" t="str">
            <v>ERROR</v>
          </cell>
        </row>
        <row r="2153">
          <cell r="B2153">
            <v>3800001</v>
          </cell>
          <cell r="C2153" t="str">
            <v>!!CODIGO ANTIGUO, VERIFICAR HOJA PRODUCTO!!</v>
          </cell>
          <cell r="D2153" t="str">
            <v>ERROR</v>
          </cell>
        </row>
        <row r="2154">
          <cell r="B2154">
            <v>3800003</v>
          </cell>
          <cell r="C2154" t="str">
            <v>!!CODIGO ANTIGUO, VERIFICAR HOJA PRODUCTO!!</v>
          </cell>
          <cell r="D2154" t="str">
            <v>ERROR</v>
          </cell>
        </row>
        <row r="2155">
          <cell r="B2155">
            <v>3800004</v>
          </cell>
          <cell r="C2155" t="str">
            <v>!!CODIGO ANTIGUO, VERIFICAR HOJA PRODUCTO!!</v>
          </cell>
          <cell r="D2155" t="str">
            <v>ERROR</v>
          </cell>
        </row>
        <row r="2156">
          <cell r="B2156">
            <v>3800005</v>
          </cell>
          <cell r="C2156" t="str">
            <v>!!CODIGO ANTIGUO, VERIFICAR HOJA PRODUCTO!!</v>
          </cell>
          <cell r="D2156" t="str">
            <v>ERROR</v>
          </cell>
        </row>
        <row r="2157">
          <cell r="B2157">
            <v>3800009</v>
          </cell>
          <cell r="C2157" t="str">
            <v>!!CODIGO ANTIGUO, VERIFICAR HOJA PRODUCTO!!</v>
          </cell>
          <cell r="D2157" t="str">
            <v>ERROR</v>
          </cell>
        </row>
        <row r="2158">
          <cell r="B2158">
            <v>3800010</v>
          </cell>
          <cell r="C2158" t="str">
            <v>!!CODIGO ANTIGUO, VERIFICAR HOJA PRODUCTO!!</v>
          </cell>
          <cell r="D2158" t="str">
            <v>ERROR</v>
          </cell>
        </row>
        <row r="2159">
          <cell r="B2159">
            <v>3800013</v>
          </cell>
          <cell r="C2159" t="str">
            <v>!!CODIGO ANTIGUO, VERIFICAR HOJA PRODUCTO!!</v>
          </cell>
          <cell r="D2159" t="str">
            <v>ERROR</v>
          </cell>
        </row>
        <row r="2160">
          <cell r="B2160">
            <v>3800014</v>
          </cell>
          <cell r="C2160" t="str">
            <v>!!CODIGO ANTIGUO, VERIFICAR HOJA PRODUCTO!!</v>
          </cell>
          <cell r="D2160" t="str">
            <v>ERROR</v>
          </cell>
        </row>
        <row r="2161">
          <cell r="B2161">
            <v>3800015</v>
          </cell>
          <cell r="C2161" t="str">
            <v>!!CODIGO ANTIGUO, VERIFICAR HOJA PRODUCTO!!</v>
          </cell>
          <cell r="D2161" t="str">
            <v>ERROR</v>
          </cell>
        </row>
        <row r="2162">
          <cell r="B2162">
            <v>4001002</v>
          </cell>
          <cell r="C2162" t="str">
            <v>!!CODIGO ANTIGUO, VERIFICAR HOJA PRODUCTO!!</v>
          </cell>
          <cell r="D2162" t="str">
            <v>ERROR</v>
          </cell>
        </row>
        <row r="2163">
          <cell r="B2163">
            <v>4002000</v>
          </cell>
          <cell r="C2163" t="str">
            <v>!!CODIGO ANTIGUO, VERIFICAR HOJA PRODUCTO!!</v>
          </cell>
          <cell r="D2163" t="str">
            <v>ERROR</v>
          </cell>
        </row>
        <row r="2164">
          <cell r="B2164">
            <v>4002001</v>
          </cell>
          <cell r="C2164" t="str">
            <v>!!CODIGO ANTIGUO, VERIFICAR HOJA PRODUCTO!!</v>
          </cell>
          <cell r="D2164" t="str">
            <v>ERROR</v>
          </cell>
        </row>
        <row r="2165">
          <cell r="B2165">
            <v>4002002</v>
          </cell>
          <cell r="C2165" t="str">
            <v>!!CODIGO ANTIGUO, VERIFICAR HOJA PRODUCTO!!</v>
          </cell>
          <cell r="D2165" t="str">
            <v>ERROR</v>
          </cell>
        </row>
        <row r="2166">
          <cell r="B2166">
            <v>4002003</v>
          </cell>
          <cell r="C2166" t="str">
            <v>!!CODIGO ANTIGUO, VERIFICAR HOJA PRODUCTO!!</v>
          </cell>
          <cell r="D2166" t="str">
            <v>ERROR</v>
          </cell>
        </row>
        <row r="2167">
          <cell r="B2167">
            <v>4002004</v>
          </cell>
          <cell r="C2167" t="str">
            <v>!!CODIGO ANTIGUO, VERIFICAR HOJA PRODUCTO!!</v>
          </cell>
          <cell r="D2167" t="str">
            <v>ERROR</v>
          </cell>
        </row>
        <row r="2168">
          <cell r="B2168">
            <v>4002005</v>
          </cell>
          <cell r="C2168" t="str">
            <v>!!CODIGO ANTIGUO, VERIFICAR HOJA PRODUCTO!!</v>
          </cell>
          <cell r="D2168" t="str">
            <v>ERROR</v>
          </cell>
        </row>
        <row r="2169">
          <cell r="B2169">
            <v>4002006</v>
          </cell>
          <cell r="C2169" t="str">
            <v>!!CODIGO ANTIGUO, VERIFICAR HOJA PRODUCTO!!</v>
          </cell>
          <cell r="D2169" t="str">
            <v>ERROR</v>
          </cell>
        </row>
        <row r="2170">
          <cell r="B2170">
            <v>4002007</v>
          </cell>
          <cell r="C2170" t="str">
            <v>!!CODIGO ANTIGUO, VERIFICAR HOJA PRODUCTO!!</v>
          </cell>
          <cell r="D2170" t="str">
            <v>ERROR</v>
          </cell>
        </row>
        <row r="2171">
          <cell r="B2171">
            <v>4002008</v>
          </cell>
          <cell r="C2171" t="str">
            <v>!!CODIGO ANTIGUO, VERIFICAR HOJA PRODUCTO!!</v>
          </cell>
          <cell r="D2171" t="str">
            <v>ERROR</v>
          </cell>
        </row>
        <row r="2172">
          <cell r="B2172">
            <v>4002009</v>
          </cell>
          <cell r="C2172" t="str">
            <v>!!CODIGO ANTIGUO, VERIFICAR HOJA PRODUCTO!!</v>
          </cell>
          <cell r="D2172" t="str">
            <v>ERROR</v>
          </cell>
        </row>
        <row r="2173">
          <cell r="B2173">
            <v>4002010</v>
          </cell>
          <cell r="C2173" t="str">
            <v>!!CODIGO ANTIGUO, VERIFICAR HOJA PRODUCTO!!</v>
          </cell>
          <cell r="D2173" t="str">
            <v>ERROR</v>
          </cell>
        </row>
        <row r="2174">
          <cell r="B2174">
            <v>4002011</v>
          </cell>
          <cell r="C2174" t="str">
            <v>!!CODIGO ANTIGUO, VERIFICAR HOJA PRODUCTO!!</v>
          </cell>
          <cell r="D2174" t="str">
            <v>ERROR</v>
          </cell>
        </row>
        <row r="2175">
          <cell r="B2175">
            <v>4002012</v>
          </cell>
          <cell r="C2175" t="str">
            <v>!!CODIGO ANTIGUO, VERIFICAR HOJA PRODUCTO!!</v>
          </cell>
          <cell r="D2175" t="str">
            <v>ERROR</v>
          </cell>
        </row>
        <row r="2176">
          <cell r="B2176">
            <v>4002013</v>
          </cell>
          <cell r="C2176" t="str">
            <v>!!CODIGO ANTIGUO, VERIFICAR HOJA PRODUCTO!!</v>
          </cell>
          <cell r="D2176" t="str">
            <v>ERROR</v>
          </cell>
        </row>
        <row r="2177">
          <cell r="B2177">
            <v>4002016</v>
          </cell>
          <cell r="C2177" t="str">
            <v>!!CODIGO ANTIGUO, VERIFICAR HOJA PRODUCTO!!</v>
          </cell>
          <cell r="D2177" t="str">
            <v>ERROR</v>
          </cell>
        </row>
        <row r="2178">
          <cell r="B2178">
            <v>4002017</v>
          </cell>
          <cell r="C2178" t="str">
            <v>!!CODIGO ANTIGUO, VERIFICAR HOJA PRODUCTO!!</v>
          </cell>
          <cell r="D2178" t="str">
            <v>ERROR</v>
          </cell>
        </row>
        <row r="2179">
          <cell r="B2179">
            <v>4002018</v>
          </cell>
          <cell r="C2179" t="str">
            <v>!!CODIGO ANTIGUO, VERIFICAR HOJA PRODUCTO!!</v>
          </cell>
          <cell r="D2179" t="str">
            <v>ERROR</v>
          </cell>
        </row>
        <row r="2180">
          <cell r="B2180">
            <v>4002019</v>
          </cell>
          <cell r="C2180" t="str">
            <v>!!CODIGO ANTIGUO, VERIFICAR HOJA PRODUCTO!!</v>
          </cell>
          <cell r="D2180" t="str">
            <v>ERROR</v>
          </cell>
        </row>
        <row r="2181">
          <cell r="B2181">
            <v>4002020</v>
          </cell>
          <cell r="C2181" t="str">
            <v>!!CODIGO ANTIGUO, VERIFICAR HOJA PRODUCTO!!</v>
          </cell>
          <cell r="D2181" t="str">
            <v>ERROR</v>
          </cell>
        </row>
        <row r="2182">
          <cell r="B2182">
            <v>4002021</v>
          </cell>
          <cell r="C2182" t="str">
            <v>!!CODIGO ANTIGUO, VERIFICAR HOJA PRODUCTO!!</v>
          </cell>
          <cell r="D2182" t="str">
            <v>ERROR</v>
          </cell>
        </row>
        <row r="2183">
          <cell r="B2183">
            <v>4002022</v>
          </cell>
          <cell r="C2183" t="str">
            <v>!!CODIGO ANTIGUO, VERIFICAR HOJA PRODUCTO!!</v>
          </cell>
          <cell r="D2183" t="str">
            <v>ERROR</v>
          </cell>
        </row>
        <row r="2184">
          <cell r="B2184">
            <v>4002023</v>
          </cell>
          <cell r="C2184" t="str">
            <v>!!CODIGO ANTIGUO, VERIFICAR HOJA PRODUCTO!!</v>
          </cell>
          <cell r="D2184" t="str">
            <v>ERROR</v>
          </cell>
        </row>
        <row r="2185">
          <cell r="B2185">
            <v>4002024</v>
          </cell>
          <cell r="C2185" t="str">
            <v>!!CODIGO ANTIGUO, VERIFICAR HOJA PRODUCTO!!</v>
          </cell>
          <cell r="D2185" t="str">
            <v>ERROR</v>
          </cell>
        </row>
        <row r="2186">
          <cell r="B2186">
            <v>4002025</v>
          </cell>
          <cell r="C2186" t="str">
            <v>!!CODIGO ANTIGUO, VERIFICAR HOJA PRODUCTO!!</v>
          </cell>
          <cell r="D2186" t="str">
            <v>ERROR</v>
          </cell>
        </row>
        <row r="2187">
          <cell r="B2187">
            <v>4002026</v>
          </cell>
          <cell r="C2187" t="str">
            <v>!!CODIGO ANTIGUO, VERIFICAR HOJA PRODUCTO!!</v>
          </cell>
          <cell r="D2187" t="str">
            <v>ERROR</v>
          </cell>
        </row>
        <row r="2188">
          <cell r="B2188">
            <v>4002027</v>
          </cell>
          <cell r="C2188" t="str">
            <v>!!CODIGO ANTIGUO, VERIFICAR HOJA PRODUCTO!!</v>
          </cell>
          <cell r="D2188" t="str">
            <v>ERROR</v>
          </cell>
        </row>
        <row r="2189">
          <cell r="B2189">
            <v>4002028</v>
          </cell>
          <cell r="C2189" t="str">
            <v>!!CODIGO ANTIGUO, VERIFICAR HOJA PRODUCTO!!</v>
          </cell>
          <cell r="D2189" t="str">
            <v>ERROR</v>
          </cell>
        </row>
        <row r="2190">
          <cell r="B2190">
            <v>4002029</v>
          </cell>
          <cell r="C2190" t="str">
            <v>!!CODIGO ANTIGUO, VERIFICAR HOJA PRODUCTO!!</v>
          </cell>
          <cell r="D2190" t="str">
            <v>ERROR</v>
          </cell>
        </row>
        <row r="2191">
          <cell r="B2191">
            <v>4002030</v>
          </cell>
          <cell r="C2191" t="str">
            <v>!!CODIGO ANTIGUO, VERIFICAR HOJA PRODUCTO!!</v>
          </cell>
          <cell r="D2191" t="str">
            <v>ERROR</v>
          </cell>
        </row>
        <row r="2192">
          <cell r="B2192">
            <v>4002031</v>
          </cell>
          <cell r="C2192" t="str">
            <v>!!CODIGO ANTIGUO, VERIFICAR HOJA PRODUCTO!!</v>
          </cell>
          <cell r="D2192" t="str">
            <v>ERROR</v>
          </cell>
        </row>
        <row r="2193">
          <cell r="B2193">
            <v>4002032</v>
          </cell>
          <cell r="C2193" t="str">
            <v>!!CODIGO ANTIGUO, VERIFICAR HOJA PRODUCTO!!</v>
          </cell>
          <cell r="D2193" t="str">
            <v>ERROR</v>
          </cell>
        </row>
        <row r="2194">
          <cell r="B2194">
            <v>4002033</v>
          </cell>
          <cell r="C2194" t="str">
            <v>!!CODIGO ANTIGUO, VERIFICAR HOJA PRODUCTO!!</v>
          </cell>
          <cell r="D2194" t="str">
            <v>ERROR</v>
          </cell>
        </row>
        <row r="2195">
          <cell r="B2195">
            <v>4002034</v>
          </cell>
          <cell r="C2195" t="str">
            <v>!!CODIGO ANTIGUO, VERIFICAR HOJA PRODUCTO!!</v>
          </cell>
          <cell r="D2195" t="str">
            <v>ERROR</v>
          </cell>
        </row>
        <row r="2196">
          <cell r="B2196">
            <v>4002035</v>
          </cell>
          <cell r="C2196" t="str">
            <v>!!CODIGO ANTIGUO, VERIFICAR HOJA PRODUCTO!!</v>
          </cell>
          <cell r="D2196" t="str">
            <v>ERROR</v>
          </cell>
        </row>
        <row r="2197">
          <cell r="B2197">
            <v>4002036</v>
          </cell>
          <cell r="C2197" t="str">
            <v>!!CODIGO ANTIGUO, VERIFICAR HOJA PRODUCTO!!</v>
          </cell>
          <cell r="D2197" t="str">
            <v>ERROR</v>
          </cell>
        </row>
        <row r="2198">
          <cell r="B2198">
            <v>4002037</v>
          </cell>
          <cell r="C2198" t="str">
            <v>!!CODIGO ANTIGUO, VERIFICAR HOJA PRODUCTO!!</v>
          </cell>
          <cell r="D2198" t="str">
            <v>ERROR</v>
          </cell>
        </row>
        <row r="2199">
          <cell r="B2199">
            <v>4003000</v>
          </cell>
          <cell r="C2199" t="str">
            <v>!!CODIGO ANTIGUO, VERIFICAR HOJA PRODUCTO!!</v>
          </cell>
          <cell r="D2199" t="str">
            <v>ERROR</v>
          </cell>
        </row>
        <row r="2200">
          <cell r="B2200">
            <v>4003001</v>
          </cell>
          <cell r="C2200" t="str">
            <v>!!CODIGO ANTIGUO, VERIFICAR HOJA PRODUCTO!!</v>
          </cell>
          <cell r="D2200" t="str">
            <v>ERROR</v>
          </cell>
        </row>
        <row r="2201">
          <cell r="B2201">
            <v>4003002</v>
          </cell>
          <cell r="C2201" t="str">
            <v>!!CODIGO ANTIGUO, VERIFICAR HOJA PRODUCTO!!</v>
          </cell>
          <cell r="D2201" t="str">
            <v>ERROR</v>
          </cell>
        </row>
        <row r="2202">
          <cell r="B2202">
            <v>4003003</v>
          </cell>
          <cell r="C2202" t="str">
            <v>!!CODIGO ANTIGUO, VERIFICAR HOJA PRODUCTO!!</v>
          </cell>
          <cell r="D2202" t="str">
            <v>ERROR</v>
          </cell>
        </row>
        <row r="2203">
          <cell r="B2203">
            <v>4003004</v>
          </cell>
          <cell r="C2203" t="str">
            <v>!!CODIGO ANTIGUO, VERIFICAR HOJA PRODUCTO!!</v>
          </cell>
          <cell r="D2203" t="str">
            <v>ERROR</v>
          </cell>
        </row>
        <row r="2204">
          <cell r="B2204">
            <v>4003005</v>
          </cell>
          <cell r="C2204" t="str">
            <v>!!CODIGO ANTIGUO, VERIFICAR HOJA PRODUCTO!!</v>
          </cell>
          <cell r="D2204" t="str">
            <v>ERROR</v>
          </cell>
        </row>
        <row r="2205">
          <cell r="B2205">
            <v>4003006</v>
          </cell>
          <cell r="C2205" t="str">
            <v>!!CODIGO ANTIGUO, VERIFICAR HOJA PRODUCTO!!</v>
          </cell>
          <cell r="D2205" t="str">
            <v>ERROR</v>
          </cell>
        </row>
        <row r="2206">
          <cell r="B2206">
            <v>4003007</v>
          </cell>
          <cell r="C2206" t="str">
            <v>!!CODIGO ANTIGUO, VERIFICAR HOJA PRODUCTO!!</v>
          </cell>
          <cell r="D2206" t="str">
            <v>ERROR</v>
          </cell>
        </row>
        <row r="2207">
          <cell r="B2207">
            <v>4003008</v>
          </cell>
          <cell r="C2207" t="str">
            <v>!!CODIGO ANTIGUO, VERIFICAR HOJA PRODUCTO!!</v>
          </cell>
          <cell r="D2207" t="str">
            <v>ERROR</v>
          </cell>
        </row>
        <row r="2208">
          <cell r="B2208">
            <v>4003009</v>
          </cell>
          <cell r="C2208" t="str">
            <v>!!CODIGO ANTIGUO, VERIFICAR HOJA PRODUCTO!!</v>
          </cell>
          <cell r="D2208" t="str">
            <v>ERROR</v>
          </cell>
        </row>
        <row r="2209">
          <cell r="B2209">
            <v>4003010</v>
          </cell>
          <cell r="C2209" t="str">
            <v>!!CODIGO ANTIGUO, VERIFICAR HOJA PRODUCTO!!</v>
          </cell>
          <cell r="D2209" t="str">
            <v>ERROR</v>
          </cell>
        </row>
        <row r="2210">
          <cell r="B2210">
            <v>4004000</v>
          </cell>
          <cell r="C2210" t="str">
            <v>!!CODIGO ANTIGUO, VERIFICAR HOJA PRODUCTO!!</v>
          </cell>
          <cell r="D2210" t="str">
            <v>ERROR</v>
          </cell>
        </row>
        <row r="2211">
          <cell r="B2211">
            <v>4004001</v>
          </cell>
          <cell r="C2211" t="str">
            <v>!!CODIGO ANTIGUO, VERIFICAR HOJA PRODUCTO!!</v>
          </cell>
          <cell r="D2211" t="str">
            <v>ERROR</v>
          </cell>
        </row>
        <row r="2212">
          <cell r="B2212">
            <v>4005000</v>
          </cell>
          <cell r="C2212" t="str">
            <v>!!CODIGO ANTIGUO, VERIFICAR HOJA PRODUCTO!!</v>
          </cell>
          <cell r="D2212" t="str">
            <v>ERROR</v>
          </cell>
        </row>
        <row r="2213">
          <cell r="B2213">
            <v>4005001</v>
          </cell>
          <cell r="C2213" t="str">
            <v>!!CODIGO ANTIGUO, VERIFICAR HOJA PRODUCTO!!</v>
          </cell>
          <cell r="D2213" t="str">
            <v>ERROR</v>
          </cell>
        </row>
        <row r="2214">
          <cell r="B2214">
            <v>4005002</v>
          </cell>
          <cell r="C2214" t="str">
            <v>!!CODIGO ANTIGUO, VERIFICAR HOJA PRODUCTO!!</v>
          </cell>
          <cell r="D2214" t="str">
            <v>ERROR</v>
          </cell>
        </row>
        <row r="2215">
          <cell r="B2215">
            <v>4005003</v>
          </cell>
          <cell r="C2215" t="str">
            <v>!!CODIGO ANTIGUO, VERIFICAR HOJA PRODUCTO!!</v>
          </cell>
          <cell r="D2215" t="str">
            <v>ERROR</v>
          </cell>
        </row>
        <row r="2216">
          <cell r="B2216">
            <v>4005004</v>
          </cell>
          <cell r="C2216" t="str">
            <v>!!CODIGO ANTIGUO, VERIFICAR HOJA PRODUCTO!!</v>
          </cell>
          <cell r="D2216" t="str">
            <v>ERROR</v>
          </cell>
        </row>
        <row r="2217">
          <cell r="B2217">
            <v>4005005</v>
          </cell>
          <cell r="C2217" t="str">
            <v>!!CODIGO ANTIGUO, VERIFICAR HOJA PRODUCTO!!</v>
          </cell>
          <cell r="D2217" t="str">
            <v>ERROR</v>
          </cell>
        </row>
        <row r="2218">
          <cell r="B2218">
            <v>4005006</v>
          </cell>
          <cell r="C2218" t="str">
            <v>!!CODIGO ANTIGUO, VERIFICAR HOJA PRODUCTO!!</v>
          </cell>
          <cell r="D2218" t="str">
            <v>ERROR</v>
          </cell>
        </row>
        <row r="2219">
          <cell r="B2219">
            <v>4005007</v>
          </cell>
          <cell r="C2219" t="str">
            <v>!!CODIGO ANTIGUO, VERIFICAR HOJA PRODUCTO!!</v>
          </cell>
          <cell r="D2219" t="str">
            <v>ERROR</v>
          </cell>
        </row>
        <row r="2220">
          <cell r="B2220">
            <v>4005008</v>
          </cell>
          <cell r="C2220" t="str">
            <v>!!CODIGO ANTIGUO, VERIFICAR HOJA PRODUCTO!!</v>
          </cell>
          <cell r="D2220" t="str">
            <v>ERROR</v>
          </cell>
        </row>
        <row r="2221">
          <cell r="B2221">
            <v>4005009</v>
          </cell>
          <cell r="C2221" t="str">
            <v>!!CODIGO ANTIGUO, VERIFICAR HOJA PRODUCTO!!</v>
          </cell>
          <cell r="D2221" t="str">
            <v>ERROR</v>
          </cell>
        </row>
        <row r="2222">
          <cell r="B2222">
            <v>4005010</v>
          </cell>
          <cell r="C2222" t="str">
            <v>!!CODIGO ANTIGUO, VERIFICAR HOJA PRODUCTO!!</v>
          </cell>
          <cell r="D2222" t="str">
            <v>ERROR</v>
          </cell>
        </row>
        <row r="2223">
          <cell r="B2223">
            <v>4005011</v>
          </cell>
          <cell r="C2223" t="str">
            <v>!!CODIGO ANTIGUO, VERIFICAR HOJA PRODUCTO!!</v>
          </cell>
          <cell r="D2223" t="str">
            <v>ERROR</v>
          </cell>
        </row>
        <row r="2224">
          <cell r="B2224">
            <v>4005012</v>
          </cell>
          <cell r="C2224" t="str">
            <v>!!CODIGO ANTIGUO, VERIFICAR HOJA PRODUCTO!!</v>
          </cell>
          <cell r="D2224" t="str">
            <v>ERROR</v>
          </cell>
        </row>
        <row r="2225">
          <cell r="B2225">
            <v>4005013</v>
          </cell>
          <cell r="C2225" t="str">
            <v>!!CODIGO ANTIGUO, VERIFICAR HOJA PRODUCTO!!</v>
          </cell>
          <cell r="D2225" t="str">
            <v>ERROR</v>
          </cell>
        </row>
        <row r="2226">
          <cell r="B2226">
            <v>4005014</v>
          </cell>
          <cell r="C2226" t="str">
            <v>!!CODIGO ANTIGUO, VERIFICAR HOJA PRODUCTO!!</v>
          </cell>
          <cell r="D2226" t="str">
            <v>ERROR</v>
          </cell>
        </row>
        <row r="2227">
          <cell r="B2227">
            <v>4005015</v>
          </cell>
          <cell r="C2227" t="str">
            <v>!!CODIGO ANTIGUO, VERIFICAR HOJA PRODUCTO!!</v>
          </cell>
          <cell r="D2227" t="str">
            <v>ERROR</v>
          </cell>
        </row>
        <row r="2228">
          <cell r="B2228">
            <v>4005016</v>
          </cell>
          <cell r="C2228" t="str">
            <v>!!CODIGO ANTIGUO, VERIFICAR HOJA PRODUCTO!!</v>
          </cell>
          <cell r="D2228" t="str">
            <v>ERROR</v>
          </cell>
        </row>
        <row r="2229">
          <cell r="B2229">
            <v>4005017</v>
          </cell>
          <cell r="C2229" t="str">
            <v>!!CODIGO ANTIGUO, VERIFICAR HOJA PRODUCTO!!</v>
          </cell>
          <cell r="D2229" t="str">
            <v>ERROR</v>
          </cell>
        </row>
        <row r="2230">
          <cell r="B2230">
            <v>4005018</v>
          </cell>
          <cell r="C2230" t="str">
            <v>!!CODIGO ANTIGUO, VERIFICAR HOJA PRODUCTO!!</v>
          </cell>
          <cell r="D2230" t="str">
            <v>ERROR</v>
          </cell>
        </row>
        <row r="2231">
          <cell r="B2231">
            <v>4005019</v>
          </cell>
          <cell r="C2231" t="str">
            <v>!!CODIGO ANTIGUO, VERIFICAR HOJA PRODUCTO!!</v>
          </cell>
          <cell r="D2231" t="str">
            <v>ERROR</v>
          </cell>
        </row>
        <row r="2232">
          <cell r="B2232">
            <v>4005020</v>
          </cell>
          <cell r="C2232" t="str">
            <v>!!CODIGO ANTIGUO, VERIFICAR HOJA PRODUCTO!!</v>
          </cell>
          <cell r="D2232" t="str">
            <v>ERROR</v>
          </cell>
        </row>
        <row r="2233">
          <cell r="B2233">
            <v>4005021</v>
          </cell>
          <cell r="C2233" t="str">
            <v>!!CODIGO ANTIGUO, VERIFICAR HOJA PRODUCTO!!</v>
          </cell>
          <cell r="D2233" t="str">
            <v>ERROR</v>
          </cell>
        </row>
        <row r="2234">
          <cell r="B2234">
            <v>4005022</v>
          </cell>
          <cell r="C2234" t="str">
            <v>!!CODIGO ANTIGUO, VERIFICAR HOJA PRODUCTO!!</v>
          </cell>
          <cell r="D2234" t="str">
            <v>ERROR</v>
          </cell>
        </row>
        <row r="2235">
          <cell r="B2235">
            <v>4005023</v>
          </cell>
          <cell r="C2235" t="str">
            <v>!!CODIGO ANTIGUO, VERIFICAR HOJA PRODUCTO!!</v>
          </cell>
          <cell r="D2235" t="str">
            <v>ERROR</v>
          </cell>
        </row>
        <row r="2236">
          <cell r="B2236">
            <v>4005024</v>
          </cell>
          <cell r="C2236" t="str">
            <v>!!CODIGO ANTIGUO, VERIFICAR HOJA PRODUCTO!!</v>
          </cell>
          <cell r="D2236" t="str">
            <v>ERROR</v>
          </cell>
        </row>
        <row r="2237">
          <cell r="B2237">
            <v>4005025</v>
          </cell>
          <cell r="C2237" t="str">
            <v>!!CODIGO ANTIGUO, VERIFICAR HOJA PRODUCTO!!</v>
          </cell>
          <cell r="D2237" t="str">
            <v>ERROR</v>
          </cell>
        </row>
        <row r="2238">
          <cell r="B2238">
            <v>4005026</v>
          </cell>
          <cell r="C2238" t="str">
            <v>!!CODIGO ANTIGUO, VERIFICAR HOJA PRODUCTO!!</v>
          </cell>
          <cell r="D2238" t="str">
            <v>ERROR</v>
          </cell>
        </row>
        <row r="2239">
          <cell r="B2239">
            <v>4005027</v>
          </cell>
          <cell r="C2239" t="str">
            <v>!!CODIGO ANTIGUO, VERIFICAR HOJA PRODUCTO!!</v>
          </cell>
          <cell r="D2239" t="str">
            <v>ERROR</v>
          </cell>
        </row>
        <row r="2240">
          <cell r="B2240">
            <v>4005028</v>
          </cell>
          <cell r="C2240" t="str">
            <v>!!CODIGO ANTIGUO, VERIFICAR HOJA PRODUCTO!!</v>
          </cell>
          <cell r="D2240" t="str">
            <v>ERROR</v>
          </cell>
        </row>
        <row r="2241">
          <cell r="B2241">
            <v>4005029</v>
          </cell>
          <cell r="C2241" t="str">
            <v>!!CODIGO ANTIGUO, VERIFICAR HOJA PRODUCTO!!</v>
          </cell>
          <cell r="D2241" t="str">
            <v>ERROR</v>
          </cell>
        </row>
        <row r="2242">
          <cell r="B2242">
            <v>4005030</v>
          </cell>
          <cell r="C2242" t="str">
            <v>!!CODIGO ANTIGUO, VERIFICAR HOJA PRODUCTO!!</v>
          </cell>
          <cell r="D2242" t="str">
            <v>ERROR</v>
          </cell>
        </row>
        <row r="2243">
          <cell r="B2243">
            <v>4005031</v>
          </cell>
          <cell r="C2243" t="str">
            <v>!!CODIGO ANTIGUO, VERIFICAR HOJA PRODUCTO!!</v>
          </cell>
          <cell r="D2243" t="str">
            <v>ERROR</v>
          </cell>
        </row>
        <row r="2244">
          <cell r="B2244">
            <v>4005032</v>
          </cell>
          <cell r="C2244" t="str">
            <v>!!CODIGO ANTIGUO, VERIFICAR HOJA PRODUCTO!!</v>
          </cell>
          <cell r="D2244" t="str">
            <v>ERROR</v>
          </cell>
        </row>
        <row r="2245">
          <cell r="B2245">
            <v>4005033</v>
          </cell>
          <cell r="C2245" t="str">
            <v>!!CODIGO ANTIGUO, VERIFICAR HOJA PRODUCTO!!</v>
          </cell>
          <cell r="D2245" t="str">
            <v>ERROR</v>
          </cell>
        </row>
        <row r="2246">
          <cell r="B2246">
            <v>4005034</v>
          </cell>
          <cell r="C2246" t="str">
            <v>!!CODIGO ANTIGUO, VERIFICAR HOJA PRODUCTO!!</v>
          </cell>
          <cell r="D2246" t="str">
            <v>ERROR</v>
          </cell>
        </row>
        <row r="2247">
          <cell r="B2247">
            <v>4005035</v>
          </cell>
          <cell r="C2247" t="str">
            <v>!!CODIGO ANTIGUO, VERIFICAR HOJA PRODUCTO!!</v>
          </cell>
          <cell r="D2247" t="str">
            <v>ERROR</v>
          </cell>
        </row>
        <row r="2248">
          <cell r="B2248">
            <v>4005036</v>
          </cell>
          <cell r="C2248" t="str">
            <v>!!CODIGO ANTIGUO, VERIFICAR HOJA PRODUCTO!!</v>
          </cell>
          <cell r="D2248" t="str">
            <v>ERROR</v>
          </cell>
        </row>
        <row r="2249">
          <cell r="B2249">
            <v>4005037</v>
          </cell>
          <cell r="C2249" t="str">
            <v>!!CODIGO ANTIGUO, VERIFICAR HOJA PRODUCTO!!</v>
          </cell>
          <cell r="D2249" t="str">
            <v>ERROR</v>
          </cell>
        </row>
        <row r="2250">
          <cell r="B2250">
            <v>4005038</v>
          </cell>
          <cell r="C2250" t="str">
            <v>!!CODIGO ANTIGUO, VERIFICAR HOJA PRODUCTO!!</v>
          </cell>
          <cell r="D2250" t="str">
            <v>ERROR</v>
          </cell>
        </row>
        <row r="2251">
          <cell r="B2251">
            <v>4005039</v>
          </cell>
          <cell r="C2251" t="str">
            <v>!!CODIGO ANTIGUO, VERIFICAR HOJA PRODUCTO!!</v>
          </cell>
          <cell r="D2251" t="str">
            <v>ERROR</v>
          </cell>
        </row>
        <row r="2252">
          <cell r="B2252">
            <v>4005040</v>
          </cell>
          <cell r="C2252" t="str">
            <v>!!CODIGO ANTIGUO, VERIFICAR HOJA PRODUCTO!!</v>
          </cell>
          <cell r="D2252" t="str">
            <v>ERROR</v>
          </cell>
        </row>
        <row r="2253">
          <cell r="B2253">
            <v>4005041</v>
          </cell>
          <cell r="C2253" t="str">
            <v>!!CODIGO ANTIGUO, VERIFICAR HOJA PRODUCTO!!</v>
          </cell>
          <cell r="D2253" t="str">
            <v>ERROR</v>
          </cell>
        </row>
        <row r="2254">
          <cell r="B2254">
            <v>4005042</v>
          </cell>
          <cell r="C2254" t="str">
            <v>!!CODIGO ANTIGUO, VERIFICAR HOJA PRODUCTO!!</v>
          </cell>
          <cell r="D2254" t="str">
            <v>ERROR</v>
          </cell>
        </row>
        <row r="2255">
          <cell r="B2255">
            <v>4005043</v>
          </cell>
          <cell r="C2255" t="str">
            <v>!!CODIGO ANTIGUO, VERIFICAR HOJA PRODUCTO!!</v>
          </cell>
          <cell r="D2255" t="str">
            <v>ERROR</v>
          </cell>
        </row>
        <row r="2256">
          <cell r="B2256">
            <v>4005044</v>
          </cell>
          <cell r="C2256" t="str">
            <v>!!CODIGO ANTIGUO, VERIFICAR HOJA PRODUCTO!!</v>
          </cell>
          <cell r="D2256" t="str">
            <v>ERROR</v>
          </cell>
        </row>
        <row r="2257">
          <cell r="B2257">
            <v>4005045</v>
          </cell>
          <cell r="C2257" t="str">
            <v>!!CODIGO ANTIGUO, VERIFICAR HOJA PRODUCTO!!</v>
          </cell>
          <cell r="D2257" t="str">
            <v>ERROR</v>
          </cell>
        </row>
        <row r="2258">
          <cell r="B2258">
            <v>4005046</v>
          </cell>
          <cell r="C2258" t="str">
            <v>!!CODIGO ANTIGUO, VERIFICAR HOJA PRODUCTO!!</v>
          </cell>
          <cell r="D2258" t="str">
            <v>ERROR</v>
          </cell>
        </row>
        <row r="2259">
          <cell r="B2259">
            <v>4005047</v>
          </cell>
          <cell r="C2259" t="str">
            <v>!!CODIGO ANTIGUO, VERIFICAR HOJA PRODUCTO!!</v>
          </cell>
          <cell r="D2259" t="str">
            <v>ERROR</v>
          </cell>
        </row>
        <row r="2260">
          <cell r="B2260">
            <v>4005048</v>
          </cell>
          <cell r="C2260" t="str">
            <v>!!CODIGO ANTIGUO, VERIFICAR HOJA PRODUCTO!!</v>
          </cell>
          <cell r="D2260" t="str">
            <v>ERROR</v>
          </cell>
        </row>
        <row r="2261">
          <cell r="B2261">
            <v>4005049</v>
          </cell>
          <cell r="C2261" t="str">
            <v>!!CODIGO ANTIGUO, VERIFICAR HOJA PRODUCTO!!</v>
          </cell>
          <cell r="D2261" t="str">
            <v>ERROR</v>
          </cell>
        </row>
        <row r="2262">
          <cell r="B2262">
            <v>4005050</v>
          </cell>
          <cell r="C2262" t="str">
            <v>!!CODIGO ANTIGUO, VERIFICAR HOJA PRODUCTO!!</v>
          </cell>
          <cell r="D2262" t="str">
            <v>ERROR</v>
          </cell>
        </row>
        <row r="2263">
          <cell r="B2263">
            <v>4005051</v>
          </cell>
          <cell r="C2263" t="str">
            <v>!!CODIGO ANTIGUO, VERIFICAR HOJA PRODUCTO!!</v>
          </cell>
          <cell r="D2263" t="str">
            <v>ERROR</v>
          </cell>
        </row>
        <row r="2264">
          <cell r="B2264">
            <v>4005052</v>
          </cell>
          <cell r="C2264" t="str">
            <v>!!CODIGO ANTIGUO, VERIFICAR HOJA PRODUCTO!!</v>
          </cell>
          <cell r="D2264" t="str">
            <v>ERROR</v>
          </cell>
        </row>
        <row r="2265">
          <cell r="B2265">
            <v>4005053</v>
          </cell>
          <cell r="C2265" t="str">
            <v>!!CODIGO ANTIGUO, VERIFICAR HOJA PRODUCTO!!</v>
          </cell>
          <cell r="D2265" t="str">
            <v>ERROR</v>
          </cell>
        </row>
        <row r="2266">
          <cell r="B2266">
            <v>4005054</v>
          </cell>
          <cell r="C2266" t="str">
            <v>!!CODIGO ANTIGUO, VERIFICAR HOJA PRODUCTO!!</v>
          </cell>
          <cell r="D2266" t="str">
            <v>ERROR</v>
          </cell>
        </row>
        <row r="2267">
          <cell r="B2267">
            <v>4005055</v>
          </cell>
          <cell r="C2267" t="str">
            <v>!!CODIGO ANTIGUO, VERIFICAR HOJA PRODUCTO!!</v>
          </cell>
          <cell r="D2267" t="str">
            <v>ERROR</v>
          </cell>
        </row>
        <row r="2268">
          <cell r="B2268">
            <v>4005060</v>
          </cell>
          <cell r="C2268" t="str">
            <v>!!CODIGO ANTIGUO, VERIFICAR HOJA PRODUCTO!!</v>
          </cell>
          <cell r="D2268" t="str">
            <v>ERROR</v>
          </cell>
        </row>
        <row r="2269">
          <cell r="B2269">
            <v>4100000</v>
          </cell>
          <cell r="C2269" t="str">
            <v>!!CODIGO ANTIGUO, VERIFICAR HOJA PRODUCTO!!</v>
          </cell>
          <cell r="D2269" t="str">
            <v>ERROR</v>
          </cell>
        </row>
        <row r="2270">
          <cell r="B2270">
            <v>4100001</v>
          </cell>
          <cell r="C2270" t="str">
            <v>!!CODIGO ANTIGUO, VERIFICAR HOJA PRODUCTO!!</v>
          </cell>
          <cell r="D2270" t="str">
            <v>ERROR</v>
          </cell>
        </row>
        <row r="2271">
          <cell r="B2271">
            <v>4100002</v>
          </cell>
          <cell r="C2271" t="str">
            <v>!!CODIGO ANTIGUO, VERIFICAR HOJA PRODUCTO!!</v>
          </cell>
          <cell r="D2271" t="str">
            <v>ERROR</v>
          </cell>
        </row>
        <row r="2272">
          <cell r="B2272">
            <v>4101000</v>
          </cell>
          <cell r="C2272" t="str">
            <v>!!CODIGO ANTIGUO, VERIFICAR HOJA PRODUCTO!!</v>
          </cell>
          <cell r="D2272" t="str">
            <v>ERROR</v>
          </cell>
        </row>
        <row r="2273">
          <cell r="B2273">
            <v>4101001</v>
          </cell>
          <cell r="C2273" t="str">
            <v>!!CODIGO ANTIGUO, VERIFICAR HOJA PRODUCTO!!</v>
          </cell>
          <cell r="D2273" t="str">
            <v>ERROR</v>
          </cell>
        </row>
        <row r="2274">
          <cell r="B2274">
            <v>4101002</v>
          </cell>
          <cell r="C2274" t="str">
            <v>!!CODIGO ANTIGUO, VERIFICAR HOJA PRODUCTO!!</v>
          </cell>
          <cell r="D2274" t="str">
            <v>ERROR</v>
          </cell>
        </row>
        <row r="2275">
          <cell r="B2275">
            <v>4101003</v>
          </cell>
          <cell r="C2275" t="str">
            <v>!!CODIGO ANTIGUO, VERIFICAR HOJA PRODUCTO!!</v>
          </cell>
          <cell r="D2275" t="str">
            <v>ERROR</v>
          </cell>
        </row>
        <row r="2276">
          <cell r="B2276">
            <v>4101004</v>
          </cell>
          <cell r="C2276" t="str">
            <v>!!CODIGO ANTIGUO, VERIFICAR HOJA PRODUCTO!!</v>
          </cell>
          <cell r="D2276" t="str">
            <v>ERROR</v>
          </cell>
        </row>
        <row r="2277">
          <cell r="B2277">
            <v>4101005</v>
          </cell>
          <cell r="C2277" t="str">
            <v>!!CODIGO ANTIGUO, VERIFICAR HOJA PRODUCTO!!</v>
          </cell>
          <cell r="D2277" t="str">
            <v>ERROR</v>
          </cell>
        </row>
        <row r="2278">
          <cell r="B2278">
            <v>41</v>
          </cell>
          <cell r="C2278" t="str">
            <v>!!CODIGO ANTIGUO, VERIFICAR HOJA PRODUCTO!!</v>
          </cell>
          <cell r="D2278" t="str">
            <v>ERROR</v>
          </cell>
        </row>
        <row r="2279">
          <cell r="B2279">
            <v>4101007</v>
          </cell>
          <cell r="C2279" t="str">
            <v>!!CODIGO ANTIGUO, VERIFICAR HOJA PRODUCTO!!</v>
          </cell>
          <cell r="D2279" t="str">
            <v>ERROR</v>
          </cell>
        </row>
        <row r="2280">
          <cell r="B2280">
            <v>4101008</v>
          </cell>
          <cell r="C2280" t="str">
            <v>!!CODIGO ANTIGUO, VERIFICAR HOJA PRODUCTO!!</v>
          </cell>
          <cell r="D2280" t="str">
            <v>ERROR</v>
          </cell>
        </row>
        <row r="2281">
          <cell r="B2281">
            <v>4101009</v>
          </cell>
          <cell r="C2281" t="str">
            <v>!!CODIGO ANTIGUO, VERIFICAR HOJA PRODUCTO!!</v>
          </cell>
          <cell r="D2281" t="str">
            <v>ERROR</v>
          </cell>
        </row>
        <row r="2282">
          <cell r="B2282">
            <v>4101010</v>
          </cell>
          <cell r="C2282" t="str">
            <v>!!CODIGO ANTIGUO, VERIFICAR HOJA PRODUCTO!!</v>
          </cell>
          <cell r="D2282" t="str">
            <v>ERROR</v>
          </cell>
        </row>
        <row r="2283">
          <cell r="B2283">
            <v>4101011</v>
          </cell>
          <cell r="C2283" t="str">
            <v>!!CODIGO ANTIGUO, VERIFICAR HOJA PRODUCTO!!</v>
          </cell>
          <cell r="D2283" t="str">
            <v>ERROR</v>
          </cell>
        </row>
        <row r="2284">
          <cell r="B2284">
            <v>4101012</v>
          </cell>
          <cell r="C2284" t="str">
            <v>!!CODIGO ANTIGUO, VERIFICAR HOJA PRODUCTO!!</v>
          </cell>
          <cell r="D2284" t="str">
            <v>ERROR</v>
          </cell>
        </row>
        <row r="2285">
          <cell r="B2285">
            <v>4101013</v>
          </cell>
          <cell r="C2285" t="str">
            <v>!!CODIGO ANTIGUO, VERIFICAR HOJA PRODUCTO!!</v>
          </cell>
          <cell r="D2285" t="str">
            <v>ERROR</v>
          </cell>
        </row>
        <row r="2286">
          <cell r="B2286">
            <v>4102002</v>
          </cell>
          <cell r="C2286" t="str">
            <v>!!CODIGO ANTIGUO, VERIFICAR HOJA PRODUCTO!!</v>
          </cell>
          <cell r="D2286" t="str">
            <v>ERROR</v>
          </cell>
        </row>
        <row r="2287">
          <cell r="B2287">
            <v>4102003</v>
          </cell>
          <cell r="C2287" t="str">
            <v>!!CODIGO ANTIGUO, VERIFICAR HOJA PRODUCTO!!</v>
          </cell>
          <cell r="D2287" t="str">
            <v>ERROR</v>
          </cell>
        </row>
        <row r="2288">
          <cell r="B2288">
            <v>4102007</v>
          </cell>
          <cell r="C2288" t="str">
            <v>!!CODIGO ANTIGUO, VERIFICAR HOJA PRODUCTO!!</v>
          </cell>
          <cell r="D2288" t="str">
            <v>ERROR</v>
          </cell>
        </row>
        <row r="2289">
          <cell r="B2289">
            <v>4102008</v>
          </cell>
          <cell r="C2289" t="str">
            <v>!!CODIGO ANTIGUO, VERIFICAR HOJA PRODUCTO!!</v>
          </cell>
          <cell r="D2289" t="str">
            <v>ERROR</v>
          </cell>
        </row>
        <row r="2290">
          <cell r="B2290">
            <v>4103000</v>
          </cell>
          <cell r="C2290" t="str">
            <v>!!CODIGO ANTIGUO, VERIFICAR HOJA PRODUCTO!!</v>
          </cell>
          <cell r="D2290" t="str">
            <v>ERROR</v>
          </cell>
        </row>
        <row r="2291">
          <cell r="B2291">
            <v>4103002</v>
          </cell>
          <cell r="C2291" t="str">
            <v>!!CODIGO ANTIGUO, VERIFICAR HOJA PRODUCTO!!</v>
          </cell>
          <cell r="D2291" t="str">
            <v>ERROR</v>
          </cell>
        </row>
        <row r="2292">
          <cell r="B2292">
            <v>4103003</v>
          </cell>
          <cell r="C2292" t="str">
            <v>!!CODIGO ANTIGUO, VERIFICAR HOJA PRODUCTO!!</v>
          </cell>
          <cell r="D2292" t="str">
            <v>ERROR</v>
          </cell>
        </row>
        <row r="2293">
          <cell r="B2293">
            <v>4103004</v>
          </cell>
          <cell r="C2293" t="str">
            <v>!!CODIGO ANTIGUO, VERIFICAR HOJA PRODUCTO!!</v>
          </cell>
          <cell r="D2293" t="str">
            <v>ERROR</v>
          </cell>
        </row>
        <row r="2294">
          <cell r="B2294">
            <v>4103005</v>
          </cell>
          <cell r="C2294" t="str">
            <v>!!CODIGO ANTIGUO, VERIFICAR HOJA PRODUCTO!!</v>
          </cell>
          <cell r="D2294" t="str">
            <v>ERROR</v>
          </cell>
        </row>
        <row r="2295">
          <cell r="B2295">
            <v>4103006</v>
          </cell>
          <cell r="C2295" t="str">
            <v>!!CODIGO ANTIGUO, VERIFICAR HOJA PRODUCTO!!</v>
          </cell>
          <cell r="D2295" t="str">
            <v>ERROR</v>
          </cell>
        </row>
        <row r="2296">
          <cell r="B2296">
            <v>4103007</v>
          </cell>
          <cell r="C2296" t="str">
            <v>!!CODIGO ANTIGUO, VERIFICAR HOJA PRODUCTO!!</v>
          </cell>
          <cell r="D2296" t="str">
            <v>ERROR</v>
          </cell>
        </row>
        <row r="2297">
          <cell r="B2297">
            <v>4103008</v>
          </cell>
          <cell r="C2297" t="str">
            <v>!!CODIGO ANTIGUO, VERIFICAR HOJA PRODUCTO!!</v>
          </cell>
          <cell r="D2297" t="str">
            <v>ERROR</v>
          </cell>
        </row>
        <row r="2298">
          <cell r="B2298">
            <v>4103009</v>
          </cell>
          <cell r="C2298" t="str">
            <v>!!CODIGO ANTIGUO, VERIFICAR HOJA PRODUCTO!!</v>
          </cell>
          <cell r="D2298" t="str">
            <v>ERROR</v>
          </cell>
        </row>
        <row r="2299">
          <cell r="B2299">
            <v>4104000</v>
          </cell>
          <cell r="C2299" t="str">
            <v>!!CODIGO ANTIGUO, VERIFICAR HOJA PRODUCTO!!</v>
          </cell>
          <cell r="D2299" t="str">
            <v>ERROR</v>
          </cell>
        </row>
        <row r="2300">
          <cell r="B2300">
            <v>4104001</v>
          </cell>
          <cell r="C2300" t="str">
            <v>!!CODIGO ANTIGUO, VERIFICAR HOJA PRODUCTO!!</v>
          </cell>
          <cell r="D2300" t="str">
            <v>ERROR</v>
          </cell>
        </row>
        <row r="2301">
          <cell r="B2301">
            <v>4104002</v>
          </cell>
          <cell r="C2301" t="str">
            <v>!!CODIGO ANTIGUO, VERIFICAR HOJA PRODUCTO!!</v>
          </cell>
          <cell r="D2301" t="str">
            <v>ERROR</v>
          </cell>
        </row>
        <row r="2302">
          <cell r="B2302">
            <v>4104003</v>
          </cell>
          <cell r="C2302" t="str">
            <v>!!CODIGO ANTIGUO, VERIFICAR HOJA PRODUCTO!!</v>
          </cell>
          <cell r="D2302" t="str">
            <v>ERROR</v>
          </cell>
        </row>
        <row r="2303">
          <cell r="B2303">
            <v>4104004</v>
          </cell>
          <cell r="C2303" t="str">
            <v>!!CODIGO ANTIGUO, VERIFICAR HOJA PRODUCTO!!</v>
          </cell>
          <cell r="D2303" t="str">
            <v>ERROR</v>
          </cell>
        </row>
        <row r="2304">
          <cell r="B2304">
            <v>4104005</v>
          </cell>
          <cell r="C2304" t="str">
            <v>!!CODIGO ANTIGUO, VERIFICAR HOJA PRODUCTO!!</v>
          </cell>
          <cell r="D2304" t="str">
            <v>ERROR</v>
          </cell>
        </row>
        <row r="2305">
          <cell r="B2305">
            <v>4104006</v>
          </cell>
          <cell r="C2305" t="str">
            <v>!!CODIGO ANTIGUO, VERIFICAR HOJA PRODUCTO!!</v>
          </cell>
          <cell r="D2305" t="str">
            <v>ERROR</v>
          </cell>
        </row>
        <row r="2306">
          <cell r="B2306">
            <v>4104007</v>
          </cell>
          <cell r="C2306" t="str">
            <v>!!CODIGO ANTIGUO, VERIFICAR HOJA PRODUCTO!!</v>
          </cell>
          <cell r="D2306" t="str">
            <v>ERROR</v>
          </cell>
        </row>
        <row r="2307">
          <cell r="B2307">
            <v>4104008</v>
          </cell>
          <cell r="C2307" t="str">
            <v>!!CODIGO ANTIGUO, VERIFICAR HOJA PRODUCTO!!</v>
          </cell>
          <cell r="D2307" t="str">
            <v>ERROR</v>
          </cell>
        </row>
        <row r="2308">
          <cell r="B2308">
            <v>4104009</v>
          </cell>
          <cell r="C2308" t="str">
            <v>!!CODIGO ANTIGUO, VERIFICAR HOJA PRODUCTO!!</v>
          </cell>
          <cell r="D2308" t="str">
            <v>ERROR</v>
          </cell>
        </row>
        <row r="2309">
          <cell r="B2309">
            <v>4104010</v>
          </cell>
          <cell r="C2309" t="str">
            <v>!!CODIGO ANTIGUO, VERIFICAR HOJA PRODUCTO!!</v>
          </cell>
          <cell r="D2309" t="str">
            <v>ERROR</v>
          </cell>
        </row>
        <row r="2310">
          <cell r="B2310">
            <v>4104011</v>
          </cell>
          <cell r="C2310" t="str">
            <v>!!CODIGO ANTIGUO, VERIFICAR HOJA PRODUCTO!!</v>
          </cell>
          <cell r="D2310" t="str">
            <v>ERROR</v>
          </cell>
        </row>
        <row r="2311">
          <cell r="B2311">
            <v>4104012</v>
          </cell>
          <cell r="C2311" t="str">
            <v>!!CODIGO ANTIGUO, VERIFICAR HOJA PRODUCTO!!</v>
          </cell>
          <cell r="D2311" t="str">
            <v>ERROR</v>
          </cell>
        </row>
        <row r="2312">
          <cell r="B2312">
            <v>4104013</v>
          </cell>
          <cell r="C2312" t="str">
            <v>!!CODIGO ANTIGUO, VERIFICAR HOJA PRODUCTO!!</v>
          </cell>
          <cell r="D2312" t="str">
            <v>ERROR</v>
          </cell>
        </row>
        <row r="2313">
          <cell r="B2313">
            <v>4104014</v>
          </cell>
          <cell r="C2313" t="str">
            <v>!!CODIGO ANTIGUO, VERIFICAR HOJA PRODUCTO!!</v>
          </cell>
          <cell r="D2313" t="str">
            <v>ERROR</v>
          </cell>
        </row>
        <row r="2314">
          <cell r="B2314">
            <v>4104015</v>
          </cell>
          <cell r="C2314" t="str">
            <v>!!CODIGO ANTIGUO, VERIFICAR HOJA PRODUCTO!!</v>
          </cell>
          <cell r="D2314" t="str">
            <v>ERROR</v>
          </cell>
        </row>
        <row r="2315">
          <cell r="B2315">
            <v>4104016</v>
          </cell>
          <cell r="C2315" t="str">
            <v>!!CODIGO ANTIGUO, VERIFICAR HOJA PRODUCTO!!</v>
          </cell>
          <cell r="D2315" t="str">
            <v>ERROR</v>
          </cell>
        </row>
        <row r="2316">
          <cell r="B2316">
            <v>4104017</v>
          </cell>
          <cell r="C2316" t="str">
            <v>!!CODIGO ANTIGUO, VERIFICAR HOJA PRODUCTO!!</v>
          </cell>
          <cell r="D2316" t="str">
            <v>ERROR</v>
          </cell>
        </row>
        <row r="2317">
          <cell r="B2317">
            <v>4104018</v>
          </cell>
          <cell r="C2317" t="str">
            <v>!!CODIGO ANTIGUO, VERIFICAR HOJA PRODUCTO!!</v>
          </cell>
          <cell r="D2317" t="str">
            <v>ERROR</v>
          </cell>
        </row>
        <row r="2318">
          <cell r="B2318">
            <v>4104020</v>
          </cell>
          <cell r="C2318" t="str">
            <v>!!CODIGO ANTIGUO, VERIFICAR HOJA PRODUCTO!!</v>
          </cell>
          <cell r="D2318" t="str">
            <v>ERROR</v>
          </cell>
        </row>
        <row r="2319">
          <cell r="B2319">
            <v>4104021</v>
          </cell>
          <cell r="C2319" t="str">
            <v>!!CODIGO ANTIGUO, VERIFICAR HOJA PRODUCTO!!</v>
          </cell>
          <cell r="D2319" t="str">
            <v>ERROR</v>
          </cell>
        </row>
        <row r="2320">
          <cell r="B2320">
            <v>4104022</v>
          </cell>
          <cell r="C2320" t="str">
            <v>!!CODIGO ANTIGUO, VERIFICAR HOJA PRODUCTO!!</v>
          </cell>
          <cell r="D2320" t="str">
            <v>ERROR</v>
          </cell>
        </row>
        <row r="2321">
          <cell r="B2321">
            <v>4104023</v>
          </cell>
          <cell r="C2321" t="str">
            <v>!!CODIGO ANTIGUO, VERIFICAR HOJA PRODUCTO!!</v>
          </cell>
          <cell r="D2321" t="str">
            <v>ERROR</v>
          </cell>
        </row>
        <row r="2322">
          <cell r="B2322">
            <v>4104024</v>
          </cell>
          <cell r="C2322" t="str">
            <v>!!CODIGO ANTIGUO, VERIFICAR HOJA PRODUCTO!!</v>
          </cell>
          <cell r="D2322" t="str">
            <v>ERROR</v>
          </cell>
        </row>
        <row r="2323">
          <cell r="B2323">
            <v>4104025</v>
          </cell>
          <cell r="C2323" t="str">
            <v>!!CODIGO ANTIGUO, VERIFICAR HOJA PRODUCTO!!</v>
          </cell>
          <cell r="D2323" t="str">
            <v>ERROR</v>
          </cell>
        </row>
        <row r="2324">
          <cell r="B2324">
            <v>4104026</v>
          </cell>
          <cell r="C2324" t="str">
            <v>!!CODIGO ANTIGUO, VERIFICAR HOJA PRODUCTO!!</v>
          </cell>
          <cell r="D2324" t="str">
            <v>ERROR</v>
          </cell>
        </row>
        <row r="2325">
          <cell r="B2325">
            <v>4104027</v>
          </cell>
          <cell r="C2325" t="str">
            <v>!!CODIGO ANTIGUO, VERIFICAR HOJA PRODUCTO!!</v>
          </cell>
          <cell r="D2325" t="str">
            <v>ERROR</v>
          </cell>
        </row>
        <row r="2326">
          <cell r="B2326">
            <v>4104028</v>
          </cell>
          <cell r="C2326" t="str">
            <v>!!CODIGO ANTIGUO, VERIFICAR HOJA PRODUCTO!!</v>
          </cell>
          <cell r="D2326" t="str">
            <v>ERROR</v>
          </cell>
        </row>
        <row r="2327">
          <cell r="B2327">
            <v>4104029</v>
          </cell>
          <cell r="C2327" t="str">
            <v>!!CODIGO ANTIGUO, VERIFICAR HOJA PRODUCTO!!</v>
          </cell>
          <cell r="D2327" t="str">
            <v>ERROR</v>
          </cell>
        </row>
        <row r="2328">
          <cell r="B2328">
            <v>4104030</v>
          </cell>
          <cell r="C2328" t="str">
            <v>!!CODIGO ANTIGUO, VERIFICAR HOJA PRODUCTO!!</v>
          </cell>
          <cell r="D2328" t="str">
            <v>ERROR</v>
          </cell>
        </row>
        <row r="2329">
          <cell r="B2329">
            <v>4104031</v>
          </cell>
          <cell r="C2329" t="str">
            <v>!!CODIGO ANTIGUO, VERIFICAR HOJA PRODUCTO!!</v>
          </cell>
          <cell r="D2329" t="str">
            <v>ERROR</v>
          </cell>
        </row>
        <row r="2330">
          <cell r="B2330">
            <v>4104032</v>
          </cell>
          <cell r="C2330" t="str">
            <v>!!CODIGO ANTIGUO, VERIFICAR HOJA PRODUCTO!!</v>
          </cell>
          <cell r="D2330" t="str">
            <v>ERROR</v>
          </cell>
        </row>
        <row r="2331">
          <cell r="B2331">
            <v>4104033</v>
          </cell>
          <cell r="C2331" t="str">
            <v>!!CODIGO ANTIGUO, VERIFICAR HOJA PRODUCTO!!</v>
          </cell>
          <cell r="D2331" t="str">
            <v>ERROR</v>
          </cell>
        </row>
        <row r="2332">
          <cell r="B2332">
            <v>4104034</v>
          </cell>
          <cell r="C2332" t="str">
            <v>!!CODIGO ANTIGUO, VERIFICAR HOJA PRODUCTO!!</v>
          </cell>
          <cell r="D2332" t="str">
            <v>ERROR</v>
          </cell>
        </row>
        <row r="2333">
          <cell r="B2333">
            <v>4104035</v>
          </cell>
          <cell r="C2333" t="str">
            <v>!!CODIGO ANTIGUO, VERIFICAR HOJA PRODUCTO!!</v>
          </cell>
          <cell r="D2333" t="str">
            <v>ERROR</v>
          </cell>
        </row>
        <row r="2334">
          <cell r="B2334">
            <v>4104036</v>
          </cell>
          <cell r="C2334" t="str">
            <v>!!CODIGO ANTIGUO, VERIFICAR HOJA PRODUCTO!!</v>
          </cell>
          <cell r="D2334" t="str">
            <v>ERROR</v>
          </cell>
        </row>
        <row r="2335">
          <cell r="B2335">
            <v>4104037</v>
          </cell>
          <cell r="C2335" t="str">
            <v>!!CODIGO ANTIGUO, VERIFICAR HOJA PRODUCTO!!</v>
          </cell>
          <cell r="D2335" t="str">
            <v>ERROR</v>
          </cell>
        </row>
        <row r="2336">
          <cell r="B2336">
            <v>4104038</v>
          </cell>
          <cell r="C2336" t="str">
            <v>!!CODIGO ANTIGUO, VERIFICAR HOJA PRODUCTO!!</v>
          </cell>
          <cell r="D2336" t="str">
            <v>ERROR</v>
          </cell>
        </row>
        <row r="2337">
          <cell r="B2337">
            <v>4104039</v>
          </cell>
          <cell r="C2337" t="str">
            <v>!!CODIGO ANTIGUO, VERIFICAR HOJA PRODUCTO!!</v>
          </cell>
          <cell r="D2337" t="str">
            <v>ERROR</v>
          </cell>
        </row>
        <row r="2338">
          <cell r="B2338">
            <v>4104040</v>
          </cell>
          <cell r="C2338" t="str">
            <v>!!CODIGO ANTIGUO, VERIFICAR HOJA PRODUCTO!!</v>
          </cell>
          <cell r="D2338" t="str">
            <v>ERROR</v>
          </cell>
        </row>
        <row r="2339">
          <cell r="B2339">
            <v>4104041</v>
          </cell>
          <cell r="C2339" t="str">
            <v>!!CODIGO ANTIGUO, VERIFICAR HOJA PRODUCTO!!</v>
          </cell>
          <cell r="D2339" t="str">
            <v>ERROR</v>
          </cell>
        </row>
        <row r="2340">
          <cell r="B2340">
            <v>4104042</v>
          </cell>
          <cell r="C2340" t="str">
            <v>!!CODIGO ANTIGUO, VERIFICAR HOJA PRODUCTO!!</v>
          </cell>
          <cell r="D2340" t="str">
            <v>ERROR</v>
          </cell>
        </row>
        <row r="2341">
          <cell r="B2341">
            <v>4104043</v>
          </cell>
          <cell r="C2341" t="str">
            <v>!!CODIGO ANTIGUO, VERIFICAR HOJA PRODUCTO!!</v>
          </cell>
          <cell r="D2341" t="str">
            <v>ERROR</v>
          </cell>
        </row>
        <row r="2342">
          <cell r="B2342">
            <v>4104044</v>
          </cell>
          <cell r="C2342" t="str">
            <v>!!CODIGO ANTIGUO, VERIFICAR HOJA PRODUCTO!!</v>
          </cell>
          <cell r="D2342" t="str">
            <v>ERROR</v>
          </cell>
        </row>
        <row r="2343">
          <cell r="B2343">
            <v>4104045</v>
          </cell>
          <cell r="C2343" t="str">
            <v>!!CODIGO ANTIGUO, VERIFICAR HOJA PRODUCTO!!</v>
          </cell>
          <cell r="D2343" t="str">
            <v>ERROR</v>
          </cell>
        </row>
        <row r="2344">
          <cell r="B2344">
            <v>4104046</v>
          </cell>
          <cell r="C2344" t="str">
            <v>!!CODIGO ANTIGUO, VERIFICAR HOJA PRODUCTO!!</v>
          </cell>
          <cell r="D2344" t="str">
            <v>ERROR</v>
          </cell>
        </row>
        <row r="2345">
          <cell r="B2345">
            <v>4104047</v>
          </cell>
          <cell r="C2345" t="str">
            <v>!!CODIGO ANTIGUO, VERIFICAR HOJA PRODUCTO!!</v>
          </cell>
          <cell r="D2345" t="str">
            <v>ERROR</v>
          </cell>
        </row>
        <row r="2346">
          <cell r="B2346">
            <v>4104048</v>
          </cell>
          <cell r="C2346" t="str">
            <v>!!CODIGO ANTIGUO, VERIFICAR HOJA PRODUCTO!!</v>
          </cell>
          <cell r="D2346" t="str">
            <v>ERROR</v>
          </cell>
        </row>
        <row r="2347">
          <cell r="B2347">
            <v>4104049</v>
          </cell>
          <cell r="C2347" t="str">
            <v>!!CODIGO ANTIGUO, VERIFICAR HOJA PRODUCTO!!</v>
          </cell>
          <cell r="D2347" t="str">
            <v>ERROR</v>
          </cell>
        </row>
        <row r="2348">
          <cell r="B2348">
            <v>4104051</v>
          </cell>
          <cell r="C2348" t="str">
            <v>!!CODIGO ANTIGUO, VERIFICAR HOJA PRODUCTO!!</v>
          </cell>
          <cell r="D2348" t="str">
            <v>ERROR</v>
          </cell>
        </row>
        <row r="2349">
          <cell r="B2349">
            <v>4104052</v>
          </cell>
          <cell r="C2349" t="str">
            <v>!!CODIGO ANTIGUO, VERIFICAR HOJA PRODUCTO!!</v>
          </cell>
          <cell r="D2349" t="str">
            <v>ERROR</v>
          </cell>
        </row>
        <row r="2350">
          <cell r="B2350">
            <v>4104053</v>
          </cell>
          <cell r="C2350" t="str">
            <v>!!CODIGO ANTIGUO, VERIFICAR HOJA PRODUCTO!!</v>
          </cell>
          <cell r="D2350" t="str">
            <v>ERROR</v>
          </cell>
        </row>
        <row r="2351">
          <cell r="B2351">
            <v>4104054</v>
          </cell>
          <cell r="C2351" t="str">
            <v>!!CODIGO ANTIGUO, VERIFICAR HOJA PRODUCTO!!</v>
          </cell>
          <cell r="D2351" t="str">
            <v>ERROR</v>
          </cell>
        </row>
        <row r="2352">
          <cell r="B2352">
            <v>4104055</v>
          </cell>
          <cell r="C2352" t="str">
            <v>!!CODIGO ANTIGUO, VERIFICAR HOJA PRODUCTO!!</v>
          </cell>
          <cell r="D2352" t="str">
            <v>ERROR</v>
          </cell>
        </row>
        <row r="2353">
          <cell r="B2353">
            <v>4104056</v>
          </cell>
          <cell r="C2353" t="str">
            <v>!!CODIGO ANTIGUO, VERIFICAR HOJA PRODUCTO!!</v>
          </cell>
          <cell r="D2353" t="str">
            <v>ERROR</v>
          </cell>
        </row>
        <row r="2354">
          <cell r="B2354">
            <v>4104057</v>
          </cell>
          <cell r="C2354" t="str">
            <v>!!CODIGO ANTIGUO, VERIFICAR HOJA PRODUCTO!!</v>
          </cell>
          <cell r="D2354" t="str">
            <v>ERROR</v>
          </cell>
        </row>
        <row r="2355">
          <cell r="B2355">
            <v>4104058</v>
          </cell>
          <cell r="C2355" t="str">
            <v>!!CODIGO ANTIGUO, VERIFICAR HOJA PRODUCTO!!</v>
          </cell>
          <cell r="D2355" t="str">
            <v>ERROR</v>
          </cell>
        </row>
        <row r="2356">
          <cell r="B2356">
            <v>4104059</v>
          </cell>
          <cell r="C2356" t="str">
            <v>!!CODIGO ANTIGUO, VERIFICAR HOJA PRODUCTO!!</v>
          </cell>
          <cell r="D2356" t="str">
            <v>ERROR</v>
          </cell>
        </row>
        <row r="2357">
          <cell r="B2357">
            <v>4104060</v>
          </cell>
          <cell r="C2357" t="str">
            <v>!!CODIGO ANTIGUO, VERIFICAR HOJA PRODUCTO!!</v>
          </cell>
          <cell r="D2357" t="str">
            <v>ERROR</v>
          </cell>
        </row>
        <row r="2358">
          <cell r="B2358">
            <v>4104061</v>
          </cell>
          <cell r="C2358" t="str">
            <v>!!CODIGO ANTIGUO, VERIFICAR HOJA PRODUCTO!!</v>
          </cell>
          <cell r="D2358" t="str">
            <v>ERROR</v>
          </cell>
        </row>
        <row r="2359">
          <cell r="B2359">
            <v>4104062</v>
          </cell>
          <cell r="C2359" t="str">
            <v>!!CODIGO ANTIGUO, VERIFICAR HOJA PRODUCTO!!</v>
          </cell>
          <cell r="D2359" t="str">
            <v>ERROR</v>
          </cell>
        </row>
        <row r="2360">
          <cell r="B2360">
            <v>4104063</v>
          </cell>
          <cell r="C2360" t="str">
            <v>!!CODIGO ANTIGUO, VERIFICAR HOJA PRODUCTO!!</v>
          </cell>
          <cell r="D2360" t="str">
            <v>ERROR</v>
          </cell>
        </row>
        <row r="2361">
          <cell r="B2361">
            <v>4104064</v>
          </cell>
          <cell r="C2361" t="str">
            <v>!!CODIGO ANTIGUO, VERIFICAR HOJA PRODUCTO!!</v>
          </cell>
          <cell r="D2361" t="str">
            <v>ERROR</v>
          </cell>
        </row>
        <row r="2362">
          <cell r="B2362">
            <v>4104065</v>
          </cell>
          <cell r="C2362" t="str">
            <v>!!CODIGO ANTIGUO, VERIFICAR HOJA PRODUCTO!!</v>
          </cell>
          <cell r="D2362" t="str">
            <v>ERROR</v>
          </cell>
        </row>
        <row r="2363">
          <cell r="B2363">
            <v>4104066</v>
          </cell>
          <cell r="C2363" t="str">
            <v>!!CODIGO ANTIGUO, VERIFICAR HOJA PRODUCTO!!</v>
          </cell>
          <cell r="D2363" t="str">
            <v>ERROR</v>
          </cell>
        </row>
        <row r="2364">
          <cell r="B2364">
            <v>4104067</v>
          </cell>
          <cell r="C2364" t="str">
            <v>!!CODIGO ANTIGUO, VERIFICAR HOJA PRODUCTO!!</v>
          </cell>
          <cell r="D2364" t="str">
            <v>ERROR</v>
          </cell>
        </row>
        <row r="2365">
          <cell r="B2365">
            <v>4104068</v>
          </cell>
          <cell r="C2365" t="str">
            <v>!!CODIGO ANTIGUO, VERIFICAR HOJA PRODUCTO!!</v>
          </cell>
          <cell r="D2365" t="str">
            <v>ERROR</v>
          </cell>
        </row>
        <row r="2366">
          <cell r="B2366">
            <v>4104069</v>
          </cell>
          <cell r="C2366" t="str">
            <v>!!CODIGO ANTIGUO, VERIFICAR HOJA PRODUCTO!!</v>
          </cell>
          <cell r="D2366" t="str">
            <v>ERROR</v>
          </cell>
        </row>
        <row r="2367">
          <cell r="B2367">
            <v>4104070</v>
          </cell>
          <cell r="C2367" t="str">
            <v>!!CODIGO ANTIGUO, VERIFICAR HOJA PRODUCTO!!</v>
          </cell>
          <cell r="D2367" t="str">
            <v>ERROR</v>
          </cell>
        </row>
        <row r="2368">
          <cell r="B2368">
            <v>4104071</v>
          </cell>
          <cell r="C2368" t="str">
            <v>!!CODIGO ANTIGUO, VERIFICAR HOJA PRODUCTO!!</v>
          </cell>
          <cell r="D2368" t="str">
            <v>ERROR</v>
          </cell>
        </row>
        <row r="2369">
          <cell r="B2369">
            <v>4104072</v>
          </cell>
          <cell r="C2369" t="str">
            <v>!!CODIGO ANTIGUO, VERIFICAR HOJA PRODUCTO!!</v>
          </cell>
          <cell r="D2369" t="str">
            <v>ERROR</v>
          </cell>
        </row>
        <row r="2370">
          <cell r="B2370">
            <v>4104073</v>
          </cell>
          <cell r="C2370" t="str">
            <v>!!CODIGO ANTIGUO, VERIFICAR HOJA PRODUCTO!!</v>
          </cell>
          <cell r="D2370" t="str">
            <v>ERROR</v>
          </cell>
        </row>
        <row r="2371">
          <cell r="B2371">
            <v>4104074</v>
          </cell>
          <cell r="C2371" t="str">
            <v>!!CODIGO ANTIGUO, VERIFICAR HOJA PRODUCTO!!</v>
          </cell>
          <cell r="D2371" t="str">
            <v>ERROR</v>
          </cell>
        </row>
        <row r="2372">
          <cell r="B2372">
            <v>4201000</v>
          </cell>
          <cell r="C2372" t="str">
            <v>!!CODIGO ANTIGUO, VERIFICAR HOJA PRODUCTO!!</v>
          </cell>
          <cell r="D2372" t="str">
            <v>ERROR</v>
          </cell>
        </row>
        <row r="2373">
          <cell r="B2373">
            <v>4201001</v>
          </cell>
          <cell r="C2373" t="str">
            <v>!!CODIGO ANTIGUO, VERIFICAR HOJA PRODUCTO!!</v>
          </cell>
          <cell r="D2373" t="str">
            <v>ERROR</v>
          </cell>
        </row>
        <row r="2374">
          <cell r="B2374">
            <v>4201002</v>
          </cell>
          <cell r="C2374" t="str">
            <v>!!CODIGO ANTIGUO, VERIFICAR HOJA PRODUCTO!!</v>
          </cell>
          <cell r="D2374" t="str">
            <v>ERROR</v>
          </cell>
        </row>
        <row r="2375">
          <cell r="B2375">
            <v>4201003</v>
          </cell>
          <cell r="C2375" t="str">
            <v>!!CODIGO ANTIGUO, VERIFICAR HOJA PRODUCTO!!</v>
          </cell>
          <cell r="D2375" t="str">
            <v>ERROR</v>
          </cell>
        </row>
        <row r="2376">
          <cell r="B2376">
            <v>4201004</v>
          </cell>
          <cell r="C2376" t="str">
            <v>!!CODIGO ANTIGUO, VERIFICAR HOJA PRODUCTO!!</v>
          </cell>
          <cell r="D2376" t="str">
            <v>ERROR</v>
          </cell>
        </row>
        <row r="2377">
          <cell r="B2377">
            <v>4201005</v>
          </cell>
          <cell r="C2377" t="str">
            <v>!!CODIGO ANTIGUO, VERIFICAR HOJA PRODUCTO!!</v>
          </cell>
          <cell r="D2377" t="str">
            <v>ERROR</v>
          </cell>
        </row>
        <row r="2378">
          <cell r="B2378">
            <v>4201006</v>
          </cell>
          <cell r="C2378" t="str">
            <v>!!CODIGO ANTIGUO, VERIFICAR HOJA PRODUCTO!!</v>
          </cell>
          <cell r="D2378" t="str">
            <v>ERROR</v>
          </cell>
        </row>
        <row r="2379">
          <cell r="B2379">
            <v>4201007</v>
          </cell>
          <cell r="C2379" t="str">
            <v>!!CODIGO ANTIGUO, VERIFICAR HOJA PRODUCTO!!</v>
          </cell>
          <cell r="D2379" t="str">
            <v>ERROR</v>
          </cell>
        </row>
        <row r="2380">
          <cell r="B2380">
            <v>4201008</v>
          </cell>
          <cell r="C2380" t="str">
            <v>!!CODIGO ANTIGUO, VERIFICAR HOJA PRODUCTO!!</v>
          </cell>
          <cell r="D2380" t="str">
            <v>ERROR</v>
          </cell>
        </row>
        <row r="2381">
          <cell r="B2381">
            <v>4201009</v>
          </cell>
          <cell r="C2381" t="str">
            <v>!!CODIGO ANTIGUO, VERIFICAR HOJA PRODUCTO!!</v>
          </cell>
          <cell r="D2381" t="str">
            <v>ERROR</v>
          </cell>
        </row>
        <row r="2382">
          <cell r="B2382">
            <v>4201010</v>
          </cell>
          <cell r="C2382" t="str">
            <v>!!CODIGO ANTIGUO, VERIFICAR HOJA PRODUCTO!!</v>
          </cell>
          <cell r="D2382" t="str">
            <v>ERROR</v>
          </cell>
        </row>
        <row r="2383">
          <cell r="B2383">
            <v>4201011</v>
          </cell>
          <cell r="C2383" t="str">
            <v>!!CODIGO ANTIGUO, VERIFICAR HOJA PRODUCTO!!</v>
          </cell>
          <cell r="D2383" t="str">
            <v>ERROR</v>
          </cell>
        </row>
        <row r="2384">
          <cell r="B2384">
            <v>4201012</v>
          </cell>
          <cell r="C2384" t="str">
            <v>!!CODIGO ANTIGUO, VERIFICAR HOJA PRODUCTO!!</v>
          </cell>
          <cell r="D2384" t="str">
            <v>ERROR</v>
          </cell>
        </row>
        <row r="2385">
          <cell r="B2385">
            <v>4201013</v>
          </cell>
          <cell r="C2385" t="str">
            <v>!!CODIGO ANTIGUO, VERIFICAR HOJA PRODUCTO!!</v>
          </cell>
          <cell r="D2385" t="str">
            <v>ERROR</v>
          </cell>
        </row>
        <row r="2386">
          <cell r="B2386">
            <v>4201014</v>
          </cell>
          <cell r="C2386" t="str">
            <v>!!CODIGO ANTIGUO, VERIFICAR HOJA PRODUCTO!!</v>
          </cell>
          <cell r="D2386" t="str">
            <v>ERROR</v>
          </cell>
        </row>
        <row r="2387">
          <cell r="B2387">
            <v>4201015</v>
          </cell>
          <cell r="C2387" t="str">
            <v>!!CODIGO ANTIGUO, VERIFICAR HOJA PRODUCTO!!</v>
          </cell>
          <cell r="D2387" t="str">
            <v>ERROR</v>
          </cell>
        </row>
        <row r="2388">
          <cell r="B2388">
            <v>4201016</v>
          </cell>
          <cell r="C2388" t="str">
            <v>!!CODIGO ANTIGUO, VERIFICAR HOJA PRODUCTO!!</v>
          </cell>
          <cell r="D2388" t="str">
            <v>ERROR</v>
          </cell>
        </row>
        <row r="2389">
          <cell r="B2389">
            <v>4201017</v>
          </cell>
          <cell r="C2389" t="str">
            <v>!!CODIGO ANTIGUO, VERIFICAR HOJA PRODUCTO!!</v>
          </cell>
          <cell r="D2389" t="str">
            <v>ERROR</v>
          </cell>
        </row>
        <row r="2390">
          <cell r="B2390">
            <v>6990943</v>
          </cell>
          <cell r="C2390" t="str">
            <v>!!CODIGO ANTIGUO, VERIFICAR HOJA PRODUCTO!!</v>
          </cell>
          <cell r="D2390" t="str">
            <v>ERROR</v>
          </cell>
        </row>
        <row r="2391">
          <cell r="B2391"/>
          <cell r="C2391"/>
          <cell r="D2391"/>
        </row>
        <row r="2392">
          <cell r="B2392">
            <v>7010000</v>
          </cell>
          <cell r="C2392" t="str">
            <v>!!CODIGO ANTIGUO, VERIFICAR HOJA PRODUCTO!!</v>
          </cell>
          <cell r="D2392" t="str">
            <v>ERROR</v>
          </cell>
        </row>
        <row r="2393">
          <cell r="B2393">
            <v>7010001</v>
          </cell>
          <cell r="C2393" t="str">
            <v>!!CODIGO ANTIGUO, VERIFICAR HOJA PRODUCTO!!</v>
          </cell>
          <cell r="D2393" t="str">
            <v>ERROR</v>
          </cell>
        </row>
        <row r="2394">
          <cell r="B2394">
            <v>7010002</v>
          </cell>
          <cell r="C2394" t="str">
            <v>!!CODIGO ANTIGUO, VERIFICAR HOJA PRODUCTO!!</v>
          </cell>
          <cell r="D2394" t="str">
            <v>ERROR</v>
          </cell>
        </row>
        <row r="2395">
          <cell r="B2395">
            <v>7010003</v>
          </cell>
          <cell r="C2395" t="str">
            <v>!!CODIGO ANTIGUO, VERIFICAR HOJA PRODUCTO!!</v>
          </cell>
          <cell r="D2395" t="str">
            <v>ERROR</v>
          </cell>
        </row>
        <row r="2396">
          <cell r="B2396">
            <v>7010004</v>
          </cell>
          <cell r="C2396" t="str">
            <v>!!CODIGO ANTIGUO, VERIFICAR HOJA PRODUCTO!!</v>
          </cell>
          <cell r="D2396" t="str">
            <v>ERROR</v>
          </cell>
        </row>
        <row r="2397">
          <cell r="B2397">
            <v>7010005</v>
          </cell>
          <cell r="C2397" t="str">
            <v>!!CODIGO ANTIGUO, VERIFICAR HOJA PRODUCTO!!</v>
          </cell>
          <cell r="D2397" t="str">
            <v>ERROR</v>
          </cell>
        </row>
        <row r="2398">
          <cell r="B2398">
            <v>7010006</v>
          </cell>
          <cell r="C2398" t="str">
            <v>!!CODIGO ANTIGUO, VERIFICAR HOJA PRODUCTO!!</v>
          </cell>
          <cell r="D2398" t="str">
            <v>ERROR</v>
          </cell>
        </row>
        <row r="2399">
          <cell r="B2399">
            <v>7010007</v>
          </cell>
          <cell r="C2399" t="str">
            <v>!!CODIGO ANTIGUO, VERIFICAR HOJA PRODUCTO!!</v>
          </cell>
          <cell r="D2399" t="str">
            <v>ERROR</v>
          </cell>
        </row>
        <row r="2400">
          <cell r="B2400">
            <v>7010008</v>
          </cell>
          <cell r="C2400" t="str">
            <v>!!CODIGO ANTIGUO, VERIFICAR HOJA PRODUCTO!!</v>
          </cell>
          <cell r="D2400" t="str">
            <v>ERROR</v>
          </cell>
        </row>
        <row r="2401">
          <cell r="B2401">
            <v>7010009</v>
          </cell>
          <cell r="C2401" t="str">
            <v>!!CODIGO ANTIGUO, VERIFICAR HOJA PRODUCTO!!</v>
          </cell>
          <cell r="D2401" t="str">
            <v>ERROR</v>
          </cell>
        </row>
        <row r="2402">
          <cell r="B2402">
            <v>7010010</v>
          </cell>
          <cell r="C2402" t="str">
            <v>!!CODIGO ANTIGUO, VERIFICAR HOJA PRODUCTO!!</v>
          </cell>
          <cell r="D2402" t="str">
            <v>ERROR</v>
          </cell>
        </row>
        <row r="2403">
          <cell r="B2403">
            <v>7010011</v>
          </cell>
          <cell r="C2403" t="str">
            <v>!!CODIGO ANTIGUO, VERIFICAR HOJA PRODUCTO!!</v>
          </cell>
          <cell r="D2403" t="str">
            <v>ERROR</v>
          </cell>
        </row>
        <row r="2404">
          <cell r="B2404">
            <v>7010012</v>
          </cell>
          <cell r="C2404" t="str">
            <v>!!CODIGO ANTIGUO, VERIFICAR HOJA PRODUCTO!!</v>
          </cell>
          <cell r="D2404" t="str">
            <v>ERROR</v>
          </cell>
        </row>
        <row r="2405">
          <cell r="B2405">
            <v>7010013</v>
          </cell>
          <cell r="C2405" t="str">
            <v>!!CODIGO ANTIGUO, VERIFICAR HOJA PRODUCTO!!</v>
          </cell>
          <cell r="D2405" t="str">
            <v>ERROR</v>
          </cell>
        </row>
        <row r="2406">
          <cell r="B2406">
            <v>7010014</v>
          </cell>
          <cell r="C2406" t="str">
            <v>!!CODIGO ANTIGUO, VERIFICAR HOJA PRODUCTO!!</v>
          </cell>
          <cell r="D2406" t="str">
            <v>ERROR</v>
          </cell>
        </row>
        <row r="2407">
          <cell r="B2407">
            <v>7010015</v>
          </cell>
          <cell r="C2407" t="str">
            <v>!!CODIGO ANTIGUO, VERIFICAR HOJA PRODUCTO!!</v>
          </cell>
          <cell r="D2407" t="str">
            <v>ERROR</v>
          </cell>
        </row>
        <row r="2408">
          <cell r="B2408">
            <v>7010017</v>
          </cell>
          <cell r="C2408" t="str">
            <v>!!CODIGO ANTIGUO, VERIFICAR HOJA PRODUCTO!!</v>
          </cell>
          <cell r="D2408" t="str">
            <v>ERROR</v>
          </cell>
        </row>
        <row r="2409">
          <cell r="B2409">
            <v>7010018</v>
          </cell>
          <cell r="C2409" t="str">
            <v>!!CODIGO ANTIGUO, VERIFICAR HOJA PRODUCTO!!</v>
          </cell>
          <cell r="D2409" t="str">
            <v>ERROR</v>
          </cell>
        </row>
        <row r="2410">
          <cell r="B2410">
            <v>7010019</v>
          </cell>
          <cell r="C2410" t="str">
            <v>!!CODIGO ANTIGUO, VERIFICAR HOJA PRODUCTO!!</v>
          </cell>
          <cell r="D2410" t="str">
            <v>ERROR</v>
          </cell>
        </row>
        <row r="2411">
          <cell r="B2411">
            <v>7010020</v>
          </cell>
          <cell r="C2411" t="str">
            <v>!!CODIGO ANTIGUO, VERIFICAR HOJA PRODUCTO!!</v>
          </cell>
          <cell r="D2411" t="str">
            <v>ERROR</v>
          </cell>
        </row>
        <row r="2412">
          <cell r="B2412">
            <v>7010021</v>
          </cell>
          <cell r="C2412" t="str">
            <v>!!CODIGO ANTIGUO, VERIFICAR HOJA PRODUCTO!!</v>
          </cell>
          <cell r="D2412" t="str">
            <v>ERROR</v>
          </cell>
        </row>
        <row r="2413">
          <cell r="B2413">
            <v>7010022</v>
          </cell>
          <cell r="C2413" t="str">
            <v>!!CODIGO ANTIGUO, VERIFICAR HOJA PRODUCTO!!</v>
          </cell>
          <cell r="D2413" t="str">
            <v>ERROR</v>
          </cell>
        </row>
        <row r="2414">
          <cell r="B2414">
            <v>7010023</v>
          </cell>
          <cell r="C2414" t="str">
            <v>!!CODIGO ANTIGUO, VERIFICAR HOJA PRODUCTO!!</v>
          </cell>
          <cell r="D2414" t="str">
            <v>ERROR</v>
          </cell>
        </row>
        <row r="2415">
          <cell r="B2415">
            <v>7010024</v>
          </cell>
          <cell r="C2415" t="str">
            <v>!!CODIGO ANTIGUO, VERIFICAR HOJA PRODUCTO!!</v>
          </cell>
          <cell r="D2415" t="str">
            <v>ERROR</v>
          </cell>
        </row>
        <row r="2416">
          <cell r="B2416">
            <v>7010033</v>
          </cell>
          <cell r="C2416" t="str">
            <v>!!CODIGO ANTIGUO, VERIFICAR HOJA PRODUCTO!!</v>
          </cell>
          <cell r="D2416" t="str">
            <v>ERROR</v>
          </cell>
        </row>
        <row r="2417">
          <cell r="B2417">
            <v>7010034</v>
          </cell>
          <cell r="C2417" t="str">
            <v>!!CODIGO ANTIGUO, VERIFICAR HOJA PRODUCTO!!</v>
          </cell>
          <cell r="D2417" t="str">
            <v>ERROR</v>
          </cell>
        </row>
        <row r="2418">
          <cell r="B2418">
            <v>7010035</v>
          </cell>
          <cell r="C2418" t="str">
            <v>!!CODIGO ANTIGUO, VERIFICAR HOJA PRODUCTO!!</v>
          </cell>
          <cell r="D2418" t="str">
            <v>ERROR</v>
          </cell>
        </row>
        <row r="2419">
          <cell r="B2419">
            <v>7010036</v>
          </cell>
          <cell r="C2419" t="str">
            <v>!!CODIGO ANTIGUO, VERIFICAR HOJA PRODUCTO!!</v>
          </cell>
          <cell r="D2419" t="str">
            <v>ERROR</v>
          </cell>
        </row>
        <row r="2420">
          <cell r="B2420">
            <v>7010037</v>
          </cell>
          <cell r="C2420" t="str">
            <v>!!CODIGO ANTIGUO, VERIFICAR HOJA PRODUCTO!!</v>
          </cell>
          <cell r="D2420" t="str">
            <v>ERROR</v>
          </cell>
        </row>
        <row r="2421">
          <cell r="B2421">
            <v>7010038</v>
          </cell>
          <cell r="C2421" t="str">
            <v>!!CODIGO ANTIGUO, VERIFICAR HOJA PRODUCTO!!</v>
          </cell>
          <cell r="D2421" t="str">
            <v>ERROR</v>
          </cell>
        </row>
        <row r="2422">
          <cell r="B2422">
            <v>7010007</v>
          </cell>
          <cell r="C2422" t="str">
            <v>!!CODIGO ANTIGUO, VERIFICAR HOJA PRODUCTO!!</v>
          </cell>
          <cell r="D2422" t="str">
            <v>ERROR</v>
          </cell>
        </row>
        <row r="2423">
          <cell r="B2423">
            <v>7011000</v>
          </cell>
          <cell r="C2423" t="str">
            <v>!!CODIGO ANTIGUO, VERIFICAR HOJA PRODUCTO!!</v>
          </cell>
          <cell r="D2423" t="str">
            <v>ERROR</v>
          </cell>
        </row>
        <row r="2424">
          <cell r="B2424">
            <v>7011014</v>
          </cell>
          <cell r="C2424" t="str">
            <v>!!CODIGO ANTIGUO, VERIFICAR HOJA PRODUCTO!!</v>
          </cell>
          <cell r="D2424" t="str">
            <v>ERROR</v>
          </cell>
        </row>
        <row r="2425">
          <cell r="B2425">
            <v>7011015</v>
          </cell>
          <cell r="C2425" t="str">
            <v>!!CODIGO ANTIGUO, VERIFICAR HOJA PRODUCTO!!</v>
          </cell>
          <cell r="D2425" t="str">
            <v>ERROR</v>
          </cell>
        </row>
        <row r="2426">
          <cell r="B2426">
            <v>7011016</v>
          </cell>
          <cell r="C2426" t="str">
            <v>!!CODIGO ANTIGUO, VERIFICAR HOJA PRODUCTO!!</v>
          </cell>
          <cell r="D2426" t="str">
            <v>ERROR</v>
          </cell>
        </row>
        <row r="2427">
          <cell r="B2427">
            <v>7011017</v>
          </cell>
          <cell r="C2427" t="str">
            <v>!!CODIGO ANTIGUO, VERIFICAR HOJA PRODUCTO!!</v>
          </cell>
          <cell r="D2427" t="str">
            <v>ERROR</v>
          </cell>
        </row>
        <row r="2428">
          <cell r="B2428">
            <v>7011018</v>
          </cell>
          <cell r="C2428" t="str">
            <v>!!CODIGO ANTIGUO, VERIFICAR HOJA PRODUCTO!!</v>
          </cell>
          <cell r="D2428" t="str">
            <v>ERROR</v>
          </cell>
        </row>
        <row r="2429">
          <cell r="B2429">
            <v>7011019</v>
          </cell>
          <cell r="C2429" t="str">
            <v>!!CODIGO ANTIGUO, VERIFICAR HOJA PRODUCTO!!</v>
          </cell>
          <cell r="D2429" t="str">
            <v>ERROR</v>
          </cell>
        </row>
        <row r="2430">
          <cell r="B2430">
            <v>7011020</v>
          </cell>
          <cell r="C2430" t="str">
            <v>!!CODIGO ANTIGUO, VERIFICAR HOJA PRODUCTO!!</v>
          </cell>
          <cell r="D2430" t="str">
            <v>ERROR</v>
          </cell>
        </row>
        <row r="2431">
          <cell r="B2431">
            <v>7011021</v>
          </cell>
          <cell r="C2431" t="str">
            <v>!!CODIGO ANTIGUO, VERIFICAR HOJA PRODUCTO!!</v>
          </cell>
          <cell r="D2431" t="str">
            <v>ERROR</v>
          </cell>
        </row>
        <row r="2432">
          <cell r="B2432">
            <v>7011022</v>
          </cell>
          <cell r="C2432" t="str">
            <v>!!CODIGO ANTIGUO, VERIFICAR HOJA PRODUCTO!!</v>
          </cell>
          <cell r="D2432" t="str">
            <v>ERROR</v>
          </cell>
        </row>
        <row r="2433">
          <cell r="B2433">
            <v>7011023</v>
          </cell>
          <cell r="C2433" t="str">
            <v>!!CODIGO ANTIGUO, VERIFICAR HOJA PRODUCTO!!</v>
          </cell>
          <cell r="D2433" t="str">
            <v>ERROR</v>
          </cell>
        </row>
        <row r="2434">
          <cell r="B2434">
            <v>7011024</v>
          </cell>
          <cell r="C2434" t="str">
            <v>!!CODIGO ANTIGUO, VERIFICAR HOJA PRODUCTO!!</v>
          </cell>
          <cell r="D2434" t="str">
            <v>ERROR</v>
          </cell>
        </row>
        <row r="2435">
          <cell r="B2435">
            <v>7011025</v>
          </cell>
          <cell r="C2435" t="str">
            <v>!!CODIGO ANTIGUO, VERIFICAR HOJA PRODUCTO!!</v>
          </cell>
          <cell r="D2435" t="str">
            <v>ERROR</v>
          </cell>
        </row>
        <row r="2436">
          <cell r="B2436">
            <v>7011027</v>
          </cell>
          <cell r="C2436" t="str">
            <v>!!CODIGO ANTIGUO, VERIFICAR HOJA PRODUCTO!!</v>
          </cell>
          <cell r="D2436" t="str">
            <v>ERROR</v>
          </cell>
        </row>
        <row r="2437">
          <cell r="B2437">
            <v>7011034</v>
          </cell>
          <cell r="C2437" t="str">
            <v>!!CODIGO ANTIGUO, VERIFICAR HOJA PRODUCTO!!</v>
          </cell>
          <cell r="D2437" t="str">
            <v>ERROR</v>
          </cell>
        </row>
        <row r="2438">
          <cell r="B2438">
            <v>7011037</v>
          </cell>
          <cell r="C2438" t="str">
            <v>!!CODIGO ANTIGUO, VERIFICAR HOJA PRODUCTO!!</v>
          </cell>
          <cell r="D2438" t="str">
            <v>ERROR</v>
          </cell>
        </row>
        <row r="2439">
          <cell r="B2439">
            <v>7011038</v>
          </cell>
          <cell r="C2439" t="str">
            <v>!!CODIGO ANTIGUO, VERIFICAR HOJA PRODUCTO!!</v>
          </cell>
          <cell r="D2439" t="str">
            <v>ERROR</v>
          </cell>
        </row>
        <row r="2440">
          <cell r="B2440">
            <v>7011039</v>
          </cell>
          <cell r="C2440" t="str">
            <v>!!CODIGO ANTIGUO, VERIFICAR HOJA PRODUCTO!!</v>
          </cell>
          <cell r="D2440" t="str">
            <v>ERROR</v>
          </cell>
        </row>
        <row r="2441">
          <cell r="B2441">
            <v>7011040</v>
          </cell>
          <cell r="C2441" t="str">
            <v>!!CODIGO ANTIGUO, VERIFICAR HOJA PRODUCTO!!</v>
          </cell>
          <cell r="D2441" t="str">
            <v>ERROR</v>
          </cell>
        </row>
        <row r="2442">
          <cell r="B2442">
            <v>7011043</v>
          </cell>
          <cell r="C2442" t="str">
            <v>!!CODIGO ANTIGUO, VERIFICAR HOJA PRODUCTO!!</v>
          </cell>
          <cell r="D2442" t="str">
            <v>ERROR</v>
          </cell>
        </row>
        <row r="2443">
          <cell r="B2443">
            <v>7011046</v>
          </cell>
          <cell r="C2443" t="str">
            <v>!!CODIGO ANTIGUO, VERIFICAR HOJA PRODUCTO!!</v>
          </cell>
          <cell r="D2443" t="str">
            <v>ERROR</v>
          </cell>
        </row>
        <row r="2444">
          <cell r="B2444">
            <v>7012001</v>
          </cell>
          <cell r="C2444" t="str">
            <v>!!CODIGO ANTIGUO, VERIFICAR HOJA PRODUCTO!!</v>
          </cell>
          <cell r="D2444" t="str">
            <v>ERROR</v>
          </cell>
        </row>
        <row r="2445">
          <cell r="B2445">
            <v>7012004</v>
          </cell>
          <cell r="C2445" t="str">
            <v>!!CODIGO ANTIGUO, VERIFICAR HOJA PRODUCTO!!</v>
          </cell>
          <cell r="D2445" t="str">
            <v>ERROR</v>
          </cell>
        </row>
        <row r="2446">
          <cell r="B2446">
            <v>7012005</v>
          </cell>
          <cell r="C2446" t="str">
            <v>!!CODIGO ANTIGUO, VERIFICAR HOJA PRODUCTO!!</v>
          </cell>
          <cell r="D2446" t="str">
            <v>ERROR</v>
          </cell>
        </row>
        <row r="2447">
          <cell r="B2447">
            <v>7012010</v>
          </cell>
          <cell r="C2447" t="str">
            <v>!!CODIGO ANTIGUO, VERIFICAR HOJA PRODUCTO!!</v>
          </cell>
          <cell r="D2447" t="str">
            <v>ERROR</v>
          </cell>
        </row>
        <row r="2448">
          <cell r="B2448">
            <v>7012011</v>
          </cell>
          <cell r="C2448" t="str">
            <v>!!CODIGO ANTIGUO, VERIFICAR HOJA PRODUCTO!!</v>
          </cell>
          <cell r="D2448" t="str">
            <v>ERROR</v>
          </cell>
        </row>
        <row r="2449">
          <cell r="B2449">
            <v>7012012</v>
          </cell>
          <cell r="C2449" t="str">
            <v>!!CODIGO ANTIGUO, VERIFICAR HOJA PRODUCTO!!</v>
          </cell>
          <cell r="D2449" t="str">
            <v>ERROR</v>
          </cell>
        </row>
        <row r="2450">
          <cell r="B2450">
            <v>7012013</v>
          </cell>
          <cell r="C2450" t="str">
            <v>!!CODIGO ANTIGUO, VERIFICAR HOJA PRODUCTO!!</v>
          </cell>
          <cell r="D2450" t="str">
            <v>ERROR</v>
          </cell>
        </row>
        <row r="2451">
          <cell r="B2451">
            <v>7012016</v>
          </cell>
          <cell r="C2451" t="str">
            <v>!!CODIGO ANTIGUO, VERIFICAR HOJA PRODUCTO!!</v>
          </cell>
          <cell r="D2451" t="str">
            <v>ERROR</v>
          </cell>
        </row>
        <row r="2452">
          <cell r="B2452">
            <v>7012018</v>
          </cell>
          <cell r="C2452" t="str">
            <v>!!CODIGO ANTIGUO, VERIFICAR HOJA PRODUCTO!!</v>
          </cell>
          <cell r="D2452" t="str">
            <v>ERROR</v>
          </cell>
        </row>
        <row r="2453">
          <cell r="B2453">
            <v>7012023</v>
          </cell>
          <cell r="C2453" t="str">
            <v>!!CODIGO ANTIGUO, VERIFICAR HOJA PRODUCTO!!</v>
          </cell>
          <cell r="D2453" t="str">
            <v>ERROR</v>
          </cell>
        </row>
        <row r="2454">
          <cell r="B2454">
            <v>7012024</v>
          </cell>
          <cell r="C2454" t="str">
            <v>!!CODIGO ANTIGUO, VERIFICAR HOJA PRODUCTO!!</v>
          </cell>
          <cell r="D2454" t="str">
            <v>ERROR</v>
          </cell>
        </row>
        <row r="2455">
          <cell r="B2455">
            <v>7012027</v>
          </cell>
          <cell r="C2455" t="str">
            <v>!!CODIGO ANTIGUO, VERIFICAR HOJA PRODUCTO!!</v>
          </cell>
          <cell r="D2455" t="str">
            <v>ERROR</v>
          </cell>
        </row>
        <row r="2456">
          <cell r="B2456">
            <v>7012030</v>
          </cell>
          <cell r="C2456" t="str">
            <v>!!CODIGO ANTIGUO, VERIFICAR HOJA PRODUCTO!!</v>
          </cell>
          <cell r="D2456" t="str">
            <v>ERROR</v>
          </cell>
        </row>
        <row r="2457">
          <cell r="B2457">
            <v>7012032</v>
          </cell>
          <cell r="C2457" t="str">
            <v>!!CODIGO ANTIGUO, VERIFICAR HOJA PRODUCTO!!</v>
          </cell>
          <cell r="D2457" t="str">
            <v>ERROR</v>
          </cell>
        </row>
        <row r="2458">
          <cell r="B2458">
            <v>7012033</v>
          </cell>
          <cell r="C2458" t="str">
            <v>!!CODIGO ANTIGUO, VERIFICAR HOJA PRODUCTO!!</v>
          </cell>
          <cell r="D2458" t="str">
            <v>ERROR</v>
          </cell>
        </row>
        <row r="2459">
          <cell r="B2459">
            <v>7012034</v>
          </cell>
          <cell r="C2459" t="str">
            <v>!!CODIGO ANTIGUO, VERIFICAR HOJA PRODUCTO!!</v>
          </cell>
          <cell r="D2459" t="str">
            <v>ERROR</v>
          </cell>
        </row>
        <row r="2460">
          <cell r="B2460">
            <v>7012035</v>
          </cell>
          <cell r="C2460" t="str">
            <v>!!CODIGO ANTIGUO, VERIFICAR HOJA PRODUCTO!!</v>
          </cell>
          <cell r="D2460" t="str">
            <v>ERROR</v>
          </cell>
        </row>
        <row r="2461">
          <cell r="B2461">
            <v>7012036</v>
          </cell>
          <cell r="C2461" t="str">
            <v>!!CODIGO ANTIGUO, VERIFICAR HOJA PRODUCTO!!</v>
          </cell>
          <cell r="D2461" t="str">
            <v>ERROR</v>
          </cell>
        </row>
        <row r="2462">
          <cell r="B2462">
            <v>7012037</v>
          </cell>
          <cell r="C2462" t="str">
            <v>!!CODIGO ANTIGUO, VERIFICAR HOJA PRODUCTO!!</v>
          </cell>
          <cell r="D2462" t="str">
            <v>ERROR</v>
          </cell>
        </row>
        <row r="2463">
          <cell r="B2463">
            <v>7012038</v>
          </cell>
          <cell r="C2463" t="str">
            <v>!!CODIGO ANTIGUO, VERIFICAR HOJA PRODUCTO!!</v>
          </cell>
          <cell r="D2463" t="str">
            <v>ERROR</v>
          </cell>
        </row>
        <row r="2464">
          <cell r="B2464">
            <v>7012039</v>
          </cell>
          <cell r="C2464" t="str">
            <v>!!CODIGO ANTIGUO, VERIFICAR HOJA PRODUCTO!!</v>
          </cell>
          <cell r="D2464" t="str">
            <v>ERROR</v>
          </cell>
        </row>
        <row r="2465">
          <cell r="B2465">
            <v>7012040</v>
          </cell>
          <cell r="C2465" t="str">
            <v>!!CODIGO ANTIGUO, VERIFICAR HOJA PRODUCTO!!</v>
          </cell>
          <cell r="D2465" t="str">
            <v>ERROR</v>
          </cell>
        </row>
        <row r="2466">
          <cell r="B2466">
            <v>7012041</v>
          </cell>
          <cell r="C2466" t="str">
            <v>!!CODIGO ANTIGUO, VERIFICAR HOJA PRODUCTO!!</v>
          </cell>
          <cell r="D2466" t="str">
            <v>ERROR</v>
          </cell>
        </row>
        <row r="2467">
          <cell r="B2467">
            <v>7012042</v>
          </cell>
          <cell r="C2467" t="str">
            <v>!!CODIGO ANTIGUO, VERIFICAR HOJA PRODUCTO!!</v>
          </cell>
          <cell r="D2467" t="str">
            <v>ERROR</v>
          </cell>
        </row>
        <row r="2468">
          <cell r="B2468">
            <v>7012043</v>
          </cell>
          <cell r="C2468" t="str">
            <v>!!CODIGO ANTIGUO, VERIFICAR HOJA PRODUCTO!!</v>
          </cell>
          <cell r="D2468" t="str">
            <v>ERROR</v>
          </cell>
        </row>
        <row r="2469">
          <cell r="B2469">
            <v>7012045</v>
          </cell>
          <cell r="C2469" t="str">
            <v>!!CODIGO ANTIGUO, VERIFICAR HOJA PRODUCTO!!</v>
          </cell>
          <cell r="D2469" t="str">
            <v>ERROR</v>
          </cell>
        </row>
        <row r="2470">
          <cell r="B2470">
            <v>7012048</v>
          </cell>
          <cell r="C2470" t="str">
            <v>!!CODIGO ANTIGUO, VERIFICAR HOJA PRODUCTO!!</v>
          </cell>
          <cell r="D2470" t="str">
            <v>ERROR</v>
          </cell>
        </row>
        <row r="2471">
          <cell r="B2471">
            <v>7012049</v>
          </cell>
          <cell r="C2471" t="str">
            <v>!!CODIGO ANTIGUO, VERIFICAR HOJA PRODUCTO!!</v>
          </cell>
          <cell r="D2471" t="str">
            <v>ERROR</v>
          </cell>
        </row>
        <row r="2472">
          <cell r="B2472">
            <v>7012050</v>
          </cell>
          <cell r="C2472" t="str">
            <v>!!CODIGO ANTIGUO, VERIFICAR HOJA PRODUCTO!!</v>
          </cell>
          <cell r="D2472" t="str">
            <v>ERROR</v>
          </cell>
        </row>
        <row r="2473">
          <cell r="B2473">
            <v>7012056</v>
          </cell>
          <cell r="C2473" t="str">
            <v>!!CODIGO ANTIGUO, VERIFICAR HOJA PRODUCTO!!</v>
          </cell>
          <cell r="D2473" t="str">
            <v>ERROR</v>
          </cell>
        </row>
        <row r="2474">
          <cell r="B2474">
            <v>7012057</v>
          </cell>
          <cell r="C2474" t="str">
            <v>!!CODIGO ANTIGUO, VERIFICAR HOJA PRODUCTO!!</v>
          </cell>
          <cell r="D2474" t="str">
            <v>ERROR</v>
          </cell>
        </row>
        <row r="2475">
          <cell r="B2475">
            <v>7012058</v>
          </cell>
          <cell r="C2475" t="str">
            <v>!!CODIGO ANTIGUO, VERIFICAR HOJA PRODUCTO!!</v>
          </cell>
          <cell r="D2475" t="str">
            <v>ERROR</v>
          </cell>
        </row>
        <row r="2476">
          <cell r="B2476">
            <v>7012060</v>
          </cell>
          <cell r="C2476" t="str">
            <v>!!CODIGO ANTIGUO, VERIFICAR HOJA PRODUCTO!!</v>
          </cell>
          <cell r="D2476" t="str">
            <v>ERROR</v>
          </cell>
        </row>
        <row r="2477">
          <cell r="B2477">
            <v>7012061</v>
          </cell>
          <cell r="C2477" t="str">
            <v>!!CODIGO ANTIGUO, VERIFICAR HOJA PRODUCTO!!</v>
          </cell>
          <cell r="D2477" t="str">
            <v>ERROR</v>
          </cell>
        </row>
        <row r="2478">
          <cell r="B2478">
            <v>7012064</v>
          </cell>
          <cell r="C2478" t="str">
            <v>!!CODIGO ANTIGUO, VERIFICAR HOJA PRODUCTO!!</v>
          </cell>
          <cell r="D2478" t="str">
            <v>ERROR</v>
          </cell>
        </row>
        <row r="2479">
          <cell r="B2479">
            <v>7013000</v>
          </cell>
          <cell r="C2479" t="str">
            <v>!!CODIGO ANTIGUO, VERIFICAR HOJA PRODUCTO!!</v>
          </cell>
          <cell r="D2479" t="str">
            <v>ERROR</v>
          </cell>
        </row>
        <row r="2480">
          <cell r="B2480">
            <v>7013001</v>
          </cell>
          <cell r="C2480" t="str">
            <v>!!CODIGO ANTIGUO, VERIFICAR HOJA PRODUCTO!!</v>
          </cell>
          <cell r="D2480" t="str">
            <v>ERROR</v>
          </cell>
        </row>
        <row r="2481">
          <cell r="B2481">
            <v>7013002</v>
          </cell>
          <cell r="C2481" t="str">
            <v>!!CODIGO ANTIGUO, VERIFICAR HOJA PRODUCTO!!</v>
          </cell>
          <cell r="D2481" t="str">
            <v>ERROR</v>
          </cell>
        </row>
        <row r="2482">
          <cell r="B2482">
            <v>7013003</v>
          </cell>
          <cell r="C2482" t="str">
            <v>!!CODIGO ANTIGUO, VERIFICAR HOJA PRODUCTO!!</v>
          </cell>
          <cell r="D2482" t="str">
            <v>ERROR</v>
          </cell>
        </row>
        <row r="2483">
          <cell r="B2483">
            <v>7013004</v>
          </cell>
          <cell r="C2483" t="str">
            <v>!!CODIGO ANTIGUO, VERIFICAR HOJA PRODUCTO!!</v>
          </cell>
          <cell r="D2483" t="str">
            <v>ERROR</v>
          </cell>
        </row>
        <row r="2484">
          <cell r="B2484">
            <v>7013005</v>
          </cell>
          <cell r="C2484" t="str">
            <v>!!CODIGO ANTIGUO, VERIFICAR HOJA PRODUCTO!!</v>
          </cell>
          <cell r="D2484" t="str">
            <v>ERROR</v>
          </cell>
        </row>
        <row r="2485">
          <cell r="B2485">
            <v>7013006</v>
          </cell>
          <cell r="C2485" t="str">
            <v>!!CODIGO ANTIGUO, VERIFICAR HOJA PRODUCTO!!</v>
          </cell>
          <cell r="D2485" t="str">
            <v>ERROR</v>
          </cell>
        </row>
        <row r="2486">
          <cell r="B2486">
            <v>7013007</v>
          </cell>
          <cell r="C2486" t="str">
            <v>!!CODIGO ANTIGUO, VERIFICAR HOJA PRODUCTO!!</v>
          </cell>
          <cell r="D2486" t="str">
            <v>ERROR</v>
          </cell>
        </row>
        <row r="2487">
          <cell r="B2487">
            <v>7013008</v>
          </cell>
          <cell r="C2487" t="str">
            <v>!!CODIGO ANTIGUO, VERIFICAR HOJA PRODUCTO!!</v>
          </cell>
          <cell r="D2487" t="str">
            <v>ERROR</v>
          </cell>
        </row>
        <row r="2488">
          <cell r="B2488">
            <v>7013009</v>
          </cell>
          <cell r="C2488" t="str">
            <v>!!CODIGO ANTIGUO, VERIFICAR HOJA PRODUCTO!!</v>
          </cell>
          <cell r="D2488" t="str">
            <v>ERROR</v>
          </cell>
        </row>
        <row r="2489">
          <cell r="B2489">
            <v>7013010</v>
          </cell>
          <cell r="C2489" t="str">
            <v>!!CODIGO ANTIGUO, VERIFICAR HOJA PRODUCTO!!</v>
          </cell>
          <cell r="D2489" t="str">
            <v>ERROR</v>
          </cell>
        </row>
        <row r="2490">
          <cell r="B2490">
            <v>7013015</v>
          </cell>
          <cell r="C2490" t="str">
            <v>!!CODIGO ANTIGUO, VERIFICAR HOJA PRODUCTO!!</v>
          </cell>
          <cell r="D2490" t="str">
            <v>ERROR</v>
          </cell>
        </row>
        <row r="2491">
          <cell r="B2491">
            <v>7013011</v>
          </cell>
          <cell r="C2491" t="str">
            <v>!!CODIGO ANTIGUO, VERIFICAR HOJA PRODUCTO!!</v>
          </cell>
          <cell r="D2491" t="str">
            <v>ERROR</v>
          </cell>
        </row>
        <row r="2492">
          <cell r="B2492">
            <v>7013014</v>
          </cell>
          <cell r="C2492" t="str">
            <v>!!CODIGO ANTIGUO, VERIFICAR HOJA PRODUCTO!!</v>
          </cell>
          <cell r="D2492" t="str">
            <v>ERROR</v>
          </cell>
        </row>
        <row r="2493">
          <cell r="B2493">
            <v>7013017</v>
          </cell>
          <cell r="C2493" t="str">
            <v>!!CODIGO ANTIGUO, VERIFICAR HOJA PRODUCTO!!</v>
          </cell>
          <cell r="D2493" t="str">
            <v>ERROR</v>
          </cell>
        </row>
        <row r="2494">
          <cell r="B2494">
            <v>7013018</v>
          </cell>
          <cell r="C2494" t="str">
            <v>!!CODIGO ANTIGUO, VERIFICAR HOJA PRODUCTO!!</v>
          </cell>
          <cell r="D2494" t="str">
            <v>ERROR</v>
          </cell>
        </row>
        <row r="2495">
          <cell r="B2495">
            <v>7013019</v>
          </cell>
          <cell r="C2495" t="str">
            <v>!!CODIGO ANTIGUO, VERIFICAR HOJA PRODUCTO!!</v>
          </cell>
          <cell r="D2495" t="str">
            <v>ERROR</v>
          </cell>
        </row>
        <row r="2496">
          <cell r="B2496">
            <v>7013021</v>
          </cell>
          <cell r="C2496" t="str">
            <v>!!CODIGO ANTIGUO, VERIFICAR HOJA PRODUCTO!!</v>
          </cell>
          <cell r="D2496" t="str">
            <v>ERROR</v>
          </cell>
        </row>
        <row r="2497">
          <cell r="B2497">
            <v>7013041</v>
          </cell>
          <cell r="C2497" t="str">
            <v>!!CODIGO ANTIGUO, VERIFICAR HOJA PRODUCTO!!</v>
          </cell>
          <cell r="D2497" t="str">
            <v>ERROR</v>
          </cell>
        </row>
        <row r="2498">
          <cell r="B2498">
            <v>7013043</v>
          </cell>
          <cell r="C2498" t="str">
            <v>!!CODIGO ANTIGUO, VERIFICAR HOJA PRODUCTO!!</v>
          </cell>
          <cell r="D2498" t="str">
            <v>ERROR</v>
          </cell>
        </row>
        <row r="2499">
          <cell r="B2499">
            <v>7013044</v>
          </cell>
          <cell r="C2499" t="str">
            <v>!!CODIGO ANTIGUO, VERIFICAR HOJA PRODUCTO!!</v>
          </cell>
          <cell r="D2499" t="str">
            <v>ERROR</v>
          </cell>
        </row>
        <row r="2500">
          <cell r="B2500">
            <v>7013045</v>
          </cell>
          <cell r="C2500" t="str">
            <v>!!CODIGO ANTIGUO, VERIFICAR HOJA PRODUCTO!!</v>
          </cell>
          <cell r="D2500" t="str">
            <v>ERROR</v>
          </cell>
        </row>
        <row r="2501">
          <cell r="B2501">
            <v>7013046</v>
          </cell>
          <cell r="C2501" t="str">
            <v>!!CODIGO ANTIGUO, VERIFICAR HOJA PRODUCTO!!</v>
          </cell>
          <cell r="D2501" t="str">
            <v>ERROR</v>
          </cell>
        </row>
        <row r="2502">
          <cell r="B2502">
            <v>7013047</v>
          </cell>
          <cell r="C2502" t="str">
            <v>!!CODIGO ANTIGUO, VERIFICAR HOJA PRODUCTO!!</v>
          </cell>
          <cell r="D2502" t="str">
            <v>ERROR</v>
          </cell>
        </row>
        <row r="2503">
          <cell r="B2503">
            <v>7013107</v>
          </cell>
          <cell r="C2503" t="str">
            <v>ALC. ISOPROPILICO 60-90% ó ETILICO 70%</v>
          </cell>
          <cell r="D2503" t="str">
            <v>ML</v>
          </cell>
        </row>
        <row r="2504">
          <cell r="B2504">
            <v>7014000</v>
          </cell>
          <cell r="C2504" t="str">
            <v>!!CODIGO ANTIGUO, VERIFICAR HOJA PRODUCTO!!</v>
          </cell>
          <cell r="D2504" t="str">
            <v>ERROR</v>
          </cell>
        </row>
        <row r="2505">
          <cell r="B2505">
            <v>7014001</v>
          </cell>
          <cell r="C2505" t="str">
            <v>!!CODIGO ANTIGUO, VERIFICAR HOJA PRODUCTO!!</v>
          </cell>
          <cell r="D2505" t="str">
            <v>ERROR</v>
          </cell>
        </row>
        <row r="2506">
          <cell r="B2506">
            <v>7014002</v>
          </cell>
          <cell r="C2506" t="str">
            <v>!!CODIGO ANTIGUO, VERIFICAR HOJA PRODUCTO!!</v>
          </cell>
          <cell r="D2506" t="str">
            <v>ERROR</v>
          </cell>
        </row>
        <row r="2507">
          <cell r="B2507">
            <v>7014003</v>
          </cell>
          <cell r="C2507" t="str">
            <v>!!CODIGO ANTIGUO, VERIFICAR HOJA PRODUCTO!!</v>
          </cell>
          <cell r="D2507" t="str">
            <v>ERROR</v>
          </cell>
        </row>
        <row r="2508">
          <cell r="B2508">
            <v>7014006</v>
          </cell>
          <cell r="C2508" t="str">
            <v>!!CODIGO ANTIGUO, VERIFICAR HOJA PRODUCTO!!</v>
          </cell>
          <cell r="D2508" t="str">
            <v>ERROR</v>
          </cell>
        </row>
        <row r="2509">
          <cell r="B2509">
            <v>7014008</v>
          </cell>
          <cell r="C2509" t="str">
            <v>!!CODIGO ANTIGUO, VERIFICAR HOJA PRODUCTO!!</v>
          </cell>
          <cell r="D2509" t="str">
            <v>ERROR</v>
          </cell>
        </row>
        <row r="2510">
          <cell r="B2510">
            <v>7014010</v>
          </cell>
          <cell r="C2510" t="str">
            <v>!!CODIGO ANTIGUO, VERIFICAR HOJA PRODUCTO!!</v>
          </cell>
          <cell r="D2510" t="str">
            <v>ERROR</v>
          </cell>
        </row>
        <row r="2511">
          <cell r="B2511">
            <v>7014011</v>
          </cell>
          <cell r="C2511" t="str">
            <v>!!CODIGO ANTIGUO, VERIFICAR HOJA PRODUCTO!!</v>
          </cell>
          <cell r="D2511" t="str">
            <v>ERROR</v>
          </cell>
        </row>
        <row r="2512">
          <cell r="B2512">
            <v>7014012</v>
          </cell>
          <cell r="C2512" t="str">
            <v>!!CODIGO ANTIGUO, VERIFICAR HOJA PRODUCTO!!</v>
          </cell>
          <cell r="D2512" t="str">
            <v>ERROR</v>
          </cell>
        </row>
        <row r="2513">
          <cell r="B2513">
            <v>7014013</v>
          </cell>
          <cell r="C2513" t="str">
            <v>!!CODIGO ANTIGUO, VERIFICAR HOJA PRODUCTO!!</v>
          </cell>
          <cell r="D2513" t="str">
            <v>ERROR</v>
          </cell>
        </row>
        <row r="2514">
          <cell r="B2514">
            <v>7014017</v>
          </cell>
          <cell r="C2514" t="str">
            <v>!!CODIGO ANTIGUO, VERIFICAR HOJA PRODUCTO!!</v>
          </cell>
          <cell r="D2514" t="str">
            <v>ERROR</v>
          </cell>
        </row>
        <row r="2515">
          <cell r="B2515">
            <v>7014018</v>
          </cell>
          <cell r="C2515" t="str">
            <v>!!CODIGO ANTIGUO, VERIFICAR HOJA PRODUCTO!!</v>
          </cell>
          <cell r="D2515" t="str">
            <v>ERROR</v>
          </cell>
        </row>
        <row r="2516">
          <cell r="B2516">
            <v>7014019</v>
          </cell>
          <cell r="C2516" t="str">
            <v>!!CODIGO ANTIGUO, VERIFICAR HOJA PRODUCTO!!</v>
          </cell>
          <cell r="D2516" t="str">
            <v>ERROR</v>
          </cell>
        </row>
        <row r="2517">
          <cell r="B2517">
            <v>7014020</v>
          </cell>
          <cell r="C2517" t="str">
            <v>!!CODIGO ANTIGUO, VERIFICAR HOJA PRODUCTO!!</v>
          </cell>
          <cell r="D2517" t="str">
            <v>ERROR</v>
          </cell>
        </row>
        <row r="2518">
          <cell r="B2518">
            <v>7014021</v>
          </cell>
          <cell r="C2518" t="str">
            <v>!!CODIGO ANTIGUO, VERIFICAR HOJA PRODUCTO!!</v>
          </cell>
          <cell r="D2518" t="str">
            <v>ERROR</v>
          </cell>
        </row>
        <row r="2519">
          <cell r="B2519">
            <v>7014022</v>
          </cell>
          <cell r="C2519" t="str">
            <v>!!CODIGO ANTIGUO, VERIFICAR HOJA PRODUCTO!!</v>
          </cell>
          <cell r="D2519" t="str">
            <v>ERROR</v>
          </cell>
        </row>
        <row r="2520">
          <cell r="B2520">
            <v>7014023</v>
          </cell>
          <cell r="C2520" t="str">
            <v>!!CODIGO ANTIGUO, VERIFICAR HOJA PRODUCTO!!</v>
          </cell>
          <cell r="D2520" t="str">
            <v>ERROR</v>
          </cell>
        </row>
        <row r="2521">
          <cell r="B2521">
            <v>7014024</v>
          </cell>
          <cell r="C2521" t="str">
            <v>!!CODIGO ANTIGUO, VERIFICAR HOJA PRODUCTO!!</v>
          </cell>
          <cell r="D2521" t="str">
            <v>ERROR</v>
          </cell>
        </row>
        <row r="2522">
          <cell r="B2522">
            <v>7014025</v>
          </cell>
          <cell r="C2522" t="str">
            <v>!!CODIGO ANTIGUO, VERIFICAR HOJA PRODUCTO!!</v>
          </cell>
          <cell r="D2522" t="str">
            <v>ERROR</v>
          </cell>
        </row>
        <row r="2523">
          <cell r="B2523">
            <v>7014026</v>
          </cell>
          <cell r="C2523" t="str">
            <v>!!CODIGO ANTIGUO, VERIFICAR HOJA PRODUCTO!!</v>
          </cell>
          <cell r="D2523" t="str">
            <v>ERROR</v>
          </cell>
        </row>
        <row r="2524">
          <cell r="B2524">
            <v>7014027</v>
          </cell>
          <cell r="C2524" t="str">
            <v>!!CODIGO ANTIGUO, VERIFICAR HOJA PRODUCTO!!</v>
          </cell>
          <cell r="D2524" t="str">
            <v>ERROR</v>
          </cell>
        </row>
        <row r="2525">
          <cell r="B2525">
            <v>7014028</v>
          </cell>
          <cell r="C2525" t="str">
            <v>!!CODIGO ANTIGUO, VERIFICAR HOJA PRODUCTO!!</v>
          </cell>
          <cell r="D2525" t="str">
            <v>ERROR</v>
          </cell>
        </row>
        <row r="2526">
          <cell r="B2526">
            <v>7014029</v>
          </cell>
          <cell r="C2526" t="str">
            <v>!!CODIGO ANTIGUO, VERIFICAR HOJA PRODUCTO!!</v>
          </cell>
          <cell r="D2526" t="str">
            <v>ERROR</v>
          </cell>
        </row>
        <row r="2527">
          <cell r="B2527">
            <v>7014030</v>
          </cell>
          <cell r="C2527" t="str">
            <v>!!CODIGO ANTIGUO, VERIFICAR HOJA PRODUCTO!!</v>
          </cell>
          <cell r="D2527" t="str">
            <v>ERROR</v>
          </cell>
        </row>
        <row r="2528">
          <cell r="B2528">
            <v>7014031</v>
          </cell>
          <cell r="C2528" t="str">
            <v>!!CODIGO ANTIGUO, VERIFICAR HOJA PRODUCTO!!</v>
          </cell>
          <cell r="D2528" t="str">
            <v>ERROR</v>
          </cell>
        </row>
        <row r="2529">
          <cell r="B2529">
            <v>7014032</v>
          </cell>
          <cell r="C2529" t="str">
            <v>!!CODIGO ANTIGUO, VERIFICAR HOJA PRODUCTO!!</v>
          </cell>
          <cell r="D2529" t="str">
            <v>ERROR</v>
          </cell>
        </row>
        <row r="2530">
          <cell r="B2530">
            <v>7014033</v>
          </cell>
          <cell r="C2530" t="str">
            <v>!!CODIGO ANTIGUO, VERIFICAR HOJA PRODUCTO!!</v>
          </cell>
          <cell r="D2530" t="str">
            <v>ERROR</v>
          </cell>
        </row>
        <row r="2531">
          <cell r="B2531">
            <v>7014034</v>
          </cell>
          <cell r="C2531" t="str">
            <v>!!CODIGO ANTIGUO, VERIFICAR HOJA PRODUCTO!!</v>
          </cell>
          <cell r="D2531" t="str">
            <v>ERROR</v>
          </cell>
        </row>
        <row r="2532">
          <cell r="B2532">
            <v>7014104</v>
          </cell>
          <cell r="C2532" t="str">
            <v>APOSITO TRANS. ADHESIVO 8-13 X 10-15 CM</v>
          </cell>
          <cell r="D2532" t="str">
            <v>UN</v>
          </cell>
        </row>
        <row r="2533">
          <cell r="B2533">
            <v>7014035</v>
          </cell>
          <cell r="C2533" t="str">
            <v>!!CODIGO ANTIGUO, VERIFICAR HOJA PRODUCTO!!</v>
          </cell>
          <cell r="D2533" t="str">
            <v>ERROR</v>
          </cell>
        </row>
        <row r="2534">
          <cell r="B2534">
            <v>7015010</v>
          </cell>
          <cell r="C2534" t="str">
            <v>!!CODIGO ANTIGUO, VERIFICAR HOJA PRODUCTO!!</v>
          </cell>
          <cell r="D2534" t="str">
            <v>ERROR</v>
          </cell>
        </row>
        <row r="2535">
          <cell r="B2535">
            <v>7015011</v>
          </cell>
          <cell r="C2535" t="str">
            <v>!!CODIGO ANTIGUO, VERIFICAR HOJA PRODUCTO!!</v>
          </cell>
          <cell r="D2535" t="str">
            <v>ERROR</v>
          </cell>
        </row>
        <row r="2536">
          <cell r="B2536">
            <v>7015014</v>
          </cell>
          <cell r="C2536" t="str">
            <v>!!CODIGO ANTIGUO, VERIFICAR HOJA PRODUCTO!!</v>
          </cell>
          <cell r="D2536" t="str">
            <v>ERROR</v>
          </cell>
        </row>
        <row r="2537">
          <cell r="B2537">
            <v>7015016</v>
          </cell>
          <cell r="C2537" t="str">
            <v>!!CODIGO ANTIGUO, VERIFICAR HOJA PRODUCTO!!</v>
          </cell>
          <cell r="D2537" t="str">
            <v>ERROR</v>
          </cell>
        </row>
        <row r="2538">
          <cell r="B2538">
            <v>7015017</v>
          </cell>
          <cell r="C2538" t="str">
            <v>!!CODIGO ANTIGUO, VERIFICAR HOJA PRODUCTO!!</v>
          </cell>
          <cell r="D2538" t="str">
            <v>ERROR</v>
          </cell>
        </row>
        <row r="2539">
          <cell r="B2539">
            <v>7015018</v>
          </cell>
          <cell r="C2539" t="str">
            <v>!!CODIGO ANTIGUO, VERIFICAR HOJA PRODUCTO!!</v>
          </cell>
          <cell r="D2539" t="str">
            <v>ERROR</v>
          </cell>
        </row>
        <row r="2540">
          <cell r="B2540">
            <v>7015019</v>
          </cell>
          <cell r="C2540" t="str">
            <v>!!CODIGO ANTIGUO, VERIFICAR HOJA PRODUCTO!!</v>
          </cell>
          <cell r="D2540" t="str">
            <v>ERROR</v>
          </cell>
        </row>
        <row r="2541">
          <cell r="B2541">
            <v>7015020</v>
          </cell>
          <cell r="C2541" t="str">
            <v>!!CODIGO ANTIGUO, VERIFICAR HOJA PRODUCTO!!</v>
          </cell>
          <cell r="D2541" t="str">
            <v>ERROR</v>
          </cell>
        </row>
        <row r="2542">
          <cell r="B2542">
            <v>7015022</v>
          </cell>
          <cell r="C2542" t="str">
            <v>!!CODIGO ANTIGUO, VERIFICAR HOJA PRODUCTO!!</v>
          </cell>
          <cell r="D2542" t="str">
            <v>ERROR</v>
          </cell>
        </row>
        <row r="2543">
          <cell r="B2543">
            <v>7015023</v>
          </cell>
          <cell r="C2543" t="str">
            <v>!!CODIGO ANTIGUO, VERIFICAR HOJA PRODUCTO!!</v>
          </cell>
          <cell r="D2543" t="str">
            <v>ERROR</v>
          </cell>
        </row>
        <row r="2544">
          <cell r="B2544">
            <v>7016000</v>
          </cell>
          <cell r="C2544" t="str">
            <v>!!CODIGO ANTIGUO, VERIFICAR HOJA PRODUCTO!!</v>
          </cell>
          <cell r="D2544" t="str">
            <v>ERROR</v>
          </cell>
        </row>
        <row r="2545">
          <cell r="B2545">
            <v>7016001</v>
          </cell>
          <cell r="C2545" t="str">
            <v>!!CODIGO ANTIGUO, VERIFICAR HOJA PRODUCTO!!</v>
          </cell>
          <cell r="D2545" t="str">
            <v>ERROR</v>
          </cell>
        </row>
        <row r="2546">
          <cell r="B2546">
            <v>7016002</v>
          </cell>
          <cell r="C2546" t="str">
            <v>!!CODIGO ANTIGUO, VERIFICAR HOJA PRODUCTO!!</v>
          </cell>
          <cell r="D2546" t="str">
            <v>ERROR</v>
          </cell>
        </row>
        <row r="2547">
          <cell r="B2547">
            <v>7016003</v>
          </cell>
          <cell r="C2547" t="str">
            <v>!!CODIGO ANTIGUO, VERIFICAR HOJA PRODUCTO!!</v>
          </cell>
          <cell r="D2547" t="str">
            <v>ERROR</v>
          </cell>
        </row>
        <row r="2548">
          <cell r="B2548">
            <v>7016006</v>
          </cell>
          <cell r="C2548" t="str">
            <v>!!CODIGO ANTIGUO, VERIFICAR HOJA PRODUCTO!!</v>
          </cell>
          <cell r="D2548" t="str">
            <v>ERROR</v>
          </cell>
        </row>
        <row r="2549">
          <cell r="B2549">
            <v>7016008</v>
          </cell>
          <cell r="C2549" t="str">
            <v>!!CODIGO ANTIGUO, VERIFICAR HOJA PRODUCTO!!</v>
          </cell>
          <cell r="D2549" t="str">
            <v>ERROR</v>
          </cell>
        </row>
        <row r="2550">
          <cell r="B2550">
            <v>7016009</v>
          </cell>
          <cell r="C2550" t="str">
            <v>!!CODIGO ANTIGUO, VERIFICAR HOJA PRODUCTO!!</v>
          </cell>
          <cell r="D2550" t="str">
            <v>ERROR</v>
          </cell>
        </row>
        <row r="2551">
          <cell r="B2551">
            <v>7016010</v>
          </cell>
          <cell r="C2551" t="str">
            <v>!!CODIGO ANTIGUO, VERIFICAR HOJA PRODUCTO!!</v>
          </cell>
          <cell r="D2551" t="str">
            <v>ERROR</v>
          </cell>
        </row>
        <row r="2552">
          <cell r="B2552">
            <v>7016012</v>
          </cell>
          <cell r="C2552" t="str">
            <v>!!CODIGO ANTIGUO, VERIFICAR HOJA PRODUCTO!!</v>
          </cell>
          <cell r="D2552" t="str">
            <v>ERROR</v>
          </cell>
        </row>
        <row r="2553">
          <cell r="B2553">
            <v>7016014</v>
          </cell>
          <cell r="C2553" t="str">
            <v>!!CODIGO ANTIGUO, VERIFICAR HOJA PRODUCTO!!</v>
          </cell>
          <cell r="D2553" t="str">
            <v>ERROR</v>
          </cell>
        </row>
        <row r="2554">
          <cell r="B2554">
            <v>7016015</v>
          </cell>
          <cell r="C2554" t="str">
            <v>!!CODIGO ANTIGUO, VERIFICAR HOJA PRODUCTO!!</v>
          </cell>
          <cell r="D2554" t="str">
            <v>ERROR</v>
          </cell>
        </row>
        <row r="2555">
          <cell r="B2555">
            <v>7016016</v>
          </cell>
          <cell r="C2555" t="str">
            <v>!!CODIGO ANTIGUO, VERIFICAR HOJA PRODUCTO!!</v>
          </cell>
          <cell r="D2555" t="str">
            <v>ERROR</v>
          </cell>
        </row>
        <row r="2556">
          <cell r="B2556">
            <v>7016017</v>
          </cell>
          <cell r="C2556" t="str">
            <v>!!CODIGO ANTIGUO, VERIFICAR HOJA PRODUCTO!!</v>
          </cell>
          <cell r="D2556" t="str">
            <v>ERROR</v>
          </cell>
        </row>
        <row r="2557">
          <cell r="B2557">
            <v>7016018</v>
          </cell>
          <cell r="C2557" t="str">
            <v>!!CODIGO ANTIGUO, VERIFICAR HOJA PRODUCTO!!</v>
          </cell>
          <cell r="D2557" t="str">
            <v>ERROR</v>
          </cell>
        </row>
        <row r="2558">
          <cell r="B2558">
            <v>7016019</v>
          </cell>
          <cell r="C2558" t="str">
            <v>!!CODIGO ANTIGUO, VERIFICAR HOJA PRODUCTO!!</v>
          </cell>
          <cell r="D2558" t="str">
            <v>ERROR</v>
          </cell>
        </row>
        <row r="2559">
          <cell r="B2559">
            <v>7016020</v>
          </cell>
          <cell r="C2559" t="str">
            <v>!!CODIGO ANTIGUO, VERIFICAR HOJA PRODUCTO!!</v>
          </cell>
          <cell r="D2559" t="str">
            <v>ERROR</v>
          </cell>
        </row>
        <row r="2560">
          <cell r="B2560">
            <v>7016021</v>
          </cell>
          <cell r="C2560" t="str">
            <v>!!CODIGO ANTIGUO, VERIFICAR HOJA PRODUCTO!!</v>
          </cell>
          <cell r="D2560" t="str">
            <v>ERROR</v>
          </cell>
        </row>
        <row r="2561">
          <cell r="B2561">
            <v>7016022</v>
          </cell>
          <cell r="C2561" t="str">
            <v>!!CODIGO ANTIGUO, VERIFICAR HOJA PRODUCTO!!</v>
          </cell>
          <cell r="D2561" t="str">
            <v>ERROR</v>
          </cell>
        </row>
        <row r="2562">
          <cell r="B2562">
            <v>7016023</v>
          </cell>
          <cell r="C2562" t="str">
            <v>!!CODIGO ANTIGUO, VERIFICAR HOJA PRODUCTO!!</v>
          </cell>
          <cell r="D2562" t="str">
            <v>ERROR</v>
          </cell>
        </row>
        <row r="2563">
          <cell r="B2563">
            <v>7016024</v>
          </cell>
          <cell r="C2563" t="str">
            <v>!!CODIGO ANTIGUO, VERIFICAR HOJA PRODUCTO!!</v>
          </cell>
          <cell r="D2563" t="str">
            <v>ERROR</v>
          </cell>
        </row>
        <row r="2564">
          <cell r="B2564">
            <v>7016025</v>
          </cell>
          <cell r="C2564" t="str">
            <v>!!CODIGO ANTIGUO, VERIFICAR HOJA PRODUCTO!!</v>
          </cell>
          <cell r="D2564" t="str">
            <v>ERROR</v>
          </cell>
        </row>
        <row r="2565">
          <cell r="B2565">
            <v>7016026</v>
          </cell>
          <cell r="C2565" t="str">
            <v>!!CODIGO ANTIGUO, VERIFICAR HOJA PRODUCTO!!</v>
          </cell>
          <cell r="D2565" t="str">
            <v>ERROR</v>
          </cell>
        </row>
        <row r="2566">
          <cell r="B2566">
            <v>7016027</v>
          </cell>
          <cell r="C2566" t="str">
            <v>!!CODIGO ANTIGUO, VERIFICAR HOJA PRODUCTO!!</v>
          </cell>
          <cell r="D2566" t="str">
            <v>ERROR</v>
          </cell>
        </row>
        <row r="2567">
          <cell r="B2567">
            <v>7016028</v>
          </cell>
          <cell r="C2567" t="str">
            <v>!!CODIGO ANTIGUO, VERIFICAR HOJA PRODUCTO!!</v>
          </cell>
          <cell r="D2567" t="str">
            <v>ERROR</v>
          </cell>
        </row>
        <row r="2568">
          <cell r="B2568">
            <v>7016029</v>
          </cell>
          <cell r="C2568" t="str">
            <v>!!CODIGO ANTIGUO, VERIFICAR HOJA PRODUCTO!!</v>
          </cell>
          <cell r="D2568" t="str">
            <v>ERROR</v>
          </cell>
        </row>
        <row r="2569">
          <cell r="B2569">
            <v>7016030</v>
          </cell>
          <cell r="C2569" t="str">
            <v>!!CODIGO ANTIGUO, VERIFICAR HOJA PRODUCTO!!</v>
          </cell>
          <cell r="D2569" t="str">
            <v>ERROR</v>
          </cell>
        </row>
        <row r="2570">
          <cell r="B2570">
            <v>7016031</v>
          </cell>
          <cell r="C2570" t="str">
            <v>!!CODIGO ANTIGUO, VERIFICAR HOJA PRODUCTO!!</v>
          </cell>
          <cell r="D2570" t="str">
            <v>ERROR</v>
          </cell>
        </row>
        <row r="2571">
          <cell r="B2571">
            <v>7016032</v>
          </cell>
          <cell r="C2571" t="str">
            <v>!!CODIGO ANTIGUO, VERIFICAR HOJA PRODUCTO!!</v>
          </cell>
          <cell r="D2571" t="str">
            <v>ERROR</v>
          </cell>
        </row>
        <row r="2572">
          <cell r="B2572">
            <v>7016034</v>
          </cell>
          <cell r="C2572" t="str">
            <v>!!CODIGO ANTIGUO, VERIFICAR HOJA PRODUCTO!!</v>
          </cell>
          <cell r="D2572" t="str">
            <v>ERROR</v>
          </cell>
        </row>
        <row r="2573">
          <cell r="B2573">
            <v>7016035</v>
          </cell>
          <cell r="C2573" t="str">
            <v>!!CODIGO ANTIGUO, VERIFICAR HOJA PRODUCTO!!</v>
          </cell>
          <cell r="D2573" t="str">
            <v>ERROR</v>
          </cell>
        </row>
        <row r="2574">
          <cell r="B2574">
            <v>7016036</v>
          </cell>
          <cell r="C2574" t="str">
            <v>!!CODIGO ANTIGUO, VERIFICAR HOJA PRODUCTO!!</v>
          </cell>
          <cell r="D2574" t="str">
            <v>ERROR</v>
          </cell>
        </row>
        <row r="2575">
          <cell r="B2575">
            <v>7016037</v>
          </cell>
          <cell r="C2575" t="str">
            <v>!!CODIGO ANTIGUO, VERIFICAR HOJA PRODUCTO!!</v>
          </cell>
          <cell r="D2575" t="str">
            <v>ERROR</v>
          </cell>
        </row>
        <row r="2576">
          <cell r="B2576">
            <v>7016038</v>
          </cell>
          <cell r="C2576" t="str">
            <v>!!CODIGO ANTIGUO, VERIFICAR HOJA PRODUCTO!!</v>
          </cell>
          <cell r="D2576" t="str">
            <v>ERROR</v>
          </cell>
        </row>
        <row r="2577">
          <cell r="B2577">
            <v>7016039</v>
          </cell>
          <cell r="C2577" t="str">
            <v>!!CODIGO ANTIGUO, VERIFICAR HOJA PRODUCTO!!</v>
          </cell>
          <cell r="D2577" t="str">
            <v>ERROR</v>
          </cell>
        </row>
        <row r="2578">
          <cell r="B2578">
            <v>7016040</v>
          </cell>
          <cell r="C2578" t="str">
            <v>!!CODIGO ANTIGUO, VERIFICAR HOJA PRODUCTO!!</v>
          </cell>
          <cell r="D2578" t="str">
            <v>ERROR</v>
          </cell>
        </row>
        <row r="2579">
          <cell r="B2579">
            <v>7016041</v>
          </cell>
          <cell r="C2579" t="str">
            <v>!!CODIGO ANTIGUO, VERIFICAR HOJA PRODUCTO!!</v>
          </cell>
          <cell r="D2579" t="str">
            <v>ERROR</v>
          </cell>
        </row>
        <row r="2580">
          <cell r="B2580">
            <v>7016042</v>
          </cell>
          <cell r="C2580" t="str">
            <v>!!CODIGO ANTIGUO, VERIFICAR HOJA PRODUCTO!!</v>
          </cell>
          <cell r="D2580" t="str">
            <v>ERROR</v>
          </cell>
        </row>
        <row r="2581">
          <cell r="B2581">
            <v>7016043</v>
          </cell>
          <cell r="C2581" t="str">
            <v>!!CODIGO ANTIGUO, VERIFICAR HOJA PRODUCTO!!</v>
          </cell>
          <cell r="D2581" t="str">
            <v>ERROR</v>
          </cell>
        </row>
        <row r="2582">
          <cell r="B2582">
            <v>7016044</v>
          </cell>
          <cell r="C2582" t="str">
            <v>!!CODIGO ANTIGUO, VERIFICAR HOJA PRODUCTO!!</v>
          </cell>
          <cell r="D2582" t="str">
            <v>ERROR</v>
          </cell>
        </row>
        <row r="2583">
          <cell r="B2583">
            <v>7016045</v>
          </cell>
          <cell r="C2583" t="str">
            <v>!!CODIGO ANTIGUO, VERIFICAR HOJA PRODUCTO!!</v>
          </cell>
          <cell r="D2583" t="str">
            <v>ERROR</v>
          </cell>
        </row>
        <row r="2584">
          <cell r="B2584">
            <v>7016046</v>
          </cell>
          <cell r="C2584" t="str">
            <v>!!CODIGO ANTIGUO, VERIFICAR HOJA PRODUCTO!!</v>
          </cell>
          <cell r="D2584" t="str">
            <v>ERROR</v>
          </cell>
        </row>
        <row r="2585">
          <cell r="B2585">
            <v>7016047</v>
          </cell>
          <cell r="C2585" t="str">
            <v>!!CODIGO ANTIGUO, VERIFICAR HOJA PRODUCTO!!</v>
          </cell>
          <cell r="D2585" t="str">
            <v>ERROR</v>
          </cell>
        </row>
        <row r="2586">
          <cell r="B2586">
            <v>7016048</v>
          </cell>
          <cell r="C2586" t="str">
            <v>!!CODIGO ANTIGUO, VERIFICAR HOJA PRODUCTO!!</v>
          </cell>
          <cell r="D2586" t="str">
            <v>ERROR</v>
          </cell>
        </row>
        <row r="2587">
          <cell r="B2587">
            <v>7016052</v>
          </cell>
          <cell r="C2587" t="str">
            <v>!!CODIGO ANTIGUO, VERIFICAR HOJA PRODUCTO!!</v>
          </cell>
          <cell r="D2587" t="str">
            <v>ERROR</v>
          </cell>
        </row>
        <row r="2588">
          <cell r="B2588">
            <v>7016053</v>
          </cell>
          <cell r="C2588" t="str">
            <v>!!CODIGO ANTIGUO, VERIFICAR HOJA PRODUCTO!!</v>
          </cell>
          <cell r="D2588" t="str">
            <v>ERROR</v>
          </cell>
        </row>
        <row r="2589">
          <cell r="B2589">
            <v>7016055</v>
          </cell>
          <cell r="C2589" t="str">
            <v>!!CODIGO ANTIGUO, VERIFICAR HOJA PRODUCTO!!</v>
          </cell>
          <cell r="D2589" t="str">
            <v>ERROR</v>
          </cell>
        </row>
        <row r="2590">
          <cell r="B2590">
            <v>7016056</v>
          </cell>
          <cell r="C2590" t="str">
            <v>!!CODIGO ANTIGUO, VERIFICAR HOJA PRODUCTO!!</v>
          </cell>
          <cell r="D2590" t="str">
            <v>ERROR</v>
          </cell>
        </row>
        <row r="2591">
          <cell r="B2591">
            <v>7016057</v>
          </cell>
          <cell r="C2591" t="str">
            <v>!!CODIGO ANTIGUO, VERIFICAR HOJA PRODUCTO!!</v>
          </cell>
          <cell r="D2591" t="str">
            <v>ERROR</v>
          </cell>
        </row>
        <row r="2592">
          <cell r="B2592">
            <v>7017001</v>
          </cell>
          <cell r="C2592" t="str">
            <v>!!CODIGO ANTIGUO, VERIFICAR HOJA PRODUCTO!!</v>
          </cell>
          <cell r="D2592" t="str">
            <v>ERROR</v>
          </cell>
        </row>
        <row r="2593">
          <cell r="B2593">
            <v>7017002</v>
          </cell>
          <cell r="C2593" t="str">
            <v>!!CODIGO ANTIGUO, VERIFICAR HOJA PRODUCTO!!</v>
          </cell>
          <cell r="D2593" t="str">
            <v>ERROR</v>
          </cell>
        </row>
        <row r="2594">
          <cell r="B2594">
            <v>7017004</v>
          </cell>
          <cell r="C2594" t="str">
            <v>!!CODIGO ANTIGUO, VERIFICAR HOJA PRODUCTO!!</v>
          </cell>
          <cell r="D2594" t="str">
            <v>ERROR</v>
          </cell>
        </row>
        <row r="2595">
          <cell r="B2595">
            <v>7017005</v>
          </cell>
          <cell r="C2595" t="str">
            <v>!!CODIGO ANTIGUO, VERIFICAR HOJA PRODUCTO!!</v>
          </cell>
          <cell r="D2595" t="str">
            <v>ERROR</v>
          </cell>
        </row>
        <row r="2596">
          <cell r="B2596">
            <v>7017007</v>
          </cell>
          <cell r="C2596" t="str">
            <v>!!CODIGO ANTIGUO, VERIFICAR HOJA PRODUCTO!!</v>
          </cell>
          <cell r="D2596" t="str">
            <v>ERROR</v>
          </cell>
        </row>
        <row r="2597">
          <cell r="B2597">
            <v>7017008</v>
          </cell>
          <cell r="C2597" t="str">
            <v>!!CODIGO ANTIGUO, VERIFICAR HOJA PRODUCTO!!</v>
          </cell>
          <cell r="D2597" t="str">
            <v>ERROR</v>
          </cell>
        </row>
        <row r="2598">
          <cell r="B2598">
            <v>7017010</v>
          </cell>
          <cell r="C2598" t="str">
            <v>!!CODIGO ANTIGUO, VERIFICAR HOJA PRODUCTO!!</v>
          </cell>
          <cell r="D2598" t="str">
            <v>ERROR</v>
          </cell>
        </row>
        <row r="2599">
          <cell r="B2599">
            <v>7017026</v>
          </cell>
          <cell r="C2599" t="str">
            <v>!!CODIGO ANTIGUO, VERIFICAR HOJA PRODUCTO!!</v>
          </cell>
          <cell r="D2599" t="str">
            <v>ERROR</v>
          </cell>
        </row>
        <row r="2600">
          <cell r="B2600">
            <v>7018000</v>
          </cell>
          <cell r="C2600" t="str">
            <v>!!CODIGO ANTIGUO, VERIFICAR HOJA PRODUCTO!!</v>
          </cell>
          <cell r="D2600" t="str">
            <v>ERROR</v>
          </cell>
        </row>
        <row r="2601">
          <cell r="B2601">
            <v>7018002</v>
          </cell>
          <cell r="C2601" t="str">
            <v>!!CODIGO ANTIGUO, VERIFICAR HOJA PRODUCTO!!</v>
          </cell>
          <cell r="D2601" t="str">
            <v>ERROR</v>
          </cell>
        </row>
        <row r="2602">
          <cell r="B2602">
            <v>7018003</v>
          </cell>
          <cell r="C2602" t="str">
            <v>!!CODIGO ANTIGUO, VERIFICAR HOJA PRODUCTO!!</v>
          </cell>
          <cell r="D2602" t="str">
            <v>ERROR</v>
          </cell>
        </row>
        <row r="2603">
          <cell r="B2603">
            <v>7018004</v>
          </cell>
          <cell r="C2603" t="str">
            <v>!!CODIGO ANTIGUO, VERIFICAR HOJA PRODUCTO!!</v>
          </cell>
          <cell r="D2603" t="str">
            <v>ERROR</v>
          </cell>
        </row>
        <row r="2604">
          <cell r="B2604">
            <v>7018005</v>
          </cell>
          <cell r="C2604" t="str">
            <v>!!CODIGO ANTIGUO, VERIFICAR HOJA PRODUCTO!!</v>
          </cell>
          <cell r="D2604" t="str">
            <v>ERROR</v>
          </cell>
        </row>
        <row r="2605">
          <cell r="B2605">
            <v>7018009</v>
          </cell>
          <cell r="C2605" t="str">
            <v>!!CODIGO ANTIGUO, VERIFICAR HOJA PRODUCTO!!</v>
          </cell>
          <cell r="D2605" t="str">
            <v>ERROR</v>
          </cell>
        </row>
        <row r="2606">
          <cell r="B2606">
            <v>7018011</v>
          </cell>
          <cell r="C2606" t="str">
            <v>!!CODIGO ANTIGUO, VERIFICAR HOJA PRODUCTO!!</v>
          </cell>
          <cell r="D2606" t="str">
            <v>ERROR</v>
          </cell>
        </row>
        <row r="2607">
          <cell r="B2607">
            <v>7018012</v>
          </cell>
          <cell r="C2607" t="str">
            <v>!!CODIGO ANTIGUO, VERIFICAR HOJA PRODUCTO!!</v>
          </cell>
          <cell r="D2607" t="str">
            <v>ERROR</v>
          </cell>
        </row>
        <row r="2608">
          <cell r="B2608">
            <v>7018018</v>
          </cell>
          <cell r="C2608" t="str">
            <v>!!CODIGO ANTIGUO, VERIFICAR HOJA PRODUCTO!!</v>
          </cell>
          <cell r="D2608" t="str">
            <v>ERROR</v>
          </cell>
        </row>
        <row r="2609">
          <cell r="B2609">
            <v>7018019</v>
          </cell>
          <cell r="C2609" t="str">
            <v>!!CODIGO ANTIGUO, VERIFICAR HOJA PRODUCTO!!</v>
          </cell>
          <cell r="D2609" t="str">
            <v>ERROR</v>
          </cell>
        </row>
        <row r="2610">
          <cell r="B2610">
            <v>7018021</v>
          </cell>
          <cell r="C2610" t="str">
            <v>!!CODIGO ANTIGUO, VERIFICAR HOJA PRODUCTO!!</v>
          </cell>
          <cell r="D2610" t="str">
            <v>ERROR</v>
          </cell>
        </row>
        <row r="2611">
          <cell r="B2611">
            <v>7018022</v>
          </cell>
          <cell r="C2611" t="str">
            <v>!!CODIGO ANTIGUO, VERIFICAR HOJA PRODUCTO!!</v>
          </cell>
          <cell r="D2611" t="str">
            <v>ERROR</v>
          </cell>
        </row>
        <row r="2612">
          <cell r="B2612">
            <v>7018025</v>
          </cell>
          <cell r="C2612" t="str">
            <v>!!CODIGO ANTIGUO, VERIFICAR HOJA PRODUCTO!!</v>
          </cell>
          <cell r="D2612" t="str">
            <v>ERROR</v>
          </cell>
        </row>
        <row r="2613">
          <cell r="B2613">
            <v>7018026</v>
          </cell>
          <cell r="C2613" t="str">
            <v>!!CODIGO ANTIGUO, VERIFICAR HOJA PRODUCTO!!</v>
          </cell>
          <cell r="D2613" t="str">
            <v>ERROR</v>
          </cell>
        </row>
        <row r="2614">
          <cell r="B2614">
            <v>7018029</v>
          </cell>
          <cell r="C2614" t="str">
            <v>!!CODIGO ANTIGUO, VERIFICAR HOJA PRODUCTO!!</v>
          </cell>
          <cell r="D2614" t="str">
            <v>ERROR</v>
          </cell>
        </row>
        <row r="2615">
          <cell r="B2615">
            <v>7020000</v>
          </cell>
          <cell r="C2615" t="str">
            <v>!!CODIGO ANTIGUO, VERIFICAR HOJA PRODUCTO!!</v>
          </cell>
          <cell r="D2615" t="str">
            <v>ERROR</v>
          </cell>
        </row>
        <row r="2616">
          <cell r="B2616">
            <v>7020001</v>
          </cell>
          <cell r="C2616" t="str">
            <v>!!CODIGO ANTIGUO, VERIFICAR HOJA PRODUCTO!!</v>
          </cell>
          <cell r="D2616" t="str">
            <v>ERROR</v>
          </cell>
        </row>
        <row r="2617">
          <cell r="B2617">
            <v>7020002</v>
          </cell>
          <cell r="C2617" t="str">
            <v>!!CODIGO ANTIGUO, VERIFICAR HOJA PRODUCTO!!</v>
          </cell>
          <cell r="D2617" t="str">
            <v>ERROR</v>
          </cell>
        </row>
        <row r="2618">
          <cell r="B2618">
            <v>7020003</v>
          </cell>
          <cell r="C2618" t="str">
            <v>!!CODIGO ANTIGUO, VERIFICAR HOJA PRODUCTO!!</v>
          </cell>
          <cell r="D2618" t="str">
            <v>ERROR</v>
          </cell>
        </row>
        <row r="2619">
          <cell r="B2619">
            <v>7020004</v>
          </cell>
          <cell r="C2619" t="str">
            <v>!!CODIGO ANTIGUO, VERIFICAR HOJA PRODUCTO!!</v>
          </cell>
          <cell r="D2619" t="str">
            <v>ERROR</v>
          </cell>
        </row>
        <row r="2620">
          <cell r="B2620">
            <v>7020005</v>
          </cell>
          <cell r="C2620" t="str">
            <v>!!CODIGO ANTIGUO, VERIFICAR HOJA PRODUCTO!!</v>
          </cell>
          <cell r="D2620" t="str">
            <v>ERROR</v>
          </cell>
        </row>
        <row r="2621">
          <cell r="B2621">
            <v>7020006</v>
          </cell>
          <cell r="C2621" t="str">
            <v>!!CODIGO ANTIGUO, VERIFICAR HOJA PRODUCTO!!</v>
          </cell>
          <cell r="D2621" t="str">
            <v>ERROR</v>
          </cell>
        </row>
        <row r="2622">
          <cell r="B2622">
            <v>7020007</v>
          </cell>
          <cell r="C2622" t="str">
            <v>!!CODIGO ANTIGUO, VERIFICAR HOJA PRODUCTO!!</v>
          </cell>
          <cell r="D2622" t="str">
            <v>ERROR</v>
          </cell>
        </row>
        <row r="2623">
          <cell r="B2623">
            <v>7020008</v>
          </cell>
          <cell r="C2623" t="str">
            <v>!!CODIGO ANTIGUO, VERIFICAR HOJA PRODUCTO!!</v>
          </cell>
          <cell r="D2623" t="str">
            <v>ERROR</v>
          </cell>
        </row>
        <row r="2624">
          <cell r="B2624">
            <v>7020009</v>
          </cell>
          <cell r="C2624" t="str">
            <v>!!CODIGO ANTIGUO, VERIFICAR HOJA PRODUCTO!!</v>
          </cell>
          <cell r="D2624" t="str">
            <v>ERROR</v>
          </cell>
        </row>
        <row r="2625">
          <cell r="B2625">
            <v>7020010</v>
          </cell>
          <cell r="C2625" t="str">
            <v>!!CODIGO ANTIGUO, VERIFICAR HOJA PRODUCTO!!</v>
          </cell>
          <cell r="D2625" t="str">
            <v>ERROR</v>
          </cell>
        </row>
        <row r="2626">
          <cell r="B2626">
            <v>7020012</v>
          </cell>
          <cell r="C2626" t="str">
            <v>!!CODIGO ANTIGUO, VERIFICAR HOJA PRODUCTO!!</v>
          </cell>
          <cell r="D2626" t="str">
            <v>ERROR</v>
          </cell>
        </row>
        <row r="2627">
          <cell r="B2627">
            <v>7020013</v>
          </cell>
          <cell r="C2627" t="str">
            <v>!!CODIGO ANTIGUO, VERIFICAR HOJA PRODUCTO!!</v>
          </cell>
          <cell r="D2627" t="str">
            <v>ERROR</v>
          </cell>
        </row>
        <row r="2628">
          <cell r="B2628">
            <v>7020014</v>
          </cell>
          <cell r="C2628" t="str">
            <v>!!CODIGO ANTIGUO, VERIFICAR HOJA PRODUCTO!!</v>
          </cell>
          <cell r="D2628" t="str">
            <v>ERROR</v>
          </cell>
        </row>
        <row r="2629">
          <cell r="B2629">
            <v>7020015</v>
          </cell>
          <cell r="C2629" t="str">
            <v>!!CODIGO ANTIGUO, VERIFICAR HOJA PRODUCTO!!</v>
          </cell>
          <cell r="D2629" t="str">
            <v>ERROR</v>
          </cell>
        </row>
        <row r="2630">
          <cell r="B2630">
            <v>7020016</v>
          </cell>
          <cell r="C2630" t="str">
            <v>!!CODIGO ANTIGUO, VERIFICAR HOJA PRODUCTO!!</v>
          </cell>
          <cell r="D2630" t="str">
            <v>ERROR</v>
          </cell>
        </row>
        <row r="2631">
          <cell r="B2631">
            <v>7020017</v>
          </cell>
          <cell r="C2631" t="str">
            <v>!!CODIGO ANTIGUO, VERIFICAR HOJA PRODUCTO!!</v>
          </cell>
          <cell r="D2631" t="str">
            <v>ERROR</v>
          </cell>
        </row>
        <row r="2632">
          <cell r="B2632">
            <v>7020018</v>
          </cell>
          <cell r="C2632" t="str">
            <v>!!CODIGO ANTIGUO, VERIFICAR HOJA PRODUCTO!!</v>
          </cell>
          <cell r="D2632" t="str">
            <v>ERROR</v>
          </cell>
        </row>
        <row r="2633">
          <cell r="B2633">
            <v>7020020</v>
          </cell>
          <cell r="C2633" t="str">
            <v>!!CODIGO ANTIGUO, VERIFICAR HOJA PRODUCTO!!</v>
          </cell>
          <cell r="D2633" t="str">
            <v>ERROR</v>
          </cell>
        </row>
        <row r="2634">
          <cell r="B2634">
            <v>7020024</v>
          </cell>
          <cell r="C2634" t="str">
            <v>!!CODIGO ANTIGUO, VERIFICAR HOJA PRODUCTO!!</v>
          </cell>
          <cell r="D2634" t="str">
            <v>ERROR</v>
          </cell>
        </row>
        <row r="2635">
          <cell r="B2635">
            <v>7020025</v>
          </cell>
          <cell r="C2635" t="str">
            <v>!!CODIGO ANTIGUO, VERIFICAR HOJA PRODUCTO!!</v>
          </cell>
          <cell r="D2635" t="str">
            <v>ERROR</v>
          </cell>
        </row>
        <row r="2636">
          <cell r="B2636">
            <v>7020026</v>
          </cell>
          <cell r="C2636" t="str">
            <v>!!CODIGO ANTIGUO, VERIFICAR HOJA PRODUCTO!!</v>
          </cell>
          <cell r="D2636" t="str">
            <v>ERROR</v>
          </cell>
        </row>
        <row r="2637">
          <cell r="B2637">
            <v>7020029</v>
          </cell>
          <cell r="C2637" t="str">
            <v>!!CODIGO ANTIGUO, VERIFICAR HOJA PRODUCTO!!</v>
          </cell>
          <cell r="D2637" t="str">
            <v>ERROR</v>
          </cell>
        </row>
        <row r="2638">
          <cell r="B2638">
            <v>7020031</v>
          </cell>
          <cell r="C2638" t="str">
            <v>!!CODIGO ANTIGUO, VERIFICAR HOJA PRODUCTO!!</v>
          </cell>
          <cell r="D2638" t="str">
            <v>ERROR</v>
          </cell>
        </row>
        <row r="2639">
          <cell r="B2639">
            <v>7020035</v>
          </cell>
          <cell r="C2639" t="str">
            <v>!!CODIGO ANTIGUO, VERIFICAR HOJA PRODUCTO!!</v>
          </cell>
          <cell r="D2639" t="str">
            <v>ERROR</v>
          </cell>
        </row>
        <row r="2640">
          <cell r="B2640">
            <v>7020037</v>
          </cell>
          <cell r="C2640" t="str">
            <v>!!CODIGO ANTIGUO, VERIFICAR HOJA PRODUCTO!!</v>
          </cell>
          <cell r="D2640" t="str">
            <v>ERROR</v>
          </cell>
        </row>
        <row r="2641">
          <cell r="B2641">
            <v>7020038</v>
          </cell>
          <cell r="C2641" t="str">
            <v>!!CODIGO ANTIGUO, VERIFICAR HOJA PRODUCTO!!</v>
          </cell>
          <cell r="D2641" t="str">
            <v>ERROR</v>
          </cell>
        </row>
        <row r="2642">
          <cell r="B2642">
            <v>7020039</v>
          </cell>
          <cell r="C2642" t="str">
            <v>!!CODIGO ANTIGUO, VERIFICAR HOJA PRODUCTO!!</v>
          </cell>
          <cell r="D2642" t="str">
            <v>ERROR</v>
          </cell>
        </row>
        <row r="2643">
          <cell r="B2643">
            <v>7020040</v>
          </cell>
          <cell r="C2643" t="str">
            <v>!!CODIGO ANTIGUO, VERIFICAR HOJA PRODUCTO!!</v>
          </cell>
          <cell r="D2643" t="str">
            <v>ERROR</v>
          </cell>
        </row>
        <row r="2644">
          <cell r="B2644">
            <v>7020041</v>
          </cell>
          <cell r="C2644" t="str">
            <v>!!CODIGO ANTIGUO, VERIFICAR HOJA PRODUCTO!!</v>
          </cell>
          <cell r="D2644" t="str">
            <v>ERROR</v>
          </cell>
        </row>
        <row r="2645">
          <cell r="B2645">
            <v>7020042</v>
          </cell>
          <cell r="C2645" t="str">
            <v>!!CODIGO ANTIGUO, VERIFICAR HOJA PRODUCTO!!</v>
          </cell>
          <cell r="D2645" t="str">
            <v>ERROR</v>
          </cell>
        </row>
        <row r="2646">
          <cell r="B2646">
            <v>7020043</v>
          </cell>
          <cell r="C2646" t="str">
            <v>!!CODIGO ANTIGUO, VERIFICAR HOJA PRODUCTO!!</v>
          </cell>
          <cell r="D2646" t="str">
            <v>ERROR</v>
          </cell>
        </row>
        <row r="2647">
          <cell r="B2647">
            <v>7020053</v>
          </cell>
          <cell r="C2647" t="str">
            <v>!!CODIGO ANTIGUO, VERIFICAR HOJA PRODUCTO!!</v>
          </cell>
          <cell r="D2647" t="str">
            <v>ERROR</v>
          </cell>
        </row>
        <row r="2648">
          <cell r="B2648">
            <v>7020062</v>
          </cell>
          <cell r="C2648" t="str">
            <v>!!CODIGO ANTIGUO, VERIFICAR HOJA PRODUCTO!!</v>
          </cell>
          <cell r="D2648" t="str">
            <v>ERROR</v>
          </cell>
        </row>
        <row r="2649">
          <cell r="B2649">
            <v>7022005</v>
          </cell>
          <cell r="C2649" t="str">
            <v>!!CODIGO ANTIGUO, VERIFICAR HOJA PRODUCTO!!</v>
          </cell>
          <cell r="D2649" t="str">
            <v>ERROR</v>
          </cell>
        </row>
        <row r="2650">
          <cell r="B2650">
            <v>7022015</v>
          </cell>
          <cell r="C2650" t="str">
            <v>!!CODIGO ANTIGUO, VERIFICAR HOJA PRODUCTO!!</v>
          </cell>
          <cell r="D2650" t="str">
            <v>ERROR</v>
          </cell>
        </row>
        <row r="2651">
          <cell r="B2651">
            <v>7030002</v>
          </cell>
          <cell r="C2651" t="str">
            <v>!!CODIGO ANTIGUO, VERIFICAR HOJA PRODUCTO!!</v>
          </cell>
          <cell r="D2651" t="str">
            <v>ERROR</v>
          </cell>
        </row>
        <row r="2652">
          <cell r="B2652">
            <v>7030003</v>
          </cell>
          <cell r="C2652" t="str">
            <v>!!CODIGO ANTIGUO, VERIFICAR HOJA PRODUCTO!!</v>
          </cell>
          <cell r="D2652" t="str">
            <v>ERROR</v>
          </cell>
        </row>
        <row r="2653">
          <cell r="B2653">
            <v>7030004</v>
          </cell>
          <cell r="C2653" t="str">
            <v>!!CODIGO ANTIGUO, VERIFICAR HOJA PRODUCTO!!</v>
          </cell>
          <cell r="D2653" t="str">
            <v>ERROR</v>
          </cell>
        </row>
        <row r="2654">
          <cell r="B2654">
            <v>7030005</v>
          </cell>
          <cell r="C2654" t="str">
            <v>!!CODIGO ANTIGUO, VERIFICAR HOJA PRODUCTO!!</v>
          </cell>
          <cell r="D2654" t="str">
            <v>ERROR</v>
          </cell>
        </row>
        <row r="2655">
          <cell r="B2655">
            <v>7030006</v>
          </cell>
          <cell r="C2655" t="str">
            <v>!!CODIGO ANTIGUO, VERIFICAR HOJA PRODUCTO!!</v>
          </cell>
          <cell r="D2655" t="str">
            <v>ERROR</v>
          </cell>
        </row>
        <row r="2656">
          <cell r="B2656">
            <v>7030007</v>
          </cell>
          <cell r="C2656" t="str">
            <v>!!CODIGO ANTIGUO, VERIFICAR HOJA PRODUCTO!!</v>
          </cell>
          <cell r="D2656" t="str">
            <v>ERROR</v>
          </cell>
        </row>
        <row r="2657">
          <cell r="B2657">
            <v>7030008</v>
          </cell>
          <cell r="C2657" t="str">
            <v>!!CODIGO ANTIGUO, VERIFICAR HOJA PRODUCTO!!</v>
          </cell>
          <cell r="D2657" t="str">
            <v>ERROR</v>
          </cell>
        </row>
        <row r="2658">
          <cell r="B2658">
            <v>7030009</v>
          </cell>
          <cell r="C2658" t="str">
            <v>!!CODIGO ANTIGUO, VERIFICAR HOJA PRODUCTO!!</v>
          </cell>
          <cell r="D2658" t="str">
            <v>ERROR</v>
          </cell>
        </row>
        <row r="2659">
          <cell r="B2659">
            <v>7030010</v>
          </cell>
          <cell r="C2659" t="str">
            <v>!!CODIGO ANTIGUO, VERIFICAR HOJA PRODUCTO!!</v>
          </cell>
          <cell r="D2659" t="str">
            <v>ERROR</v>
          </cell>
        </row>
        <row r="2660">
          <cell r="B2660">
            <v>7030011</v>
          </cell>
          <cell r="C2660" t="str">
            <v>!!CODIGO ANTIGUO, VERIFICAR HOJA PRODUCTO!!</v>
          </cell>
          <cell r="D2660" t="str">
            <v>ERROR</v>
          </cell>
        </row>
        <row r="2661">
          <cell r="B2661">
            <v>7030012</v>
          </cell>
          <cell r="C2661" t="str">
            <v>!!CODIGO ANTIGUO, VERIFICAR HOJA PRODUCTO!!</v>
          </cell>
          <cell r="D2661" t="str">
            <v>ERROR</v>
          </cell>
        </row>
        <row r="2662">
          <cell r="B2662">
            <v>7032004</v>
          </cell>
          <cell r="C2662" t="str">
            <v>!!CODIGO ANTIGUO, VERIFICAR HOJA PRODUCTO!!</v>
          </cell>
          <cell r="D2662" t="str">
            <v>ERROR</v>
          </cell>
        </row>
        <row r="2663">
          <cell r="B2663">
            <v>7035000</v>
          </cell>
          <cell r="C2663" t="str">
            <v>!!CODIGO ANTIGUO, VERIFICAR HOJA PRODUCTO!!</v>
          </cell>
          <cell r="D2663" t="str">
            <v>ERROR</v>
          </cell>
        </row>
        <row r="2664">
          <cell r="B2664">
            <v>7035001</v>
          </cell>
          <cell r="C2664" t="str">
            <v>!!CODIGO ANTIGUO, VERIFICAR HOJA PRODUCTO!!</v>
          </cell>
          <cell r="D2664" t="str">
            <v>ERROR</v>
          </cell>
        </row>
        <row r="2665">
          <cell r="B2665">
            <v>7035002</v>
          </cell>
          <cell r="C2665" t="str">
            <v>!!CODIGO ANTIGUO, VERIFICAR HOJA PRODUCTO!!</v>
          </cell>
          <cell r="D2665" t="str">
            <v>ERROR</v>
          </cell>
        </row>
        <row r="2666">
          <cell r="B2666">
            <v>7035004</v>
          </cell>
          <cell r="C2666" t="str">
            <v>!!CODIGO ANTIGUO, VERIFICAR HOJA PRODUCTO!!</v>
          </cell>
          <cell r="D2666" t="str">
            <v>ERROR</v>
          </cell>
        </row>
        <row r="2667">
          <cell r="B2667">
            <v>7035005</v>
          </cell>
          <cell r="C2667" t="str">
            <v>!!CODIGO ANTIGUO, VERIFICAR HOJA PRODUCTO!!</v>
          </cell>
          <cell r="D2667" t="str">
            <v>ERROR</v>
          </cell>
        </row>
        <row r="2668">
          <cell r="B2668">
            <v>7035008</v>
          </cell>
          <cell r="C2668" t="str">
            <v>!!CODIGO ANTIGUO, VERIFICAR HOJA PRODUCTO!!</v>
          </cell>
          <cell r="D2668" t="str">
            <v>ERROR</v>
          </cell>
        </row>
        <row r="2669">
          <cell r="B2669">
            <v>7035010</v>
          </cell>
          <cell r="C2669" t="str">
            <v>!!CODIGO ANTIGUO, VERIFICAR HOJA PRODUCTO!!</v>
          </cell>
          <cell r="D2669" t="str">
            <v>ERROR</v>
          </cell>
        </row>
        <row r="2670">
          <cell r="B2670">
            <v>7035011</v>
          </cell>
          <cell r="C2670" t="str">
            <v>!!CODIGO ANTIGUO, VERIFICAR HOJA PRODUCTO!!</v>
          </cell>
          <cell r="D2670" t="str">
            <v>ERROR</v>
          </cell>
        </row>
        <row r="2671">
          <cell r="B2671">
            <v>7036004</v>
          </cell>
          <cell r="C2671" t="str">
            <v>!!CODIGO ANTIGUO, VERIFICAR HOJA PRODUCTO!!</v>
          </cell>
          <cell r="D2671" t="str">
            <v>ERROR</v>
          </cell>
        </row>
        <row r="2672">
          <cell r="B2672">
            <v>7036006</v>
          </cell>
          <cell r="C2672" t="str">
            <v>!!CODIGO ANTIGUO, VERIFICAR HOJA PRODUCTO!!</v>
          </cell>
          <cell r="D2672" t="str">
            <v>ERROR</v>
          </cell>
        </row>
        <row r="2673">
          <cell r="B2673">
            <v>7036007</v>
          </cell>
          <cell r="C2673" t="str">
            <v>!!CODIGO ANTIGUO, VERIFICAR HOJA PRODUCTO!!</v>
          </cell>
          <cell r="D2673" t="str">
            <v>ERROR</v>
          </cell>
        </row>
        <row r="2674">
          <cell r="B2674">
            <v>7036010</v>
          </cell>
          <cell r="C2674" t="str">
            <v>!!CODIGO ANTIGUO, VERIFICAR HOJA PRODUCTO!!</v>
          </cell>
          <cell r="D2674" t="str">
            <v>ERROR</v>
          </cell>
        </row>
        <row r="2675">
          <cell r="B2675">
            <v>7036015</v>
          </cell>
          <cell r="C2675" t="str">
            <v>!!CODIGO ANTIGUO, VERIFICAR HOJA PRODUCTO!!</v>
          </cell>
          <cell r="D2675" t="str">
            <v>ERROR</v>
          </cell>
        </row>
        <row r="2676">
          <cell r="B2676">
            <v>7036016</v>
          </cell>
          <cell r="C2676" t="str">
            <v>!!CODIGO ANTIGUO, VERIFICAR HOJA PRODUCTO!!</v>
          </cell>
          <cell r="D2676" t="str">
            <v>ERROR</v>
          </cell>
        </row>
        <row r="2677">
          <cell r="B2677">
            <v>7036017</v>
          </cell>
          <cell r="C2677" t="str">
            <v>!!CODIGO ANTIGUO, VERIFICAR HOJA PRODUCTO!!</v>
          </cell>
          <cell r="D2677" t="str">
            <v>ERROR</v>
          </cell>
        </row>
        <row r="2678">
          <cell r="B2678">
            <v>7036018</v>
          </cell>
          <cell r="C2678" t="str">
            <v>!!CODIGO ANTIGUO, VERIFICAR HOJA PRODUCTO!!</v>
          </cell>
          <cell r="D2678" t="str">
            <v>ERROR</v>
          </cell>
        </row>
        <row r="2679">
          <cell r="B2679">
            <v>7036019</v>
          </cell>
          <cell r="C2679" t="str">
            <v>!!CODIGO ANTIGUO, VERIFICAR HOJA PRODUCTO!!</v>
          </cell>
          <cell r="D2679" t="str">
            <v>ERROR</v>
          </cell>
        </row>
        <row r="2680">
          <cell r="B2680">
            <v>7036020</v>
          </cell>
          <cell r="C2680" t="str">
            <v>!!CODIGO ANTIGUO, VERIFICAR HOJA PRODUCTO!!</v>
          </cell>
          <cell r="D2680" t="str">
            <v>ERROR</v>
          </cell>
        </row>
        <row r="2681">
          <cell r="B2681">
            <v>7036021</v>
          </cell>
          <cell r="C2681" t="str">
            <v>!!CODIGO ANTIGUO, VERIFICAR HOJA PRODUCTO!!</v>
          </cell>
          <cell r="D2681" t="str">
            <v>ERROR</v>
          </cell>
        </row>
        <row r="2682">
          <cell r="B2682">
            <v>7036024</v>
          </cell>
          <cell r="C2682" t="str">
            <v>!!CODIGO ANTIGUO, VERIFICAR HOJA PRODUCTO!!</v>
          </cell>
          <cell r="D2682" t="str">
            <v>ERROR</v>
          </cell>
        </row>
        <row r="2683">
          <cell r="B2683">
            <v>7036025</v>
          </cell>
          <cell r="C2683" t="str">
            <v>!!CODIGO ANTIGUO, VERIFICAR HOJA PRODUCTO!!</v>
          </cell>
          <cell r="D2683" t="str">
            <v>ERROR</v>
          </cell>
        </row>
        <row r="2684">
          <cell r="B2684">
            <v>7036026</v>
          </cell>
          <cell r="C2684" t="str">
            <v>!!CODIGO ANTIGUO, VERIFICAR HOJA PRODUCTO!!</v>
          </cell>
          <cell r="D2684" t="str">
            <v>ERROR</v>
          </cell>
        </row>
        <row r="2685">
          <cell r="B2685">
            <v>7036028</v>
          </cell>
          <cell r="C2685" t="str">
            <v>!!CODIGO ANTIGUO, VERIFICAR HOJA PRODUCTO!!</v>
          </cell>
          <cell r="D2685" t="str">
            <v>ERROR</v>
          </cell>
        </row>
        <row r="2686">
          <cell r="B2686">
            <v>7036029</v>
          </cell>
          <cell r="C2686" t="str">
            <v>!!CODIGO ANTIGUO, VERIFICAR HOJA PRODUCTO!!</v>
          </cell>
          <cell r="D2686" t="str">
            <v>ERROR</v>
          </cell>
        </row>
        <row r="2687">
          <cell r="B2687">
            <v>7036033</v>
          </cell>
          <cell r="C2687" t="str">
            <v>!!CODIGO ANTIGUO, VERIFICAR HOJA PRODUCTO!!</v>
          </cell>
          <cell r="D2687" t="str">
            <v>ERROR</v>
          </cell>
        </row>
        <row r="2688">
          <cell r="B2688">
            <v>7037000</v>
          </cell>
          <cell r="C2688" t="str">
            <v>!!CODIGO ANTIGUO, VERIFICAR HOJA PRODUCTO!!</v>
          </cell>
          <cell r="D2688" t="str">
            <v>ERROR</v>
          </cell>
        </row>
        <row r="2689">
          <cell r="B2689">
            <v>7037003</v>
          </cell>
          <cell r="C2689" t="str">
            <v>!!CODIGO ANTIGUO, VERIFICAR HOJA PRODUCTO!!</v>
          </cell>
          <cell r="D2689" t="str">
            <v>ERROR</v>
          </cell>
        </row>
        <row r="2690">
          <cell r="B2690">
            <v>7037004</v>
          </cell>
          <cell r="C2690" t="str">
            <v>!!CODIGO ANTIGUO, VERIFICAR HOJA PRODUCTO!!</v>
          </cell>
          <cell r="D2690" t="str">
            <v>ERROR</v>
          </cell>
        </row>
        <row r="2691">
          <cell r="B2691">
            <v>7037005</v>
          </cell>
          <cell r="C2691" t="str">
            <v>!!CODIGO ANTIGUO, VERIFICAR HOJA PRODUCTO!!</v>
          </cell>
          <cell r="D2691" t="str">
            <v>ERROR</v>
          </cell>
        </row>
        <row r="2692">
          <cell r="B2692">
            <v>7037009</v>
          </cell>
          <cell r="C2692" t="str">
            <v>!!CODIGO ANTIGUO, VERIFICAR HOJA PRODUCTO!!</v>
          </cell>
          <cell r="D2692" t="str">
            <v>ERROR</v>
          </cell>
        </row>
        <row r="2693">
          <cell r="B2693">
            <v>7037010</v>
          </cell>
          <cell r="C2693" t="str">
            <v>!!CODIGO ANTIGUO, VERIFICAR HOJA PRODUCTO!!</v>
          </cell>
          <cell r="D2693" t="str">
            <v>ERROR</v>
          </cell>
        </row>
        <row r="2694">
          <cell r="B2694">
            <v>7037011</v>
          </cell>
          <cell r="C2694" t="str">
            <v>!!CODIGO ANTIGUO, VERIFICAR HOJA PRODUCTO!!</v>
          </cell>
          <cell r="D2694" t="str">
            <v>ERROR</v>
          </cell>
        </row>
        <row r="2695">
          <cell r="B2695">
            <v>7037016</v>
          </cell>
          <cell r="C2695" t="str">
            <v>!!CODIGO ANTIGUO, VERIFICAR HOJA PRODUCTO!!</v>
          </cell>
          <cell r="D2695" t="str">
            <v>ERROR</v>
          </cell>
        </row>
        <row r="2696">
          <cell r="B2696">
            <v>7037017</v>
          </cell>
          <cell r="C2696" t="str">
            <v>!!CODIGO ANTIGUO, VERIFICAR HOJA PRODUCTO!!</v>
          </cell>
          <cell r="D2696" t="str">
            <v>ERROR</v>
          </cell>
        </row>
        <row r="2697">
          <cell r="B2697">
            <v>7037018</v>
          </cell>
          <cell r="C2697" t="str">
            <v>!!CODIGO ANTIGUO, VERIFICAR HOJA PRODUCTO!!</v>
          </cell>
          <cell r="D2697" t="str">
            <v>ERROR</v>
          </cell>
        </row>
        <row r="2698">
          <cell r="B2698">
            <v>7037019</v>
          </cell>
          <cell r="C2698" t="str">
            <v>!!CODIGO ANTIGUO, VERIFICAR HOJA PRODUCTO!!</v>
          </cell>
          <cell r="D2698" t="str">
            <v>ERROR</v>
          </cell>
        </row>
        <row r="2699">
          <cell r="B2699">
            <v>7037020</v>
          </cell>
          <cell r="C2699" t="str">
            <v>!!CODIGO ANTIGUO, VERIFICAR HOJA PRODUCTO!!</v>
          </cell>
          <cell r="D2699" t="str">
            <v>ERROR</v>
          </cell>
        </row>
        <row r="2700">
          <cell r="B2700">
            <v>7037021</v>
          </cell>
          <cell r="C2700" t="str">
            <v>!!CODIGO ANTIGUO, VERIFICAR HOJA PRODUCTO!!</v>
          </cell>
          <cell r="D2700" t="str">
            <v>ERROR</v>
          </cell>
        </row>
        <row r="2701">
          <cell r="B2701">
            <v>7037022</v>
          </cell>
          <cell r="C2701" t="str">
            <v>!!CODIGO ANTIGUO, VERIFICAR HOJA PRODUCTO!!</v>
          </cell>
          <cell r="D2701" t="str">
            <v>ERROR</v>
          </cell>
        </row>
        <row r="2702">
          <cell r="B2702">
            <v>7037023</v>
          </cell>
          <cell r="C2702" t="str">
            <v>!!CODIGO ANTIGUO, VERIFICAR HOJA PRODUCTO!!</v>
          </cell>
          <cell r="D2702" t="str">
            <v>ERROR</v>
          </cell>
        </row>
        <row r="2703">
          <cell r="B2703">
            <v>7037024</v>
          </cell>
          <cell r="C2703" t="str">
            <v>!!CODIGO ANTIGUO, VERIFICAR HOJA PRODUCTO!!</v>
          </cell>
          <cell r="D2703" t="str">
            <v>ERROR</v>
          </cell>
        </row>
        <row r="2704">
          <cell r="B2704">
            <v>7037025</v>
          </cell>
          <cell r="C2704" t="str">
            <v>!!CODIGO ANTIGUO, VERIFICAR HOJA PRODUCTO!!</v>
          </cell>
          <cell r="D2704" t="str">
            <v>ERROR</v>
          </cell>
        </row>
        <row r="2705">
          <cell r="B2705">
            <v>7037026</v>
          </cell>
          <cell r="C2705" t="str">
            <v>!!CODIGO ANTIGUO, VERIFICAR HOJA PRODUCTO!!</v>
          </cell>
          <cell r="D2705" t="str">
            <v>ERROR</v>
          </cell>
        </row>
        <row r="2706">
          <cell r="B2706">
            <v>7037027</v>
          </cell>
          <cell r="C2706" t="str">
            <v>!!CODIGO ANTIGUO, VERIFICAR HOJA PRODUCTO!!</v>
          </cell>
          <cell r="D2706" t="str">
            <v>ERROR</v>
          </cell>
        </row>
        <row r="2707">
          <cell r="B2707">
            <v>7037028</v>
          </cell>
          <cell r="C2707" t="str">
            <v>!!CODIGO ANTIGUO, VERIFICAR HOJA PRODUCTO!!</v>
          </cell>
          <cell r="D2707" t="str">
            <v>ERROR</v>
          </cell>
        </row>
        <row r="2708">
          <cell r="B2708">
            <v>7037029</v>
          </cell>
          <cell r="C2708" t="str">
            <v>!!CODIGO ANTIGUO, VERIFICAR HOJA PRODUCTO!!</v>
          </cell>
          <cell r="D2708" t="str">
            <v>ERROR</v>
          </cell>
        </row>
        <row r="2709">
          <cell r="B2709">
            <v>7037031</v>
          </cell>
          <cell r="C2709" t="str">
            <v>!!CODIGO ANTIGUO, VERIFICAR HOJA PRODUCTO!!</v>
          </cell>
          <cell r="D2709" t="str">
            <v>ERROR</v>
          </cell>
        </row>
        <row r="2710">
          <cell r="B2710">
            <v>7050000</v>
          </cell>
          <cell r="C2710" t="str">
            <v>!!CODIGO ANTIGUO, VERIFICAR HOJA PRODUCTO!!</v>
          </cell>
          <cell r="D2710" t="str">
            <v>ERROR</v>
          </cell>
        </row>
        <row r="2711">
          <cell r="B2711">
            <v>7050001</v>
          </cell>
          <cell r="C2711" t="str">
            <v>!!CODIGO ANTIGUO, VERIFICAR HOJA PRODUCTO!!</v>
          </cell>
          <cell r="D2711" t="str">
            <v>ERROR</v>
          </cell>
        </row>
        <row r="2712">
          <cell r="B2712">
            <v>7050002</v>
          </cell>
          <cell r="C2712" t="str">
            <v>!!CODIGO ANTIGUO, VERIFICAR HOJA PRODUCTO!!</v>
          </cell>
          <cell r="D2712" t="str">
            <v>ERROR</v>
          </cell>
        </row>
        <row r="2713">
          <cell r="B2713">
            <v>7050003</v>
          </cell>
          <cell r="C2713" t="str">
            <v>!!CODIGO ANTIGUO, VERIFICAR HOJA PRODUCTO!!</v>
          </cell>
          <cell r="D2713" t="str">
            <v>ERROR</v>
          </cell>
        </row>
        <row r="2714">
          <cell r="B2714">
            <v>7050004</v>
          </cell>
          <cell r="C2714" t="str">
            <v>!!CODIGO ANTIGUO, VERIFICAR HOJA PRODUCTO!!</v>
          </cell>
          <cell r="D2714" t="str">
            <v>ERROR</v>
          </cell>
        </row>
        <row r="2715">
          <cell r="B2715">
            <v>7050005</v>
          </cell>
          <cell r="C2715" t="str">
            <v>!!CODIGO ANTIGUO, VERIFICAR HOJA PRODUCTO!!</v>
          </cell>
          <cell r="D2715" t="str">
            <v>ERROR</v>
          </cell>
        </row>
        <row r="2716">
          <cell r="B2716">
            <v>7050006</v>
          </cell>
          <cell r="C2716" t="str">
            <v>!!CODIGO ANTIGUO, VERIFICAR HOJA PRODUCTO!!</v>
          </cell>
          <cell r="D2716" t="str">
            <v>ERROR</v>
          </cell>
        </row>
        <row r="2717">
          <cell r="B2717">
            <v>7050007</v>
          </cell>
          <cell r="C2717" t="str">
            <v>!!CODIGO ANTIGUO, VERIFICAR HOJA PRODUCTO!!</v>
          </cell>
          <cell r="D2717" t="str">
            <v>ERROR</v>
          </cell>
        </row>
        <row r="2718">
          <cell r="B2718">
            <v>7050008</v>
          </cell>
          <cell r="C2718" t="str">
            <v>!!CODIGO ANTIGUO, VERIFICAR HOJA PRODUCTO!!</v>
          </cell>
          <cell r="D2718" t="str">
            <v>ERROR</v>
          </cell>
        </row>
        <row r="2719">
          <cell r="B2719">
            <v>7050009</v>
          </cell>
          <cell r="C2719" t="str">
            <v>!!CODIGO ANTIGUO, VERIFICAR HOJA PRODUCTO!!</v>
          </cell>
          <cell r="D2719" t="str">
            <v>ERROR</v>
          </cell>
        </row>
        <row r="2720">
          <cell r="B2720">
            <v>7050010</v>
          </cell>
          <cell r="C2720" t="str">
            <v>!!CODIGO ANTIGUO, VERIFICAR HOJA PRODUCTO!!</v>
          </cell>
          <cell r="D2720" t="str">
            <v>ERROR</v>
          </cell>
        </row>
        <row r="2721">
          <cell r="B2721">
            <v>7050011</v>
          </cell>
          <cell r="C2721" t="str">
            <v>!!CODIGO ANTIGUO, VERIFICAR HOJA PRODUCTO!!</v>
          </cell>
          <cell r="D2721" t="str">
            <v>ERROR</v>
          </cell>
        </row>
        <row r="2722">
          <cell r="B2722">
            <v>7051001</v>
          </cell>
          <cell r="C2722" t="str">
            <v>!!CODIGO ANTIGUO, VERIFICAR HOJA PRODUCTO!!</v>
          </cell>
          <cell r="D2722" t="str">
            <v>ERROR</v>
          </cell>
        </row>
        <row r="2723">
          <cell r="B2723">
            <v>7051003</v>
          </cell>
          <cell r="C2723" t="str">
            <v>!!CODIGO ANTIGUO, VERIFICAR HOJA PRODUCTO!!</v>
          </cell>
          <cell r="D2723" t="str">
            <v>ERROR</v>
          </cell>
        </row>
        <row r="2724">
          <cell r="B2724">
            <v>7051005</v>
          </cell>
          <cell r="C2724" t="str">
            <v>!!CODIGO ANTIGUO, VERIFICAR HOJA PRODUCTO!!</v>
          </cell>
          <cell r="D2724" t="str">
            <v>ERROR</v>
          </cell>
        </row>
        <row r="2725">
          <cell r="B2725">
            <v>7051009</v>
          </cell>
          <cell r="C2725" t="str">
            <v>!!CODIGO ANTIGUO, VERIFICAR HOJA PRODUCTO!!</v>
          </cell>
          <cell r="D2725" t="str">
            <v>ERROR</v>
          </cell>
        </row>
        <row r="2726">
          <cell r="B2726">
            <v>7051010</v>
          </cell>
          <cell r="C2726" t="str">
            <v>!!CODIGO ANTIGUO, VERIFICAR HOJA PRODUCTO!!</v>
          </cell>
          <cell r="D2726" t="str">
            <v>ERROR</v>
          </cell>
        </row>
        <row r="2727">
          <cell r="B2727">
            <v>7051014</v>
          </cell>
          <cell r="C2727" t="str">
            <v>!!CODIGO ANTIGUO, VERIFICAR HOJA PRODUCTO!!</v>
          </cell>
          <cell r="D2727" t="str">
            <v>ERROR</v>
          </cell>
        </row>
        <row r="2728">
          <cell r="B2728">
            <v>7051018</v>
          </cell>
          <cell r="C2728" t="str">
            <v>!!CODIGO ANTIGUO, VERIFICAR HOJA PRODUCTO!!</v>
          </cell>
          <cell r="D2728" t="str">
            <v>ERROR</v>
          </cell>
        </row>
        <row r="2729">
          <cell r="B2729">
            <v>7051019</v>
          </cell>
          <cell r="C2729" t="str">
            <v>!!CODIGO ANTIGUO, VERIFICAR HOJA PRODUCTO!!</v>
          </cell>
          <cell r="D2729" t="str">
            <v>ERROR</v>
          </cell>
        </row>
        <row r="2730">
          <cell r="B2730">
            <v>7051020</v>
          </cell>
          <cell r="C2730" t="str">
            <v>!!CODIGO ANTIGUO, VERIFICAR HOJA PRODUCTO!!</v>
          </cell>
          <cell r="D2730" t="str">
            <v>ERROR</v>
          </cell>
        </row>
        <row r="2731">
          <cell r="B2731">
            <v>7051025</v>
          </cell>
          <cell r="C2731" t="str">
            <v>!!CODIGO ANTIGUO, VERIFICAR HOJA PRODUCTO!!</v>
          </cell>
          <cell r="D2731" t="str">
            <v>ERROR</v>
          </cell>
        </row>
        <row r="2732">
          <cell r="B2732">
            <v>7052001</v>
          </cell>
          <cell r="C2732" t="str">
            <v>!!CODIGO ANTIGUO, VERIFICAR HOJA PRODUCTO!!</v>
          </cell>
          <cell r="D2732" t="str">
            <v>ERROR</v>
          </cell>
        </row>
        <row r="2733">
          <cell r="B2733">
            <v>7052004</v>
          </cell>
          <cell r="C2733" t="str">
            <v>!!CODIGO ANTIGUO, VERIFICAR HOJA PRODUCTO!!</v>
          </cell>
          <cell r="D2733" t="str">
            <v>ERROR</v>
          </cell>
        </row>
        <row r="2734">
          <cell r="B2734">
            <v>7052005</v>
          </cell>
          <cell r="C2734" t="str">
            <v>!!CODIGO ANTIGUO, VERIFICAR HOJA PRODUCTO!!</v>
          </cell>
          <cell r="D2734" t="str">
            <v>ERROR</v>
          </cell>
        </row>
        <row r="2735">
          <cell r="B2735">
            <v>7052006</v>
          </cell>
          <cell r="C2735" t="str">
            <v>!!CODIGO ANTIGUO, VERIFICAR HOJA PRODUCTO!!</v>
          </cell>
          <cell r="D2735" t="str">
            <v>ERROR</v>
          </cell>
        </row>
        <row r="2736">
          <cell r="B2736">
            <v>7052012</v>
          </cell>
          <cell r="C2736" t="str">
            <v>!!CODIGO ANTIGUO, VERIFICAR HOJA PRODUCTO!!</v>
          </cell>
          <cell r="D2736" t="str">
            <v>ERROR</v>
          </cell>
        </row>
        <row r="2737">
          <cell r="B2737">
            <v>7053003</v>
          </cell>
          <cell r="C2737" t="str">
            <v>!!CODIGO ANTIGUO, VERIFICAR HOJA PRODUCTO!!</v>
          </cell>
          <cell r="D2737" t="str">
            <v>ERROR</v>
          </cell>
        </row>
        <row r="2738">
          <cell r="B2738">
            <v>7053004</v>
          </cell>
          <cell r="C2738" t="str">
            <v>!!CODIGO ANTIGUO, VERIFICAR HOJA PRODUCTO!!</v>
          </cell>
          <cell r="D2738" t="str">
            <v>ERROR</v>
          </cell>
        </row>
        <row r="2739">
          <cell r="B2739">
            <v>7053005</v>
          </cell>
          <cell r="C2739" t="str">
            <v>!!CODIGO ANTIGUO, VERIFICAR HOJA PRODUCTO!!</v>
          </cell>
          <cell r="D2739" t="str">
            <v>ERROR</v>
          </cell>
        </row>
        <row r="2740">
          <cell r="B2740">
            <v>7053006</v>
          </cell>
          <cell r="C2740" t="str">
            <v>!!CODIGO ANTIGUO, VERIFICAR HOJA PRODUCTO!!</v>
          </cell>
          <cell r="D2740" t="str">
            <v>ERROR</v>
          </cell>
        </row>
        <row r="2741">
          <cell r="B2741">
            <v>7053007</v>
          </cell>
          <cell r="C2741" t="str">
            <v>!!CODIGO ANTIGUO, VERIFICAR HOJA PRODUCTO!!</v>
          </cell>
          <cell r="D2741" t="str">
            <v>ERROR</v>
          </cell>
        </row>
        <row r="2742">
          <cell r="B2742">
            <v>7053008</v>
          </cell>
          <cell r="C2742" t="str">
            <v>!!CODIGO ANTIGUO, VERIFICAR HOJA PRODUCTO!!</v>
          </cell>
          <cell r="D2742" t="str">
            <v>ERROR</v>
          </cell>
        </row>
        <row r="2743">
          <cell r="B2743">
            <v>7053009</v>
          </cell>
          <cell r="C2743" t="str">
            <v>!!CODIGO ANTIGUO, VERIFICAR HOJA PRODUCTO!!</v>
          </cell>
          <cell r="D2743" t="str">
            <v>ERROR</v>
          </cell>
        </row>
        <row r="2744">
          <cell r="B2744">
            <v>7053010</v>
          </cell>
          <cell r="C2744" t="str">
            <v>!!CODIGO ANTIGUO, VERIFICAR HOJA PRODUCTO!!</v>
          </cell>
          <cell r="D2744" t="str">
            <v>ERROR</v>
          </cell>
        </row>
        <row r="2745">
          <cell r="B2745">
            <v>7053011</v>
          </cell>
          <cell r="C2745" t="str">
            <v>!!CODIGO ANTIGUO, VERIFICAR HOJA PRODUCTO!!</v>
          </cell>
          <cell r="D2745" t="str">
            <v>ERROR</v>
          </cell>
        </row>
        <row r="2746">
          <cell r="B2746">
            <v>7053012</v>
          </cell>
          <cell r="C2746" t="str">
            <v>!!CODIGO ANTIGUO, VERIFICAR HOJA PRODUCTO!!</v>
          </cell>
          <cell r="D2746" t="str">
            <v>ERROR</v>
          </cell>
        </row>
        <row r="2747">
          <cell r="B2747">
            <v>7053014</v>
          </cell>
          <cell r="C2747" t="str">
            <v>!!CODIGO ANTIGUO, VERIFICAR HOJA PRODUCTO!!</v>
          </cell>
          <cell r="D2747" t="str">
            <v>ERROR</v>
          </cell>
        </row>
        <row r="2748">
          <cell r="B2748">
            <v>7053016</v>
          </cell>
          <cell r="C2748" t="str">
            <v>!!CODIGO ANTIGUO, VERIFICAR HOJA PRODUCTO!!</v>
          </cell>
          <cell r="D2748" t="str">
            <v>ERROR</v>
          </cell>
        </row>
        <row r="2749">
          <cell r="B2749">
            <v>7053017</v>
          </cell>
          <cell r="C2749" t="str">
            <v>!!CODIGO ANTIGUO, VERIFICAR HOJA PRODUCTO!!</v>
          </cell>
          <cell r="D2749" t="str">
            <v>ERROR</v>
          </cell>
        </row>
        <row r="2750">
          <cell r="B2750">
            <v>7053019</v>
          </cell>
          <cell r="C2750" t="str">
            <v>!!CODIGO ANTIGUO, VERIFICAR HOJA PRODUCTO!!</v>
          </cell>
          <cell r="D2750" t="str">
            <v>ERROR</v>
          </cell>
        </row>
        <row r="2751">
          <cell r="B2751">
            <v>7053022</v>
          </cell>
          <cell r="C2751" t="str">
            <v>!!CODIGO ANTIGUO, VERIFICAR HOJA PRODUCTO!!</v>
          </cell>
          <cell r="D2751" t="str">
            <v>ERROR</v>
          </cell>
        </row>
        <row r="2752">
          <cell r="B2752">
            <v>7053024</v>
          </cell>
          <cell r="C2752" t="str">
            <v>!!CODIGO ANTIGUO, VERIFICAR HOJA PRODUCTO!!</v>
          </cell>
          <cell r="D2752" t="str">
            <v>ERROR</v>
          </cell>
        </row>
        <row r="2753">
          <cell r="B2753">
            <v>7053026</v>
          </cell>
          <cell r="C2753" t="str">
            <v>!!CODIGO ANTIGUO, VERIFICAR HOJA PRODUCTO!!</v>
          </cell>
          <cell r="D2753" t="str">
            <v>ERROR</v>
          </cell>
        </row>
        <row r="2754">
          <cell r="B2754">
            <v>7053027</v>
          </cell>
          <cell r="C2754" t="str">
            <v>!!CODIGO ANTIGUO, VERIFICAR HOJA PRODUCTO!!</v>
          </cell>
          <cell r="D2754" t="str">
            <v>ERROR</v>
          </cell>
        </row>
        <row r="2755">
          <cell r="B2755">
            <v>7053030</v>
          </cell>
          <cell r="C2755" t="str">
            <v>!!CODIGO ANTIGUO, VERIFICAR HOJA PRODUCTO!!</v>
          </cell>
          <cell r="D2755" t="str">
            <v>ERROR</v>
          </cell>
        </row>
        <row r="2756">
          <cell r="B2756">
            <v>7053031</v>
          </cell>
          <cell r="C2756" t="str">
            <v>!!CODIGO ANTIGUO, VERIFICAR HOJA PRODUCTO!!</v>
          </cell>
          <cell r="D2756" t="str">
            <v>ERROR</v>
          </cell>
        </row>
        <row r="2757">
          <cell r="B2757">
            <v>7053032</v>
          </cell>
          <cell r="C2757" t="str">
            <v>!!CODIGO ANTIGUO, VERIFICAR HOJA PRODUCTO!!</v>
          </cell>
          <cell r="D2757" t="str">
            <v>ERROR</v>
          </cell>
        </row>
        <row r="2758">
          <cell r="B2758">
            <v>7053033</v>
          </cell>
          <cell r="C2758" t="str">
            <v>!!CODIGO ANTIGUO, VERIFICAR HOJA PRODUCTO!!</v>
          </cell>
          <cell r="D2758" t="str">
            <v>ERROR</v>
          </cell>
        </row>
        <row r="2759">
          <cell r="B2759">
            <v>7053034</v>
          </cell>
          <cell r="C2759" t="str">
            <v>!!CODIGO ANTIGUO, VERIFICAR HOJA PRODUCTO!!</v>
          </cell>
          <cell r="D2759" t="str">
            <v>ERROR</v>
          </cell>
        </row>
        <row r="2760">
          <cell r="B2760">
            <v>7070003</v>
          </cell>
          <cell r="C2760" t="str">
            <v>!!CODIGO ANTIGUO, VERIFICAR HOJA PRODUCTO!!</v>
          </cell>
          <cell r="D2760" t="str">
            <v>ERROR</v>
          </cell>
        </row>
        <row r="2761">
          <cell r="B2761">
            <v>7070004</v>
          </cell>
          <cell r="C2761" t="str">
            <v>!!CODIGO ANTIGUO, VERIFICAR HOJA PRODUCTO!!</v>
          </cell>
          <cell r="D2761" t="str">
            <v>ERROR</v>
          </cell>
        </row>
        <row r="2762">
          <cell r="B2762">
            <v>7070008</v>
          </cell>
          <cell r="C2762" t="str">
            <v>!!CODIGO ANTIGUO, VERIFICAR HOJA PRODUCTO!!</v>
          </cell>
          <cell r="D2762" t="str">
            <v>ERROR</v>
          </cell>
        </row>
        <row r="2763">
          <cell r="B2763">
            <v>7070009</v>
          </cell>
          <cell r="C2763" t="str">
            <v>!!CODIGO ANTIGUO, VERIFICAR HOJA PRODUCTO!!</v>
          </cell>
          <cell r="D2763" t="str">
            <v>ERROR</v>
          </cell>
        </row>
        <row r="2764">
          <cell r="B2764">
            <v>7070014</v>
          </cell>
          <cell r="C2764" t="str">
            <v>!!CODIGO ANTIGUO, VERIFICAR HOJA PRODUCTO!!</v>
          </cell>
          <cell r="D2764" t="str">
            <v>ERROR</v>
          </cell>
        </row>
        <row r="2765">
          <cell r="B2765">
            <v>7070015</v>
          </cell>
          <cell r="C2765" t="str">
            <v>!!CODIGO ANTIGUO, VERIFICAR HOJA PRODUCTO!!</v>
          </cell>
          <cell r="D2765" t="str">
            <v>ERROR</v>
          </cell>
        </row>
        <row r="2766">
          <cell r="B2766">
            <v>7070016</v>
          </cell>
          <cell r="C2766" t="str">
            <v>!!CODIGO ANTIGUO, VERIFICAR HOJA PRODUCTO!!</v>
          </cell>
          <cell r="D2766" t="str">
            <v>ERROR</v>
          </cell>
        </row>
        <row r="2767">
          <cell r="B2767">
            <v>7070019</v>
          </cell>
          <cell r="C2767" t="str">
            <v>!!CODIGO ANTIGUO, VERIFICAR HOJA PRODUCTO!!</v>
          </cell>
          <cell r="D2767" t="str">
            <v>ERROR</v>
          </cell>
        </row>
        <row r="2768">
          <cell r="B2768">
            <v>7070021</v>
          </cell>
          <cell r="C2768" t="str">
            <v>!!CODIGO ANTIGUO, VERIFICAR HOJA PRODUCTO!!</v>
          </cell>
          <cell r="D2768" t="str">
            <v>ERROR</v>
          </cell>
        </row>
        <row r="2769">
          <cell r="B2769">
            <v>7070022</v>
          </cell>
          <cell r="C2769" t="str">
            <v>!!CODIGO ANTIGUO, VERIFICAR HOJA PRODUCTO!!</v>
          </cell>
          <cell r="D2769" t="str">
            <v>ERROR</v>
          </cell>
        </row>
        <row r="2770">
          <cell r="B2770">
            <v>7070023</v>
          </cell>
          <cell r="C2770" t="str">
            <v>!!CODIGO ANTIGUO, VERIFICAR HOJA PRODUCTO!!</v>
          </cell>
          <cell r="D2770" t="str">
            <v>ERROR</v>
          </cell>
        </row>
        <row r="2771">
          <cell r="B2771">
            <v>7070024</v>
          </cell>
          <cell r="C2771" t="str">
            <v>!!CODIGO ANTIGUO, VERIFICAR HOJA PRODUCTO!!</v>
          </cell>
          <cell r="D2771" t="str">
            <v>ERROR</v>
          </cell>
        </row>
        <row r="2772">
          <cell r="B2772">
            <v>7070025</v>
          </cell>
          <cell r="C2772" t="str">
            <v>!!CODIGO ANTIGUO, VERIFICAR HOJA PRODUCTO!!</v>
          </cell>
          <cell r="D2772" t="str">
            <v>ERROR</v>
          </cell>
        </row>
        <row r="2773">
          <cell r="B2773">
            <v>7070034</v>
          </cell>
          <cell r="C2773" t="str">
            <v>!!CODIGO ANTIGUO, VERIFICAR HOJA PRODUCTO!!</v>
          </cell>
          <cell r="D2773" t="str">
            <v>ERROR</v>
          </cell>
        </row>
        <row r="2774">
          <cell r="B2774">
            <v>7070042</v>
          </cell>
          <cell r="C2774" t="str">
            <v>!!CODIGO ANTIGUO, VERIFICAR HOJA PRODUCTO!!</v>
          </cell>
          <cell r="D2774" t="str">
            <v>ERROR</v>
          </cell>
        </row>
        <row r="2775">
          <cell r="B2775">
            <v>7070043</v>
          </cell>
          <cell r="C2775" t="str">
            <v>!!CODIGO ANTIGUO, VERIFICAR HOJA PRODUCTO!!</v>
          </cell>
          <cell r="D2775" t="str">
            <v>ERROR</v>
          </cell>
        </row>
        <row r="2776">
          <cell r="B2776">
            <v>7070044</v>
          </cell>
          <cell r="C2776" t="str">
            <v>!!CODIGO ANTIGUO, VERIFICAR HOJA PRODUCTO!!</v>
          </cell>
          <cell r="D2776" t="str">
            <v>ERROR</v>
          </cell>
        </row>
        <row r="2777">
          <cell r="B2777">
            <v>7070045</v>
          </cell>
          <cell r="C2777" t="str">
            <v>!!CODIGO ANTIGUO, VERIFICAR HOJA PRODUCTO!!</v>
          </cell>
          <cell r="D2777" t="str">
            <v>ERROR</v>
          </cell>
        </row>
        <row r="2778">
          <cell r="B2778">
            <v>7070048</v>
          </cell>
          <cell r="C2778" t="str">
            <v>!!CODIGO ANTIGUO, VERIFICAR HOJA PRODUCTO!!</v>
          </cell>
          <cell r="D2778" t="str">
            <v>ERROR</v>
          </cell>
        </row>
        <row r="2779">
          <cell r="B2779">
            <v>7070054</v>
          </cell>
          <cell r="C2779" t="str">
            <v>!!CODIGO ANTIGUO, VERIFICAR HOJA PRODUCTO!!</v>
          </cell>
          <cell r="D2779" t="str">
            <v>ERROR</v>
          </cell>
        </row>
        <row r="2780">
          <cell r="B2780">
            <v>7070055</v>
          </cell>
          <cell r="C2780" t="str">
            <v>!!CODIGO ANTIGUO, VERIFICAR HOJA PRODUCTO!!</v>
          </cell>
          <cell r="D2780" t="str">
            <v>ERROR</v>
          </cell>
        </row>
        <row r="2781">
          <cell r="B2781">
            <v>7070056</v>
          </cell>
          <cell r="C2781" t="str">
            <v>!!CODIGO ANTIGUO, VERIFICAR HOJA PRODUCTO!!</v>
          </cell>
          <cell r="D2781" t="str">
            <v>ERROR</v>
          </cell>
        </row>
        <row r="2782">
          <cell r="B2782">
            <v>7070058</v>
          </cell>
          <cell r="C2782" t="str">
            <v>!!CODIGO ANTIGUO, VERIFICAR HOJA PRODUCTO!!</v>
          </cell>
          <cell r="D2782" t="str">
            <v>ERROR</v>
          </cell>
        </row>
        <row r="2783">
          <cell r="B2783">
            <v>7070062</v>
          </cell>
          <cell r="C2783" t="str">
            <v>!!CODIGO ANTIGUO, VERIFICAR HOJA PRODUCTO!!</v>
          </cell>
          <cell r="D2783" t="str">
            <v>ERROR</v>
          </cell>
        </row>
        <row r="2784">
          <cell r="B2784">
            <v>7070065</v>
          </cell>
          <cell r="C2784" t="str">
            <v>!!CODIGO ANTIGUO, VERIFICAR HOJA PRODUCTO!!</v>
          </cell>
          <cell r="D2784" t="str">
            <v>ERROR</v>
          </cell>
        </row>
        <row r="2785">
          <cell r="B2785">
            <v>7070066</v>
          </cell>
          <cell r="C2785" t="str">
            <v>!!CODIGO ANTIGUO, VERIFICAR HOJA PRODUCTO!!</v>
          </cell>
          <cell r="D2785" t="str">
            <v>ERROR</v>
          </cell>
        </row>
        <row r="2786">
          <cell r="B2786">
            <v>7070067</v>
          </cell>
          <cell r="C2786" t="str">
            <v>!!CODIGO ANTIGUO, VERIFICAR HOJA PRODUCTO!!</v>
          </cell>
          <cell r="D2786" t="str">
            <v>ERROR</v>
          </cell>
        </row>
        <row r="2787">
          <cell r="B2787">
            <v>7070068</v>
          </cell>
          <cell r="C2787" t="str">
            <v>!!CODIGO ANTIGUO, VERIFICAR HOJA PRODUCTO!!</v>
          </cell>
          <cell r="D2787" t="str">
            <v>ERROR</v>
          </cell>
        </row>
        <row r="2788">
          <cell r="B2788">
            <v>7070081</v>
          </cell>
          <cell r="C2788" t="str">
            <v>!!CODIGO ANTIGUO, VERIFICAR HOJA PRODUCTO!!</v>
          </cell>
          <cell r="D2788" t="str">
            <v>ERROR</v>
          </cell>
        </row>
        <row r="2789">
          <cell r="B2789">
            <v>7071000</v>
          </cell>
          <cell r="C2789" t="str">
            <v>!!CODIGO ANTIGUO, VERIFICAR HOJA PRODUCTO!!</v>
          </cell>
          <cell r="D2789" t="str">
            <v>ERROR</v>
          </cell>
        </row>
        <row r="2790">
          <cell r="B2790">
            <v>7071002</v>
          </cell>
          <cell r="C2790" t="str">
            <v>!!CODIGO ANTIGUO, VERIFICAR HOJA PRODUCTO!!</v>
          </cell>
          <cell r="D2790" t="str">
            <v>ERROR</v>
          </cell>
        </row>
        <row r="2791">
          <cell r="B2791">
            <v>7071009</v>
          </cell>
          <cell r="C2791" t="str">
            <v>!!CODIGO ANTIGUO, VERIFICAR HOJA PRODUCTO!!</v>
          </cell>
          <cell r="D2791" t="str">
            <v>ERROR</v>
          </cell>
        </row>
        <row r="2792">
          <cell r="B2792">
            <v>7071012</v>
          </cell>
          <cell r="C2792" t="str">
            <v>!!CODIGO ANTIGUO, VERIFICAR HOJA PRODUCTO!!</v>
          </cell>
          <cell r="D2792" t="str">
            <v>ERROR</v>
          </cell>
        </row>
        <row r="2793">
          <cell r="B2793">
            <v>7071013</v>
          </cell>
          <cell r="C2793" t="str">
            <v>!!CODIGO ANTIGUO, VERIFICAR HOJA PRODUCTO!!</v>
          </cell>
          <cell r="D2793" t="str">
            <v>ERROR</v>
          </cell>
        </row>
        <row r="2794">
          <cell r="B2794">
            <v>7071015</v>
          </cell>
          <cell r="C2794" t="str">
            <v>!!CODIGO ANTIGUO, VERIFICAR HOJA PRODUCTO!!</v>
          </cell>
          <cell r="D2794" t="str">
            <v>ERROR</v>
          </cell>
        </row>
        <row r="2795">
          <cell r="B2795">
            <v>7071017</v>
          </cell>
          <cell r="C2795" t="str">
            <v>!!CODIGO ANTIGUO, VERIFICAR HOJA PRODUCTO!!</v>
          </cell>
          <cell r="D2795" t="str">
            <v>ERROR</v>
          </cell>
        </row>
        <row r="2796">
          <cell r="B2796">
            <v>7071020</v>
          </cell>
          <cell r="C2796" t="str">
            <v>!!CODIGO ANTIGUO, VERIFICAR HOJA PRODUCTO!!</v>
          </cell>
          <cell r="D2796" t="str">
            <v>ERROR</v>
          </cell>
        </row>
        <row r="2797">
          <cell r="B2797">
            <v>7071021</v>
          </cell>
          <cell r="C2797" t="str">
            <v>!!CODIGO ANTIGUO, VERIFICAR HOJA PRODUCTO!!</v>
          </cell>
          <cell r="D2797" t="str">
            <v>ERROR</v>
          </cell>
        </row>
        <row r="2798">
          <cell r="B2798">
            <v>7071024</v>
          </cell>
          <cell r="C2798" t="str">
            <v>!!CODIGO ANTIGUO, VERIFICAR HOJA PRODUCTO!!</v>
          </cell>
          <cell r="D2798" t="str">
            <v>ERROR</v>
          </cell>
        </row>
        <row r="2799">
          <cell r="B2799">
            <v>7071026</v>
          </cell>
          <cell r="C2799" t="str">
            <v>!!CODIGO ANTIGUO, VERIFICAR HOJA PRODUCTO!!</v>
          </cell>
          <cell r="D2799" t="str">
            <v>ERROR</v>
          </cell>
        </row>
        <row r="2800">
          <cell r="B2800">
            <v>7071029</v>
          </cell>
          <cell r="C2800" t="str">
            <v>!!CODIGO ANTIGUO, VERIFICAR HOJA PRODUCTO!!</v>
          </cell>
          <cell r="D2800" t="str">
            <v>ERROR</v>
          </cell>
        </row>
        <row r="2801">
          <cell r="B2801">
            <v>7071032</v>
          </cell>
          <cell r="C2801" t="str">
            <v>!!CODIGO ANTIGUO, VERIFICAR HOJA PRODUCTO!!</v>
          </cell>
          <cell r="D2801" t="str">
            <v>ERROR</v>
          </cell>
        </row>
        <row r="2802">
          <cell r="B2802">
            <v>7071035</v>
          </cell>
          <cell r="C2802" t="str">
            <v>!!CODIGO ANTIGUO, VERIFICAR HOJA PRODUCTO!!</v>
          </cell>
          <cell r="D2802" t="str">
            <v>ERROR</v>
          </cell>
        </row>
        <row r="2803">
          <cell r="B2803">
            <v>7071039</v>
          </cell>
          <cell r="C2803" t="str">
            <v>!!CODIGO ANTIGUO, VERIFICAR HOJA PRODUCTO!!</v>
          </cell>
          <cell r="D2803" t="str">
            <v>ERROR</v>
          </cell>
        </row>
        <row r="2804">
          <cell r="B2804">
            <v>7071044</v>
          </cell>
          <cell r="C2804" t="str">
            <v>!!CODIGO ANTIGUO, VERIFICAR HOJA PRODUCTO!!</v>
          </cell>
          <cell r="D2804" t="str">
            <v>ERROR</v>
          </cell>
        </row>
        <row r="2805">
          <cell r="B2805">
            <v>7071045</v>
          </cell>
          <cell r="C2805" t="str">
            <v>!!CODIGO ANTIGUO, VERIFICAR HOJA PRODUCTO!!</v>
          </cell>
          <cell r="D2805" t="str">
            <v>ERROR</v>
          </cell>
        </row>
        <row r="2806">
          <cell r="B2806">
            <v>7071046</v>
          </cell>
          <cell r="C2806" t="str">
            <v>!!CODIGO ANTIGUO, VERIFICAR HOJA PRODUCTO!!</v>
          </cell>
          <cell r="D2806" t="str">
            <v>ERROR</v>
          </cell>
        </row>
        <row r="2807">
          <cell r="B2807">
            <v>7071047</v>
          </cell>
          <cell r="C2807" t="str">
            <v>!!CODIGO ANTIGUO, VERIFICAR HOJA PRODUCTO!!</v>
          </cell>
          <cell r="D2807" t="str">
            <v>ERROR</v>
          </cell>
        </row>
        <row r="2808">
          <cell r="B2808">
            <v>7071048</v>
          </cell>
          <cell r="C2808" t="str">
            <v>!!CODIGO ANTIGUO, VERIFICAR HOJA PRODUCTO!!</v>
          </cell>
          <cell r="D2808" t="str">
            <v>ERROR</v>
          </cell>
        </row>
        <row r="2809">
          <cell r="B2809">
            <v>7072001</v>
          </cell>
          <cell r="C2809" t="str">
            <v>!!CODIGO ANTIGUO, VERIFICAR HOJA PRODUCTO!!</v>
          </cell>
          <cell r="D2809" t="str">
            <v>ERROR</v>
          </cell>
        </row>
        <row r="2810">
          <cell r="B2810">
            <v>7072002</v>
          </cell>
          <cell r="C2810" t="str">
            <v>!!CODIGO ANTIGUO, VERIFICAR HOJA PRODUCTO!!</v>
          </cell>
          <cell r="D2810" t="str">
            <v>ERROR</v>
          </cell>
        </row>
        <row r="2811">
          <cell r="B2811">
            <v>7070136</v>
          </cell>
          <cell r="C2811" t="str">
            <v>DISPOSITIVO PRESION POSITIVA RESPIRATORIA</v>
          </cell>
          <cell r="D2811" t="str">
            <v>C/U</v>
          </cell>
        </row>
        <row r="2812">
          <cell r="B2812">
            <v>7070137</v>
          </cell>
          <cell r="C2812" t="str">
            <v>ENTRENADOR MUSCULAR INSPIRATORIO</v>
          </cell>
          <cell r="D2812" t="str">
            <v>C/U</v>
          </cell>
        </row>
        <row r="2813">
          <cell r="B2813">
            <v>7070183</v>
          </cell>
          <cell r="C2813" t="str">
            <v xml:space="preserve">RESUCITADOR MANUAL PARA ADULTO </v>
          </cell>
          <cell r="D2813" t="str">
            <v>C/U</v>
          </cell>
        </row>
        <row r="2814">
          <cell r="B2814">
            <v>90111036</v>
          </cell>
          <cell r="C2814" t="str">
            <v xml:space="preserve">HOJA DE EMERGENCIA Y ATENCION DOMICILIAR </v>
          </cell>
          <cell r="D2814" t="str">
            <v>C/U</v>
          </cell>
        </row>
        <row r="2815">
          <cell r="B2815">
            <v>7016143</v>
          </cell>
          <cell r="C2815" t="str">
            <v xml:space="preserve">GUANTE QUIRURGICO # 9 </v>
          </cell>
          <cell r="D2815" t="str">
            <v>c/U</v>
          </cell>
        </row>
        <row r="2816">
          <cell r="B2816">
            <v>7013095</v>
          </cell>
          <cell r="C2816" t="str">
            <v>ROLLO PAPEL PLASTICO GRADO MEDICO 10cmX20mts</v>
          </cell>
          <cell r="D2816" t="str">
            <v>ROLLO</v>
          </cell>
        </row>
        <row r="2817">
          <cell r="B2817">
            <v>130201594</v>
          </cell>
          <cell r="C2817" t="str">
            <v>HISTORIA CLINICA PERINATAL</v>
          </cell>
          <cell r="D2817" t="str">
            <v>BLOCK</v>
          </cell>
        </row>
        <row r="2818">
          <cell r="B2818">
            <v>130201596</v>
          </cell>
          <cell r="C2818" t="str">
            <v>CARNE PERINATAL</v>
          </cell>
          <cell r="D2818" t="str">
            <v>C/U</v>
          </cell>
        </row>
        <row r="2819">
          <cell r="B2819">
            <v>130201621</v>
          </cell>
          <cell r="C2819" t="str">
            <v>HOJA FILTRO</v>
          </cell>
          <cell r="D2819" t="str">
            <v>C/U</v>
          </cell>
        </row>
        <row r="2820">
          <cell r="B2820">
            <v>130201438</v>
          </cell>
          <cell r="C2820" t="str">
            <v>GRAFICA DE INDIC MAS CORPOR Y TALLA NIÑOS 5-19 AÑOS</v>
          </cell>
          <cell r="D2820" t="str">
            <v>BLOCK</v>
          </cell>
        </row>
        <row r="2821">
          <cell r="B2821">
            <v>90101015</v>
          </cell>
          <cell r="C2821" t="str">
            <v>BANDAS DE HULE</v>
          </cell>
          <cell r="D2821" t="str">
            <v>LIBRA</v>
          </cell>
        </row>
        <row r="2822">
          <cell r="B2822" t="str">
            <v>A353120</v>
          </cell>
          <cell r="C2822" t="str">
            <v>IMPRESOR MULTIFUNCIONAL</v>
          </cell>
          <cell r="D2822" t="str">
            <v>C/U</v>
          </cell>
        </row>
        <row r="2823">
          <cell r="B2823" t="str">
            <v>A353301</v>
          </cell>
          <cell r="C2823" t="str">
            <v>MONITORES (PANTALLA)</v>
          </cell>
          <cell r="D2823" t="str">
            <v>C/U</v>
          </cell>
        </row>
        <row r="2824">
          <cell r="B2824" t="str">
            <v>A701903</v>
          </cell>
          <cell r="C2824" t="str">
            <v>REFRIGERADORA FRIO SECO</v>
          </cell>
          <cell r="D2824" t="str">
            <v>C/U</v>
          </cell>
        </row>
        <row r="2825">
          <cell r="B2825" t="str">
            <v>A703601</v>
          </cell>
          <cell r="C2825" t="str">
            <v>TANQUE HIDRONEUMATICO</v>
          </cell>
          <cell r="D2825" t="str">
            <v>C/U</v>
          </cell>
        </row>
        <row r="2826">
          <cell r="B2826">
            <v>150101003</v>
          </cell>
          <cell r="C2826" t="str">
            <v>CAMISA TELA BLANCA TIPO OXFORD TALLA XL</v>
          </cell>
          <cell r="D2826" t="str">
            <v>C/U</v>
          </cell>
        </row>
        <row r="2827">
          <cell r="B2827">
            <v>150106004</v>
          </cell>
          <cell r="C2827" t="str">
            <v>MEDIA SABANA TIRANTE DE MANTA BLANCA</v>
          </cell>
          <cell r="D2827" t="str">
            <v>C/U</v>
          </cell>
        </row>
        <row r="2828">
          <cell r="B2828">
            <v>150114001</v>
          </cell>
          <cell r="C2828" t="str">
            <v>CAMPO ESPECIAL DE 8 TELAS DE GASA DE 18"</v>
          </cell>
          <cell r="D2828" t="str">
            <v>C/U</v>
          </cell>
        </row>
        <row r="2829">
          <cell r="B2829">
            <v>150115004</v>
          </cell>
          <cell r="C2829" t="str">
            <v>CUBIERTA DE MANTA VERDE DE TELA 36X36</v>
          </cell>
          <cell r="D2829" t="str">
            <v>C/U</v>
          </cell>
        </row>
        <row r="2830">
          <cell r="B2830">
            <v>150101002</v>
          </cell>
          <cell r="C2830" t="str">
            <v>CAMISA TELA BLANCA TIPO OXFORD TALLA L</v>
          </cell>
          <cell r="D2830" t="str">
            <v>C/U</v>
          </cell>
        </row>
        <row r="2831">
          <cell r="B2831">
            <v>150103002</v>
          </cell>
          <cell r="C2831" t="str">
            <v>PANTALON DE TELA BLANCA TIPO OXFORD TALLA L</v>
          </cell>
          <cell r="D2831" t="str">
            <v>C/U</v>
          </cell>
        </row>
        <row r="2832">
          <cell r="B2832">
            <v>150103003</v>
          </cell>
          <cell r="C2832" t="str">
            <v>PANTALON DE TELA BLANCA TIPO OXFORD TALLA XL</v>
          </cell>
          <cell r="D2832" t="str">
            <v>C/U</v>
          </cell>
        </row>
        <row r="2833">
          <cell r="B2833">
            <v>150106003</v>
          </cell>
          <cell r="C2833" t="str">
            <v>SABANA HENDIDA DE MANTA VERDE</v>
          </cell>
          <cell r="D2833" t="str">
            <v>C/U</v>
          </cell>
        </row>
        <row r="2834">
          <cell r="B2834">
            <v>150106007</v>
          </cell>
          <cell r="C2834" t="str">
            <v>SABANA PARA LAPAROTOMIA DE MANTA VERDE</v>
          </cell>
          <cell r="D2834" t="str">
            <v>C/U</v>
          </cell>
        </row>
        <row r="2835">
          <cell r="B2835">
            <v>150115006</v>
          </cell>
          <cell r="C2835" t="str">
            <v>CUBIERTA TELA, MANTA BLANCA DE TELE 24X24</v>
          </cell>
          <cell r="D2835" t="str">
            <v>C/U</v>
          </cell>
        </row>
        <row r="2836">
          <cell r="B2836">
            <v>150115008</v>
          </cell>
          <cell r="C2836" t="str">
            <v>CUBIERTA TELA, MANTA BLANCA DE TELE 43 1/2X43 1/2</v>
          </cell>
          <cell r="D2836" t="str">
            <v>C/U</v>
          </cell>
        </row>
        <row r="2837">
          <cell r="B2837">
            <v>150117000</v>
          </cell>
          <cell r="C2837" t="str">
            <v>COMPRESA DE 8 TELAS DE GASA CON ARGOLLA</v>
          </cell>
          <cell r="D2837" t="str">
            <v>C/U</v>
          </cell>
        </row>
        <row r="2838">
          <cell r="B2838">
            <v>150118000</v>
          </cell>
          <cell r="C2838" t="str">
            <v>CUBRE MESA DE MANTA VERDE DOBLE TELA</v>
          </cell>
          <cell r="D2838" t="str">
            <v>C/U</v>
          </cell>
        </row>
        <row r="2839">
          <cell r="B2839">
            <v>150119000</v>
          </cell>
          <cell r="C2839" t="str">
            <v>FRAZADA PARA ADULTO</v>
          </cell>
          <cell r="D2839" t="str">
            <v>C/U</v>
          </cell>
        </row>
        <row r="2840">
          <cell r="B2840">
            <v>150119001</v>
          </cell>
          <cell r="C2840" t="str">
            <v>FRAZADA PEDIATRICA</v>
          </cell>
          <cell r="D2840" t="str">
            <v>C/U</v>
          </cell>
        </row>
        <row r="2841">
          <cell r="B2841">
            <v>2102093</v>
          </cell>
          <cell r="C2841" t="str">
            <v>PRUEBA NITROCEFIN  (CEFALOSP. GROMOGENICA)</v>
          </cell>
          <cell r="D2841" t="str">
            <v>C/U</v>
          </cell>
        </row>
        <row r="2842">
          <cell r="B2842">
            <v>2102097</v>
          </cell>
          <cell r="C2842" t="str">
            <v>SIST. PRUEB. BIOQCAS IDENTIF. ESTAFILOCOCC</v>
          </cell>
          <cell r="D2842" t="str">
            <v>PRUEBA</v>
          </cell>
        </row>
        <row r="2843">
          <cell r="B2843">
            <v>2102128</v>
          </cell>
          <cell r="C2843" t="str">
            <v>AMPLICINA DISCO 10 mcg</v>
          </cell>
          <cell r="D2843" t="str">
            <v>DISCO</v>
          </cell>
        </row>
        <row r="2844">
          <cell r="B2844">
            <v>90202074</v>
          </cell>
          <cell r="C2844" t="str">
            <v>GUANTE DE HULE LISO PARA HOGAR; PA</v>
          </cell>
          <cell r="D2844" t="str">
            <v>PAR</v>
          </cell>
        </row>
        <row r="2845">
          <cell r="B2845">
            <v>90202056</v>
          </cell>
          <cell r="C2845" t="str">
            <v>DESINFECTANTE CONCENTRADO DE TRIPLE ACCION,</v>
          </cell>
          <cell r="D2845" t="str">
            <v>GALON</v>
          </cell>
        </row>
        <row r="2846">
          <cell r="B2846">
            <v>90202048</v>
          </cell>
          <cell r="C2846" t="str">
            <v>JABON LIQUIDO PARA MANOS</v>
          </cell>
          <cell r="D2846" t="str">
            <v>GALON</v>
          </cell>
        </row>
        <row r="2847">
          <cell r="B2847">
            <v>90202057</v>
          </cell>
          <cell r="C2847" t="str">
            <v>TRAPEADOR DE TELA ABSORBENTE DOBLE TELA</v>
          </cell>
          <cell r="D2847" t="str">
            <v>C/U</v>
          </cell>
        </row>
        <row r="2848">
          <cell r="B2848">
            <v>90202078</v>
          </cell>
          <cell r="C2848" t="str">
            <v>FRANELA LISA</v>
          </cell>
          <cell r="D2848" t="str">
            <v>YARDA</v>
          </cell>
        </row>
        <row r="2849">
          <cell r="B2849">
            <v>4990143</v>
          </cell>
          <cell r="C2849" t="str">
            <v>AGUJA CARPULE EXTRA CORTA</v>
          </cell>
          <cell r="D2849" t="str">
            <v>C/U</v>
          </cell>
        </row>
        <row r="2850">
          <cell r="B2850">
            <v>130201216</v>
          </cell>
          <cell r="C2850" t="str">
            <v>CONTROL ROPA VERDE</v>
          </cell>
          <cell r="D2850" t="str">
            <v>C/U</v>
          </cell>
        </row>
        <row r="2851">
          <cell r="B2851">
            <v>130201217</v>
          </cell>
          <cell r="C2851" t="str">
            <v>CONTROL DE ROPA BLANCA</v>
          </cell>
          <cell r="D2851" t="str">
            <v>C/U</v>
          </cell>
        </row>
        <row r="2852">
          <cell r="B2852">
            <v>130201584</v>
          </cell>
          <cell r="C2852" t="str">
            <v>HOJAS DE CONTROL DE VISITAS MED. PROG OLDD</v>
          </cell>
          <cell r="D2852" t="str">
            <v>BLOCK</v>
          </cell>
        </row>
        <row r="2853">
          <cell r="B2853">
            <v>130201586</v>
          </cell>
          <cell r="C2853" t="str">
            <v xml:space="preserve">INFORME DE VISITAS DE TRAB SOC PROG OLDD </v>
          </cell>
          <cell r="D2853" t="str">
            <v>BLOCK</v>
          </cell>
        </row>
        <row r="2854">
          <cell r="B2854">
            <v>130201588</v>
          </cell>
          <cell r="C2854" t="str">
            <v>VISITA SUBSEC. DE TERAP RESPIR PROG OLDD</v>
          </cell>
          <cell r="D2854" t="str">
            <v>BLOCK</v>
          </cell>
        </row>
        <row r="2855">
          <cell r="B2855">
            <v>130201638</v>
          </cell>
          <cell r="C2855" t="str">
            <v>DECLARACION JURADA D/PACIENT PROG OLDD</v>
          </cell>
          <cell r="D2855" t="str">
            <v>BLOCK</v>
          </cell>
        </row>
        <row r="2856">
          <cell r="B2856">
            <v>130201639</v>
          </cell>
          <cell r="C2856" t="str">
            <v>DECLARACION JURADA RESPON PTE. PROG OLDD</v>
          </cell>
          <cell r="D2856" t="str">
            <v>BLOCK</v>
          </cell>
        </row>
        <row r="2857">
          <cell r="B2857">
            <v>90103046</v>
          </cell>
          <cell r="C2857" t="str">
            <v>PLUMON PINTO FINO COLOR AZUL</v>
          </cell>
        </row>
        <row r="2858">
          <cell r="B2858">
            <v>7014102</v>
          </cell>
          <cell r="C2858" t="str">
            <v>APOSITO TRANS. ADHESIVO 4-6 X 4-6 CM</v>
          </cell>
          <cell r="D2858" t="str">
            <v>C/U</v>
          </cell>
        </row>
        <row r="2859">
          <cell r="B2859">
            <v>7014103</v>
          </cell>
          <cell r="C2859" t="str">
            <v>APOSITO TRANS. ADHESIVO 6-8 X 7-10 CM</v>
          </cell>
          <cell r="D2859" t="str">
            <v>C/U</v>
          </cell>
        </row>
        <row r="2860">
          <cell r="B2860">
            <v>90103090</v>
          </cell>
          <cell r="C2860" t="str">
            <v>TINTA PARA ALMOHADILLA (VARIOS COLORES)</v>
          </cell>
          <cell r="D2860" t="str">
            <v>C/U</v>
          </cell>
        </row>
        <row r="2861">
          <cell r="B2861">
            <v>7013108</v>
          </cell>
          <cell r="C2861" t="str">
            <v>CLORHEXIDINA GLUCONATO 4%</v>
          </cell>
          <cell r="D2861" t="str">
            <v>ML</v>
          </cell>
        </row>
        <row r="2862">
          <cell r="B2862">
            <v>90110019</v>
          </cell>
          <cell r="C2862" t="str">
            <v>TIJERAS METALICAS.</v>
          </cell>
          <cell r="D2862" t="str">
            <v>C/U</v>
          </cell>
        </row>
        <row r="2863">
          <cell r="B2863">
            <v>130201598</v>
          </cell>
          <cell r="C2863" t="str">
            <v>SOLICITUD CONFIRMACIÓN DE VIH (FVIN-01)</v>
          </cell>
          <cell r="D2863" t="str">
            <v>BLOCK</v>
          </cell>
        </row>
        <row r="2864">
          <cell r="B2864">
            <v>7011109</v>
          </cell>
          <cell r="C2864" t="str">
            <v>JERINGA 50 ML GRADUADA CON LUER LOOK</v>
          </cell>
          <cell r="D2864" t="str">
            <v>C/U</v>
          </cell>
        </row>
        <row r="2865">
          <cell r="B2865">
            <v>90202001</v>
          </cell>
          <cell r="C2865" t="str">
            <v>AMBIENTAL PARA OFICINA SPRAY</v>
          </cell>
          <cell r="D2865" t="str">
            <v>C/U</v>
          </cell>
        </row>
        <row r="2866">
          <cell r="B2866">
            <v>90202070</v>
          </cell>
          <cell r="C2866" t="str">
            <v xml:space="preserve">ESCOBA DE FIBRA SINTETICA, </v>
          </cell>
          <cell r="D2866" t="str">
            <v>C/U</v>
          </cell>
        </row>
        <row r="2867">
          <cell r="B2867">
            <v>90202079</v>
          </cell>
          <cell r="C2867" t="str">
            <v>MASCON DE FIBRA SISTETICA</v>
          </cell>
          <cell r="D2867" t="str">
            <v>C/U</v>
          </cell>
        </row>
        <row r="2868">
          <cell r="B2868">
            <v>2102115</v>
          </cell>
          <cell r="C2868" t="str">
            <v>MEDIOS D TRANSPORT AMIES/STUART  MOD. C/CARBON</v>
          </cell>
          <cell r="D2868" t="str">
            <v>C/U</v>
          </cell>
        </row>
        <row r="2869">
          <cell r="B2869">
            <v>130201517</v>
          </cell>
          <cell r="C2869" t="str">
            <v>CONSTANCIA MEDICA PARA CUIDO EN CASA</v>
          </cell>
          <cell r="D2869" t="str">
            <v>C/U</v>
          </cell>
        </row>
        <row r="2870">
          <cell r="B2870">
            <v>90101006</v>
          </cell>
          <cell r="C2870" t="str">
            <v>PILAS ALKALINAS DE 1.5 VOLTIOS TIPO "AA"</v>
          </cell>
          <cell r="D2870" t="str">
            <v>C/U</v>
          </cell>
        </row>
        <row r="2871">
          <cell r="B2871">
            <v>90503026</v>
          </cell>
          <cell r="C2871" t="str">
            <v>CARTUCHO PARA IMPRESOR CANON NEGRO</v>
          </cell>
          <cell r="D2871" t="str">
            <v>C/U</v>
          </cell>
        </row>
        <row r="2872">
          <cell r="B2872">
            <v>130201414</v>
          </cell>
          <cell r="C2872" t="str">
            <v>INSTRUMENTO P/ VISITA DOMICILIAR SUBSECUENTE</v>
          </cell>
          <cell r="D2872" t="str">
            <v>BLOCK</v>
          </cell>
        </row>
        <row r="2873">
          <cell r="B2873">
            <v>130201434</v>
          </cell>
          <cell r="C2873" t="str">
            <v>FICHA RECONOCIMIENTO DE DATOS ENTREGA DOMICILIAR</v>
          </cell>
          <cell r="D2873" t="str">
            <v>BLOCK</v>
          </cell>
        </row>
        <row r="2874">
          <cell r="B2874">
            <v>7013105</v>
          </cell>
          <cell r="C2874" t="str">
            <v>GLUCONATO DE CLORHEXIDINA 4% EN ESPUMA</v>
          </cell>
          <cell r="D2874" t="str">
            <v>ML</v>
          </cell>
        </row>
        <row r="2875">
          <cell r="B2875">
            <v>6990944</v>
          </cell>
          <cell r="C2875" t="str">
            <v>JERINGA DESCARTABLE DE 1CC AGUJA 23</v>
          </cell>
          <cell r="D2875" t="str">
            <v>C/U</v>
          </cell>
        </row>
        <row r="2876">
          <cell r="B2876">
            <v>9990007</v>
          </cell>
          <cell r="C2876" t="str">
            <v>PAPEL MEMBRETADO BLANCO A UNA TINTA TAMAÑO CARTA</v>
          </cell>
          <cell r="D2876" t="str">
            <v>BLOCK</v>
          </cell>
        </row>
        <row r="2877">
          <cell r="B2877">
            <v>7050034</v>
          </cell>
          <cell r="C2877" t="str">
            <v>CATGUT CROMICO # 3/0 PUNTA REDONDA</v>
          </cell>
          <cell r="D2877" t="str">
            <v>DOCENA</v>
          </cell>
        </row>
        <row r="2878">
          <cell r="B2878">
            <v>90110019</v>
          </cell>
          <cell r="C2878" t="str">
            <v>TIJERAS METALICAS DE 8 PULGADAS</v>
          </cell>
          <cell r="D2878" t="str">
            <v>C/U</v>
          </cell>
        </row>
        <row r="2879">
          <cell r="B2879">
            <v>130201641</v>
          </cell>
          <cell r="C2879" t="str">
            <v>VIGEPES 01: NOTIFIC INDIVID ENFERM D/VIGILANCIA</v>
          </cell>
          <cell r="D2879" t="str">
            <v>BLOCK</v>
          </cell>
        </row>
        <row r="2880">
          <cell r="B2880">
            <v>130201375</v>
          </cell>
          <cell r="C2880" t="str">
            <v>FICHA FAMILIAR FORMULA</v>
          </cell>
          <cell r="D2880" t="str">
            <v>TARJETA</v>
          </cell>
        </row>
        <row r="2881">
          <cell r="B2881">
            <v>90202044</v>
          </cell>
          <cell r="C2881" t="str">
            <v>AEROSOL EL LACA</v>
          </cell>
          <cell r="D2881" t="str">
            <v>C/U</v>
          </cell>
        </row>
        <row r="2882">
          <cell r="B2882">
            <v>90304012</v>
          </cell>
          <cell r="C2882" t="str">
            <v>PAÑAL DESECHABLE PARA INFANTE</v>
          </cell>
          <cell r="D2882" t="str">
            <v>C/U</v>
          </cell>
        </row>
        <row r="2883">
          <cell r="B2883">
            <v>6990547</v>
          </cell>
          <cell r="C2883" t="str">
            <v>TENSIOMETRO ANEROIDE PARA ADULTO DE 2</v>
          </cell>
          <cell r="D2883" t="str">
            <v>C/U</v>
          </cell>
        </row>
        <row r="2884">
          <cell r="B2884">
            <v>2007020</v>
          </cell>
          <cell r="C2884" t="str">
            <v>SLN CONC 50 G D GLUCOSA O' SULLI</v>
          </cell>
          <cell r="D2884" t="str">
            <v>FRASCOS</v>
          </cell>
        </row>
        <row r="2885">
          <cell r="B2885">
            <v>2007022</v>
          </cell>
          <cell r="C2885" t="str">
            <v>SLN CONC 100 G D GLUCOSA P/CURVA TOLER.</v>
          </cell>
          <cell r="D2885" t="str">
            <v>FRASCOS</v>
          </cell>
        </row>
        <row r="2886">
          <cell r="B2886">
            <v>2102086</v>
          </cell>
          <cell r="C2886" t="str">
            <v>AGAR UREA DE CHRISTENSEN</v>
          </cell>
          <cell r="D2886" t="str">
            <v>GRAMOS</v>
          </cell>
        </row>
        <row r="2887">
          <cell r="B2887">
            <v>7012156</v>
          </cell>
          <cell r="C2887" t="str">
            <v>SONDA NASOGASTRICA LEVIN #16</v>
          </cell>
          <cell r="D2887" t="str">
            <v>C/U</v>
          </cell>
        </row>
        <row r="2888">
          <cell r="B2888">
            <v>7016201</v>
          </cell>
          <cell r="C2888" t="str">
            <v>TIRAS REACTIV P/DETERMINAR GLUCOSA SANGRE</v>
          </cell>
          <cell r="D2888" t="str">
            <v>PRUEBA</v>
          </cell>
        </row>
        <row r="2889">
          <cell r="B2889">
            <v>90110021</v>
          </cell>
          <cell r="C2889" t="str">
            <v>LAMPARA DE MANO CAP 2 PILAS 1.5 V C/U</v>
          </cell>
          <cell r="D2889" t="str">
            <v>C/U</v>
          </cell>
        </row>
        <row r="2890">
          <cell r="B2890">
            <v>90401002</v>
          </cell>
          <cell r="C2890" t="str">
            <v>MALETIN IMPERMEABLE P/COLGAR EN HOMBRO</v>
          </cell>
          <cell r="D2890" t="str">
            <v>C/U</v>
          </cell>
        </row>
        <row r="2891">
          <cell r="B2891">
            <v>150401026</v>
          </cell>
          <cell r="C2891" t="str">
            <v>CHALECO DE TELA</v>
          </cell>
          <cell r="D2891" t="str">
            <v>C/U</v>
          </cell>
        </row>
        <row r="2892">
          <cell r="B2892">
            <v>7018076</v>
          </cell>
          <cell r="C2892" t="str">
            <v>ESTETOSCOPIO CON CAMP.Y DIAFRAG ADULTO</v>
          </cell>
          <cell r="D2892" t="str">
            <v>C/U</v>
          </cell>
        </row>
        <row r="2893">
          <cell r="B2893">
            <v>7090123</v>
          </cell>
          <cell r="C2893" t="str">
            <v>ELECTRODOS ADHESIVOS  5 X 5 P/TENS</v>
          </cell>
          <cell r="D2893" t="str">
            <v>SET</v>
          </cell>
        </row>
        <row r="2894">
          <cell r="B2894">
            <v>7090092</v>
          </cell>
          <cell r="C2894" t="str">
            <v>BANDA EJERCITADORA  6 YARDAS AZUL</v>
          </cell>
          <cell r="D2894" t="str">
            <v>C/U</v>
          </cell>
        </row>
        <row r="2895">
          <cell r="B2895">
            <v>7090093</v>
          </cell>
          <cell r="C2895" t="str">
            <v>BANDA EJERCITADORA  6 YARDAS ROJO</v>
          </cell>
          <cell r="D2895" t="str">
            <v>C/U</v>
          </cell>
        </row>
        <row r="2896">
          <cell r="B2896">
            <v>7016108</v>
          </cell>
          <cell r="C2896" t="str">
            <v>ADAPTADOR NIPLE Y NUT</v>
          </cell>
          <cell r="D2896" t="str">
            <v>C/U</v>
          </cell>
        </row>
        <row r="2897">
          <cell r="B2897" t="str">
            <v>A786006</v>
          </cell>
          <cell r="C2897" t="str">
            <v>VENTILADORES TIPO TORRE OSCILANTE</v>
          </cell>
          <cell r="D2897" t="str">
            <v>C/U</v>
          </cell>
        </row>
        <row r="2898">
          <cell r="B2898">
            <v>7090114</v>
          </cell>
          <cell r="C2898" t="str">
            <v>COMPRESAS CALIENTES STANDARD</v>
          </cell>
          <cell r="D2898" t="str">
            <v>C/U</v>
          </cell>
        </row>
        <row r="2899">
          <cell r="B2899">
            <v>7090115</v>
          </cell>
          <cell r="C2899" t="str">
            <v>COMPRESAS FRIAS STANDARD</v>
          </cell>
          <cell r="D2899" t="str">
            <v>C/U</v>
          </cell>
        </row>
        <row r="2900">
          <cell r="B2900">
            <v>7090124</v>
          </cell>
          <cell r="C2900" t="str">
            <v>ELECTRODOS DE CARBON PARA TENS</v>
          </cell>
          <cell r="D2900" t="str">
            <v>SET</v>
          </cell>
        </row>
        <row r="2901">
          <cell r="B2901">
            <v>4104169</v>
          </cell>
          <cell r="C2901" t="str">
            <v>QUITA Y PONE FRESA PARA ALTA VELOCIDAD</v>
          </cell>
          <cell r="D2901" t="str">
            <v>C/U</v>
          </cell>
        </row>
        <row r="2902">
          <cell r="B2902">
            <v>90501043</v>
          </cell>
          <cell r="C2902" t="str">
            <v xml:space="preserve">TONER PARA IMPRESOR LEXMARK E260 DN </v>
          </cell>
          <cell r="D2902" t="str">
            <v>C/U</v>
          </cell>
        </row>
        <row r="2903">
          <cell r="B2903">
            <v>7038080</v>
          </cell>
          <cell r="C2903" t="str">
            <v>VENDA DE YESO DE 2"X 5 YARDAS</v>
          </cell>
          <cell r="D2903" t="str">
            <v>C/U</v>
          </cell>
        </row>
        <row r="2904">
          <cell r="B2904">
            <v>2007021</v>
          </cell>
          <cell r="C2904" t="str">
            <v>SLN CONC 75 G D GLUCOSA P/PRUEBA TOLERANCIA</v>
          </cell>
          <cell r="D2904" t="str">
            <v>C/U</v>
          </cell>
        </row>
        <row r="2905">
          <cell r="B2905">
            <v>90202014</v>
          </cell>
          <cell r="C2905" t="str">
            <v>INSECTICIDA EN SPRAY</v>
          </cell>
          <cell r="D2905" t="str">
            <v>C/U</v>
          </cell>
        </row>
        <row r="2906">
          <cell r="B2906">
            <v>90305056</v>
          </cell>
          <cell r="C2906" t="str">
            <v>GUANTE DE HULE LISO DIFERENTES USOS</v>
          </cell>
          <cell r="D2906" t="str">
            <v>C/U</v>
          </cell>
        </row>
        <row r="2907">
          <cell r="B2907">
            <v>130201554</v>
          </cell>
          <cell r="C2907" t="str">
            <v>VIÑETA USO INTERNO COLOR AZUL No. 2</v>
          </cell>
          <cell r="D2907" t="str">
            <v>C/U</v>
          </cell>
        </row>
        <row r="2908">
          <cell r="B2908">
            <v>4001020</v>
          </cell>
          <cell r="C2908" t="str">
            <v>HUESO LIOFILIZADO PARA TX DE DEFECT OS</v>
          </cell>
          <cell r="D2908" t="str">
            <v>C/U</v>
          </cell>
        </row>
        <row r="2909">
          <cell r="B2909">
            <v>7016165</v>
          </cell>
          <cell r="C2909" t="str">
            <v>TERMOMETRO CON ESCALA DE -40 A +50 ° C</v>
          </cell>
          <cell r="D2909" t="str">
            <v>C/U</v>
          </cell>
        </row>
        <row r="2910">
          <cell r="B2910">
            <v>90108001</v>
          </cell>
          <cell r="C2910" t="str">
            <v>ACETATO PARA ESCRIBIR CON PLUMON</v>
          </cell>
          <cell r="D2910" t="str">
            <v>C/U</v>
          </cell>
        </row>
        <row r="2911">
          <cell r="B2911">
            <v>90112006</v>
          </cell>
          <cell r="C2911" t="str">
            <v>BLOCK MULTICOLUMNAR DE 8 COLUMNAS</v>
          </cell>
          <cell r="D2911" t="str">
            <v>C/U</v>
          </cell>
        </row>
        <row r="2912">
          <cell r="B2912">
            <v>90501030</v>
          </cell>
          <cell r="C2912" t="str">
            <v>TONER PAR IMPRESOR HP LASER  JET 6L C3906A</v>
          </cell>
          <cell r="D2912" t="str">
            <v>C/U</v>
          </cell>
        </row>
        <row r="2913">
          <cell r="B2913" t="str">
            <v>A701701</v>
          </cell>
          <cell r="C2913" t="str">
            <v>POSTE PARA FILA UNICA</v>
          </cell>
          <cell r="D2913" t="str">
            <v>C/U</v>
          </cell>
        </row>
        <row r="2914">
          <cell r="B2914">
            <v>130201527</v>
          </cell>
          <cell r="C2914" t="str">
            <v>CONSTANCIA DE ESTADIA</v>
          </cell>
          <cell r="D2914" t="str">
            <v>BLOCK</v>
          </cell>
        </row>
        <row r="2915">
          <cell r="B2915">
            <v>90102024</v>
          </cell>
          <cell r="C2915" t="str">
            <v>CARTAPACIO DE CARTULINA MANILA C/GUSANO</v>
          </cell>
          <cell r="D2915" t="str">
            <v>C/U</v>
          </cell>
        </row>
        <row r="2916">
          <cell r="B2916">
            <v>130201432</v>
          </cell>
          <cell r="C2916" t="str">
            <v>FICHA DE ODONTOLOGIA PEDIATRICA</v>
          </cell>
          <cell r="D2916" t="str">
            <v>BLOCK</v>
          </cell>
        </row>
        <row r="2917">
          <cell r="B2917">
            <v>90104001</v>
          </cell>
          <cell r="C2917" t="str">
            <v xml:space="preserve">ALMOHADILLA P/SELLO DE HULE DE 2 3/4X2 </v>
          </cell>
          <cell r="D2917" t="str">
            <v>C/U</v>
          </cell>
        </row>
        <row r="2918">
          <cell r="B2918">
            <v>90501023</v>
          </cell>
          <cell r="C2918" t="str">
            <v xml:space="preserve">TONER PAR IMPRESOR HP LASER  JET 5L </v>
          </cell>
          <cell r="D2918" t="str">
            <v>C/U</v>
          </cell>
        </row>
        <row r="2919">
          <cell r="B2919">
            <v>90502074</v>
          </cell>
          <cell r="C2919" t="str">
            <v>CINTA PARA IMPRESOR MATRICIAL EPSON FX-890</v>
          </cell>
          <cell r="D2919" t="str">
            <v>C/U</v>
          </cell>
        </row>
        <row r="2920">
          <cell r="B2920">
            <v>7112069</v>
          </cell>
          <cell r="C2920" t="str">
            <v>DETERGENTE ENZIMATICO</v>
          </cell>
          <cell r="D2920" t="str">
            <v>C/U</v>
          </cell>
        </row>
        <row r="2921">
          <cell r="B2921">
            <v>130201098</v>
          </cell>
          <cell r="C2921" t="str">
            <v>HOJA DE CONTROL POST-OPERATORIO</v>
          </cell>
          <cell r="D2921" t="str">
            <v>BLOCK</v>
          </cell>
        </row>
        <row r="2922">
          <cell r="B2922">
            <v>90106013</v>
          </cell>
          <cell r="C2922" t="str">
            <v>FASTENERS TIPO GUSANO</v>
          </cell>
          <cell r="D2922" t="str">
            <v>C/U</v>
          </cell>
        </row>
        <row r="2923">
          <cell r="B2923">
            <v>90502074</v>
          </cell>
          <cell r="C2923" t="str">
            <v>CINTA PARA IMPRESOR MATRICIAL EPSON FX-890</v>
          </cell>
          <cell r="D2923" t="str">
            <v>C/U</v>
          </cell>
        </row>
        <row r="2924">
          <cell r="B2924">
            <v>90304015</v>
          </cell>
          <cell r="C2924" t="str">
            <v>TOALLA DESECHABLE INTERFOLIADA</v>
          </cell>
          <cell r="D2924" t="str">
            <v>C/U</v>
          </cell>
        </row>
        <row r="2925">
          <cell r="B2925">
            <v>130201587</v>
          </cell>
          <cell r="C2925" t="str">
            <v>VISITA INICIAL DE TERAPIA RESP PROGR OLDD</v>
          </cell>
          <cell r="D2925" t="str">
            <v>BLOCK</v>
          </cell>
        </row>
        <row r="2926">
          <cell r="B2926">
            <v>130201535</v>
          </cell>
          <cell r="C2926" t="str">
            <v>HOJA PATRONAL P/HOMOLOGACION DE INCAP PARTICUL</v>
          </cell>
          <cell r="D2926" t="str">
            <v>BLOCK</v>
          </cell>
        </row>
        <row r="2927">
          <cell r="B2927">
            <v>7050030</v>
          </cell>
          <cell r="C2927" t="str">
            <v>CATGUT CROMICO 2/0 AGUJA 25-27 MM</v>
          </cell>
          <cell r="D2927" t="str">
            <v>DOCENA</v>
          </cell>
        </row>
        <row r="2928">
          <cell r="B2928">
            <v>130201525</v>
          </cell>
          <cell r="C2928" t="str">
            <v>COMPROBANTE PARA RETIRO DE TRAMITE</v>
          </cell>
          <cell r="D2928" t="str">
            <v>BLOCK</v>
          </cell>
        </row>
        <row r="2929">
          <cell r="B2929">
            <v>7013091</v>
          </cell>
          <cell r="C2929" t="str">
            <v>PAPEL CREPADO GRADO MEDICO</v>
          </cell>
          <cell r="D2929" t="str">
            <v>C/U</v>
          </cell>
        </row>
        <row r="2930">
          <cell r="B2930">
            <v>7011092</v>
          </cell>
          <cell r="C2930" t="str">
            <v>DESCARTABLE TRANSP P/BOMBA CATETER</v>
          </cell>
          <cell r="D2930" t="str">
            <v>C/U</v>
          </cell>
        </row>
        <row r="2931">
          <cell r="B2931">
            <v>130201222</v>
          </cell>
          <cell r="C2931" t="str">
            <v>TARJETA DE VISITAS</v>
          </cell>
          <cell r="D2931" t="str">
            <v>TARJETA</v>
          </cell>
        </row>
        <row r="2932">
          <cell r="B2932" t="str">
            <v>A410801</v>
          </cell>
          <cell r="C2932" t="str">
            <v>DVD</v>
          </cell>
          <cell r="D2932" t="str">
            <v>C/U</v>
          </cell>
        </row>
        <row r="2933">
          <cell r="B2933">
            <v>90501121</v>
          </cell>
          <cell r="C2933" t="str">
            <v>TONER P/IMPRES HP LASER JET PROPIN M401dw</v>
          </cell>
          <cell r="D2933" t="str">
            <v>C/U</v>
          </cell>
        </row>
        <row r="2934">
          <cell r="B2934">
            <v>130201629</v>
          </cell>
          <cell r="C2934" t="str">
            <v>HOJA DE USO DE CLONAZEPAN</v>
          </cell>
          <cell r="D2934" t="str">
            <v>BLOCK</v>
          </cell>
        </row>
        <row r="2935">
          <cell r="B2935">
            <v>130201161</v>
          </cell>
          <cell r="C2935" t="str">
            <v>REQUISICION DE DIETA DE PACIENTES</v>
          </cell>
          <cell r="D2935" t="str">
            <v>BLOCK</v>
          </cell>
        </row>
        <row r="2936">
          <cell r="B2936">
            <v>7037095</v>
          </cell>
          <cell r="C2936" t="str">
            <v>FILTRO /LASER ADAPTABLE A MICROSCOPIO</v>
          </cell>
          <cell r="D2936" t="str">
            <v>C/U</v>
          </cell>
        </row>
        <row r="2937">
          <cell r="B2937">
            <v>150122000</v>
          </cell>
          <cell r="C2937" t="str">
            <v>MOSQUITERO PARA CAMA HOSPITALARIA</v>
          </cell>
          <cell r="D2937" t="str">
            <v>C/U</v>
          </cell>
        </row>
        <row r="2938">
          <cell r="B2938">
            <v>130201662</v>
          </cell>
          <cell r="C2938" t="str">
            <v>FICHA TRATAMIENTO DE TUBERCULOSIS PCT-7</v>
          </cell>
          <cell r="D2938" t="str">
            <v>TARJETA</v>
          </cell>
        </row>
        <row r="2939">
          <cell r="B2939">
            <v>130201663</v>
          </cell>
          <cell r="C2939" t="str">
            <v>CARNET CONTROL CASOS TUBERCULOSIS PCT-7</v>
          </cell>
          <cell r="D2939" t="str">
            <v>TARJETA</v>
          </cell>
        </row>
        <row r="2940">
          <cell r="B2940">
            <v>90305036</v>
          </cell>
          <cell r="C2940" t="str">
            <v>SILLA PLASTICA PARA ADULTO</v>
          </cell>
          <cell r="D2940" t="str">
            <v>C/U</v>
          </cell>
        </row>
        <row r="2941">
          <cell r="B2941" t="str">
            <v>A912101</v>
          </cell>
          <cell r="C2941" t="str">
            <v>DETECTOR ULTRASONICO DE LATIDO FETAL</v>
          </cell>
          <cell r="D2941" t="str">
            <v>C/U</v>
          </cell>
        </row>
        <row r="2942">
          <cell r="B2942" t="str">
            <v>U</v>
          </cell>
          <cell r="C2942" t="str">
            <v>*********************        ULTIMA LINEA  *************************</v>
          </cell>
          <cell r="D2942" t="str">
            <v>*******</v>
          </cell>
        </row>
        <row r="2943">
          <cell r="B2943">
            <v>130201491</v>
          </cell>
          <cell r="C2943" t="str">
            <v>SOLIC DISPEN DE MED A PAC Q SALEN DEL PAIS</v>
          </cell>
          <cell r="D2943" t="str">
            <v>BLOCK</v>
          </cell>
        </row>
        <row r="2944">
          <cell r="B2944">
            <v>130201518</v>
          </cell>
          <cell r="C2944" t="str">
            <v>SOLIC CONSTANCIA MED/RESUMEN CLINICO</v>
          </cell>
          <cell r="D2944" t="str">
            <v>BLOCK</v>
          </cell>
        </row>
        <row r="2945">
          <cell r="B2945">
            <v>130201523</v>
          </cell>
          <cell r="C2945" t="str">
            <v>SOLICITUD CAMBIO DE MEDICO</v>
          </cell>
          <cell r="D2945" t="str">
            <v>BLOCK</v>
          </cell>
        </row>
        <row r="2946">
          <cell r="B2946">
            <v>130201374</v>
          </cell>
          <cell r="C2946" t="str">
            <v>CONTROL CADENA DE FRIO</v>
          </cell>
          <cell r="D2946" t="str">
            <v>BLOCK</v>
          </cell>
        </row>
        <row r="2947">
          <cell r="B2947">
            <v>130201049</v>
          </cell>
          <cell r="C2947" t="str">
            <v>CONTROL CONSUMO MEDICAMENTOS x V PAREN</v>
          </cell>
          <cell r="D2947" t="str">
            <v>TARJETA</v>
          </cell>
        </row>
        <row r="2948">
          <cell r="B2948">
            <v>130201050</v>
          </cell>
          <cell r="C2948" t="str">
            <v>CONTROL CONSUMO MEDICAMENTEO ORALES</v>
          </cell>
          <cell r="D2948" t="str">
            <v>TARJETA</v>
          </cell>
        </row>
        <row r="2949">
          <cell r="B2949">
            <v>130201066</v>
          </cell>
          <cell r="C2949" t="str">
            <v>CONTROL TRATAMIENTO PACIENT HOSPITALI</v>
          </cell>
          <cell r="D2949" t="str">
            <v>BLOCK</v>
          </cell>
        </row>
        <row r="2950">
          <cell r="B2950">
            <v>130201229</v>
          </cell>
          <cell r="C2950" t="str">
            <v>MOVIMIENTO DIARIO DE PACIENTES HOSPITAL</v>
          </cell>
          <cell r="D2950" t="str">
            <v>BLOCK</v>
          </cell>
        </row>
        <row r="2951">
          <cell r="B2951">
            <v>130201328</v>
          </cell>
          <cell r="C2951" t="str">
            <v>RECETA DE PACIENTE HOSPITALIZADO</v>
          </cell>
          <cell r="D2951" t="str">
            <v>BLOCK</v>
          </cell>
        </row>
        <row r="2952">
          <cell r="B2952">
            <v>7011123</v>
          </cell>
          <cell r="C2952" t="str">
            <v xml:space="preserve">UNIDAD DE TRANSFERENCIA LIQUIDO ESTERIL </v>
          </cell>
          <cell r="D2952" t="str">
            <v>C/U</v>
          </cell>
        </row>
        <row r="2953">
          <cell r="B2953" t="str">
            <v>A786004</v>
          </cell>
          <cell r="C2953" t="str">
            <v>VENTILADOR DE TECHO</v>
          </cell>
          <cell r="D2953" t="str">
            <v>C/U</v>
          </cell>
        </row>
        <row r="2954">
          <cell r="B2954">
            <v>4201050</v>
          </cell>
          <cell r="C2954" t="str">
            <v>DIQUE DE GOMA GRUESO TIPO YOUNG 6 X6</v>
          </cell>
          <cell r="D2954" t="str">
            <v>C/U</v>
          </cell>
        </row>
        <row r="2955">
          <cell r="B2955">
            <v>7020065</v>
          </cell>
          <cell r="C2955" t="str">
            <v>PELICULA DIGITAL DE 8X10"</v>
          </cell>
          <cell r="D2955" t="str">
            <v>C/U</v>
          </cell>
        </row>
        <row r="2956">
          <cell r="B2956">
            <v>7020066</v>
          </cell>
          <cell r="C2956" t="str">
            <v>PELICULA DIGITAL DE 10" A 11"X 14"</v>
          </cell>
          <cell r="D2956" t="str">
            <v>C/U</v>
          </cell>
        </row>
        <row r="2957">
          <cell r="B2957">
            <v>7020067</v>
          </cell>
          <cell r="C2957" t="str">
            <v>PELICULA DIGITAL DE 14"X17"</v>
          </cell>
          <cell r="D2957" t="str">
            <v>C/U</v>
          </cell>
        </row>
        <row r="2958">
          <cell r="B2958">
            <v>90503012</v>
          </cell>
          <cell r="C2958" t="str">
            <v>CARTUCHO DE TINTA NEGRO HP LASER JET 1100</v>
          </cell>
          <cell r="D2958" t="str">
            <v>C/U</v>
          </cell>
        </row>
        <row r="2959">
          <cell r="B2959">
            <v>2005000</v>
          </cell>
          <cell r="C2959" t="str">
            <v xml:space="preserve">SOLUCION ESTANDAR PARA MEDIR PH  4.0 </v>
          </cell>
          <cell r="D2959" t="str">
            <v>C/U</v>
          </cell>
        </row>
        <row r="2960">
          <cell r="B2960">
            <v>4104181</v>
          </cell>
          <cell r="C2960" t="str">
            <v>FRESA DE CARBURO No. 1/2  ALTA VELOCIDAD</v>
          </cell>
          <cell r="D2960" t="str">
            <v>C/U</v>
          </cell>
        </row>
        <row r="2961">
          <cell r="B2961">
            <v>4104180</v>
          </cell>
          <cell r="C2961" t="str">
            <v>FRESA DE CARBURO No. 1/4 ALTA VELOCIDAD</v>
          </cell>
          <cell r="D2961" t="str">
            <v>C/U</v>
          </cell>
        </row>
        <row r="2962">
          <cell r="B2962">
            <v>4104077</v>
          </cell>
          <cell r="C2962" t="str">
            <v>CEMENTO DE OXIDO DE ZINC CON EUGENOL</v>
          </cell>
          <cell r="D2962" t="str">
            <v>C/U</v>
          </cell>
        </row>
        <row r="2963">
          <cell r="B2963">
            <v>130201295</v>
          </cell>
          <cell r="C2963" t="str">
            <v>FICHA DE ENDODONCIA</v>
          </cell>
          <cell r="D2963" t="str">
            <v>BLOCK</v>
          </cell>
        </row>
        <row r="2964">
          <cell r="B2964">
            <v>90308003</v>
          </cell>
          <cell r="C2964" t="str">
            <v>BRAZALATE ROSADO RECIEN NACIDO</v>
          </cell>
          <cell r="D2964" t="str">
            <v>C/U</v>
          </cell>
        </row>
        <row r="2965">
          <cell r="B2965">
            <v>90308004</v>
          </cell>
          <cell r="C2965" t="str">
            <v>BRAZALATE CELESTE RECIEN NACIDO</v>
          </cell>
          <cell r="D2965" t="str">
            <v>C/U</v>
          </cell>
        </row>
        <row r="2966">
          <cell r="B2966">
            <v>130201622</v>
          </cell>
          <cell r="C2966" t="str">
            <v>CONTROL PUERPUERAL</v>
          </cell>
          <cell r="D2966" t="str">
            <v>BLOCK</v>
          </cell>
        </row>
        <row r="2967">
          <cell r="B2967">
            <v>2006029</v>
          </cell>
          <cell r="C2967" t="str">
            <v>PROTOMBINA (TP)</v>
          </cell>
          <cell r="D2967" t="str">
            <v>C/U</v>
          </cell>
        </row>
        <row r="2968">
          <cell r="B2968">
            <v>2102009</v>
          </cell>
          <cell r="C2968" t="str">
            <v>OXACILINA SODICA</v>
          </cell>
          <cell r="D2968" t="str">
            <v>DISCO</v>
          </cell>
        </row>
        <row r="2969">
          <cell r="B2969">
            <v>90202094</v>
          </cell>
          <cell r="C2969" t="str">
            <v>JABON DE BAÑO PASTILLA DE 16 GR. APROX.</v>
          </cell>
          <cell r="D2969" t="str">
            <v>C/U</v>
          </cell>
        </row>
        <row r="2970">
          <cell r="B2970">
            <v>7013031</v>
          </cell>
          <cell r="C2970" t="str">
            <v>SOLUCION DE CLORHEXIDINA AL 2%+ ALCOHOL</v>
          </cell>
          <cell r="D2970" t="str">
            <v>ML</v>
          </cell>
        </row>
        <row r="2971">
          <cell r="B2971">
            <v>7016221</v>
          </cell>
          <cell r="C2971" t="str">
            <v>CANULA NASAL P/INFANTES ENTRE 2 A 6 AÑOS</v>
          </cell>
          <cell r="D2971" t="str">
            <v>C/U</v>
          </cell>
        </row>
        <row r="2972">
          <cell r="B2972">
            <v>7016225</v>
          </cell>
          <cell r="C2972" t="str">
            <v>CANULA NASAL P/INFANTE ENTRE 7 A 12 AÑOS</v>
          </cell>
          <cell r="D2972" t="str">
            <v>C/U</v>
          </cell>
        </row>
        <row r="2973">
          <cell r="B2973">
            <v>7071101</v>
          </cell>
          <cell r="C2973" t="str">
            <v>TUBO ENDOTRAQUEAL ORAL DE 3.5 mm,</v>
          </cell>
          <cell r="D2973" t="str">
            <v>C/U</v>
          </cell>
        </row>
        <row r="2974">
          <cell r="B2974">
            <v>7071102</v>
          </cell>
          <cell r="C2974" t="str">
            <v>TUBO ENDOTRAQUEAL ORAL DE 4.0 mm</v>
          </cell>
          <cell r="D2974" t="str">
            <v>C/U</v>
          </cell>
        </row>
        <row r="2975">
          <cell r="B2975">
            <v>7071104</v>
          </cell>
          <cell r="C2975" t="str">
            <v>TUBO ENDOTRAQUEAL DE 5.0 mm</v>
          </cell>
          <cell r="D2975" t="str">
            <v>C/U</v>
          </cell>
        </row>
        <row r="2976">
          <cell r="B2976">
            <v>7071109</v>
          </cell>
          <cell r="C2976" t="str">
            <v>TUBO ENDOTRAQUEAL ORAL DE 7.5 mm</v>
          </cell>
          <cell r="D2976" t="str">
            <v>C/U</v>
          </cell>
        </row>
        <row r="2977">
          <cell r="B2977">
            <v>7071110</v>
          </cell>
          <cell r="C2977" t="str">
            <v>TUBO ENDOTRAQUEAL ORAL DE 8 mm</v>
          </cell>
          <cell r="D2977" t="str">
            <v>C/U</v>
          </cell>
        </row>
      </sheetData>
      <sheetData sheetId="3" refreshError="1">
        <row r="2">
          <cell r="J2" t="str">
            <v>Luz Adela Larreynaga</v>
          </cell>
        </row>
        <row r="3">
          <cell r="J3" t="str">
            <v xml:space="preserve">Zuleyma Choco </v>
          </cell>
        </row>
        <row r="4">
          <cell r="J4" t="str">
            <v>Lic. Atilio Gonzalez</v>
          </cell>
        </row>
        <row r="5">
          <cell r="J5" t="str">
            <v>Iluana Peblis Avendaño</v>
          </cell>
        </row>
        <row r="6">
          <cell r="J6" t="str">
            <v>Licda. Xiomara Machuca</v>
          </cell>
        </row>
        <row r="7">
          <cell r="J7" t="str">
            <v>Licda. Jeannette de Calderón</v>
          </cell>
        </row>
        <row r="8">
          <cell r="J8" t="str">
            <v>Merlin Aparicio</v>
          </cell>
        </row>
        <row r="9">
          <cell r="J9" t="str">
            <v>Licda. Helen Massiel Martinez</v>
          </cell>
        </row>
        <row r="10">
          <cell r="J10" t="str">
            <v>Xiomara Alberto</v>
          </cell>
        </row>
        <row r="11">
          <cell r="J11" t="str">
            <v>Ing. Yohana Laug</v>
          </cell>
        </row>
        <row r="12">
          <cell r="J12" t="str">
            <v>Licdo. Daniel Hernandez</v>
          </cell>
        </row>
        <row r="13">
          <cell r="J13" t="str">
            <v>Licda. Yolanda Oporto</v>
          </cell>
        </row>
        <row r="14">
          <cell r="J14" t="str">
            <v>Dania Mejia</v>
          </cell>
        </row>
        <row r="15">
          <cell r="J15" t="str">
            <v>Claudia Perez</v>
          </cell>
        </row>
        <row r="16">
          <cell r="J16" t="str">
            <v>Debora Escobar</v>
          </cell>
        </row>
        <row r="17">
          <cell r="J17" t="str">
            <v>Claudia Iris Torrento</v>
          </cell>
        </row>
        <row r="18">
          <cell r="J18" t="str">
            <v>Licda. Lino</v>
          </cell>
        </row>
        <row r="19">
          <cell r="J19" t="str">
            <v>Licda. Mercedes Hidalgo</v>
          </cell>
        </row>
        <row r="20">
          <cell r="J20" t="str">
            <v>Celina Martínez</v>
          </cell>
        </row>
        <row r="21">
          <cell r="J21" t="str">
            <v>Licda. Mayra Acosta</v>
          </cell>
        </row>
        <row r="22">
          <cell r="J22" t="str">
            <v>Licda. Iris Vivas</v>
          </cell>
        </row>
        <row r="23">
          <cell r="J23" t="str">
            <v>Silvia Flamenco</v>
          </cell>
        </row>
        <row r="24">
          <cell r="J24" t="str">
            <v>Karla Menjivar</v>
          </cell>
        </row>
        <row r="25">
          <cell r="J25" t="str">
            <v>Dra. Hernandez</v>
          </cell>
        </row>
        <row r="26">
          <cell r="J26" t="str">
            <v>Licdo. Geovvani Torres</v>
          </cell>
        </row>
        <row r="27">
          <cell r="J27" t="str">
            <v>X</v>
          </cell>
        </row>
        <row r="28">
          <cell r="J28" t="str">
            <v>X</v>
          </cell>
        </row>
        <row r="29">
          <cell r="J29" t="str">
            <v>X</v>
          </cell>
        </row>
        <row r="30">
          <cell r="J30" t="str">
            <v>X</v>
          </cell>
        </row>
        <row r="31">
          <cell r="J31" t="str">
            <v>X</v>
          </cell>
        </row>
        <row r="32">
          <cell r="J32" t="str">
            <v>X</v>
          </cell>
        </row>
        <row r="33">
          <cell r="J33" t="str">
            <v>X</v>
          </cell>
        </row>
        <row r="34">
          <cell r="J34" t="str">
            <v>X</v>
          </cell>
        </row>
        <row r="35">
          <cell r="J35" t="str">
            <v>X</v>
          </cell>
        </row>
      </sheetData>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UMOS IMQ"/>
      <sheetName val="1"/>
      <sheetName val="Hoja1"/>
    </sheetNames>
    <sheetDataSet>
      <sheetData sheetId="0"/>
      <sheetData sheetId="1">
        <row r="2">
          <cell r="E2">
            <v>0</v>
          </cell>
          <cell r="F2">
            <v>0</v>
          </cell>
          <cell r="G2">
            <v>0</v>
          </cell>
        </row>
        <row r="3">
          <cell r="E3">
            <v>261025</v>
          </cell>
          <cell r="F3" t="str">
            <v>FORCEPS DE EXTRACCION # 88 R-2 INOXIDABLE CORTO</v>
          </cell>
          <cell r="G3" t="str">
            <v>C/U</v>
          </cell>
        </row>
        <row r="4">
          <cell r="E4">
            <v>2000000</v>
          </cell>
          <cell r="F4" t="str">
            <v>AMINONAFTOL SULFONICO R.A. (NH2COH5 (OH)  SO3H)       FRASCO 100  -  250 mL. MILILITRO</v>
          </cell>
          <cell r="G4" t="str">
            <v>mL</v>
          </cell>
        </row>
        <row r="5">
          <cell r="E5">
            <v>2000001</v>
          </cell>
          <cell r="F5" t="str">
            <v>ACIDO BENZOICO R.A.  (C6H5COOH)  FRASCO 100  -  250 G. GRAMO</v>
          </cell>
          <cell r="G5" t="str">
            <v>GRAMO</v>
          </cell>
        </row>
        <row r="6">
          <cell r="E6">
            <v>2000002</v>
          </cell>
          <cell r="F6" t="str">
            <v>ACIDO BORICO R.A. GRANULADO  (H3BO3)   FRASCO 100  -  250 G. GRAMO</v>
          </cell>
          <cell r="G6" t="str">
            <v>GRAMO</v>
          </cell>
        </row>
        <row r="7">
          <cell r="E7">
            <v>2000003</v>
          </cell>
          <cell r="F7" t="str">
            <v>ACIDO CITRICO R.A. GRANULADO  (H3C6H5O7.H2O)  FRASCO 100  -  250 G. GRAMO</v>
          </cell>
          <cell r="G7" t="str">
            <v>GRAMO</v>
          </cell>
        </row>
        <row r="8">
          <cell r="E8">
            <v>2000004</v>
          </cell>
          <cell r="F8" t="str">
            <v>ACIDO FENICO  (FENOL)  CRISTALES R.A.  (C6H5OH)       FRASCO 1000  -   5000 G. GRAMO</v>
          </cell>
          <cell r="G8" t="str">
            <v>GRAMO</v>
          </cell>
        </row>
        <row r="9">
          <cell r="E9">
            <v>2000005</v>
          </cell>
          <cell r="F9" t="str">
            <v>ACIDO FENICO  (FENOL)  COMERCIAL  (C6H5OH)  FRASCO 1000  -  5000 G. GRAMO</v>
          </cell>
          <cell r="G9" t="str">
            <v>GRAMO</v>
          </cell>
        </row>
        <row r="10">
          <cell r="E10">
            <v>2000006</v>
          </cell>
          <cell r="F10" t="str">
            <v>ACIDO FOSFORICO  (ORTO)  R.A.  (H3PO4)   FRASCO 1000  - 5000 G. GRAMO</v>
          </cell>
          <cell r="G10" t="str">
            <v>GRAMO</v>
          </cell>
        </row>
        <row r="11">
          <cell r="E11">
            <v>2000007</v>
          </cell>
          <cell r="F11" t="str">
            <v>ACIDO FOSFOTUNGSTICO GRANULADO  (P2O5.24WO3.H2O) ,    FRASCO 100  -  500 G. GRAMO</v>
          </cell>
          <cell r="G11" t="str">
            <v>GRAMO</v>
          </cell>
        </row>
        <row r="12">
          <cell r="E12">
            <v>2000008</v>
          </cell>
          <cell r="F12" t="str">
            <v>ACIDO NITRICO R.A. 60 - 100% PUREZA  (HNO3) ,   FRASCO  1000  -  2500 Ml. MILILITRO</v>
          </cell>
          <cell r="G12" t="str">
            <v>mL</v>
          </cell>
        </row>
        <row r="13">
          <cell r="E13">
            <v>2000009</v>
          </cell>
          <cell r="F13" t="str">
            <v>ACIDO PERYODICO R.A.  (H3IO6) ,  FRASCO 25  -  500 G. GRAMO</v>
          </cell>
          <cell r="G13" t="str">
            <v>GRAMO</v>
          </cell>
        </row>
        <row r="14">
          <cell r="E14">
            <v>2000010</v>
          </cell>
          <cell r="F14" t="str">
            <v>ACIDO PICRICO R.A.  (C6H3N3O7) .  FRASCO 25  -  100 G. GRAMO</v>
          </cell>
          <cell r="G14" t="str">
            <v>GRAMO</v>
          </cell>
        </row>
        <row r="15">
          <cell r="E15">
            <v>2000011</v>
          </cell>
          <cell r="F15" t="str">
            <v>ACIDO SULFANILICO R.A.  (C6H4  (NH) 2  (SO3H) .2 H2O)   FRASCO 100  -  250 G. GRAMO</v>
          </cell>
          <cell r="G15" t="str">
            <v>GRAMO</v>
          </cell>
        </row>
        <row r="16">
          <cell r="E16">
            <v>2000012</v>
          </cell>
          <cell r="F16" t="str">
            <v>ACIDO SULFOSALICILICO R.A.  (C7H6O6S. 2H2O)   FRASCO 200  -  500 G. GRAMO</v>
          </cell>
          <cell r="G16" t="str">
            <v>GRAMO</v>
          </cell>
        </row>
        <row r="17">
          <cell r="E17">
            <v>2000013</v>
          </cell>
          <cell r="F17" t="str">
            <v>ACIDO TARTARICO R.A.  (H2C4H4O6)  FRASCO 100  -  250 G. GRAMO</v>
          </cell>
          <cell r="G17" t="str">
            <v>GRAMO</v>
          </cell>
        </row>
        <row r="18">
          <cell r="E18">
            <v>2000014</v>
          </cell>
          <cell r="F18" t="str">
            <v>ACIDO TRICLOROACETICO R.A.  (CCl3COOH)   FRASCO 100  -  250 G. GRAMO</v>
          </cell>
          <cell r="G18" t="str">
            <v>GRAMO</v>
          </cell>
        </row>
        <row r="19">
          <cell r="E19">
            <v>2000015</v>
          </cell>
          <cell r="F19" t="str">
            <v>ACIDO CROMICO R.A. (2 Cr 04) ,  FRASCO 100  -  250 G. GRAMO</v>
          </cell>
          <cell r="G19" t="str">
            <v>GRAMO</v>
          </cell>
        </row>
        <row r="20">
          <cell r="E20">
            <v>2000016</v>
          </cell>
          <cell r="F20" t="str">
            <v>ACIDO RUBIONICO R.A.  (C2H4N2S2)   (DITIOXAMIDA) .   FRASCO 100  -  250 G. GRAMO</v>
          </cell>
          <cell r="G20" t="str">
            <v>GRAMO</v>
          </cell>
        </row>
        <row r="21">
          <cell r="E21">
            <v>2000017</v>
          </cell>
          <cell r="F21" t="str">
            <v>ACIDO OXALICO. R.A.  (C2H204.2H20) ,  FRASCO 25  -  100 G. GRAMO</v>
          </cell>
          <cell r="G21" t="str">
            <v>GRAMO</v>
          </cell>
        </row>
        <row r="22">
          <cell r="E22">
            <v>2000018</v>
          </cell>
          <cell r="F22" t="str">
            <v>ACIDO ACETICO GLACIAL R.A.  (CH3 COOH)  96  -  100% DE PUREZA. FRASCO DE 1  -  5 L. LITRO</v>
          </cell>
          <cell r="G22" t="str">
            <v>LITRO</v>
          </cell>
        </row>
        <row r="23">
          <cell r="E23">
            <v>2000019</v>
          </cell>
          <cell r="F23" t="str">
            <v xml:space="preserve">ACIDO CLORHIDRICO R.A. 37%  (HCl)  FRASCO DE 1  -  5 L. LITRO </v>
          </cell>
          <cell r="G23" t="str">
            <v>LITRO</v>
          </cell>
        </row>
        <row r="24">
          <cell r="E24">
            <v>2000020</v>
          </cell>
          <cell r="F24" t="str">
            <v>ACIDO SULFURICO R.A. 96 - 98% PUREZA  (H2SO4)  FRASCO DE 1 - 5 L. LITRO</v>
          </cell>
          <cell r="G24" t="str">
            <v>LITRO</v>
          </cell>
        </row>
        <row r="25">
          <cell r="E25">
            <v>2000021</v>
          </cell>
          <cell r="F25" t="str">
            <v xml:space="preserve">ACIDO SULFURICO U.S.P.  (H2SO4)  FRASCO DE 1  -  5 L. LITRO </v>
          </cell>
          <cell r="G25" t="str">
            <v>LITRO</v>
          </cell>
        </row>
        <row r="26">
          <cell r="E26">
            <v>2001000</v>
          </cell>
          <cell r="F26" t="str">
            <v>ALUMBRE  (SULFATO DE AMONIO Y ALUMINIO)  R.A.  (AlNH4(SO4) 2 . 12H2O)   FRASCO 100  -  500 G. GRAMO</v>
          </cell>
          <cell r="G26" t="str">
            <v>GRAMO</v>
          </cell>
        </row>
        <row r="27">
          <cell r="E27">
            <v>2001001</v>
          </cell>
          <cell r="F27" t="str">
            <v>ALUMBRE  (SULFATO DE POTASIO Y ALUMINIO)  R.A.  (AlK (SO4) 2 . 12H2O)   FRASCO 100  -  500 G. GRAMO</v>
          </cell>
          <cell r="G27" t="str">
            <v>GRAMO</v>
          </cell>
        </row>
        <row r="28">
          <cell r="E28">
            <v>2001002</v>
          </cell>
          <cell r="F28" t="str">
            <v>HIDROXIDO DE POTASIO R.A.  (KOH)   FRASCO 100 - 250 G. GRAMO</v>
          </cell>
          <cell r="G28" t="str">
            <v>GRAMO</v>
          </cell>
        </row>
        <row r="29">
          <cell r="E29">
            <v>2001003</v>
          </cell>
          <cell r="F29" t="str">
            <v>HIDROXIDO DE SODIO R.A.  (NaOH)   FRASCO 250 - 1000 G. GRAMO</v>
          </cell>
          <cell r="G29" t="str">
            <v>GRAMO</v>
          </cell>
        </row>
        <row r="30">
          <cell r="E30">
            <v>2001004</v>
          </cell>
          <cell r="F30" t="str">
            <v>SULFATO DE ALUMINIO. Al2 (SO4) 3,  FRASCO 100 - 500 G. GRAMO</v>
          </cell>
          <cell r="G30" t="str">
            <v>GRAMO</v>
          </cell>
        </row>
        <row r="31">
          <cell r="E31">
            <v>2001005</v>
          </cell>
          <cell r="F31" t="str">
            <v>HIDROXIDO DE ALUMINIO R.A.  (NaOH) .  FRASCO 250  -   500 G. GRAMO</v>
          </cell>
          <cell r="G31" t="str">
            <v>GRAMO</v>
          </cell>
        </row>
        <row r="32">
          <cell r="E32">
            <v>2001006</v>
          </cell>
          <cell r="F32" t="str">
            <v xml:space="preserve">AMONIACO LIQUIDO 27% DE PUREZA  (NH3)  FRASCO DE 1  -  5 L. LITRO </v>
          </cell>
          <cell r="G32" t="str">
            <v>LITRO</v>
          </cell>
        </row>
        <row r="33">
          <cell r="E33">
            <v>2001007</v>
          </cell>
          <cell r="F33" t="str">
            <v>HIDROXIDO DE AMONIO R.A.  (NH4OH) ,  GRADO DE PUREZA 58% FRASCO 100  -  500 mL. MILILITRO</v>
          </cell>
          <cell r="G33" t="str">
            <v>mL</v>
          </cell>
        </row>
        <row r="34">
          <cell r="E34">
            <v>2002000</v>
          </cell>
          <cell r="F34" t="str">
            <v>AMARILLO DE METANILO.  FRASCO 5  -  25 G. GRAMO</v>
          </cell>
          <cell r="G34" t="str">
            <v>GRAMO</v>
          </cell>
        </row>
        <row r="35">
          <cell r="E35">
            <v>2002001</v>
          </cell>
          <cell r="F35" t="str">
            <v>AZUL DE CRESIL BRILLANTE,  FRASCO 5  -  25 G. GRAMO</v>
          </cell>
          <cell r="G35" t="str">
            <v>GRAMO</v>
          </cell>
        </row>
        <row r="36">
          <cell r="E36">
            <v>2002002</v>
          </cell>
          <cell r="F36" t="str">
            <v>AZUL DE ALGODON EN POLVO  (LACTOFENOL) ,  FRASCO 5  -  25 G. GRAMO</v>
          </cell>
          <cell r="G36" t="str">
            <v>GRAMO</v>
          </cell>
        </row>
        <row r="37">
          <cell r="E37">
            <v>2002003</v>
          </cell>
          <cell r="F37" t="str">
            <v>AZUL DE BROMOTIMOL,  FRASCO 5  -  25 G. GRAMO</v>
          </cell>
          <cell r="G37" t="str">
            <v>GRAMO</v>
          </cell>
        </row>
        <row r="38">
          <cell r="E38">
            <v>2002004</v>
          </cell>
          <cell r="F38" t="str">
            <v>AZUL DE METILENO. FRASCO 5  -  100 G. GRAMO</v>
          </cell>
          <cell r="G38" t="str">
            <v>GRAMO</v>
          </cell>
        </row>
        <row r="39">
          <cell r="E39">
            <v>2002005</v>
          </cell>
          <cell r="F39" t="str">
            <v>AZUL DE TOLUIDINA. FRASCO 5  -  25 G. GRAMO</v>
          </cell>
          <cell r="G39" t="str">
            <v>GRAMO</v>
          </cell>
        </row>
        <row r="40">
          <cell r="E40">
            <v>2002006</v>
          </cell>
          <cell r="F40" t="str">
            <v>DIFENIL CARBAZONE.  FRASCO 100  -  250 G. GRAMO</v>
          </cell>
          <cell r="G40" t="str">
            <v>GRAMO</v>
          </cell>
        </row>
        <row r="41">
          <cell r="E41">
            <v>2002007</v>
          </cell>
          <cell r="F41" t="str">
            <v>EOSINA.  FRASCO 25  -  100 G. GRAMO</v>
          </cell>
          <cell r="G41" t="str">
            <v>GRAMO</v>
          </cell>
        </row>
        <row r="42">
          <cell r="E42">
            <v>2002008</v>
          </cell>
          <cell r="F42" t="str">
            <v>FUCSINA ACIDA. FRASCO 5  -  25 G. GRAMO</v>
          </cell>
          <cell r="G42" t="str">
            <v>GRAMO</v>
          </cell>
        </row>
        <row r="43">
          <cell r="E43">
            <v>2002009</v>
          </cell>
          <cell r="F43" t="str">
            <v>FUCSINA BASICA. FRASCO 5  -  25 G. GRAMO</v>
          </cell>
          <cell r="G43" t="str">
            <v>GRAMO</v>
          </cell>
        </row>
        <row r="44">
          <cell r="E44">
            <v>2002010</v>
          </cell>
          <cell r="F44" t="str">
            <v>GIEMSA EN POLVO. FRASCO 25  -  100 G. GRAMO</v>
          </cell>
          <cell r="G44" t="str">
            <v>GRAMO</v>
          </cell>
        </row>
        <row r="45">
          <cell r="E45">
            <v>2002011</v>
          </cell>
          <cell r="F45" t="str">
            <v>HEMATOXILINA EN POLVO  (pH 5.0  -  7.2) .  FRASCO 25  -  100 G. GRAMO</v>
          </cell>
          <cell r="G45" t="str">
            <v>GRAMO</v>
          </cell>
        </row>
        <row r="46">
          <cell r="E46">
            <v>2002012</v>
          </cell>
          <cell r="F46" t="str">
            <v>NARANJA DE METILO. FRASCO 5  -  25 G. GRAMO</v>
          </cell>
          <cell r="G46" t="str">
            <v>GRAMO</v>
          </cell>
        </row>
        <row r="47">
          <cell r="E47">
            <v>2002013</v>
          </cell>
          <cell r="F47" t="str">
            <v>ROJO CONGO. FRASCO 25  -  100 G. GRAMO</v>
          </cell>
          <cell r="G47" t="str">
            <v>GRAMO</v>
          </cell>
        </row>
        <row r="48">
          <cell r="E48">
            <v>2002014</v>
          </cell>
          <cell r="F48" t="str">
            <v>ROJO DE FENOL  FRASCO 5  -  25 G. GRAMO</v>
          </cell>
          <cell r="G48" t="str">
            <v>GRAMO</v>
          </cell>
        </row>
        <row r="49">
          <cell r="E49">
            <v>2002015</v>
          </cell>
          <cell r="F49" t="str">
            <v>ROJO NEUTRO. FRASCO 5  -  25 G. GRAMO</v>
          </cell>
          <cell r="G49" t="str">
            <v>GRAMO</v>
          </cell>
        </row>
        <row r="50">
          <cell r="E50">
            <v>2002016</v>
          </cell>
          <cell r="F50" t="str">
            <v>SAFRANINA. FRASCO 5  -  100 G. GRAMO</v>
          </cell>
          <cell r="G50" t="str">
            <v>GRAMO</v>
          </cell>
        </row>
        <row r="51">
          <cell r="E51">
            <v>2002017</v>
          </cell>
          <cell r="F51" t="str">
            <v>SUDAN III. FRASCO 5  -  25 G. GRAMO</v>
          </cell>
          <cell r="G51" t="str">
            <v>GRAMO</v>
          </cell>
        </row>
        <row r="52">
          <cell r="E52">
            <v>2002018</v>
          </cell>
          <cell r="F52" t="str">
            <v>VERDE BRILLANTE. FRASCO 25  -  100 G. GRAMO</v>
          </cell>
          <cell r="G52" t="str">
            <v>GRAMO</v>
          </cell>
        </row>
        <row r="53">
          <cell r="E53">
            <v>2002019</v>
          </cell>
          <cell r="F53" t="str">
            <v>VERDE CLARO AMARILLENTO. FRASCO 5  -  25 G. GRAMO</v>
          </cell>
          <cell r="G53" t="str">
            <v>GRAMO</v>
          </cell>
        </row>
        <row r="54">
          <cell r="E54">
            <v>2002020</v>
          </cell>
          <cell r="F54" t="str">
            <v>VERDE DE MALAQUITA. FRASCO 5  -  25 G. GRAMO</v>
          </cell>
          <cell r="G54" t="str">
            <v>GRAMO</v>
          </cell>
        </row>
        <row r="55">
          <cell r="E55">
            <v>2002021</v>
          </cell>
          <cell r="F55" t="str">
            <v>CRISTAL VIOLETA. FRASCO 5  -  25 G. GRAMO</v>
          </cell>
          <cell r="G55" t="str">
            <v>GRAMO</v>
          </cell>
        </row>
        <row r="56">
          <cell r="E56">
            <v>2002022</v>
          </cell>
          <cell r="F56" t="str">
            <v>WRIGHT EN POLVO. FRASCO 5  -  25 G. GRAMO</v>
          </cell>
          <cell r="G56" t="str">
            <v>GRAMO</v>
          </cell>
        </row>
        <row r="57">
          <cell r="E57">
            <v>2002023</v>
          </cell>
          <cell r="F57" t="str">
            <v>AZUL DE NILO. FRASCO 5  -  25 G. GRAMO</v>
          </cell>
          <cell r="G57" t="str">
            <v>GRAMO</v>
          </cell>
        </row>
        <row r="58">
          <cell r="E58">
            <v>2002024</v>
          </cell>
          <cell r="F58" t="str">
            <v>ROJO DE METILO. FRASCO 5  -  25 G. GRAMO</v>
          </cell>
          <cell r="G58" t="str">
            <v>GRAMO</v>
          </cell>
        </row>
        <row r="59">
          <cell r="E59">
            <v>2002025</v>
          </cell>
          <cell r="F59" t="str">
            <v>FENOLFTALEINA INDICADOR. FRASCO 100  -  250 G. GRAMO</v>
          </cell>
          <cell r="G59" t="str">
            <v>GRAMO</v>
          </cell>
        </row>
        <row r="60">
          <cell r="E60">
            <v>2002026</v>
          </cell>
          <cell r="F60" t="str">
            <v>AZUL ALCIANO. FRASCO 5  -  25 G. GRAMO</v>
          </cell>
          <cell r="G60" t="str">
            <v>GRAMO</v>
          </cell>
        </row>
        <row r="61">
          <cell r="E61">
            <v>2002027</v>
          </cell>
          <cell r="F61" t="str">
            <v>AZUL OSCURO. FRASCO 5  -  25 G. GRAMO</v>
          </cell>
          <cell r="G61" t="str">
            <v>GRAMO</v>
          </cell>
        </row>
        <row r="62">
          <cell r="E62">
            <v>2002028</v>
          </cell>
          <cell r="F62" t="str">
            <v>AURAMINA. FRASCO 5  -  25 G. GRAMO</v>
          </cell>
          <cell r="G62" t="str">
            <v>GRAMO</v>
          </cell>
        </row>
        <row r="63">
          <cell r="E63">
            <v>2002029</v>
          </cell>
          <cell r="F63" t="str">
            <v>ESCARLATA DE BIEBRICH. FRASCO 25  -  100 G. GRAMO</v>
          </cell>
          <cell r="G63" t="str">
            <v>GRAMO</v>
          </cell>
        </row>
        <row r="64">
          <cell r="E64">
            <v>2002030</v>
          </cell>
          <cell r="F64" t="str">
            <v>FUCSINA  (NUEVA MAGENTA) . FRASCO 25  -  100 G. GRAMO</v>
          </cell>
          <cell r="G64" t="str">
            <v>GRAMO</v>
          </cell>
        </row>
        <row r="65">
          <cell r="E65">
            <v>2002031</v>
          </cell>
          <cell r="F65" t="str">
            <v>AZUL RAPIDO LUXOL  (LUXOL FAST BLUE) . FRASCO 5  -  25 G. GRAMO</v>
          </cell>
          <cell r="G65" t="str">
            <v>GRAMO</v>
          </cell>
        </row>
        <row r="66">
          <cell r="E66">
            <v>2002032</v>
          </cell>
          <cell r="F66" t="str">
            <v>SAFRANINA "O".  FRASCO 5  -  25 G. GRAMO</v>
          </cell>
          <cell r="G66" t="str">
            <v>GRAMO</v>
          </cell>
        </row>
        <row r="67">
          <cell r="E67">
            <v>2002033</v>
          </cell>
          <cell r="F67" t="str">
            <v>SUDAN IV. FRASCO 5  -  25 G. GRAMO</v>
          </cell>
          <cell r="G67" t="str">
            <v>GRAMO</v>
          </cell>
        </row>
        <row r="68">
          <cell r="E68">
            <v>2002034</v>
          </cell>
          <cell r="F68" t="str">
            <v>NARANJA "G". FRASCO 25  -  100 G. GRAMO</v>
          </cell>
          <cell r="G68" t="str">
            <v>GRAMO</v>
          </cell>
        </row>
        <row r="69">
          <cell r="E69">
            <v>2002035</v>
          </cell>
          <cell r="F69" t="str">
            <v>ROJO RAPIDO NUCLEAR  (NUCLEAR FAST RED) .FRASCO 5  -  25 G. GRAMO</v>
          </cell>
          <cell r="G69" t="str">
            <v>GRAMO</v>
          </cell>
        </row>
        <row r="70">
          <cell r="E70">
            <v>2002036</v>
          </cell>
          <cell r="F70" t="str">
            <v>ORCEINA. FRASCO 5  -  25 G. GRAMO</v>
          </cell>
          <cell r="G70" t="str">
            <v>GRAMO</v>
          </cell>
        </row>
        <row r="71">
          <cell r="E71">
            <v>2002037</v>
          </cell>
          <cell r="F71" t="str">
            <v>PIRONINA "Y". FRASCO 5  -  25 G. GRAMO</v>
          </cell>
          <cell r="G71" t="str">
            <v>GRAMO</v>
          </cell>
        </row>
        <row r="72">
          <cell r="E72">
            <v>2002038</v>
          </cell>
          <cell r="F72" t="str">
            <v>RODAMINA "B". FRASCO 5  -  25 G. GRAMO</v>
          </cell>
          <cell r="G72" t="str">
            <v>GRAMO</v>
          </cell>
        </row>
        <row r="73">
          <cell r="E73">
            <v>2002039</v>
          </cell>
          <cell r="F73" t="str">
            <v>ROJO OLEOSO. FRASCO 5  -  25 G. GRAMO</v>
          </cell>
          <cell r="G73" t="str">
            <v>GRAMO</v>
          </cell>
        </row>
        <row r="74">
          <cell r="E74">
            <v>2002040</v>
          </cell>
          <cell r="F74" t="str">
            <v>ROSINA BLANCA. FRASCO 5  -  25 G. GRAMO</v>
          </cell>
          <cell r="G74" t="str">
            <v>GRAMO</v>
          </cell>
        </row>
        <row r="75">
          <cell r="E75">
            <v>2002041</v>
          </cell>
          <cell r="F75" t="str">
            <v>HEMATOXILINA DE MAYER. FRASCO 500  -  1000 mL. MILILITRO</v>
          </cell>
          <cell r="G75" t="str">
            <v>GRAMO</v>
          </cell>
        </row>
        <row r="76">
          <cell r="E76">
            <v>2002042</v>
          </cell>
          <cell r="F76" t="str">
            <v>NEOFUCSINA. FRASCO 25  -  100 G. GRAMO</v>
          </cell>
          <cell r="G76" t="str">
            <v>GRAMO</v>
          </cell>
        </row>
        <row r="77">
          <cell r="E77">
            <v>2002043</v>
          </cell>
          <cell r="F77" t="str">
            <v>AZUL DE ANILINA. FRASCO 5  -  25 G. GRAMO</v>
          </cell>
          <cell r="G77" t="str">
            <v>GRAMO</v>
          </cell>
        </row>
        <row r="78">
          <cell r="E78">
            <v>2002044</v>
          </cell>
          <cell r="F78" t="str">
            <v>METANIL AMARILLO. FRASCO 5  -  25 G. GRAMO</v>
          </cell>
          <cell r="G78" t="str">
            <v>GRAMO</v>
          </cell>
        </row>
        <row r="79">
          <cell r="E79">
            <v>2002045</v>
          </cell>
          <cell r="F79" t="str">
            <v>VERDE METIL  FRASCO 5  -  25 G. GRAMO</v>
          </cell>
          <cell r="G79" t="str">
            <v>GRAMO</v>
          </cell>
        </row>
        <row r="80">
          <cell r="E80">
            <v>2002046</v>
          </cell>
          <cell r="F80" t="str">
            <v>WEIGTU. FRASCO 5  -  25 G. GRAMO</v>
          </cell>
          <cell r="G80" t="str">
            <v>GRAMO</v>
          </cell>
        </row>
        <row r="81">
          <cell r="E81">
            <v>2002047</v>
          </cell>
          <cell r="F81" t="str">
            <v>VERDE CLARO. FRASCO 5  -  25 G. GRAMO</v>
          </cell>
          <cell r="G81" t="str">
            <v>GRAMO</v>
          </cell>
        </row>
        <row r="82">
          <cell r="E82">
            <v>2002048</v>
          </cell>
          <cell r="F82" t="str">
            <v>AZUL NOCHE. FRASCO 5  -  25 G. GRAMO</v>
          </cell>
          <cell r="G82" t="str">
            <v>GRAMO</v>
          </cell>
        </row>
        <row r="83">
          <cell r="E83">
            <v>2002049</v>
          </cell>
          <cell r="F83" t="str">
            <v>GALACIANINA. FRASCO 5  -  25 G. GRAMO</v>
          </cell>
          <cell r="G83" t="str">
            <v>GRAMO</v>
          </cell>
        </row>
        <row r="84">
          <cell r="E84">
            <v>2002050</v>
          </cell>
          <cell r="F84" t="str">
            <v>TEONINA. FRASCO 5  -  25 G. GRAMO</v>
          </cell>
          <cell r="G84" t="str">
            <v>GRAMO</v>
          </cell>
        </row>
        <row r="85">
          <cell r="E85">
            <v>2002051</v>
          </cell>
          <cell r="F85" t="str">
            <v>ESCARLATA DE ORCEINA. FRASCO 5  -  25 G. GRAMO</v>
          </cell>
          <cell r="G85" t="str">
            <v>GRAMO</v>
          </cell>
        </row>
        <row r="86">
          <cell r="E86">
            <v>2002052</v>
          </cell>
          <cell r="F86" t="str">
            <v>CHOROMATROPO 2R.  FRASCO 50  -  100 mL. MILILITRO</v>
          </cell>
          <cell r="G86" t="str">
            <v>MILILITRO</v>
          </cell>
        </row>
        <row r="87">
          <cell r="E87">
            <v>2002053</v>
          </cell>
          <cell r="F87" t="str">
            <v>NIGROSINA. FRASCO DE 10  -  25 G. GRAMO</v>
          </cell>
          <cell r="G87" t="str">
            <v>GRAMO</v>
          </cell>
        </row>
        <row r="88">
          <cell r="E88">
            <v>2002054</v>
          </cell>
          <cell r="F88" t="str">
            <v>SOLUCION POLICROMA DE EOSINA AMARILLA  (EA50) . FRASCO 1  -  2.5 L. LITRO</v>
          </cell>
          <cell r="G88" t="str">
            <v>LITRO</v>
          </cell>
        </row>
        <row r="89">
          <cell r="E89">
            <v>2002055</v>
          </cell>
          <cell r="F89" t="str">
            <v>SOLUCION DE ANARANJADO "G". FRASCO 1  -  2.5 L. LITRO</v>
          </cell>
          <cell r="G89" t="str">
            <v>LITRO</v>
          </cell>
        </row>
        <row r="90">
          <cell r="E90">
            <v>2002056</v>
          </cell>
          <cell r="F90" t="str">
            <v>VERDE RAPIDO  (C37H34Na2O10S3N2) . FRASCO 10  -  50 G. GRAMO</v>
          </cell>
          <cell r="G90" t="str">
            <v>GRAMO</v>
          </cell>
        </row>
        <row r="91">
          <cell r="E91">
            <v>2002057</v>
          </cell>
          <cell r="F91" t="str">
            <v>EOSINA Y  (C2OH6Br2N2Na2O9) . FRASCO DE 25  -  100 G. GRAMO</v>
          </cell>
          <cell r="G91" t="str">
            <v>GRAMO</v>
          </cell>
        </row>
        <row r="92">
          <cell r="E92">
            <v>2003000</v>
          </cell>
          <cell r="F92" t="str">
            <v>ACETATO DE SODIO CRISTALES R.A.  (CH3 COONa.3H2O)   FRASCO 250  -  500 G. GRAMO</v>
          </cell>
          <cell r="G92" t="str">
            <v>GRAMO</v>
          </cell>
        </row>
        <row r="93">
          <cell r="E93">
            <v>2003001</v>
          </cell>
          <cell r="F93" t="str">
            <v>ALMIDON SOLUBLE R.A.  (C6H10O5) . FRASCO 100  -  250 G. GRAMO</v>
          </cell>
          <cell r="G93" t="str">
            <v>GRAMO</v>
          </cell>
        </row>
        <row r="94">
          <cell r="E94">
            <v>2003002</v>
          </cell>
          <cell r="F94" t="str">
            <v>BICARBONATO DE SODIO R.A.  (NaHCO3) . FRASCO 100  -  250 G. GRAMO</v>
          </cell>
          <cell r="G94" t="str">
            <v>GRAMO</v>
          </cell>
        </row>
        <row r="95">
          <cell r="E95">
            <v>2003003</v>
          </cell>
          <cell r="F95" t="str">
            <v>BICROMATO DE POTASIO R.A.  (K2 Cr2 O7) . FRASCO 250  -  500 G. GRAMO</v>
          </cell>
          <cell r="G95" t="str">
            <v>GRAMO</v>
          </cell>
        </row>
        <row r="96">
          <cell r="E96">
            <v>2003004</v>
          </cell>
          <cell r="F96" t="str">
            <v>BISULFITO DE SODIO R.A.  (NaHSO3) . FRASCO 250  -  500 G. GRAMO</v>
          </cell>
          <cell r="G96" t="str">
            <v>GRAMO</v>
          </cell>
        </row>
        <row r="97">
          <cell r="E97">
            <v>2003005</v>
          </cell>
          <cell r="F97" t="str">
            <v>CARBONATO DE LITIO R.A.  (Li2 CO3) .   FRASCO 100  -   500 G. GRAMO</v>
          </cell>
          <cell r="G97" t="str">
            <v>GRAMO</v>
          </cell>
        </row>
        <row r="98">
          <cell r="E98">
            <v>2003006</v>
          </cell>
          <cell r="F98" t="str">
            <v>CARBONATO DE SODIO ANHIDRO  (Na2 CO3) .FRASCO 250  -  500 G. GRAMO</v>
          </cell>
          <cell r="G98" t="str">
            <v>GRAMO</v>
          </cell>
        </row>
        <row r="99">
          <cell r="E99">
            <v>2003007</v>
          </cell>
          <cell r="F99" t="str">
            <v>CITRATO DE SODIO R.A.  (Na3C6H5O7.2H2O) .FRASCO 100  -  250 G. GRAMO</v>
          </cell>
          <cell r="G99" t="str">
            <v>GRAMO</v>
          </cell>
        </row>
        <row r="100">
          <cell r="E100">
            <v>2003008</v>
          </cell>
          <cell r="F100" t="str">
            <v>CLORURO DE CALCIO R.A.  (CaCl2) .FRASCO 100  -  250 G. GRAMO</v>
          </cell>
          <cell r="G100" t="str">
            <v>GRAMO</v>
          </cell>
        </row>
        <row r="101">
          <cell r="E101">
            <v>2003009</v>
          </cell>
          <cell r="F101" t="str">
            <v>CLORURO DE LITIO R.A.  (LiCl) . FRASCO 100 - 250 G. GRAMO</v>
          </cell>
          <cell r="G101" t="str">
            <v>GRAMO</v>
          </cell>
        </row>
        <row r="102">
          <cell r="E102">
            <v>2003010</v>
          </cell>
          <cell r="F102" t="str">
            <v>CLORURO DE ORO R.A.  (AuCl) . FRASCO 1  -  5 mL. MILILITRO</v>
          </cell>
          <cell r="G102" t="str">
            <v>MILILITRO</v>
          </cell>
        </row>
        <row r="103">
          <cell r="E103">
            <v>2003011</v>
          </cell>
          <cell r="F103" t="str">
            <v>CLORURO DE POTASIO R.A.  (KCl) . FRASCO 100  -  250 G. GRAMO</v>
          </cell>
          <cell r="G103" t="str">
            <v>GRAMO</v>
          </cell>
        </row>
        <row r="104">
          <cell r="E104">
            <v>2003012</v>
          </cell>
          <cell r="F104" t="str">
            <v>CLORURO DE SODIO R.A.  (NaCl) .  FRASCO 250  -  500 G. GRAMO</v>
          </cell>
          <cell r="G104" t="str">
            <v>GRAMO</v>
          </cell>
        </row>
        <row r="105">
          <cell r="E105">
            <v>2003013</v>
          </cell>
          <cell r="F105" t="str">
            <v>CLORURO FERRICO R.A.  (FeCl3) . FRASCO 500  -  1000 G. GRAMO</v>
          </cell>
          <cell r="G105" t="str">
            <v>GRAMO</v>
          </cell>
        </row>
        <row r="106">
          <cell r="E106">
            <v>2003014</v>
          </cell>
          <cell r="F106" t="str">
            <v>ETILEN - DIAMINO ACIDO TETRACETICO,  SAL DISODICA     (EDTA)   (C10H14N2Na2O8.H2O) . FRASCO 250 - 500 G. GRAMO</v>
          </cell>
          <cell r="G106" t="str">
            <v>GRAMO</v>
          </cell>
        </row>
        <row r="107">
          <cell r="E107">
            <v>2003015</v>
          </cell>
          <cell r="F107" t="str">
            <v>FERROCIANURO DE POTASIO R.A.  (K4Fe (CN) 6. 3H2O) . FRASCO 100  -  250 G. GRAMO</v>
          </cell>
          <cell r="G107" t="str">
            <v>GRAMO</v>
          </cell>
        </row>
        <row r="108">
          <cell r="E108">
            <v>2003016</v>
          </cell>
          <cell r="F108" t="str">
            <v>FLORURO DE SODIO R.A.   (NaF) .  FRASCO 250  -  500 G. GRAMO</v>
          </cell>
          <cell r="G108" t="str">
            <v>GRAMO</v>
          </cell>
        </row>
        <row r="109">
          <cell r="E109">
            <v>2003017</v>
          </cell>
          <cell r="F109" t="str">
            <v>FOSFATO DE POTASIO  (MONOBASICO)  PRIMARIO R.A.  (KH PO4) .  FRASCO 250  -  500 G. GRAMO</v>
          </cell>
          <cell r="G109" t="str">
            <v>GRAMO</v>
          </cell>
        </row>
        <row r="110">
          <cell r="E110">
            <v>2003018</v>
          </cell>
          <cell r="F110" t="str">
            <v>FOSFATO DE SODIO  (MONOBASICO ANHIDRO)  R.A.  (NaH2PO4)  FRASCO 250  -  500 G. GRAMO</v>
          </cell>
          <cell r="G110" t="str">
            <v>GRAMO</v>
          </cell>
        </row>
        <row r="111">
          <cell r="E111">
            <v>2003019</v>
          </cell>
          <cell r="F111" t="str">
            <v>FOSFATO DE SODIO MONOBASICO POLVO  (NaH2PO4. H2O) . FRASCO 1000 G. GRAMO</v>
          </cell>
          <cell r="G111" t="str">
            <v>GRAMO</v>
          </cell>
        </row>
        <row r="112">
          <cell r="E112">
            <v>2003020</v>
          </cell>
          <cell r="F112" t="str">
            <v>FOSFATO DE SODIO SECUNDARIO ANHIDRO R.A. (Na2 HPO4) FRASCO 250  -  500 G. GRAMO</v>
          </cell>
          <cell r="G112" t="str">
            <v>GRAMO</v>
          </cell>
        </row>
        <row r="113">
          <cell r="E113">
            <v>2003021</v>
          </cell>
          <cell r="F113" t="str">
            <v>FOSFATO DE SODIO SECUNDARIO R.A.  (Na2HPO4.12H2O) . FRASCO 250  -  500 G. GRAMO</v>
          </cell>
          <cell r="G113" t="str">
            <v>GRAMO</v>
          </cell>
        </row>
        <row r="114">
          <cell r="E114">
            <v>2003022</v>
          </cell>
          <cell r="F114" t="str">
            <v>GLUCOSA EN POLVO R.A. (ANHIDRA)  (C6H12O6) . FRASCO 500  -  1000 G. GRAMO</v>
          </cell>
          <cell r="G114" t="str">
            <v>GRAMO</v>
          </cell>
        </row>
        <row r="115">
          <cell r="E115">
            <v>2003023</v>
          </cell>
          <cell r="F115" t="str">
            <v>METABISULFITO DE POTASIO R.A.  (K2S2O5) . FRASCO 250  -  500 G. GRAMO</v>
          </cell>
          <cell r="G115" t="str">
            <v>GRAMO</v>
          </cell>
        </row>
        <row r="116">
          <cell r="E116">
            <v>2003024</v>
          </cell>
          <cell r="F116" t="str">
            <v>METABISULFITO DE SODIO R.A.  (Na2S2O5) . FRASCO 250  -  500 G. GRAMO</v>
          </cell>
          <cell r="G116" t="str">
            <v>GRAMO</v>
          </cell>
        </row>
        <row r="117">
          <cell r="E117">
            <v>2003025</v>
          </cell>
          <cell r="F117" t="str">
            <v>METHENAMINE GRANULAR R.A.  (CH2)  6N4. FRASCO 250  -  500 G. GRAMO</v>
          </cell>
          <cell r="G117" t="str">
            <v>GRAMO</v>
          </cell>
        </row>
        <row r="118">
          <cell r="E118">
            <v>2003026</v>
          </cell>
          <cell r="F118" t="str">
            <v>MOLIBDATO DE AMONIO R.A.  (NH4)  6Mo7O24.4H20) . FRASCO 100  -  250 G. GRAMO</v>
          </cell>
          <cell r="G118" t="str">
            <v>GRAMO</v>
          </cell>
        </row>
        <row r="119">
          <cell r="E119">
            <v>2003027</v>
          </cell>
          <cell r="F119" t="str">
            <v>NITRATO DE MERCURIO R.A.  (Hg (NO3) 2) .   FRASCO 100  -  250 G. GRAMO</v>
          </cell>
          <cell r="G119" t="str">
            <v>GRAMO</v>
          </cell>
        </row>
        <row r="120">
          <cell r="E120">
            <v>2003028</v>
          </cell>
          <cell r="F120" t="str">
            <v>NITRATO DE PLATA R.A.  (AgNO3) . FRASCO 100  -  250 G. GRAMO</v>
          </cell>
          <cell r="G120" t="str">
            <v>GRAMO</v>
          </cell>
        </row>
        <row r="121">
          <cell r="E121">
            <v>2003029</v>
          </cell>
          <cell r="F121" t="str">
            <v>NITRATO DE URANILO R.A.  (Uo2 NO3) 2. FRASCO 25  -  100 G. GRAMO</v>
          </cell>
          <cell r="G121" t="str">
            <v>GRAMO</v>
          </cell>
        </row>
        <row r="122">
          <cell r="E122">
            <v>2003030</v>
          </cell>
          <cell r="F122" t="str">
            <v>NITRITO DE SODIO R.A.  (NaNO2) .   FRASCO 100  -  250 G. GRAMO</v>
          </cell>
          <cell r="G122" t="str">
            <v>GRAMO</v>
          </cell>
        </row>
        <row r="123">
          <cell r="E123">
            <v>2003031</v>
          </cell>
          <cell r="F123" t="str">
            <v>OXALATO DE AMONIO R.A.  (NH4) 2C2O4.H2O)  FRASCO 100  -  250 G. GRAMO</v>
          </cell>
          <cell r="G123" t="str">
            <v>GRAMO</v>
          </cell>
        </row>
        <row r="124">
          <cell r="E124">
            <v>2003032</v>
          </cell>
          <cell r="F124" t="str">
            <v>OXIDO DE MERCURIO AMARILLO R.A.  (HgO) .   FRASCO 50 -  250 G. GRAMO</v>
          </cell>
          <cell r="G124" t="str">
            <v>GRAMO</v>
          </cell>
        </row>
        <row r="125">
          <cell r="E125">
            <v>2003033</v>
          </cell>
          <cell r="F125" t="str">
            <v>PERMANGANATO DE POTASIO  (KMnO4) . FRASCO 100  -  500 G. GRAMO</v>
          </cell>
          <cell r="G125" t="str">
            <v>GRAMO</v>
          </cell>
        </row>
        <row r="126">
          <cell r="E126">
            <v>2003034</v>
          </cell>
          <cell r="F126" t="str">
            <v>POLIANETOL SULFONATO DE SODIO  (CHC6H3  (SO3 Na)  OCH3 CH (CH3)   -  X) .  FRASCO 25  -  100 G. GRAMO</v>
          </cell>
          <cell r="G126" t="str">
            <v>GRAMO</v>
          </cell>
        </row>
        <row r="127">
          <cell r="E127">
            <v>2003035</v>
          </cell>
          <cell r="F127" t="str">
            <v>SACAROSA R.A.  (C12 H22 O11) .   FRASCO 100  -  250 G. GRAMO</v>
          </cell>
          <cell r="G127" t="str">
            <v>GRAMO</v>
          </cell>
        </row>
        <row r="128">
          <cell r="E128">
            <v>2003036</v>
          </cell>
          <cell r="F128" t="str">
            <v>SULFATO AMONICO FERRICO R.A.  NH4 Fe (SO4) .  FRASCO 250  -  500 G. GRAMO</v>
          </cell>
          <cell r="G128" t="str">
            <v>GRAMO</v>
          </cell>
        </row>
        <row r="129">
          <cell r="E129">
            <v>2003037</v>
          </cell>
          <cell r="F129" t="str">
            <v>SULFATO DE COBRE R.A.  (CuSO4.5H2O) .FRASCO 100  -  250 G. GRAMO</v>
          </cell>
          <cell r="G129" t="str">
            <v>GRAMO</v>
          </cell>
        </row>
        <row r="130">
          <cell r="E130">
            <v>2003038</v>
          </cell>
          <cell r="F130" t="str">
            <v>SULFATO DE HIERRO R.A.  (FeSO4.7H2O) . FRASCO 100  -  250 G. GRAMO</v>
          </cell>
          <cell r="G130" t="str">
            <v>GRAMO</v>
          </cell>
        </row>
        <row r="131">
          <cell r="E131">
            <v>2003039</v>
          </cell>
          <cell r="F131" t="str">
            <v>SULFATO DE LITIO R.A.  (Li2SO4. H2O) . FRASCO 100  -  250 G. GRAMO</v>
          </cell>
          <cell r="G131" t="str">
            <v>GRAMO</v>
          </cell>
        </row>
        <row r="132">
          <cell r="E132">
            <v>2003040</v>
          </cell>
          <cell r="F132" t="str">
            <v>SULFATO DE SODIO ANHIDRO  (Na2SO4) . FRASCO 250  -  1000 G. GRAMO</v>
          </cell>
          <cell r="G132" t="str">
            <v>GRAMO</v>
          </cell>
        </row>
        <row r="133">
          <cell r="E133">
            <v>2003041</v>
          </cell>
          <cell r="F133" t="str">
            <v>SULFATO DE ZINC 7 HIDRATADO R.A.  (ZnSO4. 7H2O)  FRASCO 250  -  1000 G. GRAMO</v>
          </cell>
          <cell r="G133" t="str">
            <v>GRAMO</v>
          </cell>
        </row>
        <row r="134">
          <cell r="E134">
            <v>2003042</v>
          </cell>
          <cell r="F134" t="str">
            <v>SULFITO DE SODIO ANHIDRO R.A.  (Na2 SO3) .  FRASCO  100  -  250 G. GRAMO</v>
          </cell>
          <cell r="G134" t="str">
            <v>GRAMO</v>
          </cell>
        </row>
        <row r="135">
          <cell r="E135">
            <v>2003043</v>
          </cell>
          <cell r="F135" t="str">
            <v>TARTRATO DE SODIO Y POTASIO R.A. (NaKC4H4O6) . 4H2O. FRASCO 100  -  250 G. GRAMO</v>
          </cell>
          <cell r="G135" t="str">
            <v>GRAMO</v>
          </cell>
        </row>
        <row r="136">
          <cell r="E136">
            <v>2003044</v>
          </cell>
          <cell r="F136" t="str">
            <v>TIOSULFATO DE SODIO R.A.  (Na2 S2 O3) .   FRASCO 250  -  500 G. GRAMO</v>
          </cell>
          <cell r="G136" t="str">
            <v>GRAMO</v>
          </cell>
        </row>
        <row r="137">
          <cell r="E137">
            <v>2003045</v>
          </cell>
          <cell r="F137" t="str">
            <v>TUNGSTATO DE SODIO R.A.  (NaWO4.2H2O) . FRASCO 100  -  250 G. GRAMO</v>
          </cell>
          <cell r="G137" t="str">
            <v>GRAMO</v>
          </cell>
        </row>
        <row r="138">
          <cell r="E138">
            <v>2003046</v>
          </cell>
          <cell r="F138" t="str">
            <v>UREA CRISTALES R.A.  (NH2) 2CO. FRASCO 500  -  1000 G. GRAMO</v>
          </cell>
          <cell r="G138" t="str">
            <v>GRAMO</v>
          </cell>
        </row>
        <row r="139">
          <cell r="E139">
            <v>2003047</v>
          </cell>
          <cell r="F139" t="str">
            <v>YODATO DE POTASIO R.A.  (KlO3) .FRASCO 100  -  250 G. GRAMO</v>
          </cell>
          <cell r="G139" t="str">
            <v>GRAMO</v>
          </cell>
        </row>
        <row r="140">
          <cell r="E140">
            <v>2003048</v>
          </cell>
          <cell r="F140" t="str">
            <v>YODO RESUBLIMADO R.A. (CRISTALES) I2. FRASCO 25  -  250 G. GRAMO</v>
          </cell>
          <cell r="G140" t="str">
            <v>GRAMO</v>
          </cell>
        </row>
        <row r="141">
          <cell r="E141">
            <v>2003049</v>
          </cell>
          <cell r="F141" t="str">
            <v>YODURO DE POTASIO R.A.  (KI) . FRASCO 100  -  250 G. GRAMO</v>
          </cell>
          <cell r="G141" t="str">
            <v>GRAMO</v>
          </cell>
        </row>
        <row r="142">
          <cell r="E142">
            <v>2003050</v>
          </cell>
          <cell r="F142" t="str">
            <v>YODURO DE SODIO R.A.  (NaI) .   FRASCO 100 - 250 G. GRAMO</v>
          </cell>
          <cell r="G142" t="str">
            <v>GRAMO</v>
          </cell>
        </row>
        <row r="143">
          <cell r="E143">
            <v>2003051</v>
          </cell>
          <cell r="F143" t="str">
            <v>DIMETIL AMINO BENZALDEHIDO  ( (CH3)  NC6 H4.CHO)      FRASCO 100  -  250 G. GRAMO</v>
          </cell>
          <cell r="G143" t="str">
            <v>GRAMO</v>
          </cell>
        </row>
        <row r="144">
          <cell r="E144">
            <v>2003052</v>
          </cell>
          <cell r="F144" t="str">
            <v>FOSFATO DE POTASIO TRIBASICO. FRASCO 250  -  500 G. GRAMO</v>
          </cell>
          <cell r="G144" t="str">
            <v>GRAMO</v>
          </cell>
        </row>
        <row r="145">
          <cell r="E145">
            <v>2003053</v>
          </cell>
          <cell r="F145" t="str">
            <v>IMIDAZOL  (C3H4N2) .  FRASCO 100  -  250 G. GRAMO</v>
          </cell>
          <cell r="G145" t="str">
            <v>GRAMO</v>
          </cell>
        </row>
        <row r="146">
          <cell r="E146">
            <v>2003054</v>
          </cell>
          <cell r="F146" t="str">
            <v>CLORURO DE MERCURIO  (HgCl2)  FRASCO 100  -  500 G.GRAMO</v>
          </cell>
          <cell r="G146" t="str">
            <v>GRAMO</v>
          </cell>
        </row>
        <row r="147">
          <cell r="E147">
            <v>2003055</v>
          </cell>
          <cell r="F147" t="str">
            <v>TETRACLORHIDRATO DIAMINO BENCIDINA  (DAB) . FRASCO 50 TABLETAS  (100 mg C/U O SU EQUIVALENTE) . TABLETA</v>
          </cell>
          <cell r="G147" t="str">
            <v>TABLETA</v>
          </cell>
        </row>
        <row r="148">
          <cell r="E148">
            <v>2003056</v>
          </cell>
          <cell r="F148" t="str">
            <v>FOSFATO DE NAFTILO. FRASCO DE 25  -  250 G. GRAMO</v>
          </cell>
          <cell r="G148" t="str">
            <v>GRAMO</v>
          </cell>
        </row>
        <row r="149">
          <cell r="E149">
            <v>2003057</v>
          </cell>
          <cell r="F149" t="str">
            <v>HIDROXIMETILAMINOMETANO.  (C4H11NO3) .  FRASCO 500  -  1000 G. GRAMO</v>
          </cell>
          <cell r="G149" t="str">
            <v>GRAMO</v>
          </cell>
        </row>
        <row r="150">
          <cell r="E150">
            <v>2003058</v>
          </cell>
          <cell r="F150" t="str">
            <v>ACETATO DE SODIO ANHIDRO.  (CH3COONa)  FRASCO 250  -  500 G. GRAMO</v>
          </cell>
          <cell r="G150" t="str">
            <v>GRAMO</v>
          </cell>
        </row>
        <row r="151">
          <cell r="E151">
            <v>2003059</v>
          </cell>
          <cell r="F151" t="str">
            <v>CLORURO DE BARIO  (BaCl2) .  FRASCO 50  -  125 G. GRAMO</v>
          </cell>
          <cell r="G151" t="str">
            <v>GRAMO</v>
          </cell>
        </row>
        <row r="152">
          <cell r="E152">
            <v>2003060</v>
          </cell>
          <cell r="F152" t="str">
            <v>MALTOSA R.A. FRASCO 25  -  50 G. GRAMO</v>
          </cell>
          <cell r="G152" t="str">
            <v>GRAMO</v>
          </cell>
        </row>
        <row r="153">
          <cell r="E153">
            <v>2003061</v>
          </cell>
          <cell r="F153" t="str">
            <v>BORATO DE SODIO. (Na2BO7.10H2O) . FRASCO 250  -  500 G. GRAMO</v>
          </cell>
          <cell r="G153" t="str">
            <v>GRAMO</v>
          </cell>
        </row>
        <row r="154">
          <cell r="E154">
            <v>2003062</v>
          </cell>
          <cell r="F154" t="str">
            <v>NITRATO DE URANIO. (Uo2  (NO3) 2 ) . FRASCO 5  -  25 G. GRAMO</v>
          </cell>
          <cell r="G154" t="str">
            <v>GRAMO</v>
          </cell>
        </row>
        <row r="155">
          <cell r="E155">
            <v>2003063</v>
          </cell>
          <cell r="F155" t="str">
            <v>BROMURO DE POTASIO  (BrK) .  FRASCO 100  -  500 G. GRAMO</v>
          </cell>
          <cell r="G155" t="str">
            <v>GRAMO</v>
          </cell>
        </row>
        <row r="156">
          <cell r="E156">
            <v>2003064</v>
          </cell>
          <cell r="F156" t="str">
            <v>SULFURO DE SODIO EN CRISTALES  (Na2S) . FRASCO 100  -  500 G. GRAMO</v>
          </cell>
          <cell r="G156" t="str">
            <v>GRAMO</v>
          </cell>
        </row>
        <row r="157">
          <cell r="E157">
            <v>2003065</v>
          </cell>
          <cell r="F157" t="str">
            <v>CARBONATO DE POTASIO  (K2CO3) .  FRASCO 100  -  500 G. GRAMO</v>
          </cell>
          <cell r="G157" t="str">
            <v>GRAMO</v>
          </cell>
        </row>
        <row r="158">
          <cell r="E158">
            <v>2003066</v>
          </cell>
          <cell r="F158" t="str">
            <v>YODATO DE SODIO  (NaI) .  FRASCO 100  -  250 G. GRAMO</v>
          </cell>
          <cell r="G158" t="str">
            <v>GRAMO</v>
          </cell>
        </row>
        <row r="159">
          <cell r="E159">
            <v>2003067</v>
          </cell>
          <cell r="F159" t="str">
            <v>CLORURO DE ALUMINIO  (AlCl3) .  FRASCO 100  -  250 G. GRAMO</v>
          </cell>
          <cell r="G159" t="str">
            <v>GRAMO</v>
          </cell>
        </row>
        <row r="160">
          <cell r="E160">
            <v>2003068</v>
          </cell>
          <cell r="F160" t="str">
            <v>ACETATO DE SODIO ANHIDRO  (CH3COONa) . FRASCO 25  -  100 G. GRAMO</v>
          </cell>
          <cell r="G160" t="str">
            <v>GRAMO</v>
          </cell>
        </row>
        <row r="161">
          <cell r="E161">
            <v>2003069</v>
          </cell>
          <cell r="F161" t="str">
            <v>LACTOSA. FRASCO 100  -  250 G. GRAMO</v>
          </cell>
          <cell r="G161" t="str">
            <v>GRAMO</v>
          </cell>
        </row>
        <row r="162">
          <cell r="E162">
            <v>2004000</v>
          </cell>
          <cell r="F162" t="str">
            <v>ACETONA R.A.  (C6 H6O) .  FRASCO 1  -  5 L. LITRO</v>
          </cell>
          <cell r="G162" t="str">
            <v>LITRO</v>
          </cell>
        </row>
        <row r="163">
          <cell r="E163">
            <v>2004001</v>
          </cell>
          <cell r="F163" t="str">
            <v>ALCOHOL BUTILICO  (C4H10O) .  FRASCO 500  -  1000 mL. MILILITRO</v>
          </cell>
          <cell r="G163" t="str">
            <v>MILILITRO</v>
          </cell>
        </row>
        <row r="164">
          <cell r="E164">
            <v>2004002</v>
          </cell>
          <cell r="F164" t="str">
            <v>ETER SULFURICO  (ETER ETILICO)   (C4 H10O) .   FRASCO 500  -  1000 mL.  MILILITRO</v>
          </cell>
          <cell r="G164" t="str">
            <v>mL</v>
          </cell>
        </row>
        <row r="165">
          <cell r="E165">
            <v>2004003</v>
          </cell>
          <cell r="F165" t="str">
            <v>FORMALINA  (HCHO) . FRASCO 1  -  5 L. LITRO</v>
          </cell>
          <cell r="G165" t="str">
            <v>LITRO</v>
          </cell>
        </row>
        <row r="166">
          <cell r="E166">
            <v>2004004</v>
          </cell>
          <cell r="F166" t="str">
            <v>GLICERINA R.A.  (C3H8O3) . FRASCO 1  -  20 L. LITRO</v>
          </cell>
          <cell r="G166" t="str">
            <v>LITRO</v>
          </cell>
        </row>
        <row r="167">
          <cell r="E167">
            <v>2004005</v>
          </cell>
          <cell r="F167" t="str">
            <v>PARALDEHIDO  (PARADIMETILAMINOBENZALDEHIDO)   ( (CH3) 2 NC6H4CHO) . FRASCO DE 100  -  250 mL.  MILILITRO</v>
          </cell>
          <cell r="G167" t="str">
            <v>mL</v>
          </cell>
        </row>
        <row r="168">
          <cell r="E168">
            <v>2004006</v>
          </cell>
          <cell r="F168" t="str">
            <v>PEROXIDO DE HIDROGENO AL 30%  (H202)   (AGUA OXIGENADA)  FRASCO 100  -  1000 mL.  MILILITRO</v>
          </cell>
          <cell r="G168" t="str">
            <v>MILILITRO</v>
          </cell>
        </row>
        <row r="169">
          <cell r="E169">
            <v>2004007</v>
          </cell>
          <cell r="F169" t="str">
            <v>PROPILENGLICOL  (PROPANO 1 - 2 DIOL)   (C3H8O2)  AL 100%.  FRASCO 50  -  100 mL.  MILILITRO</v>
          </cell>
          <cell r="G169" t="str">
            <v>mL</v>
          </cell>
        </row>
        <row r="170">
          <cell r="E170">
            <v>2004008</v>
          </cell>
          <cell r="F170" t="str">
            <v>TOLUENO  (C7H8) .  FRASCO 500  -  1000 mL.  MILILITRO</v>
          </cell>
          <cell r="G170" t="str">
            <v>MILILITRO</v>
          </cell>
        </row>
        <row r="171">
          <cell r="E171">
            <v>2004009</v>
          </cell>
          <cell r="F171" t="str">
            <v>POLIOXIETILEN SORBITANO MONO - OLEATO  (PARA SINTESIS)  TWEEN 80. FRASCO 25  -  100 mL.  MILILITRO</v>
          </cell>
          <cell r="G171" t="str">
            <v>MILILITRO</v>
          </cell>
        </row>
        <row r="172">
          <cell r="E172">
            <v>2004010</v>
          </cell>
          <cell r="F172" t="str">
            <v>XILOL  FRASCO DE 5  -  25 L. LITRO</v>
          </cell>
          <cell r="G172" t="str">
            <v>LITRO</v>
          </cell>
        </row>
        <row r="173">
          <cell r="E173">
            <v>2004011</v>
          </cell>
          <cell r="F173" t="str">
            <v>ETILENGLICOL  (C2 H6 O2) .    FRASCO 50 - 100 mL.  MILILITRO</v>
          </cell>
          <cell r="G173" t="str">
            <v>MILILITRO</v>
          </cell>
        </row>
        <row r="174">
          <cell r="E174">
            <v>2004012</v>
          </cell>
          <cell r="F174" t="str">
            <v>ALCOHOL ISOPROPILICO  (2 - PROPANOL)   (CH3CHOHCH3) . FRASCO 1  -  5 L. LITRO</v>
          </cell>
          <cell r="G174" t="str">
            <v>LITRO</v>
          </cell>
        </row>
        <row r="175">
          <cell r="E175">
            <v>2004013</v>
          </cell>
          <cell r="F175" t="str">
            <v>ALCOHOL METILICO  (CH3OH) . FRASCO DE 1  -  5 L. LITRO</v>
          </cell>
          <cell r="G175" t="str">
            <v>LITRO</v>
          </cell>
        </row>
        <row r="176">
          <cell r="E176">
            <v>2004014</v>
          </cell>
          <cell r="F176" t="str">
            <v xml:space="preserve">ALCOHOL ETILICO 94  -  96%  (C2H6O)  FRASCO DE 1 - 5 L. LITRO </v>
          </cell>
          <cell r="G176" t="str">
            <v>LITRO</v>
          </cell>
        </row>
        <row r="177">
          <cell r="E177">
            <v>2004015</v>
          </cell>
          <cell r="F177" t="str">
            <v>LIMPIADOR ALCALINO PARA METALES Y SUPERFICIES DE LABORATORIO. FRASCO DE 1  -  5 L. LITRO</v>
          </cell>
          <cell r="G177" t="str">
            <v>LITRO</v>
          </cell>
        </row>
        <row r="178">
          <cell r="E178">
            <v>2005000</v>
          </cell>
          <cell r="F178" t="str">
            <v xml:space="preserve">SOLUCIÓN ESTANDAR PARA MEDIR pH 4.0 QUE CONTENGA COLOR Y ANTIHONGOS. FRASCO DE 100 mL O MAS. MILILITRO. </v>
          </cell>
          <cell r="G178" t="str">
            <v>mL</v>
          </cell>
        </row>
        <row r="179">
          <cell r="E179">
            <v>2005001</v>
          </cell>
          <cell r="F179" t="str">
            <v xml:space="preserve">SOLUCIÓN ESTANDAR PARA MEDIR pH 7.0 QUE CONTENGA COLOR Y ANTIHONGOS. FRASCO DE 100 mL O MAS. MILILITRO. </v>
          </cell>
          <cell r="G179" t="str">
            <v>mL</v>
          </cell>
        </row>
        <row r="180">
          <cell r="E180">
            <v>2005002</v>
          </cell>
          <cell r="F180" t="str">
            <v>SOLUCIÓN ESTANDAR PARA MEDIR pH 10.0 QUE CONTENGA COLOR Y ANTIHONGOS. FRASCO DE 100 mL O MAS. MILILITRO</v>
          </cell>
          <cell r="G180" t="str">
            <v>mL</v>
          </cell>
        </row>
        <row r="181">
          <cell r="E181">
            <v>2005003</v>
          </cell>
          <cell r="F181" t="str">
            <v>ESTANDAR A - 1:   (Na, K, Cl,  TCO2, Li)   (86/2/80/8/0.3)   PARA EQUIPO NOVA CRT 4 Y 5.  FRASCO DE 100  -   200  mL. MILILITRO</v>
          </cell>
          <cell r="G181" t="str">
            <v>mL</v>
          </cell>
        </row>
        <row r="182">
          <cell r="E182">
            <v>2005004</v>
          </cell>
          <cell r="F182" t="str">
            <v>ESTANDAR A - 2:  (Na, K, Cl,  TCO2,  Li)  (110/4/100/15/1.0) PARA EQUIPO NOVA CRT 4 Y 5.  FRASCO DE 100  -  200  mL. MILILITRO</v>
          </cell>
          <cell r="G182" t="str">
            <v>mL</v>
          </cell>
        </row>
        <row r="183">
          <cell r="E183">
            <v>2005005</v>
          </cell>
          <cell r="F183" t="str">
            <v>ESTANDAR A - 3:   (Na, K, Cl, TCO2, Li)  (142/6/120/30/2.0)   PARA EQUIPO NOVA CRT 4 Y 5.  FRASCO DE 100  -  200  mL. MILILITRO</v>
          </cell>
          <cell r="G183" t="str">
            <v>mL</v>
          </cell>
        </row>
        <row r="184">
          <cell r="E184">
            <v>2005006</v>
          </cell>
          <cell r="F184" t="str">
            <v>ESTANDAR A - 4:   (Na,  K,  Cl,  TCO2,  Li)  (189/ 8/ 160/ 40/ 3.0)  PARA EQUIPO NOVA CRT 4 Y 5.  FRASCO DE 100  -  200  mL. MILILITRO</v>
          </cell>
          <cell r="G184" t="str">
            <v>mL</v>
          </cell>
        </row>
        <row r="185">
          <cell r="E185">
            <v>2005007</v>
          </cell>
          <cell r="F185" t="str">
            <v>ESTANDAR A - 6:   (ORINA Na/K ALTO)  (100/100)  PARA      EQUIPO NOVA CRT 4 Y 5  FRASCO DE 100  -  200 mL. MILILITRO</v>
          </cell>
          <cell r="G185" t="str">
            <v>MILILITRO</v>
          </cell>
        </row>
        <row r="186">
          <cell r="E186">
            <v>2005008</v>
          </cell>
          <cell r="F186" t="str">
            <v>ESTANDAR PARA FIBRINOGENO.   FRASCO DE 1  -  5 mL. MILILITRO</v>
          </cell>
          <cell r="G186" t="str">
            <v>MILILITRO</v>
          </cell>
        </row>
        <row r="187">
          <cell r="E187">
            <v>2005009</v>
          </cell>
          <cell r="F187" t="str">
            <v>ESTANDAR PARA OSMOMETRO 100 mOsm/Kg H20. FRASCO DE 5  -  250 mL. MILILITRO</v>
          </cell>
          <cell r="G187" t="str">
            <v>MILILITRO</v>
          </cell>
        </row>
        <row r="188">
          <cell r="E188">
            <v>2005010</v>
          </cell>
          <cell r="F188" t="str">
            <v>ESTANDAR PARA OSMOMETRO 500 mOsm/Kg H20.  FRASCO DE 5  -  250 mL. MILILITRO</v>
          </cell>
          <cell r="G188" t="str">
            <v>MILILITRO</v>
          </cell>
        </row>
        <row r="189">
          <cell r="E189">
            <v>2006000</v>
          </cell>
          <cell r="F189" t="str">
            <v>ACIDO FOLICO. SET DE 100 PRUEBAS O MAS.PRUEBA</v>
          </cell>
          <cell r="G189" t="str">
            <v>PRUEBA</v>
          </cell>
        </row>
        <row r="190">
          <cell r="E190">
            <v>2006001</v>
          </cell>
          <cell r="F190" t="str">
            <v>ANALISIS DE CALCULOS. SET DE 50  -  100 PRUEBAS. PRUEBA</v>
          </cell>
          <cell r="G190" t="str">
            <v>PRUEBA</v>
          </cell>
        </row>
        <row r="191">
          <cell r="E191">
            <v>2006002</v>
          </cell>
          <cell r="F191" t="str">
            <v>ANTICUERPOS PARA ENTAMOEBA HISTOLYTICA. SET DE 20 PRUEBAS O MAS. PRUEBA</v>
          </cell>
          <cell r="G191" t="str">
            <v>PRUEBA</v>
          </cell>
        </row>
        <row r="192">
          <cell r="E192">
            <v>2006003</v>
          </cell>
          <cell r="F192" t="str">
            <v>DETERMINACION CUANTITATIVA DE ANTICUERPOS ANTI - TIROGLOBULINA  (ANTI TG) ,  POR ELISA U OTRO METODO. SET DE 50  -  100 PRUEBAS. PRUEBA</v>
          </cell>
          <cell r="G192" t="str">
            <v>PRUEBA</v>
          </cell>
        </row>
        <row r="193">
          <cell r="E193">
            <v>2006004</v>
          </cell>
          <cell r="F193" t="str">
            <v>ANTIGENO DE SUPERFICIE PARA VIRUS DE HEPATITIS "B".  SET DE 100 PRUEBAS O MAS. PRUEBA</v>
          </cell>
          <cell r="G193" t="str">
            <v>PRUEBA</v>
          </cell>
        </row>
        <row r="194">
          <cell r="E194">
            <v>2006005</v>
          </cell>
          <cell r="F194" t="str">
            <v>ANTIESTREPTOLISINA "O". SET DE 50 PRUEBAS O MAS. PRUEBA</v>
          </cell>
          <cell r="G194" t="str">
            <v>PRUEBA</v>
          </cell>
        </row>
        <row r="195">
          <cell r="E195">
            <v>2006006</v>
          </cell>
          <cell r="F195" t="str">
            <v>CALCIO COLORIMETRICO U OTRA METODOLOGIA. SET DE 20 PRUEBAS O MAS. PRUEBA</v>
          </cell>
          <cell r="G195" t="str">
            <v>PRUEBA</v>
          </cell>
        </row>
        <row r="196">
          <cell r="E196">
            <v>2006007</v>
          </cell>
          <cell r="F196" t="str">
            <v>CETOSTEROIDES 17.    SET DE 100 PRUEBAS  O MAS. PRUEBA</v>
          </cell>
          <cell r="G196" t="str">
            <v>PRUEBA</v>
          </cell>
        </row>
        <row r="197">
          <cell r="E197">
            <v>2006008</v>
          </cell>
          <cell r="F197" t="str">
            <v>CREATIN  FOSFOKINASA  (C.P.K.) ,   (U.V.) .   SET DE 20 PRUEBAS O MAS. PRUEBA</v>
          </cell>
          <cell r="G197" t="str">
            <v>PRUEBA</v>
          </cell>
        </row>
        <row r="198">
          <cell r="E198">
            <v>2006009</v>
          </cell>
          <cell r="F198" t="str">
            <v>DESHIDROGENASA LACTICA  (LDH)   (U.V.)  SET DE 20 PRUEBAS O MAS. PRUEBA</v>
          </cell>
          <cell r="G198" t="str">
            <v>PRUEBA</v>
          </cell>
        </row>
        <row r="199">
          <cell r="E199">
            <v>2006010</v>
          </cell>
          <cell r="F199" t="str">
            <v>DIGOXINA. SET DE 50 PRUEBAS O MAS. PRUEBA</v>
          </cell>
          <cell r="G199" t="str">
            <v>PRUEBA</v>
          </cell>
        </row>
        <row r="200">
          <cell r="E200">
            <v>2006011</v>
          </cell>
          <cell r="F200" t="str">
            <v>ESTRIOL. SET DE 50 PRUEBAS O MAS. PRUEBA</v>
          </cell>
          <cell r="G200" t="str">
            <v>PRUEBA</v>
          </cell>
        </row>
        <row r="201">
          <cell r="E201">
            <v>2006012</v>
          </cell>
          <cell r="F201" t="str">
            <v>FOSFATASA ACIDA TOTAL Y PROSTATICA,  CINETICA TIPO MONO - TEST. SET DE 20  -  50 PRUEBAS. PRUEBA</v>
          </cell>
          <cell r="G201" t="str">
            <v>PRUEBA</v>
          </cell>
        </row>
        <row r="202">
          <cell r="E202">
            <v>2006013</v>
          </cell>
          <cell r="F202" t="str">
            <v>FOSFATASA ALCALINA U.V. SET DE 20 PRUEBAS O MAS. PRUEBA</v>
          </cell>
          <cell r="G202" t="str">
            <v>PRUEBA</v>
          </cell>
        </row>
        <row r="203">
          <cell r="E203">
            <v>2006014</v>
          </cell>
          <cell r="F203" t="str">
            <v>FIBRINOGENO. VIAL 1  -  2 mL. PRUEBA</v>
          </cell>
          <cell r="G203" t="str">
            <v>PRUEBA</v>
          </cell>
        </row>
        <row r="204">
          <cell r="E204">
            <v>2006015</v>
          </cell>
          <cell r="F204" t="str">
            <v>GLUCOSA - 6 FOSFATO DESHIDROGENASA COLORIMETRICO U  OTRO METODO.  (INCLUIR CONTROLES)  SET DE 20  -  50 PRUEBAS. PRUEBA</v>
          </cell>
          <cell r="G204" t="str">
            <v>PRUEBA</v>
          </cell>
        </row>
        <row r="205">
          <cell r="E205">
            <v>2006016</v>
          </cell>
          <cell r="F205" t="str">
            <v>GONADOTROPINA CORIONICA HUMANA INMUNOLOGICA,  EN ORINA,  QUE DETECTE CONCENTRACIONES DE 200 - 500 UI/L O SU EQUIVALENTE EN mU/mL SET DE 50 PRUEBAS O MAS. PRUEBA</v>
          </cell>
          <cell r="G205" t="str">
            <v>PRUEBA</v>
          </cell>
        </row>
        <row r="206">
          <cell r="E206">
            <v>2006017</v>
          </cell>
          <cell r="F206" t="str">
            <v>GONADOTROPINA CORIONICA HUMANA SUB UNIDAD BETA     (ELISA U OTRO METODO) . SET DE 100 PRUEBAS O MAS. PRUEBA</v>
          </cell>
          <cell r="G206" t="str">
            <v>PRUEBA</v>
          </cell>
        </row>
        <row r="207">
          <cell r="E207">
            <v>2006018</v>
          </cell>
          <cell r="F207" t="str">
            <v>HIDROXICORTICOSTEROIDE 17  -  11.  SET DE 50 PRUEBAS O  MAS. PRUEBA</v>
          </cell>
          <cell r="G207" t="str">
            <v>PRUEBA</v>
          </cell>
        </row>
        <row r="208">
          <cell r="E208">
            <v>2006019</v>
          </cell>
          <cell r="F208" t="str">
            <v>HIERRO TOTAL   SET DE 100 PRUEBAS  O MAS. PRUEBA</v>
          </cell>
          <cell r="G208" t="str">
            <v>PRUEBA</v>
          </cell>
        </row>
        <row r="209">
          <cell r="E209">
            <v>2006020</v>
          </cell>
          <cell r="F209" t="str">
            <v>HORMONA ESTIMULANTE DE LA TIROIDES  (T.S.H.) .  SET DE 100 PRUEBAS O MAS. PRUEBA</v>
          </cell>
          <cell r="G209" t="str">
            <v>PRUEBA</v>
          </cell>
        </row>
        <row r="210">
          <cell r="E210">
            <v>2006021</v>
          </cell>
          <cell r="F210" t="str">
            <v>HORMONA FOLICULO ESTIMULANTE  (FSH) . SET DE 100 PRUEBAS O MAS. PRUEBA</v>
          </cell>
          <cell r="G210" t="str">
            <v>PRUEBA</v>
          </cell>
        </row>
        <row r="211">
          <cell r="E211">
            <v>2006022</v>
          </cell>
          <cell r="F211" t="str">
            <v>HORMONA LUTEINIZANTE  (L H) .   SET DE 100 PRUEBAS O MAS. PRUEBA</v>
          </cell>
          <cell r="G211" t="str">
            <v>PRUEBA</v>
          </cell>
        </row>
        <row r="212">
          <cell r="E212">
            <v>2006023</v>
          </cell>
          <cell r="F212" t="str">
            <v>DETECCION DE ANTICUERPOS ANTI HISTOPLASMA CAPSULATUM. SET DE 50 PRUEBAS O MAS. PRUEBA</v>
          </cell>
          <cell r="G212" t="str">
            <v>PRUEBA</v>
          </cell>
        </row>
        <row r="213">
          <cell r="E213">
            <v>2006024</v>
          </cell>
          <cell r="F213" t="str">
            <v>PROTEINA "C" REACTIVA  (PCR) .   SET DE 20 PRUEBAS O MAS. PRUEBA</v>
          </cell>
          <cell r="G213" t="str">
            <v>PRUEBA</v>
          </cell>
        </row>
        <row r="214">
          <cell r="E214">
            <v>2006025</v>
          </cell>
          <cell r="F214" t="str">
            <v>FACTOR REUMATOIDE  (LATEX R.A.)   SET DE 50 PRUEBAS  O MAS. PRUEBA</v>
          </cell>
          <cell r="G214" t="str">
            <v>PRUEBA</v>
          </cell>
        </row>
        <row r="215">
          <cell r="E215">
            <v>2006026</v>
          </cell>
          <cell r="F215" t="str">
            <v>DETECCION DE ANTICUERPOS HETEROFILOS  (MONONUCLEOSIS INFECCIOSA) . SET DE 25 PRUEBAS O MAS. PRUEBA</v>
          </cell>
          <cell r="G215" t="str">
            <v>PRUEBA</v>
          </cell>
        </row>
        <row r="216">
          <cell r="E216">
            <v>2006027</v>
          </cell>
          <cell r="F216" t="str">
            <v>NITROGENO UREICO COLORIMETRICO U OTRO METODO. SET DE 50  -  100 PRUEBAS. PRUEBA</v>
          </cell>
          <cell r="G216" t="str">
            <v>PRUEBA</v>
          </cell>
        </row>
        <row r="217">
          <cell r="E217">
            <v>2006028</v>
          </cell>
          <cell r="F217" t="str">
            <v>PROLACTINA. SET DE 100 PRUEBAS O MAS. PRUEBA</v>
          </cell>
          <cell r="G217" t="str">
            <v>PRUEBA</v>
          </cell>
        </row>
        <row r="218">
          <cell r="E218">
            <v>2006029</v>
          </cell>
          <cell r="F218" t="str">
            <v>PROTROMBINA  (TP) INDICE DE SENSIBILIDAD INTERNACIONAL  (ISI)  1.2 - 2.0  FRASCO DE 1  -  2 mL. PRUEBA</v>
          </cell>
          <cell r="G218" t="str">
            <v>PRUEBA</v>
          </cell>
        </row>
        <row r="219">
          <cell r="E219">
            <v>2006030</v>
          </cell>
          <cell r="F219" t="str">
            <v>PRUEBA RAPIDA CUANTITATIVA PARA DETECCION DE REAGINAS PARA TREPONEMA PALLIDUM  (R.P.R.) . SET DESCARTABLE DE  100 PRUEBAS O MAS. PRUEBA</v>
          </cell>
          <cell r="G219" t="str">
            <v>PRUEBA</v>
          </cell>
        </row>
        <row r="220">
          <cell r="E220">
            <v>2006031</v>
          </cell>
          <cell r="F220" t="str">
            <v>REACTIVO PARA DIAGNOSTICAR SANGRE OCULTA EN HECES. FRASCO 25 - 100 PRUEBAS. PRUEBA</v>
          </cell>
          <cell r="G220" t="str">
            <v>PRUEBA</v>
          </cell>
        </row>
        <row r="221">
          <cell r="E221">
            <v>2006032</v>
          </cell>
          <cell r="F221" t="str">
            <v>TIRAS REACTIVAS PARA DETERMINAR DENSIDAD Y DIFERENTES SUSTANCIAS QUIMICAS EN ORINA. FRASCO DE 50 O MAS TIRAS. TIRA</v>
          </cell>
          <cell r="G221" t="str">
            <v>TIRA</v>
          </cell>
        </row>
        <row r="222">
          <cell r="E222">
            <v>2006033</v>
          </cell>
          <cell r="F222" t="str">
            <v>TROMBINA. FRASCO VIAL 1  -  2 mL. PRUEBA</v>
          </cell>
          <cell r="G222" t="str">
            <v>PRUEBA</v>
          </cell>
        </row>
        <row r="223">
          <cell r="E223">
            <v>2006034</v>
          </cell>
          <cell r="F223" t="str">
            <v>PRUEBA DE MICROFLOCULACION DE CARDIOLIPINA  (VDRL)  SET DE 25 PRUEBAS  O  MAS. PRUEBA</v>
          </cell>
          <cell r="G223" t="str">
            <v>PRUEBA</v>
          </cell>
        </row>
        <row r="224">
          <cell r="E224">
            <v>2006035</v>
          </cell>
          <cell r="F224" t="str">
            <v>DETECCION DE ANTICUERPOS CONTRA EL VIRUS DE LA INMUNODEFICIENCIA ADQUIRIDA (VIH) ELISA O SIMILAR. SET DE 100 PRUEBAS O MAS. PRUEBA</v>
          </cell>
          <cell r="G224" t="str">
            <v>PRUEBA</v>
          </cell>
        </row>
        <row r="225">
          <cell r="E225">
            <v>2006036</v>
          </cell>
          <cell r="F225" t="str">
            <v>TIRAS REACTIVAS PARA DETERMINAR SUSTANCIAS QUIMICAS EN ORINA  (INCLUIR EQUIPO LECTOR) . FRASCO DE 50 TIRAS O MAS. PRUEBA</v>
          </cell>
          <cell r="G225" t="str">
            <v>PRUEBA</v>
          </cell>
        </row>
        <row r="226">
          <cell r="E226">
            <v>2006037</v>
          </cell>
          <cell r="F226" t="str">
            <v>DETECCION DE SALMONELLA TYPHY  (INMUNOFLUORESCENCIA DIRECTA) . SET DE 50  -  100 PRUEBAS. PRUEBA</v>
          </cell>
          <cell r="G226" t="str">
            <v>PRUEBA</v>
          </cell>
        </row>
        <row r="227">
          <cell r="E227">
            <v>2006038</v>
          </cell>
          <cell r="F227" t="str">
            <v xml:space="preserve">TIEMPO DE TROMBOPLASTINA PARCIAL  (TTP) . VIAL DE 5  -  10 mL. PRUEBA </v>
          </cell>
          <cell r="G227" t="str">
            <v>PRUEBA</v>
          </cell>
        </row>
        <row r="228">
          <cell r="E228">
            <v>2006039</v>
          </cell>
          <cell r="F228" t="str">
            <v>FIBRINOGENO.  VIAL DE 1  -  5 mL. PRUEBA</v>
          </cell>
          <cell r="G228" t="str">
            <v>PRUEBA</v>
          </cell>
        </row>
        <row r="229">
          <cell r="E229">
            <v>2006040</v>
          </cell>
          <cell r="F229" t="str">
            <v>COLINESTERASA.  SET DE 20 PRUEBAS  O  MAS. PRUEBA</v>
          </cell>
          <cell r="G229" t="str">
            <v>PRUEBA</v>
          </cell>
        </row>
        <row r="230">
          <cell r="E230">
            <v>2006041</v>
          </cell>
          <cell r="F230" t="str">
            <v>FOSFATASA ALCALINA LEUCOCITARIA. SET DE 10 PRUEBAS O  MAS. PRUEBA</v>
          </cell>
          <cell r="G230" t="str">
            <v>PRUEBA</v>
          </cell>
        </row>
        <row r="231">
          <cell r="E231">
            <v>2006042</v>
          </cell>
          <cell r="F231" t="str">
            <v>GLUCOSA PARA EQUIPO AUTOMATIZADO,  SET DE 100 PRUEBAS O MAS. PRUEBA</v>
          </cell>
          <cell r="G231" t="str">
            <v>PRUEBA</v>
          </cell>
        </row>
        <row r="232">
          <cell r="E232">
            <v>2006043</v>
          </cell>
          <cell r="F232" t="str">
            <v>MAGNESIO PARA EQUIPO AUTOMATIZADO,  SET DE 100 PRUEBAS O MAS. PRUEBA</v>
          </cell>
          <cell r="G232" t="str">
            <v>PRUEBA</v>
          </cell>
        </row>
        <row r="233">
          <cell r="E233">
            <v>2006044</v>
          </cell>
          <cell r="F233" t="str">
            <v>MAGNESIO COLORIMETRICO U OTRO METODO.  SET DE 20  PRUEBAS  O  MAS. PRUEBA</v>
          </cell>
          <cell r="G233" t="str">
            <v>PRUEBA</v>
          </cell>
        </row>
        <row r="234">
          <cell r="E234">
            <v>2006045</v>
          </cell>
          <cell r="F234" t="str">
            <v>PROTROMBINA  (TP)  INDICE DE SENSIBILIDAD INTERNACIONAL  (ISI)   0.9  -  1.18. FRASCO DE 2  -  5 mL. PRUEBA</v>
          </cell>
          <cell r="G234" t="str">
            <v>PRUEBA</v>
          </cell>
        </row>
        <row r="235">
          <cell r="E235">
            <v>2006046</v>
          </cell>
          <cell r="F235" t="str">
            <v>FACTOR II.  SET 20 PRUEBAS O MAS. PRUEBA</v>
          </cell>
          <cell r="G235" t="str">
            <v>PRUEBA</v>
          </cell>
        </row>
        <row r="236">
          <cell r="E236">
            <v>2006047</v>
          </cell>
          <cell r="F236" t="str">
            <v>ACIDO VALPROICO  (MONITOREO DE DROGAS) . SET DE 100 PRUEBAS O MAS. PRUEBA</v>
          </cell>
          <cell r="G236" t="str">
            <v>PRUEBA</v>
          </cell>
        </row>
        <row r="237">
          <cell r="E237">
            <v>2006048</v>
          </cell>
          <cell r="F237" t="str">
            <v>FACTOR VII. SET DE 20 PRUEBAS  O  MAS. PRUEBA</v>
          </cell>
          <cell r="G237" t="str">
            <v>PRUEBA</v>
          </cell>
        </row>
        <row r="238">
          <cell r="E238">
            <v>2006049</v>
          </cell>
          <cell r="F238" t="str">
            <v>FACTOR XIII.   SET DE 20 PRUEBAS  O  MAS. PRUEBA</v>
          </cell>
          <cell r="G238" t="str">
            <v>PRUEBA</v>
          </cell>
        </row>
        <row r="239">
          <cell r="E239">
            <v>2006050</v>
          </cell>
          <cell r="F239" t="str">
            <v>FACTOR VON WILLEBRAND  (ANTIGENO RELACIONADO AL     FACTOR VIII,  LATEX) .  SET DE 20 PRUEBAS O  MAS. PRUEBA</v>
          </cell>
          <cell r="G239" t="str">
            <v>PRUEBA</v>
          </cell>
        </row>
        <row r="240">
          <cell r="E240">
            <v>2006051</v>
          </cell>
          <cell r="F240" t="str">
            <v>DETECCION DE ANTICUERPOS INMUNOGLOBULINA G CONTRA  CITOMEGALOVIRUS.   SET DE 50 PRUEBAS  O  MAS. PRUEBA</v>
          </cell>
          <cell r="G240" t="str">
            <v>PRUEBA</v>
          </cell>
        </row>
        <row r="241">
          <cell r="E241">
            <v>2006052</v>
          </cell>
          <cell r="F241" t="str">
            <v>DETECCION DE ANTICUERPOS INMUNOGLOBULINAS M CONTRA CITOMEGALOVIRUS.  SET DE 50 PRUEBAS  O  MAS. PRUEBA</v>
          </cell>
          <cell r="G241" t="str">
            <v>PRUEBA</v>
          </cell>
        </row>
        <row r="242">
          <cell r="E242">
            <v>2006053</v>
          </cell>
          <cell r="F242" t="str">
            <v>ANTIGENO  CARCINOEMBRIONARIO  (CEA) .   SET DE 100  PRUEBAS  O  MAS. PRUEBA</v>
          </cell>
          <cell r="G242" t="str">
            <v>PRUEBA</v>
          </cell>
        </row>
        <row r="243">
          <cell r="E243">
            <v>2006054</v>
          </cell>
          <cell r="F243" t="str">
            <v>ANTICUERPOS VIRUS DE HEPATITIS "C". SET DE 100 PRUEBAS O MAS. PRUEBA</v>
          </cell>
          <cell r="G243" t="str">
            <v>PRUEBA</v>
          </cell>
        </row>
        <row r="244">
          <cell r="E244">
            <v>2006055</v>
          </cell>
          <cell r="F244" t="str">
            <v>INHIBIDOR DEL PLASMINOGENO.   SET DE 10 PRUEBAS  O MAS. PRUEBA</v>
          </cell>
          <cell r="G244" t="str">
            <v>PRUEBA</v>
          </cell>
        </row>
        <row r="245">
          <cell r="E245">
            <v>2006056</v>
          </cell>
          <cell r="F245" t="str">
            <v>DETECCION DE ANTICUERPOS INMUNOGLOBULINAS G  (IgG)  CONTRA CISTICERCOS.    SET DE 25 PRUEBAS  O MAS. PRUEBA</v>
          </cell>
          <cell r="G245" t="str">
            <v>PRUEBA</v>
          </cell>
        </row>
        <row r="246">
          <cell r="E246">
            <v>2006057</v>
          </cell>
          <cell r="F246" t="str">
            <v>DETECCION ANTICUERPOS ANTI TRIPANOSOMA CRUZI  (CHAGAS) .  (METODO ELISA)  SET DE 50 PRUEBAS O MAS. PRUEBA</v>
          </cell>
          <cell r="G246" t="str">
            <v>PRUEBA</v>
          </cell>
        </row>
        <row r="247">
          <cell r="E247">
            <v>2006058</v>
          </cell>
          <cell r="F247" t="str">
            <v>ALFANAFTIL BUTIRATO ESTERASA LINFOCITARIA. SET 10  -  25 PRUEBAS. PRUEBA</v>
          </cell>
          <cell r="G247" t="str">
            <v>PRUEBA</v>
          </cell>
        </row>
        <row r="248">
          <cell r="E248">
            <v>2006059</v>
          </cell>
          <cell r="F248" t="str">
            <v>ACIDO PERYODICO DE SCHIFF  (PAS) . SET DE 10 PRUEBAS O MAS. PRUEBA</v>
          </cell>
          <cell r="G248" t="str">
            <v>PRUEBA</v>
          </cell>
        </row>
        <row r="249">
          <cell r="E249">
            <v>2006060</v>
          </cell>
          <cell r="F249" t="str">
            <v>ACIDO URICO ENZIMATICO U OTRO METODO. SET DE 50  -  100 PRUEBAS. PRUEBA</v>
          </cell>
          <cell r="G249" t="str">
            <v>PRUEBA</v>
          </cell>
        </row>
        <row r="250">
          <cell r="E250">
            <v>2006061</v>
          </cell>
          <cell r="F250" t="str">
            <v>COLORACION DE HIERRO.   SET DE 25 PRUEBAS  O  MAS. PRUEBA</v>
          </cell>
          <cell r="G250" t="str">
            <v>PRUEBA</v>
          </cell>
        </row>
        <row r="251">
          <cell r="E251">
            <v>2006062</v>
          </cell>
          <cell r="F251" t="str">
            <v>COLORACION DE SUDAN NEGRO "B". SET DE 10 PRUEBAS O MAS. PRUEBA</v>
          </cell>
          <cell r="G251" t="str">
            <v>PRUEBA</v>
          </cell>
        </row>
        <row r="252">
          <cell r="E252">
            <v>2006063</v>
          </cell>
          <cell r="F252" t="str">
            <v>DETECCION DE ANTICUERPOS INMUNOGLOBULINAS M  (IgM)  ANTI CISTICERCOS.  SET DE 25 PRUEBAS O MAS. PRUEBA</v>
          </cell>
          <cell r="G252" t="str">
            <v>PRUEBA</v>
          </cell>
        </row>
        <row r="253">
          <cell r="E253">
            <v>2006064</v>
          </cell>
          <cell r="F253" t="str">
            <v>CORTISOL   SET DE 50  -  100 PRUEBAS. PRUEBA</v>
          </cell>
          <cell r="G253" t="str">
            <v>PRUEBA</v>
          </cell>
        </row>
        <row r="254">
          <cell r="E254">
            <v>2006065</v>
          </cell>
          <cell r="F254" t="str">
            <v>FOSFORO INORGANICO COLORIMETRICO U OTRO  METODO. SET DE 100 PRUEBAS O MAS. PRUEBA</v>
          </cell>
          <cell r="G254" t="str">
            <v>PRUEBA</v>
          </cell>
        </row>
        <row r="255">
          <cell r="E255">
            <v>2006066</v>
          </cell>
          <cell r="F255" t="str">
            <v>DIMEROS "D"  (LATEX)  INCLUYENDO CONTROLES.  SET DE 20 PRUEBAS O MAS. PRUEBA</v>
          </cell>
          <cell r="G255" t="str">
            <v>PRUEBA</v>
          </cell>
        </row>
        <row r="256">
          <cell r="E256">
            <v>2006067</v>
          </cell>
          <cell r="F256" t="str">
            <v>CREATININA COLORIMETRICA U OTRO METODO.   SET  DE 50 PRUEBAS  O  MAS. PRUEBA</v>
          </cell>
          <cell r="G256" t="str">
            <v>PRUEBA</v>
          </cell>
        </row>
        <row r="257">
          <cell r="E257">
            <v>2006068</v>
          </cell>
          <cell r="F257" t="str">
            <v>DIFENILHIDANTOINA  (MONITOREO DE DROGAS) . SET DE 50  -  100 PRUEBAS. PRUEBA</v>
          </cell>
          <cell r="G257" t="str">
            <v>PRUEBA</v>
          </cell>
        </row>
        <row r="258">
          <cell r="E258">
            <v>2006069</v>
          </cell>
          <cell r="F258" t="str">
            <v>GAMMA GLUTAMIL TRANSPEPTIDASA. SET DE 20 PRUEBAS O MAS. PRUEBA</v>
          </cell>
          <cell r="G258" t="str">
            <v>PRUEBA</v>
          </cell>
        </row>
        <row r="259">
          <cell r="E259">
            <v>2006070</v>
          </cell>
          <cell r="F259" t="str">
            <v>FENOBARBITAL. SET DE 100 PRUEBAS O MAS. PRUEBA</v>
          </cell>
          <cell r="G259" t="str">
            <v>PRUEBA</v>
          </cell>
        </row>
        <row r="260">
          <cell r="E260">
            <v>2006071</v>
          </cell>
          <cell r="F260" t="str">
            <v>PEROXIDASA LEUCOCITARIA  (MIELOPEROXIDASA)  SET DE 10 PRUEBAS O MAS. PRUEBA</v>
          </cell>
          <cell r="G260" t="str">
            <v>PRUEBA</v>
          </cell>
        </row>
        <row r="261">
          <cell r="E261">
            <v>2006072</v>
          </cell>
          <cell r="F261" t="str">
            <v>DETECCION DE ANTICUERPOS ANTI TRYPANOSOMA CRUZI  (INMUNOFLUORESCENCIA) .  SET DE 20 PRUEBAS O MAS. PRUEBA</v>
          </cell>
          <cell r="G261" t="str">
            <v>PRUEBA</v>
          </cell>
        </row>
        <row r="262">
          <cell r="E262">
            <v>2006073</v>
          </cell>
          <cell r="F262" t="str">
            <v>LAMINA PORTAOBJETOS CON AREAS DE REACCION PARA LA DETECCION DE ANTICUERPOS ANTI TRIPANOSOMA CRUZI  (IMPRONTA)  INMUNOFLUORESCENCIA. CAJA: 5 LAMINAS O MAS. C/U</v>
          </cell>
          <cell r="G262" t="str">
            <v>C/U</v>
          </cell>
        </row>
        <row r="263">
          <cell r="E263">
            <v>2006074</v>
          </cell>
          <cell r="F263" t="str">
            <v>PROTEINA "C".   SET DE 20 PRUEBAS  O  MAS. PRUEBA</v>
          </cell>
          <cell r="G263" t="str">
            <v>PRUEBA</v>
          </cell>
        </row>
        <row r="264">
          <cell r="E264">
            <v>2006075</v>
          </cell>
          <cell r="F264" t="str">
            <v>PROTEINA "S".  SET DE 20 PRUEBAS O MAS. PRUEBA</v>
          </cell>
          <cell r="G264" t="str">
            <v>PRUEBA</v>
          </cell>
        </row>
        <row r="265">
          <cell r="E265">
            <v>2006076</v>
          </cell>
          <cell r="F265" t="str">
            <v>PRODUCTOS DE DEGRADACION DE LA FIBRINA. SET DE 20 PRUEBAS O MAS. PRUEBA</v>
          </cell>
          <cell r="G265" t="str">
            <v>PRUEBA</v>
          </cell>
        </row>
        <row r="266">
          <cell r="E266">
            <v>2006077</v>
          </cell>
          <cell r="F266" t="str">
            <v>FERRITINA. SET DE 50  -  100 PRUEBAS. PRUEBA</v>
          </cell>
          <cell r="G266" t="str">
            <v>PRUEBA</v>
          </cell>
        </row>
        <row r="267">
          <cell r="E267">
            <v>2006078</v>
          </cell>
          <cell r="F267" t="str">
            <v>PROTEINAS TOTALES COLORIMETRICA U OTRO METODO.    SET DE 50 PRUEBAS O MAS. PRUEBA</v>
          </cell>
          <cell r="G267" t="str">
            <v>PRUEBA</v>
          </cell>
        </row>
        <row r="268">
          <cell r="E268">
            <v>2006079</v>
          </cell>
          <cell r="F268" t="str">
            <v>LUPUS ANTICOAGULANTE.  SET DE 50 PRUEBAS O MAS. PRUEBA</v>
          </cell>
          <cell r="G268" t="str">
            <v>PRUEBA</v>
          </cell>
        </row>
        <row r="269">
          <cell r="E269">
            <v>2006080</v>
          </cell>
          <cell r="F269" t="str">
            <v>RENINA.   SET DE 50 PRUEBAS O MAS. PRUEBA</v>
          </cell>
          <cell r="G269" t="str">
            <v>PRUEBA</v>
          </cell>
        </row>
        <row r="270">
          <cell r="E270">
            <v>2006081</v>
          </cell>
          <cell r="F270" t="str">
            <v>DETECCION DE ANTICUERPOS INMUNOGLOBULINA G  (IgG)   ANTIRUBEOLA.  SET DE 100 PRUEBAS O MAS. PRUEBA</v>
          </cell>
          <cell r="G270" t="str">
            <v>PRUEBA</v>
          </cell>
        </row>
        <row r="271">
          <cell r="E271">
            <v>2006082</v>
          </cell>
          <cell r="F271" t="str">
            <v>DETECCION DE ANTICUERPOS INMUNOGLOBULINA M  (IgM)  ANTIRUBEOLA. SET DE 100 PRUEBAS O MAS. PRUEBA</v>
          </cell>
          <cell r="G271" t="str">
            <v>PRUEBA</v>
          </cell>
        </row>
        <row r="272">
          <cell r="E272">
            <v>2006083</v>
          </cell>
          <cell r="F272" t="str">
            <v>ANTICUERPO ANTI LEPTOSPIRA.  SET DE 50  -  100 PRUEBAS. PRUEBA</v>
          </cell>
          <cell r="G272" t="str">
            <v>PRUEBA</v>
          </cell>
        </row>
        <row r="273">
          <cell r="E273">
            <v>2006084</v>
          </cell>
          <cell r="F273" t="str">
            <v>DETECCION DE ANTICUERPOS INMUNOGLOBULINA G  (IgG)  ANTITOXOPLASMA  GONDII. SET DE 100 PRUEBAS O MAS. PRUEBA</v>
          </cell>
          <cell r="G273" t="str">
            <v>PRUEBA</v>
          </cell>
        </row>
        <row r="274">
          <cell r="E274">
            <v>2006085</v>
          </cell>
          <cell r="F274" t="str">
            <v>DETECCION  DE ANTICUERPOS INMUNOGLOBULINA M  (IgM)  ANTITOXOPLASMA GONDII. SET DE 100 PRUEBAS O MAS. PRUEBA</v>
          </cell>
          <cell r="G274" t="str">
            <v>PRUEBA</v>
          </cell>
        </row>
        <row r="275">
          <cell r="E275">
            <v>2006086</v>
          </cell>
          <cell r="F275" t="str">
            <v>PLOMO SERICO.   SET DE 50 PRUEBAS  O  MAS. PRUEBA</v>
          </cell>
          <cell r="G275" t="str">
            <v>PRUEBA</v>
          </cell>
        </row>
        <row r="276">
          <cell r="E276">
            <v>2006087</v>
          </cell>
          <cell r="F276" t="str">
            <v>TRIYODOTIRONINA LIBRE  (T3) . SET DE 50 PRUEBAS O MAS. PRUEBA</v>
          </cell>
          <cell r="G276" t="str">
            <v>PRUEBA</v>
          </cell>
        </row>
        <row r="277">
          <cell r="E277">
            <v>2006088</v>
          </cell>
          <cell r="F277" t="str">
            <v>TIRA REACTIVA PARA DETERMINAR GLUCOSA EN SANGRE EN UNIDAD DE MEDIDA mg/dL   FRASCO DE 25 TIRAS O MAS. TIRA</v>
          </cell>
          <cell r="G277" t="str">
            <v>TIRA</v>
          </cell>
        </row>
        <row r="278">
          <cell r="E278">
            <v>2006089</v>
          </cell>
          <cell r="F278" t="str">
            <v>REACTIVO REFRIGERANTE PARA OSMOMETRO.  FRASCO DE  50  -  100 mL. MILILITRO</v>
          </cell>
          <cell r="G278" t="str">
            <v>MILILITRO</v>
          </cell>
        </row>
        <row r="279">
          <cell r="E279">
            <v>2006090</v>
          </cell>
          <cell r="F279" t="str">
            <v>ANTIGENO PROSTATICO ESPECIFICO  (PSA) .   SET DE 50 PRUEBAS O  MAS. PRUEBA</v>
          </cell>
          <cell r="G279" t="str">
            <v>PRUEBA</v>
          </cell>
        </row>
        <row r="280">
          <cell r="E280">
            <v>2006091</v>
          </cell>
          <cell r="F280" t="str">
            <v>DETECCION DE ANTICUERPOS TREPONEMA PALLIDUM POR FLUORESCENCIA  (FIJAC.DE TREPONEMA PALLIDUM ABSORBIDO)   (FTA - ABS) .SET 25 PRUEBAS O MAS. PRUEBA</v>
          </cell>
          <cell r="G280" t="str">
            <v>PRUEBA</v>
          </cell>
        </row>
        <row r="281">
          <cell r="E281">
            <v>2006092</v>
          </cell>
          <cell r="F281" t="str">
            <v>DETECCION DE ANTICUERPOS ANTITOXOPLASMA GONDII POR INMUNOFLUORESCENCIA  (PIAF) . SET DE 50 PRUEBAS O MAS. PRUEBA</v>
          </cell>
          <cell r="G281" t="str">
            <v>PRUEBA</v>
          </cell>
        </row>
        <row r="282">
          <cell r="E282">
            <v>2006093</v>
          </cell>
          <cell r="F282" t="str">
            <v>BILIRRUBINA TOTAL COLORIMETRICA U OTRO METODO.    SET DE 100 PRUEBAS  O  MAS. PRUEBA</v>
          </cell>
          <cell r="G282" t="str">
            <v>PRUEBA</v>
          </cell>
        </row>
        <row r="283">
          <cell r="E283">
            <v>2006094</v>
          </cell>
          <cell r="F283" t="str">
            <v>LAMINA PORTA OBJETOS CON AREAS DE REACCION PARA DETECCION DE ANTICUERPOS ANTITOXOPLASMA GONDII POR INMUNOFLUORESCENCIA  (IMPRONTA) . CAJA DE 5 LAMINAS O MAS. C/U</v>
          </cell>
          <cell r="G283" t="str">
            <v>C/U</v>
          </cell>
        </row>
        <row r="284">
          <cell r="E284">
            <v>2006095</v>
          </cell>
          <cell r="F284" t="str">
            <v>BILIRRUBINA DIRECTA COLORIMETRICA U OTRO METODO. SET DE 100 PRUEBAS  O  MAS. PRUEBA</v>
          </cell>
          <cell r="G284" t="str">
            <v>PRUEBA</v>
          </cell>
        </row>
        <row r="285">
          <cell r="E285">
            <v>2006096</v>
          </cell>
          <cell r="F285" t="str">
            <v>LAMINA PORTAOBJETO CON AREAS DE REACCION PARA DETECCION DE ANTICUERPOS ANTI TREPONEMA PALLIDUM POR INMUNOFLUORESCENCIA  (IMPRONTA) .CAJA DE 5 LAMINAS O MAS. C/U</v>
          </cell>
          <cell r="G285" t="str">
            <v>C/U</v>
          </cell>
        </row>
        <row r="286">
          <cell r="E286">
            <v>2006097</v>
          </cell>
          <cell r="F286" t="str">
            <v>BETA DOS MICROGLOBULINA. SET DE 100 PRUEBAS O MAS. PRUEBA</v>
          </cell>
          <cell r="G286" t="str">
            <v>PRUEBA</v>
          </cell>
        </row>
        <row r="287">
          <cell r="E287">
            <v>2006098</v>
          </cell>
          <cell r="F287" t="str">
            <v>DETERMINACION CUALITATIVA Y CUANTITATIVA DEL ANTIGENO CA 15 - 3. EN SUERO O PLASMA HUMANO POR ELISA U OTRO METODO. SET DE 20 O MAS PRUEBAS. PRUEBA</v>
          </cell>
          <cell r="G287" t="str">
            <v>PRUEBA</v>
          </cell>
        </row>
        <row r="288">
          <cell r="E288">
            <v>2006099</v>
          </cell>
          <cell r="F288" t="str">
            <v>DETERMINACION CUALITATIVA Y CUANTITATIVA DEL ANTIGENO CA - 125 EN SUERO O PLASMA HUMANO. POR ELISA U OTRO METODO. SET DE 20 O MAS PRUEBAS. PRUEBA</v>
          </cell>
          <cell r="G288" t="str">
            <v>PRUEBA</v>
          </cell>
        </row>
        <row r="289">
          <cell r="E289">
            <v>2006100</v>
          </cell>
          <cell r="F289" t="str">
            <v>CARBAMAZEPINA.   SET DE 50  -  100 PRUEBAS. PRUEBA</v>
          </cell>
          <cell r="G289" t="str">
            <v>PRUEBA</v>
          </cell>
        </row>
        <row r="290">
          <cell r="E290">
            <v>2006101</v>
          </cell>
          <cell r="F290" t="str">
            <v>CLORO COLORIMETRICO U OTRO METODO. SET DE 50 PRUEBAS O MAS. PRUEBA</v>
          </cell>
          <cell r="G290" t="str">
            <v>PRUEBA</v>
          </cell>
        </row>
        <row r="291">
          <cell r="E291">
            <v>2006102</v>
          </cell>
          <cell r="F291" t="str">
            <v>HORMONA ANTIDIURETICA  (A D H) .  SET DE 25 PRUEBAS O  MAS. PRUEBA</v>
          </cell>
          <cell r="G291" t="str">
            <v>PRUEBA</v>
          </cell>
        </row>
        <row r="292">
          <cell r="E292">
            <v>2006103</v>
          </cell>
          <cell r="F292" t="str">
            <v>DETERMINACION DE CHLAMYDIA TRACHOMATIS  (INMUNOFLUORESCENCIA DIRECTA) . SET DE 20 PRUEBAS O MAS. PRUEBA</v>
          </cell>
          <cell r="G292" t="str">
            <v>PRUEBA</v>
          </cell>
        </row>
        <row r="293">
          <cell r="E293">
            <v>2006104</v>
          </cell>
          <cell r="F293" t="str">
            <v>HIERRO CAPACIDAD DE CAPTACION. SET DE 100 PRUEBAS O MAS. PRUEBA</v>
          </cell>
          <cell r="G293" t="str">
            <v>PRUEBA</v>
          </cell>
        </row>
        <row r="294">
          <cell r="E294">
            <v>2006105</v>
          </cell>
          <cell r="F294" t="str">
            <v>HORMONA ADRENOCORTICOTROPICA  (A C T H) . SET DE 100 PRUEBAS  O  MAS. PRUEBA</v>
          </cell>
          <cell r="G294" t="str">
            <v>PRUEBA</v>
          </cell>
        </row>
        <row r="295">
          <cell r="E295">
            <v>2006106</v>
          </cell>
          <cell r="F295" t="str">
            <v>LAMINA PORTAOBJETO CON AREAS DE REACCION PARA DETERMINACION DE ANTIGENO DE CHLAMYDIA TRACHOMATIS  (IMPRONTA)   (INMUNOFLUORESCENCIA) . CAJA 5 LAMINAS O MAS. C/U</v>
          </cell>
          <cell r="G295" t="str">
            <v>C/U</v>
          </cell>
        </row>
        <row r="296">
          <cell r="E296">
            <v>2006107</v>
          </cell>
          <cell r="F296" t="str">
            <v>ANTICUERPO ANTI DNA. SET DE 20 PRUEBAS O MAS. PRUEBA</v>
          </cell>
          <cell r="G296" t="str">
            <v>PRUEBA</v>
          </cell>
        </row>
        <row r="297">
          <cell r="E297">
            <v>2006108</v>
          </cell>
          <cell r="F297" t="str">
            <v>ANTICUERPOS ANTI DNA NATIVO  (INMUNOFLUORESCENCIA) . SET DE 20 PRUEBAS O MAS. PRUEBA</v>
          </cell>
          <cell r="G297" t="str">
            <v>PRUEBA</v>
          </cell>
        </row>
        <row r="298">
          <cell r="E298">
            <v>2006109</v>
          </cell>
          <cell r="F298" t="str">
            <v>DETECCION DE ANTICUERPOS ANTI CHLAMYDIA TRACHOMATIS  (INMUNOENZIMATICA) . SET DE 20 PRUEBAS O MAS. PRUEBA</v>
          </cell>
          <cell r="G298" t="str">
            <v>PRUEBA</v>
          </cell>
        </row>
        <row r="299">
          <cell r="E299">
            <v>2006110</v>
          </cell>
          <cell r="F299" t="str">
            <v>DETECCION DE ANTICUERPOS INMUNOGLOBULINA G  (IgG)   ANTI CHLAMYDIA TRACHOMATIS  (INMUNOENZIMATICA) . SET DE 20 PRUEBAS O MAS. PRUEBA</v>
          </cell>
          <cell r="G299" t="str">
            <v>PRUEBA</v>
          </cell>
        </row>
        <row r="300">
          <cell r="E300">
            <v>2006111</v>
          </cell>
          <cell r="F300" t="str">
            <v>DETECCION DE ANTICUERPOS INMUNOGLOBULINA M  (IgM)   ANTI CHLAMYDIA TRACHOMATIS  (INMUNOENZIMATICA) . SET DE 20 PRUEBAS O MAS. PRUEBA</v>
          </cell>
          <cell r="G300" t="str">
            <v>PRUEBA</v>
          </cell>
        </row>
        <row r="301">
          <cell r="E301">
            <v>2006112</v>
          </cell>
          <cell r="F301" t="str">
            <v>DETECCION DE ANTICUERPOS ANTI MUSCULO LISO EN SUERO HUMANO  (INMUNOENZIMATICO) .  SET DE 20 PRUEBAS O MAS. PRUEBA</v>
          </cell>
          <cell r="G301" t="str">
            <v>PRUEBA</v>
          </cell>
        </row>
        <row r="302">
          <cell r="E302">
            <v>2006113</v>
          </cell>
          <cell r="F302" t="str">
            <v>DETECCION DE ANTICUERPOS ANTI MITOCONDRIALES EN SUERO  (ASMA)   (INMUNOFLUORESCENCIA) . SET DE 20 PRUEBAS O MAS. PRUEBA</v>
          </cell>
          <cell r="G302" t="str">
            <v>PRUEBA</v>
          </cell>
        </row>
        <row r="303">
          <cell r="E303">
            <v>2006114</v>
          </cell>
          <cell r="F303" t="str">
            <v>DETECCION DE ANTICUERPOS ANTI DNA DE CADENA DOBLE. SET DE 50  -  100 PRUEBAS. PRUEBA</v>
          </cell>
          <cell r="G303" t="str">
            <v>PRUEBA</v>
          </cell>
        </row>
        <row r="304">
          <cell r="E304">
            <v>2006115</v>
          </cell>
          <cell r="F304" t="str">
            <v>DETERMINACION DE ANTICUERPOS ANTI DNA DE CADENA SIMPLE. SET DE 50  -  100 PRUEBAS. PRUEBA</v>
          </cell>
          <cell r="G304" t="str">
            <v>PRUEBA</v>
          </cell>
        </row>
        <row r="305">
          <cell r="E305">
            <v>2006116</v>
          </cell>
          <cell r="F305" t="str">
            <v>PLOMO EN ORINA.  SET DE 50  -  100 PRUEBAS. PRUEBA</v>
          </cell>
          <cell r="G305" t="str">
            <v>PRUEBA</v>
          </cell>
        </row>
        <row r="306">
          <cell r="E306">
            <v>2006117</v>
          </cell>
          <cell r="F306" t="str">
            <v>DETECCION DE ANTICUERPOS ANTI VIRUS HEPATITIS "A"   (INMUNOENZIMATICA) . SET DE 50 PRUEBAS O MAS. PRUEBA</v>
          </cell>
          <cell r="G306" t="str">
            <v>PRUEBA</v>
          </cell>
        </row>
        <row r="307">
          <cell r="E307">
            <v>2006118</v>
          </cell>
          <cell r="F307" t="str">
            <v>DETECCION DE ANTICUERPOS INMUNOGLOBULINA  M  (IgM)  ANTI VIRUS DENGUE.  (INMUNOENZIMATICA) .  SET DE 50  -  100 PRUEBAS. PRUEBA</v>
          </cell>
          <cell r="G307" t="str">
            <v>PRUEBA</v>
          </cell>
        </row>
        <row r="308">
          <cell r="E308">
            <v>2006119</v>
          </cell>
          <cell r="F308" t="str">
            <v>DETECCION DE ANTICUERPOS INMUNOGLOBULINA G  (IgG)   ANTI VIRUS DENGUE.  (INMUNOENZIMATICA) .  SET DE 50  -  100 PRUEBAS. PRUEBA</v>
          </cell>
          <cell r="G308" t="str">
            <v>PRUEBA</v>
          </cell>
        </row>
        <row r="309">
          <cell r="E309">
            <v>2006120</v>
          </cell>
          <cell r="F309" t="str">
            <v>INMUNOGLOBULINAS TOTALES. SET DE 10 PRUEBAS O MAS. PRUEBA</v>
          </cell>
          <cell r="G309" t="str">
            <v>PRUEBA</v>
          </cell>
        </row>
        <row r="310">
          <cell r="E310">
            <v>2006121</v>
          </cell>
          <cell r="F310" t="str">
            <v>LIPOPROTEINA DE ALTA DENSIDAD  (HDL)  PARA ANALIZADOR QUIMICO TECHNICON RA  -  500.  SET DE 100 PRUEBAS O MAS. PRUEBA</v>
          </cell>
          <cell r="G310" t="str">
            <v>PRUEBA</v>
          </cell>
        </row>
        <row r="311">
          <cell r="E311">
            <v>2006122</v>
          </cell>
          <cell r="F311" t="str">
            <v>DETECCION DE HELICOBACTER PYLORI. SET DE 20  PRUEBAS O MAS. PRUEBA</v>
          </cell>
          <cell r="G311" t="str">
            <v>PRUEBA</v>
          </cell>
        </row>
        <row r="312">
          <cell r="E312">
            <v>2006123</v>
          </cell>
          <cell r="F312" t="str">
            <v>CRIOGLOBULINAS. SET DE 50  -  100 PRUEBAS. PRUEBA</v>
          </cell>
          <cell r="G312" t="str">
            <v>PRUEBA</v>
          </cell>
        </row>
        <row r="313">
          <cell r="E313">
            <v>2006124</v>
          </cell>
          <cell r="F313" t="str">
            <v>AGLUTININAS EN FRIO. SET DE 50  -  100 PRUEBAS. PRUEBA</v>
          </cell>
          <cell r="G313" t="str">
            <v>PRUEBA</v>
          </cell>
        </row>
        <row r="314">
          <cell r="E314">
            <v>2006125</v>
          </cell>
          <cell r="F314" t="str">
            <v>DETERMINACION DE INSULINA. SET DE 50  -  100 PRUEBAS. PRUEBA</v>
          </cell>
          <cell r="G314" t="str">
            <v>PRUEBA</v>
          </cell>
        </row>
        <row r="315">
          <cell r="E315">
            <v>2006126</v>
          </cell>
          <cell r="F315" t="str">
            <v>ACIDO VANIL MANDELICO  (VMA) . SET DE 50  -  100 PRUEBAS. PRUEBA</v>
          </cell>
          <cell r="G315" t="str">
            <v>PRUEBA</v>
          </cell>
        </row>
        <row r="316">
          <cell r="E316">
            <v>2006127</v>
          </cell>
          <cell r="F316" t="str">
            <v>PROGESTERONA.   SET DE 50 PRUEBAS O MAS. PRUEBA</v>
          </cell>
          <cell r="G316" t="str">
            <v>PRUEBA</v>
          </cell>
        </row>
        <row r="317">
          <cell r="E317">
            <v>2006128</v>
          </cell>
          <cell r="F317" t="str">
            <v>MICROALBUMINURIA. FRASCO DE 20  -  100 PRUEBAS. PRUEBA</v>
          </cell>
          <cell r="G317" t="str">
            <v>PRUEBA</v>
          </cell>
        </row>
        <row r="318">
          <cell r="E318">
            <v>2006129</v>
          </cell>
          <cell r="F318" t="str">
            <v>TETRAYODOTIRONINA LIBRE  (T4) . SET DE 50   -  100 PRUEBAS. PRUEBA</v>
          </cell>
          <cell r="G318" t="str">
            <v>PRUEBA</v>
          </cell>
        </row>
        <row r="319">
          <cell r="E319">
            <v>2006130</v>
          </cell>
          <cell r="F319" t="str">
            <v>5 HIDROXI INDOLACETICO  (5 - HIAA)   (SEROTONINA) . SET DE 50  -  100 PRUEBAS. PRUEBA</v>
          </cell>
          <cell r="G319" t="str">
            <v>PRUEBA</v>
          </cell>
        </row>
        <row r="320">
          <cell r="E320">
            <v>2006131</v>
          </cell>
          <cell r="F320" t="str">
            <v>DETECCION CUALITATIVA Y CUANTITATIVA DEL ANTIGENO CA 19 - 9 EN SUERO O PLASMA HUMANO. POR ELISA U OTRO METODO. SET DE 20 O  MAS PRUEBAS. PRUEBA</v>
          </cell>
          <cell r="G320" t="str">
            <v>PRUEBA</v>
          </cell>
        </row>
        <row r="321">
          <cell r="E321">
            <v>2006132</v>
          </cell>
          <cell r="F321" t="str">
            <v>PRUEBA RAPIDA DE DETECCION SUB UNIDAD BETA DE GONADOTROPINA CORIONICA HUMANA EN SANGRE Y ORINA,  QUE DETECTE DE 10  -  25 mU/mL SET DE 10 PRUEBAS O MAS. PRUEBA</v>
          </cell>
          <cell r="G321" t="str">
            <v>PRUEBA</v>
          </cell>
        </row>
        <row r="322">
          <cell r="E322">
            <v>2006133</v>
          </cell>
          <cell r="F322" t="str">
            <v>PRUEBA RAPIDA CUALITATIVA PARA LA DETECCION DE ANTICUERPOS ANTI VIH,  BASADO EN ENSAYOS INMUNOCROMATOGRAFICOS CON RESPUESTA DE 10  -  15 MINUTOS. SET DE 10 PRUEBAS O MAS. PRUEBA</v>
          </cell>
          <cell r="G322" t="str">
            <v>PRUEBA</v>
          </cell>
        </row>
        <row r="323">
          <cell r="E323">
            <v>2006134</v>
          </cell>
          <cell r="F323" t="str">
            <v>HEMOGLOBINA GLICOSIDA FRACCION A1C. SET DE 25  -  100 PRUEBAS. PRUEBA</v>
          </cell>
          <cell r="G323" t="str">
            <v>PRUEBA</v>
          </cell>
        </row>
        <row r="324">
          <cell r="E324">
            <v>2006135</v>
          </cell>
          <cell r="F324" t="str">
            <v>TROPONINA T. SET DE 50  -  100 PRUEBAS. PRUEBA</v>
          </cell>
          <cell r="G324" t="str">
            <v>PRUEBA</v>
          </cell>
        </row>
        <row r="325">
          <cell r="E325">
            <v>2006136</v>
          </cell>
          <cell r="F325" t="str">
            <v>DETERMINACION CUANTITATIVA DE ANTICUERPO CONTRA EL ANTIGENO E DEL VIRUS DE HEPATITIS B,  POR ELISA U OTRO METODO. SET DE 96 POZOS O MAS. PRUEBA</v>
          </cell>
          <cell r="G325" t="str">
            <v>PRUEBA</v>
          </cell>
        </row>
        <row r="326">
          <cell r="E326">
            <v>2006137</v>
          </cell>
          <cell r="F326" t="str">
            <v>DETERMINACION SEMICUANTITATIVA/CUANTITATIVA PARA LA DETECCION DE ANTICUERPOS IgG CONTRA LA CITRULINA (ANTI - CCP) EN SUERO O PLASMA HUMANO POR ELISA. SET DE 96 PRUEBAS. PRUEBA</v>
          </cell>
          <cell r="G326" t="str">
            <v>PRUEBA</v>
          </cell>
        </row>
        <row r="327">
          <cell r="E327">
            <v>2007000</v>
          </cell>
          <cell r="F327" t="str">
            <v>AGENTE HUMECTANTE ANALIZADOR QUIMICO TECHNICON RA - 500. FRASCO DE 15 mL O MAS. MILILITRO</v>
          </cell>
          <cell r="G327" t="str">
            <v>mL</v>
          </cell>
        </row>
        <row r="328">
          <cell r="E328">
            <v>2007001</v>
          </cell>
          <cell r="F328" t="str">
            <v>SOLUCION AMORTIGUADORA DE Na/pH PARA ANALIZADOR DE ELECTROLITOS NOVA CRT 4  -  5. FRASCO DE 100  -  200 mL. MILILITRO</v>
          </cell>
          <cell r="G328" t="str">
            <v>mL</v>
          </cell>
        </row>
        <row r="329">
          <cell r="E329">
            <v>2007002</v>
          </cell>
          <cell r="F329" t="str">
            <v xml:space="preserve">SOLUCIONES PARA DETERMINACION DE ELECTROLITOS NOVA CRT 4. EN SET O PAQUETE. MILILITRO </v>
          </cell>
          <cell r="G329" t="str">
            <v>mL</v>
          </cell>
        </row>
        <row r="330">
          <cell r="E330">
            <v>2007003</v>
          </cell>
          <cell r="F330" t="str">
            <v>SOLUCION LIMPIADORA PARA ANALIZADOR DE ELECTROLITOS PARA EQUIPO NOVA CRT 4  -  5.  FRASCO DE 50  -  100 mL. MILILITRO</v>
          </cell>
          <cell r="G330" t="str">
            <v>mL</v>
          </cell>
        </row>
        <row r="331">
          <cell r="E331">
            <v>2007004</v>
          </cell>
          <cell r="F331" t="str">
            <v>SOLUCION LIMPIADORA TIPO COULTER CLEANS PARA CONTADOR HEMATOLOGICO COULTER COUNTER.  ENVASE DE 1  -  5 L. LITRO</v>
          </cell>
          <cell r="G331" t="str">
            <v>LITRO</v>
          </cell>
        </row>
        <row r="332">
          <cell r="E332">
            <v>2007005</v>
          </cell>
          <cell r="F332" t="str">
            <v>SET DE SOLUCIONES PARA DETERMINACION DE ELECTROLITOS NOVA CRT 5. SET O PAQUETE. MILILITRO</v>
          </cell>
          <cell r="G332" t="str">
            <v>MILILITRO</v>
          </cell>
        </row>
        <row r="333">
          <cell r="E333">
            <v>2007006</v>
          </cell>
          <cell r="F333" t="str">
            <v>SOLUCION PREPARADA CON UNA CONCENTRACION DE 50 G DE GLUCOSA PARA CURVA DE TOLERANCIA A LA GLUCOSA. FRASCO DE 100  -  350 mL. MILILITRO</v>
          </cell>
          <cell r="G333" t="str">
            <v>mL</v>
          </cell>
        </row>
        <row r="334">
          <cell r="E334">
            <v>2007007</v>
          </cell>
          <cell r="F334" t="str">
            <v>SOLUCION PREPARADA CON UNA CONCENTRACION DE 75 G DE GLUCOSA PARA CURVA DE TOLERANCIA A LA  GLUCOSA.FRASCO DE 100  -  350 mL. MILILITRO</v>
          </cell>
          <cell r="G334" t="str">
            <v>mL</v>
          </cell>
        </row>
        <row r="335">
          <cell r="E335">
            <v>2007008</v>
          </cell>
          <cell r="F335" t="str">
            <v>SOLUCION PREPARADA CON UNA CONCENTRACION DE 100 G DE GLUCOSA PARA CURVA DE TOLERANCIA A LA GLUCOSA. FRASCO DE 100  -  350 mL. MILILITRO</v>
          </cell>
          <cell r="G335" t="str">
            <v>mL</v>
          </cell>
        </row>
        <row r="336">
          <cell r="E336">
            <v>2007009</v>
          </cell>
          <cell r="F336" t="str">
            <v>SOLUCION DILUTORA PARA ANALIZADOR DE ELECTROLITOS EN ORINA NOVA CRT 4  -  5.  FRASCO DE 100  -  200 mL. MILILITRO</v>
          </cell>
          <cell r="G336" t="str">
            <v>mL</v>
          </cell>
        </row>
        <row r="337">
          <cell r="E337">
            <v>2007010</v>
          </cell>
          <cell r="F337" t="str">
            <v>SOLUCION LIMPIADORA PARA ANALIZADOR DE ELECTROLITOS ILAB - 301. FRASCO 100  -  200 mL. MILILITRO</v>
          </cell>
          <cell r="G337" t="str">
            <v>mL</v>
          </cell>
        </row>
        <row r="338">
          <cell r="E338">
            <v>2007011</v>
          </cell>
          <cell r="F338" t="str">
            <v>SOLUCION DILUYENTE PARA ANALIZADOR DE ELECTROLITOS  (LITHIUM 1500)  ILAB - 301.  FRASCO 500  -  1000 mL. MILILITRO</v>
          </cell>
          <cell r="G338" t="str">
            <v>mL</v>
          </cell>
        </row>
        <row r="339">
          <cell r="E339">
            <v>2007012</v>
          </cell>
          <cell r="F339" t="str">
            <v>SOLUCION DESPROTEINIZANTE PARA ANALIZADOR DE ELECTROLITOS NOVA CRT 4 - 5. FRASCO O VIAL DE 100  -  200 mL. MILILITRO</v>
          </cell>
          <cell r="G339" t="str">
            <v>mL</v>
          </cell>
        </row>
        <row r="340">
          <cell r="E340">
            <v>2007013</v>
          </cell>
          <cell r="F340" t="str">
            <v>SOLUCION DE LLENADO TCO2 PARA ANALIZADOR DE ELECTROLITOS NOVA CRT 4 - 5. FRASCO DE 100  -  200 mL. MILILITRO</v>
          </cell>
          <cell r="G340" t="str">
            <v>mL</v>
          </cell>
        </row>
        <row r="341">
          <cell r="E341">
            <v>2008000</v>
          </cell>
          <cell r="F341" t="str">
            <v>CD3. PS1 MARCADOR DE LINFOCITOS T. ANTICUERPO MONOCLONAL DE RATON ANTIHUMANO. PARA SER USADO EN TEJIDO FIJADO EN FORMALINA Y EMBEBIDO EN PARAFINA. FRASCO 1 - 2 mL CONCENTRADO. MILILITRO</v>
          </cell>
          <cell r="G341" t="str">
            <v>mL</v>
          </cell>
        </row>
        <row r="342">
          <cell r="E342">
            <v>2008001</v>
          </cell>
          <cell r="F342" t="str">
            <v>CD3 - T. MARCADOR DE LINFOCITOS T. INMUNOGLOBULINA MONOCLONAL DE RATON ANTIHUMANO. PARA SER USADO EN TEJIDO FIJADO EN FORMALINA Y EMBEBIDO EN PARAFINA. FRASCO 1 - 2 mL CONCENTRADO. MILILITRO</v>
          </cell>
          <cell r="G342" t="str">
            <v>mL</v>
          </cell>
        </row>
        <row r="343">
          <cell r="E343">
            <v>2008002</v>
          </cell>
          <cell r="F343" t="str">
            <v>CD4 - T. MARCADOR DE CELULAS T AYUDADORAS. ANTICUERPO MONOCLONAL DE RATON ANTIHUMANO.  PARA SER USADO EN TEJIDO FIJADO EN FORMALINA Y EMBEBIDO EN PARAFINA. FRASCO 1 - 2. mL CONCENTRADO. MILILITRO</v>
          </cell>
          <cell r="G343" t="str">
            <v>mL</v>
          </cell>
        </row>
        <row r="344">
          <cell r="E344">
            <v>2008003</v>
          </cell>
          <cell r="F344" t="str">
            <v>CD5. MARCADOR DE LINFOCITOS T INMUNOGLOBULINA  MONOCLONAL DE RATON ANTIHUMANO. PARA SER USADO EN TEJIDO FIJADO EN FORMALINA Y EMBEBIDO EN PARAFINA . FRASCO 1 - 2 mL CONCENTRADO. MILILITRO</v>
          </cell>
          <cell r="G344" t="str">
            <v>mL</v>
          </cell>
        </row>
        <row r="345">
          <cell r="E345">
            <v>2008004</v>
          </cell>
          <cell r="F345" t="str">
            <v>CD7. MARCADOR DE CELULAS T. INMUNOGLOBULINA MONOCLONAL DE RATON ANTIHUMANO. PARA SER USADO EN TEJIDO FIJADO EN FORMALINA Y EMBEBIDO EN PARAFINA. FRASCO 1 - 2 mL CONCENTRADO. MILILITRO</v>
          </cell>
          <cell r="G345" t="str">
            <v>mL</v>
          </cell>
        </row>
        <row r="346">
          <cell r="E346">
            <v>2008005</v>
          </cell>
          <cell r="F346" t="str">
            <v xml:space="preserve">CD8. MARCADOR DE LINFOCITOS T. INMUNOGLOBULINA MONOCLONAL DE RATON ANTIHUMANO. PARA SER USADO EN TEJIDO FIJADO EN FORMALINA Y EMBEBIDO EN PARAFINA. . FRASCO 1 - 2 mL CONCENTRADO. MILILITRO </v>
          </cell>
          <cell r="G346" t="str">
            <v>mL</v>
          </cell>
        </row>
        <row r="347">
          <cell r="E347">
            <v>2008006</v>
          </cell>
          <cell r="F347" t="str">
            <v>CD10. ANTIGENO DE LLA. INMUNOGLOBULINA MONOCLONAL DE RATON ANTIHUMANO. PARA SER USADO EN TEJIDO FIJADO EN FORMALINA Y EMBEBIDO EN PARAFINA. FRASCO 1 - 2 mL CONCENTRADO. MILILITRO</v>
          </cell>
          <cell r="G347" t="str">
            <v>mL</v>
          </cell>
        </row>
        <row r="348">
          <cell r="E348">
            <v>2008007</v>
          </cell>
          <cell r="F348" t="str">
            <v>CD15. INMUNOGLOBULINA MONOCLONAL DE RATON ANTIHUMANO. PARA SER USADO EN TEJIDO FIJADO EN FORMALINA Y EMBEBIDO EN PARAFINA. FRASCO 1 - 2 mL CONCENTRADO. MILILITRO</v>
          </cell>
          <cell r="G348" t="str">
            <v>mL</v>
          </cell>
        </row>
        <row r="349">
          <cell r="E349">
            <v>2008008</v>
          </cell>
          <cell r="F349" t="str">
            <v>CD19. MARCADOR DE CELULAS B. INMUNOGLOBULINA MONOCLONAL DE RATON ANTIHUMANO. PARA SER USADO EN TEJIDO FIJADO EN FORMALINA Y EMBEBIDO EN PARAFINA. FRASCO 1 - 2 mL CONCENTRADO. MILILITRO</v>
          </cell>
          <cell r="G349" t="str">
            <v>mL</v>
          </cell>
        </row>
        <row r="350">
          <cell r="E350">
            <v>2008009</v>
          </cell>
          <cell r="F350" t="str">
            <v>CD20. ANTIGENO DE CELULAS B. INMUNOGLOBULINA MONOCLONAL DE RATON ANTIHUMANO. PARA SER USADO EN TEJIDO FIJADO EN FORMALINA Y EMBEBIDO EN PARAFINA. FRASCO 1 - 2 mL CONCENTRADO. MILILITRO</v>
          </cell>
          <cell r="G350" t="str">
            <v>mL</v>
          </cell>
        </row>
        <row r="351">
          <cell r="E351">
            <v>2008010</v>
          </cell>
          <cell r="F351" t="str">
            <v>CD30. INMUNOGLOBULINA MONOCLONAL DE RATON ANTIHUMANO. PARA SER USADO EN TEJIDO FIJADO EN FORMALINA Y EMBEBIDO EN PARAFINA. FRASCO 1 - 2 mL CONCENTRADO. MILILITRO</v>
          </cell>
          <cell r="G351" t="str">
            <v>mL</v>
          </cell>
        </row>
        <row r="352">
          <cell r="E352">
            <v>2008011</v>
          </cell>
          <cell r="F352" t="str">
            <v>CD33. ANTIGENO DE CELULAS MIELOIDES. PARA SER USADO EN TEJIDO FIJADO EN FORMALINA Y EMBEBIDO EN PARAFINA. FRASCO 1 - 2 mL CONCENTRADO. MILILITRO</v>
          </cell>
          <cell r="G352" t="str">
            <v>mL</v>
          </cell>
        </row>
        <row r="353">
          <cell r="E353">
            <v>2008012</v>
          </cell>
          <cell r="F353" t="str">
            <v>CD35. ANTIGENO DE CELULAS FOLICULARES DENDRITICAS. INMUNOGLOBULINA MONOCLONAL DE RATON ANTIHUMANO. PARA SER USADO EN TEJIDO FIJADO EN FORMALINA Y EMBEBIDO EN PARAFINA. FRASCO 1 - 2 mL CONCENTRADO. MILILITRO</v>
          </cell>
          <cell r="G353" t="str">
            <v>mL</v>
          </cell>
        </row>
        <row r="354">
          <cell r="E354">
            <v>2008013</v>
          </cell>
          <cell r="F354" t="str">
            <v>CD38. ANTIGENO DE CELULAS PLASMATICAS. INMUNOGLOBULINA MONOCLONAL DE RATON ANTIHUMANO. PARA SER USADO EN TEJIDO FIJADO EN FORMALINA Y EMBEBIDO EN PARAFINA. FRASCO 1 - 2 mL CONCENTRADO. MILILITRO</v>
          </cell>
          <cell r="G354" t="str">
            <v>mL</v>
          </cell>
        </row>
        <row r="355">
          <cell r="E355">
            <v>2008014</v>
          </cell>
          <cell r="F355" t="str">
            <v>CD41. ANTIGENO PLAQUETARIO. INMUNOGLOBULINA MONOCLONAL DE RATON ANTIHUMANO. PARA SER USADO EN TEJIDO FIJADO EN FORMALINA Y EMBEBIDO EN PARAFINA. FRASCO 1 - 2 mL CONCENTRADO. MILILITRO</v>
          </cell>
          <cell r="G355" t="str">
            <v>mL</v>
          </cell>
        </row>
        <row r="356">
          <cell r="E356">
            <v>2008015</v>
          </cell>
          <cell r="F356" t="str">
            <v>CD43. MARCADOR DE CELULAS T. INMUNOGLOBULINA MONOCLONAL DE RATON ANTIHUMANO. PARA SER USADO EN TEJIDO FIJADO EN FORMALINA Y EMBEBIDO EN PARAFINA. FRASCO 1 - 2 mL CONCENTRADO. MILILITRO</v>
          </cell>
          <cell r="G356" t="str">
            <v>mL</v>
          </cell>
        </row>
        <row r="357">
          <cell r="E357">
            <v>2008016</v>
          </cell>
          <cell r="F357" t="str">
            <v>CD45 LCA. ANTIGENO COMUN LEUCOCITARIO. INMUNOGLOBULINA MONOCLONAL DE RATON ANTIHUMANO. PARA SER USADO EN TEJIDO FIJADO EN FORMALINA Y EMBEBIDO EN PARAFINA. FRASCO 1 - 2 mL CONCENTRADO. MILILITRO</v>
          </cell>
          <cell r="G357" t="str">
            <v>mL</v>
          </cell>
        </row>
        <row r="358">
          <cell r="E358">
            <v>2008017</v>
          </cell>
          <cell r="F358" t="str">
            <v>CD45 RA. ANTIGENO DE CELULAS B. INMUNOGLOBULINA MONOCLONAL DE RATON ANTIHUMANO. PARA SER USADO EN TEJIDO FIJADO EN FORMALINA Y EMBEBIDO EN PARAFINA. FRASCO 1 - 2 mL CONCENTRADO. MILILITRO</v>
          </cell>
          <cell r="G358" t="str">
            <v>mL</v>
          </cell>
        </row>
        <row r="359">
          <cell r="E359">
            <v>2008018</v>
          </cell>
          <cell r="F359" t="str">
            <v>CD45 R. INMUNOGLOBULINA MONOCLONAL DE RATON ANTIHUMANO. PARA SER USADO EN TEJIDO FIJADO EN FORMALINA Y EMBEBIDO EN PARAFINA. FRASCO 1 - 2 mL CONCENTRADO. MILILITRO</v>
          </cell>
          <cell r="G359" t="str">
            <v>mL</v>
          </cell>
        </row>
        <row r="360">
          <cell r="E360">
            <v>2008019</v>
          </cell>
          <cell r="F360" t="str">
            <v>CD45 RO. ANTIGENO DE CELULAS T. INMUNOGLOBULINA MONOCLONAL DE RATON ANTIHUMANO. PARA SER USADO EN TEJIDO FIJADO EN FORMALINA Y EMBEBIDO EN PARAFINA. FRASCO 1 - 2 mL CONCENTRADO. MILILITRO</v>
          </cell>
          <cell r="G360" t="str">
            <v>mL</v>
          </cell>
        </row>
        <row r="361">
          <cell r="E361">
            <v>2008020</v>
          </cell>
          <cell r="F361" t="str">
            <v>CD79. MARCADOR DE CELULAS B. INMUNOGLOBULINA MONOCLONAL DE RATON ANTIHUMANO. PARA SER USADO EN TEJIDO FIJADO EN FORMALINA Y EMBEBIDO EN PARAFINA. FRASCO 1 - 2 mL CONCENTRADO. MILILITRO</v>
          </cell>
          <cell r="G361" t="str">
            <v>mL</v>
          </cell>
        </row>
        <row r="362">
          <cell r="E362">
            <v>2008021</v>
          </cell>
          <cell r="F362" t="str">
            <v>KAPPA. INMUNOGLOBULINA MONOCLONAL DE RATON ANTIHUMANO. PARA SER USADO EN TEJIDO FIJADO EN FORMALINA Y EMBEBIDO EN PARAFINA. FRASCO 1 - 2 mL CONCENTRADO. MILILITRO</v>
          </cell>
          <cell r="G362" t="str">
            <v>mL</v>
          </cell>
        </row>
        <row r="363">
          <cell r="E363">
            <v>2008022</v>
          </cell>
          <cell r="F363" t="str">
            <v>LAMBDA. ANTIGENO PARA CADENAS LIVIANAS. INMUNOGLOBULINA MONOCLONAL DE RATON ANTIHUMANO. PARA SER USADO EN TEJIDO FIJADO EN FORMALINA Y EMBEBIDO EN PARAFINA. FRASCO 1 - 2 mL CONCENTRADO. MILILITRO</v>
          </cell>
          <cell r="G363" t="str">
            <v>mL</v>
          </cell>
        </row>
        <row r="364">
          <cell r="E364">
            <v>2008023</v>
          </cell>
          <cell r="F364" t="str">
            <v>MIELOPEROXIDASA. INMUNOGLOBULINA MONOCLONAL DE RATON ANTIHUMANO. PARA SER USADO EN TEJIDO FIJADO EN FORMALINA Y EMBEBIDO EN PARAFINA. FRASCO 1 - 2 mL CONCENTRADO. MILILITRO</v>
          </cell>
          <cell r="G364" t="str">
            <v>mL</v>
          </cell>
        </row>
        <row r="365">
          <cell r="E365">
            <v>2008024</v>
          </cell>
          <cell r="F365" t="str">
            <v>GLICOFORINA A. INMUNOGLOBULINA MONOCLONAL DE RATON ANTIHUMANO. PARA SER USADO EN TEJIDO FIJADO EN FORMALINA Y EMBEBIDO EN PARAFINA. FRASCO 1 - 2 mL CONCENTRADO. MILILITRO</v>
          </cell>
          <cell r="G365" t="str">
            <v>mL</v>
          </cell>
        </row>
        <row r="366">
          <cell r="E366">
            <v>2008025</v>
          </cell>
          <cell r="F366" t="str">
            <v>HLA - DR INMUNOGLOBULINA MONOCLONAL DE RATON ANTIHUMANO. PARA SER USADO EN TEJIDO FIJADO EN FORMALINA Y EMBEBIDO EN PARAFINA. FRASCO 1 - 2 mL CONCENTRADO. MILILITRO</v>
          </cell>
          <cell r="G366" t="str">
            <v>mL</v>
          </cell>
        </row>
        <row r="367">
          <cell r="E367">
            <v>2008026</v>
          </cell>
          <cell r="F367" t="str">
            <v>CD74,  CELULAS B. INMUNOGLOBULINA MONOCLONAL DE RATON ANTIHUMANO. PARA SER USADO EN TEJIDO FIJADO EN FORMALINA Y EMBEBIDO EN PARAFINA. FRASCO 1 - 2 mL CONCENTRADO. MILILITRO</v>
          </cell>
          <cell r="G367" t="str">
            <v>mL</v>
          </cell>
        </row>
        <row r="368">
          <cell r="E368">
            <v>2008027</v>
          </cell>
          <cell r="F368" t="str">
            <v>FASCIN. INMUNOGLOBULINA MONOCLONAL DE RATON ANTIHUMANO. PARA SER USADO EN TEJIDO FIJADO EN FORMALINA Y EMBEBIDO EN PARAFINA. FRASCO 1 - 2 mL CONCENTRADO. MILILITRO</v>
          </cell>
          <cell r="G368" t="str">
            <v>mL</v>
          </cell>
        </row>
        <row r="369">
          <cell r="E369">
            <v>2008028</v>
          </cell>
          <cell r="F369" t="str">
            <v>CPP32  (CASPASA - 3)  INMUNOGLOBULINA POLICLONAL DE CONEJO ANTIHUMANO. PARA SER USADO EN TEJIDO FIJADO EN FORMALINA Y EMBEBIDO EN PARAFINA. FRASCO 1 - 2 mL CONCENTRADO. MILILITRO</v>
          </cell>
          <cell r="G369" t="str">
            <v>mL</v>
          </cell>
        </row>
        <row r="370">
          <cell r="E370">
            <v>2008029</v>
          </cell>
          <cell r="F370" t="str">
            <v>BAX. INMUNOGLOBULINA POLICLONAL DE CONEJO ANTIHUMANO. PARA SER USADO EN TEJIDO FIJADO EN FORMALINA Y EMBEBIDO EN PARAFINA. FRASCO 1 - 2 mL CONCENTRADO. MILILITRO</v>
          </cell>
          <cell r="G370" t="str">
            <v>mL</v>
          </cell>
        </row>
        <row r="371">
          <cell r="E371">
            <v>2008030</v>
          </cell>
          <cell r="F371" t="str">
            <v>BCL6. INMUNOGLOBULINA MONOCLONAL DE RATON ANTIHUMANO. PARA SER USADO EN TEJIDO FIJADO EN FORMALINA Y EMBEBIDO EN PARAFINA. FRASCO 1 - 2 mL CONCENTRADO. MILILITRO</v>
          </cell>
          <cell r="G371" t="str">
            <v>mL</v>
          </cell>
        </row>
        <row r="372">
          <cell r="E372">
            <v>2008031</v>
          </cell>
          <cell r="F372" t="str">
            <v>TDT. DESOXINUCLEOTIDIL TRANSFERASA TERMINAL  INMUNOGLOBULINA MONOCLONAL DE RATON ANTIHUMANO.PARA SER USADO EN TEJIDO FIJADO EN FORMALINA Y EMBEBIDO EN PARAFINA. FRASCO 1 - 2 mL CONCENTRADO. MILILITRO</v>
          </cell>
          <cell r="G372" t="str">
            <v>mL</v>
          </cell>
        </row>
        <row r="373">
          <cell r="E373">
            <v>2008032</v>
          </cell>
          <cell r="F373" t="str">
            <v>BLA 36. ANTIGENO DE LINFOCITOS B. INMUNOGLOBULINA MONOCLONAL DE RATON ANTIHUMANO. PARA SER USADO EN TEJIDO FIJADO EN FORMALINA Y EMBEBIDO EN PARAFINA. FRASCO 1 - 2 mL CONCENTRADO. MILILITRO</v>
          </cell>
          <cell r="G373" t="str">
            <v>mL</v>
          </cell>
        </row>
        <row r="374">
          <cell r="E374">
            <v>2008033</v>
          </cell>
          <cell r="F374" t="str">
            <v>CD 21. CELULAS B. INMUNOGLOBULINA MONOCLONAL DE RATON ANTIHUMANO. PARA SER USADO EN TEJIDO FIJADO EN FORMALINA Y EMBEBIDO EN PARAFINA. FRASCO 1 - 2 mL CONCENTRADO. MILILITRO</v>
          </cell>
          <cell r="G374" t="str">
            <v>mL</v>
          </cell>
        </row>
        <row r="375">
          <cell r="E375">
            <v>2008034</v>
          </cell>
          <cell r="F375" t="str">
            <v>FERRITINA. INMUNOGLOBULINA POLICLONAL DE CONEJO ANTIHUMANO. PARA SER USADO EN TEJIDO FIJADO EN FORMALINA Y EMBEBIDO EN PARAFINA. FRASCO 1 - 2 mL CONCENTRADO. MILILITRO</v>
          </cell>
          <cell r="G375" t="str">
            <v>mL</v>
          </cell>
        </row>
        <row r="376">
          <cell r="E376">
            <v>2008035</v>
          </cell>
          <cell r="F376" t="str">
            <v>CD68. MARCADOR DE MONOCITO/MACROFAGO. INMUNOGLOBULINA MONOCLONAL DE RATON ANTIHUMANO. PARA SER USADO EN TEJIDO FIJADO EN FORMALINA Y EMBEBIDO EN PARAFINA. FRASCO 1 - 2 mL CONCENTRADO. MILILITRO</v>
          </cell>
          <cell r="G376" t="str">
            <v>mL</v>
          </cell>
        </row>
        <row r="377">
          <cell r="E377">
            <v>2008036</v>
          </cell>
          <cell r="F377" t="str">
            <v>ALFA - 1 - ANTITRIPSINA. INMUNOGLOBULINA POLICLONAL DE CONEJO ANTIHUMANO. PARA SER USADO EN TEJIDO FIJADO EN FORMALINA Y EMBEBIDO EN PARAFINA. FRASCO 1 - 2 mL CONCENTRADO. MILILITRO</v>
          </cell>
          <cell r="G377" t="str">
            <v>mL</v>
          </cell>
        </row>
        <row r="378">
          <cell r="E378">
            <v>2008037</v>
          </cell>
          <cell r="F378" t="str">
            <v>ALFA - 1 - ANTIQUIMOTRIPSINA. INMUNOGLOBULINA POLICLONAL DE CONEJO ANTIHUMANO. PARA SER USADO EN TEJIDO FIJADO EN FORMALINA Y EMBEBIDO EN PARAFINA. FRASCO 1 - 2 mL CONCENTRADO. MILILITRO</v>
          </cell>
          <cell r="G378" t="str">
            <v>mL</v>
          </cell>
        </row>
        <row r="379">
          <cell r="E379">
            <v>2008038</v>
          </cell>
          <cell r="F379" t="str">
            <v>LISOZIMA. INMUNOGLOBULINA POLICLONAL DE CONEJO ANTIHUMANO. PARA SER USADO EN TEJIDO FIJADO EN FORMALINA Y EMBEBIDO EN PARAFINA. FRASCO 1 - 2 mL CONCENTRADO. MILILITRO</v>
          </cell>
          <cell r="G379" t="str">
            <v>mL</v>
          </cell>
        </row>
        <row r="380">
          <cell r="E380">
            <v>2008039</v>
          </cell>
          <cell r="F380" t="str">
            <v>CD14. INMUNOGLOBULINA MONOCLONAL DE RATON ANTIHUMANO. PARA SER USADO EN TEJIDO FIJADO EN FORMALINA Y EMBEBIDO EN PARAFINA. FRASCO 1 - 2 mL CONCENTRADO. MILILITRO</v>
          </cell>
          <cell r="G380" t="str">
            <v>mL</v>
          </cell>
        </row>
        <row r="381">
          <cell r="E381">
            <v>2008040</v>
          </cell>
          <cell r="F381" t="str">
            <v>RECEPTOR DE ESTROGENOS (ER) . INMUNOGLOBULINA MONOCLONAL DE RATON ANTIHUMANO. PARA SER USADO EN TEJIDO FIJADO EN FORMALINA Y EMBEBIDO EN PARAFINA. FRASCO 1 - 2 mL CONCENTRADO. MILILITRO</v>
          </cell>
          <cell r="G381" t="str">
            <v>mL</v>
          </cell>
        </row>
        <row r="382">
          <cell r="E382">
            <v>2008041</v>
          </cell>
          <cell r="F382" t="str">
            <v>RECEPTOR DE PROGESTERONA  (PR)  INMUNOGLOBULINA MONOCLONAL DE CONEJO ANTIHUMANO. PARA SER USADO EN TEJIDO FIJADO EN FORMALINA Y EMBEBIDO EN PARAFINA. FRASCO 1 - 2 mL CONCENTRADO. MILILITRO</v>
          </cell>
          <cell r="G382" t="str">
            <v>mL</v>
          </cell>
        </row>
        <row r="383">
          <cell r="E383">
            <v>2008042</v>
          </cell>
          <cell r="F383" t="str">
            <v>SOMATOSTATINA. INMUNOGLOBULINA POLICLONAL DE CONEJO ANTIHUMANO. PARA SER USADO EN TEJIDO FIJADO EN FORMALINA Y EMBEBIDO EN PARAFINA. FRASCO 1 - 2 mL CONCENTRADO.  MILILITRO</v>
          </cell>
          <cell r="G383" t="str">
            <v>mL</v>
          </cell>
        </row>
        <row r="384">
          <cell r="E384">
            <v>2008043</v>
          </cell>
          <cell r="F384" t="str">
            <v>HORMONA ADENOCORTICOTROPICA  (ACTH) . INMUNOGLOBULINA POLICLONAL DE CONEJO ANTIHUMANO. PARA SER USADO EN TEJIDO FIJADO EN FORMALINA Y EMBEBIDO EN PARAFINA. FRASCO 1 - 2 mL CONCENTRADO.  MILILITRO</v>
          </cell>
          <cell r="G384" t="str">
            <v>mL</v>
          </cell>
        </row>
        <row r="385">
          <cell r="E385">
            <v>2008044</v>
          </cell>
          <cell r="F385" t="str">
            <v>HORMONA LUTEINIZANTE  (LH) . INMUNOGLOBULINA POLICLONAL DE CONEJO ANTIHUMANO. PARA SER USADO EN TEJIDO FIJADO EN FORMALINA Y EMBEBIDO EN PARAFINA. FRASCO 1 - 2 mL CONCENTRADO.  MILILITRO</v>
          </cell>
          <cell r="G385" t="str">
            <v>mL</v>
          </cell>
        </row>
        <row r="386">
          <cell r="E386">
            <v>2008045</v>
          </cell>
          <cell r="F386" t="str">
            <v>PROLACTINA. INMUNOGLOBULINA POLICLONAL DE CONEJO ANTIHUMANO. PARA SER USADO EN TEJIDO FIJADO EN FORMALINA Y EMBEBIDO EN PARAFINA. FRASCO 1 - 2 mL CONCENTRADO.  MILILITRO</v>
          </cell>
          <cell r="G386" t="str">
            <v>mL</v>
          </cell>
        </row>
        <row r="387">
          <cell r="E387">
            <v>2008046</v>
          </cell>
          <cell r="F387" t="str">
            <v>HORMONA ESTIMULANTE DEL TIROIDES  (TSH) . INMUNOGLOBULINA MONOCLONAL DE RATON ANTIHUMANO. PARA SER USADO EN TEJIDO FIJADO EN FORMALINA Y EMBEBIDO EN PARAFINA. FRASCO 1 - 2 mL CONCENTRADO.  MILILITRO</v>
          </cell>
          <cell r="G387" t="str">
            <v>mL</v>
          </cell>
        </row>
        <row r="388">
          <cell r="E388">
            <v>2008047</v>
          </cell>
          <cell r="F388" t="str">
            <v>HORMONA ESTIMULANTE DEL TIROIDES  (TSH) . INMUNOGLOBULINA POLICLONAL DE CONEJO ANTIHUMANO. PARA SER USADO EN TEJIDO FIJADO EN FORMALINA Y EMBEBIDO EN PARAFINA. FRASCO 1 - 2 mL CONCENTRADO.  MILILITRO</v>
          </cell>
          <cell r="G388" t="str">
            <v>mL</v>
          </cell>
        </row>
        <row r="389">
          <cell r="E389">
            <v>2008048</v>
          </cell>
          <cell r="F389" t="str">
            <v>HORMONA DEL CRECIMIENTO  (HGH) . INMUNOGLOBULINA POLICLONAL DE CONEJO ANTIHUMANO. PARA SER USADO EN TEJIDO FIJADO EN FORMALINA Y EMBEBIDO EN PARAFINA. FRASCO 1 - 2 mL CONCENTRADO.  MILILITRO</v>
          </cell>
          <cell r="G389" t="str">
            <v>mL</v>
          </cell>
        </row>
        <row r="390">
          <cell r="E390">
            <v>2008049</v>
          </cell>
          <cell r="F390" t="str">
            <v>GLUCAGON. INMUNOGLOBULINA POLICLONAL DE CONEJO ANTIHUMANO. PARA SER USADO EN TEJIDO FIJADO EN FORMALINA Y EMBEBIDO EN PARAFINA. FRASCO 1 - 2 mL CONCENTRADO.  MILILITRO</v>
          </cell>
          <cell r="G390" t="str">
            <v>mL</v>
          </cell>
        </row>
        <row r="391">
          <cell r="E391">
            <v>2008050</v>
          </cell>
          <cell r="F391" t="str">
            <v>HORMONA FOLICULOESTIMULANTE  (FSH) . INMUNOGLOBULINA MONOCLONAL DE RATON ANTIHUMANO.PARA SER USADO EN TEJIDO FIJADO EN FORMALINA Y EMBEBIDO EN PARAFINA. FRASCO 1 - 2 mL CONCENTRADO.  MILILITRO</v>
          </cell>
          <cell r="G391" t="str">
            <v>mL</v>
          </cell>
        </row>
        <row r="392">
          <cell r="E392">
            <v>2008051</v>
          </cell>
          <cell r="F392" t="str">
            <v>HORMONA FOLICULOESTIMULANTE  (FSH) . INMUNOGLOBULINA POLICLONAL DE CONEJO ANTIHUMANO. PARA SER USADO EN TEJIDO FIJADO EN FORMALINA Y EMBEBIDO EN PARAFINA. FRASCO 1 - 2 mL CONCENTRADO.  MILILITRO</v>
          </cell>
          <cell r="G392" t="str">
            <v>mL</v>
          </cell>
        </row>
        <row r="393">
          <cell r="E393">
            <v>2008052</v>
          </cell>
          <cell r="F393" t="str">
            <v>TIROGLOBULINA. INMUNOGLOBULINA POLICLONAL DE CONEJO ANTIHUMANO. PARA SER USADO EN TEJIDO FIJADO EN FORMALINA Y EMBEBIDO EN PARAFINA. FRASCO 1 - 2 mL CONCENTRADO.  MILILITRO</v>
          </cell>
          <cell r="G393" t="str">
            <v>mL</v>
          </cell>
        </row>
        <row r="394">
          <cell r="E394">
            <v>2008053</v>
          </cell>
          <cell r="F394" t="str">
            <v>GASTRINA. INMUNOGLOBULINA POLICLONAL DE CONEJO ANTIHUMANO. PARA SER USADO EN TEJIDO FIJADO EN FORMALINA Y EMBEBIDO EN PARAFINA. FRASCO 1 - 2 mL CONCENTRADO.  MILILITRO</v>
          </cell>
          <cell r="G394" t="str">
            <v>mL</v>
          </cell>
        </row>
        <row r="395">
          <cell r="E395">
            <v>2008054</v>
          </cell>
          <cell r="F395" t="str">
            <v>BOMBESINA  (GRP) . PEPTIDO RELACIONADO CON GASTRINA. INMUNOGLOBULINA POLICLONAL DE CONEJO ANTIHUMANO. PARA SER USADO EN TEJIDO FIJADO EN FORMALINA Y EMBEBIDO EN PARAFINA. FRASCO 1 - 2 mL CONCENTRADO.  MILILITRO</v>
          </cell>
          <cell r="G395" t="str">
            <v>mL</v>
          </cell>
        </row>
        <row r="396">
          <cell r="E396">
            <v>2008055</v>
          </cell>
          <cell r="F396" t="str">
            <v>CALCITONINA. INMUNOGLOBULINA POLICLONAL DE CONEJO ANTIHUMANO. PARA SER USADO EN TEJIDO FIJADO EN FORMALINA Y EMBEBIDO EN PARAFINA. FRASCO 1 - 2 mL CONCENTRADO.  MILILITRO</v>
          </cell>
          <cell r="G396" t="str">
            <v>mL</v>
          </cell>
        </row>
        <row r="397">
          <cell r="E397">
            <v>2008056</v>
          </cell>
          <cell r="F397" t="str">
            <v>HORMONA GONADOTROPINA CORIONICA  (HCG) . INMUNOGLOBULINA POLICLONAL DE CONEJO ANTIHUMANO. PARA SER USADO EN TEJIDO FIJADO EN FORMALINA Y EMBEBIDO EN PARAFINA. FRASCO 1 - 2 mL CONCENTRADO.  MILILITRO</v>
          </cell>
          <cell r="G397" t="str">
            <v>mL</v>
          </cell>
        </row>
        <row r="398">
          <cell r="E398">
            <v>2008057</v>
          </cell>
          <cell r="F398" t="str">
            <v>HORMONA LACTOGENO PLACENTARIO  (HPL) . INMUNOGLOBULINA POLICLONAL DE CONEJO ANTIHUMANO. PARA SER USADO EN TEJIDO FIJADO EN FORMALINA Y EMBEBIDO EN PARAFINA. FRASCO 1 - 2 mL CONCENTRADO.  MILILITRO</v>
          </cell>
          <cell r="G398" t="str">
            <v>mL</v>
          </cell>
        </row>
        <row r="399">
          <cell r="E399">
            <v>2008058</v>
          </cell>
          <cell r="F399" t="str">
            <v>RECEPTOR ANDROGENICO. INMUNOGLOBULINA MONOCLONAL DE RATON ANTIHUMANO. PARA SER USADO EN TEJIDO FIJADO EN FORMALINA Y EMBEBIDO EN PARAFINA. FRASCO 1 - 2 mL CONCENTRADO.  MILILITRO</v>
          </cell>
          <cell r="G399" t="str">
            <v>mL</v>
          </cell>
        </row>
        <row r="400">
          <cell r="E400">
            <v>2008059</v>
          </cell>
          <cell r="F400" t="str">
            <v>INSULINA. INMUNOGLOBULINA POLICLONAL DE CONEJO ANTIHUMANO. PARA SER USADO EN TEJIDO FIJADO EN FORMALINA Y EMBEBIDO EN PARAFINA. FRASCO 1 - 2 mL CONCENTRADO.  MILILITRO</v>
          </cell>
          <cell r="G400" t="str">
            <v>mL</v>
          </cell>
        </row>
        <row r="401">
          <cell r="E401">
            <v>2008060</v>
          </cell>
          <cell r="F401" t="str">
            <v>CITOMEGALOVIRUS. INMUNOGLOBULINA MONOCLONAL DE RATON ANTIHUMANO. PARA SER USADO EN TEJIDO FIJADO EN FORMALINA Y EMBEBIDO EN PARAFINA. FRASCO 1 - 2 mL CONCENTRADO.  MILILITRO</v>
          </cell>
          <cell r="G401" t="str">
            <v>mL</v>
          </cell>
        </row>
        <row r="402">
          <cell r="E402">
            <v>2008061</v>
          </cell>
          <cell r="F402" t="str">
            <v>ANTIGENO INTERNO DE LA HEPATITIS B  (HBCAG) . INMUNOGLOBULINA POLICLONAL DE CONEJO ANTIHUMANO. PARA SER USADO EN TEJIDO FIJADO EN FORMALINA Y EMBEBIDO EN PARAFINA. FRASCO 1 - 2 mL CONCENTRADO.  MILILITRO</v>
          </cell>
          <cell r="G402" t="str">
            <v>mL</v>
          </cell>
        </row>
        <row r="403">
          <cell r="E403">
            <v>2008062</v>
          </cell>
          <cell r="F403" t="str">
            <v>ANTIGENO DE SUPERFICIE DE LA HEPATITIS B   (ANTI - HBSAG;3E7) . INMUNOGLOBULINA MONOCLONAL DE RATON ANTIHUMANO. PARA SER USADO EN TEJIDO FIJADO EN FORMALINA Y EMBEBIDO EN PARAFINA. FRASCO 1 - 2 mL CONCENTRADO.  MILILITRO</v>
          </cell>
          <cell r="G403" t="str">
            <v>mL</v>
          </cell>
        </row>
        <row r="404">
          <cell r="E404">
            <v>2008063</v>
          </cell>
          <cell r="F404" t="str">
            <v>VIRUS EPSTEIN BARR (LMP)  INMUNOGLOBULINA MONOCLONAL DE RATON ANTIHUMANO. PARA SER USADO EN TEJIDO FIJADO EN FORMALINA Y EMBEBIDO EN PARAFINA. FRASCO 1 - 2 mL CONCENTRADO.  MILILITRO</v>
          </cell>
          <cell r="G404" t="str">
            <v>mL</v>
          </cell>
        </row>
        <row r="405">
          <cell r="E405">
            <v>2008064</v>
          </cell>
          <cell r="F405" t="str">
            <v>HERPES SIMPLE TIPO I  (HSV) . INMUNOGLOBULINA POLICLONAL DE CONEJO ANTIHUMANO. PARA SER USADO EN TEJIDO FIJADO EN FORMALINA Y EMBEBIDO EN PARAFINA. FRASCO 1 - 2 mL CONCENTRADO.  MILILITRO</v>
          </cell>
          <cell r="G405" t="str">
            <v>mL</v>
          </cell>
        </row>
        <row r="406">
          <cell r="E406">
            <v>2008065</v>
          </cell>
          <cell r="F406" t="str">
            <v>HERPES SIMPLE TIPO II, INMUNOGLOBULINA POLICLONAL DE CONEJO ANTIHUMANO. PARA SER USADO EN TEJIDO FIJADO EN FORMALINA Y EMBEBIDO EN PARAFINA. FRASCO 1 - 2 mL CONCENTRADO. MILILITRO</v>
          </cell>
          <cell r="G406" t="str">
            <v>mL</v>
          </cell>
        </row>
        <row r="407">
          <cell r="E407">
            <v>2008066</v>
          </cell>
          <cell r="F407" t="str">
            <v>CRYPTOCOCCUS NEOFORMANS. INMUNOGLOBULINA POLICLONAL DE CONEJO ANTIHUMANO.PARA SER USADO EN TEJIDO FIJADO EN FORMALINA Y EMBEBIDO EN PARAFINA. FRASCO 1 - 2 mL CONCENTRADO.  MILILITRO</v>
          </cell>
          <cell r="G407" t="str">
            <v>mL</v>
          </cell>
        </row>
        <row r="408">
          <cell r="E408">
            <v>2008067</v>
          </cell>
          <cell r="F408" t="str">
            <v>VIRUS HUMANO DE INMUNODEFICIENCIA  (HIV - P24) . INMUNOGLOBULINA MONOCLONAL DE RATON ANTIHUMANO. PARA SER USADO EN TEJIDO FIJADO EN FORMALINA Y EMBEBIDO EN PARAFINA. FRASCO 1 - 2 mL CONCENTRADO.  MILILITRO</v>
          </cell>
          <cell r="G408" t="str">
            <v>mL</v>
          </cell>
        </row>
        <row r="409">
          <cell r="E409">
            <v>2008068</v>
          </cell>
          <cell r="F409" t="str">
            <v>PAPILOMA VIRUS  (HPV - 1) . INMUNOGLOBULINA POLICLONAL DE CONEJO ANTIHUMANO. PARA SER USADO EN TEJIDO FIJADO EN FORMALINA Y EMBEBIDO EN PARAFINA. FRASCO 1 - 2 mL CONCENTRADO.  MILILITRO</v>
          </cell>
          <cell r="G409" t="str">
            <v>mL</v>
          </cell>
        </row>
        <row r="410">
          <cell r="E410">
            <v>2008069</v>
          </cell>
          <cell r="F410" t="str">
            <v>PENUMOCYSTIS CARINII  (P.CARINII) . INMUNOGLOBULINA MONOCLONAL DE RATON ANTIHUMANO. PARA SER USADO EN TEJIDO FIJADO EN FORMALINA Y EMBEBIDO EN PARAFINA. FRASCO 1 - 2 mL CONCENTRADO.  MILILITRO</v>
          </cell>
          <cell r="G410" t="str">
            <v>mL</v>
          </cell>
        </row>
        <row r="411">
          <cell r="E411">
            <v>2008070</v>
          </cell>
          <cell r="F411" t="str">
            <v>ASPERGILUS. INMUNOGLOBULINA MONOCLONAL DE RATON ANTIHUMANO. PARA SER USADO EN TEJIDO FIJADO EN FORMALINA Y EMBEBIDO EN PARAFINA. FRASCO 1 - 2 mL CONCENTRADO.  MILILITRO</v>
          </cell>
          <cell r="G411" t="str">
            <v>mL</v>
          </cell>
        </row>
        <row r="412">
          <cell r="E412">
            <v>2008071</v>
          </cell>
          <cell r="F412" t="str">
            <v>FACTOR VIII (VON WILLEBRAND) . INMUNOGLOBULINA MONOCLONAL DE RATON ANTIHUMANO. PARA SER USADO EN TEJIDO FIJADO EN FORMALINA Y EMBEBIDO EN PARAFINA. FRASCO 1 - 2 mL CONCENTRADO.  MILILITRO</v>
          </cell>
          <cell r="G412" t="str">
            <v>mL</v>
          </cell>
        </row>
        <row r="413">
          <cell r="E413">
            <v>2008072</v>
          </cell>
          <cell r="F413" t="str">
            <v>FACTOR VIII ANTIGENO RELACIONADO. INMUNOGLOBULINA POLICLONAL DE CONEJO ANTIHUMANO. PARA SER USADO EN TEJIDO FIJADO EN FORMALINA Y EMBEBIDO EN PARAFINA. FRASCO 1 - 2 mL CONCENTRADO.  MILILITRO</v>
          </cell>
          <cell r="G413" t="str">
            <v>mL</v>
          </cell>
        </row>
        <row r="414">
          <cell r="E414">
            <v>2008073</v>
          </cell>
          <cell r="F414" t="str">
            <v>CD34. ANTIGENO DE CELULAS PROGENITORAS HEMATOPOYETICAS. CLASE II. INMUNOGLOBULINA MONOCLONAL DE RATON ANTIHUMANO. PARA SER USADO EN TEJIDO FIJADO EN FORMALINA Y EMBEBIDO EN PARAFINA. FRASCO 1 - 2 mL CONCENTRADO.  MILILITRO</v>
          </cell>
          <cell r="G414" t="str">
            <v>mL</v>
          </cell>
        </row>
        <row r="415">
          <cell r="E415">
            <v>2008074</v>
          </cell>
          <cell r="F415" t="str">
            <v>CD 105. INMUNOGLOBULINA MONOCLONAL DE RATON ANTIHUMANO. PARA SER USADO EN TEJIDO FIJADO EN FORMALINA Y EMBEBIDO EN PARAFINA. FRASCO 1 - 2 mL CONCENTRADO.  MILILITRO</v>
          </cell>
          <cell r="G415" t="str">
            <v>mL</v>
          </cell>
        </row>
        <row r="416">
          <cell r="E416">
            <v>2008075</v>
          </cell>
          <cell r="F416" t="str">
            <v>CD31. MARCADOR DE CELULAS  ENDOTELIALES. INMUNOGLOBULINA MONOCLONAL DE RATON ANTIHUMANO.  PARA SER USADO EN TEJIDO FIJADO EN FORMALINA Y EMBEBIDO EN PARAFINA. FRASCO 1 - 2 mL CONCENTRADO. MILILITRO</v>
          </cell>
          <cell r="G416" t="str">
            <v>mL</v>
          </cell>
        </row>
        <row r="417">
          <cell r="E417">
            <v>2008076</v>
          </cell>
          <cell r="F417" t="str">
            <v>CITOQUERATINA A1/AE3 "COCTEL",  INMUNOGLOBULINA MONOCLONAL DE RATON ANTIHUMANO. PARA SER USADO EN TEJIDO FIJADO EN FORMALINA Y EMBEBIDO EN PARAFINA. FRASCO 1 - 2 mL CONCENTRADO. MILILITRO</v>
          </cell>
          <cell r="G417" t="str">
            <v>mL</v>
          </cell>
        </row>
        <row r="418">
          <cell r="E418">
            <v>2008077</v>
          </cell>
          <cell r="F418" t="str">
            <v>ANTIGENO DE MEMBRANA EPITELIAL EMA. INMUNOGLOBULINA MONOCLONAL DE RATON ANTIHUMANO. PARA SER USADO EN TEJIDO FIJADO EN FORMALINA Y EMBEBIDO EN PARAFINA. FRASCO 1 - 2 mL CONCENTRADO. MILILITRO</v>
          </cell>
          <cell r="G418" t="str">
            <v>mL</v>
          </cell>
        </row>
        <row r="419">
          <cell r="E419">
            <v>2008078</v>
          </cell>
          <cell r="F419" t="str">
            <v>ANTIGENO CARCINOEMBRIONARIO CEA. INMUNOGLOBULINA MONOCLONAL DE RATON ANTIHUMANO. PARA SER USADO EN TEJIDO FIJADO EN FORMALINA Y EMBEBIDO EN PARAFINA. FRASCO 1 - 2 mL CONCENTRADO. MILILITRO</v>
          </cell>
          <cell r="G419" t="str">
            <v>mL</v>
          </cell>
        </row>
        <row r="420">
          <cell r="E420">
            <v>2008079</v>
          </cell>
          <cell r="F420" t="str">
            <v>ANTIGENO CARCINOEMBRIONARIO CEA. INMUNOGLOBULINA POLICLONAL DE CONEJO ANTIHUMANO. PARA SER USADO EN TEJIDO FIJADO EN FORMALINA Y EMBEBIDO EN PARAFINA. FRASCO 1 - 2 mL CONCENTRADO. MILILITRO</v>
          </cell>
          <cell r="G420" t="str">
            <v>mL</v>
          </cell>
        </row>
        <row r="421">
          <cell r="E421">
            <v>2008080</v>
          </cell>
          <cell r="F421" t="str">
            <v>CITOQUERATINA 7. INMUNOGLOBULINA MONOCLONAL DE RATON ANTIHUMANO. PARA SER USADO EN TEJIDO FIJADO EN FORMALINA Y EMBEBIDO EN PARAFINA. FRASCO 1 - 2 mL CONCENTRADO. MILILITRO</v>
          </cell>
          <cell r="G421" t="str">
            <v>mL</v>
          </cell>
        </row>
        <row r="422">
          <cell r="E422">
            <v>2008081</v>
          </cell>
          <cell r="F422" t="str">
            <v>CITOQUERATINA 20. INMUNOGLOBULINA MONOCLONAL DE RATON ANTIHUMANO. PARA SER USADO EN TEJIDO FIJADO EN FORMALINA Y EMBEBIDO EN PARAFINA. FRASCO 1 - 2 mL CONCENTRADO. MILILITRO</v>
          </cell>
          <cell r="G422" t="str">
            <v>mL</v>
          </cell>
        </row>
        <row r="423">
          <cell r="E423">
            <v>2008082</v>
          </cell>
          <cell r="F423" t="str">
            <v>CA - 125. INMUNOGLOBULINA MONOCLONAL DE RATON ANTIHUMANO. PARA SER USADO EN TEJIDO FIJADO EN FORMALINA Y EMBEBIDO EN PARAFINA. FCO.1 - 2 mL CONCENTRADO. MILILITRO</v>
          </cell>
          <cell r="G423" t="str">
            <v>mL</v>
          </cell>
        </row>
        <row r="424">
          <cell r="E424">
            <v>2008083</v>
          </cell>
          <cell r="F424" t="str">
            <v>CA - 15 - 3. INMUNOGLOBULINA MONOCLONAL DE RATON ANTIHUMANO. PARA SER USADO EN TEJIDO FIJADO EN FORMALINA Y EMBEBIDO EN PARAFINA. FRASCO 1 - 2 mL CONCENTRADO. MILILITRO</v>
          </cell>
          <cell r="G424" t="str">
            <v>mL</v>
          </cell>
        </row>
        <row r="425">
          <cell r="E425">
            <v>2008084</v>
          </cell>
          <cell r="F425" t="str">
            <v>CA - 19 - 9. INMUNOGLOBULINA MONOCLONAL DE RATON ANTIHUMANO. PARA SER USADO EN TEJIDO FIJADO EN FORMALINA Y EMBEBIDO EN PARAFINA. FRASCO 1 - 2 mL CONCENTRADO. MILILITRO</v>
          </cell>
          <cell r="G425" t="str">
            <v>mL</v>
          </cell>
        </row>
        <row r="426">
          <cell r="E426">
            <v>2008085</v>
          </cell>
          <cell r="F426" t="str">
            <v>CALDESMON. MARCADOR CELULAS MIOEPITELIALES INMUNOGLOBULINA MONOCLONAL DE RATON ANTIHUMANO. PARA SER USADO EN TEJIDO FIJADO EN FORMALINA Y EMBEBIDO EN PARAFINA. FRASCO 1 - 2 mL CONCENTRADO. MILILITRO</v>
          </cell>
          <cell r="G426" t="str">
            <v>mL</v>
          </cell>
        </row>
        <row r="427">
          <cell r="E427">
            <v>2008086</v>
          </cell>
          <cell r="F427" t="str">
            <v>VIMENTINA. INMUNOGLOBULINA MONOCLONAL DE RATON ANTIHUMANO. PARA SER USADO EN TEJIDO FIJADO EN FORMALINA Y EMBEBIDO EN PARAFINA. FRASCO 1 - 2 mL CONCENTRADO. MILILITRO</v>
          </cell>
          <cell r="G427" t="str">
            <v>mL</v>
          </cell>
        </row>
        <row r="428">
          <cell r="E428">
            <v>2008087</v>
          </cell>
          <cell r="F428" t="str">
            <v>DESMINA. INMUNOGLOBULINA MONOCLONAL DE RATON ANTIHUMANO. PARA SER USADO EN TEJIDO FIJADO EN FORMALINA Y EMBEBIDO EN PARAFINA. FRASCO 1 - 2 mL CONCENTRADO. MILILITRO</v>
          </cell>
          <cell r="G428" t="str">
            <v>mL</v>
          </cell>
        </row>
        <row r="429">
          <cell r="E429">
            <v>2008088</v>
          </cell>
          <cell r="F429" t="str">
            <v>MIOGLOBINA. INMUNOGLOBULINA POLICLONAL DE CONEJO ANTIHUMANO. PARA SER USADO EN TEJIDO FIJADO EN FORMALINA Y EMBEBIDO EN PARAFINA. FRASCO 1 - 2 mL CONCENTRADO. MILILITRO</v>
          </cell>
          <cell r="G429" t="str">
            <v>mL</v>
          </cell>
        </row>
        <row r="430">
          <cell r="E430">
            <v>2008089</v>
          </cell>
          <cell r="F430" t="str">
            <v>ACTINA DE MUSCULO LISO. INMUNOGLOBULINA MONOCLONAL DE RATON ANTIHUMANO. PARA SER USADO EN TEJIDO FIJADO EN FORMALINA Y EMBEBIDO EN PARAFINA. FRASCO 1 - 2 mL CONCENTRADO. MILILITRO</v>
          </cell>
          <cell r="G430" t="str">
            <v>mL</v>
          </cell>
        </row>
        <row r="431">
          <cell r="E431">
            <v>2008090</v>
          </cell>
          <cell r="F431" t="str">
            <v>PROTEINA ACIDA FIBRILAR DE LA GLIA GFAP. INMUNOGLOBULINA MONOCLONAL DE RATON ANTIHUMANO. PARA SER USADO EN TEJIDO FIJADO EN FORMALINA Y EMBEBIDO EN PARAFINA. FRASCO 1 - 2 mL CONCENTRADO. MILILITRO</v>
          </cell>
          <cell r="G431" t="str">
            <v>mL</v>
          </cell>
        </row>
        <row r="432">
          <cell r="E432">
            <v>2008091</v>
          </cell>
          <cell r="F432" t="str">
            <v>GFAP. INMUNOGLOBULINA POLICLONAL DE CONEJO ANTIVACA. PARA SER USADO EN TEJIDO FIJADO EN FORMALINA Y EMBEBIDO EN PARAFINA. FRASCO 1 - 2 mL CONCENTRADO. MILILITRO</v>
          </cell>
          <cell r="G432" t="str">
            <v>mL</v>
          </cell>
        </row>
        <row r="433">
          <cell r="E433">
            <v>2008092</v>
          </cell>
          <cell r="F433" t="str">
            <v>ACTINA SARCOMERICA. INMUNOGLOBULINA MONOCLONAL DE RATON ANTIHUMANO. PARA SER USADO EN TEJIDO FIJADO EN FORMALINA Y EMBEBIDO EN PARAFINA. FRASCO 1 - 2 mL CONCENTRADO. MILILITRO</v>
          </cell>
          <cell r="G433" t="str">
            <v>mL</v>
          </cell>
        </row>
        <row r="434">
          <cell r="E434">
            <v>2008093</v>
          </cell>
          <cell r="F434" t="str">
            <v>MIOGENINA. INMUNOGLOBULINA MONOCLONAL DE RATON ANTIHUMANO. PARA SER USADO EN TEJIDO FIJADO EN FORMALINA Y EMBEBIDO EN PARAFINA. FRASCO 1 - 2 mL CONCENTRADO. MILILITRO</v>
          </cell>
          <cell r="G434" t="str">
            <v>mL</v>
          </cell>
        </row>
        <row r="435">
          <cell r="E435">
            <v>2008094</v>
          </cell>
          <cell r="F435" t="str">
            <v>ENOLASA NEURONAL ESPECIFICA NSE. INMUNOGLOBULINA POLICLONAL DE CONEJO ANTIHUMANO. PARA SER USADO EN TEJIDO FIJADO EN FORMALINA Y EMBEBIDO EN PARAFINA. FRASCO 1 - 2 mL CONCENTRADO. MILILITRO</v>
          </cell>
          <cell r="G435" t="str">
            <v>mL</v>
          </cell>
        </row>
        <row r="436">
          <cell r="E436">
            <v>2008095</v>
          </cell>
          <cell r="F436" t="str">
            <v>PROTEINA NEUROFILAMENTO. INMUNOGLOBULINA MONOCLONAL DE RATON ANTIHUMANO. PARA SER USADO EN TEJIDO FIJADO EN FORMALINA Y EMBEBIDO EN PARAFINA. FRASCO 1 - 2 mL CONCENTRADO. MILILITRO</v>
          </cell>
          <cell r="G436" t="str">
            <v>mL</v>
          </cell>
        </row>
        <row r="437">
          <cell r="E437">
            <v>2008096</v>
          </cell>
          <cell r="F437" t="str">
            <v>NSE. INMUNOGLOBULINA MONOCLONAL DE RATON ANTIHUMANO.PARA SER USADO EN TEJIDO FIJADO EN FORMALINA Y EMBEBIDO EN PARAFINA. FRASCO 1 - 2 mL CONCENTRADO. MILILITRO</v>
          </cell>
          <cell r="G437" t="str">
            <v>mL</v>
          </cell>
        </row>
        <row r="438">
          <cell r="E438">
            <v>2008097</v>
          </cell>
          <cell r="F438" t="str">
            <v>SINAPTOFISINA. INMUNOGLOBULINA POLICLONAL DE CONEJO ANTIHUMANO.PARA SER USADO EN TEJIDO FIJADO EN FORMALINA Y EMBEBIDO EN PARAFINA. FRASCO 1 - 2 mL CONCENTRADO. MILILITRO</v>
          </cell>
          <cell r="G438" t="str">
            <v>mL</v>
          </cell>
        </row>
        <row r="439">
          <cell r="E439">
            <v>2008098</v>
          </cell>
          <cell r="F439" t="str">
            <v>CROMOGRANINA  A. INMUNOGLOBULINA MONOCLONAL DE RATON ANTIHUMANO.PARA SER USADO EN TEJIDO FIJADO EN FORMALINA Y EMBEBIDO EN PARAFINA. FRASCO 1 - 2 mL CONCENTRADO. MILILITRO</v>
          </cell>
          <cell r="G439" t="str">
            <v>mL</v>
          </cell>
        </row>
        <row r="440">
          <cell r="E440">
            <v>2008099</v>
          </cell>
          <cell r="F440" t="str">
            <v>PROTEINA P - 53. INMUNOGLOBULINA MONOCLONAL DE RATON ANTIHUMANO.PARA SER USADO EN TEJIDO FIJADO EN FORMALINA Y EMBEBIDO EN PARAFINA. FRASCO 1 - 2 mL CONCENTRADO. MILILITRO</v>
          </cell>
          <cell r="G440" t="str">
            <v>mL</v>
          </cell>
        </row>
        <row r="441">
          <cell r="E441">
            <v>2008100</v>
          </cell>
          <cell r="F441" t="str">
            <v>BCL - 2 ONCOPROTEINA. INMUNOGLOBULINA MONOCLONAL DE RATON ANTIHUMANO.PARA SER USADO EN TEJIDO FIJADO EN FORMALINA Y EMBEBIDO EN PARAFINA. FRASCO 1 - 2 mL CONCENTRADO. MILILITRO</v>
          </cell>
          <cell r="G441" t="str">
            <v>mL</v>
          </cell>
        </row>
        <row r="442">
          <cell r="E442">
            <v>2008101</v>
          </cell>
          <cell r="F442" t="str">
            <v>ALFAFETOPROTEINA  (AFP) . INMUNOGLOBULINA POLICLONAL DE CONEJO ANTIHUMANO. PARA SER USADO EN TEJIDO FIJADO EN FORMALINA Y EMBEBIDO EN PARAFINA. FRASCO 1 - 2 mL CONCENTRADO. MILILITRO</v>
          </cell>
          <cell r="G442" t="str">
            <v>MILILITRO</v>
          </cell>
        </row>
        <row r="443">
          <cell r="E443">
            <v>2008102</v>
          </cell>
          <cell r="F443" t="str">
            <v>CD99  (MIC - 2)  MARCADOR DE SARCOMA DE EWING. INMUNOGLOBULINA MONOCLONAL DE RATON ANTIHUMANO.PARA SER USADO EN TEJIDO FIJADO EN FORMALINA Y EMBEBIDO EN PARAFINA. FRASCO 1 - 2 mL CONCENTRADO. MILILITRO</v>
          </cell>
          <cell r="G443" t="str">
            <v>mL</v>
          </cell>
        </row>
        <row r="444">
          <cell r="E444">
            <v>2008103</v>
          </cell>
          <cell r="F444" t="str">
            <v xml:space="preserve">KI - 67. INMUNOGLOBULINA MONOCLONAL DE RATON ANTIHUMANO.PARA SER USADO EN TEJIDO FIJADO EN FORMALINA Y EMBEBIDO EN PARAFINA. FRASCO 1 - 2 mL CONCENTRADO. MILILITRO </v>
          </cell>
          <cell r="G444" t="str">
            <v>mL</v>
          </cell>
        </row>
        <row r="445">
          <cell r="E445">
            <v>2008104</v>
          </cell>
          <cell r="F445" t="str">
            <v>PCNA ANTIGENO DE PROLIFERACION NUCLEAR INMUNOGLOBULINA MONOCLONAL DE RATON ANTIHUMANO. PARA SER USADO EN TEJIDO FIJADO EN FORMALINA Y EMBEBIDO EN PARAFINA. FRASCO 1 - 2 mL CONCENTRADO. MILILITRO</v>
          </cell>
          <cell r="G445" t="str">
            <v>mL</v>
          </cell>
        </row>
        <row r="446">
          <cell r="E446">
            <v>2008105</v>
          </cell>
          <cell r="F446" t="str">
            <v xml:space="preserve">FACTOR DE CRECIMIENTO EPIDERMICO.PARA SER USADO EN TEJIDO FIJADO EN FORMALINA Y EMBEBIDO EN PARAFINA. FRASCO 1 - 2 mL CONCENTRADO. MILILITRO </v>
          </cell>
          <cell r="G446" t="str">
            <v>mL</v>
          </cell>
        </row>
        <row r="447">
          <cell r="E447">
            <v>2008106</v>
          </cell>
          <cell r="F447" t="str">
            <v>LAMININA. INMUNOGLOBULINA MONOCLONAL DE RATON ANTIHUMANO.PARA SER USADO EN TEJIDO FIJADO EN FORMALINA Y EMBEBIDO EN PARAFINA. FRASCO 1 - 2 mL CONCENTRADO. MILILITRO</v>
          </cell>
          <cell r="G447" t="str">
            <v>mL</v>
          </cell>
        </row>
        <row r="448">
          <cell r="E448">
            <v>2008107</v>
          </cell>
          <cell r="F448" t="str">
            <v>COLAGENO IV,  MARCADOR DE MEMBRANA BASAL. INMUNOGLOBULINA MONOCLONAL DE RATON ANTIHUMANO. PARA SER USADO EN TEJIDO FIJADO EN FORMALINA Y EMBEBIDO EN PARAFINA. FRASCO 1 - 2 mL CONCENTRADO. MILILITRO</v>
          </cell>
          <cell r="G448" t="str">
            <v>mL</v>
          </cell>
        </row>
        <row r="449">
          <cell r="E449">
            <v>2008108</v>
          </cell>
          <cell r="F449" t="str">
            <v>CICLIDINA - D1. INMUNOGLOBULINA MONOCLONAL DE RATON ANTIHUMANO. PARA SER USADO EN TEJIDO FIJADO EN FORMALINA Y EMBEBIDO EN PARAFINA. FRASCO 1 - 2 mL CONCENTRADO. MILILITRO</v>
          </cell>
          <cell r="G449" t="str">
            <v>mL</v>
          </cell>
        </row>
        <row r="450">
          <cell r="E450">
            <v>2008109</v>
          </cell>
          <cell r="F450" t="str">
            <v xml:space="preserve">DETECCION DE SOBRE EXPRESION PROTEINA HER2. PARA SER USADO EN TEJIDO FIJADO EN FORMALINA Y EMBEBIDO EN PARAFINA.  SET PARA 35 - 50 PRUEBAS, (INCLUIR TODOS LOS REACTIVOS PARA REALIZAR LA TECNICA, INCLUYENDO CONTROLES POSITIVOS). SET </v>
          </cell>
          <cell r="G450" t="str">
            <v>mL</v>
          </cell>
        </row>
        <row r="451">
          <cell r="E451">
            <v>2008110</v>
          </cell>
          <cell r="F451" t="str">
            <v>AG PROSTATICO ESPECIFICO  (PSA) . INMUNOGLOBULINA MONOCLONAL DE RATON ANTIHUMANO. PARA SER USADO EN TEJIDO FIJADO EN FORMALINA Y EMBEBIDO EN PARAFINA. FRASCO 1 - 2 mL CONCENTRADO. MILILITRO</v>
          </cell>
          <cell r="G451" t="str">
            <v>mL</v>
          </cell>
        </row>
        <row r="452">
          <cell r="E452">
            <v>2008111</v>
          </cell>
          <cell r="F452" t="str">
            <v>FOSFATASA ACIDA PROSTATICA  (PSAP) . INMUNOGLOBULINA MONOCLONAL DE RATON ANTIHUMANO. PARA SER USADO EN TEJIDO FIJADO EN FORMALINA Y EMBEBIDO EN PARAFINA. FRASCO 1 - 2 mL CONCENTRADO. MILILITRO</v>
          </cell>
          <cell r="G452" t="str">
            <v>mL</v>
          </cell>
        </row>
        <row r="453">
          <cell r="E453">
            <v>2008112</v>
          </cell>
          <cell r="F453" t="str">
            <v>PROTEINA BASICA DE MIELINA MBP. INMUNOGLOBULINA POLICLONAL DE CONEJO ANTIHUMANO.PARA SER USADO EN TEJIDO FIJADO EN FORMALINA Y EMBEBIDO EN PARAFINA. FRASCO 1 - 2 mL CONCENTRADO.  MILILITRO</v>
          </cell>
          <cell r="G453" t="str">
            <v>mL</v>
          </cell>
        </row>
        <row r="454">
          <cell r="E454">
            <v>2008113</v>
          </cell>
          <cell r="F454" t="str">
            <v xml:space="preserve">HMB45 MELANOMA. INMUNOGLOBULINA MONOCLONAL DE RATON ANTIHUMANO.PARA SER USADO EN TEJIDO FIJADO EN FORMALINA Y EMBEBIDO EN PARAFINA. FRASCO 1 - 2 mL CONCENTRADO. MILILITRO </v>
          </cell>
          <cell r="G454" t="str">
            <v>mL</v>
          </cell>
        </row>
        <row r="455">
          <cell r="E455">
            <v>2008114</v>
          </cell>
          <cell r="F455" t="str">
            <v>S - 100 PROTEINA. INMUNOGLOBULINA POLICLONAL DE CONEJO ANTIHUMANO. PARA SER USADO EN TEJIDO FIJADO EN FORMALINA Y EMBEBIDO EN PARAFINA. FRASCO 1 - 2 mL CONCENTRADO. MILILITRO</v>
          </cell>
          <cell r="G455" t="str">
            <v>mL</v>
          </cell>
        </row>
        <row r="456">
          <cell r="E456">
            <v>2008115</v>
          </cell>
          <cell r="F456" t="str">
            <v xml:space="preserve">S - 100 PROTEINA FRACCION A. INMUNOGLOBULINA POLICLONAL DE CONEJO ANTIVACA.PARA SER USADO EN TEJIDO FIJADO EN FORMALINA Y EMBEBIDO EN PARAFINA. FRASCO 1 - 2 mL CONCENTRADO. MILILITRO </v>
          </cell>
          <cell r="G456" t="str">
            <v>mL</v>
          </cell>
        </row>
        <row r="457">
          <cell r="E457">
            <v>2008116</v>
          </cell>
          <cell r="F457" t="str">
            <v xml:space="preserve">MELAN - A. INMUNOGLOBULINA MONOCLONAL DE RATON ANTIHUMANO.PARA SER USADO EN TEJIDO FIJADO EN FORMALINA Y EMBEBIDO EN PARAFINA. FRASCO 1 - 2 mL CONCENTRADO. MILILITRO </v>
          </cell>
          <cell r="G457" t="str">
            <v>mL</v>
          </cell>
        </row>
        <row r="458">
          <cell r="E458">
            <v>2008117</v>
          </cell>
          <cell r="F458" t="str">
            <v>AG MESOTELIAL  INMUNOGLOBULINA MONOCLONAL DE RATON ANTIHUMANO. PARA SER USADO EN TEJIDO FIJADO EN FORMALINA Y EMBEBIDO EN PARAFINA. FRASCO 1 - 2 mL CONCENTRADO. MILILITRO</v>
          </cell>
          <cell r="G458" t="str">
            <v>mL</v>
          </cell>
        </row>
        <row r="459">
          <cell r="E459">
            <v>2008118</v>
          </cell>
          <cell r="F459" t="str">
            <v>BROMODEOXIURIDINA. INMUNOGLOBULINA MONOCLONAL DE RATON ANTIHUMANO. PARA SER USADO EN TEJIDO FIJADO EN FORMALINA Y EMBEBIDO EN PARAFINA. FRASCO 1 - 2 mL CONCENTRADO. MILILITRO</v>
          </cell>
          <cell r="G459" t="str">
            <v>mL</v>
          </cell>
        </row>
        <row r="460">
          <cell r="E460">
            <v>2008119</v>
          </cell>
          <cell r="F460" t="str">
            <v>IgA (CADENAS ALFA). INMUNOGLOBULINA MONOCLONAL DE RATON ANTIHUMANO. PARA SER USADO EN TEJIDO FIJADO EN FORMALINA Y EMBEBIDO EN PARAFINA. FRASCO 1 - 2 ML. CONCENTRADO. MILILITRO</v>
          </cell>
          <cell r="G460" t="str">
            <v>mL</v>
          </cell>
        </row>
        <row r="461">
          <cell r="E461">
            <v>2008120</v>
          </cell>
          <cell r="F461" t="str">
            <v>IgA  (CADENAS ALFA)  INMUNOGLOBULINA POLICLONAL DE CONEJO ANTIHUMANO. PARA SER USADO EN TEJIDO FIJADO EN FORMALINA Y EMBEBIDO EN PARAFINA. FRASCO 1 - 2 mL CONCENTRADO. MILILITRO</v>
          </cell>
          <cell r="G461" t="str">
            <v>mL</v>
          </cell>
        </row>
        <row r="462">
          <cell r="E462">
            <v>2008121</v>
          </cell>
          <cell r="F462" t="str">
            <v>IgG  (CADENAS GAMMA) . INMUNOGLOBULINA POLICLONAL DE CONEJO ANTIHUMANO. PARA SER USADO EN TEJIDO FIJADO EN FORMALINA Y EMBEBIDO EN PARAFINA. FRASCO 1 - 2 mL CONCENTRADO. MILILITRO</v>
          </cell>
          <cell r="G462" t="str">
            <v>mL</v>
          </cell>
        </row>
        <row r="463">
          <cell r="E463">
            <v>2008122</v>
          </cell>
          <cell r="F463" t="str">
            <v>IgM  (CADENAS MU) . INMUNOGLOBULINA POLICLONAL DE CONEJO ANTIHUMANO. PARA SER USADO EN TEJIDO FIJADO EN FORMALINA Y EMBEBIDO EN PARAFINA. FRASCO 1 - 2 mL CONCENTRADO. MILILITRO</v>
          </cell>
          <cell r="G463" t="str">
            <v>mL</v>
          </cell>
        </row>
        <row r="464">
          <cell r="E464">
            <v>2008123</v>
          </cell>
          <cell r="F464" t="str">
            <v>IgD  (CADENAS DELTA) . INMUNOGLOBULINA POLICLONAL DE CONEJO ANTIHUMANO. PARA SER USADO EN TEJIDO FIJADO EN FORMALINA Y EMBEBIDO EN PARAFINA. FRASCO 1 - 2 mL CONCENTRADO. MILILITRO</v>
          </cell>
          <cell r="G464" t="str">
            <v>mL</v>
          </cell>
        </row>
        <row r="465">
          <cell r="E465">
            <v>2008124</v>
          </cell>
          <cell r="F465" t="str">
            <v>IgD  (CADENAS DELTA) . INMUNOGLOBULINA MONOCLONAL DE RATON ANTIHUMANO. PARA SER USADO EN TEJIDO FIJADO EN FORMALINA Y EMBEBIDO EN PARAFINA. FRASCO 1 - 2 mL CONCENTRADO. MILILITRO</v>
          </cell>
          <cell r="G465" t="str">
            <v>MILILITRO</v>
          </cell>
        </row>
        <row r="466">
          <cell r="E466">
            <v>2008125</v>
          </cell>
          <cell r="F466" t="str">
            <v>IgE (CADENAS EPSILON) . INMUNOGLOBULINA MONOCLONAL DE RATON ANTIHUMANO. PARA SER USADO EN TEJIDO FIJADO EN FORMALINA Y EMBEBIDO EN PARAFINA. FRASCO 1 - 2 mL CONCENTRADO. MILILITRO</v>
          </cell>
          <cell r="G466" t="str">
            <v>MILILITRO</v>
          </cell>
        </row>
        <row r="467">
          <cell r="E467">
            <v>2008126</v>
          </cell>
          <cell r="F467" t="str">
            <v>IgE (CADENAS EPSILON) . INMUNOGLOBULINA POLICLONAL DE CONEJO ANTIHUMANO. PARA SER USADO EN TEJIDO FIJADO EN FORMALINA Y EMBEBIDO EN PARAFINA. FRASCO 1 - 2 mL CONCENTRADO. MILILITRO</v>
          </cell>
          <cell r="G467" t="str">
            <v>MILILITRO</v>
          </cell>
        </row>
        <row r="468">
          <cell r="E468">
            <v>2008127</v>
          </cell>
          <cell r="F468" t="str">
            <v>C1Q  (COMPLEMENTO) . INMUNOGLOBULINA POLICLONAL DE CONEJO ANTIHUMANO. PARA SER USADO EN TEJIDO FIJADO EN FORMALINA Y EMBEBIDO EN PARAFINA. FRASCO 1 - 2 mL CONCENTRADO. MILILITRO</v>
          </cell>
          <cell r="G468" t="str">
            <v>MILILITRO</v>
          </cell>
        </row>
        <row r="469">
          <cell r="E469">
            <v>2008128</v>
          </cell>
          <cell r="F469" t="str">
            <v>C3C  (COMPLEMENTO) . INMUNOGLOBULINA POLICLONAL DE CONEJO ANTIHUMANO. PARA SER USADO EN TEJIDO FIJADO EN FORMALINA Y EMBEBIDO EN PARAFINA. FRASCO 1 - 2 mL CONCENTRADO. MILILITRO</v>
          </cell>
          <cell r="G469" t="str">
            <v>MILILITRO</v>
          </cell>
        </row>
        <row r="470">
          <cell r="E470">
            <v>2008129</v>
          </cell>
          <cell r="F470" t="str">
            <v>C5  (COMPLEMENTO) . INMUNOGLOBULINA POLICLONAL DE CONEJO ANTIHUMANO. PARA SER USADO EN TEJIDO FIJADO EN FORMALINA Y EMBEBIDO EN PARAFINA. FRASCO 1 - 2 mL CONCENTRADO. MILILITRO</v>
          </cell>
          <cell r="G470" t="str">
            <v>MILILITRO</v>
          </cell>
        </row>
        <row r="471">
          <cell r="E471">
            <v>2008130</v>
          </cell>
          <cell r="F471" t="str">
            <v>COMPONENTE AMILOIDEO P  (C1T COMPLEMENTO).  INMUNOGLOBULINA POLICLONAL DE CONEJO ANTIHUMANO. PARA SER USADO EN TEJIDO FIJADO EN FORMALINA Y EMBEBIDO EN PARAFINA. FRASCO 1 - 2 mL CONCENTRADO. MILILITRO</v>
          </cell>
          <cell r="G471" t="str">
            <v>mL</v>
          </cell>
        </row>
        <row r="472">
          <cell r="E472">
            <v>2008131</v>
          </cell>
          <cell r="F472" t="str">
            <v>CD117.C - KIT. INMUNOGLOBULINA POLICLONAL DE CONEJO ANTIHUMANO. PARA SER USADO EN TEJIDO FIJADO EN FORMALINA Y EMBEBIDO EN PARAFINA. FRASCO 1 - 2 mL CONCENTRADO. MILILITRO</v>
          </cell>
          <cell r="G472" t="str">
            <v>mL</v>
          </cell>
        </row>
        <row r="473">
          <cell r="E473">
            <v>2008132</v>
          </cell>
          <cell r="F473" t="str">
            <v>AVIDINA - BIOTINA - FOSFATASA ALCALINA.INMUNOGLOBULINA ANTIRATON/ANTICONEJO. PARA LA DETECC.DE ANTICUERPOS MONOCLONAL Y  POLICLONAL EN RATON Y CONEJO,  PARA SER USADO EN TEJIDO FIJADO EN FORMALINA Y EMBEBIDO EN PARAFINA. SET X 4 FRASCOS PARA 150  -  200 P</v>
          </cell>
          <cell r="G473" t="str">
            <v>SET</v>
          </cell>
        </row>
        <row r="474">
          <cell r="E474">
            <v>2008133</v>
          </cell>
          <cell r="F474" t="str">
            <v>AMINA - ETIL - CARBAZOLE,  AEC CROMOGENO REVELADOR PARA SISTEMA DE DETECCION ABC - PEROXIDASA. SET X 2  FRASCOS,  PARA 1100  -  1500 PRUEBAS. SET</v>
          </cell>
          <cell r="G474" t="str">
            <v>SET</v>
          </cell>
        </row>
        <row r="475">
          <cell r="E475">
            <v>2008134</v>
          </cell>
          <cell r="F475" t="str">
            <v xml:space="preserve">BIOTINA - STREPTAVIDINA - PEROXIDASA. INMUNOGLOBULINA ANTIRATON - ANTICONEJO UNIVERSAL  SET DE 2 FRASCOS 80 PRUEBAS.SET </v>
          </cell>
          <cell r="G475" t="str">
            <v>SET</v>
          </cell>
        </row>
        <row r="476">
          <cell r="E476">
            <v>2008135</v>
          </cell>
          <cell r="F476" t="str">
            <v>DIAMINO BENZIDINA (DAB) LIQUIDO. SISTEMA SUBSTRATO  CROMOGENO,  PARA SER USADO EN TEJIDO FIJADO EN FORMALINA Y EMBEBIDO EN PARAFINA. SET DE  REACTIVOS PARA 1100 - 1500 PRUEBAS. SET</v>
          </cell>
          <cell r="G476" t="str">
            <v>SET</v>
          </cell>
        </row>
        <row r="477">
          <cell r="E477">
            <v>2008136</v>
          </cell>
          <cell r="F477" t="str">
            <v>SISTEMA DE SUBSTRATO PARA FOSFATASA ALCALINA CON ROJO RAPIDO SET QUE INCLUYE:  SUSTRATO CROMOGENO BUFFER Y ANTIMICROBIANO, PARA 300  -  500 PRUEBAS. SET</v>
          </cell>
          <cell r="G477" t="str">
            <v>SET</v>
          </cell>
        </row>
        <row r="478">
          <cell r="E478">
            <v>2008137</v>
          </cell>
          <cell r="F478" t="str">
            <v>CDw 75 CELULAS B,  LN - 1 ANTICUERPO MONOCLONAL DE RATON ANTIHUMANO. PARA SER USADO EN TEJIDO FIJADO EN FORMALINA Y EMBEBIDO EN PARAFINA. FRASCO DE 1  -  2  mL CONCENTRADO. MILILITRO</v>
          </cell>
          <cell r="G478" t="str">
            <v>mL</v>
          </cell>
        </row>
        <row r="479">
          <cell r="E479">
            <v>2008138</v>
          </cell>
          <cell r="F479" t="str">
            <v>CALRETININIA,  ANTICUERPO MONOCLONAL DE RATON ANTIHUMANO. PARA TEJIDO FIJADO EN FORMALINA Y EMBEBIDO EN PARAFINA. FRASCO DE 1 - 2 mL  CONCENTRADO. MILILITRO</v>
          </cell>
          <cell r="G479" t="str">
            <v>mL</v>
          </cell>
        </row>
        <row r="480">
          <cell r="E480">
            <v>2008139</v>
          </cell>
          <cell r="F480" t="str">
            <v>CITOQUERATINA DE ALTO PESO MOLECULAR,  34BE12,  ANTICUERPO MONOCLONAL DE RATON ANTIHUMANO  PARA TEJIDO FIJADO EN FORMALINA Y EMBEBIDO EN PARAFINA. FRASCO DE 1 - 2 mL CONCENTRADO. MILILITRO</v>
          </cell>
          <cell r="G480" t="str">
            <v>MILILITRO</v>
          </cell>
        </row>
        <row r="481">
          <cell r="E481">
            <v>2008140</v>
          </cell>
          <cell r="F481" t="str">
            <v>CITOQUERATINA 10,  ANTICUERPO MONOCLONAL DE RATON ANTIHUMANO,   PARA TEJIDO FIJADO EN FORMALINA Y EMBEBIDO EN PARAFINA. FRASCO DE 1  -  2 mL CONCENTRADO. MILILITRO</v>
          </cell>
          <cell r="G481" t="str">
            <v>MILILITRO</v>
          </cell>
        </row>
        <row r="482">
          <cell r="E482">
            <v>2008141</v>
          </cell>
          <cell r="F482" t="str">
            <v>CITOQUERATINA 19,  ANTICUERPO MONOCLONAL DE RATON ANTIHUMANO,   PARA TEJIDO FIJADO EN FORMALINA Y EMBEBIDO EN PARAFINA. FRASCO DE 1  -  2 mL CONCENTRADO. MILILITRO</v>
          </cell>
          <cell r="G482" t="str">
            <v>MILILITRO</v>
          </cell>
        </row>
        <row r="483">
          <cell r="E483">
            <v>2008142</v>
          </cell>
          <cell r="F483" t="str">
            <v>E - CADERINA,  ANTICUERPO MONOCLONAL DE RATON ANTIHUMANO,  PARA TEJIDO FIJADO EN FORMALINA Y EMBEBIDO EN PARAFINA. FRASCO DE 1  -  2 mL CONCENTRADO. MILILITRO</v>
          </cell>
          <cell r="G483" t="str">
            <v>mL</v>
          </cell>
        </row>
        <row r="484">
          <cell r="E484">
            <v>2008143</v>
          </cell>
          <cell r="F484" t="str">
            <v>PROTEINA P - 63,  ANTICUERPO MONOCLONAL DE RATON ANTIHUMANO,   PARA TEJIDO FIJADO EN FORMALINA Y EMBEBIDO EN PARAFINA. FRASCO DE 1  -  2 mL CONCENTRADO. MILILITRO</v>
          </cell>
          <cell r="G484" t="str">
            <v>mL</v>
          </cell>
        </row>
        <row r="485">
          <cell r="E485">
            <v>2008144</v>
          </cell>
          <cell r="F485" t="str">
            <v>PROTEINA S - 100,  ANTICUERPO MONOCLONAL DE RATON ANTIHUMANO,  PARA TEJIDO FIJADO EN FORMALINA Y EMBEBIDO EN PARAFINA. FRASCO DE  1  -  2 mL CONCENTRADO. MILILITRO</v>
          </cell>
          <cell r="G485" t="str">
            <v>MILILITRO</v>
          </cell>
        </row>
        <row r="486">
          <cell r="E486">
            <v>2008145</v>
          </cell>
          <cell r="F486" t="str">
            <v>MIELOPEROXIDASA,  ANTICUERPO MONOCLONAL DE RATON ANTIHUMANO,   PARA TEJIDO FIJADO EN FORMALINA Y EMBEBIDO EN PARAFINA. FRASCO DE 1  -  2 mL CONCENTRADO. MILILITRO</v>
          </cell>
          <cell r="G486" t="str">
            <v>MILILITRO</v>
          </cell>
        </row>
        <row r="487">
          <cell r="E487">
            <v>2008146</v>
          </cell>
          <cell r="F487" t="str">
            <v>CALCITONINA,  ANTICUERPO MONOCLONAL DE RATON ANTIHUMANO,   PARA TEJIDO FIJADO EN FORMALINA Y EMBEBIDO EN PARAFINA. FRASCO DE 1  -  2 mL CONCENTRADO. MILILITRO</v>
          </cell>
          <cell r="G487" t="str">
            <v>MILILITRO</v>
          </cell>
        </row>
        <row r="488">
          <cell r="E488">
            <v>2008147</v>
          </cell>
          <cell r="F488" t="str">
            <v>SISTEMA DE DETECCION LIBRE DE BIOTINA,  MARCADO CON POLIMERO ANTICUERPO DE RATON QUE INCLUYE DAB Y SUBSTRATO,   PARA TEJIDO FIJADO EN FORMALINA Y EMBEBIDO EN PARAFINA. SET DE REACTIVOS  PARA 1100  -  1500 PRUEBAS. PRUEBA</v>
          </cell>
          <cell r="G488" t="str">
            <v>PRUEBA</v>
          </cell>
        </row>
        <row r="489">
          <cell r="E489">
            <v>2008148</v>
          </cell>
          <cell r="F489" t="str">
            <v>SISTEMA DE DETECCION LIBRE DE BIOTINA,  MARCADO CON POLIMERO ANTICUERPO DE CONEJO QUE INCLUYE DAB Y SUBSTRATO,  PARA TEJIDO FIJADO EN FORMALINA Y EMBEBIDO EN PARAFINA. SET DE REACTIVOS  PARA 1100  -  1500 PRUEBAS. PRUEBA</v>
          </cell>
          <cell r="G489" t="str">
            <v>PRUEBA</v>
          </cell>
        </row>
        <row r="490">
          <cell r="E490">
            <v>2008149</v>
          </cell>
          <cell r="F490" t="str">
            <v>SISTEMA DE DETECCION LIBRE DE BIOTINA,  MARCADO CON POLIMERO ANTICUERPO RATON/CONEJO,  QUE INCLUYE DAB Y SUBSTRATO,  PARA TEJIDO FIJADO EN FORMALINA Y EMBEBIDO EN PARAFINA.SET DE REACTIVOS PARA 1100  -  1500 PRUEBAS. PRUEBA</v>
          </cell>
          <cell r="G490" t="str">
            <v>PRUEBA</v>
          </cell>
        </row>
        <row r="491">
          <cell r="E491">
            <v>2008150</v>
          </cell>
          <cell r="F491" t="str">
            <v>POLIMERO PEROXIDASA,  ANTICUERPO MONOCLONAL DE RATON,  PARA SER USADO EN TEJIDO FIJADO EN FORMALINA Y EMBEBIDO EN PARAFINA. FRASCO DE 100 - 150 mL. MILILITRO</v>
          </cell>
          <cell r="G491" t="str">
            <v>mL</v>
          </cell>
        </row>
        <row r="492">
          <cell r="E492">
            <v>2008151</v>
          </cell>
          <cell r="F492" t="str">
            <v>POLIMERO PEROXIDASA,  ANTICUERPO POLICLONAL DE CONEJO PARA SER USADO EN TEJIDO FIJADO EN FORMALINA Y EMBEBIDO EN PARAFINA,  FRASCO DE 100 - 150 mL. MILILITRO</v>
          </cell>
          <cell r="G492" t="str">
            <v>mL</v>
          </cell>
        </row>
        <row r="493">
          <cell r="E493">
            <v>2008152</v>
          </cell>
          <cell r="F493" t="str">
            <v>SISTEMA DE DETECCION CON AMPLIFICACION DE SEÑAL CON TIRAMINA,  MONOCLONAL DE RATON,  PARA TEJIDO FIJADO EN FORMALINA Y EMBEBIDO EN PARAFINA. SET DE REACTIVOS PARA 150  -  200 PRUEBAS. PRUEBA</v>
          </cell>
          <cell r="G493" t="str">
            <v>PRUEBA</v>
          </cell>
        </row>
        <row r="494">
          <cell r="E494">
            <v>2008153</v>
          </cell>
          <cell r="F494" t="str">
            <v>SISTEMA DE DETECCION CON AMPLIFICACION DE SEÑAL,  POLICLONAL DE CONEJO,  PARA TEJIDO FIJADO EN FORMALINA Y EMBEBIDO EN PARAFINA. SET DE REACTIVOS DE 150  -  200 PRUEBAS. PRUEBA</v>
          </cell>
          <cell r="G494" t="str">
            <v>PRUEBA</v>
          </cell>
        </row>
        <row r="495">
          <cell r="E495">
            <v>2008154</v>
          </cell>
          <cell r="F495" t="str">
            <v>SUERO BLOQUEADOR DE PROTEINAS ENDOGENAS,  PARA INMUNOHISTOQUIMICA,  EN TEJIDO FIJADO EN FORMALINA Y EMBEBIDO EN PARAFINA. SET 15  - 110 mL. MILILITRO</v>
          </cell>
          <cell r="G495" t="str">
            <v>MILILITRO</v>
          </cell>
        </row>
        <row r="496">
          <cell r="E496">
            <v>2008155</v>
          </cell>
          <cell r="F496" t="str">
            <v>SISTEMA BLOQUEADOR DE BIOTINA ENDOGENA,  PARA INMUNOHISTOQUIMICA,  EN TEJIDO FIJADO EN FORMALINA Y EMBEBIDO EN PARAFINA. FRASCO 30 - 50 mL. PRUEBA</v>
          </cell>
          <cell r="G496" t="str">
            <v>PRUEBA</v>
          </cell>
        </row>
        <row r="497">
          <cell r="E497">
            <v>2008156</v>
          </cell>
          <cell r="F497" t="str">
            <v>SOLUCION PARA RECUPERACION ANTIGENICA DE pH ALTO  (&gt;9)  PARA TEJIDO FIJADO EN FORMALINA Y EMBEBIDO EN PARAFINA. FRASCO 100 - 500 mL. MILILITRO</v>
          </cell>
          <cell r="G497" t="str">
            <v>mL</v>
          </cell>
        </row>
        <row r="498">
          <cell r="E498">
            <v>2008157</v>
          </cell>
          <cell r="F498" t="str">
            <v>DETERGENTE LIBRE DE FOSFATOS,  LIQUIDO,  SIMILAR AL DECLERE O TWIN 20. FRASCO 50 - 500 mL. MILILITRO</v>
          </cell>
          <cell r="G498" t="str">
            <v>mL</v>
          </cell>
        </row>
        <row r="499">
          <cell r="E499">
            <v>2008158</v>
          </cell>
          <cell r="F499" t="str">
            <v>SOLUCION PARA RECUPERACION ANTIGENICA DE pH BAJO  (&lt;9)  PARA TEJIDO FIJADO EN FORMALINA Y EMBEBIDO EN PARAFINA. FRASCO 100 - 500 mL. MILILITRO</v>
          </cell>
          <cell r="G499" t="str">
            <v>mL</v>
          </cell>
        </row>
        <row r="500">
          <cell r="E500">
            <v>2008159</v>
          </cell>
          <cell r="F500" t="str">
            <v>HEMATOXILINA DE GILL,  PARA INMUNOHISTOQUIMICA.FRASCO 100 - 1000 mL. MILILITRO</v>
          </cell>
          <cell r="G500" t="str">
            <v>mL</v>
          </cell>
        </row>
        <row r="501">
          <cell r="E501">
            <v>2008160</v>
          </cell>
          <cell r="F501" t="str">
            <v>TRITON 100X. SOLUCION ACUOSA,  PARA INMUNOHISTOQUIMICA. FRASCO 25 - 250 mL. MILILITRO</v>
          </cell>
          <cell r="G501" t="str">
            <v>mL</v>
          </cell>
        </row>
        <row r="502">
          <cell r="E502">
            <v>2008161</v>
          </cell>
          <cell r="F502" t="str">
            <v>ANTIGENO EPITELIAL  INMUNOGLOBULINA MONOCLONAL DE RATON ANTIHUMANO.  PARA TEJIDO FIJADO EN FORMALINA Y EMBEBIDO EN PARAFINA. FRASCO 1 - 2 mL CONCENTRADO. MILILITRO</v>
          </cell>
          <cell r="G502" t="str">
            <v>mL</v>
          </cell>
        </row>
        <row r="503">
          <cell r="E503">
            <v>2008162</v>
          </cell>
          <cell r="F503" t="str">
            <v>SISTEMA DE DETECCION PARA LA TECNICA DE INMUNOHISTOQUIMICA STREPTAVIDINA - BIOTINA ANTIPEROXIDASA CON AMPLIFICACION DE SEÑAL,  QUE INCLUYA DAB  (SUSTRATO - CROMOGENO)  UNIVERSAL PARA TEJIDO FIJADO EN FORMALINA Y EMBEBIDO EN PARAFINA. SET X 5 FRASCOS,  PAR</v>
          </cell>
          <cell r="G503" t="str">
            <v>PRUEBA</v>
          </cell>
        </row>
        <row r="504">
          <cell r="E504">
            <v>2008163</v>
          </cell>
          <cell r="F504" t="str">
            <v>SISTEMA DE DETECCION PARA LA TECNICA DE INMUNOHISTOQUIMICA STREPTAVIDINA - BIOTINA ANTIPEROXIDASA CON AMPLIFICACION DE SEÑAL,  QUE INCLUYA FUCSINA  (SUSTRATO - CROMOGENO)  UNIVERSAL PARA TEJIDO FIJADO EN FORMALINA Y EMBEBIDO EN PARAFINA,  SET X 5 FRASCOS,</v>
          </cell>
          <cell r="G504" t="str">
            <v>PRUEBA</v>
          </cell>
        </row>
        <row r="505">
          <cell r="E505">
            <v>2008164</v>
          </cell>
          <cell r="F505" t="str">
            <v>REACTIVO BLOQUEADOR DE PEROXIDASA ENDOGENA PARA INMUNOHISTOQUIMICA. FRASCO 100 - 1000 mL. MILILITRO</v>
          </cell>
          <cell r="G505" t="str">
            <v>mL</v>
          </cell>
        </row>
        <row r="506">
          <cell r="E506">
            <v>2008165</v>
          </cell>
          <cell r="F506" t="str">
            <v>PROTEINASA K,  ENZIMA DIGESTIVA LIQUIDA,  PREDILUIDA PARA INMUNOHISTOQUIMICA FRASCO 100 - 200 mL. MILILITRO</v>
          </cell>
          <cell r="G506" t="str">
            <v>MILILITRO</v>
          </cell>
        </row>
        <row r="507">
          <cell r="E507">
            <v>2008166</v>
          </cell>
          <cell r="F507" t="str">
            <v>MEDIO DE INCLUSION PARA TEJIDOS CONGELADOS GEL,  TRANSPARENTE,  RAPIDO SECADO.FRASCO 100 - 250 mL. MILILITRO</v>
          </cell>
          <cell r="G507" t="str">
            <v>MILILITRO</v>
          </cell>
        </row>
        <row r="508">
          <cell r="E508">
            <v>2008167</v>
          </cell>
          <cell r="F508" t="str">
            <v xml:space="preserve">MEDIO ENFRIADOR  - 50° A  -70 ° C,  PARA ESTUDIOS TRANSOPERATORIOS POR CONGELACION EN AEROSOL ,  CON ADAPTADOR PARA APLICAR AL TEJIDO. FRASCO 100 - 250 mL. MILILITRO </v>
          </cell>
          <cell r="G508" t="str">
            <v>MILILITRO</v>
          </cell>
        </row>
        <row r="509">
          <cell r="E509">
            <v>2008168</v>
          </cell>
          <cell r="F509" t="str">
            <v>CITOQUERATINA 5/6. INMUNOGLOBULINA MONOCLONAL DE RATON ANTIHUMANO,  PARA SER USADO EN TEJIDO FIJADO EN FORMALINA Y EMBEBIDO EN PARAFINA FRASCO 1 - 2  mL CONCENTRADO. MILILITRO</v>
          </cell>
          <cell r="G509" t="str">
            <v>MILILITRO</v>
          </cell>
        </row>
        <row r="510">
          <cell r="E510">
            <v>2008169</v>
          </cell>
          <cell r="F510" t="str">
            <v>CATEPSINA D. INMUNOGLOBULINA MONOCLONAL DE RATON ANTIHUMANO.. PARA SER USADO EN TEJIDO FIJADO EN FORMALINA Y EMBEBIDO EN PARAFINA. FRASCO 1 - 2 mL CONCENTRADO. MILILITRO</v>
          </cell>
          <cell r="G510" t="str">
            <v>MILILITRO</v>
          </cell>
        </row>
        <row r="511">
          <cell r="E511">
            <v>2008170</v>
          </cell>
          <cell r="F511" t="str">
            <v>HELICOBACTER PYLORI. INMUNOGLOBULINA POLICLONAL DE CONEJO. PARA SER USADO EN TEJIDO FIJADO EN FORMALINA Y EMBEBIDO EN PARAFINA. FRASCO DE 1 - 2 mL CONCENTRADO. MILILITRO</v>
          </cell>
          <cell r="G511" t="str">
            <v>MILILITRO</v>
          </cell>
        </row>
        <row r="512">
          <cell r="E512">
            <v>2008171</v>
          </cell>
          <cell r="F512" t="str">
            <v xml:space="preserve">SISTEMA DE DETECCION DE RECEPTORES DE ESTROGENO Y PROGESTERONA MONOCLONAL DE RATON ANTIHUMANO. PARA SER USADO EN TEJIDO FIJADO EN FORMALINA Y EMBEBIDO EN PARAFINA. SET PARA 35-50 PRUEBAS. PRUEBA </v>
          </cell>
          <cell r="G512" t="str">
            <v>PRUEBA</v>
          </cell>
        </row>
        <row r="513">
          <cell r="E513">
            <v>2008172</v>
          </cell>
          <cell r="F513" t="str">
            <v xml:space="preserve">CITOQUERATINA 8,  BAJO PESO MOLECULAR,  INMUNOGLOBULINA MONOCLONAL DE RATON ANTIHUMANO,  PARA TEJIDO FIJADO EN FORMALINA Y EMBEBIDO EN PARAFINA. FRASCO 1  - 2 ml CONCENTRADO. MILILITRO </v>
          </cell>
          <cell r="G513" t="str">
            <v>MILILITRO</v>
          </cell>
        </row>
        <row r="514">
          <cell r="E514">
            <v>2008173</v>
          </cell>
          <cell r="F514" t="str">
            <v>SISTEMA DE DETECCION PARA TECNICA INMUNOHISTOQUIMICA STREPTAVIDINA - BIOTINA  - PEROXIDASA UNIVERSAL  (PARA ANTICUERPOS MONOCLONALES Y POLICLONALES DE RATON Y CONEJO RESPECTIVAMENTE)  ,   QUE LLEVE INCLUIDO UN SISTEMA DE AMPLIFICACION DE SEÑAL  SET DE REA</v>
          </cell>
          <cell r="G514" t="str">
            <v>SET</v>
          </cell>
        </row>
        <row r="515">
          <cell r="E515">
            <v>2008174</v>
          </cell>
          <cell r="F515" t="str">
            <v xml:space="preserve">LEVAMIZOLE SOLUCION PARA INMUNOHISTOQUIMICA. FRASCO 15 - 50 mL. </v>
          </cell>
          <cell r="G515" t="str">
            <v>mL</v>
          </cell>
        </row>
        <row r="516">
          <cell r="E516">
            <v>2008175</v>
          </cell>
          <cell r="F516" t="str">
            <v>FORMALINA 10%, SOLUCIÓN NEUTRALIZADA Y BUFFERIZADA CON FOSFATOS. FRASCO DE 3 - 4 LITROS</v>
          </cell>
          <cell r="G516" t="str">
            <v>LITRO</v>
          </cell>
        </row>
        <row r="517">
          <cell r="E517">
            <v>2009000</v>
          </cell>
          <cell r="F517" t="str">
            <v>GENERADOR DE MOLIBDENO - 99/ TECNESIO - 99m (99 Mo/99m Tc) GENERADOR DE COLUMNA SECA  BLINDADA CON PLOMO DE 2.0 - 3.0 Ci. C/U</v>
          </cell>
          <cell r="G517" t="str">
            <v>C/U</v>
          </cell>
        </row>
        <row r="518">
          <cell r="E518">
            <v>2009001</v>
          </cell>
          <cell r="F518" t="str">
            <v>SULFURO COLOIDAL EN SOLUCION O POLVO LIOFILIZADO. FRASCO VIAL  CON CAPACIDAD DE 10 ML. SET DE 3 FRASCOS VIALES PARA PREPARAR COMPUESTO: FRASCO VIAL QUE CONTENGA COMO MÍNIMO 6.35 MG/mL. DE TIOSULFATO DE SODIO (1 - 3 mL), FRASCO VIAL QUE CONTENGA TAMPON O B</v>
          </cell>
          <cell r="G518" t="str">
            <v>SET</v>
          </cell>
        </row>
        <row r="519">
          <cell r="E519">
            <v>2009002</v>
          </cell>
          <cell r="F519" t="str">
            <v>YODURO DE SODIO ORAL TERAPEUTICO  (131I),  FRASCO VIAL CON CAPACIDAD DE 4  -  10 mL QUE CONTENGA COMO MINIMO 15 -  25 mCi/mL. FRASCO VIAL.</v>
          </cell>
          <cell r="G519" t="str">
            <v>FRASCO VIAL</v>
          </cell>
        </row>
        <row r="520">
          <cell r="E520">
            <v>2009003</v>
          </cell>
          <cell r="F520" t="str">
            <v>ACIDO METILEN DIFOSFONICO  (MDP)  LIOFILIZADO,  FRASCO VIAL CON CAPACIDAD DE 5  -  10 mL QUE CONTENGA COMO MINIMO 10 mg. DE MDP. FRASCO VIAL.</v>
          </cell>
          <cell r="G520" t="str">
            <v>FRASCO VIAL</v>
          </cell>
        </row>
        <row r="521">
          <cell r="E521">
            <v>2009004</v>
          </cell>
          <cell r="F521" t="str">
            <v>INDIO -111 (111 In) PENTETREOTIDE, LIOFILIZADO, FRASCO VIAL CON CAPACIDAD  DE 10 mL, QUE CONTENGA COMO MINIMO 3.0 mCi/mL  DE INDIO - 111 Y FRASCO VIAL CON DILUYENTE. FRASCO VIAL.</v>
          </cell>
          <cell r="G521" t="str">
            <v>FRASCO VIAL</v>
          </cell>
        </row>
        <row r="522">
          <cell r="E522">
            <v>2009005</v>
          </cell>
          <cell r="F522" t="str">
            <v>PIROFOSFATO  LIOFILIZADO, FRASCO VIAL CON CAPACIDAD  DE 10 mL QUE CONTENGA COMO MINIMO 3.2 mg DE CLORURO DE ESTAÑO. FRASCO VIAL</v>
          </cell>
          <cell r="G522" t="str">
            <v>FRASCO VIAL</v>
          </cell>
        </row>
        <row r="523">
          <cell r="E523">
            <v>2009006</v>
          </cell>
          <cell r="F523" t="str">
            <v>ACIDO DI - ISOPROPILFENILCARBAMOILMETILIMINODIACETICO (DISIDA)  LIOFILIZADO, FRASCO VIAL CON CAPACIDAD DE 10 mL QUE CONTENGA COMO MINIMO 10 mg DE DISIDA. FRASCO VIAL.</v>
          </cell>
          <cell r="G523" t="str">
            <v>FRASCO VIAL</v>
          </cell>
        </row>
        <row r="524">
          <cell r="E524">
            <v>2009007</v>
          </cell>
          <cell r="F524" t="str">
            <v>CLORURO DE TALIO - 201. (201Ti), FRASCO VIAL  QUE CONTENGA COMO MINIMO  8.8 mCi EN 8.8 mL. FRASCO VIAL</v>
          </cell>
          <cell r="G524" t="str">
            <v>FRASCO VIAL</v>
          </cell>
        </row>
        <row r="525">
          <cell r="E525">
            <v>2009008</v>
          </cell>
          <cell r="F525" t="str">
            <v>2 - METOXI ISOBUTIL ISONITRILO (MIBI) LIOFILIZADO, FRASCO VIAL CON CAPACIDAD DE 5 – 10 mL, QUE CONTENGA COMO MÍNIMO 1.0 MG DE MIBI. FRASCO VIAL.</v>
          </cell>
          <cell r="G525" t="str">
            <v>FRASCO VIAL</v>
          </cell>
        </row>
        <row r="526">
          <cell r="E526">
            <v>2009009</v>
          </cell>
          <cell r="F526" t="str">
            <v>ÁCIDO DIETILENTRIAMINO PENTA ACÉTICO (DTPA) LIOFILIZADO, FRASCO VIAL  CON   CAPACIDAD DE 5 – 10 mL,  QUE CONTENGA COMO MÍNIMO 10 MG  DE DTPA. FRASCO VIAL.</v>
          </cell>
          <cell r="G526" t="str">
            <v>FRASCO VIAL</v>
          </cell>
        </row>
        <row r="527">
          <cell r="E527">
            <v>2009010</v>
          </cell>
          <cell r="F527" t="str">
            <v>MACROAGREGADO DE ALBÚMINA (MAA) LIOFILIZADO  FRASCO VIAL  CON CAPACIDAD DE 5 – 10 mL, QUE CONTENGA COMO MÍNIMO 1.8 - 2 MG DE ALBÚMINA HUMANA,  FRASCO VIAL.</v>
          </cell>
          <cell r="G527" t="str">
            <v>FRASCO VIAL</v>
          </cell>
        </row>
        <row r="528">
          <cell r="E528">
            <v>2009011</v>
          </cell>
          <cell r="F528" t="str">
            <v>ETIL-CISTEINATO-DIMERO (ECD) LIOFILIZADO, FRASCO VIAL CON CAPACIDAD DE 5 – 10 mL, QUE CONTENGA COMO MÍNIMO 1.0 MG DE ECD.  FRASCO VIAL.</v>
          </cell>
          <cell r="G528" t="str">
            <v>FRASCO VIAL</v>
          </cell>
        </row>
        <row r="529">
          <cell r="E529">
            <v>2009012</v>
          </cell>
          <cell r="F529" t="str">
            <v>MERCAPTO ACETIL GLICINA  (MAG - 3) LIOFILIZADO, FRASCO VIAL CON CAPACIDAD DE 5  -  10 mL, QUE CONTENGA COMO MINIMO 1 mg DE MAG - 3.</v>
          </cell>
          <cell r="G529" t="str">
            <v>FRASCO VIAL</v>
          </cell>
        </row>
        <row r="530">
          <cell r="E530">
            <v>2100000</v>
          </cell>
          <cell r="F530" t="str">
            <v>ANTIGENO FEBRIL BRUCELLA ABORTUS.  FRASCO 3 - 5 mL. FRASCO VIAL</v>
          </cell>
          <cell r="G530" t="str">
            <v>FRASCO VIAL</v>
          </cell>
        </row>
        <row r="531">
          <cell r="E531">
            <v>2100001</v>
          </cell>
          <cell r="F531" t="str">
            <v>ANTIGENO FEBRIL SALMONELLA PARATIFICO A.   FRASCO 3  -  5 mL. MILILITRO</v>
          </cell>
          <cell r="G531" t="str">
            <v>mL</v>
          </cell>
        </row>
        <row r="532">
          <cell r="E532">
            <v>2100002</v>
          </cell>
          <cell r="F532" t="str">
            <v>ANTIGENO FEBRIL SALMONELLA PARATIFICO B.    FRASCO 3  -  5 mL. MILILITRO</v>
          </cell>
          <cell r="G532" t="str">
            <v>mL</v>
          </cell>
        </row>
        <row r="533">
          <cell r="E533">
            <v>2100003</v>
          </cell>
          <cell r="F533" t="str">
            <v>ANTIGENO FEBRIL PROTEUS  OX - 19.   FRASCO 3  -  5 mL. MILILITRO</v>
          </cell>
          <cell r="G533" t="str">
            <v>mL</v>
          </cell>
        </row>
        <row r="534">
          <cell r="E534">
            <v>2100004</v>
          </cell>
          <cell r="F534" t="str">
            <v>ANTIGENO FEBRIL SALMONELLA TIFICO H.   FRASCO 3  -  5 mL. MILILITRO</v>
          </cell>
          <cell r="G534" t="str">
            <v>mL</v>
          </cell>
        </row>
        <row r="535">
          <cell r="E535">
            <v>2100005</v>
          </cell>
          <cell r="F535" t="str">
            <v>ANTIGENO FEBRIL SALMONELLA TIFICO O.    FRASCO 3  - 5 mL. MILILITRO</v>
          </cell>
          <cell r="G535" t="str">
            <v>mL</v>
          </cell>
        </row>
        <row r="536">
          <cell r="E536">
            <v>2100006</v>
          </cell>
          <cell r="F536" t="str">
            <v>REACTIVO PARA DETERMINACION DE ANTIGENO -  (ANTI A)  MONOCLONAL  FRASCO 5  -  15 mL. MILILITRO</v>
          </cell>
          <cell r="G536" t="str">
            <v>mL</v>
          </cell>
        </row>
        <row r="537">
          <cell r="E537">
            <v>2100007</v>
          </cell>
          <cell r="F537" t="str">
            <v>LECTINA  (ANTI A1)  MONOCLONAL    FRASCO 5  -  15 mL. MILILITRO</v>
          </cell>
          <cell r="G537" t="str">
            <v>mL</v>
          </cell>
        </row>
        <row r="538">
          <cell r="E538">
            <v>2100008</v>
          </cell>
          <cell r="F538" t="str">
            <v>REACTIVO PARA DETECCION DE ANTIGENO B  (ANTI B)     MONOCLONAL    FRASCO 5  -  15 mL. MILILITRO</v>
          </cell>
          <cell r="G538" t="str">
            <v>mL</v>
          </cell>
        </row>
        <row r="539">
          <cell r="E539">
            <v>2100009</v>
          </cell>
          <cell r="F539" t="str">
            <v>REACTIVO PARA LA DETECCION DE ANTIGENO C  (ANTI C) . FRASCO 5  -  15 mL. MILILITRO</v>
          </cell>
          <cell r="G539" t="str">
            <v>mL</v>
          </cell>
        </row>
        <row r="540">
          <cell r="E540">
            <v>2100010</v>
          </cell>
          <cell r="F540" t="str">
            <v>REACTIVO PARA DETECCION DE ANTIGENO C MINUSCULA  (ANTI C MINUSCULA) . FRASCO 5  -  15 mL. MILILITRO</v>
          </cell>
          <cell r="G540" t="str">
            <v>mL</v>
          </cell>
        </row>
        <row r="541">
          <cell r="E541">
            <v>2100011</v>
          </cell>
          <cell r="F541" t="str">
            <v>REACTIVO PARA DETECCION DE ANTIGENO D  (ANTI D)      (IgG  -  IgM MONOCLONAL)    FRASCO 5  -  15 mL. MILILITRO</v>
          </cell>
          <cell r="G541" t="str">
            <v>mL</v>
          </cell>
        </row>
        <row r="542">
          <cell r="E542">
            <v>2100012</v>
          </cell>
          <cell r="F542" t="str">
            <v>REACTIVO PARA DETECCION DE ANTIGENO E  (ANTI E) .   FRASCO 5  -  15 mL. MILILITRO</v>
          </cell>
          <cell r="G542" t="str">
            <v>mL</v>
          </cell>
        </row>
        <row r="543">
          <cell r="E543">
            <v>2100013</v>
          </cell>
          <cell r="F543" t="str">
            <v>REACTIVO PARA DETECCION DE ANTIGENO E MINUSCULA  (ANTI E MINUSCULA) . FRASCO 5  -  15 mL. MILILITRO</v>
          </cell>
          <cell r="G543" t="str">
            <v>mL</v>
          </cell>
        </row>
        <row r="544">
          <cell r="E544">
            <v>2100014</v>
          </cell>
          <cell r="F544" t="str">
            <v>ANTIGLOBULINA HUMANA POLI ESPECIFICO ANTI IgG  (ANTI CD3)  MONOCLONAL    FRASCO 5  -  15 mL. MILILITRO</v>
          </cell>
          <cell r="G544" t="str">
            <v>mL</v>
          </cell>
        </row>
        <row r="545">
          <cell r="E545">
            <v>2100015</v>
          </cell>
          <cell r="F545" t="str">
            <v>ALBUMINA BOVINA AL 22%.  FRASCO 5  -  10 mL. MILILITRO</v>
          </cell>
          <cell r="G545" t="str">
            <v>mL</v>
          </cell>
        </row>
        <row r="546">
          <cell r="E546">
            <v>2100016</v>
          </cell>
          <cell r="F546" t="str">
            <v>ANTISUERO SALMONELLA  O GRUPO A.  FRASCO 1 - 3 mL. MILILITRO</v>
          </cell>
          <cell r="G546" t="str">
            <v>mL</v>
          </cell>
        </row>
        <row r="547">
          <cell r="E547">
            <v>2100017</v>
          </cell>
          <cell r="F547" t="str">
            <v>ANTISUERO SALMONELLA O GRUPO B.  FRASCO 1  -  3 mL. MILILITRO</v>
          </cell>
          <cell r="G547" t="str">
            <v>mL</v>
          </cell>
        </row>
        <row r="548">
          <cell r="E548">
            <v>2100018</v>
          </cell>
          <cell r="F548" t="str">
            <v>ANTISUERO SALMONELLA O GRUPO C1.  FRASCO 1  -  3 mL. MILILITRO</v>
          </cell>
          <cell r="G548" t="str">
            <v>mL</v>
          </cell>
        </row>
        <row r="549">
          <cell r="E549">
            <v>2100019</v>
          </cell>
          <cell r="F549" t="str">
            <v>ANTISUERO SALMONELLA O GRUPO C2.  FRASCO 1  -  3 mL. MILILITRO</v>
          </cell>
          <cell r="G549" t="str">
            <v>mL</v>
          </cell>
        </row>
        <row r="550">
          <cell r="E550">
            <v>2100020</v>
          </cell>
          <cell r="F550" t="str">
            <v>ANTISUERO SALMONELLA O GRUPO D.  FRASCO 1  -  3 mL. MILILITRO</v>
          </cell>
          <cell r="G550" t="str">
            <v>mL</v>
          </cell>
        </row>
        <row r="551">
          <cell r="E551">
            <v>2100021</v>
          </cell>
          <cell r="F551" t="str">
            <v>SALMONELLA O POLIVALENTE "A"  (GRUPO: A,  B,  CI,  C2,   D,  E,  VI)  FRASCO DE 1 - 3 mL. MILILITRO</v>
          </cell>
          <cell r="G551" t="str">
            <v>mL</v>
          </cell>
        </row>
        <row r="552">
          <cell r="E552">
            <v>2100022</v>
          </cell>
          <cell r="F552" t="str">
            <v>ANTISUERO SALMONELLA VI.   FRASCO 1  -  3 mL. MILILITRO</v>
          </cell>
          <cell r="G552" t="str">
            <v>mL</v>
          </cell>
        </row>
        <row r="553">
          <cell r="E553">
            <v>2100023</v>
          </cell>
          <cell r="F553" t="str">
            <v>ANTISUERO SALMONELLA O  GRUPO E.   FRASCO 1  -  3 mL. MILILITRO</v>
          </cell>
          <cell r="G553" t="str">
            <v>mL</v>
          </cell>
        </row>
        <row r="554">
          <cell r="E554">
            <v>2100024</v>
          </cell>
          <cell r="F554" t="str">
            <v>ANTISUERO POLIVALENTE B ESCHERICHIA COLI OK:  O86:  K61 (B7) ,  0119: K69 (B14) ,  0124: K72 (B17) ,  0125: K70 (B15) , 0126: K71 (B16) , 0128: K67 (B12) . SET DE 7 VIALES,  CADA VIAL 1  -  3 mL. MILILITRO</v>
          </cell>
          <cell r="G554" t="str">
            <v>mL</v>
          </cell>
        </row>
        <row r="555">
          <cell r="E555">
            <v>2100025</v>
          </cell>
          <cell r="F555" t="str">
            <v>ANTISUERO POLIVALENTE - ESCHERICHIA COLI OK:  055: K59  (B5) ,  0111: K58  (B4) ,  0127: K63  (B8) ,  026: K60  (B6)  SET DE 5 VIALES,  CADA VIAL DE 1  -  3 mL. MILILITRO</v>
          </cell>
          <cell r="G555" t="str">
            <v>mL</v>
          </cell>
        </row>
        <row r="556">
          <cell r="E556">
            <v>2100026</v>
          </cell>
          <cell r="F556" t="str">
            <v>ANTISUERO SHIGELLA ALKALESCENS DISPAR  (AD) .       FRASCO 1  -  3 mL. MILILITRO</v>
          </cell>
          <cell r="G556" t="str">
            <v>mL</v>
          </cell>
        </row>
        <row r="557">
          <cell r="E557">
            <v>2100027</v>
          </cell>
          <cell r="F557" t="str">
            <v>ANTISUERO SHIGELLA GRUPO -  (S.DYSENTERIAE) .       FRASCO 1  -  3 mL. MILILITRO</v>
          </cell>
          <cell r="G557" t="str">
            <v>mL</v>
          </cell>
        </row>
        <row r="558">
          <cell r="E558">
            <v>2100028</v>
          </cell>
          <cell r="F558" t="str">
            <v>ANTISUERO SHIGELLA GRUPO B  (S.FLEXNERI) .  FRASCO  1  -  3 mL. MILILITRO</v>
          </cell>
          <cell r="G558" t="str">
            <v>mL</v>
          </cell>
        </row>
        <row r="559">
          <cell r="E559">
            <v>2100029</v>
          </cell>
          <cell r="F559" t="str">
            <v>ANTISUERO SHIGELLA GRUPO C  (S BOYDII) .   FRASCO   1  -   3 mL. MILILITRO</v>
          </cell>
          <cell r="G559" t="str">
            <v>mL</v>
          </cell>
        </row>
        <row r="560">
          <cell r="E560">
            <v>2100030</v>
          </cell>
          <cell r="F560" t="str">
            <v>ANTISUERO SHIGELLA GRUPO D  (S SONNEI) . FRASCO 1  -  3 mL.MILILITRO</v>
          </cell>
          <cell r="G560" t="str">
            <v>mL</v>
          </cell>
        </row>
        <row r="561">
          <cell r="E561">
            <v>2100031</v>
          </cell>
          <cell r="F561" t="str">
            <v>ANTISUERO SHIGELLA DYSENTERIAE A1.  FRASCO DE 1  -  3 mL. MILILITRO</v>
          </cell>
          <cell r="G561" t="str">
            <v>mL</v>
          </cell>
        </row>
        <row r="562">
          <cell r="E562">
            <v>2100032</v>
          </cell>
          <cell r="F562" t="str">
            <v>ANTISUERO SHIGELLA GRUPO C1  (SHIGELLA BOYDII)  TIPO 8  -  11.     FRASCO 1  -  3 mL. MILILITRO</v>
          </cell>
          <cell r="G562" t="str">
            <v>mL</v>
          </cell>
        </row>
        <row r="563">
          <cell r="E563">
            <v>2100033</v>
          </cell>
          <cell r="F563" t="str">
            <v>ANTISUERO SHIGELLA GRUPO C2  (SHIGELLA BOYDII)  TIPO 12  -  15.  FRASCO 1  -  3 mL. MILILITRO</v>
          </cell>
          <cell r="G563" t="str">
            <v>mL</v>
          </cell>
        </row>
        <row r="564">
          <cell r="E564">
            <v>2100034</v>
          </cell>
          <cell r="F564" t="str">
            <v>ANTISUERO ESCHERICHIA COLI O: 157.  FRASCO 1  -  3 mL. MILILITRO</v>
          </cell>
          <cell r="G564" t="str">
            <v>mL</v>
          </cell>
        </row>
        <row r="565">
          <cell r="E565">
            <v>2100035</v>
          </cell>
          <cell r="F565" t="str">
            <v>ANTISUERO ESCHERICHIA COLI H: 7.   FRASCO 1  -  3 mL. MILILITRO</v>
          </cell>
          <cell r="G565" t="str">
            <v>mL</v>
          </cell>
        </row>
        <row r="566">
          <cell r="E566">
            <v>2100036</v>
          </cell>
          <cell r="F566" t="str">
            <v>ANTISUERO VIBRIO CHOLERAE POLIVALENTE 01.  FRASCO 1  -  3 mL. MILILITRO</v>
          </cell>
          <cell r="G566" t="str">
            <v>mL</v>
          </cell>
        </row>
        <row r="567">
          <cell r="E567">
            <v>2100037</v>
          </cell>
          <cell r="F567" t="str">
            <v>ANTISUERO VIBRIO CHOLERAE INABA.  FRASCO 1  -  3 mL. MILILITRO</v>
          </cell>
          <cell r="G567" t="str">
            <v>mL</v>
          </cell>
        </row>
        <row r="568">
          <cell r="E568">
            <v>2100038</v>
          </cell>
          <cell r="F568" t="str">
            <v>ANTISUERO VIBRIO CHOLERAE OGAWA.  FRASCO 1  -  5 mL. MILILITRO</v>
          </cell>
          <cell r="G568" t="str">
            <v>mL</v>
          </cell>
        </row>
        <row r="569">
          <cell r="E569">
            <v>2100039</v>
          </cell>
          <cell r="F569" t="str">
            <v>ANTISUERO ESTREPTOCOCCUS GRUPO A.  FRASCO 1  -  3   mL. MILILITRO</v>
          </cell>
          <cell r="G569" t="str">
            <v>mL</v>
          </cell>
        </row>
        <row r="570">
          <cell r="E570">
            <v>2100040</v>
          </cell>
          <cell r="F570" t="str">
            <v>ANTISUERO ESTREPTOCOCCUS GRUPO B.  FRASCO 1  -  3 mL. MILILITRO</v>
          </cell>
          <cell r="G570" t="str">
            <v>mL</v>
          </cell>
        </row>
        <row r="571">
          <cell r="E571">
            <v>2100041</v>
          </cell>
          <cell r="F571" t="str">
            <v>ANTISUERO ESTREPTOCOCCUS GRUPO C.  FRASCO 1  -  3 mL. MILILITRO</v>
          </cell>
          <cell r="G571" t="str">
            <v>mL</v>
          </cell>
        </row>
        <row r="572">
          <cell r="E572">
            <v>2100042</v>
          </cell>
          <cell r="F572" t="str">
            <v>ANTISUERO ESTREPTOCOCCUS GRUPO D.  FRASCO 1  -  3 mL. MILILITRO</v>
          </cell>
          <cell r="G572" t="str">
            <v>mL</v>
          </cell>
        </row>
        <row r="573">
          <cell r="E573">
            <v>2100043</v>
          </cell>
          <cell r="F573" t="str">
            <v>ANTISUERO ESTREPTOCOCCUS GRUPO E.  FRASCO 1  -  3 mL. MILILITRO</v>
          </cell>
          <cell r="G573" t="str">
            <v>mL</v>
          </cell>
        </row>
        <row r="574">
          <cell r="E574">
            <v>2100044</v>
          </cell>
          <cell r="F574" t="str">
            <v>ANTISUERO ESTREPTOCOCCUS GRUPO F. FRASCO 1  -  3 mL. MILILITRO</v>
          </cell>
          <cell r="G574" t="str">
            <v>mL</v>
          </cell>
        </row>
        <row r="575">
          <cell r="E575">
            <v>2100045</v>
          </cell>
          <cell r="F575" t="str">
            <v>ANTISUERO ESTREPTOCOCCUS GRUPO G. FRASCO 1  -  3 mL. MILILITRO</v>
          </cell>
          <cell r="G575" t="str">
            <v>mL</v>
          </cell>
        </row>
        <row r="576">
          <cell r="E576">
            <v>2100046</v>
          </cell>
          <cell r="F576" t="str">
            <v>REACTIVO PARA DETECCION DE ANTIGENO AB  (ANTI AB)    (MONOCLONAL) .  FRASCO 5  -  15 mL. MILILITRO</v>
          </cell>
          <cell r="G576" t="str">
            <v>mL</v>
          </cell>
        </row>
        <row r="577">
          <cell r="E577">
            <v>2100047</v>
          </cell>
          <cell r="F577" t="str">
            <v>DETECCION DIRECTA DE ROTAVIRUS.  SET DE 20 PRUEBAS O MAS. PRUEBA</v>
          </cell>
          <cell r="G577" t="str">
            <v>PRUEBA</v>
          </cell>
        </row>
        <row r="578">
          <cell r="E578">
            <v>2100048</v>
          </cell>
          <cell r="F578" t="str">
            <v>SALMONELLA O POLIVALENTE "B" GRUPO: C1,  C2,   F,  G - H  FCO. DE 1  -  3 mL. MILILITRO</v>
          </cell>
          <cell r="G578" t="str">
            <v>mL</v>
          </cell>
        </row>
        <row r="579">
          <cell r="E579">
            <v>2101000</v>
          </cell>
          <cell r="F579" t="str">
            <v>SUERO CONTROL NORMAL DE QUIMICA. FRASCO 2  -  10 mL. MILILITRO</v>
          </cell>
          <cell r="G579" t="str">
            <v>mL</v>
          </cell>
        </row>
        <row r="580">
          <cell r="E580">
            <v>2101001</v>
          </cell>
          <cell r="F580" t="str">
            <v>SUERO CONTROL ANORMAL DE QUIMICA. FRASCO 2  -  10 mL. MILILITRO</v>
          </cell>
          <cell r="G580" t="str">
            <v>mL</v>
          </cell>
        </row>
        <row r="581">
          <cell r="E581">
            <v>2101002</v>
          </cell>
          <cell r="F581" t="str">
            <v>SUERO CONTROL ENZIMATICO NORMAL    FRASCO 2  -  10  mL. MILILITRO</v>
          </cell>
          <cell r="G581" t="str">
            <v>MILILITRO</v>
          </cell>
        </row>
        <row r="582">
          <cell r="E582">
            <v>2101003</v>
          </cell>
          <cell r="F582" t="str">
            <v>SUERO CONTROL ENZIMATICO ANORMAL    FRASCO 2  -  10 mL. MILILITRO</v>
          </cell>
          <cell r="G582" t="str">
            <v>MILILITRO</v>
          </cell>
        </row>
        <row r="583">
          <cell r="E583">
            <v>2101004</v>
          </cell>
          <cell r="F583" t="str">
            <v>SUERO CONTROL REACTIVO PARA SEROLOGIA DE SIFILIS. FRASCO 1  -  5 mL. MILILITRO</v>
          </cell>
          <cell r="G583" t="str">
            <v>MILILITRO</v>
          </cell>
        </row>
        <row r="584">
          <cell r="E584">
            <v>2101005</v>
          </cell>
          <cell r="F584" t="str">
            <v>PLASMA CONTROL NORMAL DE COAGULACION.    FRASCO   1 - 5 mL. MILILITRO</v>
          </cell>
          <cell r="G584" t="str">
            <v>MILILITRO</v>
          </cell>
        </row>
        <row r="585">
          <cell r="E585">
            <v>2101006</v>
          </cell>
          <cell r="F585" t="str">
            <v>SUERO CONTROL ENZIMATICO PARA  CREATIN - FOSFOKINASA FRACCION MB  (CK - MB) . FRASCO 1  -  5 mL. MILILITRO</v>
          </cell>
          <cell r="G585" t="str">
            <v>MILILITRO</v>
          </cell>
        </row>
        <row r="586">
          <cell r="E586">
            <v>2101007</v>
          </cell>
          <cell r="F586" t="str">
            <v>CONTROL NORMAL PARA ANALIZADOR QUIMICO.  FRASCO 5  -  10 mL. MILILITRO</v>
          </cell>
          <cell r="G586" t="str">
            <v>MILILITRO</v>
          </cell>
        </row>
        <row r="587">
          <cell r="E587">
            <v>2101008</v>
          </cell>
          <cell r="F587" t="str">
            <v>CONTROL ANORMAL PARA ANALIZADOR QUIMICO. FRASCO 5  -  10 mL. MILILITRO</v>
          </cell>
          <cell r="G587" t="str">
            <v>MILILITRO</v>
          </cell>
        </row>
        <row r="588">
          <cell r="E588">
            <v>2101009</v>
          </cell>
          <cell r="F588" t="str">
            <v>CONTROL POSITIVO POLIVALENTE PARA ANTIGENOS FEBRILES. FRASCO 1  -  5 mL. MILILITRO</v>
          </cell>
          <cell r="G588" t="str">
            <v>MILILITRO</v>
          </cell>
        </row>
        <row r="589">
          <cell r="E589">
            <v>2101010</v>
          </cell>
          <cell r="F589" t="str">
            <v>CONTROL NIVEL 1 PARA ANALIZADOR DE ELECTROLITOS NOVA. FRASCO VIAL O AMPOLLA 1  -  5 mL. MILILITRO</v>
          </cell>
          <cell r="G589" t="str">
            <v>MILILITRO</v>
          </cell>
        </row>
        <row r="590">
          <cell r="E590">
            <v>2101011</v>
          </cell>
          <cell r="F590" t="str">
            <v>CONTROL NIVEL 2 PARA ANALIZADOR DE ELECTROLITOS NOVA. FRASCO VIAL O AMPOLLA 1  -  5 mL. MILILITRO</v>
          </cell>
          <cell r="G590" t="str">
            <v>MILILITRO</v>
          </cell>
        </row>
        <row r="591">
          <cell r="E591">
            <v>2101012</v>
          </cell>
          <cell r="F591" t="str">
            <v>CONTROL NIVEL 3 PARA ANALIZADOR DE ELECTROLITOS NOVA. FRASCO VIAL O AMPOLLA 1  -  5 mL. MILILITRO</v>
          </cell>
          <cell r="G591" t="str">
            <v>MILILITRO</v>
          </cell>
        </row>
        <row r="592">
          <cell r="E592">
            <v>2101013</v>
          </cell>
          <cell r="F592" t="str">
            <v>SUERO CONTROL REACTIVO DEBIL PARA SEROLOGIA DE    SIFILIS.   FRASCO DE 1  -  5 mL. MILILITRO</v>
          </cell>
          <cell r="G592" t="str">
            <v>MILILITRO</v>
          </cell>
        </row>
        <row r="593">
          <cell r="E593">
            <v>2101014</v>
          </cell>
          <cell r="F593" t="str">
            <v>PSEUDOMONA AERUGINOSA ATCC 27853. FRASCO O VIAL DE 15  -  25 DISCOS. DISCO</v>
          </cell>
          <cell r="G593" t="str">
            <v>DISCO</v>
          </cell>
        </row>
        <row r="594">
          <cell r="E594">
            <v>2101015</v>
          </cell>
          <cell r="F594" t="str">
            <v>ESCHERICHIA COLI ATCC 35218. FRASCO O VIAL DE 15  -  25 DISCOS. DISCO</v>
          </cell>
          <cell r="G594" t="str">
            <v>DISCO</v>
          </cell>
        </row>
        <row r="595">
          <cell r="E595">
            <v>2101016</v>
          </cell>
          <cell r="F595" t="str">
            <v>STAPHYLOCOCCUS AUREUS ATCC. 25923. FRASCO O VIAL DE 15  -  25 DISCOS. DISCO</v>
          </cell>
          <cell r="G595" t="str">
            <v>DISCO</v>
          </cell>
        </row>
        <row r="596">
          <cell r="E596">
            <v>2101017</v>
          </cell>
          <cell r="F596" t="str">
            <v>HAEMOPHYLUS INFLUENZAE  ATCC 49247. FRASCO O VIAL DE 15  -  25 DISCOS. DISCO</v>
          </cell>
          <cell r="G596" t="str">
            <v>DISCO</v>
          </cell>
        </row>
        <row r="597">
          <cell r="E597">
            <v>2101018</v>
          </cell>
          <cell r="F597" t="str">
            <v>HAEMOPHYLUS INFLUENZAE ATCC 49766. FRASCO O VIAL DE 15  -  25 DISCOS. DISCO</v>
          </cell>
          <cell r="G597" t="str">
            <v>DISCO</v>
          </cell>
        </row>
        <row r="598">
          <cell r="E598">
            <v>2101019</v>
          </cell>
          <cell r="F598" t="str">
            <v>NEISSERIA GONORRHOEAE ATCC.49226. FRASCO O VIAL DE 15  -  25 DISCOS. DISCO</v>
          </cell>
          <cell r="G598" t="str">
            <v>DISCO</v>
          </cell>
        </row>
        <row r="599">
          <cell r="E599">
            <v>2101020</v>
          </cell>
          <cell r="F599" t="str">
            <v>ESTREPTOCOCCUS PNEUMONIAE ATCC 49619. FRASCO O VIAL DE 15  -  25 DISCOS. DISCO</v>
          </cell>
          <cell r="G599" t="str">
            <v>DISCO</v>
          </cell>
        </row>
        <row r="600">
          <cell r="E600">
            <v>2101021</v>
          </cell>
          <cell r="F600" t="str">
            <v>ESCHERICHIA COLI ATCC 25922.  FRASCO O VIAL DE 15  -  25 DISCOS. DISCO</v>
          </cell>
          <cell r="G600" t="str">
            <v>DISCO</v>
          </cell>
        </row>
        <row r="601">
          <cell r="E601">
            <v>2101022</v>
          </cell>
          <cell r="F601" t="str">
            <v>ESTAPHYLOCOCCUS AUREUS ATCC 29213. FRASCO O VIAL DE 15  -  25 DISCOS. DISCO</v>
          </cell>
          <cell r="G601" t="str">
            <v>DISCO</v>
          </cell>
        </row>
        <row r="602">
          <cell r="E602">
            <v>2101023</v>
          </cell>
          <cell r="F602" t="str">
            <v>ESTAPHYLOCOCCUS AUREUS ATCC 29223.  FRASCO O VIAL DE 15  -  25 DISCOS. DISCO</v>
          </cell>
          <cell r="G602" t="str">
            <v>DISCO</v>
          </cell>
        </row>
        <row r="603">
          <cell r="E603">
            <v>2101024</v>
          </cell>
          <cell r="F603" t="str">
            <v>ENTEROCOCCUS FAECALIS ATCC 29212. FRASCO O VIAL DE 15  -  25 DISCOS. DISCO</v>
          </cell>
          <cell r="G603" t="str">
            <v>DISCO</v>
          </cell>
        </row>
        <row r="604">
          <cell r="E604">
            <v>2101025</v>
          </cell>
          <cell r="F604" t="str">
            <v>KLEBSIELLA PNEUMONIAE ATCC 700603. FRASCO O VIAL DE 15  -  25 DISCOS. DISCO</v>
          </cell>
          <cell r="G604" t="str">
            <v>DISCO</v>
          </cell>
        </row>
        <row r="605">
          <cell r="E605">
            <v>2101026</v>
          </cell>
          <cell r="F605" t="str">
            <v>ESTAFILOCOCCUS AUREUS ATCC 43300. FRASCO O FRASCO VIAL DE 15  -  25 DISCOS. DISCO</v>
          </cell>
          <cell r="G605" t="str">
            <v>DISCO</v>
          </cell>
        </row>
        <row r="606">
          <cell r="E606">
            <v>2101027</v>
          </cell>
          <cell r="F606" t="str">
            <v>ENTEROCOCCUS FAECALIS ATCC 51299. FRASCO O FRASCO VIAL DE 15  -  25 DISCOS. DISCO</v>
          </cell>
          <cell r="G606" t="str">
            <v>DISCO</v>
          </cell>
        </row>
        <row r="607">
          <cell r="E607">
            <v>2101028</v>
          </cell>
          <cell r="F607" t="str">
            <v>HELICOBACTER PYLORI ATCC 43504. FRASCO O FRASCO VIAL DE 15  -  25 DISCOS. DISCO</v>
          </cell>
          <cell r="G607" t="str">
            <v>DISCO</v>
          </cell>
        </row>
        <row r="608">
          <cell r="E608">
            <v>2101029</v>
          </cell>
          <cell r="F608" t="str">
            <v>CONTROL 4C  (ALTO,  MEDIO,  BAJO)  PARA CONTADOR HEMATOLOGICO  (COULTER COUNTER) . SET DE 9 FRASCOS DE 3 mL. MILILITRO</v>
          </cell>
          <cell r="G608" t="str">
            <v>mL</v>
          </cell>
        </row>
        <row r="609">
          <cell r="E609">
            <v>2101030</v>
          </cell>
          <cell r="F609" t="str">
            <v>CONTROL  (ALTO,  NORMAL,  BAJO)  PARA CONTADOR HEMATOLOGICO  (HEMAT - 12) . SET DE 3  -  6 FRASCOS DE 3 mL. MILILITRO</v>
          </cell>
          <cell r="G609" t="str">
            <v>mL</v>
          </cell>
        </row>
        <row r="610">
          <cell r="E610">
            <v>2101031</v>
          </cell>
          <cell r="F610" t="str">
            <v>CONTROL MULTIPLE PARA ANALIZADOR DE ELECTROLITOS NOVA. CAJA CON 12 VIALES O AMPOLLAS DE 1  -  5 mL. MILILITRO</v>
          </cell>
          <cell r="G610" t="str">
            <v>mL</v>
          </cell>
        </row>
        <row r="611">
          <cell r="E611">
            <v>2102000</v>
          </cell>
          <cell r="F611" t="str">
            <v>ACIDO MANDELICO Y MANDELATOS DISCO 3 mcg.  FRASCO O FRASCO VIAL 20  -  50 DISCOS. DISCO</v>
          </cell>
          <cell r="G611" t="str">
            <v>DISCO 3 mcg</v>
          </cell>
        </row>
        <row r="612">
          <cell r="E612">
            <v>2102001</v>
          </cell>
          <cell r="F612" t="str">
            <v>ACIDO NALIDIXICO DISCO 30 mcg.   FRASCO O FRASCO VIAL 20  -  50 DISCOS. DISCO</v>
          </cell>
          <cell r="G612" t="str">
            <v>DISCO 30 mcg</v>
          </cell>
        </row>
        <row r="613">
          <cell r="E613">
            <v>2102002</v>
          </cell>
          <cell r="F613" t="str">
            <v>AMIKACINA DISCO 30 mcg. FRASCO O FRASCO VIAL 20  -  50 DISCOS. DISCO</v>
          </cell>
          <cell r="G613" t="str">
            <v>DISCO 30 mcg</v>
          </cell>
        </row>
        <row r="614">
          <cell r="E614">
            <v>2102003</v>
          </cell>
          <cell r="F614" t="str">
            <v>PIPERACILINA DISCO 100 mcg .  FRASCO O FRASCO VIAL 20  -  50 DISCOS. DISCO</v>
          </cell>
          <cell r="G614" t="str">
            <v>DISCO 100 mcg</v>
          </cell>
        </row>
        <row r="615">
          <cell r="E615">
            <v>2102004</v>
          </cell>
          <cell r="F615" t="str">
            <v>CEFALOTINA DISCO 30 mcg. FRASCO O FRASCO VIAL 20  -  50 DISCOS. DISCO</v>
          </cell>
          <cell r="G615" t="str">
            <v>DISCO 30 mcg</v>
          </cell>
        </row>
        <row r="616">
          <cell r="E616">
            <v>2102005</v>
          </cell>
          <cell r="F616" t="str">
            <v>CLINDAMICINA DISCO 2 mcg. FRASCO O FRASCO VIAL 20  -  50 DISCOS. DISCO</v>
          </cell>
          <cell r="G616" t="str">
            <v>DISCO 2 mcg</v>
          </cell>
        </row>
        <row r="617">
          <cell r="E617">
            <v>2102006</v>
          </cell>
          <cell r="F617" t="str">
            <v>CLORANFENICOL DISCO 30 mcg. FRASCO O FRASCO VIAL 20  -  50 DISCOS. DISCO</v>
          </cell>
          <cell r="G617" t="str">
            <v>DISCO 30 mcg</v>
          </cell>
        </row>
        <row r="618">
          <cell r="E618">
            <v>2102007</v>
          </cell>
          <cell r="F618" t="str">
            <v>ERITROMICINA DISCO 15 mcg. FRASCO O FRASCO VIAL 20  -  50 DISCOS. DISCO</v>
          </cell>
          <cell r="G618" t="str">
            <v>DISCO 15 mcg</v>
          </cell>
        </row>
        <row r="619">
          <cell r="E619">
            <v>2102008</v>
          </cell>
          <cell r="F619" t="str">
            <v>GENTAMICINA DISCO 10 mcg . FRASCO O FRASCO VIAL 20  -  50 DISCOS. DISCO</v>
          </cell>
          <cell r="G619" t="str">
            <v>DISCO 10 mcg</v>
          </cell>
        </row>
        <row r="620">
          <cell r="E620">
            <v>2102009</v>
          </cell>
          <cell r="F620" t="str">
            <v>OXACILINA SODICA DISCO DE 1 mcg .  FRASCO O FRASCO VIAL 20  -  50 DISCOS. DISCO</v>
          </cell>
          <cell r="G620" t="str">
            <v>DISCO 1 mcg</v>
          </cell>
        </row>
        <row r="621">
          <cell r="E621">
            <v>2102010</v>
          </cell>
          <cell r="F621" t="str">
            <v>NITROFURANTOINA DISCO 300 mcg.   FRASCO O FRASCO VIAL 20  -  50 DISCOS. DISCO</v>
          </cell>
          <cell r="G621" t="str">
            <v>DISCO 300 mcg</v>
          </cell>
        </row>
        <row r="622">
          <cell r="E622">
            <v>2102011</v>
          </cell>
          <cell r="F622" t="str">
            <v>AMOXICILINA DISCO 25 mcg.   FRASCO O FRASCO VIAL 20  -  50 DISCOS. DISCO</v>
          </cell>
          <cell r="G622" t="str">
            <v>DISCO 25 mcg</v>
          </cell>
        </row>
        <row r="623">
          <cell r="E623">
            <v>2102012</v>
          </cell>
          <cell r="F623" t="str">
            <v>PENICILINA G DISCO 10 U. FRASCO O FRASCO VIAL 20  -  50 DISCOS. DISCO</v>
          </cell>
          <cell r="G623" t="str">
            <v>DISCO</v>
          </cell>
        </row>
        <row r="624">
          <cell r="E624">
            <v>2102013</v>
          </cell>
          <cell r="F624" t="str">
            <v>RIFAMPICINA DISCO 5 mcg. FRASCO O FRASCO VIAL 20  -  50 DISCOS. DISCO</v>
          </cell>
          <cell r="G624" t="str">
            <v>DISCO 5 mcg</v>
          </cell>
        </row>
        <row r="625">
          <cell r="E625">
            <v>2102014</v>
          </cell>
          <cell r="F625" t="str">
            <v>BACITRACINA TAXO A  DISCO 0.04 U . FRASCO O FRASCO VIAL 20 - 50 DISCOS. DISCO</v>
          </cell>
          <cell r="G625" t="str">
            <v>DISCO 0.04 U</v>
          </cell>
        </row>
        <row r="626">
          <cell r="E626">
            <v>2102015</v>
          </cell>
          <cell r="F626" t="str">
            <v>TAXO N  (PARAMINODIMETILANILINA OXALATO) .  FRASCO O FRASCO VIAL 20  -  50 DISCOS. DISCO</v>
          </cell>
          <cell r="G626" t="str">
            <v>DISCO</v>
          </cell>
        </row>
        <row r="627">
          <cell r="E627">
            <v>2102016</v>
          </cell>
          <cell r="F627" t="str">
            <v>TAXO "P" O PRUEBA DE OPTOCHIN.   FRASCO O FRASCO VIAL 20  -  50 DISCOS. DISCO</v>
          </cell>
          <cell r="G627" t="str">
            <v>DISCO</v>
          </cell>
        </row>
        <row r="628">
          <cell r="E628">
            <v>2102017</v>
          </cell>
          <cell r="F628" t="str">
            <v>TAXO V  (NAD) .  FRASCO DE 20  -  50 TIRAS O DISCOS. TIRA O DISCO</v>
          </cell>
          <cell r="G628" t="str">
            <v>TIRA O DISCO</v>
          </cell>
        </row>
        <row r="629">
          <cell r="E629">
            <v>2102018</v>
          </cell>
          <cell r="F629" t="str">
            <v>TAXO X  (HEMINA) .  FRASCO DE 20  -  50 TIRAS O DISCOS. TIRA O DISCO</v>
          </cell>
          <cell r="G629" t="str">
            <v>TIRA O DISCO</v>
          </cell>
        </row>
        <row r="630">
          <cell r="E630">
            <v>2102019</v>
          </cell>
          <cell r="F630" t="str">
            <v>TAXO XV  (NAD,  HEMINA) .  FRASCO DE 20  -  50 TIRAS O DISCOS. TIRA O DISCO</v>
          </cell>
          <cell r="G630" t="str">
            <v>TIRA O DISCO</v>
          </cell>
        </row>
        <row r="631">
          <cell r="E631">
            <v>2102020</v>
          </cell>
          <cell r="F631" t="str">
            <v>TETRACICLINA DISCO 30 mcg. FRASCO O FRASCO VIAL 20  -  50 DISCOS. DISCO</v>
          </cell>
          <cell r="G631" t="str">
            <v>DISCO 30 mcg</v>
          </cell>
        </row>
        <row r="632">
          <cell r="E632">
            <v>2102021</v>
          </cell>
          <cell r="F632" t="str">
            <v>TRIMETROPRIN SULFAMETOXASOL, DISCO 1.25/23.75 mcg. FRASCO O FRASCO VIAL 20  -  50 DISCOS. DISCO</v>
          </cell>
          <cell r="G632" t="str">
            <v>DISCO 1.25/23.75 mcg</v>
          </cell>
        </row>
        <row r="633">
          <cell r="E633">
            <v>2102022</v>
          </cell>
          <cell r="F633" t="str">
            <v>POLIMIXINA "B" DISCO 300 U. FRASCO DE 20  -  50 DISCOS. DISCO</v>
          </cell>
          <cell r="G633" t="str">
            <v>DISCO 300 U</v>
          </cell>
        </row>
        <row r="634">
          <cell r="E634">
            <v>2102023</v>
          </cell>
          <cell r="F634" t="str">
            <v>MEROPENEM DISCO 10 mcg. FRASCO O FRASCO VIAL DE 20  -  50 DISCOS. DISCO</v>
          </cell>
          <cell r="G634" t="str">
            <v>DISCO 10 mcg</v>
          </cell>
        </row>
        <row r="635">
          <cell r="E635">
            <v>2102024</v>
          </cell>
          <cell r="F635" t="str">
            <v>AMPICILINA - SULBACTAN DISCO 10/10 mcg. FRASCO O FRASCO VIAL DE 20  -  50 DISCOS. DISCO</v>
          </cell>
          <cell r="G635" t="str">
            <v>DISCO 10/10 mcg</v>
          </cell>
        </row>
        <row r="636">
          <cell r="E636">
            <v>2102025</v>
          </cell>
          <cell r="F636" t="str">
            <v>PIPERACILINA - TAZOBACTAN DISCO 100/10 mcg. FRASCO O FRASCO VIAL DE 20  -  50 DISCOS. DISCO</v>
          </cell>
          <cell r="G636" t="str">
            <v>DISCO 100/10 mcg</v>
          </cell>
        </row>
        <row r="637">
          <cell r="E637">
            <v>2102026</v>
          </cell>
          <cell r="F637" t="str">
            <v>AGAR AGAR. FRASCO DE 100  -  500 G. GRAMO</v>
          </cell>
          <cell r="G637" t="str">
            <v>GRAMO</v>
          </cell>
        </row>
        <row r="638">
          <cell r="E638">
            <v>2102027</v>
          </cell>
          <cell r="F638" t="str">
            <v>AGAR CTA.   FRASCO DE 50  -  250 G. GRAMO</v>
          </cell>
          <cell r="G638" t="str">
            <v>GRAMO</v>
          </cell>
        </row>
        <row r="639">
          <cell r="E639">
            <v>2102028</v>
          </cell>
          <cell r="F639" t="str">
            <v>AGAR SELECTIVO PARA PSEUDOMONA   (CETRIMIDA AGAR)   FRASCO DE 100  -  500 G. GRAMO</v>
          </cell>
          <cell r="G639" t="str">
            <v>GRAMO</v>
          </cell>
        </row>
        <row r="640">
          <cell r="E640">
            <v>2102029</v>
          </cell>
          <cell r="F640" t="str">
            <v>SISTEMA DE PRUEBAS BIOQUIMICAS PARA LA IDENTIFICACIONACION DE BACILOS GRAM NEGATIVOS FERMENTADORES CON LOS REACTIVOS COMPLEMENTARIOS REQUERIDOS.PARA LA LECTURA DE PRUEBAS.CAJA DE 20 PANELES O MAS. PANEL</v>
          </cell>
          <cell r="G640" t="str">
            <v>PANEL</v>
          </cell>
        </row>
        <row r="641">
          <cell r="E641">
            <v>2102030</v>
          </cell>
          <cell r="F641" t="str">
            <v>SISTEMA DE PRUEBAS BIOQUIMICAS PARA LA IDENTIFICACIONACION DE LEVADURAS  (PRUEBA ASIMILACION DE CARBOHIDRATOS)  CAJA DE 20 PANELES O MAS. PANEL</v>
          </cell>
          <cell r="G641" t="str">
            <v>PANEL</v>
          </cell>
        </row>
        <row r="642">
          <cell r="E642">
            <v>2102031</v>
          </cell>
          <cell r="F642" t="str">
            <v>AGAR BASE GC.  FRASCO 100  -  500 G. GRAMO</v>
          </cell>
          <cell r="G642" t="str">
            <v>GRAMO</v>
          </cell>
        </row>
        <row r="643">
          <cell r="E643">
            <v>2102032</v>
          </cell>
          <cell r="F643" t="str">
            <v>CALDO SELENITO F.  FRASCO 100  -  500 G. GRAMO</v>
          </cell>
          <cell r="G643" t="str">
            <v>GRAMO</v>
          </cell>
        </row>
        <row r="644">
          <cell r="E644">
            <v>2102033</v>
          </cell>
          <cell r="F644" t="str">
            <v>CALDO DE INFUSION CEREBRO CORAZON. FRASCO 100  -  500 G. GRAMO</v>
          </cell>
          <cell r="G644" t="str">
            <v>GRAMO</v>
          </cell>
        </row>
        <row r="645">
          <cell r="E645">
            <v>2102034</v>
          </cell>
          <cell r="F645" t="str">
            <v>CALDO PARA PRUEBA DE UREA.  FRASCO 50  -  500 G. GRAMO</v>
          </cell>
          <cell r="G645" t="str">
            <v>DISCO 1.25/23.75 mcg</v>
          </cell>
        </row>
        <row r="646">
          <cell r="E646">
            <v>2102035</v>
          </cell>
          <cell r="F646" t="str">
            <v>CALDO ROJO DE METILO VOGES PROSKAWER.   FRASCO 100 -  500 G. GRAMO</v>
          </cell>
          <cell r="G646" t="str">
            <v>GRAMO</v>
          </cell>
        </row>
        <row r="647">
          <cell r="E647">
            <v>2102036</v>
          </cell>
          <cell r="F647" t="str">
            <v>CALDO TIOGLICOLATO CON INDICADOR.   FRASCO DE 100  -  500 G. GRAMO</v>
          </cell>
          <cell r="G647" t="str">
            <v>GRAMO</v>
          </cell>
        </row>
        <row r="648">
          <cell r="E648">
            <v>2102037</v>
          </cell>
          <cell r="F648" t="str">
            <v>CALDO TRIPTONA.   FRASCO DE 100  -  500 G. GRAMO</v>
          </cell>
          <cell r="G648" t="str">
            <v>GRAMO</v>
          </cell>
        </row>
        <row r="649">
          <cell r="E649">
            <v>2102038</v>
          </cell>
          <cell r="F649" t="str">
            <v>CALDO TRIPTICASA SOYA. FRASCO DE 100  -  500 G. GRAMO</v>
          </cell>
          <cell r="G649" t="str">
            <v>GRAMO</v>
          </cell>
        </row>
        <row r="650">
          <cell r="E650">
            <v>2102039</v>
          </cell>
          <cell r="F650" t="str">
            <v>AGAR CITRATO DE SIMONS.  FRASCO 100  -  500 G. GRAMO</v>
          </cell>
          <cell r="G650" t="str">
            <v>GRAMO</v>
          </cell>
        </row>
        <row r="651">
          <cell r="E651">
            <v>2102040</v>
          </cell>
          <cell r="F651" t="str">
            <v>AGAR HARINA DE MAIZ  (CORN MEAL) .   FRASCO 100  -    500 G. GRAMO</v>
          </cell>
          <cell r="G651" t="str">
            <v>GRAMO</v>
          </cell>
        </row>
        <row r="652">
          <cell r="E652">
            <v>2102041</v>
          </cell>
          <cell r="F652" t="str">
            <v>AGAR EOSINA AZUL DE METILENO  (EMB) .  FRASCO 100 -   500 G. GRAMO</v>
          </cell>
          <cell r="G652" t="str">
            <v>GRAMO</v>
          </cell>
        </row>
        <row r="653">
          <cell r="E653">
            <v>2102042</v>
          </cell>
          <cell r="F653" t="str">
            <v>ENRIQUECIMIENTO ISOVITALEX O SIMILAR,  CAJA DE 5 - 10 AMPOLLAS O FRASCOS. AMPOLLA O FRASCO</v>
          </cell>
          <cell r="G653" t="str">
            <v>AMPOLLA O FRASCO</v>
          </cell>
        </row>
        <row r="654">
          <cell r="E654">
            <v>2102043</v>
          </cell>
          <cell r="F654" t="str">
            <v>HEMOGLOBINA EN POLVO.   FRASCO 25 G. O MAS. GRAMO</v>
          </cell>
          <cell r="G654" t="str">
            <v>GRAMO</v>
          </cell>
        </row>
        <row r="655">
          <cell r="E655">
            <v>2102044</v>
          </cell>
          <cell r="F655" t="str">
            <v>INHIBIDOR V.C.N.   (VANCOMICINA,  COLIMICINA,  NISTATINA) .  CAJA DE 10 O MAS AMPOLLAS O FRASCOS. AMPOLLA O FRASCO</v>
          </cell>
          <cell r="G655" t="str">
            <v>AMPOLLA O FRASCO</v>
          </cell>
        </row>
        <row r="656">
          <cell r="E656">
            <v>2102045</v>
          </cell>
          <cell r="F656" t="str">
            <v>AGAR MacCKONKEY CON COLORANTE DE VIOLETA.  FRASCO 100  -  500 G. GRAMO</v>
          </cell>
          <cell r="G656" t="str">
            <v>GRAMO</v>
          </cell>
        </row>
        <row r="657">
          <cell r="E657">
            <v>2102046</v>
          </cell>
          <cell r="F657" t="str">
            <v>AGAR MANITOL ROJO DE FENOL  FRASCO 100  -  500 G. GRAMO</v>
          </cell>
          <cell r="G657" t="str">
            <v>GRAMO</v>
          </cell>
        </row>
        <row r="658">
          <cell r="E658">
            <v>2102047</v>
          </cell>
          <cell r="F658" t="str">
            <v>AGAR MICOCEL     FRASCO 100  -  500 G. GRAMO</v>
          </cell>
          <cell r="G658" t="str">
            <v>GRAMO</v>
          </cell>
        </row>
        <row r="659">
          <cell r="E659">
            <v>2102048</v>
          </cell>
          <cell r="F659" t="str">
            <v>MEDIO MOVILIDAD.   FRASCO 100  -  500 G. GRAMO</v>
          </cell>
          <cell r="G659" t="str">
            <v>GRAMO</v>
          </cell>
        </row>
        <row r="660">
          <cell r="E660">
            <v>2102049</v>
          </cell>
          <cell r="F660" t="str">
            <v>AGAR MUELLER HINTON.    FRASCO 100  -  500 G. GRAMO</v>
          </cell>
          <cell r="G660" t="str">
            <v>GRAMO</v>
          </cell>
        </row>
        <row r="661">
          <cell r="E661">
            <v>2102050</v>
          </cell>
          <cell r="F661" t="str">
            <v>O.F. MEDIO BASAL    FRASCO 100  -  500 G. GRAMO</v>
          </cell>
          <cell r="G661" t="str">
            <v>GRAMO</v>
          </cell>
        </row>
        <row r="662">
          <cell r="E662">
            <v>2102051</v>
          </cell>
          <cell r="F662" t="str">
            <v>AGAR FENIL ETANOL  (P.A.) .  FRASCO 100  -  500 G. GRAMO</v>
          </cell>
          <cell r="G662" t="str">
            <v>GRAMO</v>
          </cell>
        </row>
        <row r="663">
          <cell r="E663">
            <v>2102052</v>
          </cell>
          <cell r="F663" t="str">
            <v>AGAR SABOURAUD DEXTROSA.   FRASCO 100  -  500 G. GRAMO</v>
          </cell>
          <cell r="G663" t="str">
            <v>GRAMO</v>
          </cell>
        </row>
        <row r="664">
          <cell r="E664">
            <v>2102053</v>
          </cell>
          <cell r="F664" t="str">
            <v>AGAR SALMONELLA SHIGELLA  (S.S.) .FRASCO 100  -  500 G. GRAMO</v>
          </cell>
          <cell r="G664" t="str">
            <v>GRAMO</v>
          </cell>
        </row>
        <row r="665">
          <cell r="E665">
            <v>2102054</v>
          </cell>
          <cell r="F665" t="str">
            <v>AGAR TRIPLE AZUCAR Y HIERRO  (TSI) .  FRASCO 100  -   500 G. GRAMO</v>
          </cell>
          <cell r="G665" t="str">
            <v>GRAMO</v>
          </cell>
        </row>
        <row r="666">
          <cell r="E666">
            <v>2102055</v>
          </cell>
          <cell r="F666" t="str">
            <v>AGAR TRIPTICASA SOYA.    FRASCO 100  -  500 G. GRAMO</v>
          </cell>
          <cell r="G666" t="str">
            <v>GRAMO</v>
          </cell>
        </row>
        <row r="667">
          <cell r="E667">
            <v>2102056</v>
          </cell>
          <cell r="F667" t="str">
            <v>AGAR SABURAUD MALTOSA ,  FRASCO DE 100  -  500 G. GRAMO</v>
          </cell>
          <cell r="G667" t="str">
            <v>GRAMO</v>
          </cell>
        </row>
        <row r="668">
          <cell r="E668">
            <v>2102057</v>
          </cell>
          <cell r="F668" t="str">
            <v>NIACINA  -  T.B. FRASCO DE 20   -   50 TIRAS O DISCOS. TIRA O DISCO</v>
          </cell>
          <cell r="G668" t="str">
            <v>DISCO O TIRA</v>
          </cell>
        </row>
        <row r="669">
          <cell r="E669">
            <v>2102058</v>
          </cell>
          <cell r="F669" t="str">
            <v>BASE PARA MEDIO LOWENSTEIN JENSEN. FRASCO 100  -  500 G. GRAMO</v>
          </cell>
          <cell r="G669" t="str">
            <v>GRAMO</v>
          </cell>
        </row>
        <row r="670">
          <cell r="E670">
            <v>2102059</v>
          </cell>
          <cell r="F670" t="str">
            <v>CIPROFLOXACINA DISCO 5 mcg. FRASCO O FRASCO VIAL 20  -   50 DISCOS. DISCO</v>
          </cell>
          <cell r="G670" t="str">
            <v>DISCO 5 mcg</v>
          </cell>
        </row>
        <row r="671">
          <cell r="E671">
            <v>2102060</v>
          </cell>
          <cell r="F671" t="str">
            <v>CEFTRIAXONA DISCO 30 mcg. FRASCO O VIAL 20  -  50 DISCOS. DISCO</v>
          </cell>
          <cell r="G671" t="str">
            <v>DISCO 30 mcg</v>
          </cell>
        </row>
        <row r="672">
          <cell r="E672">
            <v>2102061</v>
          </cell>
          <cell r="F672" t="str">
            <v>CEFOTAXIMA DISCO 30 mcg. FRASCO O VIAL 20  -  50 DISCOS. DISCO</v>
          </cell>
          <cell r="G672" t="str">
            <v>DISCO 30 mcg</v>
          </cell>
        </row>
        <row r="673">
          <cell r="E673">
            <v>2102062</v>
          </cell>
          <cell r="F673" t="str">
            <v>DOXICICLINA DISCO 30 mcg. FRASCO O VIAL 20  -  50 DISCOS. DISCO</v>
          </cell>
          <cell r="G673" t="str">
            <v>DISCO 30 mcg</v>
          </cell>
        </row>
        <row r="674">
          <cell r="E674">
            <v>2102063</v>
          </cell>
          <cell r="F674" t="str">
            <v>NOVOBIACINA DISCO 5 mcg.FRASCO O VIAL 20  -  50 DISCOS O MAS. DISCO</v>
          </cell>
          <cell r="G674" t="str">
            <v>DISCO 5 mcg</v>
          </cell>
        </row>
        <row r="675">
          <cell r="E675">
            <v>2102064</v>
          </cell>
          <cell r="F675" t="str">
            <v>TAZOBACTAN DISCO 10 mcg. FRASCO O VIAL 20  -  50 DISCOS. DISCO</v>
          </cell>
          <cell r="G675" t="str">
            <v>DISCO 10 mcg</v>
          </cell>
        </row>
        <row r="676">
          <cell r="E676">
            <v>2102065</v>
          </cell>
          <cell r="F676" t="str">
            <v>AGUA PEPTONADA ALCALINA  (APA) . FRASCO DE 250  -  500 G. GRAMO</v>
          </cell>
          <cell r="G676" t="str">
            <v>GRAMO</v>
          </cell>
        </row>
        <row r="677">
          <cell r="E677">
            <v>2102066</v>
          </cell>
          <cell r="F677" t="str">
            <v>AGAR FENILALANINA.  FRASCO 100  -  250 G. GRAMO</v>
          </cell>
          <cell r="G677" t="str">
            <v>GRAMO</v>
          </cell>
        </row>
        <row r="678">
          <cell r="E678">
            <v>2102067</v>
          </cell>
          <cell r="F678" t="str">
            <v>CALDO BASE ENRIQUECIDO PARA YERSINIA. FRASCO DE 100  -  500 G. GRAMO</v>
          </cell>
          <cell r="G678" t="str">
            <v>GRAMO</v>
          </cell>
        </row>
        <row r="679">
          <cell r="E679">
            <v>2102068</v>
          </cell>
          <cell r="F679" t="str">
            <v>AGAR BILIS ESCULINA.   FRASCO 100  -  500 G. GRAMO</v>
          </cell>
          <cell r="G679" t="str">
            <v>GRAMO</v>
          </cell>
        </row>
        <row r="680">
          <cell r="E680">
            <v>2102069</v>
          </cell>
          <cell r="F680" t="str">
            <v>CALDO BASE KCN.   FRASCO DE 100  -  250 G. GRAMO</v>
          </cell>
          <cell r="G680" t="str">
            <v>GRAMO</v>
          </cell>
        </row>
        <row r="681">
          <cell r="E681">
            <v>2102070</v>
          </cell>
          <cell r="F681" t="str">
            <v>SUPLEMENTO CN ANTIMICROBIANO PARA YERSINIA. FRASCO O VIAL 5  -  10 mL. MILILITRO</v>
          </cell>
          <cell r="G681" t="str">
            <v>mL</v>
          </cell>
        </row>
        <row r="682">
          <cell r="E682">
            <v>2102071</v>
          </cell>
          <cell r="F682" t="str">
            <v>ALPHA - NAPHTOL    FRASCO 100  -  250 G. GRAMO</v>
          </cell>
          <cell r="G682" t="str">
            <v>GRAMO</v>
          </cell>
        </row>
        <row r="683">
          <cell r="E683">
            <v>2102072</v>
          </cell>
          <cell r="F683" t="str">
            <v>NAFCILINA DISCO DE 1 mcg. FRASCO O VIAL 20  -  50 DISCOS. DISCO</v>
          </cell>
          <cell r="G683" t="str">
            <v>DISCO 1 mcg</v>
          </cell>
        </row>
        <row r="684">
          <cell r="E684">
            <v>2102073</v>
          </cell>
          <cell r="F684" t="str">
            <v>IMIPENEM DISCO 10 mcg. FRASCO O VIAL 20  -  50 DISCOS. DISCO</v>
          </cell>
          <cell r="G684" t="str">
            <v>DISCO 10 mcg</v>
          </cell>
        </row>
        <row r="685">
          <cell r="E685">
            <v>2102074</v>
          </cell>
          <cell r="F685" t="str">
            <v>HIPURATO DE SODIO.  FRASCO O VIAL DE 20  -  50 DISCOS. DISCO</v>
          </cell>
          <cell r="G685" t="str">
            <v>DISCO</v>
          </cell>
        </row>
        <row r="686">
          <cell r="E686">
            <v>2102075</v>
          </cell>
          <cell r="F686" t="str">
            <v>BILIS ESCULINA.  FRASCO O VIAL DE 20  -  50 DISCOS. DISCO</v>
          </cell>
          <cell r="G686" t="str">
            <v>DISCO</v>
          </cell>
        </row>
        <row r="687">
          <cell r="E687">
            <v>2102076</v>
          </cell>
          <cell r="F687" t="str">
            <v>AGAR BASE COLUMBIA.   FRASCO 100  -  500 G. GRAMO</v>
          </cell>
          <cell r="G687" t="str">
            <v>GRAMO</v>
          </cell>
        </row>
        <row r="688">
          <cell r="E688">
            <v>2102077</v>
          </cell>
          <cell r="F688" t="str">
            <v>AGAR MacCKONKEY CON SORBITOL    FRASCO 100  -  500 G. GRAMO</v>
          </cell>
          <cell r="G688" t="str">
            <v>GRAMO</v>
          </cell>
        </row>
        <row r="689">
          <cell r="E689">
            <v>2102078</v>
          </cell>
          <cell r="F689" t="str">
            <v>AGAR CARY BLAIR.   FRASCO 100  -  500 G. GRAMO</v>
          </cell>
          <cell r="G689" t="str">
            <v>GRAMO</v>
          </cell>
        </row>
        <row r="690">
          <cell r="E690">
            <v>2102079</v>
          </cell>
          <cell r="F690" t="str">
            <v>AGAR TCBS  (TIOSULFATO,  CITRATO,  BILIS,  SUCROSA) .  FRASCO 100  -  500 G. GRAMO</v>
          </cell>
          <cell r="G690" t="str">
            <v>GRAMO</v>
          </cell>
        </row>
        <row r="691">
          <cell r="E691">
            <v>2102080</v>
          </cell>
          <cell r="F691" t="str">
            <v>SANGRE DE CARNERO DESFIBRINADA.  FRASCO 50  -  100  mL. MILILITRO</v>
          </cell>
          <cell r="G691" t="str">
            <v>mL</v>
          </cell>
        </row>
        <row r="692">
          <cell r="E692">
            <v>2102081</v>
          </cell>
          <cell r="F692" t="str">
            <v>AGAR ENTERICO DE HEKTOEN.   FRASCO 100  -  500 G. GRAMO</v>
          </cell>
          <cell r="G692" t="str">
            <v>GRAMO</v>
          </cell>
        </row>
        <row r="693">
          <cell r="E693">
            <v>2102082</v>
          </cell>
          <cell r="F693" t="str">
            <v>SISTEMA DE PRUEBAS BIOQUIMICAS PARA IDENTIFICACION  DE BACTERIAS ANAEROBICAS. CON LOS REACTIVOS COMPLEMENTARIOS REQUERIDOS PARA LECTURA DE PRUEBAS. CAJA.DE 20 PANELES O MAS. PANEL</v>
          </cell>
          <cell r="G693" t="str">
            <v>PANEL</v>
          </cell>
        </row>
        <row r="694">
          <cell r="E694">
            <v>2102083</v>
          </cell>
          <cell r="F694" t="str">
            <v>SISTEMA DE PRUEBAS BIOQUIMICAS PARA LA IDENTIFICACION DE ESTAFILOCOCCUS.CON LOS REACTIVOS COMPLEMENTARIOS REQUERIDOS PARA LECTURA DE PRUEBAS.CAJA DE 20 PANELES O MAS. PANEL</v>
          </cell>
          <cell r="G694" t="str">
            <v>PANEL</v>
          </cell>
        </row>
        <row r="695">
          <cell r="E695">
            <v>2102084</v>
          </cell>
          <cell r="F695" t="str">
            <v>SISTEMA DE PRUEBAS PARA VERIFICAR SUSCEPTIBILIDAD   ANTIMICROBIANA PARA BACILOS GRAM NEGATIVO.  CAJA DE 20 PANELES O MAS. PANEL</v>
          </cell>
          <cell r="G695" t="str">
            <v>PANEL</v>
          </cell>
        </row>
        <row r="696">
          <cell r="E696">
            <v>2102085</v>
          </cell>
          <cell r="F696" t="str">
            <v xml:space="preserve">MEDIO DE INFUSION CEREBRO - CORAZON,  CON POLIANETOL SULFONATO DE SODIO Y CO2,  PARA HEMOCULTIVO U OTRO SISTEMA FRASCO  DE 45  -  50 mL DE MEDIO. MILILITRO </v>
          </cell>
          <cell r="G696" t="str">
            <v>mL</v>
          </cell>
        </row>
        <row r="697">
          <cell r="E697">
            <v>2102086</v>
          </cell>
          <cell r="F697" t="str">
            <v>AGAR UREA DE CHRISTENSEN.  FRASCO 100  -   500 G. GRAMO</v>
          </cell>
          <cell r="G697" t="str">
            <v>GRAMO</v>
          </cell>
        </row>
        <row r="698">
          <cell r="E698">
            <v>2102087</v>
          </cell>
          <cell r="F698" t="str">
            <v>AGAR XILOSA,  LISINA DEXTROSA  (XLD) .  FRASCO 100  -  500 G. GRAMO</v>
          </cell>
          <cell r="G698" t="str">
            <v>GRAMO</v>
          </cell>
        </row>
        <row r="699">
          <cell r="E699">
            <v>2102088</v>
          </cell>
          <cell r="F699" t="str">
            <v>DICLOXACILINA DISCO DE 1 mcg. FRASCO O VIAL 20  -   50 DISCOS. DISCO</v>
          </cell>
          <cell r="G699" t="str">
            <v>DISCO 1 mcg</v>
          </cell>
        </row>
        <row r="700">
          <cell r="E700">
            <v>2102089</v>
          </cell>
          <cell r="F700" t="str">
            <v>CLARITROMICINA DISCO 15 mcg. FRASCO O VIAL 20  -   50 DISCOS. DISCO</v>
          </cell>
          <cell r="G700" t="str">
            <v>DISCO 15 mcg</v>
          </cell>
        </row>
        <row r="701">
          <cell r="E701">
            <v>2102090</v>
          </cell>
          <cell r="F701" t="str">
            <v>CEFAZOLINA DISCO 30 mcg. FRASCO O VIAL 20  -   50 DISCOS. DISCO</v>
          </cell>
          <cell r="G701" t="str">
            <v>DISCO 30 mcg</v>
          </cell>
        </row>
        <row r="702">
          <cell r="E702">
            <v>2102091</v>
          </cell>
          <cell r="F702" t="str">
            <v>CEFIXIME DISCO 5 mcg. FRASCO O VIAL 20  -   50 DISCOS. DISCO</v>
          </cell>
          <cell r="G702" t="str">
            <v>DISCO 5 mcg</v>
          </cell>
        </row>
        <row r="703">
          <cell r="E703">
            <v>2102092</v>
          </cell>
          <cell r="F703" t="str">
            <v>GENTAMICINA DISCO 120 mcg.  FRASCO O VIAL DE 20  -   50 DISCOS. DISCO</v>
          </cell>
          <cell r="G703" t="str">
            <v>DISCO 120 mcg</v>
          </cell>
        </row>
        <row r="704">
          <cell r="E704">
            <v>2102093</v>
          </cell>
          <cell r="F704" t="str">
            <v>PRUEBA DE NITROCEFIN  (CEFALOSPORINA CROMOGENICA)   CAJA DE 50 PRUEBAS O MAS. PRUEBA</v>
          </cell>
          <cell r="G704" t="str">
            <v>PRUEBA</v>
          </cell>
        </row>
        <row r="705">
          <cell r="E705">
            <v>2102094</v>
          </cell>
          <cell r="F705" t="str">
            <v>ESTREPTOMICINA DISCO 300 mcg. FRASCO O VIAL DE 20  -   50 DISCOS. DISCO</v>
          </cell>
          <cell r="G705" t="str">
            <v>DISCO 300 mcg</v>
          </cell>
        </row>
        <row r="706">
          <cell r="E706">
            <v>2102095</v>
          </cell>
          <cell r="F706" t="str">
            <v>KANAMICINA DISCO 300 mcg. FRASCO O VIAL DE 20  -   50 DISCOS. DISCO</v>
          </cell>
          <cell r="G706" t="str">
            <v>DISCO 300 mcg</v>
          </cell>
        </row>
        <row r="707">
          <cell r="E707">
            <v>2102096</v>
          </cell>
          <cell r="F707" t="str">
            <v>SISTEMA DE PRUEBAS BIOQUIMICAS PARA LA IDENTIFICACION DE BACILOS GRAM NEGATIVO NO FERMENTADORES.CON LOS REACTIVOS COMPLEMENTARIOS REQUERIDOS PARA LECTURA DE PRUEBA. CAJA 20 PANELES O MAS. PANEL</v>
          </cell>
          <cell r="G707" t="str">
            <v>PANEL</v>
          </cell>
        </row>
        <row r="708">
          <cell r="E708">
            <v>2102097</v>
          </cell>
          <cell r="F708" t="str">
            <v>SISTEMA DE PRUEBAS BIOQUIMICAS PARA LA IDENTIFICACION DE ESTREPTOCOCCUS CON LOS REACTIVOS COMPLEMENTARIOS REQUERIDOS PARA LECTURA DE PRUEBAS. CAJA DE 20 PANELES O MAS. PANEL</v>
          </cell>
          <cell r="G708" t="str">
            <v>PANEL</v>
          </cell>
        </row>
        <row r="709">
          <cell r="E709">
            <v>2102098</v>
          </cell>
          <cell r="F709" t="str">
            <v>SISTEMA DE PRUEBAS PARA VERIFICAR SUSCEPTIBILIDAD ANTIMICROBIANA PARA BACILOS GRAM  NEGATIVOS,  UROCULTIVO. CAJA DE 20 PANELES O MAS. PANEL</v>
          </cell>
          <cell r="G709" t="str">
            <v>PANEL</v>
          </cell>
        </row>
        <row r="710">
          <cell r="E710">
            <v>2102099</v>
          </cell>
          <cell r="F710" t="str">
            <v>SISTEMA DE PRUEBAS PARA VERIFICAR SUSCEPTIBILIDAD ANTIMICROBIANA PARA COCOS GRAM POSITIVO  (STREPTOCOCCUS) .  CAJA DE 20 PANELES O MAS. PANEL</v>
          </cell>
          <cell r="G710" t="str">
            <v>PANEL</v>
          </cell>
        </row>
        <row r="711">
          <cell r="E711">
            <v>2102100</v>
          </cell>
          <cell r="F711" t="str">
            <v>SISTEMA DE PRUEBAS PARA VERIFICAR SUSCEPTIBILIDAD ANTIMICROBIANA PARA COCOS GRAM POSITIVOS  (STAPHYLOCOCCUS) . CAJA DE 20 PANELES O MAS. PANEL</v>
          </cell>
          <cell r="G711" t="str">
            <v>PANEL</v>
          </cell>
        </row>
        <row r="712">
          <cell r="E712">
            <v>2102101</v>
          </cell>
          <cell r="F712" t="str">
            <v>SISTEMA DE PRUEBAS PARA VERIFICAR SUSCEPTIBILIDAD ANTIMICROBIANA PARA PSEUDOMONAS Y NO FERMENTADORES.  CAJA DE 20 PANELES O MAS. PANEL</v>
          </cell>
          <cell r="G712" t="str">
            <v>PANEL</v>
          </cell>
        </row>
        <row r="713">
          <cell r="E713">
            <v>2102102</v>
          </cell>
          <cell r="F713" t="str">
            <v>SISTEMA  DE PRUEBAS BIOQUIMICAS PARA LA IDENTIFICACION DE NEISSERIA, HAEMOPHYLUS Y MORAXELLA CATARRHALIS.CON REACTIVOS COMPLEMENTARIOS REQUERIDOS PARA LECTURA DE PRUEBAS. CAJA DE 20 PANELES O MAS. PANEL</v>
          </cell>
          <cell r="G713" t="str">
            <v>PANEL</v>
          </cell>
        </row>
        <row r="714">
          <cell r="E714">
            <v>2102103</v>
          </cell>
          <cell r="F714" t="str">
            <v>SISTEMA DE PRUEBAS PARA VERIFICAR SUSCEPTIBILIDAD ANTIMICROBIANA PARA NEISSERIA ,  HAEMOPHYLUS Y MORAXELLA. CAJA DE 20 PANELES O MAS. PANEL</v>
          </cell>
          <cell r="G714" t="str">
            <v>PANEL</v>
          </cell>
        </row>
        <row r="715">
          <cell r="E715">
            <v>2102104</v>
          </cell>
          <cell r="F715" t="str">
            <v>SISTEMA DE PRUEBAS PARA VERIFICAR SUSCEPTIBILIDAD   ANTIFUNGICA  (LEVADURAS) . CAJA DE 20 PANELES O MAS. PANEL</v>
          </cell>
          <cell r="G715" t="str">
            <v>PANEL</v>
          </cell>
        </row>
        <row r="716">
          <cell r="E716">
            <v>2102105</v>
          </cell>
          <cell r="F716" t="str">
            <v>CALDO MUELLER HINTON.  FRASCO DE 250  -  500 G. GRAMO</v>
          </cell>
          <cell r="G716" t="str">
            <v>GRAMO</v>
          </cell>
        </row>
        <row r="717">
          <cell r="E717">
            <v>2102106</v>
          </cell>
          <cell r="F717" t="str">
            <v>AGAR BASE PARA YERSINIA.  FRASCO 100  -  250 G. GRAMO</v>
          </cell>
          <cell r="G717" t="str">
            <v>GRAMO</v>
          </cell>
        </row>
        <row r="718">
          <cell r="E718">
            <v>2102107</v>
          </cell>
          <cell r="F718" t="str">
            <v>AGAR BASE PARA CAMPYLOBACTER  (AGAR SKIRROW O SIMILAR) .  FRASCO 100  -   500 G. GRAMO</v>
          </cell>
          <cell r="G718" t="str">
            <v>GRAMO</v>
          </cell>
        </row>
        <row r="719">
          <cell r="E719">
            <v>2102108</v>
          </cell>
          <cell r="F719" t="str">
            <v>SUPLEMENTO ANTIMICROBIANO VANCOMICINA,  POLIMIXINA B Y TRIMETROPRIN PARA CAMPYLOBACTER.  FRASCO O VIAL 5  -  10 mL. MILILITRO</v>
          </cell>
          <cell r="G719" t="str">
            <v>mL</v>
          </cell>
        </row>
        <row r="720">
          <cell r="E720">
            <v>2102109</v>
          </cell>
          <cell r="F720" t="str">
            <v>AGAR DERMATHOPHYTO  (DTM) .  FRASCO 100  -  500 G. GRAMO</v>
          </cell>
          <cell r="G720" t="str">
            <v>GRAMO</v>
          </cell>
        </row>
        <row r="721">
          <cell r="E721">
            <v>2102110</v>
          </cell>
          <cell r="F721" t="str">
            <v>MEDIO PARA HAEMOPHILUS  (HTM) . FRASCO 100  -  500 G. GRAMO</v>
          </cell>
          <cell r="G721" t="str">
            <v>GRAMO</v>
          </cell>
        </row>
        <row r="722">
          <cell r="E722">
            <v>2102111</v>
          </cell>
          <cell r="F722" t="str">
            <v>MEDIO DE TRIPTICASA SOYA CON POLIANETOL SULFONATO DE SODIO Y CO2,  PARA HEMOCULTIVO U OTRO SISTEMA FRASCO  DE 45  -   50 mL DE MEDIO. MILILITRO</v>
          </cell>
          <cell r="G722" t="str">
            <v>mL</v>
          </cell>
        </row>
        <row r="723">
          <cell r="E723">
            <v>2102112</v>
          </cell>
          <cell r="F723" t="str">
            <v>MEDIO DE TIOGLICOLATO CON POLIANETOL SULFONATO DE SODIO Y CO2,  PARA HEMOCULTIVO U OTRO SISTEMA FRASCO DE 45  -  50 mL DE MEDIO. MILILITRO</v>
          </cell>
          <cell r="G723" t="str">
            <v>mL</v>
          </cell>
        </row>
        <row r="724">
          <cell r="E724">
            <v>2102113</v>
          </cell>
          <cell r="F724" t="str">
            <v>CALDO TRIPTICASA SOYA CON POLIANETOL SULFONATO DE SODIO Y CO2,  PARA HEMOCULTIVO. FRASCO  4.5  -  13.5 mL DE MEDIO. MILILITRO</v>
          </cell>
          <cell r="G724" t="str">
            <v>mL</v>
          </cell>
        </row>
        <row r="725">
          <cell r="E725">
            <v>2102114</v>
          </cell>
          <cell r="F725" t="str">
            <v>PLASMA CITRATADO DE CONEJO FRASCO  DE 3  -  5  mL. MILILITRO</v>
          </cell>
          <cell r="G725" t="str">
            <v>mL</v>
          </cell>
        </row>
        <row r="726">
          <cell r="E726">
            <v>2102115</v>
          </cell>
          <cell r="F726" t="str">
            <v>MEDIO DE TRANSPORTE CON CHARCOAL MODIFICADO DE STUART'S.  TUBO. C/U</v>
          </cell>
          <cell r="G726" t="str">
            <v>C/U</v>
          </cell>
        </row>
        <row r="727">
          <cell r="E727">
            <v>2102116</v>
          </cell>
          <cell r="F727" t="str">
            <v>MEDIO DE TRANSPORTE DESCARTABLE CON HISOPO DE ALUMINIO FINO PARA MUESTRAS URETRALES. TUBO. C/U</v>
          </cell>
          <cell r="G727" t="str">
            <v>C/U</v>
          </cell>
        </row>
        <row r="728">
          <cell r="E728">
            <v>2102117</v>
          </cell>
          <cell r="F728" t="str">
            <v>MEDIO DE TRANSPORTE STUART'S PARA MUESTRAS MICROBIOLOGICAS. TUBO. C/U</v>
          </cell>
          <cell r="G728" t="str">
            <v>C/U</v>
          </cell>
        </row>
        <row r="729">
          <cell r="E729">
            <v>2102118</v>
          </cell>
          <cell r="F729" t="str">
            <v>MEDIO DE TRANSPORTE CARY BLAIR. TUBO. C/U</v>
          </cell>
          <cell r="G729" t="str">
            <v>C/U</v>
          </cell>
        </row>
        <row r="730">
          <cell r="E730">
            <v>2102119</v>
          </cell>
          <cell r="F730" t="str">
            <v>CEFEPIME DISCO 30 mcg.  FRASCO O VIAL 20  -   50 DISCOS O MAS. DISCO</v>
          </cell>
          <cell r="G730" t="str">
            <v>DISCO 30 mcg</v>
          </cell>
        </row>
        <row r="731">
          <cell r="E731">
            <v>2102120</v>
          </cell>
          <cell r="F731" t="str">
            <v>VANCOMICINA DISCO 30 mcg. FRASCO O VIAL 20  -   50 DISCOS O MAS. DISCO</v>
          </cell>
          <cell r="G731" t="str">
            <v>DISCO 30 mcg</v>
          </cell>
        </row>
        <row r="732">
          <cell r="E732">
            <v>2102121</v>
          </cell>
          <cell r="F732" t="str">
            <v>DETECCION DIRECTA DE SALMONELLA TYPHI POR INMUNOFLUORESCENCIA.  SET DE 25 PRUEBAS O MAS. PRUEBA</v>
          </cell>
          <cell r="G732" t="str">
            <v>PRUEBA</v>
          </cell>
        </row>
        <row r="733">
          <cell r="E733">
            <v>2102122</v>
          </cell>
          <cell r="F733" t="str">
            <v>CEFADROXILO DISCO 30 mcg. FRASCO O VIAL DE 20  -  50 DISCOS. DISCO</v>
          </cell>
          <cell r="G733" t="str">
            <v>DISCO 30 mcg</v>
          </cell>
        </row>
        <row r="734">
          <cell r="E734">
            <v>2102123</v>
          </cell>
          <cell r="F734" t="str">
            <v>AMOXICILINA  -  ACIDO CLAVULANICO  DISCO 20/10 mcg. FRASCO O VIAL DE 20  -   50 DISCOS. DISCO</v>
          </cell>
          <cell r="G734" t="str">
            <v>DISCO 30 mcg</v>
          </cell>
        </row>
        <row r="735">
          <cell r="E735">
            <v>2102124</v>
          </cell>
          <cell r="F735" t="str">
            <v>NETILMICINA DISCO 30 mcg. FRASCO O VIAL 20  -   50 DISCOS. DISCO</v>
          </cell>
          <cell r="G735" t="str">
            <v>DISCO 30 mcg</v>
          </cell>
        </row>
        <row r="736">
          <cell r="E736">
            <v>2102125</v>
          </cell>
          <cell r="F736" t="str">
            <v xml:space="preserve">CEFOXITINA DISCO DE 30 mcg. FRASCO O FRASCO VIAL  DE 20 A 50 DISCOS. DISCO </v>
          </cell>
          <cell r="G736" t="str">
            <v>DISCO DE 30 mcg</v>
          </cell>
        </row>
        <row r="737">
          <cell r="E737">
            <v>2103000</v>
          </cell>
          <cell r="F737" t="str">
            <v>PLAQUETOFERESIS. SET DESCARTABLE DE PLAQUETOFERESIS QUE PERMITA VIDA UTIL DE PLAQUETAS HASTA 5 DIAS.CONTENIDO:  1 BOLSA DE 750 mL CON ANTICOAGULANTE CITRATO, DEXTROSA, SOLUCION USP. 2 BOLSAS DE 1000 mL DE PLASTICO CLORURO DE POLIVINILO. CAMARA DE SEPARACI</v>
          </cell>
          <cell r="G737" t="str">
            <v>SET</v>
          </cell>
        </row>
        <row r="738">
          <cell r="E738">
            <v>2103001</v>
          </cell>
          <cell r="F738" t="str">
            <v xml:space="preserve">HIDROXIETIL ALMIDON TIPO HESPAN  (6% ALMIDON EN    0.9% DE CLORURO DE SODIO) .  BOLSA DE 500 mL  O   MAS. MILILITRO </v>
          </cell>
          <cell r="G738" t="str">
            <v>ML</v>
          </cell>
        </row>
        <row r="739">
          <cell r="E739">
            <v>2103002</v>
          </cell>
          <cell r="F739" t="str">
            <v>ANTICOAGULANTE ACD FORMULA A.  BOLSA DE 500 mL  O MAS. MILILITRO</v>
          </cell>
          <cell r="G739" t="str">
            <v>ML</v>
          </cell>
        </row>
        <row r="740">
          <cell r="E740">
            <v>2103003</v>
          </cell>
          <cell r="F740" t="str">
            <v>ANTICOAGULANTE CITRATO DE SODIO 46.7% CITRATO TRISODICO.  FRASCO O VIAL DE 30 mL  O MAS. MILILITRO</v>
          </cell>
          <cell r="G740" t="str">
            <v>ML</v>
          </cell>
        </row>
        <row r="741">
          <cell r="E741">
            <v>2103004</v>
          </cell>
          <cell r="F741" t="str">
            <v>PLASMAFERESIS.  CADA SET DEBE CONTENER:  CAMARA DE SEPARACION DE COMPONENTES SANGUINEOS,  TAMAÑO MEDIANO. 1 BOLSA DE 1400 mL DE CLORURO DE POLIVINILO PARA PLASMA. TUBERIA DE CLORURO DE POLIVINILO TRANSPARENTE,  CONECTOR A BOLSA DE SOLUCIONES Y CAMARA DE G</v>
          </cell>
          <cell r="G741" t="str">
            <v>SET</v>
          </cell>
        </row>
        <row r="742">
          <cell r="E742">
            <v>2103005</v>
          </cell>
          <cell r="F742" t="str">
            <v>COLECCION DE COMPONENTES SANGUINEOS.  SET DESCARTABLE CONTENIENDO:  CAMARA DE SEPARACION DE COMPONENTES SANGUINEOS TAMAÑO MEDIANO. 1 BOLSA DE 1000 mL DE CLORURO DE POLIVINILO TRANSPARENTE,  CONECTOR A  BOLSA DE SOLUCIONES Y CAMARA DE GOTEO,  AGUJA AFERESI</v>
          </cell>
          <cell r="G742" t="str">
            <v>SET</v>
          </cell>
        </row>
        <row r="743">
          <cell r="E743">
            <v>2104000</v>
          </cell>
          <cell r="F743" t="str">
            <v>DETERMINACION CUANTITATIVA DE INMUNOGLOBULINA M  (IgM)  EN SUERO O PLASMA HUMANO POR NEFELOMETRIA U OTRO METODO. SET DE 10 O MAS PRUEBAS. PRUEBA</v>
          </cell>
          <cell r="G743" t="str">
            <v>PRUEBA</v>
          </cell>
        </row>
        <row r="744">
          <cell r="E744">
            <v>2104001</v>
          </cell>
          <cell r="F744" t="str">
            <v>DETERMINACION CUANTITATIVA DE INMUNOGLOBULINA G  (IgG)  EN SUERO O PLASMA HUMANO POR NEFELOMETRIA U OTRO METODO. SET DE 10 O MAS PRUEBAS. PRUEBA</v>
          </cell>
          <cell r="G744" t="str">
            <v>PRUEBA</v>
          </cell>
        </row>
        <row r="745">
          <cell r="E745">
            <v>2104002</v>
          </cell>
          <cell r="F745" t="str">
            <v>DETERMINACION CUANTITATIVA DE INMUNOGLOBULINA  A  (IgA)  EN SUERO O PLASMA HUMANO POR NEFELOMETRIA U OTRO METODO. SET DE 10 O MAS PRUEBAS. PRUEBA</v>
          </cell>
          <cell r="G745" t="str">
            <v>PRUEBA</v>
          </cell>
        </row>
        <row r="746">
          <cell r="E746">
            <v>2104003</v>
          </cell>
          <cell r="F746" t="str">
            <v>DETECCION DE ANTICUERPOS ANTIMUSCULO LISO  (ASMA) ,  ANTICUERPOS ANTI - MITOCONDRIALES  (AMA)  Y ANTICUERPOS ANTI - CELULAS PARIETALES  (APCA)  POR EL METODO DE INMUNOFLUORESCENCIA INDIRECTA  (IFI) . SUSTRATO RIÑON/ESTOMAGO DE RATA,  SET DE 20  O  MAS PRU</v>
          </cell>
          <cell r="G746" t="str">
            <v>PRUEBA</v>
          </cell>
        </row>
        <row r="747">
          <cell r="E747">
            <v>2104004</v>
          </cell>
          <cell r="F747" t="str">
            <v>DETECCION DE ANTICUERPOS ANTICITOPLASMA DE NEUTROFILOS  (ANCA) ,  POR EL METODO DE INMUNOFLUORESCENCIA INDIRECTA  (IFI) . SET DE 5 LAMINAS O MAS, DE 8 - 12 POZOS C/U. PRUEBA</v>
          </cell>
          <cell r="G747" t="str">
            <v>PRUEBA</v>
          </cell>
        </row>
        <row r="748">
          <cell r="E748">
            <v>2104005</v>
          </cell>
          <cell r="F748" t="str">
            <v>PRUEBA CUANTITATIVA PARA DETECCION DE ANTICUERPOS ANTI - DNA BICATENARIO  (DE DOBLE CADENA DSDNA)  POR ELISA U OTRO METODO. SET DE 96 PRUEBAS O MAS. PRUEBA</v>
          </cell>
          <cell r="G748" t="str">
            <v>PRUEBA</v>
          </cell>
        </row>
        <row r="749">
          <cell r="E749">
            <v>2104006</v>
          </cell>
          <cell r="F749" t="str">
            <v>PRUEBA PARA DETERMINACION DE HLA  (ANTIGENOS DE LEUCOCITOS HUMANOS)  B27 POR SEROLOGIA. SET DE 10 PLACAS DE 60 POZOS CADA PLACA. PRUEBA</v>
          </cell>
          <cell r="G749" t="str">
            <v>PRUEBA</v>
          </cell>
        </row>
        <row r="750">
          <cell r="E750">
            <v>2104007</v>
          </cell>
          <cell r="F750" t="str">
            <v>PRUEBA PARA DETERMINACION DE HLA B27 POR EL METODO DE REACCION EN CADENA DE LA POLIMERASA (PCR)  DE BAJA O ALTA RESOLUCION. SET DE 24  -  72 PRUEBAS  DE 12 POZOS CADA DETERMINACION. PRUEBA</v>
          </cell>
          <cell r="G750" t="str">
            <v>PRUEBA</v>
          </cell>
        </row>
        <row r="751">
          <cell r="E751">
            <v>2104008</v>
          </cell>
          <cell r="F751" t="str">
            <v>PLACA PARA DETERMINACION DE TIPEO DE TEJIDOS HLA CLASE I  (A - B)  POR SEROLOGIA. CAJAS DE 10 PLACA DE 72 POZOS. PRUEBA</v>
          </cell>
          <cell r="G751" t="str">
            <v>PRUEBA</v>
          </cell>
        </row>
        <row r="752">
          <cell r="E752">
            <v>2104009</v>
          </cell>
          <cell r="F752" t="str">
            <v>PLACA PARA DETERMINACION DE TIPEO DE TEJIDOS HLA CLASE II  (DR - DQ)  POR SEROLOGIA. CAJA  DE 10 PLACAS DE 72 POZOS. PRUEBA</v>
          </cell>
          <cell r="G752" t="str">
            <v>PRUEBA</v>
          </cell>
        </row>
        <row r="753">
          <cell r="E753">
            <v>2104010</v>
          </cell>
          <cell r="F753" t="str">
            <v xml:space="preserve">DETERMINACION DE TIPAJE DE TEJIDO HLA CLASE I  (A,  B) POR LA REACCION EN CADENA DE LA POLIMERASA  (PCR) . SET CON 24 PRUEBAS  DE 96 POZOS CADA DETERMINACION. PRUEBA </v>
          </cell>
          <cell r="G753" t="str">
            <v>PRUEBA</v>
          </cell>
        </row>
        <row r="754">
          <cell r="E754">
            <v>2104011</v>
          </cell>
          <cell r="F754" t="str">
            <v>DETERMINACION DE TIPAJE DE TEJIDO HLA CLASE II  (DR,  DQ)  POR LA REACCION EN CADENA DE LA POLIMERASA  (PCR) .SET DE 48 PRUEBAS  DE 32 POZOS CADA DETERMINACION. PRUEBA</v>
          </cell>
          <cell r="G754" t="str">
            <v>PRUEBA</v>
          </cell>
        </row>
        <row r="755">
          <cell r="E755">
            <v>2104012</v>
          </cell>
          <cell r="F755" t="str">
            <v>PRUEBA CONFIRMATORIA CUALITATIVA  (WESTERN BLOT)  PARA DETECCION DEL VIRUS DE INMUNODEFICIENCIA HUMANA  (VIH)  I Y II EN SUERO O PLASMA HUMANO. SET DE 18 O MAS TIRAS. TIRA</v>
          </cell>
          <cell r="G755" t="str">
            <v>TIRA</v>
          </cell>
        </row>
        <row r="756">
          <cell r="E756">
            <v>2104013</v>
          </cell>
          <cell r="F756" t="str">
            <v xml:space="preserve">DETERMINACION CUANTITATIVA DE C1 INHIBIDOR EN SUERO O PLASMA HUMANO POR EL METODO DE INMUNODIFUSION RADIAL SIMPLE  (SDIR)  U OTRO METODO. CAJA DE 2 O MAS PLACAS DE 10 O MAS POZOS CADA PLACA. PRUEBA </v>
          </cell>
          <cell r="G756" t="str">
            <v>PRUEBA</v>
          </cell>
        </row>
        <row r="757">
          <cell r="E757">
            <v>2104014</v>
          </cell>
          <cell r="F757" t="str">
            <v>DETECCION CUALITATIVA DEL ANTICUERPO IgM CONTRA EL CORE DEL VIRUS DE HEPATITIS B  (IgM CORE HVB)  POR ELISA U OTRO METODO. SET DE 96 PRUEBAS O MAS. PRUEBA</v>
          </cell>
          <cell r="G757" t="str">
            <v>PRUEBA</v>
          </cell>
        </row>
        <row r="758">
          <cell r="E758">
            <v>2104015</v>
          </cell>
          <cell r="F758" t="str">
            <v>DETERMINACION CUALITATIVA DEL ANTICUERPO ANTI CORE TOTAL DEL VIRUS DE LA HEPATITIS B  (CORE HVB)  POR  ELISA U OTRO METODO. SET DE 96 PRUEBAS O MAS. PRUEBA</v>
          </cell>
          <cell r="G758" t="str">
            <v>PRUEBA</v>
          </cell>
        </row>
        <row r="759">
          <cell r="E759">
            <v>2104016</v>
          </cell>
          <cell r="F759" t="str">
            <v>DETECCION CUALITATIVA DEL ANTIGENO "E" DEL VIRUS DE LA HEPATITIS B  (AGEHVB)  POR EL METODO DE ELISA U OTRO METODO. SET DE 96 O MAS PRUEBAS. PRUEBA</v>
          </cell>
          <cell r="G759" t="str">
            <v>PRUEBA</v>
          </cell>
        </row>
        <row r="760">
          <cell r="E760">
            <v>2104017</v>
          </cell>
          <cell r="F760" t="str">
            <v>COMPLEMENTO DE CONEJO PARA PRUEBAS DE MICROLINFOCITOTOXICIDAD  (HLA) . FRASCO VIAL LIOFILIZADO DE 1.0 mL O MAS. MILILITRO</v>
          </cell>
          <cell r="G760" t="str">
            <v>mL</v>
          </cell>
        </row>
        <row r="761">
          <cell r="E761">
            <v>2104018</v>
          </cell>
          <cell r="F761" t="str">
            <v>ENZIMA ACUATICA TERMOESTABLE (TAQ DNA POLIMERASA). CONCENTRACION 5 U/µl  FRASCO VIAL 500 U O MAS. MICROLITRO</v>
          </cell>
          <cell r="G761" t="str">
            <v>MICROLITRO</v>
          </cell>
        </row>
        <row r="762">
          <cell r="E762">
            <v>2104019</v>
          </cell>
          <cell r="F762" t="str">
            <v xml:space="preserve">PRUEBA PARA EXTRACCION DE DNA POR AISLAMIENTO PARA PRUEBAS POR PCR. SET DE 50 O MAS DETERMINACIONES. PRUEBA </v>
          </cell>
          <cell r="G762" t="str">
            <v>PRUEBA</v>
          </cell>
        </row>
        <row r="763">
          <cell r="E763">
            <v>2104020</v>
          </cell>
          <cell r="F763" t="str">
            <v xml:space="preserve">SOLUCION QUE SEPARE CELULAS MONO NUCLEARES POR GRADIENTE DE DENSIDAD IONICA. FRASCO DE 40 mL O MAS. MILILITRO </v>
          </cell>
          <cell r="G763" t="str">
            <v>mL</v>
          </cell>
        </row>
        <row r="764">
          <cell r="E764">
            <v>2104021</v>
          </cell>
          <cell r="F764" t="str">
            <v>MEDIO DE CULTIVO RPMI  (ROSWEL PARK MEDICAL CENTER )  FRASCO DE 100 mL O MAS. MILILITRO</v>
          </cell>
          <cell r="G764" t="str">
            <v>mL</v>
          </cell>
        </row>
        <row r="765">
          <cell r="E765">
            <v>2104022</v>
          </cell>
          <cell r="F765" t="str">
            <v>BUFFER FOSFATO SALINO  (PBS) . FRASCO DE 50 mL O MAS. MILILITRO</v>
          </cell>
          <cell r="G765" t="str">
            <v>mL</v>
          </cell>
        </row>
        <row r="766">
          <cell r="E766">
            <v>2104023</v>
          </cell>
          <cell r="F766" t="str">
            <v>AZUL DE TRIPANO. FRASCO DE 100 mL O MAS. MILILITRO</v>
          </cell>
          <cell r="G766" t="str">
            <v>mL</v>
          </cell>
        </row>
        <row r="767">
          <cell r="E767">
            <v>2104024</v>
          </cell>
          <cell r="F767" t="str">
            <v xml:space="preserve">AZUL DE EVANS C43H24N6Na4O14S4. FRASCO DE 10 G O MAS. GRAMO </v>
          </cell>
          <cell r="G767" t="str">
            <v>GRAMO</v>
          </cell>
        </row>
        <row r="768">
          <cell r="E768">
            <v>2104025</v>
          </cell>
          <cell r="F768" t="str">
            <v>DITRIOTREITOL  (DTT) . FRASCO DE CRISTALES O POLVO DE 50 G O MAS. GRAMO</v>
          </cell>
          <cell r="G768" t="str">
            <v>GRAMO</v>
          </cell>
        </row>
        <row r="769">
          <cell r="E769">
            <v>2104026</v>
          </cell>
          <cell r="F769" t="str">
            <v xml:space="preserve">BROMURO DE ETIDIO. FRASCO DE 10  TABLETAS (10 mg. C/U) O MAS. TABLETA </v>
          </cell>
          <cell r="G769" t="str">
            <v>TABLETA</v>
          </cell>
        </row>
        <row r="770">
          <cell r="E770">
            <v>2104027</v>
          </cell>
          <cell r="F770" t="str">
            <v>AZUL DE BROMOFENOL C19H10Br4O5S. FRASCO DE 10 G O MAS. GRAMO</v>
          </cell>
          <cell r="G770" t="str">
            <v>GRAMO</v>
          </cell>
        </row>
        <row r="771">
          <cell r="E771">
            <v>2104028</v>
          </cell>
          <cell r="F771" t="str">
            <v>AZIDA SODICA 0.1%. FRASCO DE 250 G O MAS. GRAMO</v>
          </cell>
          <cell r="G771" t="str">
            <v>GRAMO</v>
          </cell>
        </row>
        <row r="772">
          <cell r="E772">
            <v>2104029</v>
          </cell>
          <cell r="F772" t="str">
            <v>SUERO BOVINO FETAL 10%. FRASCO DE 100 mL O MAS. MILILITRO</v>
          </cell>
          <cell r="G772" t="str">
            <v>mL</v>
          </cell>
        </row>
        <row r="773">
          <cell r="E773">
            <v>2104030</v>
          </cell>
          <cell r="F773" t="str">
            <v>TRIS  -  BASE  (TRISHIDROXIMETILAMINOETANO)  GRADO BIOLOGIA MOLECULAR  (ULTRA PURO) . FRASCO DE 500 G O MAS. GRAMO</v>
          </cell>
          <cell r="G773" t="str">
            <v>GRAMO</v>
          </cell>
        </row>
        <row r="774">
          <cell r="E774">
            <v>2104031</v>
          </cell>
          <cell r="F774" t="str">
            <v>BUFFER TAE  (TRIS  -  ACETATO Y EDTA) . FRASCO DE 1 L O MAS. LITRO</v>
          </cell>
          <cell r="G774" t="str">
            <v>LITRO</v>
          </cell>
        </row>
        <row r="775">
          <cell r="E775">
            <v>2104032</v>
          </cell>
          <cell r="F775" t="str">
            <v>BUFFER TBE  (TRIS  -  ACIDO BORICO Y EDTA) . FRASCO DE 1 L O MAS. LITRO</v>
          </cell>
          <cell r="G775" t="str">
            <v>LITRO</v>
          </cell>
        </row>
        <row r="776">
          <cell r="E776">
            <v>2104033</v>
          </cell>
          <cell r="F776" t="str">
            <v>HEPARINA R.A. FRASCO DE 50 G O MAS. GRAMO</v>
          </cell>
          <cell r="G776" t="str">
            <v>GRAMO</v>
          </cell>
        </row>
        <row r="777">
          <cell r="E777">
            <v>2104034</v>
          </cell>
          <cell r="F777" t="str">
            <v>AGAROSA CERTIFICADA GRADO BIOLOGIA MOLECULAR. FRASCO DE 50 - 100 G. GRAMO</v>
          </cell>
          <cell r="G777" t="str">
            <v>GRAMO</v>
          </cell>
        </row>
        <row r="778">
          <cell r="E778">
            <v>2104035</v>
          </cell>
          <cell r="F778" t="str">
            <v>ACEITE MINERAL GRADO BIOLOGIA MOLECULAR. 1 GALON. GALON</v>
          </cell>
          <cell r="G778" t="str">
            <v>GALON</v>
          </cell>
        </row>
        <row r="779">
          <cell r="E779">
            <v>2104036</v>
          </cell>
          <cell r="F779" t="str">
            <v>ACRILAMIDA. FRASCO DE 100 G O MAS. GRAMO</v>
          </cell>
          <cell r="G779" t="str">
            <v>GRAMO</v>
          </cell>
        </row>
        <row r="780">
          <cell r="E780">
            <v>2104037</v>
          </cell>
          <cell r="F780" t="str">
            <v>CARGA VIRAL PARA VIH POR LA TECNICA DE REACCION EN CADENA DE LA POLIMERASA  (PCR)  U OTRO METODO.     SET DE 50,  100 O MAS PRUEBAS. PRUEBA</v>
          </cell>
          <cell r="G780" t="str">
            <v>PRUEBA</v>
          </cell>
        </row>
        <row r="781">
          <cell r="E781">
            <v>2104038</v>
          </cell>
          <cell r="F781" t="str">
            <v>CADENAS KAPPA Y LAMBDA POR NEFELOMETRIA U OTRO METODO. SET DE 10 A MAS PRUEBAS. PRUEBA</v>
          </cell>
          <cell r="G781" t="str">
            <v>PRUEBA</v>
          </cell>
        </row>
        <row r="782">
          <cell r="E782">
            <v>2104039</v>
          </cell>
          <cell r="F782" t="str">
            <v>ANTICUERPO ANTI ACETIL COLINA,  POR ELISA U OTRO METODO. SET DE 96 PRUEBAS O MAS. PRUEBA</v>
          </cell>
          <cell r="G782" t="str">
            <v>PRUEBA</v>
          </cell>
        </row>
        <row r="783">
          <cell r="E783">
            <v>2104040</v>
          </cell>
          <cell r="F783" t="str">
            <v>DETERMINACION DE PEPTIDO C EN SUERO O PLASMA HUMANO POR LA TECNICA DE ELISA U OTRO METODO. SET DE 96 PRUEBAS O MAS. PRUEBA</v>
          </cell>
          <cell r="G783" t="str">
            <v>PRUEBA</v>
          </cell>
        </row>
        <row r="784">
          <cell r="E784">
            <v>2104041</v>
          </cell>
          <cell r="F784" t="str">
            <v>SOLUCION COLORANTE PARA PRUEBAS DE MICROLINFOCITOTOXICIDAD  (HLA)   (EOSINA Y FORMALINA AL 10%) . FRASCO DE 500 mL O MAS. MILILITRO</v>
          </cell>
          <cell r="G784" t="str">
            <v>mL</v>
          </cell>
        </row>
        <row r="785">
          <cell r="E785">
            <v>2104042</v>
          </cell>
          <cell r="F785" t="str">
            <v>DETECCION CUALITATIVA Y CUANTITATIVA DE ANTICUERPOS CONTRA EL ANTIGENO SCL-70 (DIRIGIDO CONTRA LA TOPOISOMERASA I) EN SUERO O PLASMA HUMANO POR ELISA U OTRO METODO. SET DE 96 PRUEBAS O MAS. PRUEBA</v>
          </cell>
          <cell r="G785" t="str">
            <v>PRUEBA</v>
          </cell>
        </row>
        <row r="786">
          <cell r="E786">
            <v>2104043</v>
          </cell>
          <cell r="F786" t="str">
            <v>DETERMINACION CUALITATIVA Y CUANTITATIVA DE ANTICUERPOS IgG CONTRA EL ANTIGENO JO - 1  (HISTIDYL - T RNA SINTETASA) EN SUERO O PLASMA HUMANO P/ELISA U OTRA TECNICA. SET 96 PRUEBAS. PRUEBA</v>
          </cell>
          <cell r="G786" t="str">
            <v>PRUEBA</v>
          </cell>
        </row>
        <row r="787">
          <cell r="E787">
            <v>2104044</v>
          </cell>
          <cell r="F787" t="str">
            <v>DETERMINACION CUALITATIVA Y CUANTITATIVA DE ANTICUERPOS IgG CONTRA EL ANTIGENO SS - B  (LA RNA - COMPLEJO PROTEINICO 1) EN SUERO O PLASMA HUMANO POR ELISA U OTRO METODO.SET 96 PRUEBAS. PRUEBA</v>
          </cell>
          <cell r="G787" t="str">
            <v>PRUEBA</v>
          </cell>
        </row>
        <row r="788">
          <cell r="E788">
            <v>2104045</v>
          </cell>
          <cell r="F788" t="str">
            <v>DETERMINACION CUALITATIVA Y CUANTITATIVA DE ANTICUERPOS IgG CONTRA ANTIGENO RNP  (RIBONUCLEOPROTEINA) EN SUERO O PLASMA HUMANO POR ELISA U OTRO METODO. SET 96 PRUEBAS O MAS. PRUEBA</v>
          </cell>
          <cell r="G788" t="str">
            <v>PRUEBA</v>
          </cell>
        </row>
        <row r="789">
          <cell r="E789">
            <v>2104046</v>
          </cell>
          <cell r="F789" t="str">
            <v>DETERMINACION CUALITATIVA Y CUANTITATIVA DE ANTICUERPOS IgG CONTRA EL ANTIGENO SS - A  /Ro (RNA - COMPLEJO PROTEINICO)  EN SUERO O PLASMA HUMANO POR ELISA U OTRO METODO. SET 96 PRUEBAS O MAS. PRUEBA</v>
          </cell>
          <cell r="G789" t="str">
            <v>PRUEBA</v>
          </cell>
        </row>
        <row r="790">
          <cell r="E790">
            <v>2104047</v>
          </cell>
          <cell r="F790" t="str">
            <v>MARCADOR CD2/CD7/CD3 P/CITÓMETRO D/FLUJO</v>
          </cell>
        </row>
        <row r="791">
          <cell r="E791">
            <v>2104048</v>
          </cell>
          <cell r="F791" t="str">
            <v>MARCADOR CD3 PARA CITOMETRO DE FLUJO. FRASCO DE 1.0 mL O MAS. MILILITRO</v>
          </cell>
          <cell r="G791" t="str">
            <v>mL</v>
          </cell>
        </row>
        <row r="792">
          <cell r="E792">
            <v>2104049</v>
          </cell>
          <cell r="F792" t="str">
            <v>MARCADOR CD4 PARA CITOMETRO DE FLUJO. FRASCO DE 1.0 mL O MAS. MILILITRO</v>
          </cell>
          <cell r="G792" t="str">
            <v>mL</v>
          </cell>
        </row>
        <row r="793">
          <cell r="E793">
            <v>2104050</v>
          </cell>
          <cell r="F793" t="str">
            <v>MARCADOR CD5 PARA CITOMETRO DE FLUJO. FRASCO DE 1.0 mL O MAS. MILILITRO</v>
          </cell>
          <cell r="G793" t="str">
            <v>mL</v>
          </cell>
        </row>
        <row r="794">
          <cell r="E794">
            <v>2104051</v>
          </cell>
          <cell r="F794" t="str">
            <v>MARCADOR CD7 PARA CITOMETRO DE FLUJO. FRASCO DE 1.0 mL O MAS. MILILITRO</v>
          </cell>
          <cell r="G794" t="str">
            <v>mL</v>
          </cell>
        </row>
        <row r="795">
          <cell r="E795">
            <v>2104052</v>
          </cell>
          <cell r="F795" t="str">
            <v>MARCADOR CD10 PARA CITOMETRO DE FLUJO. FRASCO DE 1.0 mL O MAS. MILILITRO</v>
          </cell>
          <cell r="G795" t="str">
            <v>mL</v>
          </cell>
        </row>
        <row r="796">
          <cell r="E796">
            <v>2104053</v>
          </cell>
          <cell r="F796" t="str">
            <v>MARCADOR CD13 PARA CITOMETRO DE FLUJO. FRASCO DE 1.0 mL O MAS. MILILITRO</v>
          </cell>
          <cell r="G796" t="str">
            <v>mL</v>
          </cell>
        </row>
        <row r="797">
          <cell r="E797">
            <v>2104054</v>
          </cell>
          <cell r="F797" t="str">
            <v>MARCADOR CD14 PARA CITOMETRO DE FLUJO. FRASCO DE 1.0 mL O MAS. MILILITRO</v>
          </cell>
          <cell r="G797" t="str">
            <v>mL</v>
          </cell>
        </row>
        <row r="798">
          <cell r="E798">
            <v>2104055</v>
          </cell>
          <cell r="F798" t="str">
            <v>MARCADOR CD15 PARA CITOMETRO DE FLUJO. FRASCO DE 1.0 mL O MAS. MILILITRO</v>
          </cell>
          <cell r="G798" t="str">
            <v>mL</v>
          </cell>
        </row>
        <row r="799">
          <cell r="E799">
            <v>2104056</v>
          </cell>
          <cell r="F799" t="str">
            <v>MARCADOR CD19 PARA CITOMETRO DE FLUJO. FRASCO DE 1.0 mL O MAS. MILILITRO</v>
          </cell>
          <cell r="G799" t="str">
            <v>mL</v>
          </cell>
        </row>
        <row r="800">
          <cell r="E800">
            <v>2104057</v>
          </cell>
          <cell r="F800" t="str">
            <v>MARCADOR CD20 PARA CITOMETRO DE FLUJO. FRASCO DE 1.0 mL O MAS. MILILITRO</v>
          </cell>
          <cell r="G800" t="str">
            <v>mL</v>
          </cell>
        </row>
        <row r="801">
          <cell r="E801">
            <v>2104058</v>
          </cell>
          <cell r="F801" t="str">
            <v>MARCADOR CD22 PARA CITOMETRO DE FLUJO. FRASCO DE 1.0 mL O MAS. MILILITRO</v>
          </cell>
          <cell r="G801" t="str">
            <v>mL</v>
          </cell>
        </row>
        <row r="802">
          <cell r="E802">
            <v>2104059</v>
          </cell>
          <cell r="F802" t="str">
            <v>MARCADOR CD24 PARA CITOMETRO DE FLUJO. FRASCO DE 1.0 mL O MAS. MILILITRO</v>
          </cell>
          <cell r="G802" t="str">
            <v>mL</v>
          </cell>
        </row>
        <row r="803">
          <cell r="E803">
            <v>2104060</v>
          </cell>
          <cell r="F803" t="str">
            <v>MARCADOR CD25 PARA CITOMETRO DE FLUJO. FRASCO DE 1.0 mL O MAS. MILILITRO</v>
          </cell>
          <cell r="G803" t="str">
            <v>mL</v>
          </cell>
        </row>
        <row r="804">
          <cell r="E804">
            <v>2104061</v>
          </cell>
          <cell r="F804" t="str">
            <v>MARCADOR CD30 PARA CITOMETRO DE FLUJO. FRASCO DE 1.0 mL O MAS. MILILITRO</v>
          </cell>
          <cell r="G804" t="str">
            <v>mL</v>
          </cell>
        </row>
        <row r="805">
          <cell r="E805">
            <v>2104062</v>
          </cell>
          <cell r="F805" t="str">
            <v>MARCADOR CD33 PARA CITOMETRO DE FLUJO. FRASCO DE 1.0 mL O MAS. MILILITRO</v>
          </cell>
          <cell r="G805" t="str">
            <v>mL</v>
          </cell>
        </row>
        <row r="806">
          <cell r="E806">
            <v>2104063</v>
          </cell>
          <cell r="F806" t="str">
            <v>MARCADOR CD34 PARA CITOMETRO DE FLUJO. FRASCO DE 1.0 mL O MAS. MILILITRO</v>
          </cell>
          <cell r="G806" t="str">
            <v>mL</v>
          </cell>
        </row>
        <row r="807">
          <cell r="E807">
            <v>2104064</v>
          </cell>
          <cell r="F807" t="str">
            <v>MARCADOR CD8 PARA CITOMETRO DE FLUJO. FRASCO DE 1.0 mL O MAS. MILILITRO</v>
          </cell>
          <cell r="G807" t="str">
            <v>mL</v>
          </cell>
        </row>
        <row r="808">
          <cell r="E808">
            <v>2104065</v>
          </cell>
          <cell r="F808" t="str">
            <v>DETECCION CUANTITATIVA DE TIROGLOBULINA  (TG)  ELISA U OTRO METODO. SET 50  -  100 PRUEBAS. PRUEBA</v>
          </cell>
          <cell r="G808" t="str">
            <v>PRUEBA</v>
          </cell>
        </row>
        <row r="809">
          <cell r="E809">
            <v>2104066</v>
          </cell>
          <cell r="F809" t="str">
            <v>DETECCION CUANTITATIVA DE ANTICARDIOLIPINA IgG POR ELISA U OTRO METODO. SET 50  -  100 PRUEBAS. PRUEBA</v>
          </cell>
          <cell r="G809" t="str">
            <v>PRUEBA</v>
          </cell>
        </row>
        <row r="810">
          <cell r="E810">
            <v>2104067</v>
          </cell>
          <cell r="F810" t="str">
            <v>DETECCION CUANTITATIVA DE ANTICARDIOLIPINA IgM POR ELISA U OTRO METODO. SET 50  -  100 PRUEBAS. PRUEBA</v>
          </cell>
          <cell r="G810" t="str">
            <v>PRUEBA</v>
          </cell>
        </row>
        <row r="811">
          <cell r="E811">
            <v>2104068</v>
          </cell>
          <cell r="F811" t="str">
            <v>DETECCION CUANTITATIVA DE ANTICARDIOLIPINA IgA POR ELISA U OTRO METODO. SET 50  -  100 PRUEBAS. PRUEBA</v>
          </cell>
          <cell r="G811" t="str">
            <v>PRUEBA</v>
          </cell>
        </row>
        <row r="812">
          <cell r="E812">
            <v>2104069</v>
          </cell>
          <cell r="F812" t="str">
            <v>DETERMINACION CUALITATIVA Y CUANTITATIVA DE ANTICUERPOS IgG CONTRA ANTIGENO SMITH  (Sm)  EN SUERO O PLASMA HUMANO POR ELISA U OTRO METODO. SET 50  -  100 PRUEBAS. PRUEBA</v>
          </cell>
          <cell r="G812" t="str">
            <v>PRUEBA</v>
          </cell>
        </row>
        <row r="813">
          <cell r="E813">
            <v>2104070</v>
          </cell>
          <cell r="F813" t="str">
            <v>DETECCION CUANTITATIVA DE ANTICUERPOS ANTIMUSCULO LISO  (ASMA)  POR INMUNOFLUORESCENCIA INDIRECTA  (IFI) . SET DE 20 O  MAS PRUEBAS CON LAMINA DE 5  -  12 POZOS APROXIMADAMENTE. PRUEBA</v>
          </cell>
          <cell r="G813" t="str">
            <v>PRUEBA</v>
          </cell>
        </row>
        <row r="814">
          <cell r="E814">
            <v>2104071</v>
          </cell>
          <cell r="F814" t="str">
            <v>DETECCION CUANTITATIVA DE ANTICUERPOS ANTIMITOCONDRIALES  (AMA)  POR INMUNOFLUORESCENCIA INDIRECTA  (IFI) . SET DE 20 O  MAS PRUEBAS CON LAMINA DE  5  -  12 POZOS APROXIMADAMENTE. PRUEBA</v>
          </cell>
          <cell r="G814" t="str">
            <v>PRUEBA</v>
          </cell>
        </row>
        <row r="815">
          <cell r="E815">
            <v>2104072</v>
          </cell>
          <cell r="F815" t="str">
            <v>DETECCION CUANTITATIVA DE ANTICUERPOS ANTICELULAS PARIETALES  (APCA)  POR INMUNOFLUORESCENCIA INDIRECTA  (IFI) . SET DE 20 O  MAS PRUEBAS CON LAMINA DE 5  -  12 POZOS APROXIMADAMENTE. PRUEBA</v>
          </cell>
          <cell r="G815" t="str">
            <v>PRUEBA</v>
          </cell>
        </row>
        <row r="816">
          <cell r="E816">
            <v>2104073</v>
          </cell>
          <cell r="F816" t="str">
            <v>SOLUCION SEPARADORA DE LINFOCITOS "T" POR MEDIO DE ANTICUERPOS MONOCLONALES COMPLEMENTO Y GRADIENTES DE DENSIDAD. FRASCO 40 mL O MAS. MILILITRO</v>
          </cell>
          <cell r="G816" t="str">
            <v>mL</v>
          </cell>
        </row>
        <row r="817">
          <cell r="E817">
            <v>2104074</v>
          </cell>
          <cell r="F817" t="str">
            <v>SOLUCION SEPARADORA DE LINFOCITOS "B" POR MEDIO DE ANTICUERPOS MONOCLONALES COMPLEMENTO Y GRADIENTES DE DENSIDAD. FRASCO 40 mL O MAS. MILILITRO</v>
          </cell>
          <cell r="G817" t="str">
            <v>mL</v>
          </cell>
        </row>
        <row r="818">
          <cell r="E818">
            <v>2104075</v>
          </cell>
          <cell r="F818" t="str">
            <v>CONTROL POSITIVO PARA PRUEBA DE HLA IgG. FRASCO DE 1 mL. MILILITRO</v>
          </cell>
          <cell r="G818" t="str">
            <v>mL</v>
          </cell>
        </row>
        <row r="819">
          <cell r="E819">
            <v>2104076</v>
          </cell>
          <cell r="F819" t="str">
            <v>CONTROL POSITIVO PARA PRUEBA DE HLA IgM. FRASCO DE 1 mL. MILILITRO</v>
          </cell>
          <cell r="G819" t="str">
            <v>mL</v>
          </cell>
        </row>
        <row r="820">
          <cell r="E820">
            <v>2104077</v>
          </cell>
          <cell r="F820" t="str">
            <v>IgG ANTI - HUMANA KAPPA   (AHG) . FRASCO DE 1 mL. MILILITRO</v>
          </cell>
          <cell r="G820" t="str">
            <v>mL</v>
          </cell>
        </row>
        <row r="821">
          <cell r="E821">
            <v>2104078</v>
          </cell>
          <cell r="F821" t="str">
            <v>ANTICUERPOS ANTINUCLEARES LINEA CELULAR HEP2  (ANA)  POR INMUNOFLUORESCENCIA INDIRECTA. SET DE 50 PRUEBAS O MAS. PRUEBA</v>
          </cell>
          <cell r="G821" t="str">
            <v>PRUEBA</v>
          </cell>
        </row>
        <row r="822">
          <cell r="E822">
            <v>2104079</v>
          </cell>
          <cell r="F822" t="str">
            <v>DETERMINACION CUANTITATIVA DE ANTICUERPOS ANTIPEROXIDASA TIROIDEA (ANTI-TPO) EN SUERO O PLASMA HUMANO POR ELISA U OTRO METODO. SET DE 50 - 100 PRUEBAS. PRUEBA</v>
          </cell>
          <cell r="G822" t="str">
            <v>PRUEBA</v>
          </cell>
        </row>
        <row r="823">
          <cell r="E823">
            <v>2104080</v>
          </cell>
          <cell r="F823" t="str">
            <v>COMPLEMENTO HUMANO C3. POR NEFELOMETRIA U OTRO METODO. SET DE 10 PRUEBAS O MAS. PRUEBA</v>
          </cell>
          <cell r="G823" t="str">
            <v>PRUEBA</v>
          </cell>
        </row>
        <row r="824">
          <cell r="E824">
            <v>2104081</v>
          </cell>
          <cell r="F824" t="str">
            <v>COMPLEMENTO HUMANO C4. POR NEFELOMETRIA U OTRO METODO. SET DE 10 PRUEBAS O MAS. PRUEBA</v>
          </cell>
          <cell r="G824" t="str">
            <v>PRUEBA</v>
          </cell>
        </row>
        <row r="825">
          <cell r="E825">
            <v>2104082</v>
          </cell>
          <cell r="F825" t="str">
            <v>DETERMINACION CUALITATIVA DE LA ACTIVIDAD DE LA VIA CLASICA DEL COMPLEMENTO EN SUERO HUMANO, POR ELISA U OTRO METODO. SET DE 96 PRUEBAS O MAS. PRUEBA</v>
          </cell>
          <cell r="G825" t="str">
            <v>PRUEBA</v>
          </cell>
        </row>
        <row r="826">
          <cell r="E826">
            <v>2104083</v>
          </cell>
          <cell r="F826" t="str">
            <v>INMUNOGLOBULINA E TOTAL, METODO CUANTITATIVO ELISA U OTRO METODO. SET DE 10 PRUEBAS O MAS. PRUEBA</v>
          </cell>
          <cell r="G826" t="str">
            <v>PRUEBA</v>
          </cell>
        </row>
        <row r="827">
          <cell r="E827">
            <v>2104084</v>
          </cell>
          <cell r="F827" t="str">
            <v>PRUEBA CUANTITATIVA PARA ANTICUERPOS ANTICARDIOLIPINAS. SET DE 50 - 100 PRUEBAS. PRUEBA</v>
          </cell>
          <cell r="G827" t="str">
            <v>PRUEBA</v>
          </cell>
        </row>
        <row r="828">
          <cell r="E828">
            <v>2104085</v>
          </cell>
          <cell r="F828" t="str">
            <v>DETECCION DEL PORCENTAJE DE SENSIBILIZACION (PRA) E IDENTIFICACION DE ANTICUERPOS IgG anti HLA ESPECIFICOS DE CLASE I, POR EL METODO DE ELISA O CITOMETRIA DE FLUJO. PANEL  DE 32 ANTIGENOS COMO MÍNIMO, DESDE LOS MAS COMUNES HASTA LOS MAS RAROS O PLACA DE 2</v>
          </cell>
          <cell r="G828" t="str">
            <v>PRUEBA</v>
          </cell>
        </row>
        <row r="829">
          <cell r="E829">
            <v>2104086</v>
          </cell>
          <cell r="F829" t="str">
            <v xml:space="preserve">DETECCION DEL PORCENTAJE DE SENSIBILIZACION (PRA) E IDENTIFICACION DE ANTICUERPOS IgG anti HLA ESPECIFICOS DE CLASE II, POR EL METODO DE ELISA O CITOMETRIA DE FLUJO. PANEL  DE 32 ANTIGENOS COMO MÍNIMO, DESDE LOS MAS COMUNES HASTA LOS MAS RAROS O PLACA DE </v>
          </cell>
          <cell r="G829" t="str">
            <v>PRUEBA</v>
          </cell>
        </row>
        <row r="830">
          <cell r="E830">
            <v>2104087</v>
          </cell>
          <cell r="F830" t="str">
            <v>SUERO CONTROL NEGATIVO PARA TAMIZAJE DE ANTICUERPOS ANTI - HLA CLASE I  Y II, POR CITROMETRIA DE FLUJO. CONTENEDOR CON 10 PRUEBAS O MAS.</v>
          </cell>
          <cell r="G830" t="str">
            <v>PRUEBA</v>
          </cell>
        </row>
        <row r="831">
          <cell r="E831">
            <v>2104088</v>
          </cell>
          <cell r="F831" t="str">
            <v>SUERO CONTROL POSITIVO PARA TAMIZAJE DE ANTICUERPOS ANTI - HLA CLASE I, POR CITROMETRIA DE FLUJO. CONTENEDOR CON 10 PRUEBAS O MAS.</v>
          </cell>
          <cell r="G831" t="str">
            <v>PRUEBA</v>
          </cell>
        </row>
        <row r="832">
          <cell r="E832">
            <v>2104089</v>
          </cell>
          <cell r="F832" t="str">
            <v>SUERO CONTROL POSITIVO PARA TAMIZAJE DE ANTICUERPOS ANTI - HLA CLASE II, POR CITROMETRIA DE FLUJO. CONTENEDOR CON 10 PRUEBAS O MAS.</v>
          </cell>
          <cell r="G832" t="str">
            <v>PRUEBA</v>
          </cell>
        </row>
        <row r="833">
          <cell r="E833">
            <v>2104090</v>
          </cell>
          <cell r="F833" t="str">
            <v xml:space="preserve">PERLAS CONTROL PARA DETERMINAR AUTOFLUORESCENCIA EN PRUEBAS HLA DE TAMIZAJE POR CITROMETRIA DE FLUJO. CONTENEDOR CON 50 PRUEBAS O MAS.  </v>
          </cell>
          <cell r="G833" t="str">
            <v>PRUEBA</v>
          </cell>
        </row>
        <row r="834">
          <cell r="E834">
            <v>2104101</v>
          </cell>
          <cell r="F834" t="str">
            <v xml:space="preserve">CONTROL SANGRE COMPLETA P/ENUMER.       </v>
          </cell>
        </row>
        <row r="835">
          <cell r="E835">
            <v>2104102</v>
          </cell>
          <cell r="F835" t="str">
            <v xml:space="preserve">C. ISOTIPO IgG FITC/IgG1PE/CD45 PerCP   </v>
          </cell>
        </row>
        <row r="836">
          <cell r="E836">
            <v>2104118</v>
          </cell>
          <cell r="F836" t="str">
            <v xml:space="preserve">MICROESFERAS MARCADAS CON ALOFICOCIANIN </v>
          </cell>
        </row>
        <row r="837">
          <cell r="E837">
            <v>2104119</v>
          </cell>
          <cell r="F837" t="str">
            <v>MICROESFERAS DE/POLIMETILCRESILATO P/CAL</v>
          </cell>
        </row>
        <row r="838">
          <cell r="E838">
            <v>2104120</v>
          </cell>
          <cell r="F838" t="str">
            <v xml:space="preserve">TUBO CON PERLAS FLUORESCENTES P/CONTEO  </v>
          </cell>
        </row>
        <row r="839">
          <cell r="E839">
            <v>2104121</v>
          </cell>
          <cell r="F839" t="str">
            <v xml:space="preserve">SLN. TAMPON O BUFFER SIN AZIDA DE SODIO </v>
          </cell>
        </row>
        <row r="840">
          <cell r="E840">
            <v>2104122</v>
          </cell>
          <cell r="F840" t="str">
            <v xml:space="preserve">SOLUCION PARA LISIS DE SANGRE COMPLETA  </v>
          </cell>
        </row>
        <row r="841">
          <cell r="E841">
            <v>2104123</v>
          </cell>
          <cell r="F841" t="str">
            <v xml:space="preserve">SLN. DESCONTAMINANTE Q" CONTENGA CLORO  </v>
          </cell>
        </row>
        <row r="842">
          <cell r="E842">
            <v>2104124</v>
          </cell>
          <cell r="F842" t="str">
            <v>MARCADOR CD5/CD10/CD19 P/CITÓMETRO D/FLU</v>
          </cell>
        </row>
        <row r="843">
          <cell r="E843">
            <v>2104125</v>
          </cell>
          <cell r="F843" t="str">
            <v xml:space="preserve">MARCADOR  CD7/CD33/CD45  P/CITÓMETRO DE </v>
          </cell>
        </row>
        <row r="844">
          <cell r="E844">
            <v>2104126</v>
          </cell>
          <cell r="F844" t="str">
            <v>MARCADOR ANTI HLA-DR/CD13/CD45 P/CITÓMET</v>
          </cell>
        </row>
        <row r="845">
          <cell r="E845">
            <v>2104127</v>
          </cell>
          <cell r="F845" t="str">
            <v>MARCADOR CD14/CD64/CD45 P/CITÓMETRO DE F</v>
          </cell>
        </row>
        <row r="846">
          <cell r="E846">
            <v>2104128</v>
          </cell>
          <cell r="F846" t="str">
            <v xml:space="preserve">MARCADOR CD15/CD117/CD45 P/CITÓMETRO DE </v>
          </cell>
        </row>
        <row r="847">
          <cell r="E847">
            <v>2104129</v>
          </cell>
          <cell r="F847" t="str">
            <v xml:space="preserve">MARCADOR CD103/CD20/CD22 P/CITÓMETRO DE </v>
          </cell>
        </row>
        <row r="848">
          <cell r="E848">
            <v>2104130</v>
          </cell>
          <cell r="F848" t="str">
            <v>MARCADOR CD24/CD45/ P/CITÓMETRO DE FLUJO</v>
          </cell>
        </row>
        <row r="849">
          <cell r="E849">
            <v>2104131</v>
          </cell>
          <cell r="F849" t="str">
            <v xml:space="preserve">MARCADOR CD4/CD25/CD3 P/CITÓMETRO DE F. </v>
          </cell>
        </row>
        <row r="850">
          <cell r="E850">
            <v>2104132</v>
          </cell>
          <cell r="F850" t="str">
            <v xml:space="preserve">MARCADOR CD30/CD45 P/CITÓMETRO DE FLUJO </v>
          </cell>
        </row>
        <row r="851">
          <cell r="E851">
            <v>2104133</v>
          </cell>
          <cell r="F851" t="str">
            <v xml:space="preserve">MARCADOR CD34/CD45 P/CITÓMETRO DE FLUJO </v>
          </cell>
        </row>
        <row r="852">
          <cell r="E852">
            <v>2105000</v>
          </cell>
          <cell r="F852" t="str">
            <v>ALNUS SINUATA,  CONCENTRACION 1: 20 . FRASCO GOTERO DE 2 mL. MILILITRO</v>
          </cell>
          <cell r="G852" t="str">
            <v>mL</v>
          </cell>
        </row>
        <row r="853">
          <cell r="E853">
            <v>2105001</v>
          </cell>
          <cell r="F853" t="str">
            <v>AMARANTUS PALMERI,  CONCENTRACION 1: 20. FRASCO GOTERO DE 2 mL. MILILITRO</v>
          </cell>
          <cell r="G853" t="str">
            <v>mL</v>
          </cell>
        </row>
        <row r="854">
          <cell r="E854">
            <v>2105002</v>
          </cell>
          <cell r="F854" t="str">
            <v>AMBROSIA ELIATOR,  CONCENTRACION 1: 20. FRASCO GOTERO DE 2 mL. MILILITRO</v>
          </cell>
          <cell r="G854" t="str">
            <v>mL</v>
          </cell>
        </row>
        <row r="855">
          <cell r="E855">
            <v>2105003</v>
          </cell>
          <cell r="F855" t="str">
            <v>ARTEMISA VULGARIS,  CONCENTRACION 1: 20. FRASCO GOTERO DE 2 mL. MILILITRO</v>
          </cell>
          <cell r="G855" t="str">
            <v>mL</v>
          </cell>
        </row>
        <row r="856">
          <cell r="E856">
            <v>2105004</v>
          </cell>
          <cell r="F856" t="str">
            <v>ATRIPLEX BACTEOSA,  CONCENTRACION 1: 20. FRASCO GOTERO DE 2 mL. MILILITRO</v>
          </cell>
          <cell r="G856" t="str">
            <v>mL</v>
          </cell>
        </row>
        <row r="857">
          <cell r="E857">
            <v>2105005</v>
          </cell>
          <cell r="F857" t="str">
            <v>AGROSTI ALBA,  CONCENTRACION 1: 20. FRASCO GOTERO DE 2 mL. MILILITRO</v>
          </cell>
          <cell r="G857" t="str">
            <v>mL</v>
          </cell>
        </row>
        <row r="858">
          <cell r="E858">
            <v>2105006</v>
          </cell>
          <cell r="F858" t="str">
            <v>AVENA FATUA,  CONCENTRACION 1: 20. FRASCO GOTERO DE 2 mL. MILILITRO</v>
          </cell>
          <cell r="G858" t="str">
            <v>mL</v>
          </cell>
        </row>
        <row r="859">
          <cell r="E859">
            <v>2105007</v>
          </cell>
          <cell r="F859" t="str">
            <v>BROMUS CARINATUS,  CONCENTRACION 1: 20 . FRASCO GOTERO DE 2 mL. MILILITRO</v>
          </cell>
          <cell r="G859" t="str">
            <v>mL</v>
          </cell>
        </row>
        <row r="860">
          <cell r="E860">
            <v>2105008</v>
          </cell>
          <cell r="F860" t="str">
            <v>CHENOPODIUM ALBUM,  CONCENTRACION 1: 20. FRASCO GOTERO DE 2 mL. MILILITRO</v>
          </cell>
          <cell r="G860" t="str">
            <v>mL</v>
          </cell>
        </row>
        <row r="861">
          <cell r="E861">
            <v>2105009</v>
          </cell>
          <cell r="F861" t="str">
            <v>CYNODON DACTYLON,  CONCENTRACION 1: 20. FRASCO GOTERO DE 2 mL. MILILITRO</v>
          </cell>
          <cell r="G861" t="str">
            <v>mL</v>
          </cell>
        </row>
        <row r="862">
          <cell r="E862">
            <v>2105010</v>
          </cell>
          <cell r="F862" t="str">
            <v>CUPRESSUS ARIZONICA,  CONCENTRACION 1: 20. FRASCO GOTERO DE 2 mL. MILILITRO</v>
          </cell>
          <cell r="G862" t="str">
            <v>mL</v>
          </cell>
        </row>
        <row r="863">
          <cell r="E863">
            <v>2105011</v>
          </cell>
          <cell r="F863" t="str">
            <v>COSMOS BIPINNATUS,  CONCENTRACION 1: 20. FRASCO GOTERO DE 2 mL. MILILITRO</v>
          </cell>
          <cell r="G863" t="str">
            <v>mL</v>
          </cell>
        </row>
        <row r="864">
          <cell r="E864">
            <v>2105012</v>
          </cell>
          <cell r="F864" t="str">
            <v>EUCALYPTUS CONCENTRACION 1: 20. FRASCO GOTERO DE 2 mL. MILILITRO</v>
          </cell>
          <cell r="G864" t="str">
            <v>mL</v>
          </cell>
        </row>
        <row r="865">
          <cell r="E865">
            <v>2105013</v>
          </cell>
          <cell r="F865" t="str">
            <v>HOLCUS HALAPENSIS,  CONCENTRACION 1: 20. FRASCO GOTERO DE 2 mL. MILILITRO</v>
          </cell>
          <cell r="G865" t="str">
            <v>mL</v>
          </cell>
        </row>
        <row r="866">
          <cell r="E866">
            <v>2105014</v>
          </cell>
          <cell r="F866" t="str">
            <v>LIQUIDAMBAR STRYRACIFLUA,  CONCENTRACION 1: 20. FRASCO GOTERO DE 2 mL. MILILITRO</v>
          </cell>
          <cell r="G866" t="str">
            <v>mL</v>
          </cell>
        </row>
        <row r="867">
          <cell r="E867">
            <v>2105015</v>
          </cell>
          <cell r="F867" t="str">
            <v>LOLIUM PERENNE,  CONCENTRACION 1: 20. FRASCO GOTERO DE 2 mL. MILILITRO</v>
          </cell>
          <cell r="G867" t="str">
            <v>mL</v>
          </cell>
        </row>
        <row r="868">
          <cell r="E868">
            <v>2105016</v>
          </cell>
          <cell r="F868" t="str">
            <v>POPULUS ALBA,  CONCENTRACION 1: 20. FRASCO GOTERO DE 2 mL. MILILITRO</v>
          </cell>
          <cell r="G868" t="str">
            <v>mL</v>
          </cell>
        </row>
        <row r="869">
          <cell r="E869">
            <v>2105017</v>
          </cell>
          <cell r="F869" t="str">
            <v>PHELEUM PRATENSE,  CONCENTRACION 1: 20. FRASCO GOTERO DE 2 mL. MILILITRO</v>
          </cell>
          <cell r="G869" t="str">
            <v>mL</v>
          </cell>
        </row>
        <row r="870">
          <cell r="E870">
            <v>2105018</v>
          </cell>
          <cell r="F870" t="str">
            <v>QUERCUS,  CONCENTRACION 1: 20. FRASCO GOTERO DE 2 mL. MILILITRO</v>
          </cell>
          <cell r="G870" t="str">
            <v>mL</v>
          </cell>
        </row>
        <row r="871">
          <cell r="E871">
            <v>2105019</v>
          </cell>
          <cell r="F871" t="str">
            <v>RECINUS CUMMUNIS,  CONCENTRACION 1: 20. FRASCO GOTERO DE 2 mL. MILILITRO</v>
          </cell>
          <cell r="G871" t="str">
            <v>mL</v>
          </cell>
        </row>
        <row r="872">
          <cell r="E872">
            <v>2105020</v>
          </cell>
          <cell r="F872" t="str">
            <v>SALIX NIGRAS,  CONCENTRACION 1: 20 FRASCO GOTERO DE 2 mL. MILILITRO</v>
          </cell>
          <cell r="G872" t="str">
            <v>mL</v>
          </cell>
        </row>
        <row r="873">
          <cell r="E873">
            <v>2105021</v>
          </cell>
          <cell r="F873" t="str">
            <v>SCHINUS MOLLE,  CONCENTRACION 1: 20. FRASCO GOTERO DE 2 mL. MILILITRO</v>
          </cell>
          <cell r="G873" t="str">
            <v>mL</v>
          </cell>
        </row>
        <row r="874">
          <cell r="E874">
            <v>2105022</v>
          </cell>
          <cell r="F874" t="str">
            <v xml:space="preserve">ZEA MAZ,  CONCENTRACION 1: 20. FRASCO GOTERO DE 2 mL. MILILITRO </v>
          </cell>
          <cell r="G874" t="str">
            <v>mL</v>
          </cell>
        </row>
        <row r="875">
          <cell r="E875">
            <v>2105023</v>
          </cell>
          <cell r="F875" t="str">
            <v>ABSIDIA,  CONCENTRACION 1: 20. FRASCO GOTERO DE 2 mL. MILILITRO</v>
          </cell>
          <cell r="G875" t="str">
            <v>mL</v>
          </cell>
        </row>
        <row r="876">
          <cell r="E876">
            <v>2105024</v>
          </cell>
          <cell r="F876" t="str">
            <v>ALTERNARIA,  CONCENTRACION 1: 20,  FRASCO GOTERO DE 2 mL. MILILITRO</v>
          </cell>
          <cell r="G876" t="str">
            <v>mL</v>
          </cell>
        </row>
        <row r="877">
          <cell r="E877">
            <v>2105025</v>
          </cell>
          <cell r="F877" t="str">
            <v>ASPERGILUS,  CONCENTRACION 1: 20. FRASCO GOTERO DE 2 mL. MILILITRO</v>
          </cell>
          <cell r="G877" t="str">
            <v>mL</v>
          </cell>
        </row>
        <row r="878">
          <cell r="E878">
            <v>2105026</v>
          </cell>
          <cell r="F878" t="str">
            <v>CANDIDA,  CONCENTRACION 1: 20. FRASCO GOTERO DE 2 mL. MILILITRO</v>
          </cell>
          <cell r="G878" t="str">
            <v>mL</v>
          </cell>
        </row>
        <row r="879">
          <cell r="E879">
            <v>2105027</v>
          </cell>
          <cell r="F879" t="str">
            <v>CEPHALOSPORIUM,  CONCENTRACION 1: 20. FRASCO GOTERO DE 2 mL. MILILITRO</v>
          </cell>
          <cell r="G879" t="str">
            <v>mL</v>
          </cell>
        </row>
        <row r="880">
          <cell r="E880">
            <v>2105028</v>
          </cell>
          <cell r="F880" t="str">
            <v>FUSARIUM,  CONCENTRACION 1: 20. FRASCO GOTERO DE 2 mL. MILILITRO</v>
          </cell>
          <cell r="G880" t="str">
            <v>mL</v>
          </cell>
        </row>
        <row r="881">
          <cell r="E881">
            <v>2105029</v>
          </cell>
          <cell r="F881" t="str">
            <v>HELMINTOSPORIUM,  CONCENTRACION 1: 20. FRASCO GOTERO DE 2 mL. MILILITRO</v>
          </cell>
          <cell r="G881" t="str">
            <v>mL</v>
          </cell>
        </row>
        <row r="882">
          <cell r="E882">
            <v>2105030</v>
          </cell>
          <cell r="F882" t="str">
            <v>HORMODENDRUM,  CONCENTRACION 1: 20. FRASCO GOTERO DE 2 mL. MILILITRO</v>
          </cell>
          <cell r="G882" t="str">
            <v>mL</v>
          </cell>
        </row>
        <row r="883">
          <cell r="E883">
            <v>2105031</v>
          </cell>
          <cell r="F883" t="str">
            <v>MONILIA,  CONCENTRACION 1: 20. FRASCO GOTERO DE 2 mL. MILILITRO</v>
          </cell>
          <cell r="G883" t="str">
            <v>mL</v>
          </cell>
        </row>
        <row r="884">
          <cell r="E884">
            <v>2105032</v>
          </cell>
          <cell r="F884" t="str">
            <v>MUCOR,  CONCENTRACION 1: 20. FRASCO GOTERO DE 2 mL. MILILITRO</v>
          </cell>
          <cell r="G884" t="str">
            <v>mL</v>
          </cell>
        </row>
        <row r="885">
          <cell r="E885">
            <v>2105033</v>
          </cell>
          <cell r="F885" t="str">
            <v>HONGO PENICILIUM,  CONCENTRACION 1: 20. FRASCO GOTERO DE 2 mL. MILILITRO</v>
          </cell>
          <cell r="G885" t="str">
            <v>mL</v>
          </cell>
        </row>
        <row r="886">
          <cell r="E886">
            <v>2105034</v>
          </cell>
          <cell r="F886" t="str">
            <v>HONGO RIZOPUS,  CONCENTRACION 1: 20. FRASCO GOTERO DE 2 mL. MILILITRO</v>
          </cell>
          <cell r="G886" t="str">
            <v>mL</v>
          </cell>
        </row>
        <row r="887">
          <cell r="E887">
            <v>2105035</v>
          </cell>
          <cell r="F887" t="str">
            <v>CUCARACHA AMERICANA,  CONCENTRACION 1: 20,  FRASCO GOTERO DE 2 mL. MILILITRO</v>
          </cell>
          <cell r="G887" t="str">
            <v>mL</v>
          </cell>
        </row>
        <row r="888">
          <cell r="E888">
            <v>2105036</v>
          </cell>
          <cell r="F888" t="str">
            <v>CUCARACHA GERMANICA,  CONCENTRACION 1: 20. FRASCO GOTERO DE 2 mL. MILILITRO</v>
          </cell>
          <cell r="G888" t="str">
            <v>mL</v>
          </cell>
        </row>
        <row r="889">
          <cell r="E889">
            <v>2105037</v>
          </cell>
          <cell r="F889" t="str">
            <v>HORMIGA,  CONCENTRACION 1: 20. FRASCO GOTERO DE 2 mL. MILILITRO</v>
          </cell>
          <cell r="G889" t="str">
            <v>mL</v>
          </cell>
        </row>
        <row r="890">
          <cell r="E890">
            <v>2105038</v>
          </cell>
          <cell r="F890" t="str">
            <v>MOSQUITO,  CONCENTRACION 1: 20. FRASCO GOTERO DE 2 mL. MILILITRO</v>
          </cell>
          <cell r="G890" t="str">
            <v>mL</v>
          </cell>
        </row>
        <row r="891">
          <cell r="E891">
            <v>2105039</v>
          </cell>
          <cell r="F891" t="str">
            <v>PERRO,  CONCENTRACION 1: 20. FRASCO GOTERO DE 2 mL. MILILITRO</v>
          </cell>
          <cell r="G891" t="str">
            <v>mL</v>
          </cell>
        </row>
        <row r="892">
          <cell r="E892">
            <v>2105040</v>
          </cell>
          <cell r="F892" t="str">
            <v>GATO,  CONCENTRACION 1: 20. FRASCO GOTERO DE 2 mL. MILILITRO</v>
          </cell>
          <cell r="G892" t="str">
            <v>mL</v>
          </cell>
        </row>
        <row r="893">
          <cell r="E893">
            <v>2105041</v>
          </cell>
          <cell r="F893" t="str">
            <v>PLUMAS,  CONCENTRACION 1: 20. FRASCO GOTERO DE 2 mL. MILILITRO</v>
          </cell>
          <cell r="G893" t="str">
            <v>mL</v>
          </cell>
        </row>
        <row r="894">
          <cell r="E894">
            <v>2105042</v>
          </cell>
          <cell r="F894" t="str">
            <v>DERMATOPHAGOIDES PTERONSYSSINUS,  CONCENTRACION 1: 20. FRASCO GOTERO DE 2 mL. MILILITRO</v>
          </cell>
          <cell r="G894" t="str">
            <v>mL</v>
          </cell>
        </row>
        <row r="895">
          <cell r="E895">
            <v>2105043</v>
          </cell>
          <cell r="F895" t="str">
            <v>DERMATOPHAGOIDES FARINAE,  CONCENTRACION 1: 20. FRASCO GOTERO DE 2 mL. MILILITRO</v>
          </cell>
          <cell r="G895" t="str">
            <v>mL</v>
          </cell>
        </row>
        <row r="896">
          <cell r="E896">
            <v>2105044</v>
          </cell>
          <cell r="F896" t="str">
            <v>POLVO CASERO,  CONCENTRACION 1: 20. FRASCO GOTERO DE 2 mL. MILILITRO</v>
          </cell>
          <cell r="G896" t="str">
            <v>mL</v>
          </cell>
        </row>
        <row r="897">
          <cell r="E897">
            <v>2105045</v>
          </cell>
          <cell r="F897" t="str">
            <v>ALGODON,  CONCENTRACION 1: 20. FRASCO GOTERO DE 2 mL. MILILITRO</v>
          </cell>
          <cell r="G897" t="str">
            <v>mL</v>
          </cell>
        </row>
        <row r="898">
          <cell r="E898">
            <v>2105046</v>
          </cell>
          <cell r="F898" t="str">
            <v>LANA,  CONCENTRACION 1: 20. FRASCO GOTERO DE 2 mL. MILILITRO</v>
          </cell>
          <cell r="G898" t="str">
            <v>mL</v>
          </cell>
        </row>
        <row r="899">
          <cell r="E899">
            <v>2105047</v>
          </cell>
          <cell r="F899" t="str">
            <v>BACTERIANA CONCENTRADA. FRASCO GOTERO DE 2 mL. MILILITRO</v>
          </cell>
          <cell r="G899" t="str">
            <v>mL</v>
          </cell>
        </row>
        <row r="900">
          <cell r="E900">
            <v>2105048</v>
          </cell>
          <cell r="F900" t="str">
            <v>ALNUS SINUATA,  CONCENTRACION 1: 10. FRASCO DE 10 mL. MILILITRO</v>
          </cell>
          <cell r="G900" t="str">
            <v>mL</v>
          </cell>
        </row>
        <row r="901">
          <cell r="E901">
            <v>2105049</v>
          </cell>
          <cell r="F901" t="str">
            <v>AMARANTUS PALMERI,  CONCENTRACION 1: 10. FRASCO DE 10 mL. MILILITRO</v>
          </cell>
          <cell r="G901" t="str">
            <v>mL</v>
          </cell>
        </row>
        <row r="902">
          <cell r="E902">
            <v>2105050</v>
          </cell>
          <cell r="F902" t="str">
            <v>AMBROSIA ELIATOR,  CONCENTRACION 1: 10. FRASCO DE 10 mL. MILILITRO</v>
          </cell>
          <cell r="G902" t="str">
            <v>mL</v>
          </cell>
        </row>
        <row r="903">
          <cell r="E903">
            <v>2105051</v>
          </cell>
          <cell r="F903" t="str">
            <v>ARTEMISA VULGARIS,  CONCENTRACION 1: 10. FRASCO DE 10 mL. MILILITRO</v>
          </cell>
          <cell r="G903" t="str">
            <v>mL</v>
          </cell>
        </row>
        <row r="904">
          <cell r="E904">
            <v>2105052</v>
          </cell>
          <cell r="F904" t="str">
            <v>ATRIPLEX BACTEOSA,  CONCENTRACION 1: 10. FRASCO DE 10 mL. MILILITRO</v>
          </cell>
          <cell r="G904" t="str">
            <v>mL</v>
          </cell>
        </row>
        <row r="905">
          <cell r="E905">
            <v>2105053</v>
          </cell>
          <cell r="F905" t="str">
            <v>AGROSTI ALBA,  CONCENTRACION 1: 10. FRASCO DE 10 mL. MILILITRO</v>
          </cell>
          <cell r="G905" t="str">
            <v>mL</v>
          </cell>
        </row>
        <row r="906">
          <cell r="E906">
            <v>2105054</v>
          </cell>
          <cell r="F906" t="str">
            <v>AVENA FATUA,  CONCENTRACION 1: 10,  FRASCO DE 10 mL. MILILITRO</v>
          </cell>
          <cell r="G906" t="str">
            <v>mL</v>
          </cell>
        </row>
        <row r="907">
          <cell r="E907">
            <v>2105055</v>
          </cell>
          <cell r="F907" t="str">
            <v>BROMUS CARINATUS,  CONCENTRACION 1: 10. FRASCO DE 10 mL. MILILITRO</v>
          </cell>
          <cell r="G907" t="str">
            <v>mL</v>
          </cell>
        </row>
        <row r="908">
          <cell r="E908">
            <v>2105056</v>
          </cell>
          <cell r="F908" t="str">
            <v>CHENOPODIUM ALBUM,  CONCENTRACION 1: 10. FRASCO DE 10 mL. MILILITRO</v>
          </cell>
          <cell r="G908" t="str">
            <v>mL</v>
          </cell>
        </row>
        <row r="909">
          <cell r="E909">
            <v>2105057</v>
          </cell>
          <cell r="F909" t="str">
            <v>CYNODON DACTYLON,  CONCENTRACION 1: 10. FRASCO DE 10 mL. MILILITRO</v>
          </cell>
          <cell r="G909" t="str">
            <v>mL</v>
          </cell>
        </row>
        <row r="910">
          <cell r="E910">
            <v>2105058</v>
          </cell>
          <cell r="F910" t="str">
            <v>CUPRESSUS ARIZONICA,  CONCENTRACION 1: 10. FRASCO DE 10 mL. MILILITRO</v>
          </cell>
          <cell r="G910" t="str">
            <v>mL</v>
          </cell>
        </row>
        <row r="911">
          <cell r="E911">
            <v>2105059</v>
          </cell>
          <cell r="F911" t="str">
            <v>COSMOS BIPINNATUS,  CONCENTRACION 1: 10. FRASCO DE 10 mL. MILILITRO</v>
          </cell>
          <cell r="G911" t="str">
            <v>mL</v>
          </cell>
        </row>
        <row r="912">
          <cell r="E912">
            <v>2105060</v>
          </cell>
          <cell r="F912" t="str">
            <v>EUCALYPTUS,  CONCENTRACION 1: 10. FRASCO DE 10 mL. MILILITRO</v>
          </cell>
          <cell r="G912" t="str">
            <v>mL</v>
          </cell>
        </row>
        <row r="913">
          <cell r="E913">
            <v>2105061</v>
          </cell>
          <cell r="F913" t="str">
            <v>HOLCUS HALAPENSIS,  CONCENTRACION 1: 10. FRASCO DE 10 mL. MILILITRO</v>
          </cell>
          <cell r="G913" t="str">
            <v>mL</v>
          </cell>
        </row>
        <row r="914">
          <cell r="E914">
            <v>2105062</v>
          </cell>
          <cell r="F914" t="str">
            <v>LIQUIDAMBAR STRYRACIFLUA,  CONCENTRACION 1: 10. FRASCO DE 10 mL. MILILITRO</v>
          </cell>
          <cell r="G914" t="str">
            <v>mL</v>
          </cell>
        </row>
        <row r="915">
          <cell r="E915">
            <v>2105063</v>
          </cell>
          <cell r="F915" t="str">
            <v>LOLIUM PERENNE,  CONCENTRACION 1: 10. FRASCO DE 10 mL. MILILITRO</v>
          </cell>
          <cell r="G915" t="str">
            <v>mL</v>
          </cell>
        </row>
        <row r="916">
          <cell r="E916">
            <v>2105064</v>
          </cell>
          <cell r="F916" t="str">
            <v>POPULUS ALBA,  CONCENTRACION 1: 10. FRASCO DE 10 mL. MILILITRO</v>
          </cell>
          <cell r="G916" t="str">
            <v>mL</v>
          </cell>
        </row>
        <row r="917">
          <cell r="E917">
            <v>2105065</v>
          </cell>
          <cell r="F917" t="str">
            <v>PHELEUM PRATENSE,  CONCENTRACION 1: 10,  FRASCO DE 10 mL. MILILITRO</v>
          </cell>
          <cell r="G917" t="str">
            <v>mL</v>
          </cell>
        </row>
        <row r="918">
          <cell r="E918">
            <v>2105066</v>
          </cell>
          <cell r="F918" t="str">
            <v>QUERCUS,  CONCENTRACION 1: 10. FRASCO DE 10 mL. MILILITRO</v>
          </cell>
          <cell r="G918" t="str">
            <v>mL</v>
          </cell>
        </row>
        <row r="919">
          <cell r="E919">
            <v>2105067</v>
          </cell>
          <cell r="F919" t="str">
            <v>RECINUS CUMMUNIS,  CONCENTRACION 1: 10. FRASCO DE 10 mL. MILILITRO</v>
          </cell>
          <cell r="G919" t="str">
            <v>mL</v>
          </cell>
        </row>
        <row r="920">
          <cell r="E920">
            <v>2105068</v>
          </cell>
          <cell r="F920" t="str">
            <v>SALIX NIGRAS,  CONCENTRACION 1: 10. FRASCO DE 10 mL. MILILITRO</v>
          </cell>
          <cell r="G920" t="str">
            <v>mL</v>
          </cell>
        </row>
        <row r="921">
          <cell r="E921">
            <v>2105069</v>
          </cell>
          <cell r="F921" t="str">
            <v>SCHINUS MOLLE,  CONCENTRACION 1: 10. FRASCO DE 10 mL. MILILITRO</v>
          </cell>
          <cell r="G921" t="str">
            <v>mL</v>
          </cell>
        </row>
        <row r="922">
          <cell r="E922">
            <v>2105070</v>
          </cell>
          <cell r="F922" t="str">
            <v>ZEA MAZ,  CONCENTRACION 1: 10. FRASCO DE 10 mL. MILILITRO</v>
          </cell>
          <cell r="G922" t="str">
            <v>mL</v>
          </cell>
        </row>
        <row r="923">
          <cell r="E923">
            <v>2105071</v>
          </cell>
          <cell r="F923" t="str">
            <v>ABSIDIA,  CONCENTRACION 1: 10. FRASCO DE 10 mL. MILILITRO</v>
          </cell>
          <cell r="G923" t="str">
            <v>mL</v>
          </cell>
        </row>
        <row r="924">
          <cell r="E924">
            <v>2105072</v>
          </cell>
          <cell r="F924" t="str">
            <v>ALTERNARIA,  CONCENTRACION 1: 10. FRASCO DE 10 mL. MILILITRO</v>
          </cell>
          <cell r="G924" t="str">
            <v>mL</v>
          </cell>
        </row>
        <row r="925">
          <cell r="E925">
            <v>2105073</v>
          </cell>
          <cell r="F925" t="str">
            <v>ASPERGILUS,  CONCENTRACION 1: 10. FRASCO DE 10 mL. MILILITRO</v>
          </cell>
          <cell r="G925" t="str">
            <v>mL</v>
          </cell>
        </row>
        <row r="926">
          <cell r="E926">
            <v>2105074</v>
          </cell>
          <cell r="F926" t="str">
            <v>CANDIDA,  CONCENTRACION 1: 10. FRASCO DE 10 mL. MILILITRO</v>
          </cell>
          <cell r="G926" t="str">
            <v>mL</v>
          </cell>
        </row>
        <row r="927">
          <cell r="E927">
            <v>2105075</v>
          </cell>
          <cell r="F927" t="str">
            <v>CEPHALOSPORIUM,  CONCENTRACION 1: 10. FRASCO DE 10 mL. MILILITRO</v>
          </cell>
          <cell r="G927" t="str">
            <v>mL</v>
          </cell>
        </row>
        <row r="928">
          <cell r="E928">
            <v>2105076</v>
          </cell>
          <cell r="F928" t="str">
            <v>FUSARIUM,  CONCENTRACION 1: 10. FRASCO DE 10 mL. MILILITRO</v>
          </cell>
          <cell r="G928" t="str">
            <v>mL</v>
          </cell>
        </row>
        <row r="929">
          <cell r="E929">
            <v>2105077</v>
          </cell>
          <cell r="F929" t="str">
            <v>HELMINTOSPORIUM,  CONCENTRACION 1: 10. FRASCO DE 10 mL. MILILITRO</v>
          </cell>
          <cell r="G929" t="str">
            <v>mL</v>
          </cell>
        </row>
        <row r="930">
          <cell r="E930">
            <v>2105078</v>
          </cell>
          <cell r="F930" t="str">
            <v>HORMODENDRUM,  CONCENTRACION 1: 10. FRASCO DE 10 mL. MILILITRO</v>
          </cell>
          <cell r="G930" t="str">
            <v>mL</v>
          </cell>
        </row>
        <row r="931">
          <cell r="E931">
            <v>2105079</v>
          </cell>
          <cell r="F931" t="str">
            <v>MONILIA,  CONCENTRACION 1: 10. FRASCO DE 10 mL. MILILITRO</v>
          </cell>
          <cell r="G931" t="str">
            <v>mL</v>
          </cell>
        </row>
        <row r="932">
          <cell r="E932">
            <v>2105080</v>
          </cell>
          <cell r="F932" t="str">
            <v>MUCOR,  CONCENTRACION 1: 10. FRASCO DE 10 mL. MILILITRO</v>
          </cell>
          <cell r="G932" t="str">
            <v>mL</v>
          </cell>
        </row>
        <row r="933">
          <cell r="E933">
            <v>2105081</v>
          </cell>
          <cell r="F933" t="str">
            <v>HONGO PENICILIUM,  CONCENTRACION 1: 10. FRASCO DE 10 mL. MILILITRO</v>
          </cell>
          <cell r="G933" t="str">
            <v>mL</v>
          </cell>
        </row>
        <row r="934">
          <cell r="E934">
            <v>2105082</v>
          </cell>
          <cell r="F934" t="str">
            <v>HONGO RIZOPUS,  CONCENTRACION 1: 10. FRASCO DE 10 mL. MILILITRO</v>
          </cell>
          <cell r="G934" t="str">
            <v>mL</v>
          </cell>
        </row>
        <row r="935">
          <cell r="E935">
            <v>2105083</v>
          </cell>
          <cell r="F935" t="str">
            <v>CUCARACHA AMERICANA,  CONCENTRACION 1: 10. FRASCO DE 10 mL. MILILITRO</v>
          </cell>
          <cell r="G935" t="str">
            <v>mL</v>
          </cell>
        </row>
        <row r="936">
          <cell r="E936">
            <v>2105084</v>
          </cell>
          <cell r="F936" t="str">
            <v>CUCARACHA GERMANICA,  CONCENTRACION 1: 10. FRASCO DE 10 mL. MILILITRO</v>
          </cell>
          <cell r="G936" t="str">
            <v>mL</v>
          </cell>
        </row>
        <row r="937">
          <cell r="E937">
            <v>2105085</v>
          </cell>
          <cell r="F937" t="str">
            <v>HORMIGA,  CONCENTRACION 1: 10. FRASCO DE 10 mL. MILILITRO</v>
          </cell>
          <cell r="G937" t="str">
            <v>mL</v>
          </cell>
        </row>
        <row r="938">
          <cell r="E938">
            <v>2105086</v>
          </cell>
          <cell r="F938" t="str">
            <v>MOSQUITO,  CONCENTRACION 1: 10. FRASCO DE 10 mL. MILILITRO</v>
          </cell>
          <cell r="G938" t="str">
            <v>mL</v>
          </cell>
        </row>
        <row r="939">
          <cell r="E939">
            <v>2105087</v>
          </cell>
          <cell r="F939" t="str">
            <v>PERRO,  CONCENTRACION 1: 10. FRASCO DE 10 mL. MILILITRO</v>
          </cell>
          <cell r="G939" t="str">
            <v>mL</v>
          </cell>
        </row>
        <row r="940">
          <cell r="E940">
            <v>2105088</v>
          </cell>
          <cell r="F940" t="str">
            <v>GATO,  CONCENTRACION 1: 10. FRASCO DE 10 mL. MILILITRO</v>
          </cell>
          <cell r="G940" t="str">
            <v>mL</v>
          </cell>
        </row>
        <row r="941">
          <cell r="E941">
            <v>2105089</v>
          </cell>
          <cell r="F941" t="str">
            <v>PLUMAS,  CONCENTRACION 1: 10. FRASCO DE 10 mL. MILILITRO</v>
          </cell>
          <cell r="G941" t="str">
            <v>mL</v>
          </cell>
        </row>
        <row r="942">
          <cell r="E942">
            <v>2105090</v>
          </cell>
          <cell r="F942" t="str">
            <v>DERMATHOPHAGOIDES PTERONSYSSINUS,  CONCENTRACION 1: 10. FRASCO DE 10 mL. MILILITRO</v>
          </cell>
          <cell r="G942" t="str">
            <v>mL</v>
          </cell>
        </row>
        <row r="943">
          <cell r="E943">
            <v>2105091</v>
          </cell>
          <cell r="F943" t="str">
            <v>DERMATOPHAGOIDES FARINAE,  CONCENTRACION 1: 10. FRASCO DE 10 mL. MILILITRO</v>
          </cell>
          <cell r="G943" t="str">
            <v>mL</v>
          </cell>
        </row>
        <row r="944">
          <cell r="E944">
            <v>2105092</v>
          </cell>
          <cell r="F944" t="str">
            <v>POLVO CASERO,  CONCENTRACION 1: 5. FRASCO DE 50 mL. MILILITRO</v>
          </cell>
          <cell r="G944" t="str">
            <v>mL</v>
          </cell>
        </row>
        <row r="945">
          <cell r="E945">
            <v>2105093</v>
          </cell>
          <cell r="F945" t="str">
            <v>ALGODON,  CONCENTRACION 1: 10. FRASCO DE 10 mL. MILILITRO</v>
          </cell>
          <cell r="G945" t="str">
            <v>mL</v>
          </cell>
        </row>
        <row r="946">
          <cell r="E946">
            <v>2105094</v>
          </cell>
          <cell r="F946" t="str">
            <v>LANA,  CONCENTRACION 1: 10. FRASCO DE 10 mL. MILILITRO</v>
          </cell>
          <cell r="G946" t="str">
            <v>mL</v>
          </cell>
        </row>
        <row r="947">
          <cell r="E947">
            <v>2105095</v>
          </cell>
          <cell r="F947" t="str">
            <v xml:space="preserve">VACUNA BACTERIANA :     ESTAFILOCOCO AUREUS,  ESTAFILOCOCO ALBUS 1.8 millones UFC/ml FRASCO DE 30  -  50 ml. MILILITRO              </v>
          </cell>
          <cell r="G947" t="str">
            <v>mL</v>
          </cell>
        </row>
        <row r="948">
          <cell r="E948">
            <v>2105096</v>
          </cell>
          <cell r="F948" t="str">
            <v>RUMEX CRISPUS,  CONCENTRACION 1: 10 FRASCO DE 10 mL. MILILITRO</v>
          </cell>
          <cell r="G948" t="str">
            <v>mL</v>
          </cell>
        </row>
        <row r="949">
          <cell r="E949">
            <v>2105097</v>
          </cell>
          <cell r="F949" t="str">
            <v>RUMEX CRISPUS,  CONCENTRACION 1: 20 FRASCO GOTERO 2 mL. MILILITRO</v>
          </cell>
          <cell r="G949" t="str">
            <v>mL</v>
          </cell>
        </row>
        <row r="950">
          <cell r="E950">
            <v>2105098</v>
          </cell>
          <cell r="F950" t="str">
            <v>PROTEINA DE VENENO DE ABEJA DE COLMENA  (HONEYBEE VENOM PROTEIN)  SET CON 6 FRASCOS VIALES DE 120 µg DE VENENO Y 6 FRASCOS VIALES DE 1.8 ml DE ALBUMINA SALINA ESTERIL CON FENOL. SET</v>
          </cell>
          <cell r="G950" t="str">
            <v>SET</v>
          </cell>
        </row>
        <row r="951">
          <cell r="E951">
            <v>2105099</v>
          </cell>
          <cell r="F951" t="str">
            <v>PROTEINA DE VENENO DE AVISPON FRENTE BLANCA  ( WHITE - FACED HORNET VENOM PROTEIN)  SET CON 6 FRASCOS VIALES DE 120 µg DE VENENO Y 6 FRASCOS VIALES DE 1.8 ml DE ALBUMINA SALINA ESTERIL CON FENOL. SET</v>
          </cell>
          <cell r="G951" t="str">
            <v>SET</v>
          </cell>
        </row>
        <row r="952">
          <cell r="E952">
            <v>2105100</v>
          </cell>
          <cell r="F952" t="str">
            <v xml:space="preserve">PROTEINA DE VENENO DE AVISPON AMARILLO  ( YELLOW HORNET VENOM PROTEIN)  SET CON 6 FRASCOS VIALES DE 120 µg DE VENENO Y 6 FRASCOS VIALES DE 1.8 ml DE ALBUMINA SALINA ESTERIL CON FENOL. SET </v>
          </cell>
          <cell r="G952" t="str">
            <v>SET</v>
          </cell>
        </row>
        <row r="953">
          <cell r="E953">
            <v>2105101</v>
          </cell>
          <cell r="F953" t="str">
            <v>PROTEINA DE VENENO DE AVISPON CHAQUETA AMARILLA  ( YELLOW JACKET VENOM PROTEIN)   SET CON 6 FRASCOS VIALES DE 120 µg DE VENENO Y 6 FRASCOS VIALES DE 1.8 ml DE ALBUMINA SALINA ESTERIL CON FENOL. SET</v>
          </cell>
          <cell r="G953" t="str">
            <v>SET</v>
          </cell>
        </row>
        <row r="954">
          <cell r="E954">
            <v>2105102</v>
          </cell>
          <cell r="F954" t="str">
            <v>PROTEINA DE VENENO DE AVISPA  ( WASP VENOM PROTEIN)  SET CON 6 FRASCOS VIALES DE 120 µg DE VENENO Y 6 FRASCOS VIALES DE 1.8 ml DE ALBUMINA SALINA ESTERIL CON FENOL. SET</v>
          </cell>
          <cell r="G954" t="str">
            <v>SET</v>
          </cell>
        </row>
        <row r="955">
          <cell r="E955">
            <v>2105103</v>
          </cell>
          <cell r="F955" t="str">
            <v>ALBUMINA SALINA ESTERIL CON FENOL. FRASCO CON 9 mL. MILILITRO</v>
          </cell>
          <cell r="G955" t="str">
            <v>mL</v>
          </cell>
        </row>
        <row r="956">
          <cell r="E956">
            <v>2106000</v>
          </cell>
          <cell r="F956" t="str">
            <v>CATALIZADOR PARA ATMOSFERA MICROAEROFILICA PARA CAMPYLOBACTER,  SISTEMA GASPAK O SIMILAR,  CAJA DE 10 SOBRES O MAS. SOBRE</v>
          </cell>
          <cell r="G956" t="str">
            <v>SOBRE</v>
          </cell>
        </row>
        <row r="957">
          <cell r="E957">
            <v>2106001</v>
          </cell>
          <cell r="F957" t="str">
            <v>GENERADOR DE ATMOSFERA MICROAEROFILICA PARA CAMPYLOBACTER,  SISTEMA GASPAK O SIMILAR. CAJA DE 10 SOBRES O MAS. SOBRE</v>
          </cell>
          <cell r="G957" t="str">
            <v>SOBRE</v>
          </cell>
        </row>
        <row r="958">
          <cell r="E958">
            <v>2106002</v>
          </cell>
          <cell r="F958" t="str">
            <v>INDICADOR DE ATMOSFERA MICROAEROFILICA PARA CAMPYLOBACTER,  SISTEMA GASPAK O SIMILAR,  CAJA DE 50 TIRAS O MAS. TIRA</v>
          </cell>
          <cell r="G958" t="str">
            <v>TIRA</v>
          </cell>
        </row>
        <row r="959">
          <cell r="E959">
            <v>2106003</v>
          </cell>
          <cell r="F959" t="str">
            <v>PRONASA E.  FRASCO DE 1  -   5 G. GRAMO</v>
          </cell>
          <cell r="G959" t="str">
            <v>GRAMO</v>
          </cell>
        </row>
        <row r="960">
          <cell r="E960">
            <v>2106004</v>
          </cell>
          <cell r="F960" t="str">
            <v>TRIPSINA.  FRASCO DE 1  -   5 G. GRAMO</v>
          </cell>
          <cell r="G960" t="str">
            <v>GRAMO</v>
          </cell>
        </row>
        <row r="961">
          <cell r="E961">
            <v>2106005</v>
          </cell>
          <cell r="F961" t="str">
            <v>N, N, N, P TETRAMETIL  - P -  FENILENDIAMINO DIHIDROCLORURO.  FRASCO DE 5 G O MAS. GRAMO</v>
          </cell>
          <cell r="G961" t="str">
            <v>GRAMO</v>
          </cell>
        </row>
        <row r="962">
          <cell r="E962">
            <v>2106006</v>
          </cell>
          <cell r="F962" t="str">
            <v>SELLADOR DE VIDRIO - BASE DE TOLUENO TIPO MERCKGLAS.  FRASCO DE 100  -   500 mL. MILILITRO</v>
          </cell>
          <cell r="G962" t="str">
            <v>mL</v>
          </cell>
        </row>
        <row r="963">
          <cell r="E963">
            <v>2106007</v>
          </cell>
          <cell r="F963" t="str">
            <v>MEDIO DE MONTAJE PARA LAMINA DE MICROSCOPIO,      PROCESADAS EN MEDIO ACUOSO GLICERINA  -  GELATINA.  FRASCO DE 50  -  100 G. GRAMO</v>
          </cell>
          <cell r="G963" t="str">
            <v>GRAMO</v>
          </cell>
        </row>
        <row r="964">
          <cell r="E964">
            <v>2106008</v>
          </cell>
          <cell r="F964" t="str">
            <v>PARAFORMALDEHIDO EN POLVO.  FRASCO 500  -  1000 G. GRAMO</v>
          </cell>
          <cell r="G964" t="str">
            <v>GRAMO</v>
          </cell>
        </row>
        <row r="965">
          <cell r="E965">
            <v>2106009</v>
          </cell>
          <cell r="F965" t="str">
            <v>TETRACLORIHIDRATO DIAMINO BENCIDINA  (DAB)  FRASCO 25 G. GRAMO</v>
          </cell>
          <cell r="G965" t="str">
            <v>GRAMO</v>
          </cell>
        </row>
        <row r="966">
          <cell r="E966">
            <v>2106010</v>
          </cell>
          <cell r="F966" t="str">
            <v>GELATINA  -  GLICEROL KAISER.  FRASCO DE 50  -  100 G. GRAMO</v>
          </cell>
          <cell r="G966" t="str">
            <v>GRAMO</v>
          </cell>
        </row>
        <row r="967">
          <cell r="E967">
            <v>2106011</v>
          </cell>
          <cell r="F967" t="str">
            <v>GEL DE SILICE.  ENVASE DE 50  -  100 G. GRAMO</v>
          </cell>
          <cell r="G967" t="str">
            <v>GRAMO</v>
          </cell>
        </row>
        <row r="968">
          <cell r="E968">
            <v>2106012</v>
          </cell>
          <cell r="F968" t="str">
            <v>LECHE DESCREMADA.  LATA O BOLSA DE 200 O MAS G. GRAMO</v>
          </cell>
          <cell r="G968" t="str">
            <v>GRAMO</v>
          </cell>
        </row>
        <row r="969">
          <cell r="E969">
            <v>2106013</v>
          </cell>
          <cell r="F969" t="str">
            <v>TINTA CHINA  (INDIA INK) .  FRASCO DE 1  -  25 mL. MILILITRO</v>
          </cell>
          <cell r="G969" t="str">
            <v>mL</v>
          </cell>
        </row>
        <row r="970">
          <cell r="E970">
            <v>2106014</v>
          </cell>
          <cell r="F970" t="str">
            <v>TINTA AZUL NEGRA PARKER INGLESA.  FRASCO DE 25 mL O  MAS. MILILITRO</v>
          </cell>
          <cell r="G970" t="str">
            <v>mL</v>
          </cell>
        </row>
        <row r="971">
          <cell r="E971">
            <v>2106015</v>
          </cell>
          <cell r="F971" t="str">
            <v>GELATINA. FRASCO DE 50  -  100 G. GRAMO</v>
          </cell>
          <cell r="G971" t="str">
            <v>GRAMO</v>
          </cell>
        </row>
        <row r="972">
          <cell r="E972">
            <v>2106016</v>
          </cell>
          <cell r="F972" t="str">
            <v xml:space="preserve">PROTEASA VIII. FRASCO DE 25  -  50 mg. MILIGRAMO </v>
          </cell>
          <cell r="G972" t="str">
            <v>mg</v>
          </cell>
        </row>
        <row r="973">
          <cell r="E973">
            <v>2106017</v>
          </cell>
          <cell r="F973" t="str">
            <v xml:space="preserve">CATALIZADOR PARA ATMOSFERA ANAEROBICA SISTEMA     GASPAK O SIMILAR.  SOBRE O PAQUETE DE 10 UNIDADES. C/U </v>
          </cell>
          <cell r="G973" t="str">
            <v>C/U</v>
          </cell>
        </row>
        <row r="974">
          <cell r="E974">
            <v>2106018</v>
          </cell>
          <cell r="F974" t="str">
            <v>GENERADOR DE ATMOSFERA ANAEROBICA PARA SISTEMA    GASPAK O SIMILAR.   CAJA DE 10 SOBRES O MAS. SOBRE</v>
          </cell>
          <cell r="G974" t="str">
            <v>SOBRE</v>
          </cell>
        </row>
        <row r="975">
          <cell r="E975">
            <v>2106019</v>
          </cell>
          <cell r="F975" t="str">
            <v>INDICADOR PARA ATMOSFERA ANAEROBICA SISTEMA GASPAK O SIMILAR.  CAJA DE 50 TIRAS O MAS. TIRA</v>
          </cell>
          <cell r="G975" t="str">
            <v>TIRA</v>
          </cell>
        </row>
        <row r="976">
          <cell r="E976">
            <v>2106020</v>
          </cell>
          <cell r="F976" t="str">
            <v xml:space="preserve">KAOLIN.  FRASCO DE 50 mL O MAS. MILILITRO </v>
          </cell>
          <cell r="G976" t="str">
            <v>mL</v>
          </cell>
        </row>
        <row r="977">
          <cell r="E977">
            <v>2106021</v>
          </cell>
          <cell r="F977" t="str">
            <v>PRONASA E. POLVO LIOFILIZADO. FRASCO 0.1  -  0.5 G. GRAMO</v>
          </cell>
          <cell r="G977" t="str">
            <v>GRAMO</v>
          </cell>
        </row>
        <row r="978">
          <cell r="E978">
            <v>2106022</v>
          </cell>
          <cell r="F978" t="str">
            <v xml:space="preserve">PROTEINASA K. FRASCO ENTRE 0.1  -  0.5 G. GRAMO </v>
          </cell>
          <cell r="G978" t="str">
            <v>GRAMO</v>
          </cell>
        </row>
        <row r="979">
          <cell r="E979">
            <v>2106023</v>
          </cell>
          <cell r="F979" t="str">
            <v>SILANO.AMINO PROPILTRIETOXISILANO. FRASCO 100  -  500 G. GRAMO</v>
          </cell>
          <cell r="G979" t="str">
            <v>GRAMO</v>
          </cell>
        </row>
        <row r="980">
          <cell r="E980">
            <v>2106024</v>
          </cell>
          <cell r="F980" t="str">
            <v>PARAFINA TIPO PARAPLAST EN LENTEJAS PUNTO DE FUSION 50°  -  60°C. RECIPIENTE DE 1  -  15 K. KILO</v>
          </cell>
          <cell r="G980" t="str">
            <v>KILO</v>
          </cell>
        </row>
        <row r="981">
          <cell r="E981">
            <v>2106025</v>
          </cell>
          <cell r="F981" t="str">
            <v>ACEITE DE INMERSION BAJA VISCOSIDAD.FRASCO 25  -  200 mL. MILILITRO</v>
          </cell>
          <cell r="G981" t="str">
            <v>mL</v>
          </cell>
        </row>
        <row r="982">
          <cell r="E982">
            <v>2106026</v>
          </cell>
          <cell r="F982" t="str">
            <v xml:space="preserve">BALSAMO DEL CANADA. BIDON O GARRAFA DE 25  -  30 L. LITRO </v>
          </cell>
          <cell r="G982" t="str">
            <v>LITRO</v>
          </cell>
        </row>
        <row r="983">
          <cell r="E983">
            <v>2999008</v>
          </cell>
          <cell r="F983" t="str">
            <v>TIEMPO DE TROMBOPLASTINA PARCIAL  (TTP) . VIAL DE 1  -  2 mL. PRUEBA</v>
          </cell>
          <cell r="G983" t="str">
            <v>PRUEBA</v>
          </cell>
        </row>
        <row r="984">
          <cell r="E984">
            <v>2999014</v>
          </cell>
          <cell r="F984" t="str">
            <v>PARAFINA TIPO PARAPLAST GRANULADA PUNTO DE FUSION 50°  -  56°C.  RECIPIENTE O BOLSA 1  -  25  K. KILO</v>
          </cell>
          <cell r="G984" t="str">
            <v>KILO</v>
          </cell>
        </row>
        <row r="985">
          <cell r="E985">
            <v>3500121</v>
          </cell>
          <cell r="F985" t="str">
            <v>LAMINILLA CUBRE OBJETOS DE 22 X 22 mm DE VIDRIO. ONZA</v>
          </cell>
          <cell r="G985" t="str">
            <v>ONZA</v>
          </cell>
        </row>
        <row r="986">
          <cell r="E986">
            <v>3500122</v>
          </cell>
          <cell r="F986" t="str">
            <v>PIPETA PARA COAGULOMETRO TIPO CLOT 2. C/U</v>
          </cell>
          <cell r="G986" t="str">
            <v>C/U</v>
          </cell>
        </row>
        <row r="987">
          <cell r="E987">
            <v>3500123</v>
          </cell>
          <cell r="F987" t="str">
            <v>LAMINA PORTA OBJETO  3 X 1" EXTREMO ESMERILADO DE VIDRIO.C/U</v>
          </cell>
          <cell r="G987" t="str">
            <v>C/U</v>
          </cell>
        </row>
        <row r="988">
          <cell r="E988">
            <v>3500124</v>
          </cell>
          <cell r="F988" t="str">
            <v>LAMINA SELLADORA PARA MICROHEMATOCRITO. C/U</v>
          </cell>
          <cell r="G988" t="str">
            <v>C/U</v>
          </cell>
        </row>
        <row r="989">
          <cell r="E989">
            <v>3500125</v>
          </cell>
          <cell r="F989" t="str">
            <v>LAMINILLA CUBRE OBJETOS 22 X 50 mm DE VIDRIO. ONZA</v>
          </cell>
          <cell r="G989" t="str">
            <v>ONZA</v>
          </cell>
        </row>
        <row r="990">
          <cell r="E990">
            <v>3500126</v>
          </cell>
          <cell r="F990" t="str">
            <v>LANCETA DESCARTABLE PARA USO PEDIATRICO.C/U</v>
          </cell>
          <cell r="G990" t="str">
            <v>C/U</v>
          </cell>
        </row>
        <row r="991">
          <cell r="E991">
            <v>3500127</v>
          </cell>
          <cell r="F991" t="str">
            <v>LANCETA DESCARTABLE PUNTO MEDIO. C/U</v>
          </cell>
          <cell r="G991" t="str">
            <v>C/U</v>
          </cell>
        </row>
        <row r="992">
          <cell r="E992">
            <v>3500128</v>
          </cell>
          <cell r="F992" t="str">
            <v>PAPEL FILTRO CORRIENTE # 2. PLIEGO</v>
          </cell>
          <cell r="G992" t="str">
            <v>PLIEGO</v>
          </cell>
        </row>
        <row r="993">
          <cell r="E993">
            <v>3500129</v>
          </cell>
          <cell r="F993" t="str">
            <v>PAPEL PARAFINA DE 4" ANCHO,  125" DE LARGO. APROXIMADAMENTE. ROLLO</v>
          </cell>
          <cell r="G993" t="str">
            <v>ROLLO</v>
          </cell>
        </row>
        <row r="994">
          <cell r="E994">
            <v>3500130</v>
          </cell>
          <cell r="F994" t="str">
            <v>CAJA PETRI DESCARTABLE  (100 X 15 mm APROXIMADAMENTE)  DE 1 COMPARTIMIENTO,  ESTERIL. C/U</v>
          </cell>
          <cell r="G994" t="str">
            <v>C/U</v>
          </cell>
        </row>
        <row r="995">
          <cell r="E995">
            <v>3500131</v>
          </cell>
          <cell r="F995" t="str">
            <v>GOTERO PLASTICO DE 70 mm  (APROXIMADAMENTE)  CON BULBO. C/U</v>
          </cell>
          <cell r="G995" t="str">
            <v>C/U</v>
          </cell>
        </row>
        <row r="996">
          <cell r="E996">
            <v>3500132</v>
          </cell>
          <cell r="F996" t="str">
            <v>PUNTA PLASTICA DESCARTABLE PARA FIBROSISTEMA. C/U</v>
          </cell>
          <cell r="G996" t="str">
            <v>C/U</v>
          </cell>
        </row>
        <row r="997">
          <cell r="E997">
            <v>3500012</v>
          </cell>
          <cell r="F997" t="str">
            <v>PUNTA PLASTICA DE 1 mL  (1000µL )  PARA USAR CON PIPETA TIPO OXFORD O SIMILAR. C/U</v>
          </cell>
          <cell r="G997" t="str">
            <v>C/U</v>
          </cell>
        </row>
        <row r="998">
          <cell r="E998">
            <v>3500133</v>
          </cell>
          <cell r="F998" t="str">
            <v>PUNTA PLASTICA DE 0.5 mL  (500 µL )  PARA USAR CON PIPETA TIPO OXFORD O SIMILAR. C/U</v>
          </cell>
          <cell r="G998" t="str">
            <v>C/U</v>
          </cell>
        </row>
        <row r="999">
          <cell r="E999">
            <v>3500134</v>
          </cell>
          <cell r="F999" t="str">
            <v>PUNTA PLASTICA DE 0.1 mL  (100 µL )  PARA USAR CON PIPETA TIPO OXFORD O SIMILAR. C/U</v>
          </cell>
          <cell r="G999" t="str">
            <v>C/U</v>
          </cell>
        </row>
        <row r="1000">
          <cell r="E1000">
            <v>3500135</v>
          </cell>
          <cell r="F1000" t="str">
            <v>TUBO CAPILAR HEPARINIZADO PARA MICROHEMATOCRITO 1.3 X 1.5 X 75 mm. C/U</v>
          </cell>
          <cell r="G1000" t="str">
            <v>C/U</v>
          </cell>
        </row>
        <row r="1001">
          <cell r="E1001">
            <v>3500136</v>
          </cell>
          <cell r="F1001" t="str">
            <v>TUBO CAPILAR NO HEPARINIZADO PARA MICROHEMATOCRITO 1.3 X 1.5 X 75 mm. C/U</v>
          </cell>
          <cell r="G1001" t="str">
            <v>C/U</v>
          </cell>
        </row>
        <row r="1002">
          <cell r="E1002">
            <v>3500137</v>
          </cell>
          <cell r="F1002" t="str">
            <v>PUNTA PLASTICA DE 2  -  100 µl PARA USAR CON PIPETA TIPO BRAND  (TRANSFERPETTE)  O SIMILAR. C/U</v>
          </cell>
          <cell r="G1002" t="str">
            <v>C/U</v>
          </cell>
        </row>
        <row r="1003">
          <cell r="E1003">
            <v>3500018</v>
          </cell>
          <cell r="F1003" t="str">
            <v>PUNTA PLASTICA DE 101  -  1000 µl  PARA USAR CON PIPETA TIPO BRAND  (TRANSFERPETTE)  O SIMILAR. C/U</v>
          </cell>
          <cell r="G1003" t="str">
            <v>C/U</v>
          </cell>
        </row>
        <row r="1004">
          <cell r="E1004">
            <v>3500138</v>
          </cell>
          <cell r="F1004" t="str">
            <v>CUBETA DE PLASTICO DESCARTABLE, TRANSPARENTE, CON SU RESPECTIVO MAGNETO, PARA COAGULOMETRO DE  MARCA Y MODELO DE EQUIPO INSTITUCIONAL. CUBETA.</v>
          </cell>
          <cell r="G1004" t="str">
            <v>CUBETA</v>
          </cell>
        </row>
        <row r="1005">
          <cell r="E1005">
            <v>3500020</v>
          </cell>
          <cell r="F1005" t="str">
            <v xml:space="preserve">CAJA PLASTICA PARA RECOLECCION DE HECES,  COLOR Y TAPADERA BLANCA DE ROSCA,  DIAMETRO 4.5 cm  (APROXIMADAMENTE). C/U </v>
          </cell>
          <cell r="G1005" t="str">
            <v>C/U</v>
          </cell>
        </row>
        <row r="1006">
          <cell r="E1006">
            <v>3500139</v>
          </cell>
          <cell r="F1006" t="str">
            <v>FILTRO  PARA  DESMINERALIZADOR  DE  AGUA,  TIPO DEEMINIZER O SIMILAR. C/U</v>
          </cell>
          <cell r="G1006" t="str">
            <v>C/U</v>
          </cell>
        </row>
        <row r="1007">
          <cell r="E1007">
            <v>3500140</v>
          </cell>
          <cell r="F1007" t="str">
            <v xml:space="preserve">CAJA PETRI DESCARTABLE  (100 X 15 mm APROXIMADAMENTE)  DE 2 COMPARTIMIENTOS,  ESTERIL. C/U </v>
          </cell>
          <cell r="G1007" t="str">
            <v>C/U</v>
          </cell>
        </row>
        <row r="1008">
          <cell r="E1008">
            <v>3500141</v>
          </cell>
          <cell r="F1008" t="str">
            <v xml:space="preserve">CAJA PETRI DESCARTABLE  (100 X 15 mm APROXIMADAMENTE)  DE 3 COMPARTIMIENTOS,  ESTERIL. C/U </v>
          </cell>
          <cell r="G1008" t="str">
            <v>C/U</v>
          </cell>
        </row>
        <row r="1009">
          <cell r="E1009">
            <v>3500142</v>
          </cell>
          <cell r="F1009" t="str">
            <v>COPA PLASTICA PARA FIBROSISTEMA. C/U</v>
          </cell>
          <cell r="G1009" t="str">
            <v>C/U</v>
          </cell>
        </row>
        <row r="1010">
          <cell r="E1010">
            <v>3500143</v>
          </cell>
          <cell r="F1010" t="str">
            <v>ALAMBRE  CROMADO ( ALEACION DE NIQUEL - CROMO)  # 26 PARA AGUJAS Y ASAS BACTERIOLOGICAS. PIE</v>
          </cell>
          <cell r="G1010" t="str">
            <v>PIE</v>
          </cell>
        </row>
        <row r="1011">
          <cell r="E1011">
            <v>3500144</v>
          </cell>
          <cell r="F1011" t="str">
            <v>AGUJA DESCARTABLE PARA RECOLECTAR SANGRE AL VACIO,  DE USO MULTIPLE # 21 X 1 1/2",  ESTERIL. C/U</v>
          </cell>
          <cell r="G1011" t="str">
            <v>C/U</v>
          </cell>
        </row>
        <row r="1012">
          <cell r="E1012">
            <v>3500027</v>
          </cell>
          <cell r="F1012" t="str">
            <v>CUBETA DESCARTABLE DE PLASTICO TRANSPARENTE COMPATIBLE CON  ESPECTROFOTOMETRO 4010. C/U</v>
          </cell>
          <cell r="G1012" t="str">
            <v>C/U</v>
          </cell>
        </row>
        <row r="1013">
          <cell r="E1013">
            <v>3500145</v>
          </cell>
          <cell r="F1013" t="str">
            <v>CAJA PETRI DESCARTABLE  (150 X 15 mm APROXIMADAMENTE)  DE 1 COMPARTIMIENTO,  ESTERIL. C/U</v>
          </cell>
          <cell r="G1013" t="str">
            <v>C/U</v>
          </cell>
        </row>
        <row r="1014">
          <cell r="E1014">
            <v>3500146</v>
          </cell>
          <cell r="F1014" t="str">
            <v>TUBO DESCARTABLE PLASTICO CON TAPADERA DE 12 X 75  mm. C/U</v>
          </cell>
          <cell r="G1014" t="str">
            <v>C/U</v>
          </cell>
        </row>
        <row r="1015">
          <cell r="E1015">
            <v>3500147</v>
          </cell>
          <cell r="F1015" t="str">
            <v>CURITA CIRCULAR. C/U</v>
          </cell>
          <cell r="G1015" t="str">
            <v>C/U</v>
          </cell>
        </row>
        <row r="1016">
          <cell r="E1016">
            <v>3500211</v>
          </cell>
          <cell r="F1016" t="str">
            <v>BOLSA DOBLE PARA RECOLECTAR SANGRE, CON ANTICOAGULANTE CPDA - 1, CON CAPACIDAD  DE 500 mL APROXIMADAMENTE CON AGUJA # 16,  SISTEMA CERRADO,  BOLSA SATELITE PARA PRESERVAR PLAQUETAS POR 5 DIAS, CON CAPACIDAD  DE 300 mL,  ESTERIL,  CON SU RESPECTIVO SISTEMA</v>
          </cell>
          <cell r="G1016" t="str">
            <v>C/U</v>
          </cell>
        </row>
        <row r="1017">
          <cell r="E1017">
            <v>3500032</v>
          </cell>
          <cell r="F1017" t="str">
            <v>BOLSA SIMPLE PARA RECOLECCION DE SANGRE CON ANTICOAGULANTE CPDA - 1,  CAPACIDAD DE 500 mL APROXIMADAMENTE CON AGUJA # 16,  ESTERIL,  CON SISTEMA DESCARTABLE PARA TRANSFUSION DE SANGRE Y COMPONENTES,  CON FILTRO STANDARD  (PORO ENTRE 170 - 260 MICRAS) ,  A</v>
          </cell>
          <cell r="G1017" t="str">
            <v>C/U</v>
          </cell>
        </row>
        <row r="1018">
          <cell r="E1018">
            <v>3500149</v>
          </cell>
          <cell r="F1018" t="str">
            <v>BOLSA TRIPLE PARA RECOLECCION DE SANGRE CON ANTICOAGULANTE CPDA -  1. CAPACIDAD DE 500 mL APROXIMADAMENTE. CON AGUJA N° 16,  SISTEMA CERRADO,  BOLSA SATELITE PARA PRESERVAR PLAQUETAS POR 5 DIAS,  CON CAPACIDAD DE 300 mL ESTERIL,  CON SU SISTEMA DESCARTABL</v>
          </cell>
          <cell r="G1018" t="str">
            <v>C/U</v>
          </cell>
        </row>
        <row r="1019">
          <cell r="E1019">
            <v>3500150</v>
          </cell>
          <cell r="F1019" t="str">
            <v xml:space="preserve">BOLSA TRANSFER SIN ANTICOAGULANTE,  CON CAPACIDAD DE 150 mL,   (APROXIMADAMENTE) ,  ESTERIL. C/U </v>
          </cell>
          <cell r="G1019" t="str">
            <v>C/U</v>
          </cell>
        </row>
        <row r="1020">
          <cell r="E1020">
            <v>3500035</v>
          </cell>
          <cell r="F1020" t="str">
            <v>CUBETA COMPATIBLE CON COULTER COUNTER. C/U</v>
          </cell>
          <cell r="G1020" t="str">
            <v>C/U</v>
          </cell>
        </row>
        <row r="1021">
          <cell r="E1021">
            <v>3500151</v>
          </cell>
          <cell r="F1021" t="str">
            <v>SISTEMA DESCARTABLE PARA TRANSFUSION  (PLAQUETA,  PLASMA Y CRIO PRECIPITADO) ,  CON FILTRO ESPECIAL ADAPTABLE  A  LA BOLSA  DE RECOLECCION DE SANGRE O COMPONENTES,  ESTERIL,  LIBRE DE PIROGENOS,  CON AGUJA # 18 - G,  USO ENDOVENOSO. C/U</v>
          </cell>
          <cell r="G1021" t="str">
            <v>C/U</v>
          </cell>
        </row>
        <row r="1022">
          <cell r="E1022">
            <v>3500152</v>
          </cell>
          <cell r="F1022" t="str">
            <v>SISTEMA DESCARTABLE EN "Y",  PARA TRANSFUSION DE UNIDADES DE GLOBULOS ROJOS,  MEZCLA DE SOLUCION SALINA NORMAL,  CON FILTRO STANDARD  (PORO ENTRE 170  -  260 MICRAS) ,  ADAPTABLE A BOLSA DE RECOLECCION DE SANGRE Y SOLUCION SALINA,  ESTERIL,  LIBRE DE PIRO</v>
          </cell>
          <cell r="G1022" t="str">
            <v>C/U</v>
          </cell>
        </row>
        <row r="1023">
          <cell r="E1023">
            <v>3500153</v>
          </cell>
          <cell r="F1023" t="str">
            <v>AGUJA DESCARTABLE PARA RECOLECTAR SANGRE AL VACIO  DE MUESTRAS PEDIATRICAS,  USO MULTIPLE,  ESTERIL,  22 X 1". C/U</v>
          </cell>
          <cell r="G1023" t="str">
            <v>C/U</v>
          </cell>
        </row>
        <row r="1024">
          <cell r="E1024">
            <v>3500154</v>
          </cell>
          <cell r="F1024" t="str">
            <v>MICROTUBO DE PLASTICO,  PARA RECOLECTAR SANGRE A NEONATOS,  CON CAPACIDAD DE 0.5 - 1 mL,  MEDIDAS DE 10 ± 1 mm DE DIAMETRO SUPERIOR Y 40 - 55 mm DE LARGO,  CON ANTICOAGULANTE EDTA,  TAPON MORADO. C/U</v>
          </cell>
          <cell r="G1024" t="str">
            <v>C/U</v>
          </cell>
        </row>
        <row r="1025">
          <cell r="E1025">
            <v>3500155</v>
          </cell>
          <cell r="F1025" t="str">
            <v>MICROTUBO DE PLASTICO,  PARA RECOLECTAR SANGRE A NEONATOS,  CON CAPACIDAD DE 0.5 - 1 mL,  MEDIDAS DE 10 ± 1 mm DE DIAMETRO SUPERIOR Y 40 - 55 mm DE LARGO,  SIN ANTICOAGULANTE,  CON BARRERA DE GEL,  TAPON ROJO. C/U</v>
          </cell>
          <cell r="G1025" t="str">
            <v>C/U</v>
          </cell>
        </row>
        <row r="1026">
          <cell r="E1026">
            <v>3500156</v>
          </cell>
          <cell r="F1026" t="str">
            <v>FRASCO PLASTICO TRANSPARENTE,  BOCA ANCHA, CON TAPADERA DE ROSCA, DESCARTABLE, CAPACIDAD DE 90 - 150 mL,  PARA EXAMEN DE ORINA. C/U</v>
          </cell>
          <cell r="G1026" t="str">
            <v>C/U</v>
          </cell>
        </row>
        <row r="1027">
          <cell r="E1027">
            <v>3500157</v>
          </cell>
          <cell r="F1027" t="str">
            <v>MICROTUBO DE PLASTICO,  PARA RECOLECTAR SANGRE A NEONATOS,  CON CAPACIDAD DE 0.5 - 1 mL,  MEDIDAS DE 10 ± 1 mm DE DIAMETRO SUPERIOR Y 40 - 55 mm DE LARGO,  SIN ANTICOAGULANTE,  SIN BARRERA DE GEL,  TAPON ROJO. C/U</v>
          </cell>
          <cell r="G1027" t="str">
            <v>C/U</v>
          </cell>
        </row>
        <row r="1028">
          <cell r="E1028">
            <v>3500158</v>
          </cell>
          <cell r="F1028" t="str">
            <v>MICROTUBO DE PLASTICO,  PARA RECOLECTAR SANGRE A NEONATOS,  CON CAPACIDAD DE 0.5  -  1 mL,  MEDIDAS DE 10 ± 1 mm DE DIAMETRO SUPERIOR Y 40  -  55 mm DE LARGO,  CON CITRATO DE SODIO,  TAPON CELESTE. C/U</v>
          </cell>
          <cell r="G1028" t="str">
            <v>C/U</v>
          </cell>
        </row>
        <row r="1029">
          <cell r="E1029">
            <v>3500159</v>
          </cell>
          <cell r="F1029" t="str">
            <v>FRASCO BOCA ANCHA, APROXIMADAMENTE 50 mm DE DIAMETRO  CON TAPADERA DE ROSCA,  CAPACIDAD 30  -  50 mL, MATERIAL TRANSPARENTE, DESECHABLE, PARA BACTERIOLOGIA ACIDO RESISTENTE. C/U</v>
          </cell>
          <cell r="G1029" t="str">
            <v>C/U</v>
          </cell>
        </row>
        <row r="1030">
          <cell r="E1030">
            <v>3500160</v>
          </cell>
          <cell r="F1030" t="str">
            <v>TUBO CONICO PLASTICO CON TAPADERA DE 1.5 X 0.5 mL COMPATIBLE CON CITOCENTRIFUGA DE LABOFUGE. C/U</v>
          </cell>
          <cell r="G1030" t="str">
            <v>C/U</v>
          </cell>
        </row>
        <row r="1031">
          <cell r="E1031">
            <v>3500161</v>
          </cell>
          <cell r="F1031" t="str">
            <v>BOLSA DE PAPEL-PLASTICO, PARA ESTERILIZAR MATERIAL A BAJA Y ALTA TEMPERATURA, DE 28 - 32 X 35 - 40 cm CON AUTOSELLANTE.</v>
          </cell>
          <cell r="G1031" t="str">
            <v>C/U</v>
          </cell>
        </row>
        <row r="1032">
          <cell r="E1032">
            <v>3500162</v>
          </cell>
          <cell r="F1032" t="str">
            <v>PUNTA PLASTICA CON FILTRO PREESTERILIZADA DE 500 - 1000 µl PARA USAR CON PIPETA AUTOMATICA TIPO FINIPIPETTE O SIMILAR. C/U</v>
          </cell>
          <cell r="G1032" t="str">
            <v>C/U</v>
          </cell>
        </row>
        <row r="1033">
          <cell r="E1033">
            <v>3500163</v>
          </cell>
          <cell r="F1033" t="str">
            <v>PUNTA PLASTICA CON FILTRO PREESTERILIZADA DE 10 - 100 µl PARA USAR CON PIPETA AUTOMATICA TIPO FINIPIPETTE O SIMILAR. C/U</v>
          </cell>
          <cell r="G1033" t="str">
            <v>C/U</v>
          </cell>
        </row>
        <row r="1034">
          <cell r="E1034">
            <v>3500164</v>
          </cell>
          <cell r="F1034" t="str">
            <v>PUNTA PLASTICA CON FILTRO PREESTERILIZADA DE 1 - 20 µl PARA USAR CON PIPETA AUTOMATICA TIPO FINIPIPETTE O SIMILAR. C/U</v>
          </cell>
          <cell r="G1034" t="str">
            <v>C/U</v>
          </cell>
        </row>
        <row r="1035">
          <cell r="E1035">
            <v>3500165</v>
          </cell>
          <cell r="F1035" t="str">
            <v>TUBO CONICO PLASTICO CON TAPADERA INCORPORADA ESTERIL TIPO FISHER O SIMILAR DE 1.5 ML (PARA MICROCENTRIFUGA). C/U</v>
          </cell>
          <cell r="G1035" t="str">
            <v>C/U</v>
          </cell>
        </row>
        <row r="1036">
          <cell r="E1036">
            <v>3500166</v>
          </cell>
          <cell r="F1036" t="str">
            <v>TUBO CONICO PLASTICO CON TAPADERA INCORPORADA ESTERIL TIPO FISHER O SIMILAR DE 0.5 ML (PARA MICROCENTRIFUGA). C/U</v>
          </cell>
          <cell r="G1036" t="str">
            <v>C/U</v>
          </cell>
        </row>
        <row r="1037">
          <cell r="E1037">
            <v>3500167</v>
          </cell>
          <cell r="F1037" t="str">
            <v>TUBO AL VACIO PLASTICO,  PARA RECOLECTAR SANGRE,  CAPACIDAD DE 8 - 10 mL,  DE 15 ± 1 mm DE DIAMETRO Y 100 - 116 mm DE LARGO,  SIN ANTICOAGULANTE,  CON BARRERA DE GEL,  TAPON ROJO. C/U</v>
          </cell>
          <cell r="G1037" t="str">
            <v>C/U</v>
          </cell>
        </row>
        <row r="1038">
          <cell r="E1038">
            <v>3500168</v>
          </cell>
          <cell r="F1038" t="str">
            <v>PIPETA SEROLOGICA DE 1 mL EN 0.01 mL,  PLASTICA, DESCARTABLE. C/U</v>
          </cell>
          <cell r="G1038" t="str">
            <v>C/U</v>
          </cell>
        </row>
        <row r="1039">
          <cell r="E1039">
            <v>3500169</v>
          </cell>
          <cell r="F1039" t="str">
            <v>PIPETA SEROLOGICA DE 10  mL EN 0.1 mL,  PLASTICA, DESCARTABLE. C/U</v>
          </cell>
          <cell r="G1039" t="str">
            <v>C/U</v>
          </cell>
        </row>
        <row r="1040">
          <cell r="E1040">
            <v>3500170</v>
          </cell>
          <cell r="F1040" t="str">
            <v>PIPETA SEROLOGICA DE 5 mL EN 0.1 mL,  PLASTICA, DESCARTABLE. C/U</v>
          </cell>
          <cell r="G1040" t="str">
            <v>C/U</v>
          </cell>
        </row>
        <row r="1041">
          <cell r="E1041">
            <v>3500171</v>
          </cell>
          <cell r="F1041" t="str">
            <v>PIPETA SEROLOGICA DE 2  mL EN 0.1 mL,  PLASTICA, DESCARTABLE. C/U</v>
          </cell>
          <cell r="G1041" t="str">
            <v>C/U</v>
          </cell>
        </row>
        <row r="1042">
          <cell r="E1042">
            <v>3500172</v>
          </cell>
          <cell r="F1042" t="str">
            <v>HISOPO DE ALGINATO DE CALCIO ESTERIL,  DESCARTABLE PARA CITOLOGIA DEL MOCO NASAL. C/U</v>
          </cell>
          <cell r="G1042" t="str">
            <v>C/U</v>
          </cell>
        </row>
        <row r="1043">
          <cell r="E1043">
            <v>3500173</v>
          </cell>
          <cell r="F1043" t="str">
            <v>TUBO CONICO PLASTICO,  CON TAPADERA,  ESTERIL,  CAPACIDAD 2 mL (PARA  MICROCENTRIFUGA). C/U</v>
          </cell>
          <cell r="G1043" t="str">
            <v>C/U</v>
          </cell>
        </row>
        <row r="1044">
          <cell r="E1044">
            <v>3500059</v>
          </cell>
          <cell r="F1044" t="str">
            <v>PUNTA PLASTICA DE 1 mL  (1000  µL )  PARA USAR CON  PIPETA TIPO EPPENDORF O SIMILAR. C/U</v>
          </cell>
          <cell r="G1044" t="str">
            <v>C/U</v>
          </cell>
        </row>
        <row r="1045">
          <cell r="E1045">
            <v>3500060</v>
          </cell>
          <cell r="F1045" t="str">
            <v>PUNTA PLASTICA DE 0.5 mL  (500  µL )  PARA USAR CON PIPETA TIPO EPPENDORF O SIMILAR. C/U</v>
          </cell>
          <cell r="G1045" t="str">
            <v>C/U</v>
          </cell>
        </row>
        <row r="1046">
          <cell r="E1046">
            <v>3500061</v>
          </cell>
          <cell r="F1046" t="str">
            <v>PUNTA PLASTICA DE 0.1 mL  (100  µL )  PARA USAR CON PIPETA TIPO EPPENDORF O SIMILAR. C/U</v>
          </cell>
          <cell r="G1046" t="str">
            <v>C/U</v>
          </cell>
        </row>
        <row r="1047">
          <cell r="E1047">
            <v>3500062</v>
          </cell>
          <cell r="F1047" t="str">
            <v>PUNTA PLASTICA DE 0.005 mL  (5  µL )  PARA USAR CON PIPETA TIPO EPPENDORF O SIMILAR. C/U</v>
          </cell>
          <cell r="G1047" t="str">
            <v>C/U</v>
          </cell>
        </row>
        <row r="1048">
          <cell r="E1048">
            <v>3500063</v>
          </cell>
          <cell r="F1048" t="str">
            <v>COPA PLASTICA PARA COAGULOMETRO TIPO COAG -A - MATE. C/U</v>
          </cell>
          <cell r="G1048" t="str">
            <v>C/U</v>
          </cell>
        </row>
        <row r="1049">
          <cell r="E1049">
            <v>3500064</v>
          </cell>
          <cell r="F1049" t="str">
            <v>COPA PLASTICA PARA COAGULOMETRO TIPO HUMA - CLOT. C/U</v>
          </cell>
          <cell r="G1049" t="str">
            <v>C/U</v>
          </cell>
        </row>
        <row r="1050">
          <cell r="E1050">
            <v>3500174</v>
          </cell>
          <cell r="F1050" t="str">
            <v>FILTRO DE 9 mm DOBLE ORIFICIO COMPATIBLE CON CITOCENTRIFUGA LABOFUGE. C/U</v>
          </cell>
          <cell r="G1050" t="str">
            <v>C/U</v>
          </cell>
        </row>
        <row r="1051">
          <cell r="E1051">
            <v>3500175</v>
          </cell>
          <cell r="F1051" t="str">
            <v>MICRO - PLACA DE POLIESTIRENO TIPO TERASAKI,   ESTERIL,  SIN COMPONENTE ANTIGENICO DE 72 POCILLOS MEDIDAS APROXIMADAS DE 84.2 X 58.6 X 8.7 mm. C/U</v>
          </cell>
          <cell r="G1051" t="str">
            <v>C/U</v>
          </cell>
        </row>
        <row r="1052">
          <cell r="E1052">
            <v>3500176</v>
          </cell>
          <cell r="F1052" t="str">
            <v>TUBO AL VACIO PLASTICO,  PARA RECOLECTAR SANGRE,  CAPACIDAD DE 3  -   5 mL,  DE 12 ± 1 mm DE DIAMETRO Y 75  -  110 mm DE LARGO,  CON ANTICOAGULANTE EDTA,  TAPON VIOLETA. C/U</v>
          </cell>
          <cell r="G1052" t="str">
            <v>C/U</v>
          </cell>
        </row>
        <row r="1053">
          <cell r="E1053">
            <v>3500177</v>
          </cell>
          <cell r="F1053" t="str">
            <v>TUBO AL VACIO PLASTICO,  PARA RECOLECTAR SANGRE,  CAPACIDAD DE 8  -  10 mL,  DE 15 ± 1 mm DE DIAMETRO Y 100  -  116 mm DE LARGO,  SIN ANTICOAGULANTE,  SIN BARRERA DE GEL,  TAPON ROJO. C/U</v>
          </cell>
          <cell r="G1053" t="str">
            <v>C/U</v>
          </cell>
        </row>
        <row r="1054">
          <cell r="E1054">
            <v>3500069</v>
          </cell>
          <cell r="F1054" t="str">
            <v>TUBO AL VACIO PLASTICO,  PARA RECOLECTAR SANGRE,  CAPACIDAD DE 3 - 5 mL,   DE 12  ± 1 mm DE DIAMETRO Y 75 - 110 mm DE LARGO,   CON ANTICOAGULANTE HEPARINA DE LITIO,  TAPON VERDE. C/U</v>
          </cell>
          <cell r="G1054" t="str">
            <v>C/U</v>
          </cell>
        </row>
        <row r="1055">
          <cell r="E1055">
            <v>3500178</v>
          </cell>
          <cell r="F1055" t="str">
            <v>TUBO AL VACIO PLASTICO,  PARA RECOLECTAR SANGRE,  CAPACIDAD DE 3 - 5 mL,  DE 12 ± 1 mm DE DIAMETRO Y 75 - 110  mm DE LARGO,  CON ANTICOAGULANTE CITRATO DE SODIO,  TAPON CELESTE. C/U</v>
          </cell>
          <cell r="G1055" t="str">
            <v>C/U</v>
          </cell>
        </row>
        <row r="1056">
          <cell r="E1056">
            <v>3500179</v>
          </cell>
          <cell r="F1056" t="str">
            <v>TUBO AL VACIO PLASTICO,  PARA RECOLECTAR SANGRE,  CAPACIDAD DE 3 - 5 mL,  DE 12 ± 1 mm DE DIAMETRO Y 75 - 110  mm DE LARGO,  CON ANTICOAGULANTE FLORURO DE SODIO,  TAPON GRIS. C/U</v>
          </cell>
          <cell r="G1056" t="str">
            <v>C/U</v>
          </cell>
        </row>
        <row r="1057">
          <cell r="E1057">
            <v>3500180</v>
          </cell>
          <cell r="F1057" t="str">
            <v>TUBO DE ENSAYO DESCARTABLE,   12 X 75 mm. C/U</v>
          </cell>
          <cell r="G1057" t="str">
            <v>C/U</v>
          </cell>
        </row>
        <row r="1058">
          <cell r="E1058">
            <v>3500181</v>
          </cell>
          <cell r="F1058" t="str">
            <v>LAMINA CUBRE PLACA DE TERASAKI DE PLASTICO TRANSPARENTE. C/U</v>
          </cell>
          <cell r="G1058" t="str">
            <v>C/U</v>
          </cell>
        </row>
        <row r="1059">
          <cell r="E1059">
            <v>3500182</v>
          </cell>
          <cell r="F1059" t="str">
            <v>SISTEMA DESCARTABLE PARA TRANSFUSION DE UNIDADES DE GLOBULOS ROJOS,  CON FILTRO STANDARD  (PORO ENTRE 170  -  260 MICRAS) ,  ADAPTABLE A BOLSA DE RECOLECCION DE SANGRE,  ESTERIL,  LIBRE DE PIROGENOS,  CON AGUJA  # 18 - G,  USO ENDOVENOSO. C/U</v>
          </cell>
          <cell r="G1059" t="str">
            <v>C/U</v>
          </cell>
        </row>
        <row r="1060">
          <cell r="E1060">
            <v>3500183</v>
          </cell>
          <cell r="F1060" t="str">
            <v>LANCETA CON RETRACCION AUTOMATICA PARA ADULTO. C/U</v>
          </cell>
          <cell r="G1060" t="str">
            <v>C/U</v>
          </cell>
        </row>
        <row r="1061">
          <cell r="E1061">
            <v>3500184</v>
          </cell>
          <cell r="F1061" t="str">
            <v>LANCETA CON RETRACCION AUTOMATICA PARA NIÑO. C/U</v>
          </cell>
          <cell r="G1061" t="str">
            <v>C/U</v>
          </cell>
        </row>
        <row r="1062">
          <cell r="E1062">
            <v>3500185</v>
          </cell>
          <cell r="F1062" t="str">
            <v>FILTRO PARA DESMINERALIZADOR DE AGUA DE ALTA CAPACIDAD,  COMPATIBLE CON MARCA BARNSTEAD,  MODELO B 4521,  B - PURE. C/U</v>
          </cell>
          <cell r="G1062" t="str">
            <v>C/U</v>
          </cell>
        </row>
        <row r="1063">
          <cell r="E1063">
            <v>3500186</v>
          </cell>
          <cell r="F1063" t="str">
            <v>FILTRO ESTERIL DE 0.22 µm,  TIPO MILLIPORE  PARA ADAPTAR A JERINGAS DE TODO TAMAÑO. C/U</v>
          </cell>
          <cell r="G1063" t="str">
            <v>C/U</v>
          </cell>
        </row>
        <row r="1064">
          <cell r="E1064">
            <v>3500187</v>
          </cell>
          <cell r="F1064" t="str">
            <v>FILTRO PARA DESMINERALIZADOR DE AGUA DE ALTA CAPACIDAD COMPATIBLE CON MARCA THERMO LYNE  BARNSTEAD,  MODELO   BANTAN D 0800. C/U</v>
          </cell>
          <cell r="G1064" t="str">
            <v>C/U</v>
          </cell>
        </row>
        <row r="1065">
          <cell r="E1065">
            <v>3500188</v>
          </cell>
          <cell r="F1065" t="str">
            <v>BOLSA CUADRUPLE PARA RECOLECCION DE SANGRE CON ANTICOAGULANTE CPDA - 1. CAPACIDAD 500 mL APROXIMADAMENTE,  CON AGUJA  # 16,  SISTEMA CERRADO ESTERIL,  BOLSA SATELITE. CAPACIDAD DE 300 mL PARA PRESERVAR PLAQUETAS POR 5 DIAS. C/U</v>
          </cell>
          <cell r="G1065" t="str">
            <v>C/U</v>
          </cell>
        </row>
        <row r="1066">
          <cell r="E1066">
            <v>3500189</v>
          </cell>
          <cell r="F1066" t="str">
            <v>TUBO AL VACIO PLASTICO , PARA RECOLECTAR SANGRE,  CAPACIDAD DE 4  -  7 mL,  MEDIDAS:  12 ± 1 X 75 mm CON ANTICOAGULANTE HEPARINA DE SODIO,  TAPON VERDE. C/U</v>
          </cell>
          <cell r="G1066" t="str">
            <v>C/U</v>
          </cell>
        </row>
        <row r="1067">
          <cell r="E1067">
            <v>3500190</v>
          </cell>
          <cell r="F1067" t="str">
            <v xml:space="preserve">SISTEMA CERRADO ESTERIL CON FILTRO LEUCORREDUCTOR PARA GLOBULOS ROJOS CON BOLSA DE TRANSFERENCIA PVC GRADO MEDICO, EN LINEA, CON CAPACIDAD DE 600 mL O MAS.C/U  </v>
          </cell>
          <cell r="G1067" t="str">
            <v>C/U</v>
          </cell>
        </row>
        <row r="1068">
          <cell r="E1068">
            <v>3500191</v>
          </cell>
          <cell r="F1068" t="str">
            <v xml:space="preserve">SISTEMA CERRADO ESTERIL CON FILTRO LEUCORREDUCTOR PARA PLAQUETAS CON BOLSA DE TRANSFERENCIA PVC GRADO MEDICO, EN LINEA, CON CAPACIDAD DE 600 mL O MAS. C/U  </v>
          </cell>
          <cell r="G1068" t="str">
            <v>C/U</v>
          </cell>
        </row>
        <row r="1069">
          <cell r="E1069">
            <v>3500192</v>
          </cell>
          <cell r="F1069" t="str">
            <v>FRASCO PLASTICO TRANSPARENTE,  BOCA ANCHA, CON TAPADERA DE ROSCA, ESTERIL,  CAPACIDAD DE 90 - 150 mL. C/U</v>
          </cell>
          <cell r="G1069" t="str">
            <v>C/U</v>
          </cell>
        </row>
        <row r="1070">
          <cell r="E1070">
            <v>3500193</v>
          </cell>
          <cell r="F1070" t="str">
            <v>FRASCO VIAL DE VIDRIO TRANSPARENTE, AL VACIO, ESTERIL, LIBRE DE PIROGENOS, CON CAPACIDAD DE 10 - 25 mL, PARA ELUIR TECNESIO - 99m. FRASCO VIAL.</v>
          </cell>
          <cell r="G1070" t="str">
            <v>FRASCO VIAL</v>
          </cell>
        </row>
        <row r="1071">
          <cell r="E1071">
            <v>3500086</v>
          </cell>
          <cell r="F1071" t="str">
            <v>SOLUCION DE CLORURO DE SODIO AL 0.9%, ESTERIL, LIBRE DE PIROGENO. FRASCO VIAL DE VIDRIO TRANSPARENTE, COMPATIBLE CON GENERADOR DE TECNESIO - 99m INSTITUCIONAL. FRASCO VIAL</v>
          </cell>
          <cell r="G1071" t="str">
            <v>FRASCO VIAL</v>
          </cell>
        </row>
        <row r="1072">
          <cell r="E1072">
            <v>3500194</v>
          </cell>
          <cell r="F1072" t="str">
            <v>TUBO CAPILAR PLASTICO HEPARINIZADO DE 0.5 X 1.1 X75 MM, PARA MICROHEMATOCRITO DE CENTRIFUGA INSTITUCIONAL</v>
          </cell>
          <cell r="G1072" t="str">
            <v>ELIM LIST OFICIAL</v>
          </cell>
        </row>
        <row r="1073">
          <cell r="E1073">
            <v>3501102</v>
          </cell>
          <cell r="F1073" t="str">
            <v>FRASCO CLARO,  DE POLIETILENO,  BOCA ANGOSTA,  8 ONZAS CON TAPON DE ROSCA. C/U</v>
          </cell>
          <cell r="G1073" t="str">
            <v>C/U</v>
          </cell>
        </row>
        <row r="1074">
          <cell r="E1074">
            <v>3501103</v>
          </cell>
          <cell r="F1074" t="str">
            <v>TAPON DE HULE SOLIDO # 2,  PARA TUBO DE 16 X 125 mm. C/U</v>
          </cell>
          <cell r="G1074" t="str">
            <v>C/U</v>
          </cell>
        </row>
        <row r="1075">
          <cell r="E1075">
            <v>3501104</v>
          </cell>
          <cell r="F1075" t="str">
            <v xml:space="preserve">EMBUDO DE POLIETILENO,   DIAMETRO 75 mm  (APROXIMADAMENTE). C/U  </v>
          </cell>
          <cell r="G1075" t="str">
            <v>C/U</v>
          </cell>
        </row>
        <row r="1076">
          <cell r="E1076">
            <v>3501105</v>
          </cell>
          <cell r="F1076" t="str">
            <v xml:space="preserve">EMBUDO DE POLIETILENO,  DIAMETRO  100 mm  (APROXIMADAMENTE). C/U  </v>
          </cell>
          <cell r="G1076" t="str">
            <v>C/U</v>
          </cell>
        </row>
        <row r="1077">
          <cell r="E1077">
            <v>3501106</v>
          </cell>
          <cell r="F1077" t="str">
            <v xml:space="preserve">EMBUDO DE POLIETILENO,  DIAMETRO  160 mm  (APROXIMADAMENTE). C/U  </v>
          </cell>
          <cell r="G1077" t="str">
            <v>C/U</v>
          </cell>
        </row>
        <row r="1078">
          <cell r="E1078">
            <v>3501107</v>
          </cell>
          <cell r="F1078" t="str">
            <v>FRASCO AMBAR DE POLIETILENO BOCA ANGOSTA,  4 ONZAS CON TAPON DE ROSCA. C/U</v>
          </cell>
          <cell r="G1078" t="str">
            <v>C/U</v>
          </cell>
        </row>
        <row r="1079">
          <cell r="E1079">
            <v>3501108</v>
          </cell>
          <cell r="F1079" t="str">
            <v>FRASCO AMBAR DE POLIETILENO,  BOCA ANGOSTA , 16 ONZAS,  CON TAPON DE ROSCA. C/U</v>
          </cell>
          <cell r="G1079" t="str">
            <v>C/U</v>
          </cell>
        </row>
        <row r="1080">
          <cell r="E1080">
            <v>3501109</v>
          </cell>
          <cell r="F1080" t="str">
            <v>FRASCO CLARO DE POLIETILENO,  BOCA ANGOSTA,  16 ONZAS,  CON TAPON DE ROSCA. C/U</v>
          </cell>
          <cell r="G1080" t="str">
            <v>C/U</v>
          </cell>
        </row>
        <row r="1081">
          <cell r="E1081">
            <v>3501110</v>
          </cell>
          <cell r="F1081" t="str">
            <v>FRASCO AMBAR DE POLIETILENO,  BOCA ANGOSTA,  32 ONZAS CON TAPON DE ROSCA. C/U</v>
          </cell>
          <cell r="G1081" t="str">
            <v>C/U</v>
          </cell>
        </row>
        <row r="1082">
          <cell r="E1082">
            <v>3501111</v>
          </cell>
          <cell r="F1082" t="str">
            <v>FRASCO CLARO DE POLIETILENO,  BOCA ANGOSTA,  32 ONZAS,  CON TAPON DE ROSCA. C/U</v>
          </cell>
          <cell r="G1082" t="str">
            <v>C/U</v>
          </cell>
        </row>
        <row r="1083">
          <cell r="E1083">
            <v>3501112</v>
          </cell>
          <cell r="F1083" t="str">
            <v>FRASCO AMBAR DE POLIETILENO,  BOCA ANGOSTA,  8 ONZAS CON TAPON DE ROSCA. C/U</v>
          </cell>
          <cell r="G1083" t="str">
            <v>C/U</v>
          </cell>
        </row>
        <row r="1084">
          <cell r="E1084">
            <v>3501113</v>
          </cell>
          <cell r="F1084" t="str">
            <v>FRASCO CLARO DE POLIETILENO,  BOCA ANGOSTA,  4 ONZAS,  CON TAPON DE ROSCA. C/U</v>
          </cell>
          <cell r="G1084" t="str">
            <v>C/U</v>
          </cell>
        </row>
        <row r="1085">
          <cell r="E1085">
            <v>3501114</v>
          </cell>
          <cell r="F1085" t="str">
            <v>FRASCO LAVADOR,  DE POLIETILENO,  CON PIPETA,  CAPACIDAD 8 ONZAS. C/U</v>
          </cell>
          <cell r="G1085" t="str">
            <v>C/U</v>
          </cell>
        </row>
        <row r="1086">
          <cell r="E1086">
            <v>3501115</v>
          </cell>
          <cell r="F1086" t="str">
            <v>FRASCO LAVADOR,  DE POLIETILENO,  CON PIPETA,  CAPACIDAD 16 ONZAS. C/U</v>
          </cell>
          <cell r="G1086" t="str">
            <v>C/U</v>
          </cell>
        </row>
        <row r="1087">
          <cell r="E1087">
            <v>3501116</v>
          </cell>
          <cell r="F1087" t="str">
            <v>GARRAFON CLARO DE POLIETILENO,  CAPACIDAD DE 20 - 25 L,  CON AGARRADERA Y TAPON DE ROSCA. C/U</v>
          </cell>
          <cell r="G1087" t="str">
            <v>C/U</v>
          </cell>
        </row>
        <row r="1088">
          <cell r="E1088">
            <v>3501015</v>
          </cell>
          <cell r="F1088" t="str">
            <v>GRADILLA CONSTRUIDA DE:  ALUMINIO,  PLASTICO,  ACERO PLASTICO O SIMILARES,  PARA MICROTUBO DE 10 ± 1 mm  DE DIAMETRO Y 40  -   55 mm DE ALTURA,  CAPACIDAD DE 70   -  100 MICROTUBOS. C/U</v>
          </cell>
          <cell r="G1088" t="str">
            <v>C/U</v>
          </cell>
        </row>
        <row r="1089">
          <cell r="E1089">
            <v>3501117</v>
          </cell>
          <cell r="F1089" t="str">
            <v>FRASCO LAVADOR,  DE POLIETILENO,  4 ONZAS CON PIPETA. C/U</v>
          </cell>
          <cell r="G1089" t="str">
            <v>C/U</v>
          </cell>
        </row>
        <row r="1090">
          <cell r="E1090">
            <v>3501118</v>
          </cell>
          <cell r="F1090" t="str">
            <v>ASA BACTERIOLOGICA 3" DE LARGO APROXIMADAMENTE,  NO CALIBRADA,  DE ALAMBRE CROMADO # 28, C/U</v>
          </cell>
          <cell r="G1090" t="str">
            <v>C/U</v>
          </cell>
        </row>
        <row r="1091">
          <cell r="E1091">
            <v>3501018</v>
          </cell>
          <cell r="F1091" t="str">
            <v xml:space="preserve">PIPETA AUTOMATICA  DE 0.005 mL  (5   µl). C/U </v>
          </cell>
          <cell r="G1091" t="str">
            <v>C/U</v>
          </cell>
        </row>
        <row r="1092">
          <cell r="E1092">
            <v>3501019</v>
          </cell>
          <cell r="F1092" t="str">
            <v xml:space="preserve">PIPETA AUTOMATICA DE 0.010 mL  (10  µl). C/U </v>
          </cell>
          <cell r="G1092" t="str">
            <v>C/U</v>
          </cell>
        </row>
        <row r="1093">
          <cell r="E1093">
            <v>3501020</v>
          </cell>
          <cell r="F1093" t="str">
            <v xml:space="preserve">PIPETA AUTOMATICA  DE 0.020 mL  (20  µl). C/U </v>
          </cell>
          <cell r="G1093" t="str">
            <v>C/U</v>
          </cell>
        </row>
        <row r="1094">
          <cell r="E1094">
            <v>3501021</v>
          </cell>
          <cell r="F1094" t="str">
            <v xml:space="preserve">PIPETA AUTOMATICA  DE 0.025 mL  (25  µl). C/U </v>
          </cell>
          <cell r="G1094" t="str">
            <v>C/U</v>
          </cell>
        </row>
        <row r="1095">
          <cell r="E1095">
            <v>3501022</v>
          </cell>
          <cell r="F1095" t="str">
            <v xml:space="preserve">PIPETA AUTOMATICA  DE 0.050 mL  (50  µl). C/U </v>
          </cell>
          <cell r="G1095" t="str">
            <v>C/U</v>
          </cell>
        </row>
        <row r="1096">
          <cell r="E1096">
            <v>3501023</v>
          </cell>
          <cell r="F1096" t="str">
            <v xml:space="preserve">PIPETA AUTOMATICA  DE 0.1 mL  (100  µl). C/U </v>
          </cell>
          <cell r="G1096" t="str">
            <v>C/U</v>
          </cell>
        </row>
        <row r="1097">
          <cell r="E1097">
            <v>3501024</v>
          </cell>
          <cell r="F1097" t="str">
            <v xml:space="preserve">PIPETA AUTOMATICA  DE 0.2 mL  (200  µl). C/U </v>
          </cell>
          <cell r="G1097" t="str">
            <v>C/U</v>
          </cell>
        </row>
        <row r="1098">
          <cell r="E1098">
            <v>3501025</v>
          </cell>
          <cell r="F1098" t="str">
            <v>PIPETA AUTOMATICA  DE 0.25 mL  (250  µl). C/U</v>
          </cell>
          <cell r="G1098" t="str">
            <v>C/U</v>
          </cell>
        </row>
        <row r="1099">
          <cell r="E1099">
            <v>3501026</v>
          </cell>
          <cell r="F1099" t="str">
            <v xml:space="preserve">PIPETA AUTOMATICA  DE 0.3 mL  (300  µl). C/U </v>
          </cell>
          <cell r="G1099" t="str">
            <v>C/U</v>
          </cell>
        </row>
        <row r="1100">
          <cell r="E1100">
            <v>3501027</v>
          </cell>
          <cell r="F1100" t="str">
            <v xml:space="preserve">PIPETA AUTOMATICA DE 0.5 mL  (500  µl). C/U </v>
          </cell>
          <cell r="G1100" t="str">
            <v>C/U</v>
          </cell>
        </row>
        <row r="1101">
          <cell r="E1101">
            <v>3501028</v>
          </cell>
          <cell r="F1101" t="str">
            <v xml:space="preserve">PIPETA AUTOMATICA  DE 1 mL  ( 1000  µl). C/U </v>
          </cell>
          <cell r="G1101" t="str">
            <v>C/U</v>
          </cell>
        </row>
        <row r="1102">
          <cell r="E1102">
            <v>3501119</v>
          </cell>
          <cell r="F1102" t="str">
            <v xml:space="preserve">EMBUDO DE POLIETILENO,  DIAMETRO  50 mm  (APROXIMADAMENTE). C/U </v>
          </cell>
          <cell r="G1102" t="str">
            <v>C/U</v>
          </cell>
        </row>
        <row r="1103">
          <cell r="E1103">
            <v>3501120</v>
          </cell>
          <cell r="F1103" t="str">
            <v>BANDA DE HULE PLANO  (TORNIQUETE) ,  PARA TOMA DE MUESTRAS DE SANGRE. C/U</v>
          </cell>
          <cell r="G1103" t="str">
            <v>C/U</v>
          </cell>
        </row>
        <row r="1104">
          <cell r="E1104">
            <v>3501121</v>
          </cell>
          <cell r="F1104" t="str">
            <v>GARRAFA DE VIDRIO CON TAPON,  COLOR AMBAR,  DE 1 GALON  (APROXIMADO) ,  CON AGARRADERA. C/U</v>
          </cell>
          <cell r="G1104" t="str">
            <v>C/U</v>
          </cell>
        </row>
        <row r="1105">
          <cell r="E1105">
            <v>3501122</v>
          </cell>
          <cell r="F1105" t="str">
            <v xml:space="preserve">GARRAFA DE POLIETILENO,  COLOR AMBAR,  CON TAPON DE  ROSCA,  DE 1 GALON  (APROXIMADAMENTE). C/U </v>
          </cell>
          <cell r="G1105" t="str">
            <v>C/U</v>
          </cell>
        </row>
        <row r="1106">
          <cell r="E1106">
            <v>3501123</v>
          </cell>
          <cell r="F1106" t="str">
            <v>TUBO CONICO GRADUADO PARA CENTRIFUGA,  DE  15 mL, DE POLIETILENO. C/U</v>
          </cell>
          <cell r="G1106" t="str">
            <v>C/U</v>
          </cell>
        </row>
        <row r="1107">
          <cell r="E1107">
            <v>3501124</v>
          </cell>
          <cell r="F1107" t="str">
            <v xml:space="preserve">CEPILLO PARA LAVAR TUBO,  LARGO 9 cm. ,   DIAMETRO 1 1/2 cm.  (APROXIMADAMENTE). C/U </v>
          </cell>
          <cell r="G1107" t="str">
            <v>C/U</v>
          </cell>
        </row>
        <row r="1108">
          <cell r="E1108">
            <v>3501125</v>
          </cell>
          <cell r="F1108" t="str">
            <v xml:space="preserve">CEPILLO PARA LAVAR TUBO,   LARGO 14 cm.,  DIAMETRO 2 cm.  (APROXIMADAMENTE). C/U </v>
          </cell>
          <cell r="G1108" t="str">
            <v>C/U</v>
          </cell>
        </row>
        <row r="1109">
          <cell r="E1109">
            <v>3501126</v>
          </cell>
          <cell r="F1109" t="str">
            <v>CEPILLO DE CERDA TIPO ZAPATO,  PARA LAVAR EQUIPO. C/U</v>
          </cell>
          <cell r="G1109" t="str">
            <v>C/U</v>
          </cell>
        </row>
        <row r="1110">
          <cell r="E1110">
            <v>3501127</v>
          </cell>
          <cell r="F1110" t="str">
            <v>CEPILLO DE CERDA TIPO GIGANTE PARA LAVAR MATERIAL  DE LABORATORIO. C/U</v>
          </cell>
          <cell r="G1110" t="str">
            <v>C/U</v>
          </cell>
        </row>
        <row r="1111">
          <cell r="E1111">
            <v>3501128</v>
          </cell>
          <cell r="F1111" t="str">
            <v>ASA BACTERIOLOGICA DE IRIDIUM PLATINO,  CALIBRADA A  0.001 mL,  PARA UROCULTIVO. C/U</v>
          </cell>
          <cell r="G1111" t="str">
            <v>C/U</v>
          </cell>
        </row>
        <row r="1112">
          <cell r="E1112">
            <v>3501129</v>
          </cell>
          <cell r="F1112" t="str">
            <v>LAMINILLA CUBRE OBJETO 22 X 30 mm. C/U</v>
          </cell>
          <cell r="G1112" t="str">
            <v>C/U</v>
          </cell>
        </row>
        <row r="1113">
          <cell r="E1113">
            <v>3501130</v>
          </cell>
          <cell r="F1113" t="str">
            <v>LAMINILLA CUBRE CAMARA PARA RECUENTO DE GLOBULOS 20 X 25 mm ESPESOR 1 mm. C/U</v>
          </cell>
          <cell r="G1113" t="str">
            <v>C/U</v>
          </cell>
        </row>
        <row r="1114">
          <cell r="E1114">
            <v>3501041</v>
          </cell>
          <cell r="F1114" t="str">
            <v>PRO - PIPETA PORTABLE ELECTRICA COMPATIBLE CON PIPETA SEROLOGICAS DE DIFERENTES VOLUMENES. C/U</v>
          </cell>
          <cell r="G1114" t="str">
            <v>C/U</v>
          </cell>
        </row>
        <row r="1115">
          <cell r="E1115">
            <v>3501131</v>
          </cell>
          <cell r="F1115" t="str">
            <v xml:space="preserve">DISPENSADOR A  REPETICION COMPATIBLE CON JERINGA DE VIDRIO DE 50,  100,  250 Y 500 µL. C/U </v>
          </cell>
          <cell r="G1115" t="str">
            <v>C/U</v>
          </cell>
        </row>
        <row r="1116">
          <cell r="E1116">
            <v>3501132</v>
          </cell>
          <cell r="F1116" t="str">
            <v xml:space="preserve">DISPENSADOR A  REPETICION DE 6 CANALES CON JERINGAS PUNTA RECTAS,  DE VIDRIO,  TIPO HAMILTON CAPACIDAD DE 250 µL. C/U </v>
          </cell>
          <cell r="G1116" t="str">
            <v>C/U</v>
          </cell>
        </row>
        <row r="1117">
          <cell r="E1117">
            <v>3501133</v>
          </cell>
          <cell r="F1117" t="str">
            <v>TUBO CONICO PLASTICO GRADUADO,  CON TAPADERA,  AUTOCLAVABLES CAPACIDAD 15 mL. C/U</v>
          </cell>
          <cell r="G1117" t="str">
            <v>C/U</v>
          </cell>
        </row>
        <row r="1118">
          <cell r="E1118">
            <v>3501134</v>
          </cell>
          <cell r="F1118" t="str">
            <v>TUBO CONICO GRADUADO DE 50 mL CON TAPADERA,  DE POLIPROPILENO. C/U</v>
          </cell>
          <cell r="G1118" t="str">
            <v>C/U</v>
          </cell>
        </row>
        <row r="1119">
          <cell r="E1119">
            <v>3501135</v>
          </cell>
          <cell r="F1119" t="str">
            <v xml:space="preserve">DISPENSADOR RAPIDO PARA MICROPLACA QUE CONSISTE EN UNA PISTOLA CON AGARRADERA,  UN ADAPTADOR DE 6 AGUJAS,  INCREMENTOS DE 10,  25 Y 100 µL. C/U </v>
          </cell>
          <cell r="G1119" t="str">
            <v>C/U</v>
          </cell>
        </row>
        <row r="1120">
          <cell r="E1120">
            <v>3501136</v>
          </cell>
          <cell r="F1120" t="str">
            <v>CAJA PLASTICA PARA CONGELAR SUEROS CON CELDAS DIVISORIAS,  CON MEDIDAS APROXIMADAS DE 2" DE ALTO X 5.25" DE ANCHO,  PARA 60 UNIDADES O MAS, COMPATIBLE CON GRADILLA DE METAL DE FREEZER HORIZONTAL MARCA REVCO MODELO ULTIMA 101. C/U</v>
          </cell>
          <cell r="G1120" t="str">
            <v>C/U</v>
          </cell>
        </row>
        <row r="1121">
          <cell r="E1121">
            <v>3501048</v>
          </cell>
          <cell r="F1121" t="str">
            <v>PIPETA AUTOMATICA DE VOLUMENES VARIABLES DE 0.5 -  10 µL ,  DIGITAL, CON CERTIFICADO DE CALIBRACION,  AUTOCLAVABLE. C/U</v>
          </cell>
          <cell r="G1121" t="str">
            <v>C/U</v>
          </cell>
        </row>
        <row r="1122">
          <cell r="E1122">
            <v>3501049</v>
          </cell>
          <cell r="F1122" t="str">
            <v>PIPETA AUTOMATICA DE VOLUMENES VARIABLES DE 10 - 100 µL ,  DIGITAL,  CON CERTIFICADO DE CALIBRACION,  AUTOCLAVABLE. C/U</v>
          </cell>
          <cell r="G1122" t="str">
            <v>C/U</v>
          </cell>
        </row>
        <row r="1123">
          <cell r="E1123">
            <v>3501050</v>
          </cell>
          <cell r="F1123" t="str">
            <v>PIPETA AUTOMATICA DE VOLUMENES VARIABLES DE 100 -  1000 µL ,  DIGITAL,  CON CERTIFICADO DE CALIBRACION,  AUTOCLAVABLE. C/U</v>
          </cell>
          <cell r="G1123" t="str">
            <v>C/U</v>
          </cell>
        </row>
        <row r="1124">
          <cell r="E1124">
            <v>3501137</v>
          </cell>
          <cell r="F1124" t="str">
            <v xml:space="preserve">JERINGA DE VIDRIO TIPO HAMILTON,  CON PUNTA DE METAL RECTA  ( SIN BISEL) ,  EMBOLO DE ACERO INOXIDABLE Y EXTREMO DE TEFLON, CAPACIDAD DE 50 µL. C/U </v>
          </cell>
          <cell r="G1124" t="str">
            <v>C/U</v>
          </cell>
        </row>
        <row r="1125">
          <cell r="E1125">
            <v>3501138</v>
          </cell>
          <cell r="F1125" t="str">
            <v>FRASCO DE VIDRIO CON TAPADERA DE ROSCA AUTOCLAVABLE. PARA CONGELAR SUEROS CAPACIDAD DE     2 - 4 ML C/U</v>
          </cell>
          <cell r="G1125" t="str">
            <v>C/U</v>
          </cell>
        </row>
        <row r="1126">
          <cell r="E1126">
            <v>3501139</v>
          </cell>
          <cell r="F1126" t="str">
            <v>BULBO PARA PIPETA PEQUEÑA TIPO PASTEUR,  CAPACIDAD DE 2 mL. C/U</v>
          </cell>
          <cell r="G1126" t="str">
            <v>C/U</v>
          </cell>
        </row>
        <row r="1127">
          <cell r="E1127">
            <v>3501140</v>
          </cell>
          <cell r="F1127" t="str">
            <v>PLATO PLASTICO HEXAGONAL PARA PESAR REACTIVOS,  MEDIDAS APROXIMADAS 64 X 51 mm. C/U</v>
          </cell>
          <cell r="G1127" t="str">
            <v>C/U</v>
          </cell>
        </row>
        <row r="1128">
          <cell r="E1128">
            <v>3501141</v>
          </cell>
          <cell r="F1128" t="str">
            <v>REMOVEDOR DE TAPONES PARA DIFERENTES TUBOS  AL VACIO. C/U</v>
          </cell>
          <cell r="G1128" t="str">
            <v>C/U</v>
          </cell>
        </row>
        <row r="1129">
          <cell r="E1129">
            <v>3501142</v>
          </cell>
          <cell r="F1129" t="str">
            <v>SOSTENEDOR PLASTICO DE TUBO CON DISPARADOR DE AGUJA,  ADAPTABLE A TUBO AL VACIO DE 2 - 10 mL Y AGUJAS MULTIMUESTRAS. C/U</v>
          </cell>
          <cell r="G1129" t="str">
            <v>C/U</v>
          </cell>
        </row>
        <row r="1130">
          <cell r="E1130">
            <v>3501143</v>
          </cell>
          <cell r="F1130" t="str">
            <v>JERINGA DE VIDRIO TIPO HAMILTON,  CON PUNTA DE METAL RECTA  ( SIN BISEL ) ,  EMBOLO DE ACERO INOXIDABLE Y EXTREMO DE TEFLON CAPACIDAD DE 100 µL. C/U</v>
          </cell>
          <cell r="G1130" t="str">
            <v>C/U</v>
          </cell>
        </row>
        <row r="1131">
          <cell r="E1131">
            <v>3501144</v>
          </cell>
          <cell r="F1131" t="str">
            <v xml:space="preserve">JERINGA DE VIDRIO TIPO HAMILTON,  CON PUNTA DE METAL RECTA  ( SIN BISEL ) ,  EMBOLO DE ACERO INOXIDABLE Y EXTREMO DE TEFLON CAPACIDAD DE 250 µL. C/U </v>
          </cell>
          <cell r="G1131" t="str">
            <v>C/U</v>
          </cell>
        </row>
        <row r="1132">
          <cell r="E1132">
            <v>3501059</v>
          </cell>
          <cell r="F1132" t="str">
            <v>GRADILLA ACRILICA, AUTOCLAVABLE  DISEÑADA PARA TUBO DE MICROCENTRIFUGA DE 1.5 mL,  QUE SOSTENGA DE 25 - 50  TUBOS, C/U</v>
          </cell>
          <cell r="G1132" t="str">
            <v>C/U</v>
          </cell>
        </row>
        <row r="1133">
          <cell r="E1133">
            <v>3501145</v>
          </cell>
          <cell r="F1133" t="str">
            <v>GRADILLA ACRILICA, AUTOCLAVABLE  DISEÑADA PARA TUBO DE MICROCENTRIFUGA DE 2 mL,  QUE SOSTENGA DE 25 - 50  TUBOS,  VERTICALMENTE, C/U</v>
          </cell>
          <cell r="G1133" t="str">
            <v>C/U</v>
          </cell>
        </row>
        <row r="1134">
          <cell r="E1134">
            <v>3501146</v>
          </cell>
          <cell r="F1134" t="str">
            <v>GRADILLA ACRILICA, AUTOCLAVABLE, DISEÑADA PARA TUBO DE MICROCENTRIFUGA DE 0.5 - 0.7 mL,  QUE SOSTENGA DE 25 - 50  TUBOS,  C/U</v>
          </cell>
          <cell r="G1134" t="str">
            <v>C/U</v>
          </cell>
        </row>
        <row r="1135">
          <cell r="E1135">
            <v>3501062</v>
          </cell>
          <cell r="F1135" t="str">
            <v>GRADILLA PLASTICA,  AUTOCLAVABLE, PARA TUBO DE CENTRIFUGA DE 15 mL, C/U</v>
          </cell>
          <cell r="G1135" t="str">
            <v>C/U</v>
          </cell>
        </row>
        <row r="1136">
          <cell r="E1136">
            <v>3501063</v>
          </cell>
          <cell r="F1136" t="str">
            <v>GRADILLA PLASTICA,  AUTOCLAVABLE PARA TUBO 13 X100 mm,  CAPACIDAD DE 36 O MAS TUBOS. C/U</v>
          </cell>
          <cell r="G1136" t="str">
            <v>C/U</v>
          </cell>
        </row>
        <row r="1137">
          <cell r="E1137">
            <v>3501147</v>
          </cell>
          <cell r="F1137" t="str">
            <v>CUBIERTA DE VIDRIO DE 50 X 75 mm GROSOR 0.05 mm. C/U</v>
          </cell>
          <cell r="G1137" t="str">
            <v>C/U</v>
          </cell>
        </row>
        <row r="1138">
          <cell r="E1138">
            <v>3501065</v>
          </cell>
          <cell r="F1138" t="str">
            <v>PIPETA AUTOMATICA DE VOLUMENES VARIABLES DE 2 - 20  µL ,  DIGITAL,  CON CERTIFICADO DE CALIBRACION,  AUTOCLAVABLE. C/U</v>
          </cell>
          <cell r="G1138" t="str">
            <v>C/U</v>
          </cell>
        </row>
        <row r="1139">
          <cell r="E1139">
            <v>3501148</v>
          </cell>
          <cell r="F1139" t="str">
            <v>PROBETA GRADUADA DE 2000 mL DE POLIETILENO. C/U</v>
          </cell>
          <cell r="G1139" t="str">
            <v>C/U</v>
          </cell>
        </row>
        <row r="1140">
          <cell r="E1140">
            <v>3501067</v>
          </cell>
          <cell r="F1140" t="str">
            <v>GRADILLA DE POLIPROPILENO O POLIETILENO DE 70 - 96 MICROTUBOS,  CON MEDIDAS APROXIMADAS DE 19.5 cm. DE LARGO,  POR 12 cm. DE ANCHO,  POR 4 cm. DE ALTURA Y 1.0 cm. DE DIAMETRO POR ORIFICIO. C/U</v>
          </cell>
          <cell r="G1140" t="str">
            <v>C/U</v>
          </cell>
        </row>
        <row r="1141">
          <cell r="E1141">
            <v>3500195</v>
          </cell>
          <cell r="F1141" t="str">
            <v>PUNTA PLASTICA UNIVERSAL DE 0.5 - 10 µL, FORMATO LARGO, DESCARTABLE, COMPATIBLE Y FUNCIONAL CON MICROPIPETA DE MARCA INSTITUCIONAL. C/U</v>
          </cell>
          <cell r="G1141" t="str">
            <v>UNIDAD</v>
          </cell>
        </row>
        <row r="1142">
          <cell r="E1142">
            <v>3500196</v>
          </cell>
          <cell r="F1142" t="str">
            <v>FRASCO RECOLECTOR DE HECES, PLASTICO TRANSPARENTE, TAPADERA DE ROSCA CON ESPATULA ADHERIDA , NO ESTERIL, MEDIDA 5 ± 1 cm ALTURA x 6 ± 1 cm DIAMETRO.</v>
          </cell>
          <cell r="G1142" t="str">
            <v>UNIDAD</v>
          </cell>
        </row>
        <row r="1143">
          <cell r="E1143">
            <v>3500197</v>
          </cell>
          <cell r="F1143" t="str">
            <v>HISOPO DE ALUMINIO ULTRA FINO, FLEXIBLE, CON PUNTA DE ALGINATO DE CALCIO O NYLON, ESTERIL,  DESCARTABLE.</v>
          </cell>
          <cell r="G1143" t="str">
            <v>UNIDAD</v>
          </cell>
        </row>
        <row r="1144">
          <cell r="E1144">
            <v>3500198</v>
          </cell>
          <cell r="F1144" t="str">
            <v>HISOPO DE PLASTICO ROMPIBLE O MADERA, CON PUNTA DE DACRON O RAYON, ESTERIL, DESCARTABLE</v>
          </cell>
          <cell r="G1144" t="str">
            <v>UNIDAD</v>
          </cell>
        </row>
        <row r="1145">
          <cell r="E1145">
            <v>3500199</v>
          </cell>
          <cell r="F1145" t="str">
            <v>TUBO PLASTICO CON SISTEMA DE EXTRACCION DE SANGRE AL VACIO,  CAPACIDAD DE 2 - 3 mL,  Y MEDIDAS DE 12 ± 1 mm DE DIAMETRO Y 75 - 110  mm DE LARGO,  SIN ANTICOAGULANTE,  TAPON ROJO. C/U</v>
          </cell>
          <cell r="G1145" t="str">
            <v>UNIDAD</v>
          </cell>
        </row>
        <row r="1146">
          <cell r="E1146">
            <v>3500200</v>
          </cell>
          <cell r="F1146" t="str">
            <v xml:space="preserve"> TUBO PLASTICO CON SISTEMA DE EXTRACCION DE SANGRE AL VACIO, CAPACIDAD DE 2 - 3 mL,  Y MEDIDA DE 12 ± 1 mm DE DIAMETRO Y 75 - 110  mm DE LARGO,  CON ANTICOAGULANTE EDTA,  TAPON MORADO. C/U</v>
          </cell>
          <cell r="G1146" t="str">
            <v>UNIDAD</v>
          </cell>
        </row>
        <row r="1147">
          <cell r="E1147">
            <v>3500201</v>
          </cell>
          <cell r="F1147" t="str">
            <v>TUBO PLASTICO CON SISTEMA DE EXTRACCION DE SANGRE AL VACIO, CAPACIDAD DE 2 - 3 mL,  Y MEDIDAS DE 12 ± 1 mm DE DIAMETRO Y 75 - 110  mm DE LARGO,  CON ANTICOAGULANTE CITRATO DE SODIO, AL 3.2 -3.8 %, TAPON CELESTE. C/U</v>
          </cell>
          <cell r="G1147" t="str">
            <v>UNIDAD</v>
          </cell>
        </row>
        <row r="1148">
          <cell r="E1148">
            <v>3500202</v>
          </cell>
          <cell r="F1148" t="str">
            <v>TUBO PLASTICO PARA TOMAR MUESTRA DE SANGRE AL VACIO, CON ANTICOAGULANTE ACD  SOLUCION A  (ACIDO CITRICO, CITRATO TRISODICO Y DEXTROSA), CON CAPACIDAD  DE 8.5 mL, MEDIDAS DE 16 X 100 mm, SIN GEL, TAPON AMARILLO. C/U</v>
          </cell>
          <cell r="G1148" t="str">
            <v>UNIDAD</v>
          </cell>
        </row>
        <row r="1149">
          <cell r="E1149">
            <v>3500203</v>
          </cell>
          <cell r="F1149" t="str">
            <v>TUBO CONICO PLASTICO, COLOR AMBAR, CON TAPON DE ROSCA, ESTERIL, CON CAPACIDAD DE 1.5 - 2.0 mL, QUE RESISTA TEMPERATURAS BAJAS DE HASTA  -70 °C, AUTOCLAVABLE. C/U</v>
          </cell>
          <cell r="G1149" t="str">
            <v>UNIDAD</v>
          </cell>
        </row>
        <row r="1150">
          <cell r="E1150">
            <v>3501162</v>
          </cell>
          <cell r="F1150" t="str">
            <v>GRADILLA DE PLASTICO AUTOCLAVABLE, CON PESTAÑAS DE SEGURIDAD PARA ADAPTACION DE DIFERENTES MEDIDAS DE DIAMETRO DE 13 - 20 mm, CON CAPACIDAD DE 30 - 50 TUBOS. C/U</v>
          </cell>
          <cell r="G1150" t="str">
            <v>UNIDAD</v>
          </cell>
        </row>
        <row r="1151">
          <cell r="E1151">
            <v>3501163</v>
          </cell>
          <cell r="F1151" t="str">
            <v>FRASCO DE VIDRIO TRANSPARENTE, BOCA ANCHA, CON TAPADERA DE ROSCA, DE METAL O PLASTICO, CAPACIDAD 4 -  6 ONZAS, DIAMETRO  4 - 5  cm,  AUTOCLAVABLE. C/U</v>
          </cell>
          <cell r="G1151" t="str">
            <v>UNIDAD</v>
          </cell>
        </row>
        <row r="1152">
          <cell r="E1152">
            <v>3700025</v>
          </cell>
          <cell r="F1152" t="str">
            <v>GRADILLA PARA TUBOS DE 30 mm  DE DIAMETRO, PLASTICA, AUTOCLAVABLE, CAPACIDAD DE 10 - 21 TUBOS DE 50 mL. C/U</v>
          </cell>
          <cell r="G1152" t="str">
            <v>UNIDAD</v>
          </cell>
        </row>
        <row r="1153">
          <cell r="E1153">
            <v>3501149</v>
          </cell>
          <cell r="F1153" t="str">
            <v>JERINGA DE VIDRIO TIPO HAMILTON,  CON PUNTA  DE METAL RECTA  (SIN BISEL) ,  EMBOLO DE ACERO INOXIDABLE Y EXTREMO DE TEFLON. CAPACIDAD DE 500 µL. C/U</v>
          </cell>
          <cell r="G1153" t="str">
            <v>C/U</v>
          </cell>
        </row>
        <row r="1154">
          <cell r="E1154">
            <v>3501150</v>
          </cell>
          <cell r="F1154" t="str">
            <v>FRASCO PLASTICO CON TAPADERA DE ROSCA,   TRANSPARENTE,  GRADUADO DE 100 - 2, 000 mL TIPO NALGENE,  COMPATIBLE CON LAVADOR DE ELISA MARCA HYPERIUM. C/U</v>
          </cell>
          <cell r="G1154" t="str">
            <v>C/U</v>
          </cell>
        </row>
        <row r="1155">
          <cell r="E1155">
            <v>3501151</v>
          </cell>
          <cell r="F1155" t="str">
            <v>TORNIQUETE DE HULE CON VELCRO PARA TOMA DE MUESTRA DE SANGRE. C/U</v>
          </cell>
          <cell r="G1155" t="str">
            <v>C/U</v>
          </cell>
        </row>
        <row r="1156">
          <cell r="E1156">
            <v>3501071</v>
          </cell>
          <cell r="F1156" t="str">
            <v>BEAKER GRADUADO DE ACERO INOXIDABLE DE 2000 mL. C/U</v>
          </cell>
          <cell r="G1156" t="str">
            <v>C/U</v>
          </cell>
        </row>
        <row r="1157">
          <cell r="E1157">
            <v>3501152</v>
          </cell>
          <cell r="F1157" t="str">
            <v>FRASCO DE POLIETILENO,  CON TAPON DE ROSCA DE 16 ± 2 ONZAS,  BOCA ANCHA DE 7  -  10 cm DE DIAMETRO. C/U</v>
          </cell>
          <cell r="G1157" t="str">
            <v>C/U</v>
          </cell>
        </row>
        <row r="1158">
          <cell r="E1158">
            <v>3501153</v>
          </cell>
          <cell r="F1158" t="str">
            <v>FRASCO DE POLIETILENO CON TAPON DE ROSCA DE 30 ±  2 ONZAS,  BOCA ANCHA DE 7  -  10 cm DE DIAMETRO. C/U</v>
          </cell>
          <cell r="G1158" t="str">
            <v>C/U</v>
          </cell>
        </row>
        <row r="1159">
          <cell r="E1159">
            <v>3501154</v>
          </cell>
          <cell r="F1159" t="str">
            <v>FRASCO DE POLIETILENO CON TAPON DE ROSCA DE 50 ± 5 ONZAS,  BOCA ANCHA DE 10  -  15 cm DE DIAMETRO. C/U</v>
          </cell>
          <cell r="G1159" t="str">
            <v>C/U</v>
          </cell>
        </row>
        <row r="1160">
          <cell r="E1160">
            <v>3501155</v>
          </cell>
          <cell r="F1160" t="str">
            <v>FRASCO DE POLIETILENO CON TAPON DE ROSCA DE 100 ±  5 ONZAS,  BOCA ANCHA DE 10 - 15 cm DE DIAMETRO. C/U</v>
          </cell>
          <cell r="G1160" t="str">
            <v>C/U</v>
          </cell>
        </row>
        <row r="1161">
          <cell r="E1161">
            <v>3501156</v>
          </cell>
          <cell r="F1161" t="str">
            <v xml:space="preserve">DISPENSADOR A  REPETICION DE 6 CANALES CON JERINGAS DE VIDRIO  PUNTAS  RECTAS,  TIPO HAMILTON. CAPACIDAD DE 50 µL. C/U </v>
          </cell>
          <cell r="G1161" t="str">
            <v>C/U</v>
          </cell>
        </row>
        <row r="1162">
          <cell r="E1162">
            <v>3501157</v>
          </cell>
          <cell r="F1162" t="str">
            <v xml:space="preserve">DISPENSADOR A  REPETICION DE 6 CANALES CON JERINGAS DE VIDRIO,  PUNTAS  RECTAS,   TIPO HAMILTON. CAPACIDAD DE 500 µL. C/U </v>
          </cell>
          <cell r="G1162" t="str">
            <v>C/U</v>
          </cell>
        </row>
        <row r="1163">
          <cell r="E1163">
            <v>3501158</v>
          </cell>
          <cell r="F1163" t="str">
            <v>PROPIPETA CALIBRADA DE POLIPROPILENO  . CON DOBLE FUNCION:   SUCCION Y DISPENSADO MANUAL  PARA PIPETA SEROLOGICA DE 2 mL. C/U</v>
          </cell>
          <cell r="G1163" t="str">
            <v>C/U</v>
          </cell>
        </row>
        <row r="1164">
          <cell r="E1164">
            <v>3501159</v>
          </cell>
          <cell r="F1164" t="str">
            <v>PROPIPETA CALIBRADA DE POLIPROPILENO CON DOBLE FUNCION:   SUCCION Y DISPENSADO MANUAL  PARA PIPETA SEROLOGICA DE  5 mL. C/U</v>
          </cell>
          <cell r="G1164" t="str">
            <v>C/U</v>
          </cell>
        </row>
        <row r="1165">
          <cell r="E1165">
            <v>3501160</v>
          </cell>
          <cell r="F1165" t="str">
            <v>PROPIPETA CALIBRADA DE POLIPROPILENO CON DOBLE FUNCION:   SUCCION Y DISPENSADO MANUAL  PARA PIPETA SEROLOGICA DE 10 mL. C/U</v>
          </cell>
          <cell r="G1165" t="str">
            <v>C/U</v>
          </cell>
        </row>
        <row r="1166">
          <cell r="E1166">
            <v>3501161</v>
          </cell>
          <cell r="F1166" t="str">
            <v xml:space="preserve">FRASCO VIAL DE VIDRIO COLOR AMBAR DE 10 mL CAPACIDAD TOTAL 12 CC CON TAPON DE GOMA, ESTÉRIL </v>
          </cell>
          <cell r="G1166" t="str">
            <v>FRASCO VIAL</v>
          </cell>
        </row>
        <row r="1167">
          <cell r="E1167">
            <v>3600090</v>
          </cell>
          <cell r="F1167" t="str">
            <v>TUBO GRADUADO PARA ERITROSEDIMENTACION,  TIPO WESTERGREEN PARA MUESTRAS PEDIATRICAS. C/U</v>
          </cell>
          <cell r="G1167" t="str">
            <v>C/U</v>
          </cell>
        </row>
        <row r="1168">
          <cell r="E1168">
            <v>3600001</v>
          </cell>
          <cell r="F1168" t="str">
            <v xml:space="preserve">FRASCO DE VIDRIO CLARO,  BOCA ANGOSTA DE 4 ONZAS,  TAPON DE ROSCA DE VAQUELITA  (PARA HEMOCULTIVOS). C/U </v>
          </cell>
          <cell r="G1168" t="str">
            <v>C/U</v>
          </cell>
        </row>
        <row r="1169">
          <cell r="E1169">
            <v>3600091</v>
          </cell>
          <cell r="F1169" t="str">
            <v>TUBO DE VIDRIO CON TAPON DE ROSCA,  CAPACIDAD DE 12 – 14 X 100 mm,  AUTOCLAVABLE. C/U</v>
          </cell>
          <cell r="G1169" t="str">
            <v>C/U</v>
          </cell>
        </row>
        <row r="1170">
          <cell r="E1170">
            <v>3600092</v>
          </cell>
          <cell r="F1170" t="str">
            <v>BALON FONDO PLANO DE 1000 mL,  DE VIDRIO. C/U</v>
          </cell>
          <cell r="G1170" t="str">
            <v>C/U</v>
          </cell>
        </row>
        <row r="1171">
          <cell r="E1171">
            <v>3600093</v>
          </cell>
          <cell r="F1171" t="str">
            <v>BALON FONDO PLANO DE  500 mL,  DE VIDRIO. C/U</v>
          </cell>
          <cell r="G1171" t="str">
            <v>C/U</v>
          </cell>
        </row>
        <row r="1172">
          <cell r="E1172">
            <v>3600094</v>
          </cell>
          <cell r="F1172" t="str">
            <v>BALON FONDO PLANO DE  250 mL,  DE VIDRIO. C/U</v>
          </cell>
          <cell r="G1172" t="str">
            <v>C/U</v>
          </cell>
        </row>
        <row r="1173">
          <cell r="E1173">
            <v>3600095</v>
          </cell>
          <cell r="F1173" t="str">
            <v>BEAKER  DE 1000 mL,  DE VIDRIO. C/U</v>
          </cell>
          <cell r="G1173" t="str">
            <v>C/U</v>
          </cell>
        </row>
        <row r="1174">
          <cell r="E1174">
            <v>3600096</v>
          </cell>
          <cell r="F1174" t="str">
            <v>BEAKER DE 500 mL, DE VIDRIO. C/U</v>
          </cell>
          <cell r="G1174" t="str">
            <v>C/U</v>
          </cell>
        </row>
        <row r="1175">
          <cell r="E1175">
            <v>3600097</v>
          </cell>
          <cell r="F1175" t="str">
            <v>BEAKER  DE 250 mL,  DE VIDRIO. C/U</v>
          </cell>
          <cell r="G1175" t="str">
            <v>C/U</v>
          </cell>
        </row>
        <row r="1176">
          <cell r="E1176">
            <v>3600098</v>
          </cell>
          <cell r="F1176" t="str">
            <v>BEAKER  DE 150 mL,  DE VIDRIO. C/U</v>
          </cell>
          <cell r="G1176" t="str">
            <v>C/U</v>
          </cell>
        </row>
        <row r="1177">
          <cell r="E1177">
            <v>3600099</v>
          </cell>
          <cell r="F1177" t="str">
            <v>BEAKER  DE 50 mL,  DE VIDRIO.  C/U</v>
          </cell>
          <cell r="G1177" t="str">
            <v>C/U</v>
          </cell>
        </row>
        <row r="1178">
          <cell r="E1178">
            <v>3600011</v>
          </cell>
          <cell r="F1178" t="str">
            <v>BEAKER  DE 2000 mL,  DE VIDRIO. C/U</v>
          </cell>
          <cell r="G1178" t="str">
            <v>C/U</v>
          </cell>
        </row>
        <row r="1179">
          <cell r="E1179">
            <v>3600101</v>
          </cell>
          <cell r="F1179" t="str">
            <v>CAMARA PARA RECUENTO DE GLOBULOS,  TIPO NEUBAWER. C/U</v>
          </cell>
          <cell r="G1179" t="str">
            <v>C/U</v>
          </cell>
        </row>
        <row r="1180">
          <cell r="E1180">
            <v>3600102</v>
          </cell>
          <cell r="F1180" t="str">
            <v>PROBETA GRADUADA DE 2000 mL,  DE VIDRIO. C/U</v>
          </cell>
          <cell r="G1180" t="str">
            <v>C/U</v>
          </cell>
        </row>
        <row r="1181">
          <cell r="E1181">
            <v>3600103</v>
          </cell>
          <cell r="F1181" t="str">
            <v>PROBETA GRADUADA DE 1000 mL,  DE VIDRIO. C/U</v>
          </cell>
          <cell r="G1181" t="str">
            <v>C/U</v>
          </cell>
        </row>
        <row r="1182">
          <cell r="E1182">
            <v>3600104</v>
          </cell>
          <cell r="F1182" t="str">
            <v>PROBETA GRADUADA DE 500 mL,  DE VIDRIO. C/U</v>
          </cell>
          <cell r="G1182" t="str">
            <v>C/U</v>
          </cell>
        </row>
        <row r="1183">
          <cell r="E1183">
            <v>3600105</v>
          </cell>
          <cell r="F1183" t="str">
            <v>PROBETA GRADUADA DE 250 mL,  DE VIDRIO. C/U</v>
          </cell>
          <cell r="G1183" t="str">
            <v>C/U</v>
          </cell>
        </row>
        <row r="1184">
          <cell r="E1184">
            <v>3600106</v>
          </cell>
          <cell r="F1184" t="str">
            <v>ERLENMEYER  DE  2000 mL BOCA ANGOSTA,  DE VIDRIO. C/U</v>
          </cell>
          <cell r="G1184" t="str">
            <v>C/U</v>
          </cell>
        </row>
        <row r="1185">
          <cell r="E1185">
            <v>3600107</v>
          </cell>
          <cell r="F1185" t="str">
            <v>ERLENMEYER  DE 1000 mL BOCA ANGOSTA,  DE VIDRIO. C/U</v>
          </cell>
          <cell r="G1185" t="str">
            <v>C/U</v>
          </cell>
        </row>
        <row r="1186">
          <cell r="E1186">
            <v>3600108</v>
          </cell>
          <cell r="F1186" t="str">
            <v>ERLENMEYER  DE 500 mL,  BOCA ANGOSTA,  DE VIDRIO. C/U</v>
          </cell>
          <cell r="G1186" t="str">
            <v>C/U</v>
          </cell>
        </row>
        <row r="1187">
          <cell r="E1187">
            <v>3600109</v>
          </cell>
          <cell r="F1187" t="str">
            <v>ERLENMEYER DE 250 mL BOCA ANGOSTA,  DE VIDRIO. C/U</v>
          </cell>
          <cell r="G1187" t="str">
            <v>C/U</v>
          </cell>
        </row>
        <row r="1188">
          <cell r="E1188">
            <v>3600110</v>
          </cell>
          <cell r="F1188" t="str">
            <v xml:space="preserve">FRASCO GOTERO DE VIDRIO,  DE 60 mL  (APROXIMADAMENTE). C/U </v>
          </cell>
          <cell r="G1188" t="str">
            <v>C/U</v>
          </cell>
        </row>
        <row r="1189">
          <cell r="E1189">
            <v>3600111</v>
          </cell>
          <cell r="F1189" t="str">
            <v>FRASCO VOLUMETRICO,  TAPON ESMERILADO DE 2000 mL. C/U</v>
          </cell>
          <cell r="G1189" t="str">
            <v>C/U</v>
          </cell>
        </row>
        <row r="1190">
          <cell r="E1190">
            <v>3600112</v>
          </cell>
          <cell r="F1190" t="str">
            <v>FRASCO VOLUMETRICO,  TAPON ESMERILADO DE 1000 mL. C/U</v>
          </cell>
          <cell r="G1190" t="str">
            <v>C/U</v>
          </cell>
        </row>
        <row r="1191">
          <cell r="E1191">
            <v>3600113</v>
          </cell>
          <cell r="F1191" t="str">
            <v>FRASCO VOLUMETRICO,  TAPON ESMERILADO DE 500 mL. C/U</v>
          </cell>
          <cell r="G1191" t="str">
            <v>C/U</v>
          </cell>
        </row>
        <row r="1192">
          <cell r="E1192">
            <v>3600025</v>
          </cell>
          <cell r="F1192" t="str">
            <v>FRASCO VOLUMETRICO,  TAPON ESMERILADO DE 250 mL. C/U</v>
          </cell>
          <cell r="G1192" t="str">
            <v>C/U</v>
          </cell>
        </row>
        <row r="1193">
          <cell r="E1193">
            <v>3600114</v>
          </cell>
          <cell r="F1193" t="str">
            <v>FRASCO VOLUMETRICO,  TAPON  ESMERILADO DE 200 mL. C/U</v>
          </cell>
          <cell r="G1193" t="str">
            <v>C/U</v>
          </cell>
        </row>
        <row r="1194">
          <cell r="E1194">
            <v>3600115</v>
          </cell>
          <cell r="F1194" t="str">
            <v>FRASCO VOLUMETRICO,  TAPON ESMERILADO,  DE  100 mL. C/U</v>
          </cell>
          <cell r="G1194" t="str">
            <v>C/U</v>
          </cell>
        </row>
        <row r="1195">
          <cell r="E1195">
            <v>3600116</v>
          </cell>
          <cell r="F1195" t="str">
            <v>FRASCO VOLUMETRICO,  TAPON ESMERILADO,  DE   50 mL. C/U</v>
          </cell>
          <cell r="G1195" t="str">
            <v>C/U</v>
          </cell>
        </row>
        <row r="1196">
          <cell r="E1196">
            <v>3600117</v>
          </cell>
          <cell r="F1196" t="str">
            <v>PIPETA PARA CONTEO DE GLOBULOS BLANCOS. C/U</v>
          </cell>
          <cell r="G1196" t="str">
            <v>C/U</v>
          </cell>
        </row>
        <row r="1197">
          <cell r="E1197">
            <v>3600118</v>
          </cell>
          <cell r="F1197" t="str">
            <v>PIPETA PARA CONTEO DE GLOBULOS ROJOS. C/U</v>
          </cell>
          <cell r="G1197" t="str">
            <v>C/U</v>
          </cell>
        </row>
        <row r="1198">
          <cell r="E1198">
            <v>3600119</v>
          </cell>
          <cell r="F1198" t="str">
            <v>PIPETA SEROLOGICA DE 10 mL EN 0.1 mL DE VIDRIO. C/U</v>
          </cell>
          <cell r="G1198" t="str">
            <v>C/U</v>
          </cell>
        </row>
        <row r="1199">
          <cell r="E1199">
            <v>3600120</v>
          </cell>
          <cell r="F1199" t="str">
            <v>PIPETA SEROLOGICA DE 5 mL EN 0.1 mL DE VIDRIO. C/U</v>
          </cell>
          <cell r="G1199" t="str">
            <v>C/U</v>
          </cell>
        </row>
        <row r="1200">
          <cell r="E1200">
            <v>3600121</v>
          </cell>
          <cell r="F1200" t="str">
            <v>PIPETA SEROLOGICA DE 2 mL EN 0.01 mL DE VIDRIO. C/U</v>
          </cell>
          <cell r="G1200" t="str">
            <v>C/U</v>
          </cell>
        </row>
        <row r="1201">
          <cell r="E1201">
            <v>3600122</v>
          </cell>
          <cell r="F1201" t="str">
            <v>PIPETA SEROLOGICA DE 1 mL EN 0.01 mL DE VIDRIO. C/U</v>
          </cell>
          <cell r="G1201" t="str">
            <v>C/U</v>
          </cell>
        </row>
        <row r="1202">
          <cell r="E1202">
            <v>3600123</v>
          </cell>
          <cell r="F1202" t="str">
            <v>PIPETA SEROLOGICA DE 0.2 mL EN 0.001 mL DE VIDRIO. C/U</v>
          </cell>
          <cell r="G1202" t="str">
            <v>C/U</v>
          </cell>
        </row>
        <row r="1203">
          <cell r="E1203">
            <v>3600036</v>
          </cell>
          <cell r="F1203" t="str">
            <v>PIPETA SEROLOGICA DE 0.1 mL EN 0.001 mL DE VIDRIO. C/U</v>
          </cell>
          <cell r="G1203" t="str">
            <v>C/U</v>
          </cell>
        </row>
        <row r="1204">
          <cell r="E1204">
            <v>3600124</v>
          </cell>
          <cell r="F1204" t="str">
            <v>PIPETA VOLUMETRICA DE 5 mL,  DE VIDRIO. C/U</v>
          </cell>
          <cell r="G1204" t="str">
            <v>C/U</v>
          </cell>
        </row>
        <row r="1205">
          <cell r="E1205">
            <v>3600125</v>
          </cell>
          <cell r="F1205" t="str">
            <v>PIPETA VOLUMETRICA DE 1 mL DE VIDRIO. C/U</v>
          </cell>
          <cell r="G1205" t="str">
            <v>C/U</v>
          </cell>
        </row>
        <row r="1206">
          <cell r="E1206">
            <v>3600039</v>
          </cell>
          <cell r="F1206" t="str">
            <v>TERMOMETRO DE 10° A 100°C. C/U</v>
          </cell>
          <cell r="G1206" t="str">
            <v>C/U</v>
          </cell>
        </row>
        <row r="1207">
          <cell r="E1207">
            <v>3600040</v>
          </cell>
          <cell r="F1207" t="str">
            <v>TERMOMETRO DE 5° A  200°C. C/U</v>
          </cell>
          <cell r="G1207" t="str">
            <v>C/U</v>
          </cell>
        </row>
        <row r="1208">
          <cell r="E1208">
            <v>3600126</v>
          </cell>
          <cell r="F1208" t="str">
            <v>TUBO CONICO,  GRADUADO DE 15 mL,  DE VIDRIO. C/U</v>
          </cell>
          <cell r="G1208" t="str">
            <v>C/U</v>
          </cell>
        </row>
        <row r="1209">
          <cell r="E1209">
            <v>3600127</v>
          </cell>
          <cell r="F1209" t="str">
            <v>TUBO DE ENSAYO DE VIDRIO,  TAPON DE ROSCA,  16 X 125  mm. C/U</v>
          </cell>
          <cell r="G1209" t="str">
            <v>C/U</v>
          </cell>
        </row>
        <row r="1210">
          <cell r="E1210">
            <v>3600128</v>
          </cell>
          <cell r="F1210" t="str">
            <v>TUBO DE ENSAYO DE VIDRIO CON BORDE 13 X 100 mm, C/U</v>
          </cell>
          <cell r="G1210" t="str">
            <v>C/U</v>
          </cell>
        </row>
        <row r="1211">
          <cell r="E1211">
            <v>3600129</v>
          </cell>
          <cell r="F1211" t="str">
            <v>TUBO DE ENSAYO DE VIDRIO CON BORDE 16 X 125 mm. C/U</v>
          </cell>
          <cell r="G1211" t="str">
            <v>C/U</v>
          </cell>
        </row>
        <row r="1212">
          <cell r="E1212">
            <v>3600130</v>
          </cell>
          <cell r="F1212" t="str">
            <v>TUBO DE ENSAYO DE VIDRIO CON BORDE 16 X 150 mm. C/U</v>
          </cell>
          <cell r="G1212" t="str">
            <v>C/U</v>
          </cell>
        </row>
        <row r="1213">
          <cell r="E1213">
            <v>3600131</v>
          </cell>
          <cell r="F1213" t="str">
            <v>TUBO  WINTROBE PARA HEMATOCRITO. C/U</v>
          </cell>
          <cell r="G1213" t="str">
            <v>C/U</v>
          </cell>
        </row>
        <row r="1214">
          <cell r="E1214">
            <v>3600132</v>
          </cell>
          <cell r="F1214" t="str">
            <v xml:space="preserve">VARILLA DE VIDRIO SOLIDO DE 7 mm X 250 mm  (APROXIMADAMENTE). C/U </v>
          </cell>
          <cell r="G1214" t="str">
            <v>C/U</v>
          </cell>
        </row>
        <row r="1215">
          <cell r="E1215">
            <v>3600133</v>
          </cell>
          <cell r="F1215" t="str">
            <v>PERLAS DE VIDRIO. ONZA</v>
          </cell>
          <cell r="G1215" t="str">
            <v>ONZA</v>
          </cell>
        </row>
        <row r="1216">
          <cell r="E1216">
            <v>3600134</v>
          </cell>
          <cell r="F1216" t="str">
            <v>TUBO GRADUADO  PARA  ERITROSEDIMENTACION,  TIPO WESTERGREEN. C/U</v>
          </cell>
          <cell r="G1216" t="str">
            <v>C/U</v>
          </cell>
        </row>
        <row r="1217">
          <cell r="E1217">
            <v>3600135</v>
          </cell>
          <cell r="F1217" t="str">
            <v xml:space="preserve">PIPETA PASTEUR, CORTA,  DE 200 µL,  DE VIDRIO. C/U </v>
          </cell>
          <cell r="G1217" t="str">
            <v>C/U</v>
          </cell>
        </row>
        <row r="1218">
          <cell r="E1218">
            <v>3600136</v>
          </cell>
          <cell r="F1218" t="str">
            <v>TUBO DE ENSAYO DE VIDRIO,  TAPON DE ROSCA DE 16 X150 mm. C/U</v>
          </cell>
          <cell r="G1218" t="str">
            <v>C/U</v>
          </cell>
        </row>
        <row r="1219">
          <cell r="E1219">
            <v>3600137</v>
          </cell>
          <cell r="F1219" t="str">
            <v>TUBO DE ENSAYO DE VIDRIO, TAPON DE ROSCA 20 X 150 mm. C/U</v>
          </cell>
          <cell r="G1219" t="str">
            <v>C/U</v>
          </cell>
        </row>
        <row r="1220">
          <cell r="E1220">
            <v>3600138</v>
          </cell>
          <cell r="F1220" t="str">
            <v>CUBETA PARA TINCION DE LAMINA PORTA OBJETOS,  CON CAPACIDAD PARA 25 LAMINAS  (APROXIMADAMENTE)  DE ACERO INOXIDABLE. C/U</v>
          </cell>
          <cell r="G1220" t="str">
            <v>C/U</v>
          </cell>
        </row>
        <row r="1221">
          <cell r="E1221">
            <v>3600139</v>
          </cell>
          <cell r="F1221" t="str">
            <v xml:space="preserve">CUBETA PARA TINCION DE LAMINA PORTA OBJETOS,   CON CAPACIDAD PARA 50 LAMINAS  (APROXIMADAMENTE). C/U </v>
          </cell>
          <cell r="G1221" t="str">
            <v>C/U</v>
          </cell>
        </row>
        <row r="1222">
          <cell r="E1222">
            <v>3600140</v>
          </cell>
          <cell r="F1222" t="str">
            <v>VIDRIO DE RELOJ DE 100 mm DE DIAMETRO. C/U</v>
          </cell>
          <cell r="G1222" t="str">
            <v>C/U</v>
          </cell>
        </row>
        <row r="1223">
          <cell r="E1223">
            <v>3600141</v>
          </cell>
          <cell r="F1223" t="str">
            <v>BALON FONDO PLANO DE  125 mL,  DE VIDRIO. C/U</v>
          </cell>
          <cell r="G1223" t="str">
            <v>C/U</v>
          </cell>
        </row>
        <row r="1224">
          <cell r="E1224">
            <v>3600142</v>
          </cell>
          <cell r="F1224" t="str">
            <v>PROBETA GRADUADA DE  100 mL,  DE VIDRIO. C/U</v>
          </cell>
          <cell r="G1224" t="str">
            <v>C/U</v>
          </cell>
        </row>
        <row r="1225">
          <cell r="E1225">
            <v>3600143</v>
          </cell>
          <cell r="F1225" t="str">
            <v>ERLENMEYER DE 200 mL,  DE VIDRIO. C/U</v>
          </cell>
          <cell r="G1225" t="str">
            <v>C/U</v>
          </cell>
        </row>
        <row r="1226">
          <cell r="E1226">
            <v>3600059</v>
          </cell>
          <cell r="F1226" t="str">
            <v>ERLENMEYER  DE 100 mL,  DE VIDRIO. C/U</v>
          </cell>
          <cell r="G1226" t="str">
            <v>C/U</v>
          </cell>
        </row>
        <row r="1227">
          <cell r="E1227">
            <v>3600060</v>
          </cell>
          <cell r="F1227" t="str">
            <v xml:space="preserve">LAMINA DE VIDRIO PARA ANTIGENOS FEBRILES 26 X 15 cm.  (APROXIMADAMENTE). C/U </v>
          </cell>
          <cell r="G1227" t="str">
            <v>C/U</v>
          </cell>
        </row>
        <row r="1228">
          <cell r="E1228">
            <v>3600144</v>
          </cell>
          <cell r="F1228" t="str">
            <v xml:space="preserve">LAMINA DE VIDRIO PARA SEROLOGIA,  PARA VDRL,  10  CAVIDADES  (APROXIMADAMENTE). C/U </v>
          </cell>
          <cell r="G1228" t="str">
            <v>C/U</v>
          </cell>
        </row>
        <row r="1229">
          <cell r="E1229">
            <v>3600145</v>
          </cell>
          <cell r="F1229" t="str">
            <v>PROBETA GRADUADA DE 25 mL,  DE VIDRIO. C/U</v>
          </cell>
          <cell r="G1229" t="str">
            <v>C/U</v>
          </cell>
        </row>
        <row r="1230">
          <cell r="E1230">
            <v>3600063</v>
          </cell>
          <cell r="F1230" t="str">
            <v>TUBO DE ENSAYO DESCARTABLE,  TAPON DE ROSCA 12 X 100 mm. C/U</v>
          </cell>
          <cell r="G1230" t="str">
            <v>C/U</v>
          </cell>
        </row>
        <row r="1231">
          <cell r="E1231">
            <v>3600146</v>
          </cell>
          <cell r="F1231" t="str">
            <v>JARRA  KOPLICK DE VIDRIO DE 47 X 47 mm,  CON TAPADERA BOCA ANCHA DE VIDRIO Y HENDIDURAS INTERNAS. C/U</v>
          </cell>
          <cell r="G1231" t="str">
            <v>C/U</v>
          </cell>
        </row>
        <row r="1232">
          <cell r="E1232">
            <v>3600147</v>
          </cell>
          <cell r="F1232" t="str">
            <v>TERMOMETRO PARA TEMPERATURAS BAJAS DE  - 4°  A   -120°C. C/U</v>
          </cell>
          <cell r="G1232" t="str">
            <v>C/U</v>
          </cell>
        </row>
        <row r="1233">
          <cell r="E1233">
            <v>3600148</v>
          </cell>
          <cell r="F1233" t="str">
            <v>TUBO DE ENSAYO DE VIDRIO,  TAPON DE ROSCA 9.5 X 1.5 cm. C/U</v>
          </cell>
          <cell r="G1233" t="str">
            <v>C/U</v>
          </cell>
        </row>
        <row r="1234">
          <cell r="E1234">
            <v>3600149</v>
          </cell>
          <cell r="F1234" t="str">
            <v>VASIJA Y  TAPADERA DE VIDRIO CON SU RESPECTIVO  RACK METALICO. CAPACIDAD DE 25 LAMINAS. C/U</v>
          </cell>
          <cell r="G1234" t="str">
            <v>C/U</v>
          </cell>
        </row>
        <row r="1235">
          <cell r="E1235">
            <v>3600150</v>
          </cell>
          <cell r="F1235" t="str">
            <v>PROBETA GRADUADA DE 1000 mL,  DE POLIETILENO. C/U</v>
          </cell>
          <cell r="G1235" t="str">
            <v>C/U</v>
          </cell>
        </row>
        <row r="1236">
          <cell r="E1236">
            <v>3600151</v>
          </cell>
          <cell r="F1236" t="str">
            <v>TERMOMETRO DE  - 10° A  100°C. C/U</v>
          </cell>
          <cell r="G1236" t="str">
            <v>C/U</v>
          </cell>
        </row>
        <row r="1237">
          <cell r="E1237">
            <v>3600152</v>
          </cell>
          <cell r="F1237" t="str">
            <v>VASIJA COMPLETA CON SU RESPECTIVA TAPADERA DE VIDRIO Y RACK METALICO CON CAPACIDAD DE 50  LAMINAS. C/U</v>
          </cell>
          <cell r="G1237" t="str">
            <v>C/U</v>
          </cell>
        </row>
        <row r="1238">
          <cell r="E1238">
            <v>3700020</v>
          </cell>
          <cell r="F1238" t="str">
            <v>CAJA  PORTA LAMINA,  PARA 100 LAMINAS. C/U</v>
          </cell>
          <cell r="G1238" t="str">
            <v>C/U</v>
          </cell>
        </row>
        <row r="1239">
          <cell r="E1239">
            <v>3700021</v>
          </cell>
          <cell r="F1239" t="str">
            <v>CAJA PORTA LAMINA,  PARA 25 LAMINAS. C/U</v>
          </cell>
          <cell r="G1239" t="str">
            <v>C/U</v>
          </cell>
        </row>
        <row r="1240">
          <cell r="E1240">
            <v>3700022</v>
          </cell>
          <cell r="F1240" t="str">
            <v>CAMPANA PARA ATMOSFERA ANAEROBICA COMPLETA,  CON SU RESPECTIVA TAPADERA,  SIMILAR  GASPAK. C/U</v>
          </cell>
          <cell r="G1240" t="str">
            <v>C/U</v>
          </cell>
        </row>
        <row r="1241">
          <cell r="E1241">
            <v>3700023</v>
          </cell>
          <cell r="F1241" t="str">
            <v>VASIJA DE PLASTICO,  FONDO EN “V” CON CAPACIDAD DE 50 mL PARA DISPENSAR REACTIVOS CON PIPETA TIPO HAMILTON. C/U</v>
          </cell>
          <cell r="G1241" t="str">
            <v>C/U</v>
          </cell>
        </row>
        <row r="1242">
          <cell r="E1242">
            <v>3700024</v>
          </cell>
          <cell r="F1242" t="str">
            <v>PINZA MANUAL CON RODILLO PARA MEZCLAR SANGRE DEL TUBO DE LA UNIDAD RECOLECTORA DE SANGRE.</v>
          </cell>
          <cell r="G1242" t="str">
            <v>C/U</v>
          </cell>
        </row>
        <row r="1243">
          <cell r="E1243">
            <v>3701040</v>
          </cell>
          <cell r="F1243" t="str">
            <v xml:space="preserve">CANASTA CUADRADA DE METAL INOXIDABLE,  6" X  6" X 6".  (APROXIMADAMENTE). C/U </v>
          </cell>
          <cell r="G1243" t="str">
            <v>C/U</v>
          </cell>
        </row>
        <row r="1244">
          <cell r="E1244">
            <v>3701041</v>
          </cell>
          <cell r="F1244" t="str">
            <v xml:space="preserve">CANASTA RECTANGULAR DE METAL INOXIDABLE 11 1/2" X 8" X 7"  (APROXIMADAMENTE). C/U </v>
          </cell>
          <cell r="G1244" t="str">
            <v>C/U</v>
          </cell>
        </row>
        <row r="1245">
          <cell r="E1245">
            <v>3701042</v>
          </cell>
          <cell r="F1245" t="str">
            <v xml:space="preserve">CANASTA RECTANGULAR DE METAL INOXIDABLE 10" X 6" X 6"  (APROXIMADAMENTE). C/U </v>
          </cell>
          <cell r="G1245" t="str">
            <v>C/U</v>
          </cell>
        </row>
        <row r="1246">
          <cell r="E1246">
            <v>3701043</v>
          </cell>
          <cell r="F1246" t="str">
            <v xml:space="preserve">CANASTA REDONDA DE METAL INOXIDABLE 10 "X 6"  (APROXIMADAMENTE). C/U </v>
          </cell>
          <cell r="G1246" t="str">
            <v>C/U</v>
          </cell>
        </row>
        <row r="1247">
          <cell r="E1247">
            <v>3701044</v>
          </cell>
          <cell r="F1247" t="str">
            <v xml:space="preserve">CANASTA REDONDA DE METAL INOXIDABLE 6" X 5"  (APROXIMADAMENTE). C/U </v>
          </cell>
          <cell r="G1247" t="str">
            <v>C/U</v>
          </cell>
        </row>
        <row r="1248">
          <cell r="E1248">
            <v>3701005</v>
          </cell>
          <cell r="F1248" t="str">
            <v>CONTOMETRO PARA FORMULA DIFERENCIAL DE 8 TECLAS. C/U</v>
          </cell>
          <cell r="G1248" t="str">
            <v>C/U</v>
          </cell>
        </row>
        <row r="1249">
          <cell r="E1249">
            <v>3701006</v>
          </cell>
          <cell r="F1249" t="str">
            <v>CONTOMETRO PARA FORMULA DIFERENCIAL DE 5 TECLAS. C/U</v>
          </cell>
          <cell r="G1249" t="str">
            <v>C/U</v>
          </cell>
        </row>
        <row r="1250">
          <cell r="E1250">
            <v>3701007</v>
          </cell>
          <cell r="F1250" t="str">
            <v>CONTOMETRO DE MANO PARA CONTEO DE GLOBULOS. C/U</v>
          </cell>
          <cell r="G1250" t="str">
            <v>C/U</v>
          </cell>
        </row>
        <row r="1251">
          <cell r="E1251">
            <v>3701008</v>
          </cell>
          <cell r="F1251" t="str">
            <v>CRONOMETRO DE 1 HORA EN 1/10 SEGUNDOS. C/U</v>
          </cell>
          <cell r="G1251" t="str">
            <v>C/U</v>
          </cell>
        </row>
        <row r="1252">
          <cell r="E1252">
            <v>3701045</v>
          </cell>
          <cell r="F1252" t="str">
            <v>DISCO CLASIFICADOR DE ANEMIA TIPO BEST. C/U</v>
          </cell>
          <cell r="G1252" t="str">
            <v>C/U</v>
          </cell>
        </row>
        <row r="1253">
          <cell r="E1253">
            <v>3701046</v>
          </cell>
          <cell r="F1253" t="str">
            <v xml:space="preserve">ESPATULA DE ACERO INOXIDABLE,  HOJA PLANA 12 cm.,  MANGO 11 cm.  (APROXIMADAMENTE). C/U </v>
          </cell>
          <cell r="G1253" t="str">
            <v>C/U</v>
          </cell>
        </row>
        <row r="1254">
          <cell r="E1254">
            <v>3701047</v>
          </cell>
          <cell r="F1254" t="str">
            <v xml:space="preserve">ESPATULA DE ACERO INOXIDABLE,  HOJA PLANA 20 cm.,  MANGO 12 cm.  (APROXIMADAMENTE). C/U </v>
          </cell>
          <cell r="G1254" t="str">
            <v>C/U</v>
          </cell>
        </row>
        <row r="1255">
          <cell r="E1255">
            <v>3701012</v>
          </cell>
          <cell r="F1255" t="str">
            <v>GRADILLA CONSTRUIDA DE:  ALUMINIO,  PLASTICO,  ACERO - PLASTICO O SIMILARES,  PARA TUBO DE 12 X 75 mm  CAPACIDAD DE 20 - 40 TUBOS. C/U</v>
          </cell>
          <cell r="G1255" t="str">
            <v>C/U</v>
          </cell>
        </row>
        <row r="1256">
          <cell r="E1256">
            <v>3701048</v>
          </cell>
          <cell r="F1256" t="str">
            <v>GRADILLA CONSTRUIDA DE:  ALUMINIO,  PLASTICO,  ACERO - PLASTICO O SIMILARES,  PARA TUBO DE 15 X 100 mm,  CAPACIDAD DE 20 - 40 TUBOS. C/U</v>
          </cell>
          <cell r="G1256" t="str">
            <v>C/U</v>
          </cell>
        </row>
        <row r="1257">
          <cell r="E1257">
            <v>3701049</v>
          </cell>
          <cell r="F1257" t="str">
            <v>GRADILLA CONSTRUIDA DE:  ALUMINIO,  PLASTICO,  ACERO - PLASTICO O SIMILARES,  PARA TUBO DE 16 X 150 mm,  CAPACIDAD 24 - 48 TUBOS. C/U</v>
          </cell>
          <cell r="G1257" t="str">
            <v>C/U</v>
          </cell>
        </row>
        <row r="1258">
          <cell r="E1258">
            <v>3701050</v>
          </cell>
          <cell r="F1258" t="str">
            <v>GRADILLA CONSTRUIDA DE:  ALUMINIO,  PLASTICO,  ACERO - PLASTICO O SIMILARES,  PARA TUBO DE 20 X 150 mm,  CAPACIDAD DE 24 - 48 TUBOS. C/U</v>
          </cell>
          <cell r="G1258" t="str">
            <v>C/U</v>
          </cell>
        </row>
        <row r="1259">
          <cell r="E1259">
            <v>3701051</v>
          </cell>
          <cell r="F1259" t="str">
            <v>LAPICERO PUNTA DE DIAMANTE. C/U</v>
          </cell>
          <cell r="G1259" t="str">
            <v>C/U</v>
          </cell>
        </row>
        <row r="1260">
          <cell r="E1260">
            <v>3701052</v>
          </cell>
          <cell r="F1260" t="str">
            <v>MANGO PARA ASAS BACTERIOLOGICAS CON ROSCA DE 10" LARGO  (APROXIMADAMENTE). C/U</v>
          </cell>
          <cell r="G1260" t="str">
            <v>C/U</v>
          </cell>
        </row>
        <row r="1261">
          <cell r="E1261">
            <v>3701053</v>
          </cell>
          <cell r="F1261" t="str">
            <v>QUEMADOR DE BUNSEN O SIMILAR. C/U</v>
          </cell>
          <cell r="G1261" t="str">
            <v>C/U</v>
          </cell>
        </row>
        <row r="1262">
          <cell r="E1262">
            <v>3701019</v>
          </cell>
          <cell r="F1262" t="str">
            <v>GRADILLA CONSTRUIDA DE:  ALUMINIO,  PLASTICO,  ACERO - PLASTICO O SIMILARES,  PARA TUBO DE 16 X 150 mm,  CAPACIDAD DE 60 - 80 TUBOS. C/U</v>
          </cell>
          <cell r="G1262" t="str">
            <v>C/U</v>
          </cell>
        </row>
        <row r="1263">
          <cell r="E1263">
            <v>3701054</v>
          </cell>
          <cell r="F1263" t="str">
            <v>SOPORTE PARA ERITROSEDIMENTACION TIPO WESTERGREEN. C/U</v>
          </cell>
          <cell r="G1263" t="str">
            <v>C/U</v>
          </cell>
        </row>
        <row r="1264">
          <cell r="E1264">
            <v>3701021</v>
          </cell>
          <cell r="F1264" t="str">
            <v>CHISPERO DE MANO QUE INCLUYA 12 PIEDRAS DE REPUESTO. C/U</v>
          </cell>
          <cell r="G1264" t="str">
            <v>C/U</v>
          </cell>
        </row>
        <row r="1265">
          <cell r="E1265">
            <v>3701022</v>
          </cell>
          <cell r="F1265" t="str">
            <v>AGITADOR MAGNETICO. C/U</v>
          </cell>
          <cell r="G1265" t="str">
            <v>C/U</v>
          </cell>
        </row>
        <row r="1266">
          <cell r="E1266">
            <v>3701023</v>
          </cell>
          <cell r="F1266" t="str">
            <v>GRADILLA CONSTRUIDA DE:  ALUMINIO,  PLASTICO,  ACERO - PLASTICO O SIMILARES,  PARA TUBO DE 12 X 75 mm,  CAPACIDAD DE 70 - 100 TUBOS. C/U</v>
          </cell>
          <cell r="G1266" t="str">
            <v>C/U</v>
          </cell>
        </row>
        <row r="1267">
          <cell r="E1267">
            <v>3701024</v>
          </cell>
          <cell r="F1267" t="str">
            <v>GRADILLA CONSTRUIDA DE:  ALUMINIO,  PLASTICO,  ACERO - PLASTICO O SIMILARES,  PARA TUBO DE 15 X 100 mm,  CAPACIDAD DE 60 - 80 TUBOS. C/U</v>
          </cell>
          <cell r="G1267" t="str">
            <v>C/U</v>
          </cell>
        </row>
        <row r="1268">
          <cell r="E1268">
            <v>3701025</v>
          </cell>
          <cell r="F1268" t="str">
            <v xml:space="preserve">GRADILLA GALVANIZADA CIRCULAR,  PARA EBULLICION,  DE 6 X 5"  (APROXIMADAMENTE). C/U </v>
          </cell>
          <cell r="G1268" t="str">
            <v>C/U</v>
          </cell>
        </row>
        <row r="1269">
          <cell r="E1269">
            <v>3701055</v>
          </cell>
          <cell r="F1269" t="str">
            <v xml:space="preserve">CANASTA CUADRADA DE METAL INOXIDABLE,  10" X 10" X 8"  (APROXIMADAMENTE). C/U  </v>
          </cell>
          <cell r="G1269" t="str">
            <v>C/U</v>
          </cell>
        </row>
        <row r="1270">
          <cell r="E1270">
            <v>3701027</v>
          </cell>
          <cell r="F1270" t="str">
            <v>GRADILLA CONSTRUIDA DE:  ALUMINIO,  PLASTICO,  ACERO - PLASTICO O SIMILARES,  PARA TUBO DE 20 X 150 mm,  CAPACIDAD DE 20 - 36 TUBOS. C/U</v>
          </cell>
          <cell r="G1270" t="str">
            <v>C/U</v>
          </cell>
        </row>
        <row r="1271">
          <cell r="E1271">
            <v>3701056</v>
          </cell>
          <cell r="F1271" t="str">
            <v>GRADILLA DE METAL QUE CONTENGA 11 DEPOSITOS PARA ALMACENAR CAJAS CON SUEROS COMPATIBLES CON FREEZER ULT REVCO O SIMILAR. C/U</v>
          </cell>
          <cell r="G1271" t="str">
            <v>C/U</v>
          </cell>
        </row>
        <row r="1272">
          <cell r="E1272">
            <v>3701057</v>
          </cell>
          <cell r="F1272" t="str">
            <v xml:space="preserve"> PORTA LAMINA PARA 50 LAMINAS TIPO LIPSCHAW DE ACERO INOXIDABLE. C/U</v>
          </cell>
          <cell r="G1272" t="str">
            <v>C/U</v>
          </cell>
        </row>
        <row r="1273">
          <cell r="E1273">
            <v>3701058</v>
          </cell>
          <cell r="F1273" t="str">
            <v xml:space="preserve"> PORTA LAMINA PARA 25 LAMINAS TIPO LIPSCHAW DE ACERO INOXIDABLE. C/U</v>
          </cell>
          <cell r="G1273" t="str">
            <v>C/U</v>
          </cell>
        </row>
        <row r="1274">
          <cell r="E1274">
            <v>3701059</v>
          </cell>
          <cell r="F1274" t="str">
            <v xml:space="preserve">AGUJA DE  WINTROBE CON SU RESPECTIVA PERILLA,  PUNTA DE METAL. C/U </v>
          </cell>
          <cell r="G1274" t="str">
            <v>C/U</v>
          </cell>
        </row>
        <row r="1275">
          <cell r="E1275">
            <v>3800020</v>
          </cell>
          <cell r="F1275" t="str">
            <v xml:space="preserve">ACEITE DE OLIVA,  TIPO SASSO,  DE 100 mL  (APROXIMADAMENTE). FRASCO </v>
          </cell>
          <cell r="G1275" t="str">
            <v>FRASCO</v>
          </cell>
        </row>
        <row r="1276">
          <cell r="E1276">
            <v>3800021</v>
          </cell>
          <cell r="F1276" t="str">
            <v>PUNTA PLASTICA PARA PIPETA MULTICANAL 1  -  200 mL. C/U</v>
          </cell>
          <cell r="G1276" t="str">
            <v>C/U</v>
          </cell>
        </row>
        <row r="1277">
          <cell r="E1277">
            <v>3800002</v>
          </cell>
          <cell r="F1277" t="str">
            <v>TUBO AL VACIO PLASTICO,  PARA RECOLECCION DE SANGRE DE MUESTRAS PEDIATRICAS,  CAPACIDAD DE 2 - 3 mL,  Y MEDIDAS DE 12 ± 1 mm DE DIAMETRO Y 75 - 110  mm DE LARGO,  SIN ANTICOAGULANTE,  TAPON ROJO. C/U</v>
          </cell>
          <cell r="G1277" t="str">
            <v>C/U</v>
          </cell>
        </row>
        <row r="1278">
          <cell r="E1278">
            <v>3800022</v>
          </cell>
          <cell r="F1278" t="str">
            <v>PAPEL TERMICO COMPATIBLE CON  ANALIZADOR DE ELECTROLITOS NOVA 5,  DE 10.7 cm. DE ANCHO. ROLLO</v>
          </cell>
          <cell r="G1278" t="str">
            <v>ROLLO</v>
          </cell>
        </row>
        <row r="1279">
          <cell r="E1279">
            <v>3800023</v>
          </cell>
          <cell r="F1279" t="str">
            <v xml:space="preserve">JABON DETERGENTE NO IONICO,  TIPO ALCONOX (LIQUIDO). GALON  </v>
          </cell>
          <cell r="G1279" t="str">
            <v>GALON</v>
          </cell>
        </row>
        <row r="1280">
          <cell r="E1280">
            <v>3800024</v>
          </cell>
          <cell r="F1280" t="str">
            <v xml:space="preserve">PAPEL TERMICO COMPATIBLE CON  ESPECTROFOTOMETRO HUMALYZER DE 6.3 cm. DE ANCHO.ROLLO  </v>
          </cell>
          <cell r="G1280" t="str">
            <v>ROLLO</v>
          </cell>
        </row>
        <row r="1281">
          <cell r="E1281">
            <v>3800006</v>
          </cell>
          <cell r="F1281" t="str">
            <v xml:space="preserve">TARJETA IMPRESA COMPATIBLE CON  CONTADOR  HEMATOLOGICO,  COULTER COUNTER SS - 80. C/U </v>
          </cell>
          <cell r="G1281" t="str">
            <v>C/U</v>
          </cell>
        </row>
        <row r="1282">
          <cell r="E1282">
            <v>3800007</v>
          </cell>
          <cell r="F1282" t="str">
            <v>TUBO AL VACIO PLASTICO,  PARA RECOLECCION DE SANGRE DE MUESTRAS PEDIATRICAS,  CAPACIDAD DE 2 - 3 mL,  Y MEDIDA DE 12 ± 1 mm DE DIAMETRO Y 75 - 110  mm DE LARGO,  CON ANTICOAGULANTE EDTA,  TAPON MORADO. C/U</v>
          </cell>
          <cell r="G1282" t="str">
            <v>C/U</v>
          </cell>
        </row>
        <row r="1283">
          <cell r="E1283">
            <v>3800008</v>
          </cell>
          <cell r="F1283" t="str">
            <v>TUBO AL VACIO PLASTICO,  PARA RECOLECCION DE SANGRE DE MUESTRAS PEDIATRICAS,  CAPACIDAD DE 2 - 3 mL,  Y MEDIDAS DE 12 ± 1 mm DE DIAMETRO Y 75 - 110  mm DE LARGO,  CON ANTICOAGULANTE CITRATO DE SODIO,  TAPON CELESTE. C/U</v>
          </cell>
          <cell r="G1283" t="str">
            <v>C/U</v>
          </cell>
        </row>
        <row r="1284">
          <cell r="E1284">
            <v>3800025</v>
          </cell>
          <cell r="F1284" t="str">
            <v>CAJA CON GRADILLA Y TAPADERA DE  POLIPROPILENO,  CON CAPACIDAD DE 90 - 100  PUNTAS, DE 2 - 100 µL. C/U</v>
          </cell>
          <cell r="G1284" t="str">
            <v>C/U</v>
          </cell>
        </row>
        <row r="1285">
          <cell r="E1285">
            <v>3800026</v>
          </cell>
          <cell r="F1285" t="str">
            <v>CAJA CON GRADILLA Y TAPADERA DE POLIPROPILENO,  CON CAPACIDAD  DE 90 - 100 PUNTAS. DE  500 - 1000  µL. C/U</v>
          </cell>
          <cell r="G1285" t="str">
            <v>C/U</v>
          </cell>
        </row>
        <row r="1286">
          <cell r="E1286">
            <v>3800011</v>
          </cell>
          <cell r="F1286" t="str">
            <v>PLUMON MARCADOR CON TINTA DE SECADO RAPIDO E INDELEBLE ,  PUNTA EXTRAFINA. COLOR ROJO. C/U</v>
          </cell>
          <cell r="G1286" t="str">
            <v>C/U</v>
          </cell>
        </row>
        <row r="1287">
          <cell r="E1287">
            <v>3800012</v>
          </cell>
          <cell r="F1287" t="str">
            <v>PLUMON MARCADOR  CON TINTA DE SECADO RAPIDO E INDELEBLE,  PUNTA EXTRAFINA. COLOR NEGRO. C/U</v>
          </cell>
          <cell r="G1287" t="str">
            <v>C/U</v>
          </cell>
        </row>
        <row r="1288">
          <cell r="E1288">
            <v>3800027</v>
          </cell>
          <cell r="F1288" t="str">
            <v>CAJA PORTATIL  ORGANIZADORA CON GRADILLA Y AGARRADERO DE POLIETILENO,   PARA TOMA DE MUESTRAS,  MEDIDAS 38 X 36 X 27 cm. APROXIMADAMENTE. C/U</v>
          </cell>
          <cell r="G1288" t="str">
            <v>C/U</v>
          </cell>
        </row>
        <row r="1289">
          <cell r="E1289">
            <v>3800028</v>
          </cell>
          <cell r="F1289" t="str">
            <v>PAPEL DE REGISTRO DE IMAGENES BLANCO Y NEGRO COMPATIBLE CON  IMPRESOR “CODONICS” MODELO Np – 1660M MEDICAL PRINTER. C/U</v>
          </cell>
          <cell r="G1289" t="str">
            <v>C/U</v>
          </cell>
        </row>
        <row r="1290">
          <cell r="E1290">
            <v>3800029</v>
          </cell>
          <cell r="F1290" t="str">
            <v xml:space="preserve">PAPEL DE REGISTRO DE IMAGENES A COLOR  COMPATIBLE CON  IMPRESOR “CODONICS” MODELO Np – 1660M MEDICAL PRINTER. C/U </v>
          </cell>
          <cell r="G1290" t="str">
            <v>C/U</v>
          </cell>
        </row>
        <row r="1291">
          <cell r="E1291">
            <v>3990000</v>
          </cell>
          <cell r="F1291" t="str">
            <v>*ELIMINADO. ACDO. D.G. 2006-08-0513               PRO-PIPETA DE HULE U OTRO MATERIAL.</v>
          </cell>
          <cell r="G1291" t="str">
            <v>ELIM LIST OFICIAL</v>
          </cell>
        </row>
        <row r="1292">
          <cell r="E1292">
            <v>3990001</v>
          </cell>
          <cell r="F1292" t="str">
            <v>*ELIMINADO(ACDO.2005-1342.OCT)URODENSIMETRO CON SU PROBETA.</v>
          </cell>
          <cell r="G1292" t="str">
            <v>ELIM LIST OFICIAL</v>
          </cell>
        </row>
        <row r="1293">
          <cell r="E1293">
            <v>3990002</v>
          </cell>
          <cell r="F1293" t="str">
            <v>****ELIMINADO**** ACDO. D. G. 2007080423          CEPILLO PARA LAVAR TUBO,  LARGO 10 CM.,  DIAMETRO  2 CM.  (APROXIMADAMENTE). C/U (PUEDE UTILIZAR EL CODIGO 2321049 Y 2321051)</v>
          </cell>
          <cell r="G1293" t="str">
            <v>ELIM LIST OFICIAL</v>
          </cell>
        </row>
        <row r="1294">
          <cell r="E1294">
            <v>3990003</v>
          </cell>
          <cell r="F1294" t="str">
            <v>*ELIMINADO(ACDO.2005-1342.OCT)FILTRO AZUL #42 PARA COLORIMETRO KLETT.</v>
          </cell>
          <cell r="G1294" t="str">
            <v>ELIM LIST OFICIAL</v>
          </cell>
        </row>
        <row r="1295">
          <cell r="E1295">
            <v>3990004</v>
          </cell>
          <cell r="F1295" t="str">
            <v>*ELIMINADO(ACDO.2005-1342.OCT)FILTRO ROJO #66 PARA COLORIMETRO KLETT.</v>
          </cell>
          <cell r="G1295" t="str">
            <v>ELIM LIST OFICIAL</v>
          </cell>
        </row>
        <row r="1296">
          <cell r="E1296">
            <v>3990005</v>
          </cell>
          <cell r="F1296" t="str">
            <v>*ELIMINADO(ACDO.2005-1342.OCT)FILTRO VERDE #54 PARA COLORIMETRO KLETT.</v>
          </cell>
          <cell r="G1296" t="str">
            <v>ELIM LIST OFICIAL</v>
          </cell>
        </row>
        <row r="1297">
          <cell r="E1297">
            <v>3990006</v>
          </cell>
          <cell r="F1297" t="str">
            <v>*ELIMINADO(ACDO.2005-1342.OCT)PIPETA SAHLI PARA DOSIFICAR HEMOGLOBINA.</v>
          </cell>
          <cell r="G1297" t="str">
            <v>ELIM LIST OFICIAL</v>
          </cell>
        </row>
        <row r="1298">
          <cell r="E1298">
            <v>3990007</v>
          </cell>
          <cell r="F1298" t="str">
            <v>*ELIMINADO(ACDO.2005-1342.OCT)TUBO PARA COLORIMETRO, KLETT, GRADUADO, EN 5 Y 10ML.</v>
          </cell>
          <cell r="G1298" t="str">
            <v>ELIM LIST OFICIAL</v>
          </cell>
        </row>
        <row r="1299">
          <cell r="E1299">
            <v>3990008</v>
          </cell>
          <cell r="F1299" t="str">
            <v>*ELIMINADO(ACDO.2005-1342.OCT)CUBETA DE 12 X 75 MM. PARA COLORIMETRO COLEMAN.</v>
          </cell>
          <cell r="G1299" t="str">
            <v>ELIM LIST OFICIAL</v>
          </cell>
        </row>
        <row r="1300">
          <cell r="E1300">
            <v>3990009</v>
          </cell>
          <cell r="F1300" t="str">
            <v>*ELIMINADO(ACDO.2005-1342.OCT)CUBETA DE CUARZO PARA ESPECTROFOTOMETRO.</v>
          </cell>
          <cell r="G1300" t="str">
            <v>ELIM LIST OFICIAL</v>
          </cell>
        </row>
        <row r="1301">
          <cell r="E1301">
            <v>3990010</v>
          </cell>
          <cell r="F1301" t="str">
            <v>*ELIMINADO. ACDO. D.G 2006-10-631                 ACEITE  DE  INMERSION  BAJA  VISCOSIDAD DE 250 ML.(APROX.)</v>
          </cell>
          <cell r="G1301" t="str">
            <v>ELIM LIST OFICIAL</v>
          </cell>
        </row>
        <row r="1302">
          <cell r="E1302">
            <v>3990011</v>
          </cell>
          <cell r="F1302" t="str">
            <v>*ELIMINADO(ACDO.2005-1342.OCT)PAPEL PARA IMPRESOR DE ANALIZADOR DE ELECTROLITOS NOVA 4 DE 60 MM. ANCHO, 5/8" DIAMETRO CARRETE.</v>
          </cell>
          <cell r="G1302" t="str">
            <v>ELIM LIST OFICIAL</v>
          </cell>
        </row>
        <row r="1303">
          <cell r="E1303">
            <v>3990012</v>
          </cell>
          <cell r="F1303" t="str">
            <v>*ELIMINADO(ACDO.2005-1342.OCT)PAPEL PARA IMPRESOR DEL ANALIZADOR DE QUIMICA CLINICA RA-500, 60MM. ANCHO, 5/8" DIAMETRO CARRETE.</v>
          </cell>
          <cell r="G1303" t="str">
            <v>ELIM LIST OFICIAL</v>
          </cell>
        </row>
        <row r="1304">
          <cell r="E1304">
            <v>3990013</v>
          </cell>
          <cell r="F1304" t="str">
            <v>COPA DE VIDRIO DE 250 ML.</v>
          </cell>
          <cell r="G1304" t="str">
            <v>ELIM LIST OFICIAL</v>
          </cell>
        </row>
        <row r="1305">
          <cell r="E1305">
            <v>3990014</v>
          </cell>
          <cell r="F1305" t="str">
            <v>EMBUDO DE POLIETILENO DE 50 ML.</v>
          </cell>
          <cell r="G1305" t="str">
            <v>ELIM LIST OFICIAL</v>
          </cell>
        </row>
        <row r="1306">
          <cell r="E1306">
            <v>3990015</v>
          </cell>
          <cell r="F1306" t="str">
            <v>ERLENMEYER DE VIDRIO DE 100 ML.</v>
          </cell>
          <cell r="G1306" t="str">
            <v>ELIM LIST OFICIAL</v>
          </cell>
        </row>
        <row r="1307">
          <cell r="E1307">
            <v>3990016</v>
          </cell>
          <cell r="F1307" t="str">
            <v>FRASCO DE VIDRIO BOCA ANCHA TAPON ESMERILADO DE 500 ML.</v>
          </cell>
          <cell r="G1307" t="str">
            <v>ELIM LIST OFICIAL</v>
          </cell>
        </row>
        <row r="1308">
          <cell r="E1308">
            <v>3990017</v>
          </cell>
          <cell r="F1308" t="str">
            <v>TUBOS CEDICALES</v>
          </cell>
          <cell r="G1308" t="str">
            <v>ELIM LIST OFICIAL</v>
          </cell>
        </row>
        <row r="1309">
          <cell r="E1309">
            <v>3990018</v>
          </cell>
          <cell r="F1309" t="str">
            <v>TUBOS CAPILARES NO HEPARINIZADOS DE 350 MM</v>
          </cell>
          <cell r="G1309" t="str">
            <v>ELIM LIST OFICIAL</v>
          </cell>
        </row>
        <row r="1310">
          <cell r="E1310">
            <v>3990019</v>
          </cell>
          <cell r="F1310" t="str">
            <v>TUBOS DE ENSAYO C/LABIO DE 18 X 150 MM.</v>
          </cell>
          <cell r="G1310" t="str">
            <v>ELIM LIST OFICIAL</v>
          </cell>
        </row>
        <row r="1311">
          <cell r="E1311">
            <v>3990020</v>
          </cell>
          <cell r="F1311" t="str">
            <v>TUBOS DE DIGESTION UNIVERSAL GRADUADOS DE 12-5-25-35 Y 50 ML.</v>
          </cell>
          <cell r="G1311" t="str">
            <v>ELIM LIST OFICIAL</v>
          </cell>
        </row>
        <row r="1312">
          <cell r="E1312">
            <v>3990021</v>
          </cell>
          <cell r="F1312" t="str">
            <v>VARILLA  DE VIDRIO SOLIDO DE 5 MM. DE  DIAMETRO.</v>
          </cell>
          <cell r="G1312" t="str">
            <v>ELIM LIST OFICIAL</v>
          </cell>
        </row>
        <row r="1313">
          <cell r="E1313">
            <v>3990022</v>
          </cell>
          <cell r="F1313" t="str">
            <v>TUBOS DE VIDRIO DE 8 MM. DE DIAMETRO.</v>
          </cell>
          <cell r="G1313" t="str">
            <v>ELIM LIST OFICIAL</v>
          </cell>
        </row>
        <row r="1314">
          <cell r="E1314">
            <v>3990023</v>
          </cell>
          <cell r="F1314" t="str">
            <v>TUBOS DE ENSAYO SIN LABIO DE 15 X 150 MM.</v>
          </cell>
          <cell r="G1314" t="str">
            <v>ELIM LIST OFICIAL</v>
          </cell>
        </row>
        <row r="1315">
          <cell r="E1315">
            <v>3990024</v>
          </cell>
          <cell r="F1315" t="str">
            <v>TUBOS METALICOS P/CENTRIFUGA</v>
          </cell>
          <cell r="G1315" t="str">
            <v>ELIM LIST OFICIAL</v>
          </cell>
        </row>
        <row r="1316">
          <cell r="E1316">
            <v>3990025</v>
          </cell>
          <cell r="F1316" t="str">
            <v>FRASCOS DE VIDRIO P/DESTILACION DE 1000 ML</v>
          </cell>
          <cell r="G1316" t="str">
            <v>ELIM LIST OFICIAL</v>
          </cell>
        </row>
        <row r="1317">
          <cell r="E1317">
            <v>3990026</v>
          </cell>
          <cell r="F1317" t="str">
            <v>TUBOS DE PROPILENO DE 16 X 125 MM.</v>
          </cell>
          <cell r="G1317" t="str">
            <v>ELIM LIST OFICIAL</v>
          </cell>
        </row>
        <row r="1318">
          <cell r="E1318">
            <v>3990027</v>
          </cell>
          <cell r="F1318" t="str">
            <v>TAPONES DE VIDRIO ESMERILADO 10/30</v>
          </cell>
          <cell r="G1318" t="str">
            <v>ELIM LIST OFICIAL</v>
          </cell>
        </row>
        <row r="1319">
          <cell r="E1319">
            <v>3990028</v>
          </cell>
          <cell r="F1319" t="str">
            <v>EMBUDO DE POLIETILENO DE 10 ML.</v>
          </cell>
          <cell r="G1319" t="str">
            <v>ELIM LIST OFICIAL</v>
          </cell>
        </row>
        <row r="1320">
          <cell r="E1320">
            <v>3990029</v>
          </cell>
          <cell r="F1320" t="str">
            <v>FRASCO DE POLIETILENO C/TAPADERA DE 2.000 ML.</v>
          </cell>
          <cell r="G1320" t="str">
            <v>ELIM LIST OFICIAL</v>
          </cell>
        </row>
        <row r="1321">
          <cell r="E1321">
            <v>3990030</v>
          </cell>
          <cell r="F1321" t="str">
            <v>TUBOS DESCARTABLES PARA RIA.</v>
          </cell>
          <cell r="G1321" t="str">
            <v>ELIM LIST OFICIAL</v>
          </cell>
        </row>
        <row r="1322">
          <cell r="E1322">
            <v>3990031</v>
          </cell>
          <cell r="F1322" t="str">
            <v>LAMINILLA CUBRE CAMARA RECUENTO DE GLOBULOS 20 X  25 MM., ESPESOR 1 MM.</v>
          </cell>
          <cell r="G1322" t="str">
            <v>ELIM LIST OFICIAL</v>
          </cell>
        </row>
        <row r="1323">
          <cell r="E1323">
            <v>3990032</v>
          </cell>
          <cell r="F1323" t="str">
            <v>TUBOS CILINDRICOS PLASTICOS 3/4" DIAMETRO INTERIOR1" ALTO. (AMPULE BREAKERS).</v>
          </cell>
          <cell r="G1323" t="str">
            <v>ELIM LIST OFICIAL</v>
          </cell>
        </row>
        <row r="1324">
          <cell r="E1324">
            <v>3990033</v>
          </cell>
          <cell r="F1324" t="str">
            <v>PIPETAS.</v>
          </cell>
          <cell r="G1324" t="str">
            <v>ELIM LIST OFICIAL</v>
          </cell>
        </row>
        <row r="1325">
          <cell r="E1325">
            <v>3990034</v>
          </cell>
          <cell r="F1325" t="str">
            <v>FRASCOS DE DOS CUELLOS (PIREX)PAG.107 COD.4968-1L,MARCA CORNIG-USA.</v>
          </cell>
          <cell r="G1325" t="str">
            <v>ELIM LIST OFICIAL</v>
          </cell>
        </row>
        <row r="1326">
          <cell r="E1326">
            <v>3990035</v>
          </cell>
          <cell r="F1326" t="str">
            <v>TUBO CON TAPON ESMERILADO TIPO CENTRIFUGA 13 ML.</v>
          </cell>
          <cell r="G1326" t="str">
            <v>ELIM LIST OFICIAL</v>
          </cell>
        </row>
        <row r="1327">
          <cell r="E1327">
            <v>3990036</v>
          </cell>
          <cell r="F1327" t="str">
            <v>TUBO CENTRIFUGA HEAVY C/STOP 40 ML. CORNING.</v>
          </cell>
          <cell r="G1327" t="str">
            <v>ELIM LIST OFICIAL</v>
          </cell>
        </row>
        <row r="1328">
          <cell r="E1328">
            <v>3990037</v>
          </cell>
          <cell r="F1328" t="str">
            <v>TUBO CENTRIFUGA HEAVY S/TAPON 40 ML. 8124CORNING.</v>
          </cell>
          <cell r="G1328" t="str">
            <v>ELIM LIST OFICIAL</v>
          </cell>
        </row>
        <row r="1329">
          <cell r="E1329">
            <v>3990038</v>
          </cell>
          <cell r="F1329" t="str">
            <v>TUBO CENTRIFUGA WYSTOPPER CORNING 8064  50 ML.SIN TAPON.</v>
          </cell>
          <cell r="G1329" t="str">
            <v>ELIM LIST OFICIAL</v>
          </cell>
        </row>
        <row r="1330">
          <cell r="E1330">
            <v>3990039</v>
          </cell>
          <cell r="F1330" t="str">
            <v>TUBO CENTRIFUGA WYSTOPPER 45 ML. 8065  CORNING.</v>
          </cell>
          <cell r="G1330" t="str">
            <v>ELIM LIST OFICIAL</v>
          </cell>
        </row>
        <row r="1331">
          <cell r="E1331">
            <v>3990040</v>
          </cell>
          <cell r="F1331" t="str">
            <v>TUBO DE ENSAYO VIDRIO GRADUADO 50 ML. C/LABIO.</v>
          </cell>
          <cell r="G1331" t="str">
            <v>ELIM LIST OFICIAL</v>
          </cell>
        </row>
        <row r="1332">
          <cell r="E1332">
            <v>3990041</v>
          </cell>
          <cell r="F1332" t="str">
            <v>TUBO MICRO-NATELSON RED TIP CON*HEPARINA</v>
          </cell>
          <cell r="G1332" t="str">
            <v>ELIM LIST OFICIAL</v>
          </cell>
        </row>
        <row r="1333">
          <cell r="E1333">
            <v>3990042</v>
          </cell>
          <cell r="F1333" t="str">
            <v>EMBUDO PLASTICO 90 MM. DIAMETRO</v>
          </cell>
          <cell r="G1333" t="str">
            <v>ELIM LIST OFICIAL</v>
          </cell>
        </row>
        <row r="1334">
          <cell r="E1334">
            <v>3990043</v>
          </cell>
          <cell r="F1334" t="str">
            <v>PIPETA WINTROBE PARA LLENAR HEMATOCRITO CON PERA DE HULE, PUNTA DE METAL.</v>
          </cell>
          <cell r="G1334" t="str">
            <v>ELIM LIST OFICIAL</v>
          </cell>
        </row>
        <row r="1335">
          <cell r="E1335">
            <v>3990044</v>
          </cell>
          <cell r="F1335" t="str">
            <v>ADAPTADORES CON UNION INT. 2440,*EXT. 14/20.</v>
          </cell>
          <cell r="G1335" t="str">
            <v>ELIM LIST OFICIAL</v>
          </cell>
        </row>
        <row r="1336">
          <cell r="E1336">
            <v>3990045</v>
          </cell>
          <cell r="F1336" t="str">
            <v>ADAPTADORES CON UNION INT.34 X 45,*EXT.24/40.</v>
          </cell>
          <cell r="G1336" t="str">
            <v>ELIM LIST OFICIAL</v>
          </cell>
        </row>
        <row r="1337">
          <cell r="E1337">
            <v>3990046</v>
          </cell>
          <cell r="F1337" t="str">
            <v>APARATO DESTIL. CAP. 2000 ML. TAPON*ESMERIL.</v>
          </cell>
          <cell r="G1337" t="str">
            <v>ELIM LIST OFICIAL</v>
          </cell>
        </row>
        <row r="1338">
          <cell r="E1338">
            <v>3990047</v>
          </cell>
          <cell r="F1338" t="str">
            <v>APARATO FILTRAC. MORTON CAP. 250 ML*T.P.</v>
          </cell>
          <cell r="G1338" t="str">
            <v>ELIM LIST OFICIAL</v>
          </cell>
        </row>
        <row r="1339">
          <cell r="E1339">
            <v>3990048</v>
          </cell>
          <cell r="F1339" t="str">
            <v>COLUM.DESTIL.DE VIGREEUX TOLERANCIA*24/40.</v>
          </cell>
          <cell r="G1339" t="str">
            <v>ELIM LIST OFICIAL</v>
          </cell>
        </row>
        <row r="1340">
          <cell r="E1340">
            <v>3990049</v>
          </cell>
          <cell r="F1340" t="str">
            <v>CUBETAS DE 19 X 105 MM.  PARA ESPECTROFOTOMETRO   COLEMAN.</v>
          </cell>
          <cell r="G1340" t="str">
            <v>ELIM LIST OFICIAL</v>
          </cell>
        </row>
        <row r="1341">
          <cell r="E1341">
            <v>3990050</v>
          </cell>
          <cell r="F1341" t="str">
            <v>EMBUDO SEPARAD. DE 125 ML.</v>
          </cell>
          <cell r="G1341" t="str">
            <v>ELIM LIST OFICIAL</v>
          </cell>
        </row>
        <row r="1342">
          <cell r="E1342">
            <v>3990051</v>
          </cell>
          <cell r="F1342" t="str">
            <v>FRASCOS VOLUMETRICOS TAPON ESMERILADO DE 10 ML.</v>
          </cell>
          <cell r="G1342" t="str">
            <v>ELIM LIST OFICIAL</v>
          </cell>
        </row>
        <row r="1343">
          <cell r="E1343">
            <v>3990052</v>
          </cell>
          <cell r="F1343" t="str">
            <v>PIPETAS VOLUMETRICAS DE 50 ML.</v>
          </cell>
          <cell r="G1343" t="str">
            <v>ELIM LIST OFICIAL</v>
          </cell>
        </row>
        <row r="1344">
          <cell r="E1344">
            <v>3990053</v>
          </cell>
          <cell r="F1344" t="str">
            <v>PIPETAS VOLUMETRICAS DE 25 ML.</v>
          </cell>
          <cell r="G1344" t="str">
            <v>ELIM LIST OFICIAL</v>
          </cell>
        </row>
        <row r="1345">
          <cell r="E1345">
            <v>3990054</v>
          </cell>
          <cell r="F1345" t="str">
            <v>PIPETAS VOLUMETRICAS DE 15 ML.</v>
          </cell>
          <cell r="G1345" t="str">
            <v>ELIM LIST OFICIAL</v>
          </cell>
        </row>
        <row r="1346">
          <cell r="E1346">
            <v>3990055</v>
          </cell>
          <cell r="F1346" t="str">
            <v>PIPETAS VOLUMETRICAS DE 4 ML.</v>
          </cell>
          <cell r="G1346" t="str">
            <v>ELIM LIST OFICIAL</v>
          </cell>
        </row>
        <row r="1347">
          <cell r="E1347">
            <v>3990056</v>
          </cell>
          <cell r="F1347" t="str">
            <v>TUBOS DE ENSAYO KHAN 10 X 75, SIN LABIO.</v>
          </cell>
          <cell r="G1347" t="str">
            <v>ELIM LIST OFICIAL</v>
          </cell>
        </row>
        <row r="1348">
          <cell r="E1348">
            <v>3990057</v>
          </cell>
          <cell r="F1348" t="str">
            <v>TUBOS DE WINTROBE HEMATOCRITO.</v>
          </cell>
          <cell r="G1348" t="str">
            <v>ELIM LIST OFICIAL</v>
          </cell>
        </row>
        <row r="1349">
          <cell r="E1349">
            <v>3990058</v>
          </cell>
          <cell r="F1349" t="str">
            <v>BOMBAS ASPIRADORAS DE 3/8</v>
          </cell>
          <cell r="G1349" t="str">
            <v>ELIM LIST OFICIAL</v>
          </cell>
        </row>
        <row r="1350">
          <cell r="E1350">
            <v>3990059</v>
          </cell>
          <cell r="F1350" t="str">
            <v>BOLSA TRANSFER SIN ANTICOAGULANTE DE 150 ML.</v>
          </cell>
          <cell r="G1350" t="str">
            <v>ELIM LIST OFICIAL</v>
          </cell>
        </row>
        <row r="1351">
          <cell r="E1351">
            <v>3990060</v>
          </cell>
          <cell r="F1351" t="str">
            <v>SOLUCION LIMPIADORA PARA EQUIPO ANALIZADOR HEMATOLOGICO.</v>
          </cell>
          <cell r="G1351" t="str">
            <v>ELIM LIST OFICIAL</v>
          </cell>
        </row>
        <row r="1352">
          <cell r="E1352">
            <v>3990061</v>
          </cell>
          <cell r="F1352" t="str">
            <v>DISPENSADOR DE LAMINAS PARA MICROSCOPIO</v>
          </cell>
          <cell r="G1352" t="str">
            <v>ELIM LIST OFICIAL</v>
          </cell>
        </row>
        <row r="1353">
          <cell r="E1353">
            <v>3990062</v>
          </cell>
          <cell r="F1353" t="str">
            <v>LAMINILLA CUBRE OBJETOS DE 22 X 40 MM. DE VIDRIO.</v>
          </cell>
          <cell r="G1353" t="str">
            <v>ELIM LIST OFICIAL</v>
          </cell>
        </row>
        <row r="1354">
          <cell r="E1354">
            <v>3990063</v>
          </cell>
          <cell r="F1354" t="str">
            <v>TAPONES DE CORCHO # 2</v>
          </cell>
          <cell r="G1354" t="str">
            <v>ELIM LIST OFICIAL</v>
          </cell>
        </row>
        <row r="1355">
          <cell r="E1355">
            <v>3990064</v>
          </cell>
          <cell r="F1355" t="str">
            <v>TAPONES DE CORCHO # 4</v>
          </cell>
          <cell r="G1355" t="str">
            <v>ELIM LIST OFICIAL</v>
          </cell>
        </row>
        <row r="1356">
          <cell r="E1356">
            <v>3990065</v>
          </cell>
          <cell r="F1356" t="str">
            <v>COPA ROJA PARA FOTOMETRO DE LLAMA.</v>
          </cell>
          <cell r="G1356" t="str">
            <v>ELIM LIST OFICIAL</v>
          </cell>
        </row>
        <row r="1357">
          <cell r="E1357">
            <v>3990066</v>
          </cell>
          <cell r="F1357" t="str">
            <v>COPA AZUL PARA FOTOMETRO DE LLAMA.</v>
          </cell>
          <cell r="G1357" t="str">
            <v>ELIM LIST OFICIAL</v>
          </cell>
        </row>
        <row r="1358">
          <cell r="E1358">
            <v>3990067</v>
          </cell>
          <cell r="F1358" t="str">
            <v>TUBO TRANSPORTE DE BACTERIAS 10 ML. CON TAPON DE  ROSCA, DESCARTABLE.</v>
          </cell>
          <cell r="G1358" t="str">
            <v>ELIM LIST OFICIAL</v>
          </cell>
        </row>
        <row r="1359">
          <cell r="E1359">
            <v>3990068</v>
          </cell>
          <cell r="F1359" t="str">
            <v>BOLSA  DOBLE  PARA  RECOLECCION  DE  SANGRE  CON  ANTICOAGULANTE C P D, DE 500 ML., CON AGUJA #16,  SISTEMA CERRADO.</v>
          </cell>
          <cell r="G1359" t="str">
            <v>ELIM LIST OFICIAL</v>
          </cell>
        </row>
        <row r="1360">
          <cell r="E1360">
            <v>3990069</v>
          </cell>
          <cell r="F1360" t="str">
            <v>FILTRO BUCHNER DE PROPILENO DE 110 MM. (APROX.)</v>
          </cell>
          <cell r="G1360" t="str">
            <v>ELIM LIST OFICIAL</v>
          </cell>
        </row>
        <row r="1361">
          <cell r="E1361">
            <v>3990070</v>
          </cell>
          <cell r="F1361" t="str">
            <v>FRASCO DE POLIETILENO DE 500 CC.*CLARO.</v>
          </cell>
          <cell r="G1361" t="str">
            <v>ELIM LIST OFICIAL</v>
          </cell>
        </row>
        <row r="1362">
          <cell r="E1362">
            <v>3990071</v>
          </cell>
          <cell r="F1362" t="str">
            <v>FRASCO POLIETILENO DE 1000 CC. BOCA*ANCHA.</v>
          </cell>
          <cell r="G1362" t="str">
            <v>ELIM LIST OFICIAL</v>
          </cell>
        </row>
        <row r="1363">
          <cell r="E1363">
            <v>3990072</v>
          </cell>
          <cell r="F1363" t="str">
            <v>LAVADORA DE PIPETAS DE PROPILENO.</v>
          </cell>
          <cell r="G1363" t="str">
            <v>ELIM LIST OFICIAL</v>
          </cell>
        </row>
        <row r="1364">
          <cell r="E1364">
            <v>3990073</v>
          </cell>
          <cell r="F1364" t="str">
            <v>TAPONES DE HULE SOLIDO # 4.</v>
          </cell>
          <cell r="G1364" t="str">
            <v>ELIM LIST OFICIAL</v>
          </cell>
        </row>
        <row r="1365">
          <cell r="E1365">
            <v>3990074</v>
          </cell>
          <cell r="F1365" t="str">
            <v>TAPONES DE HULE SOLIDO # 10.</v>
          </cell>
          <cell r="G1365" t="str">
            <v>ELIM LIST OFICIAL</v>
          </cell>
        </row>
        <row r="1366">
          <cell r="E1366">
            <v>3990075</v>
          </cell>
          <cell r="F1366" t="str">
            <v>TUBO CONICO PARA CENTRIFUGA, SIN GRADUAR, 15 ML., POLIETILENO.</v>
          </cell>
          <cell r="G1366" t="str">
            <v>ELIM LIST OFICIAL</v>
          </cell>
        </row>
        <row r="1367">
          <cell r="E1367">
            <v>3990076</v>
          </cell>
          <cell r="F1367" t="str">
            <v>TUBO DE ENSAYO DE PROPILENO DE 15 ML.</v>
          </cell>
          <cell r="G1367" t="str">
            <v>ELIM LIST OFICIAL</v>
          </cell>
        </row>
        <row r="1368">
          <cell r="E1368">
            <v>3990077</v>
          </cell>
          <cell r="F1368" t="str">
            <v>TUBO DE HULE CON BOQUILLA PARA CONTEO DE GLOBULOS.</v>
          </cell>
          <cell r="G1368" t="str">
            <v>ELIM LIST OFICIAL</v>
          </cell>
        </row>
        <row r="1369">
          <cell r="E1369">
            <v>3990078</v>
          </cell>
          <cell r="F1369" t="str">
            <v>MANGUERA DE POLIETILENO DE 1/4 X 3/8"</v>
          </cell>
          <cell r="G1369" t="str">
            <v>ELIM LIST OFICIAL</v>
          </cell>
        </row>
        <row r="1370">
          <cell r="E1370">
            <v>3990079</v>
          </cell>
          <cell r="F1370" t="str">
            <v>MANGUERA DE POLIETILENO DE 1/8 X 1/4" .</v>
          </cell>
          <cell r="G1370" t="str">
            <v>ELIM LIST OFICIAL</v>
          </cell>
        </row>
        <row r="1371">
          <cell r="E1371">
            <v>3990080</v>
          </cell>
          <cell r="F1371" t="str">
            <v>BALONES FONDO PLANO DE 50 ML.</v>
          </cell>
          <cell r="G1371" t="str">
            <v>ELIM LIST OFICIAL</v>
          </cell>
        </row>
        <row r="1372">
          <cell r="E1372">
            <v>3990081</v>
          </cell>
          <cell r="F1372" t="str">
            <v>BALON PARA DESTIL. 1-3 BOCAS 1000 CC. CAPACIDAD.</v>
          </cell>
          <cell r="G1372" t="str">
            <v>ELIM LIST OFICIAL</v>
          </cell>
        </row>
        <row r="1373">
          <cell r="E1373">
            <v>3990082</v>
          </cell>
          <cell r="F1373" t="str">
            <v>BALON PARA DESTIL. 2-3 BOCAS, CAPACIDAD 500 CC.</v>
          </cell>
          <cell r="G1373" t="str">
            <v>ELIM LIST OFICIAL</v>
          </cell>
        </row>
        <row r="1374">
          <cell r="E1374">
            <v>3990083</v>
          </cell>
          <cell r="F1374" t="str">
            <v>BEAKER DE VIDRIO DE 600 ML.</v>
          </cell>
          <cell r="G1374" t="str">
            <v>ELIM LIST OFICIAL</v>
          </cell>
        </row>
        <row r="1375">
          <cell r="E1375">
            <v>3990084</v>
          </cell>
          <cell r="F1375" t="str">
            <v>BEAKER DE VIDRIO DE 10 ML.</v>
          </cell>
          <cell r="G1375" t="str">
            <v>ELIM LIST OFICIAL</v>
          </cell>
        </row>
        <row r="1376">
          <cell r="E1376">
            <v>3990085</v>
          </cell>
          <cell r="F1376" t="str">
            <v>BEAKER FORMA BAJA DE 20 ML.</v>
          </cell>
          <cell r="G1376" t="str">
            <v>ELIM LIST OFICIAL</v>
          </cell>
        </row>
        <row r="1377">
          <cell r="E1377">
            <v>3990086</v>
          </cell>
          <cell r="F1377" t="str">
            <v>BURETA DE VIDRIO 10ML.CAPACIDAD,CON SUB-DIVISIONES0.01 DE ML.</v>
          </cell>
          <cell r="G1377" t="str">
            <v>ELIM LIST OFICIAL</v>
          </cell>
        </row>
        <row r="1378">
          <cell r="E1378">
            <v>3990087</v>
          </cell>
          <cell r="F1378" t="str">
            <v>BURETA DE VIDRIO DE 50 ML.EN 0.1 ML</v>
          </cell>
          <cell r="G1378" t="str">
            <v>ELIM LIST OFICIAL</v>
          </cell>
        </row>
        <row r="1379">
          <cell r="E1379">
            <v>3990088</v>
          </cell>
          <cell r="F1379" t="str">
            <v>CILINDROS GRADUADOS DE 25 ML</v>
          </cell>
          <cell r="G1379" t="str">
            <v>ELIM LIST OFICIAL</v>
          </cell>
        </row>
        <row r="1380">
          <cell r="E1380">
            <v>3990089</v>
          </cell>
          <cell r="F1380" t="str">
            <v>COPA DE VIDRIO GRADUADA 500ML TIPO PYREX O SIMILAR</v>
          </cell>
          <cell r="G1380" t="str">
            <v>ELIM LIST OFICIAL</v>
          </cell>
        </row>
        <row r="1381">
          <cell r="E1381">
            <v>3990090</v>
          </cell>
          <cell r="F1381" t="str">
            <v>EMBUDO DE VIDRIO 45 MM. DE DIAMETRO (APROX.)</v>
          </cell>
          <cell r="G1381" t="str">
            <v>ELIM LIST OFICIAL</v>
          </cell>
        </row>
        <row r="1382">
          <cell r="E1382">
            <v>3990091</v>
          </cell>
          <cell r="F1382" t="str">
            <v>EMBUDO DE VIDRIO DE 150 MM. DE DIAMETRO (APROX.)</v>
          </cell>
          <cell r="G1382" t="str">
            <v>ELIM LIST OFICIAL</v>
          </cell>
        </row>
        <row r="1383">
          <cell r="E1383">
            <v>3990092</v>
          </cell>
          <cell r="F1383" t="str">
            <v>EMBUDO DE SEPARACION DE VIDRIO 250 ML.</v>
          </cell>
          <cell r="G1383" t="str">
            <v>ELIM LIST OFICIAL</v>
          </cell>
        </row>
        <row r="1384">
          <cell r="E1384">
            <v>3990093</v>
          </cell>
          <cell r="F1384" t="str">
            <v>ERLENMEYER DE 125 ML.</v>
          </cell>
          <cell r="G1384" t="str">
            <v>ELIM LIST OFICIAL</v>
          </cell>
        </row>
        <row r="1385">
          <cell r="E1385">
            <v>3990094</v>
          </cell>
          <cell r="F1385" t="str">
            <v>ERLENMEYER DE 50 ML.</v>
          </cell>
          <cell r="G1385" t="str">
            <v>ELIM LIST OFICIAL</v>
          </cell>
        </row>
        <row r="1386">
          <cell r="E1386">
            <v>3990095</v>
          </cell>
          <cell r="F1386" t="str">
            <v>ERLENMEYER DE 25 ML.</v>
          </cell>
          <cell r="G1386" t="str">
            <v>ELIM LIST OFICIAL</v>
          </cell>
        </row>
        <row r="1387">
          <cell r="E1387">
            <v>3990096</v>
          </cell>
          <cell r="F1387" t="str">
            <v>ERLENMEYER DE 10 ML.</v>
          </cell>
          <cell r="G1387" t="str">
            <v>ELIM LIST OFICIAL</v>
          </cell>
        </row>
        <row r="1388">
          <cell r="E1388">
            <v>3990097</v>
          </cell>
          <cell r="F1388" t="str">
            <v>FRASCO P/FILTRAR AL VACIO DE 1000CC</v>
          </cell>
          <cell r="G1388" t="str">
            <v>ELIM LIST OFICIAL</v>
          </cell>
        </row>
        <row r="1389">
          <cell r="E1389">
            <v>3990098</v>
          </cell>
          <cell r="F1389" t="str">
            <v>FRASCO P/FILTRAR AL VACIO DE 500 CC</v>
          </cell>
          <cell r="G1389" t="str">
            <v>ELIM LIST OFICIAL</v>
          </cell>
        </row>
        <row r="1390">
          <cell r="E1390">
            <v>3990099</v>
          </cell>
          <cell r="F1390" t="str">
            <v>FRASCO VIDRIO CLARO BOCA ANCHA TAPON ESMERILADO   1000 ML.</v>
          </cell>
          <cell r="G1390" t="str">
            <v>ELIM LIST OFICIAL</v>
          </cell>
        </row>
        <row r="1391">
          <cell r="E1391">
            <v>3990100</v>
          </cell>
          <cell r="F1391" t="str">
            <v>FRASCO VIDRIO CLARO TAPON ESMERILADO 30 ML. PARA  PREPARAR VDRL.</v>
          </cell>
          <cell r="G1391" t="str">
            <v>ELIM LIST OFICIAL</v>
          </cell>
        </row>
        <row r="1392">
          <cell r="E1392">
            <v>3990101</v>
          </cell>
          <cell r="F1392" t="str">
            <v>FRASCOS VOLUMETRICOS TAPON ESMERILADO DE 125 ML.</v>
          </cell>
          <cell r="G1392" t="str">
            <v>ELIM LIST OFICIAL</v>
          </cell>
        </row>
        <row r="1393">
          <cell r="E1393">
            <v>3990102</v>
          </cell>
          <cell r="F1393" t="str">
            <v>FRASCO VOLUMETRICO TAPON ESMERILADO, DE   25 ML.</v>
          </cell>
          <cell r="G1393" t="str">
            <v>ELIM LIST OFICIAL</v>
          </cell>
        </row>
        <row r="1394">
          <cell r="E1394">
            <v>3990103</v>
          </cell>
          <cell r="F1394" t="str">
            <v>JARRAS CILINDRICAS VIDRIO DE 6"X18"</v>
          </cell>
          <cell r="G1394" t="str">
            <v>ELIM LIST OFICIAL</v>
          </cell>
        </row>
        <row r="1395">
          <cell r="E1395">
            <v>3990104</v>
          </cell>
          <cell r="F1395" t="str">
            <v>JARRAS CILINDRICAS VIDRIO 8 3/4 X*18"</v>
          </cell>
          <cell r="G1395" t="str">
            <v>ELIM LIST OFICIAL</v>
          </cell>
        </row>
        <row r="1396">
          <cell r="E1396">
            <v>3990105</v>
          </cell>
          <cell r="F1396" t="str">
            <v>PIPETAS 0.1 ML. PARA PROTOMBINA.</v>
          </cell>
          <cell r="G1396" t="str">
            <v>ELIM LIST OFICIAL</v>
          </cell>
        </row>
        <row r="1397">
          <cell r="E1397">
            <v>3990106</v>
          </cell>
          <cell r="F1397" t="str">
            <v>PIPETAS 0.2 ML. PARA PROTOMBINA.</v>
          </cell>
          <cell r="G1397" t="str">
            <v>ELIM LIST OFICIAL</v>
          </cell>
        </row>
        <row r="1398">
          <cell r="E1398">
            <v>3990107</v>
          </cell>
          <cell r="F1398" t="str">
            <v>PIPETAS VOLUMETRICAS DE 3 ML.</v>
          </cell>
          <cell r="G1398" t="str">
            <v>ELIM LIST OFICIAL</v>
          </cell>
        </row>
        <row r="1399">
          <cell r="E1399">
            <v>3990108</v>
          </cell>
          <cell r="F1399" t="str">
            <v>PIPETAS VOLUMETRICAS DE 2 ML.</v>
          </cell>
          <cell r="G1399" t="str">
            <v>ELIM LIST OFICIAL</v>
          </cell>
        </row>
        <row r="1400">
          <cell r="E1400">
            <v>3990109</v>
          </cell>
          <cell r="F1400" t="str">
            <v>TERMOMETRO DE 5 A 150 C.</v>
          </cell>
          <cell r="G1400" t="str">
            <v>ELIM LIST OFICIAL</v>
          </cell>
        </row>
        <row r="1401">
          <cell r="E1401">
            <v>3990110</v>
          </cell>
          <cell r="F1401" t="str">
            <v>TUBO CONICO PARA CENTRIFUGA,SIN * GRADUAR,DE 15 MLDE VIDRIO.</v>
          </cell>
          <cell r="G1401" t="str">
            <v>ELIM LIST OFICIAL</v>
          </cell>
        </row>
        <row r="1402">
          <cell r="E1402">
            <v>3990111</v>
          </cell>
          <cell r="F1402" t="str">
            <v>TUBO PARA CENTRIFUGA, GRADUADO, A 50 ML.,CON TAPONDE ROSCA, DE VAQUELITA.</v>
          </cell>
          <cell r="G1402" t="str">
            <v>ELIM LIST OFICIAL</v>
          </cell>
        </row>
        <row r="1403">
          <cell r="E1403">
            <v>3990112</v>
          </cell>
          <cell r="F1403" t="str">
            <v>TUBO FOLLIN WU GRADUADOS 12.5 X 25*PARA DOSIFICAR GLUCOSA.</v>
          </cell>
          <cell r="G1403" t="str">
            <v>ELIM LIST OFICIAL</v>
          </cell>
        </row>
        <row r="1404">
          <cell r="E1404">
            <v>3990113</v>
          </cell>
          <cell r="F1404" t="str">
            <v>TUBOS DE ENSAYO 20 X 150 MM. CON*LABIO.</v>
          </cell>
          <cell r="G1404" t="str">
            <v>ELIM LIST OFICIAL</v>
          </cell>
        </row>
        <row r="1405">
          <cell r="E1405">
            <v>3990114</v>
          </cell>
          <cell r="F1405" t="str">
            <v>TUBOS DE ENSAYO 16 X 150 MM. CON*LABIO.</v>
          </cell>
          <cell r="G1405" t="str">
            <v>ELIM LIST OFICIAL</v>
          </cell>
        </row>
        <row r="1406">
          <cell r="E1406">
            <v>3990115</v>
          </cell>
          <cell r="F1406" t="str">
            <v>FRASCO DE VIDRIO, BOCA ANCHA,CON TAPADERA DE METALCAPACIDAD 6 ONZAS, PARA EXAMEN DE ORINA.</v>
          </cell>
          <cell r="G1406" t="str">
            <v>ELIM LIST OFICIAL</v>
          </cell>
        </row>
        <row r="1407">
          <cell r="E1407">
            <v>3990116</v>
          </cell>
          <cell r="F1407" t="str">
            <v>FRASCO DE VIDRIO CLARO,BOCA ANCHA,TAPON ESMERILADO500 ML.</v>
          </cell>
          <cell r="G1407" t="str">
            <v>ELIM LIST OFICIAL</v>
          </cell>
        </row>
        <row r="1408">
          <cell r="E1408">
            <v>3990117</v>
          </cell>
          <cell r="F1408" t="str">
            <v>Tubo descartable con citrato de sodio</v>
          </cell>
          <cell r="G1408" t="str">
            <v>ELIM LIST OFICIAL</v>
          </cell>
        </row>
        <row r="1409">
          <cell r="E1409">
            <v>3990118</v>
          </cell>
          <cell r="F1409" t="str">
            <v>TARJETA IMPRESA PARA COULTER SR.</v>
          </cell>
          <cell r="G1409" t="str">
            <v>ELIM LIST OFICIAL</v>
          </cell>
        </row>
        <row r="1410">
          <cell r="E1410">
            <v>3990119</v>
          </cell>
          <cell r="F1410" t="str">
            <v>JABON DETERGENTE NO IONICO TIPO ALCONOX (EN POLVO)****ELIMINADO**** PASA: 2350029</v>
          </cell>
          <cell r="G1410" t="str">
            <v>ELIM LIST OFICIAL</v>
          </cell>
        </row>
        <row r="1411">
          <cell r="E1411">
            <v>4001022</v>
          </cell>
          <cell r="F1411" t="str">
            <v>LACA O BARNIZ FLUORADO A BASE DE RESINAS NATURALES O  SINTETICAS QUE CONTENGA FLUORURO DE SODIO U OTRO COMPUESTO FLUORADO DE 1  A 6 % PESO/VOLÚMEN EN FORMA INDIVIDUAL O COMBINADA, PARA EL TRATAMIENTO DE LA HIPERSENSIBILIDAD DENTINAL. PRESENTACION MULTIDOS</v>
          </cell>
          <cell r="G1411" t="str">
            <v>C/U</v>
          </cell>
        </row>
        <row r="1412">
          <cell r="E1412">
            <v>4003045</v>
          </cell>
          <cell r="F1412" t="str">
            <v>MINIPLACA DE 16 HOLE BATCH O SIMILAR; C/U</v>
          </cell>
          <cell r="G1412" t="str">
            <v>C/U</v>
          </cell>
        </row>
        <row r="1413">
          <cell r="E1413">
            <v>4003046</v>
          </cell>
          <cell r="F1413" t="str">
            <v>MINIPLACA DE 6 HOLE; C/U</v>
          </cell>
          <cell r="G1413" t="str">
            <v>C/U</v>
          </cell>
        </row>
        <row r="1414">
          <cell r="E1414">
            <v>4003047</v>
          </cell>
          <cell r="F1414" t="str">
            <v>MINIPLACA DE 4 HOLE; C/U</v>
          </cell>
          <cell r="G1414" t="str">
            <v>C/U</v>
          </cell>
        </row>
        <row r="1415">
          <cell r="E1415">
            <v>4003048</v>
          </cell>
          <cell r="F1415" t="str">
            <v>TORNILLO DE TITANIO DE 7 MM; C/U</v>
          </cell>
          <cell r="G1415" t="str">
            <v>C/U</v>
          </cell>
        </row>
        <row r="1416">
          <cell r="E1416">
            <v>4003049</v>
          </cell>
          <cell r="F1416" t="str">
            <v>TORNILLO DE TITANIO DE 5 MM; C/U</v>
          </cell>
          <cell r="G1416" t="str">
            <v>C/U</v>
          </cell>
        </row>
        <row r="1417">
          <cell r="E1417">
            <v>4003050</v>
          </cell>
          <cell r="F1417" t="str">
            <v>TORNILLO DE TITANIO DE 2 MM; C/U</v>
          </cell>
          <cell r="G1417" t="str">
            <v>C/U</v>
          </cell>
        </row>
        <row r="1418">
          <cell r="E1418">
            <v>4005125</v>
          </cell>
          <cell r="F1418" t="str">
            <v>COPA DE HULE PARA CONTRANGULO DE PASADOR; C/U</v>
          </cell>
          <cell r="G1418" t="str">
            <v>C/U</v>
          </cell>
        </row>
        <row r="1419">
          <cell r="E1419">
            <v>4005126</v>
          </cell>
          <cell r="F1419" t="str">
            <v>FRESA PARA PULIR AMALGAMA EN FORMA DE HUEVO, DE ALTA VELOCIDAD; C/U</v>
          </cell>
          <cell r="G1419" t="str">
            <v>C/U</v>
          </cell>
        </row>
        <row r="1420">
          <cell r="E1420">
            <v>4005127</v>
          </cell>
          <cell r="F1420" t="str">
            <v>GRAPA PARA ENDODONCIA CON ALAS # 200 Ó # 7; C/U</v>
          </cell>
          <cell r="G1420" t="str">
            <v>C/U</v>
          </cell>
        </row>
        <row r="1421">
          <cell r="E1421">
            <v>4005128</v>
          </cell>
          <cell r="F1421" t="str">
            <v>GRAPA PARA ENDODONCIA SIN ALAS # 27 Ó W2A; C/U</v>
          </cell>
          <cell r="G1421" t="str">
            <v>C/U</v>
          </cell>
        </row>
        <row r="1422">
          <cell r="E1422">
            <v>4005129</v>
          </cell>
          <cell r="F1422" t="str">
            <v>GRAPAS PARA ENDODONCIA # 14 A; C/U</v>
          </cell>
          <cell r="G1422" t="str">
            <v>C/U</v>
          </cell>
        </row>
        <row r="1423">
          <cell r="E1423">
            <v>4005130</v>
          </cell>
          <cell r="F1423" t="str">
            <v>GRAPAS PARA ENDODONCIA # 206; C/U</v>
          </cell>
          <cell r="G1423" t="str">
            <v>C/U</v>
          </cell>
        </row>
        <row r="1424">
          <cell r="E1424">
            <v>4005131</v>
          </cell>
          <cell r="F1424" t="str">
            <v>GRAPAS PARA ENDODONCIA # 210; C/U</v>
          </cell>
          <cell r="G1424" t="str">
            <v>C/U</v>
          </cell>
        </row>
        <row r="1425">
          <cell r="E1425">
            <v>4005132</v>
          </cell>
          <cell r="F1425" t="str">
            <v>GRAPAS PARA ENDODONCIA # 212; C/U</v>
          </cell>
          <cell r="G1425" t="str">
            <v>C/U</v>
          </cell>
        </row>
        <row r="1426">
          <cell r="E1426">
            <v>4103029</v>
          </cell>
          <cell r="F1426" t="str">
            <v>DEPRESOR DE LENGUA, TIPO "WIEDER" 32 CMS. (APROX.); C/U</v>
          </cell>
          <cell r="G1426" t="str">
            <v>C/U</v>
          </cell>
        </row>
        <row r="1427">
          <cell r="E1427">
            <v>4104139</v>
          </cell>
          <cell r="F1427" t="str">
            <v>FORCEPS DE EXTRACCION # 88 R-2 INOXIDABLE CORTO; C/U</v>
          </cell>
          <cell r="G1427" t="str">
            <v>C/U</v>
          </cell>
        </row>
        <row r="1428">
          <cell r="E1428">
            <v>4104164</v>
          </cell>
          <cell r="F1428" t="str">
            <v>ARCO PARA DIQUE DE GOMA METALICO Ó PLASTICO; C/U</v>
          </cell>
          <cell r="G1428" t="str">
            <v>C/U</v>
          </cell>
        </row>
        <row r="1429">
          <cell r="E1429">
            <v>4104165</v>
          </cell>
          <cell r="F1429" t="str">
            <v>CUCHARILLA ENDODONTICA; C/U</v>
          </cell>
          <cell r="G1429" t="str">
            <v>C/U</v>
          </cell>
        </row>
        <row r="1430">
          <cell r="E1430">
            <v>4104166</v>
          </cell>
          <cell r="F1430" t="str">
            <v>EXPLORADOR PARA ENDODONCIA; C/U</v>
          </cell>
          <cell r="G1430" t="str">
            <v>C/U</v>
          </cell>
        </row>
        <row r="1431">
          <cell r="E1431">
            <v>4104167</v>
          </cell>
          <cell r="F1431" t="str">
            <v>PERFORADORA DE DIQUE DE GOMA; C/U</v>
          </cell>
          <cell r="G1431" t="str">
            <v>C/U</v>
          </cell>
        </row>
        <row r="1432">
          <cell r="E1432">
            <v>4104168</v>
          </cell>
          <cell r="F1432" t="str">
            <v>PINZA PORTAGRAPA PARA DIQUE DE GOMA; C/U</v>
          </cell>
          <cell r="G1432" t="str">
            <v>C/U</v>
          </cell>
        </row>
        <row r="1433">
          <cell r="E1433">
            <v>4104169</v>
          </cell>
          <cell r="F1433" t="str">
            <v>QUITA  Y  PONE  FRESA  PARA  ALTA VELOCIDAD, TIPO STARFLITE; C/U</v>
          </cell>
          <cell r="G1433" t="str">
            <v>C/U</v>
          </cell>
        </row>
        <row r="1434">
          <cell r="E1434">
            <v>4201048</v>
          </cell>
          <cell r="F1434" t="str">
            <v>ABREBOCA DE HULE PEQUEÑO, MEDIANO Y GRANDE; SET</v>
          </cell>
          <cell r="G1434" t="str">
            <v>C/U</v>
          </cell>
        </row>
        <row r="1435">
          <cell r="E1435">
            <v>4201049</v>
          </cell>
          <cell r="F1435" t="str">
            <v>CARETAS DE PROTECCION CON VISOR PLASTICO INTERCAMBIABLE TRANSPARENTE;C/U</v>
          </cell>
          <cell r="G1435" t="str">
            <v>C/U</v>
          </cell>
        </row>
        <row r="1436">
          <cell r="E1436">
            <v>4201050</v>
          </cell>
          <cell r="F1436" t="str">
            <v>DIQUE DE GOMA, GRUESO, TIPO YOUNG, 6 X 6"; CAJA 36-50 UNIDADES.</v>
          </cell>
          <cell r="G1436" t="str">
            <v>C/U</v>
          </cell>
        </row>
        <row r="1437">
          <cell r="E1437">
            <v>4201051</v>
          </cell>
          <cell r="F1437" t="str">
            <v>LAMPARA DE VIDRIO O DE METAL PARA ALCOHOL; C/U</v>
          </cell>
          <cell r="G1437" t="str">
            <v>C/U</v>
          </cell>
        </row>
        <row r="1438">
          <cell r="E1438">
            <v>4000000</v>
          </cell>
          <cell r="F1438" t="str">
            <v xml:space="preserve">FRESA PARA PULIR AMALGAMA EN FORMA DE HUEVO, DE ALTA VELOCIDAD </v>
          </cell>
          <cell r="G1438" t="str">
            <v>C/U</v>
          </cell>
        </row>
        <row r="1439">
          <cell r="E1439">
            <v>4000010</v>
          </cell>
          <cell r="F1439" t="str">
            <v>FRESA DE CARBURO FISURA EXTREMO PLANO, AGARRE POR FRICCION # 701, ALTA VELOCIDAD</v>
          </cell>
          <cell r="G1439" t="str">
            <v>C/U</v>
          </cell>
        </row>
        <row r="1440">
          <cell r="E1440">
            <v>4001020</v>
          </cell>
          <cell r="F1440" t="str">
            <v xml:space="preserve">HUESO LIOFILIZADO PARA TRATAMIENTO DE DEFECTOS OSEOS. FRASCO O BOLSA DE 0.25 MG                     </v>
          </cell>
          <cell r="G1440" t="str">
            <v>FRASCO Ó BOLSA DE 0.25 MG.</v>
          </cell>
        </row>
        <row r="1441">
          <cell r="E1441">
            <v>4001001</v>
          </cell>
          <cell r="F1441" t="str">
            <v>LACA FLUORADA COMPUESTA POR FLUORURO DE SODIO Y FLUORURO DE CALCIO</v>
          </cell>
          <cell r="G1441" t="str">
            <v>ESTUCHE</v>
          </cell>
        </row>
        <row r="1442">
          <cell r="E1442">
            <v>4001021</v>
          </cell>
          <cell r="F1442" t="str">
            <v>MEMBRANA DE REGENERACION TISULAR REABSORBIBLE PARA USO PERIODONTAL</v>
          </cell>
          <cell r="G1442" t="str">
            <v>C/U</v>
          </cell>
        </row>
        <row r="1443">
          <cell r="E1443">
            <v>4002060</v>
          </cell>
          <cell r="F1443" t="str">
            <v>CEMENTO PARA OBTURACION TEMPORARIA, EN TUBO, FRASCO O TARRO</v>
          </cell>
          <cell r="G1443" t="str">
            <v>TUBO, FRASCO O TARRO</v>
          </cell>
        </row>
        <row r="1444">
          <cell r="E1444">
            <v>4002061</v>
          </cell>
          <cell r="F1444" t="str">
            <v>CEMENTO SELLADOR BIOCOMPATIBLE DE CANALES RADICULARES</v>
          </cell>
          <cell r="G1444" t="str">
            <v>SET</v>
          </cell>
        </row>
        <row r="1445">
          <cell r="E1445">
            <v>4002062</v>
          </cell>
          <cell r="F1445" t="str">
            <v>CEMENTO TRIOXIDO MINERAL AGREGADO</v>
          </cell>
          <cell r="G1445" t="str">
            <v>SET</v>
          </cell>
        </row>
        <row r="1446">
          <cell r="E1446">
            <v>4002063</v>
          </cell>
          <cell r="F1446" t="str">
            <v>CLOROFORMO SOLUCION</v>
          </cell>
          <cell r="G1446" t="str">
            <v>FRASCO DE 30 - 60 mL.</v>
          </cell>
        </row>
        <row r="1447">
          <cell r="E1447">
            <v>4002064</v>
          </cell>
          <cell r="F1447" t="str">
            <v xml:space="preserve">EDTA (ACIDO ETILEN-DIAMINO TETRAACETATO)  FRASCO </v>
          </cell>
          <cell r="G1447" t="str">
            <v>FRASCO</v>
          </cell>
        </row>
        <row r="1448">
          <cell r="E1448">
            <v>4002065</v>
          </cell>
          <cell r="F1448" t="str">
            <v>FRESA ENDO Z</v>
          </cell>
          <cell r="G1448" t="str">
            <v>C/U</v>
          </cell>
        </row>
        <row r="1449">
          <cell r="E1449">
            <v>4002066</v>
          </cell>
          <cell r="F1449" t="str">
            <v>FRESA TIPO GATES GLIDDEN (DEL 1 AL 6), DE 25 MM, PARA APERTURA DE CANALES</v>
          </cell>
          <cell r="G1449" t="str">
            <v>JUEGO</v>
          </cell>
        </row>
        <row r="1450">
          <cell r="E1450">
            <v>4002007</v>
          </cell>
          <cell r="F1450" t="str">
            <v>GRAPAS PARA ENDODONCIA # 14 A</v>
          </cell>
          <cell r="G1450" t="str">
            <v>C/U</v>
          </cell>
        </row>
        <row r="1451">
          <cell r="E1451">
            <v>4002067</v>
          </cell>
          <cell r="F1451" t="str">
            <v>GRAPAS PARA ENDODONCIA # 201</v>
          </cell>
          <cell r="G1451" t="str">
            <v>C/U</v>
          </cell>
        </row>
        <row r="1452">
          <cell r="E1452">
            <v>4002009</v>
          </cell>
          <cell r="F1452" t="str">
            <v>GRAPAS PARA ENDODONCIA # 206</v>
          </cell>
          <cell r="G1452" t="str">
            <v>C/U</v>
          </cell>
        </row>
        <row r="1453">
          <cell r="E1453">
            <v>4002010</v>
          </cell>
          <cell r="F1453" t="str">
            <v>GRAPAS PARA ENDODONCIA # 210</v>
          </cell>
          <cell r="G1453" t="str">
            <v>C/U</v>
          </cell>
        </row>
        <row r="1454">
          <cell r="E1454">
            <v>4002011</v>
          </cell>
          <cell r="F1454" t="str">
            <v>GRAPAS PARA ENDODONCIA # 212</v>
          </cell>
          <cell r="G1454" t="str">
            <v>C/U</v>
          </cell>
        </row>
        <row r="1455">
          <cell r="E1455">
            <v>4002068</v>
          </cell>
          <cell r="F1455" t="str">
            <v>GRAPAS PARA ENDODONCIA # 26</v>
          </cell>
          <cell r="G1455" t="str">
            <v>C/U</v>
          </cell>
        </row>
        <row r="1456">
          <cell r="E1456">
            <v>4002069</v>
          </cell>
          <cell r="F1456" t="str">
            <v>GRAPAS PARA ENDODONCIA # 8</v>
          </cell>
          <cell r="G1456" t="str">
            <v>C/U</v>
          </cell>
        </row>
        <row r="1457">
          <cell r="E1457">
            <v>4002014</v>
          </cell>
          <cell r="F1457" t="str">
            <v>GRAPA PARA ENDODONCIA CON ALAS # 200 Ó # 7</v>
          </cell>
          <cell r="G1457" t="str">
            <v>C/U</v>
          </cell>
        </row>
        <row r="1458">
          <cell r="E1458">
            <v>4002015</v>
          </cell>
          <cell r="F1458" t="str">
            <v>GRAPA PARA ENDODONCIA SIN ALAS # 27 Ó W2A</v>
          </cell>
          <cell r="G1458" t="str">
            <v>C/U</v>
          </cell>
        </row>
        <row r="1459">
          <cell r="E1459">
            <v>4002070</v>
          </cell>
          <cell r="F1459" t="str">
            <v>HIDROXIDO DE CALCIO MAS PARAMONOCLOROFENOL ALCANFORADO (FORMULA CALEN PMCC)</v>
          </cell>
          <cell r="G1459" t="str">
            <v>SET</v>
          </cell>
        </row>
        <row r="1460">
          <cell r="E1460">
            <v>4002071</v>
          </cell>
          <cell r="F1460" t="str">
            <v xml:space="preserve">LIMAS DE NIQUEL TITANIO DEL SISTEMA ROTATORIO </v>
          </cell>
          <cell r="G1460" t="str">
            <v>JUEGO</v>
          </cell>
        </row>
        <row r="1461">
          <cell r="E1461">
            <v>4002072</v>
          </cell>
          <cell r="F1461" t="str">
            <v>LIMAS MANUALES DE NIQUEL TITANIO DEL 15 AL 40</v>
          </cell>
          <cell r="G1461" t="str">
            <v>SET</v>
          </cell>
        </row>
        <row r="1462">
          <cell r="E1462">
            <v>4002073</v>
          </cell>
          <cell r="F1462" t="str">
            <v>LIMAS MANUALES DE NIQUEL TITANIO DEL 45 AL 80</v>
          </cell>
          <cell r="G1462" t="str">
            <v>SET</v>
          </cell>
        </row>
        <row r="1463">
          <cell r="E1463">
            <v>4002074</v>
          </cell>
          <cell r="F1463" t="str">
            <v>LIMAS TIPO K DE ACERO INOXIDABLE DEL 15 AL 40 DE 25 MM. DE LARGO, CON MANGO</v>
          </cell>
          <cell r="G1463" t="str">
            <v>JUEGO</v>
          </cell>
        </row>
        <row r="1464">
          <cell r="E1464">
            <v>4002075</v>
          </cell>
          <cell r="F1464" t="str">
            <v>LIMAS TIPO K DE ACERO INOXIDABLE DEL 15 AL 40 DE 31 MM. DE LARGO</v>
          </cell>
          <cell r="G1464" t="str">
            <v>JUEGO</v>
          </cell>
        </row>
        <row r="1465">
          <cell r="E1465">
            <v>4002076</v>
          </cell>
          <cell r="F1465" t="str">
            <v>LIMAS TIPO K DE ACERO INOXIDABLE DEL 45 AL 80 DE 25 MM. DE LARGO, CON MANGO</v>
          </cell>
          <cell r="G1465" t="str">
            <v>JUEGO</v>
          </cell>
        </row>
        <row r="1466">
          <cell r="E1466">
            <v>4002077</v>
          </cell>
          <cell r="F1466" t="str">
            <v>LIMAS TIPO K DE ACERO INOXIDABLE DEL 45 AL 80 DE 31 MM. DE LARGO</v>
          </cell>
          <cell r="G1466" t="str">
            <v>JUEGO</v>
          </cell>
        </row>
        <row r="1467">
          <cell r="E1467">
            <v>4002078</v>
          </cell>
          <cell r="F1467" t="str">
            <v>LIMAS TIPO K DE ACERO INOXIDABLE SERIE ACCESORIA (0.6 - 10)</v>
          </cell>
          <cell r="G1467" t="str">
            <v>SET</v>
          </cell>
        </row>
        <row r="1468">
          <cell r="E1468">
            <v>4002079</v>
          </cell>
          <cell r="F1468" t="str">
            <v>LIMA TIPO K NO. 15</v>
          </cell>
          <cell r="G1468" t="str">
            <v>CAJA</v>
          </cell>
        </row>
        <row r="1469">
          <cell r="E1469">
            <v>4002080</v>
          </cell>
          <cell r="F1469" t="str">
            <v>LIMA TIPO K NO. 20</v>
          </cell>
          <cell r="G1469" t="str">
            <v>CAJA</v>
          </cell>
        </row>
        <row r="1470">
          <cell r="E1470">
            <v>4002081</v>
          </cell>
          <cell r="F1470" t="str">
            <v>LIMA TIPO K NO. 25</v>
          </cell>
          <cell r="G1470" t="str">
            <v>CAJA</v>
          </cell>
        </row>
        <row r="1471">
          <cell r="E1471">
            <v>4002082</v>
          </cell>
          <cell r="F1471" t="str">
            <v>PARAMONOCLOROFENOL SOLUCION</v>
          </cell>
          <cell r="G1471" t="str">
            <v>FRASCO DE 10-30 mL</v>
          </cell>
        </row>
        <row r="1472">
          <cell r="E1472">
            <v>4002083</v>
          </cell>
          <cell r="F1472" t="str">
            <v>PELICULA RADIOGRAFICA INTRA-ORAL DOBLE FILM PARA ADULTO</v>
          </cell>
          <cell r="G1472" t="str">
            <v>C/U</v>
          </cell>
        </row>
        <row r="1473">
          <cell r="E1473">
            <v>4002084</v>
          </cell>
          <cell r="F1473" t="str">
            <v>PUNTAS DE GUTAPERCHA ACCESORIA FINE MEDIUM</v>
          </cell>
          <cell r="G1473" t="str">
            <v>CAJA</v>
          </cell>
        </row>
        <row r="1474">
          <cell r="E1474">
            <v>4002085</v>
          </cell>
          <cell r="F1474" t="str">
            <v>PUNTAS DE GUTAPERCHA ACCESORIA MEDIUM</v>
          </cell>
          <cell r="G1474" t="str">
            <v>CAJA</v>
          </cell>
        </row>
        <row r="1475">
          <cell r="E1475">
            <v>4002086</v>
          </cell>
          <cell r="F1475" t="str">
            <v>PUNTAS DE GUTAPERCHA ACCESORIA MEDIUM FINE</v>
          </cell>
          <cell r="G1475" t="str">
            <v>CAJA</v>
          </cell>
        </row>
        <row r="1476">
          <cell r="E1476">
            <v>4002087</v>
          </cell>
          <cell r="F1476" t="str">
            <v>PUNTAS DE GUTAPERCHA ACCESORIAS DE 0.04% DEL 20 AL 45</v>
          </cell>
          <cell r="G1476" t="str">
            <v>ESTUCHE</v>
          </cell>
        </row>
        <row r="1477">
          <cell r="E1477">
            <v>4002088</v>
          </cell>
          <cell r="F1477" t="str">
            <v>PUNTAS DE GUTAPERCHA DEL 15 AL 40</v>
          </cell>
          <cell r="G1477" t="str">
            <v>JUEGO</v>
          </cell>
        </row>
        <row r="1478">
          <cell r="E1478">
            <v>4002089</v>
          </cell>
          <cell r="F1478" t="str">
            <v>PUNTAS DE GUTAPERCHA DEL 45 AL 80</v>
          </cell>
          <cell r="G1478" t="str">
            <v>JUEGO</v>
          </cell>
        </row>
        <row r="1479">
          <cell r="E1479">
            <v>4002090</v>
          </cell>
          <cell r="F1479" t="str">
            <v>PUNTAS DE PAPEL DEL 15 AL 40</v>
          </cell>
          <cell r="G1479" t="str">
            <v>CAJA</v>
          </cell>
        </row>
        <row r="1480">
          <cell r="E1480">
            <v>4002091</v>
          </cell>
          <cell r="F1480" t="str">
            <v>PUNTAS DE PAPEL DEL 45 AL 80</v>
          </cell>
          <cell r="G1480" t="str">
            <v>CAJA</v>
          </cell>
        </row>
        <row r="1481">
          <cell r="E1481">
            <v>4003040</v>
          </cell>
          <cell r="F1481" t="str">
            <v>ACRILICO AUTOPOLIMERIZABLE  POLVO Y LIQUIDO.</v>
          </cell>
          <cell r="G1481" t="str">
            <v>SET</v>
          </cell>
        </row>
        <row r="1482">
          <cell r="E1482">
            <v>4003041</v>
          </cell>
          <cell r="F1482" t="str">
            <v>FRESA QUIRURGICA DE TALLO LARGO # 702 PARA ALTA VELOCIDAD, TIPO BUFALO O SIMILAR</v>
          </cell>
          <cell r="G1482" t="str">
            <v>C/U</v>
          </cell>
        </row>
        <row r="1483">
          <cell r="E1483">
            <v>4003042</v>
          </cell>
          <cell r="F1483" t="str">
            <v>HILO DE ALAMBRE 0.40 MM. X 0.016" ACERO INOXIDABLE MALEABLE</v>
          </cell>
          <cell r="G1483" t="str">
            <v>ROLLO</v>
          </cell>
        </row>
        <row r="1484">
          <cell r="E1484">
            <v>4003043</v>
          </cell>
          <cell r="F1484" t="str">
            <v>HILO DE ALAMBRE 0.50 MM. X 0.020" ACERO INOXIDABLE MALEABLE</v>
          </cell>
          <cell r="G1484" t="str">
            <v>ROLLO</v>
          </cell>
        </row>
        <row r="1485">
          <cell r="E1485">
            <v>4003044</v>
          </cell>
          <cell r="F1485" t="str">
            <v>FRESA QUIRURGICA DE TALLO LARGO # 702 PARA ALTA VELOCIDAD, TIPO BUFALO O SIMILAR</v>
          </cell>
          <cell r="G1485" t="str">
            <v>C/U</v>
          </cell>
        </row>
        <row r="1486">
          <cell r="E1486">
            <v>4003005</v>
          </cell>
          <cell r="F1486" t="str">
            <v>MINIPLACAS DE 16 HOLE BATCH O SIMILAR</v>
          </cell>
          <cell r="G1486" t="str">
            <v>PAQUETE</v>
          </cell>
        </row>
        <row r="1487">
          <cell r="E1487">
            <v>4003006</v>
          </cell>
          <cell r="F1487" t="str">
            <v>MINIPLACAS DE 4 HOLE, PAQUETE DE 10 UNIDADES</v>
          </cell>
          <cell r="G1487" t="str">
            <v>PAQUETE</v>
          </cell>
        </row>
        <row r="1488">
          <cell r="E1488">
            <v>4003007</v>
          </cell>
          <cell r="F1488" t="str">
            <v>MINIPLACAS DE 6 HOLE, PAQUETE DE 10 UNIDADES</v>
          </cell>
          <cell r="G1488" t="str">
            <v>PAQUETE</v>
          </cell>
        </row>
        <row r="1489">
          <cell r="E1489">
            <v>4003008</v>
          </cell>
          <cell r="F1489" t="str">
            <v>TORNILLO DE TITANIO DE 2 MM., PAQUETE DE 10 UNIDADES</v>
          </cell>
          <cell r="G1489" t="str">
            <v>PAQUETE</v>
          </cell>
        </row>
        <row r="1490">
          <cell r="E1490">
            <v>4003009</v>
          </cell>
          <cell r="F1490" t="str">
            <v>TORNILLO DE TITANIO DE 5 MM., PAQUETE DE 10 UNIDADES</v>
          </cell>
          <cell r="G1490" t="str">
            <v>PAQUETE</v>
          </cell>
        </row>
        <row r="1491">
          <cell r="E1491">
            <v>4003010</v>
          </cell>
          <cell r="F1491" t="str">
            <v>TORNILLO DE TITANIO DE 7 MM., PAQUETE DE 10 UNIDADES</v>
          </cell>
          <cell r="G1491" t="str">
            <v>PAQUETE</v>
          </cell>
        </row>
        <row r="1492">
          <cell r="E1492">
            <v>4004000</v>
          </cell>
          <cell r="F1492" t="str">
            <v>COPA DE HULE PARA CONTRANGULO DE PASADOR</v>
          </cell>
          <cell r="G1492" t="str">
            <v>C/U</v>
          </cell>
        </row>
        <row r="1493">
          <cell r="E1493">
            <v>4004010</v>
          </cell>
          <cell r="F1493" t="str">
            <v>RESINA COMPOSITA, CATALIZADOR Y BASE, DE AUTOCURADO PARA SELLADO DE FOSAS Y FISURAS</v>
          </cell>
          <cell r="G1493" t="str">
            <v>SET</v>
          </cell>
        </row>
        <row r="1494">
          <cell r="E1494">
            <v>4005070</v>
          </cell>
          <cell r="F1494" t="str">
            <v>ACIDO GRABADOR DE ESMALTE EN GEL (RESINAS COMPOSITAS)</v>
          </cell>
          <cell r="G1494" t="str">
            <v>FRASCO</v>
          </cell>
        </row>
        <row r="1495">
          <cell r="E1495">
            <v>4005071</v>
          </cell>
          <cell r="F1495" t="str">
            <v>ADHESIVO PARA RESINA COMPOSITA DE FOTOCURADO</v>
          </cell>
          <cell r="G1495" t="str">
            <v>FRASCO</v>
          </cell>
        </row>
        <row r="1496">
          <cell r="E1496">
            <v>4005072</v>
          </cell>
          <cell r="F1496" t="str">
            <v>AGUJA CARPULE CORTA # 27 DESCARTABLE</v>
          </cell>
          <cell r="G1496" t="str">
            <v>C/U</v>
          </cell>
        </row>
        <row r="1497">
          <cell r="E1497">
            <v>4005073</v>
          </cell>
          <cell r="F1497" t="str">
            <v>AGUJA CARPULE CORTA # 30 DESCARTABLE</v>
          </cell>
          <cell r="G1497" t="str">
            <v>C/U</v>
          </cell>
        </row>
        <row r="1498">
          <cell r="E1498">
            <v>4005074</v>
          </cell>
          <cell r="F1498" t="str">
            <v>AGUJA CARPULE LARGA # 27 DESCARTABLE</v>
          </cell>
          <cell r="G1498" t="str">
            <v>C/U</v>
          </cell>
        </row>
        <row r="1499">
          <cell r="E1499">
            <v>4005075</v>
          </cell>
          <cell r="F1499" t="str">
            <v>ALEACION DE AMALGAMA DE PLATA EN CAPSULAS PREDOSIFICADAS DE UNA PORCION</v>
          </cell>
          <cell r="G1499" t="str">
            <v>C/U</v>
          </cell>
        </row>
        <row r="1500">
          <cell r="E1500">
            <v>4005076</v>
          </cell>
          <cell r="F1500" t="str">
            <v>BASE PROTECTORA PULPAR ( IONOMERO DE VIDRIO ) DE  FOTOCURADO</v>
          </cell>
          <cell r="G1500" t="str">
            <v>SET</v>
          </cell>
        </row>
        <row r="1501">
          <cell r="E1501">
            <v>4005007</v>
          </cell>
          <cell r="F1501" t="str">
            <v>CARETAS DE PROTECCION CON VISOR PLASTICO INTERCAMBIABLE TRANSPARENTE</v>
          </cell>
          <cell r="G1501" t="str">
            <v>C/U</v>
          </cell>
        </row>
        <row r="1502">
          <cell r="E1502">
            <v>4005077</v>
          </cell>
          <cell r="F1502" t="str">
            <v>CELULOIDE EN TIRAS</v>
          </cell>
          <cell r="G1502" t="str">
            <v>TUBO</v>
          </cell>
        </row>
        <row r="1503">
          <cell r="E1503">
            <v>4005078</v>
          </cell>
          <cell r="F1503" t="str">
            <v>CEMENTO  DE  HIDROXIDO  DE  CALCIO  EN  PASTA     CATALIZADOR Y BASE DE FRAGUADO REGULAR</v>
          </cell>
          <cell r="G1503" t="str">
            <v>SET</v>
          </cell>
        </row>
        <row r="1504">
          <cell r="E1504">
            <v>4005079</v>
          </cell>
          <cell r="F1504" t="str">
            <v>CEMENTO  DE  OXIDO  DE ZINC  CON  EUGENOL POLVO, ENDURECIMIENTO RAPIDO</v>
          </cell>
          <cell r="G1504" t="str">
            <v>FRASCO</v>
          </cell>
        </row>
        <row r="1505">
          <cell r="E1505">
            <v>4005080</v>
          </cell>
          <cell r="F1505" t="str">
            <v>CEMENTO DE FOSFATO DE ZINC LIQUIDO</v>
          </cell>
          <cell r="G1505" t="str">
            <v>FRASCO</v>
          </cell>
        </row>
        <row r="1506">
          <cell r="E1506">
            <v>4005081</v>
          </cell>
          <cell r="F1506" t="str">
            <v>CEMENTO DE FOSFATO DE ZINC POLVO</v>
          </cell>
          <cell r="G1506" t="str">
            <v>FRASCO</v>
          </cell>
        </row>
        <row r="1507">
          <cell r="E1507">
            <v>4005082</v>
          </cell>
          <cell r="F1507" t="str">
            <v>CEMENTO DE OXIDO DE ZINC CON EUGENOL LIQUIDO, ENDURECIMIENTO RAPIDO</v>
          </cell>
          <cell r="G1507" t="str">
            <v>FRASCO</v>
          </cell>
        </row>
        <row r="1508">
          <cell r="E1508">
            <v>4005083</v>
          </cell>
          <cell r="F1508" t="str">
            <v>CEMENTO DE POLICARBOXILATO LIQUIDO</v>
          </cell>
          <cell r="G1508" t="str">
            <v>FRASCO</v>
          </cell>
        </row>
        <row r="1509">
          <cell r="E1509">
            <v>4005084</v>
          </cell>
          <cell r="F1509" t="str">
            <v>CEMENTO DE POLICARBOXILATO POLVO</v>
          </cell>
          <cell r="G1509" t="str">
            <v>FRASCO</v>
          </cell>
        </row>
        <row r="1510">
          <cell r="E1510">
            <v>4005085</v>
          </cell>
          <cell r="F1510" t="str">
            <v>CHUCK METALICO PARA PIEZA DE MANO DE ALTA VELOCIDAD</v>
          </cell>
          <cell r="G1510" t="str">
            <v>C/U</v>
          </cell>
        </row>
        <row r="1511">
          <cell r="E1511">
            <v>4005086</v>
          </cell>
          <cell r="F1511" t="str">
            <v>CINTA BANDA MATRIZ DE 5 MM. DE ANCHO, METALICA</v>
          </cell>
          <cell r="G1511" t="str">
            <v>ROLLO</v>
          </cell>
        </row>
        <row r="1512">
          <cell r="E1512">
            <v>4005087</v>
          </cell>
          <cell r="F1512" t="str">
            <v>CINTA BANDA MATRIZ DE 7 MM. DE ANCHO, METALICA</v>
          </cell>
          <cell r="G1512" t="str">
            <v>ROLLO</v>
          </cell>
        </row>
        <row r="1513">
          <cell r="E1513">
            <v>4005088</v>
          </cell>
          <cell r="F1513" t="str">
            <v>COPA DE HULE DE ATORNILLAR PARA ANGULO DE PROFILAXIS</v>
          </cell>
          <cell r="G1513" t="str">
            <v>C/U</v>
          </cell>
        </row>
        <row r="1514">
          <cell r="E1514">
            <v>4005089</v>
          </cell>
          <cell r="F1514" t="str">
            <v>COPA O TAZA DAPPEN DE PLASTICO</v>
          </cell>
          <cell r="G1514" t="str">
            <v>C/U</v>
          </cell>
        </row>
        <row r="1515">
          <cell r="E1515">
            <v>4005090</v>
          </cell>
          <cell r="F1515" t="str">
            <v>COPA O TAZA DAPPEN DE VIDRIO</v>
          </cell>
          <cell r="G1515" t="str">
            <v>C/U</v>
          </cell>
        </row>
        <row r="1516">
          <cell r="E1516">
            <v>4005091</v>
          </cell>
          <cell r="F1516" t="str">
            <v>CUÑAS DE MADERA</v>
          </cell>
          <cell r="G1516" t="str">
            <v xml:space="preserve"> CAJA O BOLSA</v>
          </cell>
        </row>
        <row r="1517">
          <cell r="E1517">
            <v>4005092</v>
          </cell>
          <cell r="F1517" t="str">
            <v>EYECTOR DE SALIVA DESCARTABLE</v>
          </cell>
          <cell r="G1517" t="str">
            <v>C/U</v>
          </cell>
        </row>
        <row r="1518">
          <cell r="E1518">
            <v>4005093</v>
          </cell>
          <cell r="F1518" t="str">
            <v>FORMOCRESOL SOLUCION (FORMALDEHIDO 19% CREASETINA 35%)</v>
          </cell>
          <cell r="G1518" t="str">
            <v>FRASCO DE 10-30 mL</v>
          </cell>
        </row>
        <row r="1519">
          <cell r="E1519">
            <v>4005094</v>
          </cell>
          <cell r="F1519" t="str">
            <v>FRESA DE ARKANSAS REDONDA PARA PULIDO DE RESINAS</v>
          </cell>
          <cell r="G1519" t="str">
            <v>C/U</v>
          </cell>
        </row>
        <row r="1520">
          <cell r="E1520">
            <v>4005095</v>
          </cell>
          <cell r="F1520" t="str">
            <v>FRESA DE CARBURO FISURA EXTREMO PLANO AGARRE POR  FRICCION # 556</v>
          </cell>
          <cell r="G1520" t="str">
            <v>C/U</v>
          </cell>
        </row>
        <row r="1521">
          <cell r="E1521">
            <v>4005096</v>
          </cell>
          <cell r="F1521" t="str">
            <v>FRESA DE CARBURO FISURA EXTREMO PLANO AGARRE POR FRICCION # 557</v>
          </cell>
          <cell r="G1521" t="str">
            <v>C/U</v>
          </cell>
        </row>
        <row r="1522">
          <cell r="E1522">
            <v>4005097</v>
          </cell>
          <cell r="F1522" t="str">
            <v>FRESA DE CARBURO FISURA EXTREMO PLANO AGARRE POR FRICCION # 558</v>
          </cell>
          <cell r="G1522" t="str">
            <v>C/U</v>
          </cell>
        </row>
        <row r="1523">
          <cell r="E1523">
            <v>4005098</v>
          </cell>
          <cell r="F1523" t="str">
            <v>FRESA DE CARBURO REDONDA AGARRE POR FRICCION # 2</v>
          </cell>
          <cell r="G1523" t="str">
            <v>C/U</v>
          </cell>
        </row>
        <row r="1524">
          <cell r="E1524">
            <v>4005099</v>
          </cell>
          <cell r="F1524" t="str">
            <v>FRESA DE CARBURO REDONDA AGARRE POR FRICCION # 4</v>
          </cell>
          <cell r="G1524" t="str">
            <v>C/U</v>
          </cell>
        </row>
        <row r="1525">
          <cell r="E1525">
            <v>4005100</v>
          </cell>
          <cell r="F1525" t="str">
            <v>FRESA DE CARBURO REDONDA, AGARRE POR FRICCION # 6</v>
          </cell>
          <cell r="G1525" t="str">
            <v>C/U</v>
          </cell>
        </row>
        <row r="1526">
          <cell r="E1526">
            <v>4005101</v>
          </cell>
          <cell r="F1526" t="str">
            <v>FRESA DE CARBURO, AGARRE POR FRICCION # 245</v>
          </cell>
          <cell r="G1526" t="str">
            <v>C/U</v>
          </cell>
        </row>
        <row r="1527">
          <cell r="E1527">
            <v>4005102</v>
          </cell>
          <cell r="F1527" t="str">
            <v>FRESA DE CARBURO, AGARRE POR FRICCION # 330</v>
          </cell>
          <cell r="G1527" t="str">
            <v>C/U</v>
          </cell>
        </row>
        <row r="1528">
          <cell r="E1528">
            <v>4005103</v>
          </cell>
          <cell r="F1528" t="str">
            <v>FRESA DE DIAMANTE EN FORMA DE RUEDA PARA PULIR RESINA</v>
          </cell>
          <cell r="G1528" t="str">
            <v>C/U</v>
          </cell>
        </row>
        <row r="1529">
          <cell r="E1529">
            <v>4005104</v>
          </cell>
          <cell r="F1529" t="str">
            <v>FRESA DE DIAMANTE TRONCO CONICA FINA</v>
          </cell>
          <cell r="G1529" t="str">
            <v>C/U</v>
          </cell>
        </row>
        <row r="1530">
          <cell r="E1530">
            <v>4005105</v>
          </cell>
          <cell r="F1530" t="str">
            <v>FRESA ESPECIAL DE ALTA VELOCIDAD, PARA REMOVER OBTURACIONES Y CORONAS METALICAS.</v>
          </cell>
          <cell r="G1530" t="str">
            <v>C/U</v>
          </cell>
        </row>
        <row r="1531">
          <cell r="E1531">
            <v>4005106</v>
          </cell>
          <cell r="F1531" t="str">
            <v xml:space="preserve">FRESA PARA PULIR AMALGAMA, REDONDA, DE ALTA VALOCIDAD NO. 4 </v>
          </cell>
          <cell r="G1531" t="str">
            <v>C/U</v>
          </cell>
        </row>
        <row r="1532">
          <cell r="E1532">
            <v>4005107</v>
          </cell>
          <cell r="F1532" t="str">
            <v xml:space="preserve">FRESA PARA PULIR AMALGAMA, REDONDA, DE ALTA VELOCIDAD NO. 6 </v>
          </cell>
          <cell r="G1532" t="str">
            <v>C/U</v>
          </cell>
        </row>
        <row r="1533">
          <cell r="E1533">
            <v>4005108</v>
          </cell>
          <cell r="F1533" t="str">
            <v>FRESA PARA TERMINADO FINAL DE AMALGAMA EN FORMA DE PERA</v>
          </cell>
          <cell r="G1533" t="str">
            <v>C/U</v>
          </cell>
        </row>
        <row r="1534">
          <cell r="E1534">
            <v>4005109</v>
          </cell>
          <cell r="F1534" t="str">
            <v>FRESA QUIRURGICA DE ALTA VELOCIDAD, CILINDRICA # 557, TALLO LARGO, 0.025 CM.(APROX.)</v>
          </cell>
          <cell r="G1534" t="str">
            <v>C/U</v>
          </cell>
        </row>
        <row r="1535">
          <cell r="E1535">
            <v>4005110</v>
          </cell>
          <cell r="F1535" t="str">
            <v>HIDROXIDO DE CALCIO QUIMICAMENTE PURO, EN POLVO</v>
          </cell>
          <cell r="G1535" t="str">
            <v>FRASCO</v>
          </cell>
        </row>
        <row r="1536">
          <cell r="E1536">
            <v>4005111</v>
          </cell>
          <cell r="F1536" t="str">
            <v>JERINGA CON GRASA PARA LUBRICAR PIEZA DE MANO</v>
          </cell>
          <cell r="G1536" t="str">
            <v>C/U</v>
          </cell>
        </row>
        <row r="1537">
          <cell r="E1537">
            <v>4005112</v>
          </cell>
          <cell r="F1537" t="str">
            <v>LENTE DE PROTECCION PARA LAMPARA DE FOTOCURADO</v>
          </cell>
          <cell r="G1537" t="str">
            <v>C/U</v>
          </cell>
        </row>
        <row r="1538">
          <cell r="E1538">
            <v>4005113</v>
          </cell>
          <cell r="F1538" t="str">
            <v>LIQUIDOS PARA PROCESAR PELICULAS RADIOGRAFICAS    ORALES (REVELADOR Y FIJADOR)</v>
          </cell>
          <cell r="G1538" t="str">
            <v>SET</v>
          </cell>
        </row>
        <row r="1539">
          <cell r="E1539">
            <v>4005114</v>
          </cell>
          <cell r="F1539" t="str">
            <v>LUBRICANTE EN SPRAY, PARA PIEZA DE MANO DE ALTA   VELOCIDAD</v>
          </cell>
          <cell r="G1539" t="str">
            <v>FRASCO</v>
          </cell>
        </row>
        <row r="1540">
          <cell r="E1540">
            <v>4005115</v>
          </cell>
          <cell r="F1540" t="str">
            <v>PELICULA RADIOGRAFICA PERIAPICAL, PARA ADULTOS</v>
          </cell>
          <cell r="G1540" t="str">
            <v>C/U</v>
          </cell>
        </row>
        <row r="1541">
          <cell r="E1541">
            <v>4005116</v>
          </cell>
          <cell r="F1541" t="str">
            <v>PIEDRA DE ARKANSAS EN FORMA DE LLAMA PARA PULIR RESINAS</v>
          </cell>
          <cell r="G1541" t="str">
            <v>C/U</v>
          </cell>
        </row>
        <row r="1542">
          <cell r="E1542">
            <v>4005117</v>
          </cell>
          <cell r="F1542" t="str">
            <v>PIEDRA DE ARKANSAS PARA AFILAR # 8-A</v>
          </cell>
          <cell r="G1542" t="str">
            <v>C/U</v>
          </cell>
        </row>
        <row r="1543">
          <cell r="E1543">
            <v>4005118</v>
          </cell>
          <cell r="F1543" t="str">
            <v>PINCEL PARA APLICACION DE RESINAS COMPOSITAS</v>
          </cell>
          <cell r="G1543" t="str">
            <v>C/U</v>
          </cell>
        </row>
        <row r="1544">
          <cell r="E1544">
            <v>4005119</v>
          </cell>
          <cell r="F1544" t="str">
            <v>RESINA COMPOSITA CURADA POR LUZ VISIBLE, COLOR A3. JERINGA PRELLENADA</v>
          </cell>
          <cell r="G1544" t="str">
            <v>C/U</v>
          </cell>
        </row>
        <row r="1545">
          <cell r="E1545">
            <v>4005120</v>
          </cell>
          <cell r="F1545" t="str">
            <v>RESINA COMPOSITA CURADA POR LUZ VISIBLE, COLOR A3.5. JERINGA PRELLENADA</v>
          </cell>
          <cell r="G1545" t="str">
            <v>C/U</v>
          </cell>
        </row>
        <row r="1546">
          <cell r="E1546">
            <v>4005121</v>
          </cell>
          <cell r="F1546" t="str">
            <v>RESINA COMPOSITA,CURADA POR LUZ VISIBLE,EN JERINGAS DE COLOR A2-A3-A3.5 Y B2 CON ACIDO GRABADOR EN GEL,ENLAZADOR Y SUS RESPECTIVOS APLICADORES Y GUIA DE COLORES</v>
          </cell>
          <cell r="G1546" t="str">
            <v>ESTUCHE</v>
          </cell>
        </row>
        <row r="1547">
          <cell r="E1547">
            <v>4005122</v>
          </cell>
          <cell r="F1547" t="str">
            <v>RODETE DE ALGODÓN</v>
          </cell>
          <cell r="G1547" t="str">
            <v>C/U</v>
          </cell>
        </row>
        <row r="1548">
          <cell r="E1548">
            <v>4005123</v>
          </cell>
          <cell r="F1548" t="str">
            <v>TIRANERVIOS DEL 15 AL 40</v>
          </cell>
          <cell r="G1548" t="str">
            <v>JUEGO</v>
          </cell>
        </row>
        <row r="1549">
          <cell r="E1549">
            <v>4005124</v>
          </cell>
          <cell r="F1549" t="str">
            <v>TIRAS DE LIJA SURTIDA PARA TERMINACION Y PULIDO DE RESINA COMPOSITA</v>
          </cell>
          <cell r="G1549" t="str">
            <v>CAJA</v>
          </cell>
        </row>
        <row r="1550">
          <cell r="E1550">
            <v>4100010</v>
          </cell>
          <cell r="F1550" t="str">
            <v>ATACADOR DOBLE DE  ACERO INOXIDABLE  # 1</v>
          </cell>
          <cell r="G1550" t="str">
            <v>C/U</v>
          </cell>
        </row>
        <row r="1551">
          <cell r="E1551">
            <v>4100011</v>
          </cell>
          <cell r="F1551" t="str">
            <v>CONDENSADOR  DE  AMALGAMA  HOLLENBACK # 3, DOBLE  EXTREMO</v>
          </cell>
          <cell r="G1551" t="str">
            <v>C/U</v>
          </cell>
        </row>
        <row r="1552">
          <cell r="E1552">
            <v>4100012</v>
          </cell>
          <cell r="F1552" t="str">
            <v>TALLADOR PARA CERA Y AMALGAMA FRAHM # 6 DE UNO O DOBLE EXTREMO</v>
          </cell>
          <cell r="G1552" t="str">
            <v>C/U</v>
          </cell>
        </row>
        <row r="1553">
          <cell r="E1553">
            <v>4100003</v>
          </cell>
          <cell r="F1553" t="str">
            <v>QUITA  Y  PONE  FRESA  PARA  ALTA VELOCIDAD, TIPO STARFLITE</v>
          </cell>
          <cell r="G1553" t="str">
            <v>C/U</v>
          </cell>
        </row>
        <row r="1554">
          <cell r="E1554">
            <v>4100004</v>
          </cell>
          <cell r="F1554" t="str">
            <v>QUITA CORONAS CON PUNTAS INTERCAMBIABLES</v>
          </cell>
          <cell r="G1554" t="str">
            <v>C/U</v>
          </cell>
        </row>
        <row r="1555">
          <cell r="E1555">
            <v>4101020</v>
          </cell>
          <cell r="F1555" t="str">
            <v>BISTURI INTERDENTAL # 5-6 BUCK DE DOBLE EXTREMO</v>
          </cell>
          <cell r="G1555" t="str">
            <v>C/U</v>
          </cell>
        </row>
        <row r="1556">
          <cell r="E1556">
            <v>4101021</v>
          </cell>
          <cell r="F1556" t="str">
            <v>BISTURI KIRKLANND # 15-16 DOBLE EXTREMO</v>
          </cell>
          <cell r="G1556" t="str">
            <v>C/U</v>
          </cell>
        </row>
        <row r="1557">
          <cell r="E1557">
            <v>4101022</v>
          </cell>
          <cell r="F1557" t="str">
            <v>CINCEL PARA HUESO # 4 OCHSENBEIN</v>
          </cell>
          <cell r="G1557" t="str">
            <v>C/U</v>
          </cell>
        </row>
        <row r="1558">
          <cell r="E1558">
            <v>4101023</v>
          </cell>
          <cell r="F1558" t="str">
            <v>CUCHILLO CRANE KAPLAND CK-3</v>
          </cell>
          <cell r="G1558" t="str">
            <v>C/U</v>
          </cell>
        </row>
        <row r="1559">
          <cell r="E1559">
            <v>4101024</v>
          </cell>
          <cell r="F1559" t="str">
            <v>CUCHILLO CRANE KAPLAND DE DOBLE EXTREMO, 5 - 6</v>
          </cell>
          <cell r="G1559" t="str">
            <v>C/U</v>
          </cell>
        </row>
        <row r="1560">
          <cell r="E1560">
            <v>4101025</v>
          </cell>
          <cell r="F1560" t="str">
            <v>CURETA MC CALL 13 - 14 S , DOBLE EXTREMO</v>
          </cell>
          <cell r="G1560" t="str">
            <v>C/U</v>
          </cell>
        </row>
        <row r="1561">
          <cell r="E1561">
            <v>4101026</v>
          </cell>
          <cell r="F1561" t="str">
            <v>CURETA MC CALL 13 - 14, DOBLE EXTREMO</v>
          </cell>
          <cell r="G1561" t="str">
            <v>C/U</v>
          </cell>
        </row>
        <row r="1562">
          <cell r="E1562">
            <v>4101027</v>
          </cell>
          <cell r="F1562" t="str">
            <v>CURETA MC CALL 17 - 18 S , DOBLE EXTREMO</v>
          </cell>
          <cell r="G1562" t="str">
            <v>C/U</v>
          </cell>
        </row>
        <row r="1563">
          <cell r="E1563">
            <v>4101028</v>
          </cell>
          <cell r="F1563" t="str">
            <v>CURETA MC CALL 17 - 18, DOBLE EXTREMO</v>
          </cell>
          <cell r="G1563" t="str">
            <v>C/U</v>
          </cell>
        </row>
        <row r="1564">
          <cell r="E1564">
            <v>4101029</v>
          </cell>
          <cell r="F1564" t="str">
            <v>INSTRUMENTO DE PROFILAXIS # 103, DARBY PERRY</v>
          </cell>
          <cell r="G1564" t="str">
            <v>C/U</v>
          </cell>
        </row>
        <row r="1565">
          <cell r="E1565">
            <v>4101030</v>
          </cell>
          <cell r="F1565" t="str">
            <v>INSTRUMENTO DE PROFILAXIS # 104, DARBY PERRY</v>
          </cell>
          <cell r="G1565" t="str">
            <v>C/U</v>
          </cell>
        </row>
        <row r="1566">
          <cell r="E1566">
            <v>4101031</v>
          </cell>
          <cell r="F1566" t="str">
            <v>LIMA PARA HUESO SCHULER</v>
          </cell>
          <cell r="G1566" t="str">
            <v>C/U</v>
          </cell>
        </row>
        <row r="1567">
          <cell r="E1567">
            <v>4101032</v>
          </cell>
          <cell r="F1567" t="str">
            <v>PINZA AUXILIAR UNIVERSAL RECTA DE 20 CMS</v>
          </cell>
          <cell r="G1567" t="str">
            <v>C/U</v>
          </cell>
        </row>
        <row r="1568">
          <cell r="E1568">
            <v>4101033</v>
          </cell>
          <cell r="F1568" t="str">
            <v>TIJERA PARA ENCIA, SEMICURVA  GOLDMAN-FOX S-16</v>
          </cell>
          <cell r="G1568" t="str">
            <v>C/U</v>
          </cell>
        </row>
        <row r="1569">
          <cell r="E1569">
            <v>4102000</v>
          </cell>
          <cell r="F1569" t="str">
            <v>ARCO PARA DIQUE DE GOMA METALICO Ó PLASTICO</v>
          </cell>
          <cell r="G1569" t="str">
            <v>C/U</v>
          </cell>
        </row>
        <row r="1570">
          <cell r="E1570">
            <v>4102001</v>
          </cell>
          <cell r="F1570" t="str">
            <v>CUCHARILLA ENDODONTICA</v>
          </cell>
          <cell r="G1570" t="str">
            <v>C/U</v>
          </cell>
        </row>
        <row r="1571">
          <cell r="E1571">
            <v>4102010</v>
          </cell>
          <cell r="F1571" t="str">
            <v>ESPACIADOR O CONDENSADOR DE GUTAPERCHA # D-11-T</v>
          </cell>
          <cell r="G1571" t="str">
            <v>C/U</v>
          </cell>
        </row>
        <row r="1572">
          <cell r="E1572">
            <v>4102011</v>
          </cell>
          <cell r="F1572" t="str">
            <v>ESTUCHE METALICO ORGANIZADOR DE ENDODONCIA</v>
          </cell>
          <cell r="G1572" t="str">
            <v>ESTUCHE</v>
          </cell>
        </row>
        <row r="1573">
          <cell r="E1573">
            <v>4102004</v>
          </cell>
          <cell r="F1573" t="str">
            <v>EXPLORADOR PARA ENDODONCIA</v>
          </cell>
          <cell r="G1573" t="str">
            <v>C/U</v>
          </cell>
        </row>
        <row r="1574">
          <cell r="E1574">
            <v>4102005</v>
          </cell>
          <cell r="F1574" t="str">
            <v>PERFORADORA DE DIQUE DE GOMA</v>
          </cell>
          <cell r="G1574" t="str">
            <v>C/U</v>
          </cell>
        </row>
        <row r="1575">
          <cell r="E1575">
            <v>4102006</v>
          </cell>
          <cell r="F1575" t="str">
            <v>PINZA PORTAGRAPA PARA DIQUE DE GOMA</v>
          </cell>
          <cell r="G1575" t="str">
            <v>C/U</v>
          </cell>
        </row>
        <row r="1576">
          <cell r="E1576">
            <v>4102012</v>
          </cell>
          <cell r="F1576" t="str">
            <v>REGLA MILIMETRADA ENDODONTICA</v>
          </cell>
          <cell r="G1576" t="str">
            <v>C/U</v>
          </cell>
        </row>
        <row r="1577">
          <cell r="E1577">
            <v>4102013</v>
          </cell>
          <cell r="F1577" t="str">
            <v>VERIFICADOR DE APICES</v>
          </cell>
          <cell r="G1577" t="str">
            <v>C/U</v>
          </cell>
        </row>
        <row r="1578">
          <cell r="E1578">
            <v>4103020</v>
          </cell>
          <cell r="F1578" t="str">
            <v>ABREBOCA "DENHART" INOXIDABLE</v>
          </cell>
          <cell r="G1578" t="str">
            <v>C/U</v>
          </cell>
        </row>
        <row r="1579">
          <cell r="E1579">
            <v>4103001</v>
          </cell>
          <cell r="F1579" t="str">
            <v>ABREBOCA DE HULE PEQUEÑO, MEDIANO Y GRANDE</v>
          </cell>
          <cell r="G1579" t="str">
            <v>SET</v>
          </cell>
        </row>
        <row r="1580">
          <cell r="E1580">
            <v>4103021</v>
          </cell>
          <cell r="F1580" t="str">
            <v>CANULAS DE ASPIRACION, COUPLAND 24 CMS., 9 1/2"   (APROX.)</v>
          </cell>
          <cell r="G1580" t="str">
            <v>C/U</v>
          </cell>
        </row>
        <row r="1581">
          <cell r="E1581">
            <v>4103022</v>
          </cell>
          <cell r="F1581" t="str">
            <v>LEZNA PARA ARCO CIGAMATICO, TIPO " OBWERGESER "   23 CMS., 9" (APROX.)</v>
          </cell>
          <cell r="G1581" t="str">
            <v>C/U</v>
          </cell>
        </row>
        <row r="1582">
          <cell r="E1582">
            <v>4103023</v>
          </cell>
          <cell r="F1582" t="str">
            <v>LEZNA PARA MANDIBULA, TIPO " OBWERGESER " 14 CMS.,5 1/2" (APROX.)</v>
          </cell>
          <cell r="G1582" t="str">
            <v>C/U</v>
          </cell>
        </row>
        <row r="1583">
          <cell r="E1583">
            <v>4103024</v>
          </cell>
          <cell r="F1583" t="str">
            <v>PINZA TIRA LENGUA,TIPO "COLLIN", 16 CMS., 6 1/4" (APROX.)</v>
          </cell>
          <cell r="G1583" t="str">
            <v>C/U</v>
          </cell>
        </row>
        <row r="1584">
          <cell r="E1584">
            <v>4103025</v>
          </cell>
          <cell r="F1584" t="str">
            <v>RETRACTOR ACANALADO, TIPO " OBWERGESER " 16 CMS., 6 1/4" (APROX.)</v>
          </cell>
          <cell r="G1584" t="str">
            <v>C/U</v>
          </cell>
        </row>
        <row r="1585">
          <cell r="E1585">
            <v>4103026</v>
          </cell>
          <cell r="F1585" t="str">
            <v>RETRACTOR SIMPLE TIPO " OBWERGESER " 11 X 42 MM.  (APROX.)</v>
          </cell>
          <cell r="G1585" t="str">
            <v>C/U</v>
          </cell>
        </row>
        <row r="1586">
          <cell r="E1586">
            <v>4103027</v>
          </cell>
          <cell r="F1586" t="str">
            <v>SEPARADOR DE PERIOSTIO, TIPO " FREER " 19 CMS.,   7 1/2" (APROX.)</v>
          </cell>
          <cell r="G1586" t="str">
            <v>C/U</v>
          </cell>
        </row>
        <row r="1587">
          <cell r="E1587">
            <v>4103028</v>
          </cell>
          <cell r="F1587" t="str">
            <v>TIJERA CORTADORA DE ALAMBRE UNIVERSAL 12 CMS., 4 3/4" (APROX.)</v>
          </cell>
          <cell r="G1587" t="str">
            <v>C/U</v>
          </cell>
        </row>
        <row r="1588">
          <cell r="E1588">
            <v>4104090</v>
          </cell>
          <cell r="F1588" t="str">
            <v>ANGULO DE ATORNILLAR PARA PROFILAXIS</v>
          </cell>
          <cell r="G1588" t="str">
            <v>C/U</v>
          </cell>
        </row>
        <row r="1589">
          <cell r="E1589">
            <v>4104091</v>
          </cell>
          <cell r="F1589" t="str">
            <v>APLICADOR METALICO PARA CEMENTO DE HIDROXIDO DE CALCIO</v>
          </cell>
          <cell r="G1589" t="str">
            <v>C/U</v>
          </cell>
        </row>
        <row r="1590">
          <cell r="E1590">
            <v>4104092</v>
          </cell>
          <cell r="F1590" t="str">
            <v>APLICADOR Y CONDENSADOR DE CEMENTO, TIPO "WOODSON"# 2, INOXIDABLE</v>
          </cell>
          <cell r="G1590" t="str">
            <v>C/U</v>
          </cell>
        </row>
        <row r="1591">
          <cell r="E1591">
            <v>4104093</v>
          </cell>
          <cell r="F1591" t="str">
            <v>APLICADOR Y CONDENSADOR PLASTICO PARA RESINA COMPOSITA # 1</v>
          </cell>
          <cell r="G1591" t="str">
            <v>C/U</v>
          </cell>
        </row>
        <row r="1592">
          <cell r="E1592">
            <v>4104094</v>
          </cell>
          <cell r="F1592" t="str">
            <v>APLICADOR Y CONDENSADOR PLASTICO PARA RESINA COMPOSITA # 2</v>
          </cell>
          <cell r="G1592" t="str">
            <v>C/U</v>
          </cell>
        </row>
        <row r="1593">
          <cell r="E1593">
            <v>4104095</v>
          </cell>
          <cell r="F1593" t="str">
            <v>BRUÑIDOR # 28 - 29, INOXIDABLE</v>
          </cell>
          <cell r="G1593" t="str">
            <v>C/U</v>
          </cell>
        </row>
        <row r="1594">
          <cell r="E1594">
            <v>4104096</v>
          </cell>
          <cell r="F1594" t="str">
            <v>BRUÑIDOR ANATOMICO # 2</v>
          </cell>
          <cell r="G1594" t="str">
            <v>C/U</v>
          </cell>
        </row>
        <row r="1595">
          <cell r="E1595">
            <v>4104097</v>
          </cell>
          <cell r="F1595" t="str">
            <v>CONDENSADOR DE AMALGAMA CUADRUPLE TIPO BENNETT, INOXIDABLE</v>
          </cell>
          <cell r="G1595" t="str">
            <v>C/U</v>
          </cell>
        </row>
        <row r="1596">
          <cell r="E1596">
            <v>4104098</v>
          </cell>
          <cell r="F1596" t="str">
            <v>CONDENSADOR DE AMALGAMA HOLLENBACK # 4, DOBLE EXTREMO</v>
          </cell>
          <cell r="G1596" t="str">
            <v>C/U</v>
          </cell>
        </row>
        <row r="1597">
          <cell r="E1597">
            <v>4104099</v>
          </cell>
          <cell r="F1597" t="str">
            <v>CONDENSADOR DE AMALGAMA SMITH</v>
          </cell>
          <cell r="G1597" t="str">
            <v>C/U</v>
          </cell>
        </row>
        <row r="1598">
          <cell r="E1598">
            <v>4104100</v>
          </cell>
          <cell r="F1598" t="str">
            <v>CONTRANGULO DE PASADOR DE BAJA VELOCIDAD PARA PIEZA DE MANO</v>
          </cell>
          <cell r="G1598" t="str">
            <v>C/U</v>
          </cell>
        </row>
        <row r="1599">
          <cell r="E1599">
            <v>4104101</v>
          </cell>
          <cell r="F1599" t="str">
            <v>CUCHARILLA O EXCAVADOR PARA DENTINA #14, INOXIDABLE</v>
          </cell>
          <cell r="G1599" t="str">
            <v>C/U</v>
          </cell>
        </row>
        <row r="1600">
          <cell r="E1600">
            <v>4104102</v>
          </cell>
          <cell r="F1600" t="str">
            <v>CUCHARILLA O EXCAVADOR PARA DENTINA #17, INOXIDABLE</v>
          </cell>
          <cell r="G1600" t="str">
            <v>C/U</v>
          </cell>
        </row>
        <row r="1601">
          <cell r="E1601">
            <v>4104103</v>
          </cell>
          <cell r="F1601" t="str">
            <v>CURETA "LUCAS" # 15, INOXIDABLE</v>
          </cell>
          <cell r="G1601" t="str">
            <v>C/U</v>
          </cell>
        </row>
        <row r="1602">
          <cell r="E1602">
            <v>4104104</v>
          </cell>
          <cell r="F1602" t="str">
            <v>CURETA "LUCAS" # 85, INOXIDABLE</v>
          </cell>
          <cell r="G1602" t="str">
            <v>C/U</v>
          </cell>
        </row>
        <row r="1603">
          <cell r="E1603">
            <v>4104105</v>
          </cell>
          <cell r="F1603" t="str">
            <v>CURETA LUCAS # 88, INOXIDABLE</v>
          </cell>
          <cell r="G1603" t="str">
            <v>C/U</v>
          </cell>
        </row>
        <row r="1604">
          <cell r="E1604">
            <v>4104106</v>
          </cell>
          <cell r="F1604" t="str">
            <v>CURETA UNIVERSAL MUHLEMANN # 6 INOXIDABLE</v>
          </cell>
          <cell r="G1604" t="str">
            <v>C/U</v>
          </cell>
        </row>
        <row r="1605">
          <cell r="E1605">
            <v>4104107</v>
          </cell>
          <cell r="F1605" t="str">
            <v>DENTOFORMO ARMADO PARA ADULTO</v>
          </cell>
          <cell r="G1605" t="str">
            <v>C/U</v>
          </cell>
        </row>
        <row r="1606">
          <cell r="E1606">
            <v>4104108</v>
          </cell>
          <cell r="F1606" t="str">
            <v>DENTOFORMO ARMADO PARA NIÑOS</v>
          </cell>
          <cell r="G1606" t="str">
            <v>C/U</v>
          </cell>
        </row>
        <row r="1607">
          <cell r="E1607">
            <v>4104019</v>
          </cell>
          <cell r="F1607" t="str">
            <v>DEPRESOR DE LENGUA, TIPO "WIEDER" 32 CMS. (APROX.)</v>
          </cell>
          <cell r="G1607" t="str">
            <v>C/U</v>
          </cell>
        </row>
        <row r="1608">
          <cell r="E1608">
            <v>4104109</v>
          </cell>
          <cell r="F1608" t="str">
            <v>ELEVADOR APICAL RECTO TIPO SELDIN # 301, INOXIDABLE</v>
          </cell>
          <cell r="G1608" t="str">
            <v>C/U</v>
          </cell>
        </row>
        <row r="1609">
          <cell r="E1609">
            <v>4104110</v>
          </cell>
          <cell r="F1609" t="str">
            <v>ELEVADOR APICAL TIPO SELDIN # 302, INOXIDABLE</v>
          </cell>
          <cell r="G1609" t="str">
            <v>C/U</v>
          </cell>
        </row>
        <row r="1610">
          <cell r="E1610">
            <v>4104111</v>
          </cell>
          <cell r="F1610" t="str">
            <v>ELEVADOR APICAL TIPO SELDIN # 305, INOXIDABLE</v>
          </cell>
          <cell r="G1610" t="str">
            <v>C/U</v>
          </cell>
        </row>
        <row r="1611">
          <cell r="E1611">
            <v>4104112</v>
          </cell>
          <cell r="F1611" t="str">
            <v>ELEVADOR DE PERIOSTIO MOLT #9 INOXIDABLE</v>
          </cell>
          <cell r="G1611" t="str">
            <v>C/U</v>
          </cell>
        </row>
        <row r="1612">
          <cell r="E1612">
            <v>4104113</v>
          </cell>
          <cell r="F1612" t="str">
            <v>ELEVADOR DE RAIZ "BARRY" # 320 INOXIDABLE</v>
          </cell>
          <cell r="G1612" t="str">
            <v>C/U</v>
          </cell>
        </row>
        <row r="1613">
          <cell r="E1613">
            <v>4104114</v>
          </cell>
          <cell r="F1613" t="str">
            <v>ELEVADOR DE RAIZ "BARRY" # 321 INOXIDABLE</v>
          </cell>
          <cell r="G1613" t="str">
            <v>C/U</v>
          </cell>
        </row>
        <row r="1614">
          <cell r="E1614">
            <v>4104115</v>
          </cell>
          <cell r="F1614" t="str">
            <v>ELEVADOR DE RAIZ "BARRY" # 370, INOXIDABLE</v>
          </cell>
          <cell r="G1614" t="str">
            <v>C/U</v>
          </cell>
        </row>
        <row r="1615">
          <cell r="E1615">
            <v>4104116</v>
          </cell>
          <cell r="F1615" t="str">
            <v>ELEVADOR DE RAIZ "BARRY" #371, INOXIDABLE</v>
          </cell>
          <cell r="G1615" t="str">
            <v>C/U</v>
          </cell>
        </row>
        <row r="1616">
          <cell r="E1616">
            <v>4104117</v>
          </cell>
          <cell r="F1616" t="str">
            <v>ELEVADOR DE RAIZ "SELDIN" #2, INOXIDABLE</v>
          </cell>
          <cell r="G1616" t="str">
            <v>C/U</v>
          </cell>
        </row>
        <row r="1617">
          <cell r="E1617">
            <v>4104118</v>
          </cell>
          <cell r="F1617" t="str">
            <v>ELEVADOR DE RAIZ "SELDIN" #3 INOXIDABLE</v>
          </cell>
          <cell r="G1617" t="str">
            <v>C/U</v>
          </cell>
        </row>
        <row r="1618">
          <cell r="E1618">
            <v>4104119</v>
          </cell>
          <cell r="F1618" t="str">
            <v>ELEVADOR PLANO RECTO, INOXIDABLE</v>
          </cell>
          <cell r="G1618" t="str">
            <v>C/U</v>
          </cell>
        </row>
        <row r="1619">
          <cell r="E1619">
            <v>4104120</v>
          </cell>
          <cell r="F1619" t="str">
            <v xml:space="preserve">ELEVADOR RECTO ACANALADO TIPO SELDIN N° 34 </v>
          </cell>
          <cell r="G1619" t="str">
            <v>C/U</v>
          </cell>
        </row>
        <row r="1620">
          <cell r="E1620">
            <v>4104121</v>
          </cell>
          <cell r="F1620" t="str">
            <v>ESPATULA PARA CEMENTO DOBLE EXTREMO INOXIDABLE</v>
          </cell>
          <cell r="G1620" t="str">
            <v>C/U</v>
          </cell>
        </row>
        <row r="1621">
          <cell r="E1621">
            <v>4104122</v>
          </cell>
          <cell r="F1621" t="str">
            <v>ESPEJO # 5 SIN AUMENTO ADAPTABLE A MANGO # 14</v>
          </cell>
          <cell r="G1621" t="str">
            <v>C/U</v>
          </cell>
        </row>
        <row r="1622">
          <cell r="E1622">
            <v>4104123</v>
          </cell>
          <cell r="F1622" t="str">
            <v>EXPLORADOR DOBLE # 5</v>
          </cell>
          <cell r="G1622" t="str">
            <v>C/U</v>
          </cell>
        </row>
        <row r="1623">
          <cell r="E1623">
            <v>4104124</v>
          </cell>
          <cell r="F1623" t="str">
            <v>FORCEPS DE EXTRACCION # 101, INOXIDABLE</v>
          </cell>
          <cell r="G1623" t="str">
            <v>C/U</v>
          </cell>
        </row>
        <row r="1624">
          <cell r="E1624">
            <v>4104125</v>
          </cell>
          <cell r="F1624" t="str">
            <v>FORCEPS DE EXTRACCION # 15, INOXIDABLE</v>
          </cell>
          <cell r="G1624" t="str">
            <v>C/U</v>
          </cell>
        </row>
        <row r="1625">
          <cell r="E1625">
            <v>4104126</v>
          </cell>
          <cell r="F1625" t="str">
            <v>FORCEPS DE EXTRACCION # 150, INOXIDABLE</v>
          </cell>
          <cell r="G1625" t="str">
            <v>C/U</v>
          </cell>
        </row>
        <row r="1626">
          <cell r="E1626">
            <v>4104127</v>
          </cell>
          <cell r="F1626" t="str">
            <v>FORCEPS DE EXTRACCION # 151, INOXIDABLE</v>
          </cell>
          <cell r="G1626" t="str">
            <v>C/U</v>
          </cell>
        </row>
        <row r="1627">
          <cell r="E1627">
            <v>4104128</v>
          </cell>
          <cell r="F1627" t="str">
            <v>FORCEPS DE EXTRACCION # 16 INOXIDABLE</v>
          </cell>
          <cell r="G1627" t="str">
            <v>C/U</v>
          </cell>
        </row>
        <row r="1628">
          <cell r="E1628">
            <v>4104129</v>
          </cell>
          <cell r="F1628" t="str">
            <v>FORCEPS DE EXTRACCION # 18 L, INOXIDABLE</v>
          </cell>
          <cell r="G1628" t="str">
            <v>C/U</v>
          </cell>
        </row>
        <row r="1629">
          <cell r="E1629">
            <v>4104130</v>
          </cell>
          <cell r="F1629" t="str">
            <v>FORCEPS DE EXTRACCION # 18 R, INOXIDABLE</v>
          </cell>
          <cell r="G1629" t="str">
            <v>C/U</v>
          </cell>
        </row>
        <row r="1630">
          <cell r="E1630">
            <v>4104131</v>
          </cell>
          <cell r="F1630" t="str">
            <v>FORCEPS DE EXTRACCION # 210</v>
          </cell>
          <cell r="G1630" t="str">
            <v>C/U</v>
          </cell>
        </row>
        <row r="1631">
          <cell r="E1631">
            <v>4104132</v>
          </cell>
          <cell r="F1631" t="str">
            <v>FORCEPS DE EXTRACCION # 222  INOXIDABLE</v>
          </cell>
          <cell r="G1631" t="str">
            <v>C/U</v>
          </cell>
        </row>
        <row r="1632">
          <cell r="E1632">
            <v>4104133</v>
          </cell>
          <cell r="F1632" t="str">
            <v>FORCEPS DE EXTRACCION # 24, INOXIDABLE</v>
          </cell>
          <cell r="G1632" t="str">
            <v>C/U</v>
          </cell>
        </row>
        <row r="1633">
          <cell r="E1633">
            <v>4104134</v>
          </cell>
          <cell r="F1633" t="str">
            <v>FORCEPS DE EXTRACCION # 65 INOXIDABLE</v>
          </cell>
          <cell r="G1633" t="str">
            <v>C/U</v>
          </cell>
        </row>
        <row r="1634">
          <cell r="E1634">
            <v>4104135</v>
          </cell>
          <cell r="F1634" t="str">
            <v>FORCEPS DE EXTRACCION # 69, INOXIDABLE</v>
          </cell>
          <cell r="G1634" t="str">
            <v>C/U</v>
          </cell>
        </row>
        <row r="1635">
          <cell r="E1635">
            <v>4104136</v>
          </cell>
          <cell r="F1635" t="str">
            <v>FORCEPS DE EXTRACCION # 88 L, LARGO, INOXIDABLE</v>
          </cell>
          <cell r="G1635" t="str">
            <v>C/U</v>
          </cell>
        </row>
        <row r="1636">
          <cell r="E1636">
            <v>4104137</v>
          </cell>
          <cell r="F1636" t="str">
            <v>FORCEPS DE EXTRACCION # 88 L-2 INOXIDABLE CORTO</v>
          </cell>
          <cell r="G1636" t="str">
            <v>C/U</v>
          </cell>
        </row>
        <row r="1637">
          <cell r="E1637">
            <v>4104138</v>
          </cell>
          <cell r="F1637" t="str">
            <v>FORCEPS DE EXTRACCION # 88 R, LARGO, INOXIDABLE</v>
          </cell>
          <cell r="G1637" t="str">
            <v>C/U</v>
          </cell>
        </row>
        <row r="1638">
          <cell r="E1638">
            <v>4104140</v>
          </cell>
          <cell r="F1638" t="str">
            <v>GANCHOS  COLGADORES  PARA  PELICULAS  DENTALES DE RAYOS X, DE 10 PRECILLAS</v>
          </cell>
          <cell r="G1638" t="str">
            <v>C/U</v>
          </cell>
        </row>
        <row r="1639">
          <cell r="E1639">
            <v>4104141</v>
          </cell>
          <cell r="F1639" t="str">
            <v>GANCHOS DE UN CLIP, PARA RADIOGRAFIAS PERIAPICALES</v>
          </cell>
          <cell r="G1639" t="str">
            <v>C/U</v>
          </cell>
        </row>
        <row r="1640">
          <cell r="E1640">
            <v>4104142</v>
          </cell>
          <cell r="F1640" t="str">
            <v>INSTRUMENTO DE PROFILAXIS # 128 USC</v>
          </cell>
          <cell r="G1640" t="str">
            <v>C/U</v>
          </cell>
        </row>
        <row r="1641">
          <cell r="E1641">
            <v>4104143</v>
          </cell>
          <cell r="F1641" t="str">
            <v>INSTRUMENTO DE PROFILAXIS, ZERFIN, RECTO # 1</v>
          </cell>
          <cell r="G1641" t="str">
            <v>C/U</v>
          </cell>
        </row>
        <row r="1642">
          <cell r="E1642">
            <v>4104144</v>
          </cell>
          <cell r="F1642" t="str">
            <v>INSTRUMENTO PARA RESINA COMPOSITA METALICO</v>
          </cell>
          <cell r="G1642" t="str">
            <v>C/U</v>
          </cell>
        </row>
        <row r="1643">
          <cell r="E1643">
            <v>4104145</v>
          </cell>
          <cell r="F1643" t="str">
            <v>JERINGA CARPULE</v>
          </cell>
          <cell r="G1643" t="str">
            <v>C/U</v>
          </cell>
        </row>
        <row r="1644">
          <cell r="E1644">
            <v>4104146</v>
          </cell>
          <cell r="F1644" t="str">
            <v>JERINGA TRIPLE</v>
          </cell>
          <cell r="G1644" t="str">
            <v>C/U</v>
          </cell>
        </row>
        <row r="1645">
          <cell r="E1645">
            <v>4104147</v>
          </cell>
          <cell r="F1645" t="str">
            <v>LIMA PARA HUESO, DOBLE EXTREMO # 3, TIPO MILLER</v>
          </cell>
          <cell r="G1645" t="str">
            <v>C/U</v>
          </cell>
        </row>
        <row r="1646">
          <cell r="E1646">
            <v>4104148</v>
          </cell>
          <cell r="F1646" t="str">
            <v>MANGO # 14 PARA ESPEJO BUCAL # 5</v>
          </cell>
          <cell r="G1646" t="str">
            <v>C/U</v>
          </cell>
        </row>
        <row r="1647">
          <cell r="E1647">
            <v>4104149</v>
          </cell>
          <cell r="F1647" t="str">
            <v>PIEZA DE MANO DE ALTA VELOCIDAD, CON DOS ORIFICIOS DE ENTRADA</v>
          </cell>
          <cell r="G1647" t="str">
            <v>C/U</v>
          </cell>
        </row>
        <row r="1648">
          <cell r="E1648">
            <v>4104150</v>
          </cell>
          <cell r="F1648" t="str">
            <v>PINZA PARA ALGODON Y CURACIONES LONDON COLLEGE ESTRIADA</v>
          </cell>
          <cell r="G1648" t="str">
            <v>C/U</v>
          </cell>
        </row>
        <row r="1649">
          <cell r="E1649">
            <v>4104151</v>
          </cell>
          <cell r="F1649" t="str">
            <v>PINZA PARA ENCIA TIPO "MOSLE"</v>
          </cell>
          <cell r="G1649" t="str">
            <v>C/U</v>
          </cell>
        </row>
        <row r="1650">
          <cell r="E1650">
            <v>4104152</v>
          </cell>
          <cell r="F1650" t="str">
            <v>PINZA PARA PAPEL ARTICULAR</v>
          </cell>
          <cell r="G1650" t="str">
            <v>C/U</v>
          </cell>
        </row>
        <row r="1651">
          <cell r="E1651">
            <v>4104153</v>
          </cell>
          <cell r="F1651" t="str">
            <v>PORTA AMALGAMA GRANDE, CON PUNTA DE METAL DESMONTABLE</v>
          </cell>
          <cell r="G1651" t="str">
            <v>C/U</v>
          </cell>
        </row>
        <row r="1652">
          <cell r="E1652">
            <v>4104154</v>
          </cell>
          <cell r="F1652" t="str">
            <v>PORTA AMALGAMA MEDIANO, CON PUNTA DE METAL</v>
          </cell>
          <cell r="G1652" t="str">
            <v>C/U</v>
          </cell>
        </row>
        <row r="1653">
          <cell r="E1653">
            <v>4104155</v>
          </cell>
          <cell r="F1653" t="str">
            <v>PORTA MATRIZ DE 1/4" PARA BANDAS DE 5 MM. DE ANCHO</v>
          </cell>
          <cell r="G1653" t="str">
            <v>C/U</v>
          </cell>
        </row>
        <row r="1654">
          <cell r="E1654">
            <v>4104156</v>
          </cell>
          <cell r="F1654" t="str">
            <v>PORTA MATRIZ DE 1/4" PARA BANDAS DE 7 MM. DE ANCHO</v>
          </cell>
          <cell r="G1654" t="str">
            <v>C/U</v>
          </cell>
        </row>
        <row r="1655">
          <cell r="E1655">
            <v>4104157</v>
          </cell>
          <cell r="F1655" t="str">
            <v xml:space="preserve">SONDA PERIODONTAL UNIVERSIDAD DE TEXAS  3/4" CATTONI </v>
          </cell>
          <cell r="G1655" t="str">
            <v>C/U</v>
          </cell>
        </row>
        <row r="1656">
          <cell r="E1656">
            <v>4104158</v>
          </cell>
          <cell r="F1656" t="str">
            <v xml:space="preserve">TALLADOR DISCOIDE CLEOIDE 3/16" </v>
          </cell>
          <cell r="G1656" t="str">
            <v>C/U</v>
          </cell>
        </row>
        <row r="1657">
          <cell r="E1657">
            <v>4104159</v>
          </cell>
          <cell r="F1657" t="str">
            <v>TALLADOR DISCOIDE CLEOIDE DE 1/2"</v>
          </cell>
          <cell r="G1657" t="str">
            <v>C/U</v>
          </cell>
        </row>
        <row r="1658">
          <cell r="E1658">
            <v>4104160</v>
          </cell>
          <cell r="F1658" t="str">
            <v>TALLADOR PARA AMALGAMA, HOLLENBACK # 3, INOXIDABLE</v>
          </cell>
          <cell r="G1658" t="str">
            <v>C/U</v>
          </cell>
        </row>
        <row r="1659">
          <cell r="E1659">
            <v>4104161</v>
          </cell>
          <cell r="F1659" t="str">
            <v>TALLADOR PARA CERA Y AMALGAMA # 6-10 DOBLE</v>
          </cell>
          <cell r="G1659" t="str">
            <v>C/U</v>
          </cell>
        </row>
        <row r="1660">
          <cell r="E1660">
            <v>4104162</v>
          </cell>
          <cell r="F1660" t="str">
            <v>TALLADOR PARA CERA Y AMALGAMA FRAHM # 10</v>
          </cell>
          <cell r="G1660" t="str">
            <v>C/U</v>
          </cell>
        </row>
        <row r="1661">
          <cell r="E1661">
            <v>4104163</v>
          </cell>
          <cell r="F1661" t="str">
            <v>TIJERA PARA ENCIA, RECTA IRIS S-17</v>
          </cell>
          <cell r="G1661" t="str">
            <v>C/U</v>
          </cell>
        </row>
        <row r="1662">
          <cell r="E1662">
            <v>4200000</v>
          </cell>
          <cell r="F1662" t="str">
            <v>DIQUE DE GOMA, GRUESO, TIPO YOUNG, 6 X 6"</v>
          </cell>
          <cell r="G1662" t="str">
            <v>CAJA</v>
          </cell>
        </row>
        <row r="1663">
          <cell r="E1663">
            <v>4200001</v>
          </cell>
          <cell r="F1663" t="str">
            <v>LAMPARA DE VIDRIO O DE METAL PARA ALCOHOL</v>
          </cell>
          <cell r="G1663" t="str">
            <v>C/U</v>
          </cell>
        </row>
        <row r="1664">
          <cell r="E1664">
            <v>4201030</v>
          </cell>
          <cell r="F1664" t="str">
            <v>AMALGAMADOR DE ALTA VELOCIDAD</v>
          </cell>
          <cell r="G1664" t="str">
            <v>C/U</v>
          </cell>
        </row>
        <row r="1665">
          <cell r="E1665">
            <v>4201031</v>
          </cell>
          <cell r="F1665" t="str">
            <v>BOMBILLOS ORIGINALES PARA LAMPARA DENTAL PELTON   FANTASTIC</v>
          </cell>
          <cell r="G1665" t="str">
            <v>C/U</v>
          </cell>
        </row>
        <row r="1666">
          <cell r="E1666">
            <v>4201032</v>
          </cell>
          <cell r="F1666" t="str">
            <v>CAJA REVELADORA DE PELICULA PARA RADIOGRAFIAS DENTALES</v>
          </cell>
          <cell r="G1666" t="str">
            <v>C/U</v>
          </cell>
        </row>
        <row r="1667">
          <cell r="E1667">
            <v>4201033</v>
          </cell>
          <cell r="F1667" t="str">
            <v>FOCO  HALOGENO  DE  LUZ  FRIA  PARA  LAMPARA FARO COOLBEAM</v>
          </cell>
          <cell r="G1667" t="str">
            <v>C/U</v>
          </cell>
        </row>
        <row r="1668">
          <cell r="E1668">
            <v>4201034</v>
          </cell>
          <cell r="F1668" t="str">
            <v>FOCO HALOGENO DE LUZ FRIA PARA LAMPARA PHELTON    FANTASTIC</v>
          </cell>
          <cell r="G1668" t="str">
            <v>C/U</v>
          </cell>
        </row>
        <row r="1669">
          <cell r="E1669">
            <v>4201035</v>
          </cell>
          <cell r="F1669" t="str">
            <v>FOCO PARA LAMPARA DE FOTOCURADO TIPO VISILUX</v>
          </cell>
          <cell r="G1669" t="str">
            <v>C/U</v>
          </cell>
        </row>
        <row r="1670">
          <cell r="E1670">
            <v>4201036</v>
          </cell>
          <cell r="F1670" t="str">
            <v>HILO DENTAL, CON CERA</v>
          </cell>
          <cell r="G1670" t="str">
            <v>YARDA</v>
          </cell>
        </row>
        <row r="1671">
          <cell r="E1671">
            <v>4201037</v>
          </cell>
          <cell r="F1671" t="str">
            <v>LAMPARA PARA FOTOCURADO DE RESINAS COMPOSITAS</v>
          </cell>
          <cell r="G1671" t="str">
            <v>C/U</v>
          </cell>
        </row>
        <row r="1672">
          <cell r="E1672">
            <v>4201038</v>
          </cell>
          <cell r="F1672" t="str">
            <v>LOSA PLANA DE VIDRIO PARA MEZCLAR, 6" X 3" X 1/2" (APROX.)</v>
          </cell>
          <cell r="G1672" t="str">
            <v>C/U</v>
          </cell>
        </row>
        <row r="1673">
          <cell r="E1673">
            <v>4201039</v>
          </cell>
          <cell r="F1673" t="str">
            <v>MICROMOTOR DE BAJA  VELOCIDAD CON ADAPTADOR PARA CONTRANGULO DE PASADOR</v>
          </cell>
          <cell r="G1673" t="str">
            <v>C/U</v>
          </cell>
        </row>
        <row r="1674">
          <cell r="E1674">
            <v>4201040</v>
          </cell>
          <cell r="F1674" t="str">
            <v xml:space="preserve">PAPEL DE ARTICULAR, EN LIBRETA </v>
          </cell>
          <cell r="G1674" t="str">
            <v>C/U</v>
          </cell>
        </row>
        <row r="1675">
          <cell r="E1675">
            <v>4201041</v>
          </cell>
          <cell r="F1675" t="str">
            <v>PIEDRA POMEZ EN POLVO FINO</v>
          </cell>
          <cell r="G1675" t="str">
            <v>BOLSA O FRASCO DE 1 LB.</v>
          </cell>
        </row>
        <row r="1676">
          <cell r="E1676">
            <v>4201042</v>
          </cell>
          <cell r="F1676" t="str">
            <v>PUNTA P-10  30K PARA UNIDAD ULTRASONICA 3000</v>
          </cell>
          <cell r="G1676" t="str">
            <v>C/U</v>
          </cell>
        </row>
        <row r="1677">
          <cell r="E1677">
            <v>4201043</v>
          </cell>
          <cell r="F1677" t="str">
            <v>PUNTA P10 25K PARA UNIDAD ULTRASONICA MODELO 700-II C</v>
          </cell>
          <cell r="G1677" t="str">
            <v>C/U</v>
          </cell>
        </row>
        <row r="1678">
          <cell r="E1678">
            <v>4201044</v>
          </cell>
          <cell r="F1678" t="str">
            <v>RECIPIENTE METALICO #1 PARA ALGODON TIPO METHOT</v>
          </cell>
          <cell r="G1678" t="str">
            <v>C/U</v>
          </cell>
        </row>
        <row r="1679">
          <cell r="E1679">
            <v>4201045</v>
          </cell>
          <cell r="F1679" t="str">
            <v>TURBINA PARA PIEZA DE MANO DE ALTA VELOCIDAD</v>
          </cell>
          <cell r="G1679" t="str">
            <v>C/U</v>
          </cell>
        </row>
        <row r="1680">
          <cell r="E1680">
            <v>4201046</v>
          </cell>
          <cell r="F1680" t="str">
            <v>UNIDAD ULTRASONICA PARA HIGIENE DENTAL</v>
          </cell>
          <cell r="G1680" t="str">
            <v>C/U</v>
          </cell>
        </row>
        <row r="1681">
          <cell r="E1681">
            <v>4201047</v>
          </cell>
          <cell r="F1681" t="str">
            <v>VISOR PLASTICO TRANSPARENTE DE REPUESTO PARA CARETA DE PROTECCION</v>
          </cell>
          <cell r="G1681" t="str">
            <v>C/U</v>
          </cell>
        </row>
        <row r="1682">
          <cell r="E1682">
            <v>4900000</v>
          </cell>
          <cell r="F1682" t="str">
            <v>MANGUERA FORRADA DE SEDA DE 1/4 X 16 PIES</v>
          </cell>
          <cell r="G1682" t="str">
            <v>PIE</v>
          </cell>
        </row>
        <row r="1683">
          <cell r="E1683">
            <v>4900001</v>
          </cell>
          <cell r="F1683" t="str">
            <v>MANGUERA DE 1/8" X 1/32"  PIE</v>
          </cell>
          <cell r="G1683" t="str">
            <v>PIE</v>
          </cell>
        </row>
        <row r="1684">
          <cell r="E1684">
            <v>4990000</v>
          </cell>
          <cell r="F1684" t="str">
            <v>GRAPAS PARA ENDODONCIA # 14</v>
          </cell>
          <cell r="G1684" t="str">
            <v>ELIM LIST OFICIAL</v>
          </cell>
        </row>
        <row r="1685">
          <cell r="E1685">
            <v>4990001</v>
          </cell>
          <cell r="F1685" t="str">
            <v>GRAPAS PARA ENDODONCIA # 211</v>
          </cell>
          <cell r="G1685" t="str">
            <v>ELIM LIST OFICIAL</v>
          </cell>
        </row>
        <row r="1686">
          <cell r="E1686">
            <v>4990002</v>
          </cell>
          <cell r="F1686" t="str">
            <v>GRAPAS PARA ENDODONCIA # 00.</v>
          </cell>
          <cell r="G1686" t="str">
            <v>ELIM LIST OFICIAL</v>
          </cell>
        </row>
        <row r="1687">
          <cell r="E1687">
            <v>4990003</v>
          </cell>
          <cell r="F1687" t="str">
            <v>GRAPAS PARA ENDODONCIA # 8 A.</v>
          </cell>
          <cell r="G1687" t="str">
            <v>ELIM LIST OFICIAL</v>
          </cell>
        </row>
        <row r="1688">
          <cell r="E1688">
            <v>4990004</v>
          </cell>
          <cell r="F1688" t="str">
            <v>GRAPAS PARA ENDODONCIA # 208</v>
          </cell>
          <cell r="G1688" t="str">
            <v>ELIM LIST OFICIAL</v>
          </cell>
        </row>
        <row r="1689">
          <cell r="E1689">
            <v>4990005</v>
          </cell>
          <cell r="F1689" t="str">
            <v>*ELIMINADO: ESPACIADOR PALMAR DE GUTAPERCHA # 7   (ACDO. # 2004.0443.MZO)</v>
          </cell>
          <cell r="G1689" t="str">
            <v>ELIM LIST OFICIAL</v>
          </cell>
        </row>
        <row r="1690">
          <cell r="E1690">
            <v>4990006</v>
          </cell>
          <cell r="F1690" t="str">
            <v>ESPACIADOR DIGITAL</v>
          </cell>
          <cell r="G1690" t="str">
            <v>ELIM LIST OFICIAL</v>
          </cell>
        </row>
        <row r="1691">
          <cell r="E1691">
            <v>4990007</v>
          </cell>
          <cell r="F1691" t="str">
            <v>*ELIMINADO: CONDENSADOR PALMAR VERTICAL # 9.      (ACDO. # 2004.0443.MZO)</v>
          </cell>
          <cell r="G1691" t="str">
            <v>ELIM LIST OFICIAL</v>
          </cell>
        </row>
        <row r="1692">
          <cell r="E1692">
            <v>4990008</v>
          </cell>
          <cell r="F1692" t="str">
            <v>*ELIMINADO: CONDENSADOR PALMAR VERTICAL # 11.     (ACDO. #2004.0443.MZO)</v>
          </cell>
          <cell r="G1692" t="str">
            <v>ELIM LIST OFICIAL</v>
          </cell>
        </row>
        <row r="1693">
          <cell r="E1693">
            <v>4990009</v>
          </cell>
          <cell r="F1693" t="str">
            <v>*ELIMINADO: CONDENSADOR PALMAR VERTICAL # 12.     (ACDO. # 2004.0443.MZO.)</v>
          </cell>
          <cell r="G1693" t="str">
            <v>ELIM LIST OFICIAL</v>
          </cell>
        </row>
        <row r="1694">
          <cell r="E1694">
            <v>4990010</v>
          </cell>
          <cell r="F1694" t="str">
            <v>CONDENSADOR DIGITAL</v>
          </cell>
          <cell r="G1694" t="str">
            <v>ELIM LIST OFICIAL</v>
          </cell>
        </row>
        <row r="1695">
          <cell r="E1695">
            <v>4990011</v>
          </cell>
          <cell r="F1695" t="str">
            <v>GRAPA PRA ENDODONCIA # 2</v>
          </cell>
          <cell r="G1695" t="str">
            <v>ELIM LIST OFICIAL</v>
          </cell>
        </row>
        <row r="1696">
          <cell r="E1696">
            <v>4990012</v>
          </cell>
          <cell r="F1696" t="str">
            <v xml:space="preserve">BRUÑIDOR Nº 33 DE 1 EXTREMO </v>
          </cell>
          <cell r="G1696" t="str">
            <v>ELIM LIST OFICIAL</v>
          </cell>
        </row>
        <row r="1697">
          <cell r="E1697">
            <v>4990013</v>
          </cell>
          <cell r="F1697" t="str">
            <v>BRUÐIDOR # 5 INOXIDABLE.</v>
          </cell>
          <cell r="G1697" t="str">
            <v>ELIM LIST OFICIAL</v>
          </cell>
        </row>
        <row r="1698">
          <cell r="E1698">
            <v>4990014</v>
          </cell>
          <cell r="F1698" t="str">
            <v xml:space="preserve">PORTA AMALGAMA PEQUEÑO </v>
          </cell>
          <cell r="G1698" t="str">
            <v>ELIM LIST OFICIAL</v>
          </cell>
        </row>
        <row r="1699">
          <cell r="E1699">
            <v>4990015</v>
          </cell>
          <cell r="F1699" t="str">
            <v>BRUNIDOR # 1 DE UN EXTREMO, INOXIDABLE.</v>
          </cell>
          <cell r="G1699" t="str">
            <v>ELIM LIST OFICIAL</v>
          </cell>
        </row>
        <row r="1700">
          <cell r="E1700">
            <v>4990016</v>
          </cell>
          <cell r="F1700" t="str">
            <v>TALLADOR DE AMALGAMA INTERP</v>
          </cell>
          <cell r="G1700" t="str">
            <v>ELIM LIST OFICIAL</v>
          </cell>
        </row>
        <row r="1701">
          <cell r="E1701">
            <v>4990017</v>
          </cell>
          <cell r="F1701" t="str">
            <v xml:space="preserve"> Tallador de amalgama interproximal OFF AN</v>
          </cell>
          <cell r="G1701" t="str">
            <v>ELIM LIST OFICIAL</v>
          </cell>
        </row>
        <row r="1702">
          <cell r="E1702">
            <v>4990018</v>
          </cell>
          <cell r="F1702" t="str">
            <v>APLICADOR Y CONDENSADOR CEMENTO</v>
          </cell>
          <cell r="G1702" t="str">
            <v>ELIM LIST OFICIAL</v>
          </cell>
        </row>
        <row r="1703">
          <cell r="E1703">
            <v>4990019</v>
          </cell>
          <cell r="F1703" t="str">
            <v>APLICADOR DE CEMENTO</v>
          </cell>
          <cell r="G1703" t="str">
            <v>ELIM LIST OFICIAL</v>
          </cell>
        </row>
        <row r="1704">
          <cell r="E1704">
            <v>4990020</v>
          </cell>
          <cell r="F1704" t="str">
            <v>INSTRUMENTO  PARA  MEDIR  VITALIDAD PULPAR (PULPO VITALOMETRO).</v>
          </cell>
          <cell r="G1704" t="str">
            <v>ELIM LIST OFICIAL</v>
          </cell>
        </row>
        <row r="1705">
          <cell r="E1705">
            <v>4990021</v>
          </cell>
          <cell r="F1705" t="str">
            <v>brocha de alambre nº2 redonda para limpiar fresas (consumo anual)</v>
          </cell>
          <cell r="G1705" t="str">
            <v>ELIM LIST OFICIAL</v>
          </cell>
        </row>
        <row r="1706">
          <cell r="E1706">
            <v>4990022</v>
          </cell>
          <cell r="F1706" t="str">
            <v>Cucharilla o excavador para dentina N-18</v>
          </cell>
          <cell r="G1706" t="str">
            <v>ELIM LIST OFICIAL</v>
          </cell>
        </row>
        <row r="1707">
          <cell r="E1707">
            <v>4990023</v>
          </cell>
          <cell r="F1707" t="str">
            <v>263050 Cucharilla o excavador para dentina  N19,inox. Instrumental de años anteriores</v>
          </cell>
          <cell r="G1707" t="str">
            <v>ELIM LIST OFICIAL</v>
          </cell>
        </row>
        <row r="1708">
          <cell r="E1708">
            <v>4990024</v>
          </cell>
          <cell r="F1708" t="str">
            <v>Espatula Heidemann</v>
          </cell>
          <cell r="G1708" t="str">
            <v>ELIM LIST OFICIAL</v>
          </cell>
        </row>
        <row r="1709">
          <cell r="E1709">
            <v>4990025</v>
          </cell>
          <cell r="F1709" t="str">
            <v>DEPOSITO METALICO PARA ESTERILIZAR FRESAS</v>
          </cell>
          <cell r="G1709" t="str">
            <v>ELIM LIST OFICIAL</v>
          </cell>
        </row>
        <row r="1710">
          <cell r="E1710">
            <v>4990026</v>
          </cell>
          <cell r="F1710" t="str">
            <v>BRUÐIDOR WESTCOTT NO. DF 022 R 170 MM 6 3/4</v>
          </cell>
          <cell r="G1710" t="str">
            <v>ELIM LIST OFICIAL</v>
          </cell>
        </row>
        <row r="1711">
          <cell r="E1711">
            <v>4990027</v>
          </cell>
          <cell r="F1711" t="str">
            <v>CINCEL P HUEZO Nº 4 OCHESENBE 1 ANUAL</v>
          </cell>
          <cell r="G1711" t="str">
            <v>ELIM LIST OFICIAL</v>
          </cell>
        </row>
        <row r="1712">
          <cell r="E1712">
            <v>4990028</v>
          </cell>
          <cell r="F1712" t="str">
            <v xml:space="preserve">INSTRUMENTO DE PROFILAXIS JAQUETTE </v>
          </cell>
          <cell r="G1712" t="str">
            <v>ELIM LIST OFICIAL</v>
          </cell>
        </row>
        <row r="1713">
          <cell r="E1713">
            <v>4990029</v>
          </cell>
          <cell r="F1713" t="str">
            <v xml:space="preserve">INSTRUMENTO DE PROFILAXIS JAQUETTE Nº2  </v>
          </cell>
          <cell r="G1713" t="str">
            <v>ELIM LIST OFICIAL</v>
          </cell>
        </row>
        <row r="1714">
          <cell r="E1714">
            <v>4990030</v>
          </cell>
          <cell r="F1714" t="str">
            <v xml:space="preserve">INSTRUMENTO DE PROFILAXIS JAQUETTE Nº 3  </v>
          </cell>
          <cell r="G1714" t="str">
            <v>ELIM LIST OFICIAL</v>
          </cell>
        </row>
        <row r="1715">
          <cell r="E1715">
            <v>4990031</v>
          </cell>
          <cell r="F1715" t="str">
            <v xml:space="preserve">PIEDRAS PARA AFILAR Nº6-A ARKANSAS </v>
          </cell>
          <cell r="G1715" t="str">
            <v>ELIM LIST OFICIAL</v>
          </cell>
        </row>
        <row r="1716">
          <cell r="E1716">
            <v>4990032</v>
          </cell>
          <cell r="F1716" t="str">
            <v>CINCEL P HUEZO Nº2 OCHESENBE 1 ANUAL</v>
          </cell>
          <cell r="G1716" t="str">
            <v>ELIM LIST OFICIAL</v>
          </cell>
        </row>
        <row r="1717">
          <cell r="E1717">
            <v>4990033</v>
          </cell>
          <cell r="F1717" t="str">
            <v>PINZA QUIRURGICA ADSON CON GARRA 12 CMS 1 ANUAL</v>
          </cell>
          <cell r="G1717" t="str">
            <v>ELIM LIST OFICIAL</v>
          </cell>
        </row>
        <row r="1718">
          <cell r="E1718">
            <v>4990034</v>
          </cell>
          <cell r="F1718" t="str">
            <v>PINZA QUIRURGICA ADSON SIN GARRA 12 CMS 1 ANUAL</v>
          </cell>
          <cell r="G1718" t="str">
            <v>ELIM LIST OFICIAL</v>
          </cell>
        </row>
        <row r="1719">
          <cell r="E1719">
            <v>4990035</v>
          </cell>
          <cell r="F1719" t="str">
            <v>PIEDRAS MONTADAS PARA AFILAR Nº 300 1ANUAL</v>
          </cell>
          <cell r="G1719" t="str">
            <v>ELIM LIST OFICIAL</v>
          </cell>
        </row>
        <row r="1720">
          <cell r="E1720">
            <v>4990036</v>
          </cell>
          <cell r="F1720" t="str">
            <v>RETRACTOR QUIRURGICO PERIODONTAL TIPO AUSTIN 1 ANUAL</v>
          </cell>
          <cell r="G1720" t="str">
            <v>ELIM LIST OFICIAL</v>
          </cell>
        </row>
        <row r="1721">
          <cell r="E1721">
            <v>4990037</v>
          </cell>
          <cell r="F1721" t="str">
            <v>RETRACTOR QUIRURGICO PERIODONTAL TIPO AUSTIN Nº 2   1 ANUAL</v>
          </cell>
          <cell r="G1721" t="str">
            <v>ELIM LIST OFICIAL</v>
          </cell>
        </row>
        <row r="1722">
          <cell r="E1722">
            <v>4990038</v>
          </cell>
          <cell r="F1722" t="str">
            <v>BISTURI KIRKLAN Nº 16 1 ANUAL</v>
          </cell>
          <cell r="G1722" t="str">
            <v>ELIM LIST OFICIAL</v>
          </cell>
        </row>
        <row r="1723">
          <cell r="E1723">
            <v>4990039</v>
          </cell>
          <cell r="F1723" t="str">
            <v>BISTURI INTERDENTAL Nº 6 BUCKDE DOBLE EXTERMO   1 ANUAL</v>
          </cell>
          <cell r="G1723" t="str">
            <v>ELIM LIST OFICIAL</v>
          </cell>
        </row>
        <row r="1724">
          <cell r="E1724">
            <v>4990040</v>
          </cell>
          <cell r="F1724" t="str">
            <v xml:space="preserve">CURETA GRACEY P1 P2 </v>
          </cell>
          <cell r="G1724" t="str">
            <v>ELIM LIST OFICIAL</v>
          </cell>
        </row>
        <row r="1725">
          <cell r="E1725">
            <v>4990041</v>
          </cell>
          <cell r="F1725" t="str">
            <v xml:space="preserve">CURETAS GRACEY P7/P8  </v>
          </cell>
          <cell r="G1725" t="str">
            <v>ELIM LIST OFICIAL</v>
          </cell>
        </row>
        <row r="1726">
          <cell r="E1726">
            <v>4990042</v>
          </cell>
          <cell r="F1726" t="str">
            <v>PIEDRAS PARA AFILAR N º 309 ARKANSAS 1 ANUAL</v>
          </cell>
          <cell r="G1726" t="str">
            <v>ELIM LIST OFICIAL</v>
          </cell>
        </row>
        <row r="1727">
          <cell r="E1727">
            <v>4990043</v>
          </cell>
          <cell r="F1727" t="str">
            <v>RESINA HIBRIDA DE FOTOCURADO PARA FIJACION DE PIEZAS DENTARIAS CON MOVILIDAD.</v>
          </cell>
          <cell r="G1727" t="str">
            <v>ELIM LIST OFICIAL</v>
          </cell>
        </row>
        <row r="1728">
          <cell r="E1728">
            <v>4990044</v>
          </cell>
          <cell r="F1728" t="str">
            <v>LACA FLUORADA COMPUESTA POR FLUORURO DE SODIO Y FLUORURO DE CALCIO.</v>
          </cell>
          <cell r="G1728" t="str">
            <v>ELIM LIST OFICIAL</v>
          </cell>
        </row>
        <row r="1729">
          <cell r="E1729">
            <v>4990045</v>
          </cell>
          <cell r="F1729" t="str">
            <v>*ELIMINADO: ALGINATO REGULAR (ACDO. # 2004.0443.MZO.)</v>
          </cell>
          <cell r="G1729" t="str">
            <v>ELIM LIST OFICIAL</v>
          </cell>
        </row>
        <row r="1730">
          <cell r="E1730">
            <v>4990046</v>
          </cell>
          <cell r="F1730" t="str">
            <v>PINZA PORTA AGUJA CRILE MURRIA</v>
          </cell>
          <cell r="G1730" t="str">
            <v>ELIM LIST OFICIAL</v>
          </cell>
        </row>
        <row r="1731">
          <cell r="E1731">
            <v>4990047</v>
          </cell>
          <cell r="F1731" t="str">
            <v>LENTULOS DE BAJA VELOCIDAD PARA CONTRANGULO DE 21 MM. DE LARGO</v>
          </cell>
          <cell r="G1731" t="str">
            <v>ELIM LIST OFICIAL</v>
          </cell>
        </row>
        <row r="1732">
          <cell r="E1732">
            <v>4990048</v>
          </cell>
          <cell r="F1732" t="str">
            <v>*ELIMINADO. LENTULOS MANUALES DE 21 MM. DE LARGO  (ACDO. # 2004-0443.MZO)</v>
          </cell>
          <cell r="G1732" t="str">
            <v>ELIM LIST OFICIAL</v>
          </cell>
        </row>
        <row r="1733">
          <cell r="E1733">
            <v>4990049</v>
          </cell>
          <cell r="F1733" t="str">
            <v>CEMENTO DE OBTURACIÓN DE CANALES</v>
          </cell>
          <cell r="G1733" t="str">
            <v>ELIM LIST OFICIAL</v>
          </cell>
        </row>
        <row r="1734">
          <cell r="E1734">
            <v>4990050</v>
          </cell>
          <cell r="F1734" t="str">
            <v>CEMENTO QUIRURGICO SIN EUGENOL BASE Y CATALIZADOR</v>
          </cell>
          <cell r="G1734" t="str">
            <v>ELIM LIST OFICIAL</v>
          </cell>
        </row>
        <row r="1735">
          <cell r="E1735">
            <v>4990051</v>
          </cell>
          <cell r="F1735" t="str">
            <v>FRESA DE CARBURO REDONDA PARA CONTRANGULO #6 (BAJAVELOCIDAD)</v>
          </cell>
          <cell r="G1735" t="str">
            <v>ELIM LIST OFICIAL</v>
          </cell>
        </row>
        <row r="1736">
          <cell r="E1736">
            <v>4990052</v>
          </cell>
          <cell r="F1736" t="str">
            <v>FRESA DE CARBURO CONO INVERTIDO</v>
          </cell>
          <cell r="G1736" t="str">
            <v>ELIM LIST OFICIAL</v>
          </cell>
        </row>
        <row r="1737">
          <cell r="E1737">
            <v>4990053</v>
          </cell>
          <cell r="F1737" t="str">
            <v xml:space="preserve">FRESA DE CARBURO CONO INVERTIDO </v>
          </cell>
          <cell r="G1737" t="str">
            <v>ELIM LIST OFICIAL</v>
          </cell>
        </row>
        <row r="1738">
          <cell r="E1738">
            <v>4990054</v>
          </cell>
          <cell r="F1738" t="str">
            <v xml:space="preserve">FRESA PARA PULIR AMALGAMA REDONDA </v>
          </cell>
          <cell r="G1738" t="str">
            <v>ELIM LIST OFICIAL</v>
          </cell>
        </row>
        <row r="1739">
          <cell r="E1739">
            <v>4990055</v>
          </cell>
          <cell r="F1739" t="str">
            <v>FRESA DE CARBURO, AGARRE POR FRICCION # 1556-S.</v>
          </cell>
          <cell r="G1739" t="str">
            <v>ELIM LIST OFICIAL</v>
          </cell>
        </row>
        <row r="1740">
          <cell r="E1740">
            <v>4990056</v>
          </cell>
          <cell r="F1740" t="str">
            <v>PIEDRAS POMEZ EN POLVO FINO</v>
          </cell>
          <cell r="G1740" t="str">
            <v>ELIM LIST OFICIAL</v>
          </cell>
        </row>
        <row r="1741">
          <cell r="E1741">
            <v>4990057</v>
          </cell>
          <cell r="F1741" t="str">
            <v>PUNTAS DE PAPEL DE LA 45 A 80</v>
          </cell>
          <cell r="G1741" t="str">
            <v>ELIM LIST OFICIAL</v>
          </cell>
        </row>
        <row r="1742">
          <cell r="E1742">
            <v>4990058</v>
          </cell>
          <cell r="F1742" t="str">
            <v>PUNTAS DE PAPEL DEL 15 AL  40</v>
          </cell>
          <cell r="G1742" t="str">
            <v>ELIM LIST OFICIAL</v>
          </cell>
        </row>
        <row r="1743">
          <cell r="E1743">
            <v>4990059</v>
          </cell>
          <cell r="F1743" t="str">
            <v>fresa para pulir amalgama en forma de pera(consumo c/ 6 mesesl)</v>
          </cell>
          <cell r="G1743" t="str">
            <v>ELIM LIST OFICIAL</v>
          </cell>
        </row>
        <row r="1744">
          <cell r="E1744">
            <v>4990060</v>
          </cell>
          <cell r="F1744" t="str">
            <v>LIMAS TIPO K DEL 15 AL 40, DE 21 MM. DE LARGO, CONMANGO.</v>
          </cell>
          <cell r="G1744" t="str">
            <v>ELIM LIST OFICIAL</v>
          </cell>
        </row>
        <row r="1745">
          <cell r="E1745">
            <v>4990061</v>
          </cell>
          <cell r="F1745" t="str">
            <v>LIMAS TIPO K DEL 45 AL 80, DE 21 MM. DE LARGO, CONMANGO.</v>
          </cell>
          <cell r="G1745" t="str">
            <v>ELIM LIST OFICIAL</v>
          </cell>
        </row>
        <row r="1746">
          <cell r="E1746">
            <v>4990062</v>
          </cell>
          <cell r="F1746" t="str">
            <v>LIMAS TIPO K DEL 90 AL 140,DE 21 MM. DE LARGO, CONMANGO.</v>
          </cell>
          <cell r="G1746" t="str">
            <v>ELIM LIST OFICIAL</v>
          </cell>
        </row>
        <row r="1747">
          <cell r="E1747">
            <v>4990063</v>
          </cell>
          <cell r="F1747" t="str">
            <v>*ELIMINADO: LIMAS TIPO K DEL 90 AL 140,DE 25 MM. DE LARGO CON MANGO (ACDO. # 2004.0443.MZO)</v>
          </cell>
          <cell r="G1747" t="str">
            <v>ELIM LIST OFICIAL</v>
          </cell>
        </row>
        <row r="1748">
          <cell r="E1748">
            <v>4990064</v>
          </cell>
          <cell r="F1748" t="str">
            <v>*ELIMINADO: PUNTAS DE GUTAPERCHA DEL 90 AL 130.   (ACDO. # 2004.0443.MZO)</v>
          </cell>
          <cell r="G1748" t="str">
            <v>ELIM LIST OFICIAL</v>
          </cell>
        </row>
        <row r="1749">
          <cell r="E1749">
            <v>4990065</v>
          </cell>
          <cell r="F1749" t="str">
            <v>*ELIMINADO: PUNTAS DE GUTAPERCHA ACCESORIA FINE FINE FINE. (ACDO. # 2004.0443.MZO)</v>
          </cell>
          <cell r="G1749" t="str">
            <v>ELIM LIST OFICIAL</v>
          </cell>
        </row>
        <row r="1750">
          <cell r="E1750">
            <v>4990066</v>
          </cell>
          <cell r="F1750" t="str">
            <v>*ELIMINADO: PUNTAS DE GUTAPERCHA ACCESORIA FINE   (ACDO. # 2004.0443.MZO)</v>
          </cell>
          <cell r="G1750" t="str">
            <v>ELIM LIST OFICIAL</v>
          </cell>
        </row>
        <row r="1751">
          <cell r="E1751">
            <v>4990067</v>
          </cell>
          <cell r="F1751" t="str">
            <v>*ELIMINADO: PUNTAS DE GUTAPERCHA ACCESORIA MEDIUM FINE (ACDO. # 2004.0443.MZO)</v>
          </cell>
          <cell r="G1751" t="str">
            <v>ELIM LIST OFICIAL</v>
          </cell>
        </row>
        <row r="1752">
          <cell r="E1752">
            <v>4990068</v>
          </cell>
          <cell r="F1752" t="str">
            <v>FRESA QUIRURGICA DE ALTA VELOCIDAD, REDONDA # 21, TALLO LARGO, 0.063 CMS. (APROX.)</v>
          </cell>
          <cell r="G1752" t="str">
            <v>ELIM LIST OFICIAL</v>
          </cell>
        </row>
        <row r="1753">
          <cell r="E1753">
            <v>4990069</v>
          </cell>
          <cell r="F1753" t="str">
            <v>*ELIMINADO: LIMAS DEL 15 AL 40 DE 25 MM. DE LARGO (ACDO. # 2004.0443.MZO.)</v>
          </cell>
          <cell r="G1753" t="str">
            <v>ELIM LIST OFICIAL</v>
          </cell>
        </row>
        <row r="1754">
          <cell r="E1754">
            <v>4990070</v>
          </cell>
          <cell r="F1754" t="str">
            <v>JERINGA CON RESINA COMPOSITA CURADA POR LUZ VISIBLE, COLOR A2.</v>
          </cell>
          <cell r="G1754" t="str">
            <v>ELIM LIST OFICIAL</v>
          </cell>
        </row>
        <row r="1755">
          <cell r="E1755">
            <v>4990071</v>
          </cell>
          <cell r="F1755" t="str">
            <v>FRESA TIPO GATE (DEL 1 AL 6), PARA APERTURA DE CANALES, TALLO LARGO.</v>
          </cell>
          <cell r="G1755" t="str">
            <v>ELIM LIST OFICIAL</v>
          </cell>
        </row>
        <row r="1756">
          <cell r="E1756">
            <v>4990072</v>
          </cell>
          <cell r="F1756" t="str">
            <v>FRESA DE CARBURO REDONDO, AGARRE POR FRICCION, # 6.</v>
          </cell>
          <cell r="G1756" t="str">
            <v>ELIM LIST OFICIAL</v>
          </cell>
        </row>
        <row r="1757">
          <cell r="E1757">
            <v>4990073</v>
          </cell>
          <cell r="F1757" t="str">
            <v>INSTRUMENTO DOBLE EXTREMO PLASTICO # 3 WHITE PARA OBTURACION.</v>
          </cell>
          <cell r="G1757" t="str">
            <v>ELIM LIST OFICIAL</v>
          </cell>
        </row>
        <row r="1758">
          <cell r="E1758">
            <v>4990074</v>
          </cell>
          <cell r="F1758" t="str">
            <v>VISOR CON TRES PANTALLAS.</v>
          </cell>
          <cell r="G1758" t="str">
            <v>ELIM LIST OFICIAL</v>
          </cell>
        </row>
        <row r="1759">
          <cell r="E1759">
            <v>4990075</v>
          </cell>
          <cell r="F1759" t="str">
            <v>FRESA PARA DESOBTURAR GUTAPERCHA</v>
          </cell>
          <cell r="G1759" t="str">
            <v>ELIM LIST OFICIAL</v>
          </cell>
        </row>
        <row r="1760">
          <cell r="E1760">
            <v>4990076</v>
          </cell>
          <cell r="F1760" t="str">
            <v>LIMA K DE LA PRIMERA SERIE (15 - 40)</v>
          </cell>
          <cell r="G1760" t="str">
            <v>ELIM LIST OFICIAL</v>
          </cell>
        </row>
        <row r="1761">
          <cell r="E1761">
            <v>4990077</v>
          </cell>
          <cell r="F1761" t="str">
            <v>LIMA K FLEX DE LA SEGUNDA SERIE (45 - 80)</v>
          </cell>
          <cell r="G1761" t="str">
            <v>ELIM LIST OFICIAL</v>
          </cell>
        </row>
        <row r="1762">
          <cell r="E1762">
            <v>4990078</v>
          </cell>
          <cell r="F1762" t="str">
            <v>EDTA (ACIDO ETILEN-DIAMINO TETRAACETATO) FRASCO.</v>
          </cell>
          <cell r="G1762" t="str">
            <v>ELIM LIST OFICIAL</v>
          </cell>
        </row>
        <row r="1763">
          <cell r="E1763">
            <v>4990079</v>
          </cell>
          <cell r="F1763" t="str">
            <v>ADAPTADORES CORTOS PARA JERINGAS  CARPULE</v>
          </cell>
          <cell r="G1763" t="str">
            <v>ELIM LIST OFICIAL</v>
          </cell>
        </row>
        <row r="1764">
          <cell r="E1764">
            <v>4990080</v>
          </cell>
          <cell r="F1764" t="str">
            <v>Adaptadores largos para jeringas Carpule</v>
          </cell>
          <cell r="G1764" t="str">
            <v>ELIM LIST OFICIAL</v>
          </cell>
        </row>
        <row r="1765">
          <cell r="E1765">
            <v>4990081</v>
          </cell>
          <cell r="F1765" t="str">
            <v xml:space="preserve"> Elevador de periostio Nº 9</v>
          </cell>
          <cell r="G1765" t="str">
            <v>ELIM LIST OFICIAL</v>
          </cell>
        </row>
        <row r="1766">
          <cell r="E1766">
            <v>4990082</v>
          </cell>
          <cell r="F1766" t="str">
            <v xml:space="preserve"> Forceps de extracción Nº99A</v>
          </cell>
          <cell r="G1766" t="str">
            <v>ELIM LIST OFICIAL</v>
          </cell>
        </row>
        <row r="1767">
          <cell r="E1767">
            <v>4990083</v>
          </cell>
          <cell r="F1767" t="str">
            <v>FORCEPS  DE EXTRACCION # 99-C</v>
          </cell>
          <cell r="G1767" t="str">
            <v>ELIM LIST OFICIAL</v>
          </cell>
        </row>
        <row r="1768">
          <cell r="E1768">
            <v>4990084</v>
          </cell>
          <cell r="F1768" t="str">
            <v>INSTRUMENTO DOBLE PARA OBTURACIONES PLASTICAS Y PORCELANA.</v>
          </cell>
          <cell r="G1768" t="str">
            <v>ELIM LIST OFICIAL</v>
          </cell>
        </row>
        <row r="1769">
          <cell r="E1769">
            <v>4990085</v>
          </cell>
          <cell r="F1769" t="str">
            <v>LIMA PARA HUESO DOBLE EXTREMO # 3 MILLER.</v>
          </cell>
          <cell r="G1769" t="str">
            <v>ELIM LIST OFICIAL</v>
          </cell>
        </row>
        <row r="1770">
          <cell r="E1770">
            <v>4990086</v>
          </cell>
          <cell r="F1770" t="str">
            <v>LIMPIADOR DE SARRO SCHARMANN # 6</v>
          </cell>
          <cell r="G1770" t="str">
            <v>ELIM LIST OFICIAL</v>
          </cell>
        </row>
        <row r="1771">
          <cell r="E1771">
            <v>4990087</v>
          </cell>
          <cell r="F1771" t="str">
            <v>LIMPIADOR DE SARRO MC CALL # 9</v>
          </cell>
          <cell r="G1771" t="str">
            <v>ELIM LIST OFICIAL</v>
          </cell>
        </row>
        <row r="1772">
          <cell r="E1772">
            <v>4990088</v>
          </cell>
          <cell r="F1772" t="str">
            <v>FRESA DE CARBURO  CONO  INVERTIDO PARA CONTRANGULO# 36 (BAJA VELOCIDAD)</v>
          </cell>
          <cell r="G1772" t="str">
            <v>ELIM LIST OFICIAL</v>
          </cell>
        </row>
        <row r="1773">
          <cell r="E1773">
            <v>4990089</v>
          </cell>
          <cell r="F1773" t="str">
            <v>FRESA QUIRURGICA CILINDRICA # 557 (CODIGO CORRECTO 265140 )</v>
          </cell>
          <cell r="G1773" t="str">
            <v>ELIM LIST OFICIAL</v>
          </cell>
        </row>
        <row r="1774">
          <cell r="E1774">
            <v>4990090</v>
          </cell>
          <cell r="F1774" t="str">
            <v>FRESA  DE  CARBURO  FISURA  EXTREMO  PLANO  PARA  CONTRANGULO # 58 (BAJA VELOCIDAD)</v>
          </cell>
          <cell r="G1774" t="str">
            <v>ELIM LIST OFICIAL</v>
          </cell>
        </row>
        <row r="1775">
          <cell r="E1775">
            <v>4990091</v>
          </cell>
          <cell r="F1775" t="str">
            <v>FRESA  DE  CARBURO  FISURA  EXTREMO  PLANO  PARA  CONTRANGULO # 57 (BAJA VELOCIDAD)</v>
          </cell>
          <cell r="G1775" t="str">
            <v>ELIM LIST OFICIAL</v>
          </cell>
        </row>
        <row r="1776">
          <cell r="E1776">
            <v>4990092</v>
          </cell>
          <cell r="F1776" t="str">
            <v>FRESA DE CARBURO FISURA PLANA PARA CONTRANGULO  # 56  (BAJA VELOCIDAD).</v>
          </cell>
          <cell r="G1776" t="str">
            <v>ELIM LIST OFICIAL</v>
          </cell>
        </row>
        <row r="1777">
          <cell r="E1777">
            <v>4990093</v>
          </cell>
          <cell r="F1777" t="str">
            <v>2  (NUEVOS)  Sujeta lengua y retractor de mejia</v>
          </cell>
          <cell r="G1777" t="str">
            <v>ELIM LIST OFICIAL</v>
          </cell>
        </row>
        <row r="1778">
          <cell r="E1778">
            <v>4990094</v>
          </cell>
          <cell r="F1778" t="str">
            <v>intrumental doble para amalgama</v>
          </cell>
          <cell r="G1778" t="str">
            <v>ELIM LIST OFICIAL</v>
          </cell>
        </row>
        <row r="1779">
          <cell r="E1779">
            <v>4990095</v>
          </cell>
          <cell r="F1779" t="str">
            <v>HILO DE ALAMBRE # 0.5 MM.</v>
          </cell>
          <cell r="G1779" t="str">
            <v>ELIM LIST OFICIAL</v>
          </cell>
        </row>
        <row r="1780">
          <cell r="E1780">
            <v>4990096</v>
          </cell>
          <cell r="F1780" t="str">
            <v>LIMPIADOR DE SARRO # 13</v>
          </cell>
          <cell r="G1780" t="str">
            <v>ELIM LIST OFICIAL</v>
          </cell>
        </row>
        <row r="1781">
          <cell r="E1781">
            <v>4990097</v>
          </cell>
          <cell r="F1781" t="str">
            <v>1   (EN USO) Espatula para cemento</v>
          </cell>
          <cell r="G1781" t="str">
            <v>ELIM LIST OFICIAL</v>
          </cell>
        </row>
        <row r="1782">
          <cell r="E1782">
            <v>4990098</v>
          </cell>
          <cell r="F1782" t="str">
            <v>ELEVADOR DE RAIZ # 637</v>
          </cell>
          <cell r="G1782" t="str">
            <v>ELIM LIST OFICIAL</v>
          </cell>
        </row>
        <row r="1783">
          <cell r="E1783">
            <v>4990099</v>
          </cell>
          <cell r="F1783" t="str">
            <v>ELEVADOR DE RAIZ # 635</v>
          </cell>
          <cell r="G1783" t="str">
            <v>ELIM LIST OFICIAL</v>
          </cell>
        </row>
        <row r="1784">
          <cell r="E1784">
            <v>4990100</v>
          </cell>
          <cell r="F1784" t="str">
            <v>TIJERAS CORRIENTES DE ACERO INOXIDABLE</v>
          </cell>
          <cell r="G1784" t="str">
            <v>ELIM LIST OFICIAL</v>
          </cell>
        </row>
        <row r="1785">
          <cell r="E1785">
            <v>4990101</v>
          </cell>
          <cell r="F1785" t="str">
            <v>ELEVADOR DE RAIZ DE ACERO INOXIDABLE # 838/1 L.</v>
          </cell>
          <cell r="G1785" t="str">
            <v>ELIM LIST OFICIAL</v>
          </cell>
        </row>
        <row r="1786">
          <cell r="E1786">
            <v>4990102</v>
          </cell>
          <cell r="F1786" t="str">
            <v>RASPADOR WILLERGER DE 8</v>
          </cell>
          <cell r="G1786" t="str">
            <v>ELIM LIST OFICIAL</v>
          </cell>
        </row>
        <row r="1787">
          <cell r="E1787">
            <v>4990103</v>
          </cell>
          <cell r="F1787" t="str">
            <v>TORNO PARA PIEZA DE MANO DE 7,000 R.P.M.</v>
          </cell>
          <cell r="G1787" t="str">
            <v>ELIM LIST OFICIAL</v>
          </cell>
        </row>
        <row r="1788">
          <cell r="E1788">
            <v>4990104</v>
          </cell>
          <cell r="F1788" t="str">
            <v>ELEVADOR DE RAIZ # 11 L</v>
          </cell>
          <cell r="G1788" t="str">
            <v>ELIM LIST OFICIAL</v>
          </cell>
        </row>
        <row r="1789">
          <cell r="E1789">
            <v>4990105</v>
          </cell>
          <cell r="F1789" t="str">
            <v xml:space="preserve"> Elevador de raíz Barry RR</v>
          </cell>
          <cell r="G1789" t="str">
            <v>ELIM LIST OFICIAL</v>
          </cell>
        </row>
        <row r="1790">
          <cell r="E1790">
            <v>4990106</v>
          </cell>
          <cell r="F1790" t="str">
            <v xml:space="preserve"> Elevador de raíz Barry Nº 12 L</v>
          </cell>
          <cell r="G1790" t="str">
            <v>ELIM LIST OFICIAL</v>
          </cell>
        </row>
        <row r="1791">
          <cell r="E1791">
            <v>4990107</v>
          </cell>
          <cell r="F1791" t="str">
            <v>ELEVADOR DE RAIZ, CAT. DL-422</v>
          </cell>
          <cell r="G1791" t="str">
            <v>ELIM LIST OFICIAL</v>
          </cell>
        </row>
        <row r="1792">
          <cell r="E1792">
            <v>4990108</v>
          </cell>
          <cell r="F1792" t="str">
            <v>FRESA DE CARBURO # 38 BAJA VELOCIDAD</v>
          </cell>
          <cell r="G1792" t="str">
            <v>ELIM LIST OFICIAL</v>
          </cell>
        </row>
        <row r="1793">
          <cell r="E1793">
            <v>4990109</v>
          </cell>
          <cell r="F1793" t="str">
            <v>FRESA DE CARBURO # 700 BAJA VELOCIDAD</v>
          </cell>
          <cell r="G1793" t="str">
            <v>ELIM LIST OFICIAL</v>
          </cell>
        </row>
        <row r="1794">
          <cell r="E1794">
            <v>4990110</v>
          </cell>
          <cell r="F1794" t="str">
            <v>FRESA DE CARBURO # 560 BAJA VELOCIDAD</v>
          </cell>
          <cell r="G1794" t="str">
            <v>ELIM LIST OFICIAL</v>
          </cell>
        </row>
        <row r="1795">
          <cell r="E1795">
            <v>4990111</v>
          </cell>
          <cell r="F1795" t="str">
            <v>FRESA  DE  CARBURO  PARA  CONTRANGULO # 701, BAJA VELOCIDAD.</v>
          </cell>
          <cell r="G1795" t="str">
            <v>ELIM LIST OFICIAL</v>
          </cell>
        </row>
        <row r="1796">
          <cell r="E1796">
            <v>4990112</v>
          </cell>
          <cell r="F1796" t="str">
            <v>FRESA DE CARBURO FG-245.</v>
          </cell>
          <cell r="G1796" t="str">
            <v>ELIM LIST OFICIAL</v>
          </cell>
        </row>
        <row r="1797">
          <cell r="E1797">
            <v>4990113</v>
          </cell>
          <cell r="F1797" t="str">
            <v>FRESA DE CARBURO FG-D (ALTA VELOCIDAD).</v>
          </cell>
          <cell r="G1797" t="str">
            <v>ELIM LIST OFICIAL</v>
          </cell>
        </row>
        <row r="1798">
          <cell r="E1798">
            <v>4990114</v>
          </cell>
          <cell r="F1798" t="str">
            <v>FRESA DE CARBURO FG-A</v>
          </cell>
          <cell r="G1798" t="str">
            <v>ELIM LIST OFICIAL</v>
          </cell>
        </row>
        <row r="1799">
          <cell r="E1799">
            <v>4990115</v>
          </cell>
          <cell r="F1799" t="str">
            <v>FRESA DE CARBURO RA-6</v>
          </cell>
          <cell r="G1799" t="str">
            <v>ELIM LIST OFICIAL</v>
          </cell>
        </row>
        <row r="1800">
          <cell r="E1800">
            <v>4990116</v>
          </cell>
          <cell r="F1800" t="str">
            <v>FRESA DE CARBURO RA-8 (BAJA VELOCIDAD)</v>
          </cell>
          <cell r="G1800" t="str">
            <v>ELIM LIST OFICIAL</v>
          </cell>
        </row>
        <row r="1801">
          <cell r="E1801">
            <v>4990117</v>
          </cell>
          <cell r="F1801" t="str">
            <v>FRESA DE CARBURO RA-4 (BAJA VELOCIDAD)</v>
          </cell>
          <cell r="G1801" t="str">
            <v>ELIM LIST OFICIAL</v>
          </cell>
        </row>
        <row r="1802">
          <cell r="E1802">
            <v>4990118</v>
          </cell>
          <cell r="F1802" t="str">
            <v>DIQUE DE GOMA TIPO YOUNG'S (CODIGO INCORRECTO)</v>
          </cell>
          <cell r="G1802" t="str">
            <v>ELIM LIST OFICIAL</v>
          </cell>
        </row>
        <row r="1803">
          <cell r="E1803">
            <v>4990119</v>
          </cell>
          <cell r="F1803" t="str">
            <v>BROCHA DE ALAMBRE #2 P/LIMPIAR FRESAS (VER CODIGO:263046)</v>
          </cell>
          <cell r="G1803" t="str">
            <v>ELIM LIST OFICIAL</v>
          </cell>
        </row>
        <row r="1804">
          <cell r="E1804">
            <v>4990120</v>
          </cell>
          <cell r="F1804" t="str">
            <v>TALLADOR PARA CERA Y AMALGAMA FARHM # 6 DE UN EXTREMO.</v>
          </cell>
          <cell r="G1804" t="str">
            <v>ELIM LIST OFICIAL</v>
          </cell>
        </row>
        <row r="1805">
          <cell r="E1805">
            <v>4990121</v>
          </cell>
          <cell r="F1805" t="str">
            <v>PUNTA METALICA PARA PORTA AMALGAMA PEQUENO,</v>
          </cell>
          <cell r="G1805" t="str">
            <v>ELIM LIST OFICIAL</v>
          </cell>
        </row>
        <row r="1806">
          <cell r="E1806">
            <v>4990122</v>
          </cell>
          <cell r="F1806" t="str">
            <v xml:space="preserve"> Cureta Mc Call Nº 25</v>
          </cell>
          <cell r="G1806" t="str">
            <v>ELIM LIST OFICIAL</v>
          </cell>
        </row>
        <row r="1807">
          <cell r="E1807">
            <v>4990123</v>
          </cell>
          <cell r="F1807" t="str">
            <v>TALLADOR PARA CERA Y AMALGAMA FARHM # 2</v>
          </cell>
          <cell r="G1807" t="str">
            <v>ELIM LIST OFICIAL</v>
          </cell>
        </row>
        <row r="1808">
          <cell r="E1808">
            <v>4990124</v>
          </cell>
          <cell r="F1808" t="str">
            <v>ELEVADOR DE RAIZ BARRY # 8</v>
          </cell>
          <cell r="G1808" t="str">
            <v>ELIM LIST OFICIAL</v>
          </cell>
        </row>
        <row r="1809">
          <cell r="E1809">
            <v>4990125</v>
          </cell>
          <cell r="F1809" t="str">
            <v>CEMENTO DE POLICARBOCILATO POLVO</v>
          </cell>
          <cell r="G1809" t="str">
            <v>ELIM LIST OFICIAL</v>
          </cell>
        </row>
        <row r="1810">
          <cell r="E1810">
            <v>4990126</v>
          </cell>
          <cell r="F1810" t="str">
            <v>CEMENTO  ZHANELKA</v>
          </cell>
          <cell r="G1810" t="str">
            <v>ELIM LIST OFICIAL</v>
          </cell>
        </row>
        <row r="1811">
          <cell r="E1811">
            <v>4990127</v>
          </cell>
          <cell r="F1811" t="str">
            <v>CUCHARILLA O EXCAVADOR PARA DENTINA # 14 (CODIGO CORRECTO 263047)</v>
          </cell>
          <cell r="G1811" t="str">
            <v>ELIM LIST OFICIAL</v>
          </cell>
        </row>
        <row r="1812">
          <cell r="E1812">
            <v>4990128</v>
          </cell>
          <cell r="F1812" t="str">
            <v>CUCHARILLA O EXCAVADOR PARA DENTINA # 17 (CODIGO CORRECTO: 263048)</v>
          </cell>
          <cell r="G1812" t="str">
            <v>ELIM LIST OFICIAL</v>
          </cell>
        </row>
        <row r="1813">
          <cell r="E1813">
            <v>4990129</v>
          </cell>
          <cell r="F1813" t="str">
            <v>CUCHARILLA O EXCAVADOR PARA DENTINA # 18 (CODIGO CORRECTO: 263049)</v>
          </cell>
          <cell r="G1813" t="str">
            <v>ELIM LIST OFICIAL</v>
          </cell>
        </row>
        <row r="1814">
          <cell r="E1814">
            <v>4990130</v>
          </cell>
          <cell r="F1814" t="str">
            <v>ELEVADOR DE RAIZ "FLOHR DL 15"</v>
          </cell>
          <cell r="G1814" t="str">
            <v>ELIM LIST OFICIAL</v>
          </cell>
        </row>
        <row r="1815">
          <cell r="E1815">
            <v>4990131</v>
          </cell>
          <cell r="F1815" t="str">
            <v>FRESA DE CARBURO REDONDO, AGARRE POR FRICCION, # 6</v>
          </cell>
          <cell r="G1815" t="str">
            <v>ELIM LIST OFICIAL</v>
          </cell>
        </row>
        <row r="1816">
          <cell r="E1816">
            <v>4990132</v>
          </cell>
          <cell r="F1816" t="str">
            <v>INSTRUMENTO DE PROFILAXIS 3Y JAQUETTE.</v>
          </cell>
          <cell r="G1816" t="str">
            <v>ELIM LIST OFICIAL</v>
          </cell>
        </row>
        <row r="1817">
          <cell r="E1817">
            <v>4990133</v>
          </cell>
          <cell r="F1817" t="str">
            <v>LIMPIADOR DE SARRO "DARBY PERRY", # 11</v>
          </cell>
          <cell r="G1817" t="str">
            <v>ELIM LIST OFICIAL</v>
          </cell>
        </row>
        <row r="1818">
          <cell r="E1818">
            <v>4990134</v>
          </cell>
          <cell r="F1818" t="str">
            <v>FORCEPS DE EXTRACCION # 24 INOXIDABLE             (CODIGO CORRECTO  261075)</v>
          </cell>
          <cell r="G1818" t="str">
            <v>ELIM LIST OFICIAL</v>
          </cell>
        </row>
        <row r="1819">
          <cell r="E1819">
            <v>4990135</v>
          </cell>
          <cell r="F1819" t="str">
            <v>ENLAZADOR DE RESINAS COMPOSITAS, (CODIGO CORRECTO: 265107)</v>
          </cell>
          <cell r="G1819" t="str">
            <v>ELIM LIST OFICIAL</v>
          </cell>
        </row>
        <row r="1820">
          <cell r="E1820">
            <v>4990136</v>
          </cell>
          <cell r="F1820" t="str">
            <v>COPAS DE HULE PARA ATORNILLAR</v>
          </cell>
          <cell r="G1820" t="str">
            <v>ELIM LIST OFICIAL</v>
          </cell>
        </row>
        <row r="1821">
          <cell r="E1821">
            <v>4990137</v>
          </cell>
          <cell r="F1821" t="str">
            <v>PINES Y BROCAS STP-M (CODIGO CORRECTO 265096)</v>
          </cell>
          <cell r="G1821" t="str">
            <v>ELIM LIST OFICIAL</v>
          </cell>
        </row>
        <row r="1822">
          <cell r="E1822">
            <v>4990138</v>
          </cell>
          <cell r="F1822" t="str">
            <v>ESTUCHES DE 100 PINES STP-N INDIVIDUALES, "MAILLEFER".</v>
          </cell>
          <cell r="G1822" t="str">
            <v>ELIM LIST OFICIAL</v>
          </cell>
        </row>
        <row r="1823">
          <cell r="E1823">
            <v>4990139</v>
          </cell>
          <cell r="F1823" t="str">
            <v>BROCA PARA PINES STP-N (VER COD.265098).</v>
          </cell>
          <cell r="G1823" t="str">
            <v>ELIM LIST OFICIAL</v>
          </cell>
        </row>
        <row r="1824">
          <cell r="E1824">
            <v>4990140</v>
          </cell>
          <cell r="F1824" t="str">
            <v>LAMPARAS VISILUX II,MARCA 3M,GRATIS KITS DE SILUX Y BOMBILLOS.</v>
          </cell>
          <cell r="G1824" t="str">
            <v>ELIM LIST OFICIAL</v>
          </cell>
        </row>
        <row r="1825">
          <cell r="E1825">
            <v>4990141</v>
          </cell>
          <cell r="F1825" t="str">
            <v>269105 atacador doble acero inox. No 1 instrumental de años anteriores</v>
          </cell>
          <cell r="G1825" t="str">
            <v>ELIM LIST OFICIAL</v>
          </cell>
        </row>
        <row r="1826">
          <cell r="E1826">
            <v>4990142</v>
          </cell>
          <cell r="F1826" t="str">
            <v>BRUNIDOR ATACADOR DOBLE ACERO INOXIDABLE #4.</v>
          </cell>
          <cell r="G1826" t="str">
            <v>ELIM LIST OFICIAL</v>
          </cell>
        </row>
        <row r="1827">
          <cell r="E1827">
            <v>4990143</v>
          </cell>
          <cell r="F1827" t="str">
            <v>AGUJA CARPULE # 30 EXTRA CORTA</v>
          </cell>
          <cell r="G1827" t="str">
            <v>ELIM LIST OFICIAL</v>
          </cell>
        </row>
        <row r="1828">
          <cell r="E1828">
            <v>4990144</v>
          </cell>
          <cell r="F1828" t="str">
            <v>TOPES DE HULE.</v>
          </cell>
          <cell r="G1828" t="str">
            <v>ELIM LIST OFICIAL</v>
          </cell>
        </row>
        <row r="1829">
          <cell r="E1829">
            <v>4990145</v>
          </cell>
          <cell r="F1829" t="str">
            <v>BASES PARA FOCOS PELTON FANTASTIC</v>
          </cell>
          <cell r="G1829" t="str">
            <v>ELIM LIST OFICIAL</v>
          </cell>
        </row>
        <row r="1830">
          <cell r="E1830">
            <v>4990146</v>
          </cell>
          <cell r="F1830" t="str">
            <v xml:space="preserve"> Cureta Doble en Bayoneta recta 1 inoxidable</v>
          </cell>
          <cell r="G1830" t="str">
            <v>ELIM LIST OFICIAL</v>
          </cell>
        </row>
        <row r="1831">
          <cell r="E1831">
            <v>4990147</v>
          </cell>
          <cell r="F1831" t="str">
            <v>CURETA "LUCAS" # 86 INOXIDABLE O TARNO.</v>
          </cell>
          <cell r="G1831" t="str">
            <v>ELIM LIST OFICIAL</v>
          </cell>
        </row>
        <row r="1832">
          <cell r="E1832">
            <v>4990148</v>
          </cell>
          <cell r="F1832" t="str">
            <v>FORCEPS DE EXTRACCION # 3 INOXIDABLE</v>
          </cell>
          <cell r="G1832" t="str">
            <v>ELIM LIST OFICIAL</v>
          </cell>
        </row>
        <row r="1833">
          <cell r="E1833">
            <v>4990149</v>
          </cell>
          <cell r="F1833" t="str">
            <v>FORCEPS DE EXTRACCION # 13 INOXIDABLE</v>
          </cell>
          <cell r="G1833" t="str">
            <v>ELIM LIST OFICIAL</v>
          </cell>
        </row>
        <row r="1834">
          <cell r="E1834">
            <v>4990150</v>
          </cell>
          <cell r="F1834" t="str">
            <v>FORCEPS DE EXTRACCION # 17 INOXIDABLE.</v>
          </cell>
          <cell r="G1834" t="str">
            <v>ELIM LIST OFICIAL</v>
          </cell>
        </row>
        <row r="1835">
          <cell r="E1835">
            <v>4990151</v>
          </cell>
          <cell r="F1835" t="str">
            <v>FORCEPS DE EXTRACCION # 23 MODELO * AMERICANO     INOXIDABLE.</v>
          </cell>
          <cell r="G1835" t="str">
            <v>ELIM LIST OFICIAL</v>
          </cell>
        </row>
        <row r="1836">
          <cell r="E1836">
            <v>4990152</v>
          </cell>
          <cell r="F1836" t="str">
            <v>FORCEPS DE EXTRACCION # 32 INOXIDABLE</v>
          </cell>
          <cell r="G1836" t="str">
            <v>ELIM LIST OFICIAL</v>
          </cell>
        </row>
        <row r="1837">
          <cell r="E1837">
            <v>4990153</v>
          </cell>
          <cell r="F1837" t="str">
            <v>FORCEPS DE EXTRACCION # 32 A INOXIDABLE.</v>
          </cell>
          <cell r="G1837" t="str">
            <v>ELIM LIST OFICIAL</v>
          </cell>
        </row>
        <row r="1838">
          <cell r="E1838">
            <v>4990154</v>
          </cell>
          <cell r="F1838" t="str">
            <v>FORCEPS DE EXTRACCION # 53 L INOXIDABLE.</v>
          </cell>
          <cell r="G1838" t="str">
            <v>ELIM LIST OFICIAL</v>
          </cell>
        </row>
        <row r="1839">
          <cell r="E1839">
            <v>4990155</v>
          </cell>
          <cell r="F1839" t="str">
            <v>FORCEPS DE EXTRACCION # 53 R INOXIDABLE.</v>
          </cell>
          <cell r="G1839" t="str">
            <v>ELIM LIST OFICIAL</v>
          </cell>
        </row>
        <row r="1840">
          <cell r="E1840">
            <v>4990156</v>
          </cell>
          <cell r="F1840" t="str">
            <v>FORCEPS DE EXTRACCION # 103*UNIVERSAL INOXIDABLE.</v>
          </cell>
          <cell r="G1840" t="str">
            <v>ELIM LIST OFICIAL</v>
          </cell>
        </row>
        <row r="1841">
          <cell r="E1841">
            <v>4990157</v>
          </cell>
          <cell r="F1841" t="str">
            <v>CINCEL RECTO DE BARRY # 2</v>
          </cell>
          <cell r="G1841" t="str">
            <v>ELIM LIST OFICIAL</v>
          </cell>
        </row>
        <row r="1842">
          <cell r="E1842">
            <v>4990158</v>
          </cell>
          <cell r="F1842" t="str">
            <v>LIMAS HEDSTROEM 1-6 (25 MM.) MANGO PLASTICO.</v>
          </cell>
          <cell r="G1842" t="str">
            <v>ELIM LIST OFICIAL</v>
          </cell>
        </row>
        <row r="1843">
          <cell r="E1843">
            <v>4990159</v>
          </cell>
          <cell r="F1843" t="str">
            <v>MANGO DE AJUSTE PARA INSTRUMENTO INTERCAMBIABLE DEL 13 AL 15</v>
          </cell>
          <cell r="G1843" t="str">
            <v>ELIM LIST OFICIAL</v>
          </cell>
        </row>
        <row r="1844">
          <cell r="E1844">
            <v>4990160</v>
          </cell>
          <cell r="F1844" t="str">
            <v>INSTRUMENTO DOBLE EXTREMO PARA*OBTURACION PLASTICA# 3 "WHITE".</v>
          </cell>
          <cell r="G1844" t="str">
            <v>ELIM LIST OFICIAL</v>
          </cell>
        </row>
        <row r="1845">
          <cell r="E1845">
            <v>4990161</v>
          </cell>
          <cell r="F1845" t="str">
            <v>PUNTA P-2 R PARA UNIDAD ULTRASONICA</v>
          </cell>
          <cell r="G1845" t="str">
            <v>ELIM LIST OFICIAL</v>
          </cell>
        </row>
        <row r="1846">
          <cell r="E1846">
            <v>4990162</v>
          </cell>
          <cell r="F1846" t="str">
            <v>PUNTA P-1 PARA UNIDAD ULTRASONICA.</v>
          </cell>
          <cell r="G1846" t="str">
            <v>ELIM LIST OFICIAL</v>
          </cell>
        </row>
        <row r="1847">
          <cell r="E1847">
            <v>4990163</v>
          </cell>
          <cell r="F1847" t="str">
            <v>TIJERA RECTA D.P. 551.</v>
          </cell>
          <cell r="G1847" t="str">
            <v>ELIM LIST OFICIAL</v>
          </cell>
        </row>
        <row r="1848">
          <cell r="E1848">
            <v>4990164</v>
          </cell>
          <cell r="F1848" t="str">
            <v>AGUJA CARPULE LARGA REUSABLE.</v>
          </cell>
          <cell r="G1848" t="str">
            <v>ELIM LIST OFICIAL</v>
          </cell>
        </row>
        <row r="1849">
          <cell r="E1849">
            <v>4990165</v>
          </cell>
          <cell r="F1849" t="str">
            <v>2  (NUEVOS)  Brochas de alambre redondas para limpiar fresas # 2</v>
          </cell>
          <cell r="G1849" t="str">
            <v>ELIM LIST OFICIAL</v>
          </cell>
        </row>
        <row r="1850">
          <cell r="E1850">
            <v>4990166</v>
          </cell>
          <cell r="F1850" t="str">
            <v>CHUCK PLASTICO PARA ALTA VELOCIDAD</v>
          </cell>
          <cell r="G1850" t="str">
            <v>ELIM LIST OFICIAL</v>
          </cell>
        </row>
        <row r="1851">
          <cell r="E1851">
            <v>4990167</v>
          </cell>
          <cell r="F1851" t="str">
            <v xml:space="preserve"> (FRESA DE CARBURO REDONDA P/CONTRANGULO # 2)</v>
          </cell>
          <cell r="G1851" t="str">
            <v>ELIM LIST OFICIAL</v>
          </cell>
        </row>
        <row r="1852">
          <cell r="E1852">
            <v>4990168</v>
          </cell>
          <cell r="F1852" t="str">
            <v>(FRESA DE CARBURO FIS.EXT. PLANO P/CONTRANGULO )</v>
          </cell>
          <cell r="G1852" t="str">
            <v>ELIM LIST OFICIAL</v>
          </cell>
        </row>
        <row r="1853">
          <cell r="E1853">
            <v>4990169</v>
          </cell>
          <cell r="F1853" t="str">
            <v>(FRESA DE CARBURO EXTREMO PLANO P/CONTRANGULO)</v>
          </cell>
          <cell r="G1853" t="str">
            <v>ELIM LIST OFICIAL</v>
          </cell>
        </row>
        <row r="1854">
          <cell r="E1854">
            <v>4990170</v>
          </cell>
          <cell r="F1854" t="str">
            <v>(FRESA DE CARBURO FIS.EXT. PLANO P/CONTRANGULO )</v>
          </cell>
          <cell r="G1854" t="str">
            <v>ELIM LIST OFICIAL</v>
          </cell>
        </row>
        <row r="1855">
          <cell r="E1855">
            <v>4990171</v>
          </cell>
          <cell r="F1855" t="str">
            <v>FRESA DE CARBURO FISURA EXTREMO * PLANO AGARRE PORFRICCION # 56.</v>
          </cell>
          <cell r="G1855" t="str">
            <v>ELIM LIST OFICIAL</v>
          </cell>
        </row>
        <row r="1856">
          <cell r="E1856">
            <v>4990172</v>
          </cell>
          <cell r="F1856" t="str">
            <v>FRESA DE CARBURO FISURA EXTREMO PLANO AGARRE POR FRICCION # 57</v>
          </cell>
          <cell r="G1856" t="str">
            <v>ELIM LIST OFICIAL</v>
          </cell>
        </row>
        <row r="1857">
          <cell r="E1857">
            <v>4990173</v>
          </cell>
          <cell r="F1857" t="str">
            <v>GUTAPERCHA EN BARRAS BLANCAS</v>
          </cell>
          <cell r="G1857" t="str">
            <v>ELIM LIST OFICIAL</v>
          </cell>
        </row>
        <row r="1858">
          <cell r="E1858">
            <v>4990174</v>
          </cell>
          <cell r="F1858" t="str">
            <v>GUTAPERCHA EN BARRAS ROSADAS</v>
          </cell>
          <cell r="G1858" t="str">
            <v>ELIM LIST OFICIAL</v>
          </cell>
        </row>
        <row r="1859">
          <cell r="E1859">
            <v>4990175</v>
          </cell>
          <cell r="F1859" t="str">
            <v>JERINGA CON GRASA STARLITE # 14*(LUBRICANTE).</v>
          </cell>
          <cell r="G1859" t="str">
            <v>ELIM LIST OFICIAL</v>
          </cell>
        </row>
        <row r="1860">
          <cell r="E1860">
            <v>4990176</v>
          </cell>
          <cell r="F1860" t="str">
            <v>LIMA PARA CANAL DEL 8 AL 140 (1 AL 6, 7 AL 12, 13 AL 15).</v>
          </cell>
          <cell r="G1860" t="str">
            <v>ELIM LIST OFICIAL</v>
          </cell>
        </row>
        <row r="1861">
          <cell r="E1861">
            <v>4990177</v>
          </cell>
          <cell r="F1861" t="str">
            <v>(PIEDRAS ABRASIVAS # 11 P/CONTRANGULO)</v>
          </cell>
          <cell r="G1861" t="str">
            <v>ELIM LIST OFICIAL</v>
          </cell>
        </row>
        <row r="1862">
          <cell r="E1862">
            <v>4990178</v>
          </cell>
          <cell r="F1862" t="str">
            <v>PIEDRAS ABRASIVAS # 11 PARA PIEZA DE MANO.</v>
          </cell>
          <cell r="G1862" t="str">
            <v>ELIM LIST OFICIAL</v>
          </cell>
        </row>
        <row r="1863">
          <cell r="E1863">
            <v>4990179</v>
          </cell>
          <cell r="F1863" t="str">
            <v>PUNTAS DE PLATA DEL 8 AL 100 (1 AL*6, 7 AL 12, 13 AL 15).</v>
          </cell>
          <cell r="G1863" t="str">
            <v>ELIM LIST OFICIAL</v>
          </cell>
        </row>
        <row r="1864">
          <cell r="E1864">
            <v>4990180</v>
          </cell>
          <cell r="F1864" t="str">
            <v xml:space="preserve"> Tallador para cera y amalgama FRAHM  Nº 10</v>
          </cell>
          <cell r="G1864" t="str">
            <v>ELIM LIST OFICIAL</v>
          </cell>
        </row>
        <row r="1865">
          <cell r="E1865">
            <v>4990181</v>
          </cell>
          <cell r="F1865" t="str">
            <v xml:space="preserve"> Tallador para cera y amalgama Nº610 dobre</v>
          </cell>
          <cell r="G1865" t="str">
            <v>ELIM LIST OFICIAL</v>
          </cell>
        </row>
        <row r="1866">
          <cell r="E1866">
            <v>4990182</v>
          </cell>
          <cell r="F1866" t="str">
            <v>TIRAS DE LIJA (SURTIDAS)</v>
          </cell>
          <cell r="G1866" t="str">
            <v>ELIM LIST OFICIAL</v>
          </cell>
        </row>
        <row r="1867">
          <cell r="E1867">
            <v>4990183</v>
          </cell>
          <cell r="F1867" t="str">
            <v xml:space="preserve"> Forceps de extracción Nº 85</v>
          </cell>
          <cell r="G1867" t="str">
            <v>ELIM LIST OFICIAL</v>
          </cell>
        </row>
        <row r="1868">
          <cell r="E1868">
            <v>4990184</v>
          </cell>
          <cell r="F1868" t="str">
            <v xml:space="preserve"> Forceps de extracción Nº 85 A</v>
          </cell>
          <cell r="G1868" t="str">
            <v>ELIM LIST OFICIAL</v>
          </cell>
        </row>
        <row r="1869">
          <cell r="E1869">
            <v>4990185</v>
          </cell>
          <cell r="F1869" t="str">
            <v>FORCEPS DE EXTRACCION # 99 A "KELLS", INOXIDABLE</v>
          </cell>
          <cell r="G1869" t="str">
            <v>ELIM LIST OFICIAL</v>
          </cell>
        </row>
        <row r="1870">
          <cell r="E1870">
            <v>4990186</v>
          </cell>
          <cell r="F1870" t="str">
            <v>fresero plastico con tapadera8 material perecedero)</v>
          </cell>
          <cell r="G1870" t="str">
            <v>ELIM LIST OFICIAL</v>
          </cell>
        </row>
        <row r="1871">
          <cell r="E1871">
            <v>4990187</v>
          </cell>
          <cell r="F1871" t="str">
            <v>(CONDENSADOR DE AMALGAMA TIPO BACK ACTION # 12)</v>
          </cell>
          <cell r="G1871" t="str">
            <v>ELIM LIST OFICIAL</v>
          </cell>
        </row>
        <row r="1872">
          <cell r="E1872">
            <v>4990188</v>
          </cell>
          <cell r="F1872" t="str">
            <v>MANDRIL LARGO PARA PIEZA DE MANO DE BAJA VELOCIDAD</v>
          </cell>
          <cell r="G1872" t="str">
            <v>ELIM LIST OFICIAL</v>
          </cell>
        </row>
        <row r="1873">
          <cell r="E1873">
            <v>4990189</v>
          </cell>
          <cell r="F1873" t="str">
            <v xml:space="preserve"> Condensador de amalgama "BACK ACTION" Nº 11</v>
          </cell>
          <cell r="G1873" t="str">
            <v>ELIM LIST OFICIAL</v>
          </cell>
        </row>
        <row r="1874">
          <cell r="E1874">
            <v>4990190</v>
          </cell>
          <cell r="F1874" t="str">
            <v>PORTA MALGAMA GRANDE</v>
          </cell>
          <cell r="G1874" t="str">
            <v>ELIM LIST OFICIAL</v>
          </cell>
        </row>
        <row r="1875">
          <cell r="E1875">
            <v>4990191</v>
          </cell>
          <cell r="F1875" t="str">
            <v>PORTA MATRIZ DE 1/4" PARA BANDAS DE 5 MM. DE ANCHO</v>
          </cell>
          <cell r="G1875" t="str">
            <v>ELIM LIST OFICIAL</v>
          </cell>
        </row>
        <row r="1876">
          <cell r="E1876">
            <v>4990192</v>
          </cell>
          <cell r="F1876" t="str">
            <v>MANDRIL CORTO PARA DISCO DE PULIR RESINAS</v>
          </cell>
          <cell r="G1876" t="str">
            <v>ELIM LIST OFICIAL</v>
          </cell>
        </row>
        <row r="1877">
          <cell r="E1877">
            <v>4990193</v>
          </cell>
          <cell r="F1877" t="str">
            <v xml:space="preserve"> Aplicador y condensador de cemento</v>
          </cell>
          <cell r="G1877" t="str">
            <v>ELIM LIST OFICIAL</v>
          </cell>
        </row>
        <row r="1878">
          <cell r="E1878">
            <v>4990194</v>
          </cell>
          <cell r="F1878" t="str">
            <v>APLICADOR Y CONDENSADOR PLASTICO PARA RESINA COMPOSITA # 4</v>
          </cell>
          <cell r="G1878" t="str">
            <v>ELIM LIST OFICIAL</v>
          </cell>
        </row>
        <row r="1879">
          <cell r="E1879">
            <v>4990195</v>
          </cell>
          <cell r="F1879" t="str">
            <v>PIEZA DE MANO DE BAJA VELOCIDAD DE 15000 A 20000 RPM. (APROX.)</v>
          </cell>
          <cell r="G1879" t="str">
            <v>ELIM LIST OFICIAL</v>
          </cell>
        </row>
        <row r="1880">
          <cell r="E1880">
            <v>4990196</v>
          </cell>
          <cell r="F1880" t="str">
            <v xml:space="preserve">Atacador doble </v>
          </cell>
          <cell r="G1880" t="str">
            <v>ELIM LIST OFICIAL</v>
          </cell>
        </row>
        <row r="1881">
          <cell r="E1881">
            <v>4990197</v>
          </cell>
          <cell r="F1881" t="str">
            <v>PIEZA DE MANO DE ALTA VELOCIDAD PARA DETARTRAJE</v>
          </cell>
          <cell r="G1881" t="str">
            <v>ELIM LIST OFICIAL</v>
          </cell>
        </row>
        <row r="1882">
          <cell r="E1882">
            <v>4990198</v>
          </cell>
          <cell r="F1882" t="str">
            <v>CURETA "MCCALL" # 13, INOXIDABLE</v>
          </cell>
          <cell r="G1882" t="str">
            <v>ELIM LIST OFICIAL</v>
          </cell>
        </row>
        <row r="1883">
          <cell r="E1883">
            <v>4990199</v>
          </cell>
          <cell r="F1883" t="str">
            <v>CURETA MCALL #14</v>
          </cell>
          <cell r="G1883" t="str">
            <v>ELIM LIST OFICIAL</v>
          </cell>
        </row>
        <row r="1884">
          <cell r="E1884">
            <v>4990200</v>
          </cell>
          <cell r="F1884" t="str">
            <v>CURETA MCALL #17</v>
          </cell>
          <cell r="G1884" t="str">
            <v>ELIM LIST OFICIAL</v>
          </cell>
        </row>
        <row r="1885">
          <cell r="E1885">
            <v>4990201</v>
          </cell>
          <cell r="F1885" t="str">
            <v>CURETA "MCCALL" # 18, INOXIDABLE</v>
          </cell>
          <cell r="G1885" t="str">
            <v>ELIM LIST OFICIAL</v>
          </cell>
        </row>
        <row r="1886">
          <cell r="E1886">
            <v>4990202</v>
          </cell>
          <cell r="F1886" t="str">
            <v>ALEACION PARA AMALGAMA DE PLATA (PASTILLAS)</v>
          </cell>
          <cell r="G1886" t="str">
            <v>ELIM LIST OFICIAL</v>
          </cell>
        </row>
        <row r="1887">
          <cell r="E1887">
            <v>4990203</v>
          </cell>
          <cell r="F1887" t="str">
            <v>(CAPSULA PLASTICA P/MEZCLAR AMALGAMA)</v>
          </cell>
          <cell r="G1887" t="str">
            <v>ELIM LIST OFICIAL</v>
          </cell>
        </row>
        <row r="1888">
          <cell r="E1888">
            <v>4990204</v>
          </cell>
          <cell r="F1888" t="str">
            <v>( CEMENTO DE FOSFATO DE ZINC. POLVO)</v>
          </cell>
          <cell r="G1888" t="str">
            <v>ELIM LIST OFICIAL</v>
          </cell>
        </row>
        <row r="1889">
          <cell r="E1889">
            <v>4990205</v>
          </cell>
          <cell r="F1889" t="str">
            <v>( DISCO DE LIJA P/PULIDO Y TERMINADO DE RESINA)</v>
          </cell>
          <cell r="G1889" t="str">
            <v>ELIM LIST OFICIAL</v>
          </cell>
        </row>
        <row r="1890">
          <cell r="E1890">
            <v>4990206</v>
          </cell>
          <cell r="F1890" t="str">
            <v xml:space="preserve"> (DISPENSADOR DE MERCURIO)</v>
          </cell>
          <cell r="G1890" t="str">
            <v>ELIM LIST OFICIAL</v>
          </cell>
        </row>
        <row r="1891">
          <cell r="E1891">
            <v>4990207</v>
          </cell>
          <cell r="F1891" t="str">
            <v>(FRESA DE CARBURO REDONDA P/CONTRANGULO # 4 DE BAJA VELOCIDAD)</v>
          </cell>
          <cell r="G1891" t="str">
            <v>ELIM LIST OFICIAL</v>
          </cell>
        </row>
        <row r="1892">
          <cell r="E1892">
            <v>4990208</v>
          </cell>
          <cell r="F1892" t="str">
            <v>(FRESA DE CARBURO CONO INVERTIDO P/CONTRANGULO # 34 DE BAJA VELOCIDAD)</v>
          </cell>
          <cell r="G1892" t="str">
            <v>ELIM LIST OFICIAL</v>
          </cell>
        </row>
        <row r="1893">
          <cell r="E1893">
            <v>4990209</v>
          </cell>
          <cell r="F1893" t="str">
            <v>(FRESA DE CARBURO CONO INVERTIDO P/CONTRANGULO # 35 DE BAJA VELOCIDAD)</v>
          </cell>
          <cell r="G1893" t="str">
            <v>ELIM LIST OFICIAL</v>
          </cell>
        </row>
        <row r="1894">
          <cell r="E1894">
            <v>4990210</v>
          </cell>
          <cell r="F1894" t="str">
            <v>FRESA DE CARBURO CONO INVERTIDO AGARRE POR FRICCION # 34</v>
          </cell>
          <cell r="G1894" t="str">
            <v>ELIM LIST OFICIAL</v>
          </cell>
        </row>
        <row r="1895">
          <cell r="E1895">
            <v>4990211</v>
          </cell>
          <cell r="F1895" t="str">
            <v xml:space="preserve">MERCURIO DENTAL </v>
          </cell>
          <cell r="G1895" t="str">
            <v>ELIM LIST OFICIAL</v>
          </cell>
        </row>
        <row r="1896">
          <cell r="E1896">
            <v>4990212</v>
          </cell>
          <cell r="F1896" t="str">
            <v xml:space="preserve"> ( MORTERO Y PILON DE VIDRIO DESLUSTRADO WARD # 9 )</v>
          </cell>
          <cell r="G1896" t="str">
            <v>ELIM LIST OFICIAL</v>
          </cell>
        </row>
        <row r="1897">
          <cell r="E1897">
            <v>4990213</v>
          </cell>
          <cell r="F1897" t="str">
            <v>PUNTAS DE PAPEL DEL 90 AL 140</v>
          </cell>
          <cell r="G1897" t="str">
            <v>ELIM LIST OFICIAL</v>
          </cell>
        </row>
        <row r="1898">
          <cell r="E1898">
            <v>4990214</v>
          </cell>
          <cell r="F1898" t="str">
            <v>ENLAZADOR DE RESINAS COMPOSITAS (RESINAS LIQUIDAS)(FUERA DE CUADRO BASICO)</v>
          </cell>
          <cell r="G1898" t="str">
            <v>ELIM LIST OFICIAL</v>
          </cell>
        </row>
        <row r="1899">
          <cell r="E1899">
            <v>4990215</v>
          </cell>
          <cell r="F1899" t="str">
            <v>PUNTA METALICA PARA PORTA AMALGAMA PEQUEÐA</v>
          </cell>
          <cell r="G1899" t="str">
            <v>ELIM LIST OFICIAL</v>
          </cell>
        </row>
        <row r="1900">
          <cell r="E1900">
            <v>4990216</v>
          </cell>
          <cell r="F1900" t="str">
            <v>( PINES Y BROCAS STP-M(MINI STUCHE 36 PINES Y 6 BROCAS)</v>
          </cell>
          <cell r="G1900" t="str">
            <v>ELIM LIST OFICIAL</v>
          </cell>
        </row>
        <row r="1901">
          <cell r="E1901">
            <v>4990217</v>
          </cell>
          <cell r="F1901" t="str">
            <v>PINES STP-N (ESTUCHE DE 100)</v>
          </cell>
          <cell r="G1901" t="str">
            <v>ELIM LIST OFICIAL</v>
          </cell>
        </row>
        <row r="1902">
          <cell r="E1902">
            <v>4990218</v>
          </cell>
          <cell r="F1902" t="str">
            <v>BROCA PARA PINES STP-N</v>
          </cell>
          <cell r="G1902" t="str">
            <v>ELIM LIST OFICIAL</v>
          </cell>
        </row>
        <row r="1903">
          <cell r="E1903">
            <v>4990219</v>
          </cell>
          <cell r="F1903" t="str">
            <v>PUNTAS (3) PARA PIEZA DE MANO DE DETARTRAJE</v>
          </cell>
          <cell r="G1903" t="str">
            <v>ELIM LIST OFICIAL</v>
          </cell>
        </row>
        <row r="1904">
          <cell r="E1904">
            <v>4990220</v>
          </cell>
          <cell r="F1904" t="str">
            <v>ACONDICIONADOR DE DENTINA PARA RESINA COMPOSITA DE FOTOCURADO.</v>
          </cell>
          <cell r="G1904" t="str">
            <v>ELIM LIST OFICIAL</v>
          </cell>
        </row>
        <row r="1905">
          <cell r="E1905">
            <v>4990221</v>
          </cell>
          <cell r="F1905" t="str">
            <v>ENSANCHADOR DE CANAL DEL 45 AL 80, DE 21 MM. DE LARGO.</v>
          </cell>
          <cell r="G1905" t="str">
            <v>ELIM LIST OFICIAL</v>
          </cell>
        </row>
        <row r="1906">
          <cell r="E1906">
            <v>4990222</v>
          </cell>
          <cell r="F1906" t="str">
            <v>ENSANCHADOR DE CANAL DEL 90 AL 140, DE 21 MM. DE LARGO.</v>
          </cell>
          <cell r="G1906" t="str">
            <v>ELIM LIST OFICIAL</v>
          </cell>
        </row>
        <row r="1907">
          <cell r="E1907">
            <v>4990223</v>
          </cell>
          <cell r="F1907" t="str">
            <v>ENSANCHADOR DE CANAL DEL 10 AL 40, DE 25 MM. DE LARGO.</v>
          </cell>
          <cell r="G1907" t="str">
            <v>ELIM LIST OFICIAL</v>
          </cell>
        </row>
        <row r="1908">
          <cell r="E1908">
            <v>4990224</v>
          </cell>
          <cell r="F1908" t="str">
            <v>ENSANCHADOR DE CANAL DEL 90 AL 140, DE 25 MM. DE LARGO</v>
          </cell>
          <cell r="G1908" t="str">
            <v>ELIM LIST OFICIAL</v>
          </cell>
        </row>
        <row r="1909">
          <cell r="E1909">
            <v>4990225</v>
          </cell>
          <cell r="F1909" t="str">
            <v xml:space="preserve"> ( FOCO EN BAYONETA TIPO SALCHICHA P/LAMPARA DENTAL DE 110 VOLTIOS)</v>
          </cell>
          <cell r="G1909" t="str">
            <v>ELIM LIST OFICIAL</v>
          </cell>
        </row>
        <row r="1910">
          <cell r="E1910">
            <v>4990226</v>
          </cell>
          <cell r="F1910" t="str">
            <v>CAPSULA METALICA PARA MEZCLAR AMALGAMA, CON SU RESPECTIVO PISTILO</v>
          </cell>
          <cell r="G1910" t="str">
            <v>ELIM LIST OFICIAL</v>
          </cell>
        </row>
        <row r="1911">
          <cell r="E1911">
            <v>4990227</v>
          </cell>
          <cell r="F1911" t="str">
            <v>PUNTAS DE GUTAPERCHA ACCESORIA ESTRA FINE.</v>
          </cell>
          <cell r="G1911" t="str">
            <v>ELIM LIST OFICIAL</v>
          </cell>
        </row>
        <row r="1912">
          <cell r="E1912">
            <v>4990228</v>
          </cell>
          <cell r="F1912" t="str">
            <v>CUERDA PARA PIEZA DE MANO DE BAJA VELOCIDAD</v>
          </cell>
          <cell r="G1912" t="str">
            <v>ELIM LIST OFICIAL</v>
          </cell>
        </row>
        <row r="1913">
          <cell r="E1913">
            <v>4990229</v>
          </cell>
          <cell r="F1913" t="str">
            <v>ENSANCHADOR DE CANAL DEL 45 AL 80, DE 25 MM. CON MANGO.</v>
          </cell>
          <cell r="G1913" t="str">
            <v>ELIM LIST OFICIAL</v>
          </cell>
        </row>
        <row r="1914">
          <cell r="E1914">
            <v>4990230</v>
          </cell>
          <cell r="F1914" t="str">
            <v>HILO DE SEDA DENTAL SIN CERA</v>
          </cell>
          <cell r="G1914" t="str">
            <v>ELIM LIST OFICIAL</v>
          </cell>
        </row>
        <row r="1915">
          <cell r="E1915">
            <v>4990231</v>
          </cell>
          <cell r="F1915" t="str">
            <v>DIQUE DE GOMA, GRUESO, TIPO YOUNG'S</v>
          </cell>
          <cell r="G1915" t="str">
            <v>ELIM LIST OFICIAL</v>
          </cell>
        </row>
        <row r="1916">
          <cell r="E1916">
            <v>4990232</v>
          </cell>
          <cell r="F1916" t="str">
            <v>CEMENTO PARA OBTURACION TEMPORARIA (TIPO COLTOSOL, CAVIT O SIMILAR)</v>
          </cell>
          <cell r="G1916" t="str">
            <v>ELIM LIST OFICIAL</v>
          </cell>
        </row>
        <row r="1917">
          <cell r="E1917">
            <v>4990233</v>
          </cell>
          <cell r="F1917" t="str">
            <v>PUNTAS DE PAPEL DEL 45 AL 80</v>
          </cell>
          <cell r="G1917" t="str">
            <v>ELIM LIST OFICIAL</v>
          </cell>
        </row>
        <row r="1918">
          <cell r="E1918">
            <v>4990234</v>
          </cell>
          <cell r="F1918" t="str">
            <v>Puntas de papel del 15 al 40 por desab</v>
          </cell>
          <cell r="G1918" t="str">
            <v>ELIM LIST OFICIAL</v>
          </cell>
        </row>
        <row r="1919">
          <cell r="E1919">
            <v>4990235</v>
          </cell>
          <cell r="F1919" t="str">
            <v>FRESA TIPO GATE (DEL 1 AL 6), TALLO CORTO PARA APERTURA DE CANALES</v>
          </cell>
          <cell r="G1919" t="str">
            <v>ELIM LIST OFICIAL</v>
          </cell>
        </row>
        <row r="1920">
          <cell r="E1920">
            <v>4990236</v>
          </cell>
          <cell r="F1920" t="str">
            <v>LOCALIZADOR DIGITAL DE APICE.</v>
          </cell>
          <cell r="G1920" t="str">
            <v>ELIM LIST OFICIAL</v>
          </cell>
        </row>
        <row r="1921">
          <cell r="E1921">
            <v>4990240</v>
          </cell>
          <cell r="F1921" t="str">
            <v>FOCOS PARA LAMPARA DE FOTOCURADO MODELOVISOLUX II,III,3 MM</v>
          </cell>
          <cell r="G1921" t="str">
            <v>ELIM LIST OFICIAL</v>
          </cell>
        </row>
        <row r="1922">
          <cell r="E1922">
            <v>6990485</v>
          </cell>
          <cell r="F1922" t="str">
            <v>TUBOS ESTÁNDAR EN T, MONGOMERI # 10</v>
          </cell>
          <cell r="G1922" t="str">
            <v>ELIM LIST OFICIAL</v>
          </cell>
        </row>
        <row r="1923">
          <cell r="E1923">
            <v>6990492</v>
          </cell>
          <cell r="F1923" t="str">
            <v>CLAVO PARA HUESO DE 0.4 MM</v>
          </cell>
          <cell r="G1923" t="str">
            <v>ELIM LIST OFICIAL</v>
          </cell>
        </row>
        <row r="1924">
          <cell r="E1924">
            <v>6990493</v>
          </cell>
          <cell r="F1924" t="str">
            <v>CLAVO PARA HUESO DE 0.97 MM, GRUESO</v>
          </cell>
          <cell r="G1924" t="str">
            <v>ELIM LIST OFICIAL</v>
          </cell>
        </row>
        <row r="1925">
          <cell r="E1925">
            <v>6990494</v>
          </cell>
          <cell r="F1925" t="str">
            <v xml:space="preserve">AGUJA CON MANDRIL 20 G, DE 2 1/2-3 DE LONGITUD PARA PUNCION ESPINAL PUNTA DIAMANTE ESTERIL DESCARTABLE </v>
          </cell>
          <cell r="G1925" t="str">
            <v>ELIM LIST OFICIAL</v>
          </cell>
        </row>
        <row r="1926">
          <cell r="E1926">
            <v>6990495</v>
          </cell>
          <cell r="F1926" t="str">
            <v>AGUJA CON MANDRIL 18 G, 2 1/2 - 3" DE LONGITUD, PARA PUNCION ESPINAL, PUNTA DIAMANTE, ESTERIL, DESCARTABLE.</v>
          </cell>
          <cell r="G1926" t="str">
            <v>ELIM LIST OFICIAL</v>
          </cell>
        </row>
        <row r="1927">
          <cell r="E1927">
            <v>6990497</v>
          </cell>
          <cell r="F1927" t="str">
            <v>CODIGO ACTUAL 701604</v>
          </cell>
          <cell r="G1927" t="str">
            <v>ELIM LIST OFICIAL</v>
          </cell>
        </row>
        <row r="1928">
          <cell r="E1928">
            <v>6990498</v>
          </cell>
          <cell r="F1928" t="str">
            <v>TUBO OROFARINGEA DE 1 VIA # 4</v>
          </cell>
          <cell r="G1928" t="str">
            <v>ELIM LIST OFICIAL</v>
          </cell>
        </row>
        <row r="1929">
          <cell r="E1929">
            <v>6990499</v>
          </cell>
          <cell r="F1929" t="str">
            <v>TUBO OROFARINGEA DE 1 VIA # 5</v>
          </cell>
          <cell r="G1929" t="str">
            <v>ELIM LIST OFICIAL</v>
          </cell>
        </row>
        <row r="1930">
          <cell r="E1930">
            <v>6990500</v>
          </cell>
          <cell r="F1930" t="str">
            <v>CATETER BIPOLAR PARA ESTIMULACION CARDIACA TEMPORAL, CH.5, 125 CMS.</v>
          </cell>
          <cell r="G1930" t="str">
            <v>ELIM LIST OFICIAL</v>
          </cell>
        </row>
        <row r="1931">
          <cell r="E1931">
            <v>6990501</v>
          </cell>
          <cell r="F1931" t="str">
            <v>CATETER EN Y PARA DIALISIS PERITONEAL, CON TUBO DEDRENAJE, DESCARTABLE, ESTERIL.</v>
          </cell>
          <cell r="G1931" t="str">
            <v>ELIM LIST OFICIAL</v>
          </cell>
        </row>
        <row r="1932">
          <cell r="E1932">
            <v>6990502</v>
          </cell>
          <cell r="F1932" t="str">
            <v>MICRONEBULIZADOR CON MASCARILLA PARA NEONATOS</v>
          </cell>
          <cell r="G1932" t="str">
            <v>ELIM LIST OFICIAL</v>
          </cell>
        </row>
        <row r="1933">
          <cell r="E1933">
            <v>6990503</v>
          </cell>
          <cell r="F1933" t="str">
            <v>MASCARAS INFANTILES # 0 PARA APLICAR OXIGENO.</v>
          </cell>
          <cell r="G1933" t="str">
            <v>ELIM LIST OFICIAL</v>
          </cell>
        </row>
        <row r="1934">
          <cell r="E1934">
            <v>6990504</v>
          </cell>
          <cell r="F1934" t="str">
            <v>APOSITO SEMIOCLUSIVO HIDROPOLIMETRO CON BORDE ADHESIVO DE 11 X 11 CMS.+-10%</v>
          </cell>
          <cell r="G1934" t="str">
            <v>ELIM LIST OFICIAL</v>
          </cell>
        </row>
        <row r="1935">
          <cell r="E1935">
            <v>6990505</v>
          </cell>
          <cell r="F1935" t="str">
            <v>APOSITO SEMIOCLUSIVO HIDROPOLIMETRO CON BORDE ADHESIVO DE 15 X 20 CMS. +-10%</v>
          </cell>
          <cell r="G1935" t="str">
            <v>ELIM LIST OFICIAL</v>
          </cell>
        </row>
        <row r="1936">
          <cell r="E1936">
            <v>6990506</v>
          </cell>
          <cell r="F1936" t="str">
            <v>APOSITO SEMIOCLUSIVO HIDROPOLIMETRO CON BORDE ADHESIVO DE 18 X 18 CMS. +-10%</v>
          </cell>
          <cell r="G1936" t="str">
            <v>ELIM LIST OFICIAL</v>
          </cell>
        </row>
        <row r="1937">
          <cell r="E1937">
            <v>6990507</v>
          </cell>
          <cell r="F1937" t="str">
            <v>APOSITO DE COLAGENO 90% Y ALGINATO DE CALCIO 10% DE 4" X 4 3/8". +-10% ****ELIMINADO****** PASA A 701416</v>
          </cell>
          <cell r="G1937" t="str">
            <v>ELIM LIST OFICIAL</v>
          </cell>
        </row>
        <row r="1938">
          <cell r="E1938">
            <v>6990508</v>
          </cell>
          <cell r="F1938" t="str">
            <v>APOSITO PRIMARIO NO ADHERENTE DE CELULOSA IMPREGNADO CON PETROLATO DE  3" X 16". +-10%</v>
          </cell>
          <cell r="G1938" t="str">
            <v>ELIM LIST OFICIAL</v>
          </cell>
        </row>
        <row r="1939">
          <cell r="E1939">
            <v>6990509</v>
          </cell>
          <cell r="F1939" t="str">
            <v>INJERTO ARTERIAL BIFURCADO 24 MM x 12 MM</v>
          </cell>
          <cell r="G1939" t="str">
            <v>ELIM LIST OFICIAL</v>
          </cell>
        </row>
        <row r="1940">
          <cell r="E1940">
            <v>6990510</v>
          </cell>
          <cell r="F1940" t="str">
            <v>INJERTO ARTERIAL BIFURCADO 16 MM x 8 MM</v>
          </cell>
          <cell r="G1940" t="str">
            <v>ELIM LIST OFICIAL</v>
          </cell>
        </row>
        <row r="1941">
          <cell r="E1941">
            <v>6990511</v>
          </cell>
          <cell r="F1941" t="str">
            <v>*ELIMINADO (ACDO.2004-1215.SEP)VER CODIGO:700981  JALEA LUBRICANTE NEUTRA PARA DILATACIO. DE USO MEDICO, DE 5 - 8 ONZAS</v>
          </cell>
          <cell r="G1941" t="str">
            <v>ELIM LIST OFICIAL</v>
          </cell>
        </row>
        <row r="1942">
          <cell r="E1942">
            <v>6990512</v>
          </cell>
          <cell r="F1942" t="str">
            <v>JERINGA ASEPTO DE 4 ONZAS DE VIDRIO</v>
          </cell>
          <cell r="G1942" t="str">
            <v>ELIM LIST OFICIAL</v>
          </cell>
        </row>
        <row r="1943">
          <cell r="E1943">
            <v>6990513</v>
          </cell>
          <cell r="F1943" t="str">
            <v>**ELIMINADO** REF 701286 /DG-2007010076           SONDA PARA ALIMENTACION DE INFANTES# 5, DE 15", ESTERIL</v>
          </cell>
          <cell r="G1943" t="str">
            <v>ELIM LIST OFICIAL</v>
          </cell>
        </row>
        <row r="1944">
          <cell r="E1944">
            <v>6990514</v>
          </cell>
          <cell r="F1944" t="str">
            <v>TUBO ENDOTRAQUEAL ORAL #24,TRANSPARENTE,C/BALON,DE BAJA PRESION Y ALTO VOLUMEN,6 MM C/OJO MUPHY,LINEA CENTINELA,DE MATERIAL QUE PERMITA CONTENER SU CURVATURA.</v>
          </cell>
          <cell r="G1944" t="str">
            <v>ELIM LIST OFICIAL</v>
          </cell>
        </row>
        <row r="1945">
          <cell r="E1945">
            <v>6990515</v>
          </cell>
          <cell r="F1945" t="str">
            <v>TUBO ENDOTRAQUEAL ORAL #28,TRANSPARENTE,C/BALON,DE BAJA PRESION Y ALTO VOLUMEN,7 MM C/OJO MUPHY,LINEA CENTINELA,DE MATERIAL QUE PERMITA CONTENER SU CURVATURA.</v>
          </cell>
          <cell r="G1945" t="str">
            <v>ELIM LIST OFICIAL</v>
          </cell>
        </row>
        <row r="1946">
          <cell r="E1946">
            <v>6990516</v>
          </cell>
          <cell r="F1946" t="str">
            <v>TUBO ENDOTRAQUEAL ORAL #30,TRANSPARENTE,C/BALON,DE BAJA PRESION Y ALTO VOLUMEN,7.5 MM C/OJO MUPHY,LINEA CENTINELA,DE MATERIAL QUE PERMITA CONTENER SU CURVATURA.</v>
          </cell>
          <cell r="G1946" t="str">
            <v>ELIM LIST OFICIAL</v>
          </cell>
        </row>
        <row r="1947">
          <cell r="E1947">
            <v>6990517</v>
          </cell>
          <cell r="F1947" t="str">
            <v>TUBO ENDOTRAQUEAL ORAL # 32, TRANSPARENTE, CON  BALON, DE BAJA PRESION Y ALTO VOLUMEN, 8 MM  CON OJO MUPHY, LINEA CENTINELA, DE MATERIAL QUE PERMITA CONTENER SU CURVATURA.</v>
          </cell>
          <cell r="G1947" t="str">
            <v>ELIM LIST OFICIAL</v>
          </cell>
        </row>
        <row r="1948">
          <cell r="E1948">
            <v>6990518</v>
          </cell>
          <cell r="F1948" t="str">
            <v>TUBO ENDOTRAQUEAL ORAL # 34, TRANSPARENTE, CON  BALON, DE BAJA PRESION Y ALTO VOLUMEN, 8.5 MM  CON OJO MUPHY, LINEA CENTINELA, DE MATERIAL QUE PERMITA CONTENER SU CURVATURA.</v>
          </cell>
          <cell r="G1948" t="str">
            <v>ELIM LIST OFICIAL</v>
          </cell>
        </row>
        <row r="1949">
          <cell r="E1949">
            <v>6990519</v>
          </cell>
          <cell r="F1949" t="str">
            <v>TUBO ENDOTRAQUEAL ORAL #36</v>
          </cell>
          <cell r="G1949" t="str">
            <v>ELIM LIST OFICIAL</v>
          </cell>
        </row>
        <row r="1950">
          <cell r="E1950">
            <v>6990520</v>
          </cell>
          <cell r="F1950" t="str">
            <v>TUBO ENDOTRAQUEAL ORAL # 40, TRANSPARENTE, CON  BALON, DE BAJA PRESION Y ALTO VOLUMEN, 10 MM  CON OJO MUPHY, LINEA CENTINELA, DE MATERIAL QUE PERMITA CONTENER SU CURVATURA.</v>
          </cell>
          <cell r="G1950" t="str">
            <v>ELIM LIST OFICIAL</v>
          </cell>
        </row>
        <row r="1951">
          <cell r="E1951">
            <v>6990521</v>
          </cell>
          <cell r="F1951" t="str">
            <v>TUBO ENDOTRAQUEAL #2.2</v>
          </cell>
          <cell r="G1951" t="str">
            <v>ELIM LIST OFICIAL</v>
          </cell>
        </row>
        <row r="1952">
          <cell r="E1952">
            <v>6990522</v>
          </cell>
          <cell r="F1952" t="str">
            <v>AGUJA CON  MANDRIL # 18, DE 3 1/2", PARA PUNCION ESPINAL, PUNTA DIAMANTE, ESTERIL, DESCARTABLE.</v>
          </cell>
          <cell r="G1952" t="str">
            <v>ELIM LIST OFICIAL</v>
          </cell>
        </row>
        <row r="1953">
          <cell r="E1953">
            <v>6990523</v>
          </cell>
          <cell r="F1953" t="str">
            <v>ASAS DE ALAMBRE PARA POLIPOTOMOS.</v>
          </cell>
          <cell r="G1953" t="str">
            <v>ELIM LIST OFICIAL</v>
          </cell>
        </row>
        <row r="1954">
          <cell r="E1954">
            <v>6990526</v>
          </cell>
          <cell r="F1954" t="str">
            <v>CATETER PARA ARTERIA UMBILICAL,CON LINEA CENTINELA RADIOPACA, LONGITUD 15", FR.8 .</v>
          </cell>
          <cell r="G1954" t="str">
            <v>ELIM LIST OFICIAL</v>
          </cell>
        </row>
        <row r="1955">
          <cell r="E1955">
            <v>6990527</v>
          </cell>
          <cell r="F1955" t="str">
            <v>CATETER INTRAVENOSO PARA SUB-CLAVIA # 16, DE 12"  LARGO, CON AGUJA # 14 X 2 3/4", CON JERINGA DE    5 CC. ESTERIL, DESCARTABLE.</v>
          </cell>
          <cell r="G1955" t="str">
            <v>ELIM LIST OFICIAL</v>
          </cell>
        </row>
        <row r="1956">
          <cell r="E1956">
            <v>6990528</v>
          </cell>
          <cell r="F1956" t="str">
            <v>SONDA PARA ALIMENTACION DE INFANTES, # 8, DE 15". **ELIMINADO** /DG-2007-01-0076 REF:701287</v>
          </cell>
          <cell r="G1956" t="str">
            <v>ELIM LIST OFICIAL</v>
          </cell>
        </row>
        <row r="1957">
          <cell r="E1957">
            <v>6990529</v>
          </cell>
          <cell r="F1957" t="str">
            <v>AGUJA CATETER INTRAVENOSA 24 X 1". ESTERIL DESCARTABLE</v>
          </cell>
          <cell r="G1957" t="str">
            <v>ELIM LIST OFICIAL</v>
          </cell>
        </row>
        <row r="1958">
          <cell r="E1958">
            <v>6990530</v>
          </cell>
          <cell r="F1958" t="str">
            <v>SONDA FOLEY DOS VIAS #22 BALON 5 CC., DE LATEX</v>
          </cell>
          <cell r="G1958" t="str">
            <v>ELIM LIST OFICIAL</v>
          </cell>
        </row>
        <row r="1959">
          <cell r="E1959">
            <v>6990531</v>
          </cell>
          <cell r="F1959" t="str">
            <v>CHASIS DE PELICULA RADIOGRAFICA (CASETA) P/ALTA CARGA DE TRABAJO,CON SU RESPECTIVO PAR DE PANTALLAS INTENSIFICADORAS DE ALTA VELOCIDAD DE EMISION DE LUZ VERDE CON SUS RESPECTIVAS MARCAS DE IDENTIFICACION INCORPORADA, TAMAÐO 6 1/2" X 8 1/2".</v>
          </cell>
          <cell r="G1959" t="str">
            <v>ELIM LIST OFICIAL</v>
          </cell>
        </row>
        <row r="1960">
          <cell r="E1960">
            <v>6990532</v>
          </cell>
          <cell r="F1960" t="str">
            <v>CHASIS DE PELICULA RADIOGRAFICA (CASETA) PARA TRABAJO PESADO, CON SUS RESPECTIVO PAR DE PANTALLAS INTENSIFICADORAS DE ALTA VELOCIDAD DE EMISION DE LUZ VERDE, CON SU RESPECTIVA MARCA DE IDENTIFICACION INCORPORADA. TAMAÐO 9 1/2" X 9 1/2".</v>
          </cell>
          <cell r="G1960" t="str">
            <v>ELIM LIST OFICIAL</v>
          </cell>
        </row>
        <row r="1961">
          <cell r="E1961">
            <v>6990533</v>
          </cell>
          <cell r="F1961" t="str">
            <v>MARCADOR ELECTRICO PARA IDENTIFICACION DE PELICULAS 120V +-10%, 60 HZ, 15 W,CONTROL DE EXPOSICION AUTOMATICO</v>
          </cell>
          <cell r="G1961" t="str">
            <v>ELIM LIST OFICIAL</v>
          </cell>
        </row>
        <row r="1962">
          <cell r="E1962">
            <v>6990534</v>
          </cell>
          <cell r="F1962" t="str">
            <v>LAMPARA DE SEGURIDAD CON SU RESPECTIVO FILTRO INCORPORADO PARA USO EN CUARTO OBSCURO, DE 110 A 120  VOLTS. 15 WATTS.</v>
          </cell>
          <cell r="G1962" t="str">
            <v>ELIM LIST OFICIAL</v>
          </cell>
        </row>
        <row r="1963">
          <cell r="E1963">
            <v>6990535</v>
          </cell>
          <cell r="F1963" t="str">
            <v>PORTA CHASIS DE PARED, AJUSTABLE A LOS DIFERENTES  TAMAÐOS DE CASETAS RADIOGRAFICAS</v>
          </cell>
          <cell r="G1963" t="str">
            <v>ELIM LIST OFICIAL</v>
          </cell>
        </row>
        <row r="1964">
          <cell r="E1964">
            <v>6990536</v>
          </cell>
          <cell r="F1964" t="str">
            <v>BOLSA MULTIUSOS PARA ESTERILIZAR ANCHO 5-10 CM LARGO 20-25 CM</v>
          </cell>
          <cell r="G1964" t="str">
            <v>ELIM LIST OFICIAL</v>
          </cell>
        </row>
        <row r="1965">
          <cell r="E1965">
            <v>6990537</v>
          </cell>
          <cell r="F1965" t="str">
            <v>BOLSA PARA ESTERILIZAR A OXIDO DE ETILENO Y VAPOR 15 - 20 CM DE ANCHO X 30 - 40 CM DE LARGO** ELIMINACION ** REF 701306</v>
          </cell>
          <cell r="G1965" t="str">
            <v>ELIM LIST OFICIAL</v>
          </cell>
        </row>
        <row r="1966">
          <cell r="E1966">
            <v>6990538</v>
          </cell>
          <cell r="F1966" t="str">
            <v>BOLSA PARA ESTERILIZAR A OXIDO DE ETILENO Y VAPOR 7 - 10 CM DE ANCHO X 15 - 30 CM DE LARGO** ELIMINADO** REF: 701304</v>
          </cell>
          <cell r="G1966" t="str">
            <v>ELIM LIST OFICIAL</v>
          </cell>
        </row>
        <row r="1967">
          <cell r="E1967">
            <v>6990539</v>
          </cell>
          <cell r="F1967" t="str">
            <v>PELICULA RADIOGRAFICA PARA PROCESO AUTOMATICO SENSIBLE A LA LUZ  AZUL , DE 6 1/2" X 8 1/2" .</v>
          </cell>
          <cell r="G1967" t="str">
            <v>ELIM LIST OFICIAL</v>
          </cell>
        </row>
        <row r="1968">
          <cell r="E1968">
            <v>6990540</v>
          </cell>
          <cell r="F1968" t="str">
            <v>PELICULA RADIOGRAFICA PARA PROCESO AUTOMATICO SENSIBLE A LA LUZ AZUL DE 8" X 10 .</v>
          </cell>
          <cell r="G1968" t="str">
            <v>ELIM LIST OFICIAL</v>
          </cell>
        </row>
        <row r="1969">
          <cell r="E1969">
            <v>6990541</v>
          </cell>
          <cell r="F1969" t="str">
            <v>PELICULAS RADIOGRAFICA PARA PROCESO AUTOMATICO SENSIBLE A LA LUZ AZUL DE 10" X 12".</v>
          </cell>
          <cell r="G1969" t="str">
            <v>ELIM LIST OFICIAL</v>
          </cell>
        </row>
        <row r="1970">
          <cell r="E1970">
            <v>6990542</v>
          </cell>
          <cell r="F1970" t="str">
            <v>PELICULA RADIOGRAFICA PARA PROCESO AUTOMATICO SENSIBLE A LA LUZ AZUL, DE 11" X 14.</v>
          </cell>
          <cell r="G1970" t="str">
            <v>ELIM LIST OFICIAL</v>
          </cell>
        </row>
        <row r="1971">
          <cell r="E1971">
            <v>6990543</v>
          </cell>
          <cell r="F1971" t="str">
            <v>PELICULA RADIOGRAFICA PARA PROCESO AUTOMATICO SENSIBLE A LA LUZ AZUL DE 14" X 14.</v>
          </cell>
          <cell r="G1971" t="str">
            <v>ELIM LIST OFICIAL</v>
          </cell>
        </row>
        <row r="1972">
          <cell r="E1972">
            <v>6990544</v>
          </cell>
          <cell r="F1972" t="str">
            <v>SOLUCION INICIADORA PARA PROCESO AUTOMATICO</v>
          </cell>
          <cell r="G1972" t="str">
            <v>ELIM LIST OFICIAL</v>
          </cell>
        </row>
        <row r="1973">
          <cell r="E1973">
            <v>6990545</v>
          </cell>
          <cell r="F1973" t="str">
            <v>DISKETTE 2S-2D PO1 PARA COMPUTADORA DE EQUIPO DE TOMOGRAFIA AXIAL COMPUTARIZADA</v>
          </cell>
          <cell r="G1973" t="str">
            <v>ELIM LIST OFICIAL</v>
          </cell>
        </row>
        <row r="1974">
          <cell r="E1974">
            <v>6990546</v>
          </cell>
          <cell r="F1974" t="str">
            <v>PELICULA RADIOGRAFICA 14 X17 HELIO-NEON PARA USO EN CAMARA LASER</v>
          </cell>
          <cell r="G1974" t="str">
            <v>ELIM LIST OFICIAL</v>
          </cell>
        </row>
        <row r="1975">
          <cell r="E1975">
            <v>6990547</v>
          </cell>
          <cell r="F1975" t="str">
            <v>TENSIOMETRO ANEROIDE  PARA ADULTO DE  200 mmHg, CON REPUESTO  DE VALVULA DE  FLUJO, BRAZALETE E  INSUFLADOR .</v>
          </cell>
          <cell r="G1975" t="str">
            <v>ELIM LIST OFICIAL</v>
          </cell>
        </row>
        <row r="1976">
          <cell r="E1976">
            <v>6990548</v>
          </cell>
          <cell r="F1976" t="str">
            <v>TENSIOMETRO DE MERCURIO PARA ADULTO, DE MESA, ESCALA DE MEDICION DE 0 - 300 MMHG, CON REPUESTO DE INSUFLADOR Y BRAZALETE.</v>
          </cell>
          <cell r="G1976" t="str">
            <v>ELIM LIST OFICIAL</v>
          </cell>
        </row>
        <row r="1977">
          <cell r="E1977">
            <v>6990549</v>
          </cell>
          <cell r="F1977" t="str">
            <v>TENSIOMETRO DE MERCURIO PARA ADULTO, DE PARED, ESCALA DE  MEDICION 0- 300 MMHG,  CON REPUESTO DE  ENSUFLADOR Y VALVULA  DE  FLUJO.</v>
          </cell>
          <cell r="G1977" t="str">
            <v>ELIM LIST OFICIAL</v>
          </cell>
        </row>
        <row r="1978">
          <cell r="E1978">
            <v>6990550</v>
          </cell>
          <cell r="F1978" t="str">
            <v>ESTETOSCOPIO PEDIATRICO CON CAMPANA Y DIAFRAGMA.</v>
          </cell>
          <cell r="G1978" t="str">
            <v>ELIM LIST OFICIAL</v>
          </cell>
        </row>
        <row r="1979">
          <cell r="E1979">
            <v>6990551</v>
          </cell>
          <cell r="F1979" t="str">
            <v>TENSIOMETRO PEDIATRICO ANEROIDE, CON 2 BRAZALETES, 1 PARA NEONATO Y 1 ESCOLAR</v>
          </cell>
          <cell r="G1979" t="str">
            <v>ELIM LIST OFICIAL</v>
          </cell>
        </row>
        <row r="1980">
          <cell r="E1980">
            <v>6990552</v>
          </cell>
          <cell r="F1980" t="str">
            <v>LARINGOSCOPIO HALOGENO, FIBRA OPTICA CON 5 HOJAS RECTAS(0-4), MANGO CON SU ESTUCHE.</v>
          </cell>
          <cell r="G1980" t="str">
            <v>ELIM LIST OFICIAL</v>
          </cell>
        </row>
        <row r="1981">
          <cell r="E1981">
            <v>6990553</v>
          </cell>
          <cell r="F1981" t="str">
            <v>INSTRUMENTOS PARA DIAGNOSTICO QUE INCLUYA CABEZAL INTERCAMBIABLE,OTOSCOPIO,OFTALMOSCOPIO, ESPEJO LARINGEO, MANGO DE PRESION, BAJALENGUA METALICO Y SET DE ESPECULOS.</v>
          </cell>
          <cell r="G1981" t="str">
            <v>ELIM LIST OFICIAL</v>
          </cell>
        </row>
        <row r="1982">
          <cell r="E1982">
            <v>6990554</v>
          </cell>
          <cell r="F1982" t="str">
            <v>PAPEL GRAFICADOR PARA ENCEFALOGRAMA, PREDOBLADO DE7", PARA 8 CANALES, TIPO RECTILINEO.</v>
          </cell>
          <cell r="G1982" t="str">
            <v>ELIM LIST OFICIAL</v>
          </cell>
        </row>
        <row r="1983">
          <cell r="E1983">
            <v>6990555</v>
          </cell>
          <cell r="F1983" t="str">
            <v>PAPEL FILTRO PARA CASCADA 100 IVR 065</v>
          </cell>
          <cell r="G1983" t="str">
            <v>ELIM LIST OFICIAL</v>
          </cell>
        </row>
        <row r="1984">
          <cell r="E1984">
            <v>6990556</v>
          </cell>
          <cell r="F1984" t="str">
            <v>AGUJA DE SUTURA "MAYO CATGUT" # 4,ACERO INOXIDABLE1/2 CIRCULO, REDONDA.</v>
          </cell>
          <cell r="G1984" t="str">
            <v>ELIM LIST OFICIAL</v>
          </cell>
        </row>
        <row r="1985">
          <cell r="E1985">
            <v>6990557</v>
          </cell>
          <cell r="F1985" t="str">
            <v>AGUJA DE SUTURA "MAYO CATGUT" # 5,ACERO INOXIDABLE1/2 CIRCULO, REDONDA.</v>
          </cell>
          <cell r="G1985" t="str">
            <v>ELIM LIST OFICIAL</v>
          </cell>
        </row>
        <row r="1986">
          <cell r="E1986">
            <v>6990558</v>
          </cell>
          <cell r="F1986" t="str">
            <v>ALAMBRE # 2 PRECORTADO PARA CIRUGIA, ACERO INOXIDABLE, DIAMETRO 0.020" .</v>
          </cell>
          <cell r="G1986" t="str">
            <v>ELIM LIST OFICIAL</v>
          </cell>
        </row>
        <row r="1987">
          <cell r="E1987">
            <v>6990559</v>
          </cell>
          <cell r="F1987" t="str">
            <v>ALAMBRE # 5 PRECORTADO PARA CIRUGIA, ACERO INOXIDABLE, DIAMETRO 0.030" .</v>
          </cell>
          <cell r="G1987" t="str">
            <v>ELIM LIST OFICIAL</v>
          </cell>
        </row>
        <row r="1988">
          <cell r="E1988">
            <v>6990565</v>
          </cell>
          <cell r="F1988" t="str">
            <v>SISTEMA CERRADO DE ASPIRACION BRONQUIAL #6</v>
          </cell>
          <cell r="G1988" t="str">
            <v>ELIM LIST OFICIAL</v>
          </cell>
        </row>
        <row r="1989">
          <cell r="E1989">
            <v>6990566</v>
          </cell>
          <cell r="F1989" t="str">
            <v>APARATO DE SUCCION TORACICA DESCARTABLE DE 3 BOTELLAS</v>
          </cell>
          <cell r="G1989" t="str">
            <v>ELIM LIST OFICIAL</v>
          </cell>
        </row>
        <row r="1990">
          <cell r="E1990">
            <v>6990567</v>
          </cell>
          <cell r="F1990" t="str">
            <v>TUBO CORRUGADO DESCARTABLE DE 15 MM</v>
          </cell>
          <cell r="G1990" t="str">
            <v>ELIM LIST OFICIAL</v>
          </cell>
        </row>
        <row r="1991">
          <cell r="E1991">
            <v>6990568</v>
          </cell>
          <cell r="F1991" t="str">
            <v>MASCARILLA PARA TRAQUEOTOMIA</v>
          </cell>
          <cell r="G1991" t="str">
            <v>ELIM LIST OFICIAL</v>
          </cell>
        </row>
        <row r="1992">
          <cell r="E1992">
            <v>6990569</v>
          </cell>
          <cell r="F1992" t="str">
            <v>BOLSA RESUCITADORA. CON VALVULA Y RESERVORIO DE OXIGENO.</v>
          </cell>
          <cell r="G1992" t="str">
            <v>ELIM LIST OFICIAL</v>
          </cell>
        </row>
        <row r="1993">
          <cell r="E1993">
            <v>6990570</v>
          </cell>
          <cell r="F1993" t="str">
            <v>INJERTO DE GOROTEX ANILLADO 7 X 50-70 MM** ELIMINADO** REF: 708218</v>
          </cell>
          <cell r="G1993" t="str">
            <v>ELIM LIST OFICIAL</v>
          </cell>
        </row>
        <row r="1994">
          <cell r="E1994">
            <v>6990571</v>
          </cell>
          <cell r="F1994" t="str">
            <v>CATETER URINARIO DE 40 MM</v>
          </cell>
          <cell r="G1994" t="str">
            <v>ELIM LIST OFICIAL</v>
          </cell>
        </row>
        <row r="1995">
          <cell r="E1995">
            <v>6990581</v>
          </cell>
          <cell r="F1995" t="str">
            <v>AGUJA HIPODERMICA # 24 DE 1/2" DESCARTABLE</v>
          </cell>
          <cell r="G1995" t="str">
            <v>ELIM LIST OFICIAL</v>
          </cell>
        </row>
        <row r="1996">
          <cell r="E1996">
            <v>6990582</v>
          </cell>
          <cell r="F1996" t="str">
            <v>AGUJA HIPODERMICA # 25 REUSABLE</v>
          </cell>
          <cell r="G1996" t="str">
            <v>ELIM LIST OFICIAL</v>
          </cell>
        </row>
        <row r="1997">
          <cell r="E1997">
            <v>6990583</v>
          </cell>
          <cell r="F1997" t="str">
            <v>AGUJA HIPODERMICA # 25 DE 1/4" O 1/2" REUSABLE.</v>
          </cell>
          <cell r="G1997" t="str">
            <v>ELIM LIST OFICIAL</v>
          </cell>
        </row>
        <row r="1998">
          <cell r="E1998">
            <v>6990585</v>
          </cell>
          <cell r="F1998" t="str">
            <v>AGUJA HIPODERMICA # 24 DE 1/4" REUSABLE.</v>
          </cell>
          <cell r="G1998" t="str">
            <v>ELIM LIST OFICIAL</v>
          </cell>
        </row>
        <row r="1999">
          <cell r="E1999">
            <v>6990586</v>
          </cell>
          <cell r="F1999" t="str">
            <v>AGUJA HIPODERMICA # 21 DE 1/2" REUSABLE.</v>
          </cell>
          <cell r="G1999" t="str">
            <v>ELIM LIST OFICIAL</v>
          </cell>
        </row>
        <row r="2000">
          <cell r="E2000">
            <v>6990587</v>
          </cell>
          <cell r="F2000" t="str">
            <v>AGUJA HIPODERMICA # 21 DE 1" DESCARTABLE.</v>
          </cell>
          <cell r="G2000" t="str">
            <v>ELIM LIST OFICIAL</v>
          </cell>
        </row>
        <row r="2001">
          <cell r="E2001">
            <v>6990588</v>
          </cell>
          <cell r="F2001" t="str">
            <v>AGUJA HIPODERMICA DE 1" # 22 DESCARTABLE.</v>
          </cell>
          <cell r="G2001" t="str">
            <v>ELIM LIST OFICIAL</v>
          </cell>
        </row>
        <row r="2002">
          <cell r="E2002">
            <v>6990589</v>
          </cell>
          <cell r="F2002" t="str">
            <v>AGUJA HIPODERMICA # 22 DE 1/2"</v>
          </cell>
          <cell r="G2002" t="str">
            <v>ELIM LIST OFICIAL</v>
          </cell>
        </row>
        <row r="2003">
          <cell r="E2003">
            <v>6990590</v>
          </cell>
          <cell r="F2003" t="str">
            <v>AGUJA HIPODERMICA # 23 DE 1 REUSABLE.</v>
          </cell>
          <cell r="G2003" t="str">
            <v>ELIM LIST OFICIAL</v>
          </cell>
        </row>
        <row r="2004">
          <cell r="E2004">
            <v>6990591</v>
          </cell>
          <cell r="F2004" t="str">
            <v>AGUJA HIPODERMICA # 24 DE 1 1/2"  DESCARTABLE.</v>
          </cell>
          <cell r="G2004" t="str">
            <v>ELIM LIST OFICIAL</v>
          </cell>
        </row>
        <row r="2005">
          <cell r="E2005">
            <v>6990592</v>
          </cell>
          <cell r="F2005" t="str">
            <v>AGUJA HIPODERMICA # 25 DE 1 1/2"</v>
          </cell>
          <cell r="G2005" t="str">
            <v>ELIM LIST OFICIAL</v>
          </cell>
        </row>
        <row r="2006">
          <cell r="E2006">
            <v>6990593</v>
          </cell>
          <cell r="F2006" t="str">
            <v>CATETER CARDIACO PUDENZ DE 1.3 MM. X 2.2. MM. PRESION BAJA.</v>
          </cell>
          <cell r="G2006" t="str">
            <v>ELIM LIST OFICIAL</v>
          </cell>
        </row>
        <row r="2007">
          <cell r="E2007">
            <v>6990594</v>
          </cell>
          <cell r="F2007" t="str">
            <v>AGUJA HIPODERMICA 18 X 1 DESCARTABLE ESTERIL.</v>
          </cell>
          <cell r="G2007" t="str">
            <v>ELIM LIST OFICIAL</v>
          </cell>
        </row>
        <row r="2008">
          <cell r="E2008">
            <v>6990595</v>
          </cell>
          <cell r="F2008" t="str">
            <v>ACERO INOXIDABLE PARA CIRUGIA .005"</v>
          </cell>
          <cell r="G2008" t="str">
            <v>ELIM LIST OFICIAL</v>
          </cell>
        </row>
        <row r="2009">
          <cell r="E2009">
            <v>6990596</v>
          </cell>
          <cell r="F2009" t="str">
            <v>ACERO INOXIDABLE PARA CIRUGIA .040"</v>
          </cell>
          <cell r="G2009" t="str">
            <v>ELIM LIST OFICIAL</v>
          </cell>
        </row>
        <row r="2010">
          <cell r="E2010">
            <v>6990597</v>
          </cell>
          <cell r="F2010" t="str">
            <v>ACERO QUIRURGICO MONOFILAMENTO #0, CON AGUJA CURVACORTANTE PARA RETENCION.</v>
          </cell>
          <cell r="G2010" t="str">
            <v>ELIM LIST OFICIAL</v>
          </cell>
        </row>
        <row r="2011">
          <cell r="E2011">
            <v>6990598</v>
          </cell>
          <cell r="F2011" t="str">
            <v>ACERO QUIRURGICO MULTIFILAMENTO # 4/0, CON AGUJA  3/8 CIRCULO CORTANTE PARA CIRUGIA PLASTICA.</v>
          </cell>
          <cell r="G2011" t="str">
            <v>ELIM LIST OFICIAL</v>
          </cell>
        </row>
        <row r="2012">
          <cell r="E2012">
            <v>6990599</v>
          </cell>
          <cell r="F2012" t="str">
            <v>AGUJA HIPODERMICA #26 DE 1/2"*REUSABLE</v>
          </cell>
          <cell r="G2012" t="str">
            <v>ELIM LIST OFICIAL</v>
          </cell>
        </row>
        <row r="2013">
          <cell r="E2013">
            <v>6990600</v>
          </cell>
          <cell r="F2013" t="str">
            <v>AGUJA HIPODERMICA #24 DE 1" REUSABLE.</v>
          </cell>
          <cell r="G2013" t="str">
            <v>ELIM LIST OFICIAL</v>
          </cell>
        </row>
        <row r="2014">
          <cell r="E2014">
            <v>6990601</v>
          </cell>
          <cell r="F2014" t="str">
            <v>AGUJA HIPODERMICA # 23 DE 1 1/2" REUSABLE.</v>
          </cell>
          <cell r="G2014" t="str">
            <v>ELIM LIST OFICIAL</v>
          </cell>
        </row>
        <row r="2015">
          <cell r="E2015">
            <v>6990602</v>
          </cell>
          <cell r="F2015" t="str">
            <v>AGUJA HIPODERMICA # 22 DE 1 1/2", REUSABLE.</v>
          </cell>
          <cell r="G2015" t="str">
            <v>ELIM LIST OFICIAL</v>
          </cell>
        </row>
        <row r="2016">
          <cell r="E2016">
            <v>6990603</v>
          </cell>
          <cell r="F2016" t="str">
            <v>AGUJA HIPODERMICA # 21 DE 1 1/2" REUSABLE.</v>
          </cell>
          <cell r="G2016" t="str">
            <v>ELIM LIST OFICIAL</v>
          </cell>
        </row>
        <row r="2017">
          <cell r="E2017">
            <v>6990604</v>
          </cell>
          <cell r="F2017" t="str">
            <v>AGUJA HIPODERMICA # 20 DE 1 1/2" REUSABLE.</v>
          </cell>
          <cell r="G2017" t="str">
            <v>ELIM LIST OFICIAL</v>
          </cell>
        </row>
        <row r="2018">
          <cell r="E2018">
            <v>6990605</v>
          </cell>
          <cell r="F2018" t="str">
            <v>AGUJA HIPODERMICA # 18 DE 1 1/2" REUSABLE.</v>
          </cell>
          <cell r="G2018" t="str">
            <v>ELIM LIST OFICIAL</v>
          </cell>
        </row>
        <row r="2019">
          <cell r="E2019">
            <v>6990606</v>
          </cell>
          <cell r="F2019" t="str">
            <v>AGUJA PARA PUNCION ESPINAL, CON MAN*DRIL, #25, DE 2 1/2", DESCARTABLE.</v>
          </cell>
          <cell r="G2019" t="str">
            <v>ELIM LIST OFICIAL</v>
          </cell>
        </row>
        <row r="2020">
          <cell r="E2020">
            <v>6990607</v>
          </cell>
          <cell r="F2020" t="str">
            <v>AGUJA PARA PUNCION ESPINAL, CON MAN*DRIL,# 22, DE 3 1/2", REUSABLE.</v>
          </cell>
          <cell r="G2020" t="str">
            <v>ELIM LIST OFICIAL</v>
          </cell>
        </row>
        <row r="2021">
          <cell r="E2021">
            <v>6990608</v>
          </cell>
          <cell r="F2021" t="str">
            <v>AGUJA PARA PUNCION ESPINAL, CON MANDRIL, # 22, DE 2 1/2", REUSABLE.</v>
          </cell>
          <cell r="G2021" t="str">
            <v>ELIM LIST OFICIAL</v>
          </cell>
        </row>
        <row r="2022">
          <cell r="E2022">
            <v>6990609</v>
          </cell>
          <cell r="F2022" t="str">
            <v>AGUJA PARA PUNCION ESPINAL, CON MAN*DRIL,# 21, DE 2 1/2", REUSABLE.</v>
          </cell>
          <cell r="G2022" t="str">
            <v>ELIM LIST OFICIAL</v>
          </cell>
        </row>
        <row r="2023">
          <cell r="E2023">
            <v>6990610</v>
          </cell>
          <cell r="F2023" t="str">
            <v>AGUJA PARA PUNCION ESPINAL, CON MANDRIL, # 19, DE  3 1/2", REUSABLE.</v>
          </cell>
          <cell r="G2023" t="str">
            <v>ELIM LIST OFICIAL</v>
          </cell>
        </row>
        <row r="2024">
          <cell r="E2024">
            <v>6990611</v>
          </cell>
          <cell r="F2024" t="str">
            <v>AGUJA PARA PUNCION ESPINAL, CON MAN*DRIL,# 16, DE 3 1/2", REUSABLE.</v>
          </cell>
          <cell r="G2024" t="str">
            <v>ELIM LIST OFICIAL</v>
          </cell>
        </row>
        <row r="2025">
          <cell r="E2025">
            <v>6990612</v>
          </cell>
          <cell r="F2025" t="str">
            <v>AGUJA PARA PUNCION ESPINAL, CON MAN*DRIL, # 15, DE3 1/2", REUSABLE.</v>
          </cell>
          <cell r="G2025" t="str">
            <v>ELIM LIST OFICIAL</v>
          </cell>
        </row>
        <row r="2026">
          <cell r="E2026">
            <v>6990613</v>
          </cell>
          <cell r="F2026" t="str">
            <v>AGUJA PARA PUNCION ESPINAL, CON MAN*DRIL, # 14 DE 2 1/2", REUSABLE.</v>
          </cell>
          <cell r="G2026" t="str">
            <v>ELIM LIST OFICIAL</v>
          </cell>
        </row>
        <row r="2027">
          <cell r="E2027">
            <v>6990614</v>
          </cell>
          <cell r="F2027" t="str">
            <v>AGUJA  FREEMAN # 20, DE 6",  PARA  ANES*TESIA  DE NERVIOS PUDENDOS.</v>
          </cell>
          <cell r="G2027" t="str">
            <v>ELIM LIST OFICIAL</v>
          </cell>
        </row>
        <row r="2028">
          <cell r="E2028">
            <v>6990615</v>
          </cell>
          <cell r="F2028" t="str">
            <v>AGUJA CONRAD CROSBY # 14, DE 2", PARA BIOPSIA DE CRESTA ILIACA.</v>
          </cell>
          <cell r="G2028" t="str">
            <v>ELIM LIST OFICIAL</v>
          </cell>
        </row>
        <row r="2029">
          <cell r="E2029">
            <v>6990616</v>
          </cell>
          <cell r="F2029" t="str">
            <v>AGUJA MENGHINI # 19, DE 2 3/4", PARA * BIOPSIA    HEPATICA.</v>
          </cell>
          <cell r="G2029" t="str">
            <v>ELIM LIST OFICIAL</v>
          </cell>
        </row>
        <row r="2030">
          <cell r="E2030">
            <v>6990617</v>
          </cell>
          <cell r="F2030" t="str">
            <v>AGUJA MENGHINI # 18, DE 4 3/4", PARA * BIOPSIA    HEPATICA.</v>
          </cell>
          <cell r="G2030" t="str">
            <v>ELIM LIST OFICIAL</v>
          </cell>
        </row>
        <row r="2031">
          <cell r="E2031">
            <v>6990618</v>
          </cell>
          <cell r="F2031" t="str">
            <v>AGUJA MENGHINI # 18, DE 2 3/4", PARA * BIOPSIA    HEPATICA.</v>
          </cell>
          <cell r="G2031" t="str">
            <v>ELIM LIST OFICIAL</v>
          </cell>
        </row>
        <row r="2032">
          <cell r="E2032">
            <v>6990619</v>
          </cell>
          <cell r="F2032" t="str">
            <v>AGUJA MENGHINI # 17, DE 4 3/4", PARA * BIOPSIA    HEPATICA.</v>
          </cell>
          <cell r="G2032" t="str">
            <v>ELIM LIST OFICIAL</v>
          </cell>
        </row>
        <row r="2033">
          <cell r="E2033">
            <v>6990620</v>
          </cell>
          <cell r="F2033" t="str">
            <v>AGUJA MENGHINI # 17, DE 2 3/4", PARA * BIOPSIA    HEPATICA.</v>
          </cell>
          <cell r="G2033" t="str">
            <v>ELIM LIST OFICIAL</v>
          </cell>
        </row>
        <row r="2034">
          <cell r="E2034">
            <v>6990621</v>
          </cell>
          <cell r="F2034" t="str">
            <v>AGUJA MENGHINI # 16, DE 4 3/4", PARA * BIOPSIA    HEPATICA.</v>
          </cell>
          <cell r="G2034" t="str">
            <v>ELIM LIST OFICIAL</v>
          </cell>
        </row>
        <row r="2035">
          <cell r="E2035">
            <v>6990622</v>
          </cell>
          <cell r="F2035" t="str">
            <v>AGUJA MENGHINI # 16, DE 2 3/4", PARA * BIOPSIA    HEPATICA.</v>
          </cell>
          <cell r="G2035" t="str">
            <v>ELIM LIST OFICIAL</v>
          </cell>
        </row>
        <row r="2036">
          <cell r="E2036">
            <v>6990623</v>
          </cell>
          <cell r="F2036" t="str">
            <v>AGUJA MENGHINI # 15, DE 2 3/4", PARA * BIOPSIA    HEPATICA.</v>
          </cell>
          <cell r="G2036" t="str">
            <v>ELIM LIST OFICIAL</v>
          </cell>
        </row>
        <row r="2037">
          <cell r="E2037">
            <v>6990624</v>
          </cell>
          <cell r="F2037" t="str">
            <v>AGUJA PARKER PEARSON # 14, DE 2",* PARA BIOPSIA   SINOVIAL.</v>
          </cell>
          <cell r="G2037" t="str">
            <v>ELIM LIST OFICIAL</v>
          </cell>
        </row>
        <row r="2038">
          <cell r="E2038">
            <v>6990625</v>
          </cell>
          <cell r="F2038" t="str">
            <v>AGUJA SILVERMAN # 14, DE 4 1/2", PARA BIOPSIA DE TEJIDOS BLANDOS.</v>
          </cell>
          <cell r="G2038" t="str">
            <v>ELIM LIST OFICIAL</v>
          </cell>
        </row>
        <row r="2039">
          <cell r="E2039">
            <v>6990626</v>
          </cell>
          <cell r="F2039" t="str">
            <v>AGUJA F PARA SUT 1/2 C #4</v>
          </cell>
          <cell r="G2039" t="str">
            <v>ELIM LIST OFICIAL</v>
          </cell>
        </row>
        <row r="2040">
          <cell r="E2040">
            <v>6990627</v>
          </cell>
          <cell r="F2040" t="str">
            <v>AGUJA FERGUSON PARA SUTURA, 1/2 * CIRCULO,REDONDA,# 6.</v>
          </cell>
          <cell r="G2040" t="str">
            <v>ELIM LIST OFICIAL</v>
          </cell>
        </row>
        <row r="2041">
          <cell r="E2041">
            <v>6990628</v>
          </cell>
          <cell r="F2041" t="str">
            <v>AGUJA FERGUSON PARA SUTURA, 1/2 * CIRCULO,REDONDA,# 12.</v>
          </cell>
          <cell r="G2041" t="str">
            <v>ELIM LIST OFICIAL</v>
          </cell>
        </row>
        <row r="2042">
          <cell r="E2042">
            <v>6990629</v>
          </cell>
          <cell r="F2042" t="str">
            <v>AGUJA FERGUSON PARA SUTURA, 1/2 * CIRCULO,REDONDA,# 14.</v>
          </cell>
          <cell r="G2042" t="str">
            <v>ELIM LIST OFICIAL</v>
          </cell>
        </row>
        <row r="2043">
          <cell r="E2043">
            <v>6990630</v>
          </cell>
          <cell r="F2043" t="str">
            <v>AGUJA FERGUSON P/SUTURA, 1/2 CIRCULO, REDONDA # 16.</v>
          </cell>
          <cell r="G2043" t="str">
            <v>ELIM LIST OFICIAL</v>
          </cell>
        </row>
        <row r="2044">
          <cell r="E2044">
            <v>6990631</v>
          </cell>
          <cell r="F2044" t="str">
            <v>AGUJA KEITH RECTA,PUNTA TRIANGULAR,* 1 3/4", PARA SUTURA DE ABDOMEN.</v>
          </cell>
          <cell r="G2044" t="str">
            <v>ELIM LIST OFICIAL</v>
          </cell>
        </row>
        <row r="2045">
          <cell r="E2045">
            <v>6990632</v>
          </cell>
          <cell r="F2045" t="str">
            <v>AGUJA KEITH RECTA,PUNTA TRIANGULAR,*2",PARA SUTURADE ABDOMEN.</v>
          </cell>
          <cell r="G2045" t="str">
            <v>ELIM LIST OFICIAL</v>
          </cell>
        </row>
        <row r="2046">
          <cell r="E2046">
            <v>6990633</v>
          </cell>
          <cell r="F2046" t="str">
            <v>AGUJA KEITH RECTA,PUNTA TRIANGULAR,* 2 7/8", PARA SUTURA DE ABDOMEN.</v>
          </cell>
          <cell r="G2046" t="str">
            <v>ELIM LIST OFICIAL</v>
          </cell>
        </row>
        <row r="2047">
          <cell r="E2047">
            <v>6990634</v>
          </cell>
          <cell r="F2047" t="str">
            <v>AGUJA KING PARA SUTURA, 3/8" CIRCULO, CORTANTE, 2 1/2".</v>
          </cell>
          <cell r="G2047" t="str">
            <v>ELIM LIST OFICIAL</v>
          </cell>
        </row>
        <row r="2048">
          <cell r="E2048">
            <v>6990635</v>
          </cell>
          <cell r="F2048" t="str">
            <v>AGUJA MARTIN, DE 1/2 CIRCULO, CORTANTE # 2 PARA SUTURA DE UTERO.</v>
          </cell>
          <cell r="G2048" t="str">
            <v>ELIM LIST OFICIAL</v>
          </cell>
        </row>
        <row r="2049">
          <cell r="E2049">
            <v>6990636</v>
          </cell>
          <cell r="F2049" t="str">
            <v>AGUJA MARTIN, DE 1/2 CIRCULO, CORTANTE # 3, PARA  SUTURA DE UTERO.</v>
          </cell>
          <cell r="G2049" t="str">
            <v>ELIM LIST OFICIAL</v>
          </cell>
        </row>
        <row r="2050">
          <cell r="E2050">
            <v>6990637</v>
          </cell>
          <cell r="F2050" t="str">
            <v>AGUJA MARTIN, DE 1/2 CIRCULO, CORTANTE # 7, PARA  SUTURA DE UTERO.</v>
          </cell>
          <cell r="G2050" t="str">
            <v>ELIM LIST OFICIAL</v>
          </cell>
        </row>
        <row r="2051">
          <cell r="E2051">
            <v>6990638</v>
          </cell>
          <cell r="F2051" t="str">
            <v>AGUJA MARTIN, DE 1/2 CIRCULO, CORTANTE # 8 PARA SUTURA DE UTERO.</v>
          </cell>
          <cell r="G2051" t="str">
            <v>ELIM LIST OFICIAL</v>
          </cell>
        </row>
        <row r="2052">
          <cell r="E2052">
            <v>6990639</v>
          </cell>
          <cell r="F2052" t="str">
            <v>AGUJA MAYO CATGUT, PARA SUTURA, 1/2*CIRCULO, PUNTAREDONDA, # 1.</v>
          </cell>
          <cell r="G2052" t="str">
            <v>ELIM LIST OFICIAL</v>
          </cell>
        </row>
        <row r="2053">
          <cell r="E2053">
            <v>6990640</v>
          </cell>
          <cell r="F2053" t="str">
            <v>AGUJA MAYO CATGUT, PARA SUTURA, 1/2*CIRCULO, PUNTAREDONDA, # 2.</v>
          </cell>
          <cell r="G2053" t="str">
            <v>ELIM LIST OFICIAL</v>
          </cell>
        </row>
        <row r="2054">
          <cell r="E2054">
            <v>6990641</v>
          </cell>
          <cell r="F2054" t="str">
            <v>AGUJA MAYO CATGUT, PARA SUTURA, 1/2 CIRCULO, PUNTA TROCAR,  # 0.</v>
          </cell>
          <cell r="G2054" t="str">
            <v>ELIM LIST OFICIAL</v>
          </cell>
        </row>
        <row r="2055">
          <cell r="E2055">
            <v>6990642</v>
          </cell>
          <cell r="F2055" t="str">
            <v>AGUJA MAYO CATGUT, PARA SUTURA, 1/2*CIRCULO, PUNTATROCAR,  # 1.</v>
          </cell>
          <cell r="G2055" t="str">
            <v>ELIM LIST OFICIAL</v>
          </cell>
        </row>
        <row r="2056">
          <cell r="E2056">
            <v>6990643</v>
          </cell>
          <cell r="F2056" t="str">
            <v>AGUJA MAYO CATGUT, PARA SUTURA, 1/2 CIRCULO, PUNTA TROCAR,  # 3.</v>
          </cell>
          <cell r="G2056" t="str">
            <v>ELIM LIST OFICIAL</v>
          </cell>
        </row>
        <row r="2057">
          <cell r="E2057">
            <v>6990644</v>
          </cell>
          <cell r="F2057" t="str">
            <v>AGUJA MAYO CATGUT, PARA SUTURA, 1/2 CIRCULO, PUNTA TROCAR, # 6.</v>
          </cell>
          <cell r="G2057" t="str">
            <v>ELIM LIST OFICIAL</v>
          </cell>
        </row>
        <row r="2058">
          <cell r="E2058">
            <v>6990645</v>
          </cell>
          <cell r="F2058" t="str">
            <v>AGUJA MAYO PARA SUTURA INTESTINAL, 1/2" CIRCULO REDONDA,  # 1.</v>
          </cell>
          <cell r="G2058" t="str">
            <v>ELIM LIST OFICIAL</v>
          </cell>
        </row>
        <row r="2059">
          <cell r="E2059">
            <v>6990646</v>
          </cell>
          <cell r="F2059" t="str">
            <v>AGUJA MAYO PARA SUTURA INTESTINAL, 1/2 CIRCULO, REDONDA,  # 2.</v>
          </cell>
          <cell r="G2059" t="str">
            <v>ELIM LIST OFICIAL</v>
          </cell>
        </row>
        <row r="2060">
          <cell r="E2060">
            <v>6990647</v>
          </cell>
          <cell r="F2060" t="str">
            <v>AGUJA MAYO PARA SUTURA INTESTINAL, 1/2 CIRCULO, REDONDA, # 3.</v>
          </cell>
          <cell r="G2060" t="str">
            <v>ELIM LIST OFICIAL</v>
          </cell>
        </row>
        <row r="2061">
          <cell r="E2061">
            <v>6990648</v>
          </cell>
          <cell r="F2061" t="str">
            <v>AGUJA MAYO PARA SUTURA INTESTINAL, 1/2 CIRCULO, REDONDA, # 4.</v>
          </cell>
          <cell r="G2061" t="str">
            <v>ELIM LIST OFICIAL</v>
          </cell>
        </row>
        <row r="2062">
          <cell r="E2062">
            <v>6990649</v>
          </cell>
          <cell r="F2062" t="str">
            <v>AGUJA MAYO PARA SUTURA INTESTINAL, * 1/2 CIRCULO, REDONDA, # 5.</v>
          </cell>
          <cell r="G2062" t="str">
            <v>ELIM LIST OFICIAL</v>
          </cell>
        </row>
        <row r="2063">
          <cell r="E2063">
            <v>6990650</v>
          </cell>
          <cell r="F2063" t="str">
            <v>AGUJA MAYO RECTA, REDONDA, 1 1/2",*PARA SUTURA .</v>
          </cell>
          <cell r="G2063" t="str">
            <v>ELIM LIST OFICIAL</v>
          </cell>
        </row>
        <row r="2064">
          <cell r="E2064">
            <v>6990651</v>
          </cell>
          <cell r="F2064" t="str">
            <v>AGUJA MAYO RECTA, REDONDA, 2 1/2",*PARA SUTURA.</v>
          </cell>
          <cell r="G2064" t="str">
            <v>ELIM LIST OFICIAL</v>
          </cell>
        </row>
        <row r="2065">
          <cell r="E2065">
            <v>6990652</v>
          </cell>
          <cell r="F2065" t="str">
            <v>AGUJA MURPHY PARA SUTURA, 1/2 CIRCU*LO, REDONDA,  # 1.</v>
          </cell>
          <cell r="G2065" t="str">
            <v>ELIM LIST OFICIAL</v>
          </cell>
        </row>
        <row r="2066">
          <cell r="E2066">
            <v>6990653</v>
          </cell>
          <cell r="F2066" t="str">
            <v>AGUJA MURPHY PARA SUTURA, 1/2 CIRCULO REDONDA, # 2.</v>
          </cell>
          <cell r="G2066" t="str">
            <v>ELIM LIST OFICIAL</v>
          </cell>
        </row>
        <row r="2067">
          <cell r="E2067">
            <v>6990654</v>
          </cell>
          <cell r="F2067" t="str">
            <v>AGUJA MURPHY PARA SUTURA, 1/2 CIRCU*LO, REDONDA,  # 3.</v>
          </cell>
          <cell r="G2067" t="str">
            <v>ELIM LIST OFICIAL</v>
          </cell>
        </row>
        <row r="2068">
          <cell r="E2068">
            <v>6990655</v>
          </cell>
          <cell r="F2068" t="str">
            <v>AGUJA MURPHY PARA SUTURA, 1/2 CIRCU*LO, REDONDA,  # 4.</v>
          </cell>
          <cell r="G2068" t="str">
            <v>ELIM LIST OFICIAL</v>
          </cell>
        </row>
        <row r="2069">
          <cell r="E2069">
            <v>6990656</v>
          </cell>
          <cell r="F2069" t="str">
            <v>AGUJA POTTS COURNARD #17, DE 3/64",*DESCARTABLE.</v>
          </cell>
          <cell r="G2069" t="str">
            <v>ELIM LIST OFICIAL</v>
          </cell>
        </row>
        <row r="2070">
          <cell r="E2070">
            <v>6990657</v>
          </cell>
          <cell r="F2070" t="str">
            <v>AGUJA CURVA, PUNTA ROMA, PARA*SUTURA DE HERNIA.</v>
          </cell>
          <cell r="G2070" t="str">
            <v>ELIM LIST OFICIAL</v>
          </cell>
        </row>
        <row r="2071">
          <cell r="E2071">
            <v>6990658</v>
          </cell>
          <cell r="F2071" t="str">
            <v>AGUJA MEDIO CURVA, #1, PARA SUTURAS POST MORTEN.</v>
          </cell>
          <cell r="G2071" t="str">
            <v>ELIM LIST OFICIAL</v>
          </cell>
        </row>
        <row r="2072">
          <cell r="E2072">
            <v>6990659</v>
          </cell>
          <cell r="F2072" t="str">
            <v>AGUJA PARA SUTURA, 1/2 CIRCULO,*CORTANTE, # 1.</v>
          </cell>
          <cell r="G2072" t="str">
            <v>ELIM LIST OFICIAL</v>
          </cell>
        </row>
        <row r="2073">
          <cell r="E2073">
            <v>6990660</v>
          </cell>
          <cell r="F2073" t="str">
            <v>AGUJA PARA SUTURA, 1/2 CIRCULO, *CORTANTE, # 2.</v>
          </cell>
          <cell r="G2073" t="str">
            <v>ELIM LIST OFICIAL</v>
          </cell>
        </row>
        <row r="2074">
          <cell r="E2074">
            <v>6990661</v>
          </cell>
          <cell r="F2074" t="str">
            <v>AGUJA PARA SUTURA, 1/2 CIRCULO, CORTANTE, # 7.</v>
          </cell>
          <cell r="G2074" t="str">
            <v>ELIM LIST OFICIAL</v>
          </cell>
        </row>
        <row r="2075">
          <cell r="E2075">
            <v>6990662</v>
          </cell>
          <cell r="F2075" t="str">
            <v>AGUJA PARA SUTURA, 1/2 CIRCULO, CORTANTE, # 9.</v>
          </cell>
          <cell r="G2075" t="str">
            <v>ELIM LIST OFICIAL</v>
          </cell>
        </row>
        <row r="2076">
          <cell r="E2076">
            <v>6990663</v>
          </cell>
          <cell r="F2076" t="str">
            <v>AGUJA PARA SUTURA, 3/8 CIRCULO,*CORTANTE, # 2.</v>
          </cell>
          <cell r="G2076" t="str">
            <v>ELIM LIST OFICIAL</v>
          </cell>
        </row>
        <row r="2077">
          <cell r="E2077">
            <v>6990664</v>
          </cell>
          <cell r="F2077" t="str">
            <v>AGUJA PARA SUTURA, 3/8 CIRCULO,*CORTANTE, # 4.</v>
          </cell>
          <cell r="G2077" t="str">
            <v>ELIM LIST OFICIAL</v>
          </cell>
        </row>
        <row r="2078">
          <cell r="E2078">
            <v>6990665</v>
          </cell>
          <cell r="F2078" t="str">
            <v>AGUJA PARA SUTURA, 3/8 CIRCULO, CORTANTE, # 6.</v>
          </cell>
          <cell r="G2078" t="str">
            <v>ELIM LIST OFICIAL</v>
          </cell>
        </row>
        <row r="2079">
          <cell r="E2079">
            <v>6990666</v>
          </cell>
          <cell r="F2079" t="str">
            <v>AGUJA COR 3/8 #8</v>
          </cell>
          <cell r="G2079" t="str">
            <v>ELIM LIST OFICIAL</v>
          </cell>
        </row>
        <row r="2080">
          <cell r="E2080">
            <v>6990667</v>
          </cell>
          <cell r="F2080" t="str">
            <v>AGUJA PARA SUTURA, 3/8 CIRCULO,*CORTANTE, # 10.</v>
          </cell>
          <cell r="G2080" t="str">
            <v>ELIM LIST OFICIAL</v>
          </cell>
        </row>
        <row r="2081">
          <cell r="E2081">
            <v>6990668</v>
          </cell>
          <cell r="F2081" t="str">
            <v>AGUJA PARA SUTURA, 3/8 CIRCULO, CORTANTE, # 12.</v>
          </cell>
          <cell r="G2081" t="str">
            <v>ELIM LIST OFICIAL</v>
          </cell>
        </row>
        <row r="2082">
          <cell r="E2082">
            <v>6990669</v>
          </cell>
          <cell r="F2082" t="str">
            <v>AGUJA PARA SUTURA, 3/8 CIRCULO, CORTANTE, # 14.</v>
          </cell>
          <cell r="G2082" t="str">
            <v>ELIM LIST OFICIAL</v>
          </cell>
        </row>
        <row r="2083">
          <cell r="E2083">
            <v>6990670</v>
          </cell>
          <cell r="F2083" t="str">
            <v>AGUJA PARA SUTURA, 3/8 CIRCULO,*CORTANTE, # 16.</v>
          </cell>
          <cell r="G2083" t="str">
            <v>ELIM LIST OFICIAL</v>
          </cell>
        </row>
        <row r="2084">
          <cell r="E2084">
            <v>6990671</v>
          </cell>
          <cell r="F2084" t="str">
            <v>AGUJA PARA SUTURA, 3/8 CIRCULO,*CORTANTE, # 20.</v>
          </cell>
          <cell r="G2084" t="str">
            <v>ELIM LIST OFICIAL</v>
          </cell>
        </row>
        <row r="2085">
          <cell r="E2085">
            <v>6990672</v>
          </cell>
          <cell r="F2085" t="str">
            <v>AGUJA PARA SUTURA DE CERVIX, 3/8 CIRCULO, REDONDA, # 4.</v>
          </cell>
          <cell r="G2085" t="str">
            <v>ELIM LIST OFICIAL</v>
          </cell>
        </row>
        <row r="2086">
          <cell r="E2086">
            <v>6990673</v>
          </cell>
          <cell r="F2086" t="str">
            <v>AGUJA P/ FISTULA 1/2</v>
          </cell>
          <cell r="G2086" t="str">
            <v>ELIM LIST OFICIAL</v>
          </cell>
        </row>
        <row r="2087">
          <cell r="E2087">
            <v>6990674</v>
          </cell>
          <cell r="F2087" t="str">
            <v>AGUJA PARA SUTURA DE FISTULA,1/2 *CIRCULO,CORTANTE# 0.</v>
          </cell>
          <cell r="G2087" t="str">
            <v>ELIM LIST OFICIAL</v>
          </cell>
        </row>
        <row r="2088">
          <cell r="E2088">
            <v>6990675</v>
          </cell>
          <cell r="F2088" t="str">
            <v>AGUJA PARA SUTURA DE FISTULA,1/2 *CIRCULO,CORTANTE# 1.</v>
          </cell>
          <cell r="G2088" t="str">
            <v>ELIM LIST OFICIAL</v>
          </cell>
        </row>
        <row r="2089">
          <cell r="E2089">
            <v>6990676</v>
          </cell>
          <cell r="F2089" t="str">
            <v>AGUJA PARA SUTURA DE FISTULA,1/2 *CIRCULO,CORTANTE# 3.</v>
          </cell>
          <cell r="G2089" t="str">
            <v>ELIM LIST OFICIAL</v>
          </cell>
        </row>
        <row r="2090">
          <cell r="E2090">
            <v>6990677</v>
          </cell>
          <cell r="F2090" t="str">
            <v>AGUJA PARA SUTURA DE FISTULA, 1/2  CIRCULO, CORTANTE, # 4.</v>
          </cell>
          <cell r="G2090" t="str">
            <v>ELIM LIST OFICIAL</v>
          </cell>
        </row>
        <row r="2091">
          <cell r="E2091">
            <v>6990678</v>
          </cell>
          <cell r="F2091" t="str">
            <v>AGUJA PARA SUTURA DE FISTULA, 1/2 CIRCULO, CORTANTE, # 6.</v>
          </cell>
          <cell r="G2091" t="str">
            <v>ELIM LIST OFICIAL</v>
          </cell>
        </row>
        <row r="2092">
          <cell r="E2092">
            <v>6990679</v>
          </cell>
          <cell r="F2092" t="str">
            <v>AGUJA FINA, 1/2 CIRCULO, REDONDA, #1, PARA SUTURA INTESTINAL.</v>
          </cell>
          <cell r="G2092" t="str">
            <v>ELIM LIST OFICIAL</v>
          </cell>
        </row>
        <row r="2093">
          <cell r="E2093">
            <v>6990680</v>
          </cell>
          <cell r="F2093" t="str">
            <v>AGUJA FINA, 1/2 CIRCULO, REDONDA,*# 2, PARA SUTURAINTESTINAL.</v>
          </cell>
          <cell r="G2093" t="str">
            <v>ELIM LIST OFICIAL</v>
          </cell>
        </row>
        <row r="2094">
          <cell r="E2094">
            <v>6990681</v>
          </cell>
          <cell r="F2094" t="str">
            <v>AGUJA FINA, 1/2 CIRCULO, REDONDA, # 4, PARA SUTURA INTESTINAL.</v>
          </cell>
          <cell r="G2094" t="str">
            <v>ELIM LIST OFICIAL</v>
          </cell>
        </row>
        <row r="2095">
          <cell r="E2095">
            <v>6990682</v>
          </cell>
          <cell r="F2095" t="str">
            <v>AGUJA FINA, 1/2 CIRCULO, REDONDA, # 5, PARA SUTURA INTESTINAL.</v>
          </cell>
          <cell r="G2095" t="str">
            <v>ELIM LIST OFICIAL</v>
          </cell>
        </row>
        <row r="2096">
          <cell r="E2096">
            <v>6990683</v>
          </cell>
          <cell r="F2096" t="str">
            <v>AGUJA FINA, 1/2 CIRCULO, REDONDA, # 6, PARA SUTURA INTESTINAL.</v>
          </cell>
          <cell r="G2096" t="str">
            <v>ELIM LIST OFICIAL</v>
          </cell>
        </row>
        <row r="2097">
          <cell r="E2097">
            <v>6990684</v>
          </cell>
          <cell r="F2097" t="str">
            <v>AGUJA FINA, RECTA, REDONDA, 2 3/4", * PARA SUTURA INTESTINAL.</v>
          </cell>
          <cell r="G2097" t="str">
            <v>ELIM LIST OFICIAL</v>
          </cell>
        </row>
        <row r="2098">
          <cell r="E2098">
            <v>6990685</v>
          </cell>
          <cell r="F2098" t="str">
            <v>BOLSA DESCARTABLE SIN SONDA ADAPTABLE A PIERNA, PARA ADULTO, PARA INCONTINENCIA DE ORINA.</v>
          </cell>
          <cell r="G2098" t="str">
            <v>ELIM LIST OFICIAL</v>
          </cell>
        </row>
        <row r="2099">
          <cell r="E2099">
            <v>6990686</v>
          </cell>
          <cell r="F2099" t="str">
            <v>BOLSA DESCARTABLE PARA COLOSTOMIA,*AUTOADHERIBLE, DE 1 1/2" DIAMETRO.</v>
          </cell>
          <cell r="G2099" t="str">
            <v>ELIM LIST OFICIAL</v>
          </cell>
        </row>
        <row r="2100">
          <cell r="E2100">
            <v>6990687</v>
          </cell>
          <cell r="F2100" t="str">
            <v>BOLSA DESCARTABLE PARA COLOSTOMIA,*AUTOADHERIBLE, DE 3 1/2" DIAMETRO.</v>
          </cell>
          <cell r="G2100" t="str">
            <v>ELIM LIST OFICIAL</v>
          </cell>
        </row>
        <row r="2101">
          <cell r="E2101">
            <v>6990688</v>
          </cell>
          <cell r="F2101" t="str">
            <v>CANULA RECTAL CON LLAVE,PARA ADULTO</v>
          </cell>
          <cell r="G2101" t="str">
            <v>ELIM LIST OFICIAL</v>
          </cell>
        </row>
        <row r="2102">
          <cell r="E2102">
            <v>6990689</v>
          </cell>
          <cell r="F2102" t="str">
            <v>CATETER VENOSO DE PERFUSION,REFORZADO CON ALAMBRE #24.</v>
          </cell>
          <cell r="G2102" t="str">
            <v>ELIM LIST OFICIAL</v>
          </cell>
        </row>
        <row r="2103">
          <cell r="E2103">
            <v>6990690</v>
          </cell>
          <cell r="F2103" t="str">
            <v>CATETER VENOSO DE PERFUSION,REFORZADO CON ALAMBRE #34.</v>
          </cell>
          <cell r="G2103" t="str">
            <v>ELIM LIST OFICIAL</v>
          </cell>
        </row>
        <row r="2104">
          <cell r="E2104">
            <v>6990691</v>
          </cell>
          <cell r="F2104" t="str">
            <v>CATGUT CROMICO PARA CIRUGIA PLASTICA, # 5/0, CON AGUJA 3/8 CIRCULO, CORTANTE.</v>
          </cell>
          <cell r="G2104" t="str">
            <v>ELIM LIST OFICIAL</v>
          </cell>
        </row>
        <row r="2105">
          <cell r="E2105">
            <v>6990692</v>
          </cell>
          <cell r="F2105" t="str">
            <v>CATGUT CROMICO #4/0 CON AGUJA 1/2 CIRCULO CORTANTEOFTALMICA (TIPO G-2).</v>
          </cell>
          <cell r="G2105" t="str">
            <v>ELIM LIST OFICIAL</v>
          </cell>
        </row>
        <row r="2106">
          <cell r="E2106">
            <v>6990693</v>
          </cell>
          <cell r="F2106" t="str">
            <v>CATGUT CROMICO #3/0 SIN AGUJA .</v>
          </cell>
          <cell r="G2106" t="str">
            <v>ELIM LIST OFICIAL</v>
          </cell>
        </row>
        <row r="2107">
          <cell r="E2107">
            <v>6990694</v>
          </cell>
          <cell r="F2107" t="str">
            <v>CATGUT SIMPLE #2/0 CON AGUJA CURVA,*CORTANTE, PARACIRCUNCISION.</v>
          </cell>
          <cell r="G2107" t="str">
            <v>ELIM LIST OFICIAL</v>
          </cell>
        </row>
        <row r="2108">
          <cell r="E2108">
            <v>6990695</v>
          </cell>
          <cell r="F2108" t="str">
            <v>CATGUT SIMPLE #0 SIN AGUJA</v>
          </cell>
          <cell r="G2108" t="str">
            <v>ELIM LIST OFICIAL</v>
          </cell>
        </row>
        <row r="2109">
          <cell r="E2109">
            <v>6990696</v>
          </cell>
          <cell r="F2109" t="str">
            <v>ESPONJA ESCLERAL 3 MM. X 8 CM.*(SILASTIC).</v>
          </cell>
          <cell r="G2109" t="str">
            <v>ELIM LIST OFICIAL</v>
          </cell>
        </row>
        <row r="2110">
          <cell r="E2110">
            <v>6990697</v>
          </cell>
          <cell r="F2110" t="str">
            <v>ETIFLEX # 6/0 CON DOBLE AGUJA TIPO*C-1 C-1  CARDIOVASCULAR.</v>
          </cell>
          <cell r="G2110" t="str">
            <v>ELIM LIST OFICIAL</v>
          </cell>
        </row>
        <row r="2111">
          <cell r="E2111">
            <v>6990698</v>
          </cell>
          <cell r="F2111" t="str">
            <v>JERINGA PARA INSULINA DE 1 CC., DE*VIDRIO.</v>
          </cell>
          <cell r="G2111" t="str">
            <v>ELIM LIST OFICIAL</v>
          </cell>
        </row>
        <row r="2112">
          <cell r="E2112">
            <v>6990699</v>
          </cell>
          <cell r="F2112" t="str">
            <v>JERINGA PARA TUBERCULINA 1 CC. DE VIDRIO.</v>
          </cell>
          <cell r="G2112" t="str">
            <v>ELIM LIST OFICIAL</v>
          </cell>
        </row>
        <row r="2113">
          <cell r="E2113">
            <v>6990700</v>
          </cell>
          <cell r="F2113" t="str">
            <v>NYLON DERMALON MONOFILAMENTO #00,*CON AGUJA RECTA CORTANTE.</v>
          </cell>
          <cell r="G2113" t="str">
            <v>ELIM LIST OFICIAL</v>
          </cell>
        </row>
        <row r="2114">
          <cell r="E2114">
            <v>6990701</v>
          </cell>
          <cell r="F2114" t="str">
            <v>PLACA CONDUCTORA ELECTROQUIRURGICA * PARA ADULTO, DESCARTABLE.</v>
          </cell>
          <cell r="G2114" t="str">
            <v>ELIM LIST OFICIAL</v>
          </cell>
        </row>
        <row r="2115">
          <cell r="E2115">
            <v>6990702</v>
          </cell>
          <cell r="F2115" t="str">
            <v>POLIESTER TRENZADO AZUL O VERDE, #4/0, CON AGUJA  3/8 CIRCULO, CORTANTE.</v>
          </cell>
          <cell r="G2115" t="str">
            <v>ELIM LIST OFICIAL</v>
          </cell>
        </row>
        <row r="2116">
          <cell r="E2116">
            <v>6990703</v>
          </cell>
          <cell r="F2116" t="str">
            <v>POLIESTER TRENZADO AZUL O VERDE, # 4/0, CON DOBLE AGUJA 1/2 CIRCULO, REDONDA.</v>
          </cell>
          <cell r="G2116" t="str">
            <v>ELIM LIST OFICIAL</v>
          </cell>
        </row>
        <row r="2117">
          <cell r="E2117">
            <v>6990704</v>
          </cell>
          <cell r="F2117" t="str">
            <v>POLIESTER TRENZADO AZUL O VERDE, #5/0, CON DOBLE  AGUJA 1/4 CIRCULO, CORTANTE, ESPATULA OFTALMICA.</v>
          </cell>
          <cell r="G2117" t="str">
            <v>ELIM LIST OFICIAL</v>
          </cell>
        </row>
        <row r="2118">
          <cell r="E2118">
            <v>6990705</v>
          </cell>
          <cell r="F2118" t="str">
            <v>POLIESTER TRENZADO AZUL O VERDE, #0, SIN AGUJA.</v>
          </cell>
          <cell r="G2118" t="str">
            <v>ELIM LIST OFICIAL</v>
          </cell>
        </row>
        <row r="2119">
          <cell r="E2119">
            <v>6990707</v>
          </cell>
          <cell r="F2119" t="str">
            <v>SEDA NEGRA #000 CON AGUJA 1/2 CIRCULO, REDONDA.</v>
          </cell>
          <cell r="G2119" t="str">
            <v>ELIM LIST OFICIAL</v>
          </cell>
        </row>
        <row r="2120">
          <cell r="E2120">
            <v>6990708</v>
          </cell>
          <cell r="F2120" t="str">
            <v>SEDA NEGRA # 6/0  CON DOBLE AGUJA * 1/2 CIRCULO   REDONDA.</v>
          </cell>
          <cell r="G2120" t="str">
            <v>ELIM LIST OFICIAL</v>
          </cell>
        </row>
        <row r="2121">
          <cell r="E2121">
            <v>6990709</v>
          </cell>
          <cell r="F2121" t="str">
            <v>SEDA NEGRA # 6/0 CON AGUJA 3/8 CIRCULO, CORTANTE, PARA CIRUGIA PLASTICA.</v>
          </cell>
          <cell r="G2121" t="str">
            <v>ELIM LIST OFICIAL</v>
          </cell>
        </row>
        <row r="2122">
          <cell r="E2122">
            <v>6990710</v>
          </cell>
          <cell r="F2122" t="str">
            <v>SEDA NEGRA TRENZADA 1 PRECORTADA EN SOBRES DE 17  HEBRAS DE 18'.</v>
          </cell>
          <cell r="G2122" t="str">
            <v>ELIM LIST OFICIAL</v>
          </cell>
        </row>
        <row r="2123">
          <cell r="E2123">
            <v>6990711</v>
          </cell>
          <cell r="F2123" t="str">
            <v>SEDA NEGRA TRENZADA 0 PRECORTADA EN SOBRES DE 17  HEBRAS DE 18'.</v>
          </cell>
          <cell r="G2123" t="str">
            <v>ELIM LIST OFICIAL</v>
          </cell>
        </row>
        <row r="2124">
          <cell r="E2124">
            <v>6990712</v>
          </cell>
          <cell r="F2124" t="str">
            <v>SEDA NEGRA TRENZADA 2/0 PRECORTADA EN SOBRES DE 17HEBRAS DE 18'.</v>
          </cell>
          <cell r="G2124" t="str">
            <v>ELIM LIST OFICIAL</v>
          </cell>
        </row>
        <row r="2125">
          <cell r="E2125">
            <v>6990713</v>
          </cell>
          <cell r="F2125" t="str">
            <v>SEDA NEGRA TRENZADA # 5/0.</v>
          </cell>
          <cell r="G2125" t="str">
            <v>ELIM LIST OFICIAL</v>
          </cell>
        </row>
        <row r="2126">
          <cell r="E2126">
            <v>6990714</v>
          </cell>
          <cell r="F2126" t="str">
            <v>SONDA DE HULE, DE 4 OJOS, # 22</v>
          </cell>
          <cell r="G2126" t="str">
            <v>ELIM LIST OFICIAL</v>
          </cell>
        </row>
        <row r="2127">
          <cell r="E2127">
            <v>6990715</v>
          </cell>
          <cell r="F2127" t="str">
            <v>SONDA DE HULE, BARDAN T., PUNTA EN OLIVA, # 14.</v>
          </cell>
          <cell r="G2127" t="str">
            <v>ELIM LIST OFICIAL</v>
          </cell>
        </row>
        <row r="2128">
          <cell r="E2128">
            <v>6990716</v>
          </cell>
          <cell r="F2128" t="str">
            <v>SONDA DE HULE, EN T, CATELL, # 14.</v>
          </cell>
          <cell r="G2128" t="str">
            <v>ELIM LIST OFICIAL</v>
          </cell>
        </row>
        <row r="2129">
          <cell r="E2129">
            <v>6990717</v>
          </cell>
          <cell r="F2129" t="str">
            <v>SONDA DE HULE, EN T, CATELL, # 16.</v>
          </cell>
          <cell r="G2129" t="str">
            <v>ELIM LIST OFICIAL</v>
          </cell>
        </row>
        <row r="2130">
          <cell r="E2130">
            <v>6990718</v>
          </cell>
          <cell r="F2130" t="str">
            <v>SONDA DE HULE, EN T, CATELL, # 18.</v>
          </cell>
          <cell r="G2130" t="str">
            <v>ELIM LIST OFICIAL</v>
          </cell>
        </row>
        <row r="2131">
          <cell r="E2131">
            <v>6990719</v>
          </cell>
          <cell r="F2131" t="str">
            <v>SONDA DE HULE, EN T, CATELL, # 20.</v>
          </cell>
          <cell r="G2131" t="str">
            <v>ELIM LIST OFICIAL</v>
          </cell>
        </row>
        <row r="2132">
          <cell r="E2132">
            <v>6990720</v>
          </cell>
          <cell r="F2132" t="str">
            <v>SONDA DE HULE, MALECOT, ACODADA,#28 X 3".</v>
          </cell>
          <cell r="G2132" t="str">
            <v>ELIM LIST OFICIAL</v>
          </cell>
        </row>
        <row r="2133">
          <cell r="E2133">
            <v>6990721</v>
          </cell>
          <cell r="F2133" t="str">
            <v>SONDA DE HULE, MALECOT, ACODADA,#34 X 3".</v>
          </cell>
          <cell r="G2133" t="str">
            <v>ELIM LIST OFICIAL</v>
          </cell>
        </row>
        <row r="2134">
          <cell r="E2134">
            <v>6990722</v>
          </cell>
          <cell r="F2134" t="str">
            <v>SONDA DE HULE, MALECOT, RECTA, #18.</v>
          </cell>
          <cell r="G2134" t="str">
            <v>ELIM LIST OFICIAL</v>
          </cell>
        </row>
        <row r="2135">
          <cell r="E2135">
            <v>6990723</v>
          </cell>
          <cell r="F2135" t="str">
            <v>SONDA DE HULE, MALECOT, RECTA, #34.</v>
          </cell>
          <cell r="G2135" t="str">
            <v>ELIM LIST OFICIAL</v>
          </cell>
        </row>
        <row r="2136">
          <cell r="E2136">
            <v>6990724</v>
          </cell>
          <cell r="F2136" t="str">
            <v>SONDA DE HULE, PEZZER, # 20.</v>
          </cell>
          <cell r="G2136" t="str">
            <v>ELIM LIST OFICIAL</v>
          </cell>
        </row>
        <row r="2137">
          <cell r="E2137">
            <v>6990725</v>
          </cell>
          <cell r="F2137" t="str">
            <v>SONDA RECTAL, # 30, DESCARTABLE.</v>
          </cell>
          <cell r="G2137" t="str">
            <v>ELIM LIST OFICIAL</v>
          </cell>
        </row>
        <row r="2138">
          <cell r="E2138">
            <v>6990726</v>
          </cell>
          <cell r="F2138" t="str">
            <v>SONDA NASOGASTRICA SALEN # 18,*DESCARTABLE.</v>
          </cell>
          <cell r="G2138" t="str">
            <v>ELIM LIST OFICIAL</v>
          </cell>
        </row>
        <row r="2139">
          <cell r="E2139">
            <v>6990727</v>
          </cell>
          <cell r="F2139" t="str">
            <v>SURGISEL HEMOSTATICO 2" X 3".</v>
          </cell>
          <cell r="G2139" t="str">
            <v>ELIM LIST OFICIAL</v>
          </cell>
        </row>
        <row r="2140">
          <cell r="E2140">
            <v>6990728</v>
          </cell>
          <cell r="F2140" t="str">
            <v>SURGISEL HEMOSTATICO 4" X 8"</v>
          </cell>
          <cell r="G2140" t="str">
            <v>ELIM LIST OFICIAL</v>
          </cell>
        </row>
        <row r="2141">
          <cell r="E2141">
            <v>6990729</v>
          </cell>
          <cell r="F2141" t="str">
            <v>TUBO, CATETER TORACICO CURVO, # 28,*DESCARTABLE.</v>
          </cell>
          <cell r="G2141" t="str">
            <v>ELIM LIST OFICIAL</v>
          </cell>
        </row>
        <row r="2142">
          <cell r="E2142">
            <v>6990730</v>
          </cell>
          <cell r="F2142" t="str">
            <v>TUBO, CATETER TORACICO CURVO, # 32,*DESCARTABLE.</v>
          </cell>
          <cell r="G2142" t="str">
            <v>ELIM LIST OFICIAL</v>
          </cell>
        </row>
        <row r="2143">
          <cell r="E2143">
            <v>6990731</v>
          </cell>
          <cell r="F2143" t="str">
            <v>TUBO, CATETER TORACICO CURVO, # 36,*DESCARTABLE.</v>
          </cell>
          <cell r="G2143" t="str">
            <v>ELIM LIST OFICIAL</v>
          </cell>
        </row>
        <row r="2144">
          <cell r="E2144">
            <v>6990732</v>
          </cell>
          <cell r="F2144" t="str">
            <v>TUBO CONECTOR 5 EN 1, DE 5/16" X *9/16" X 3 1/2", PLASTICO.</v>
          </cell>
          <cell r="G2144" t="str">
            <v>ELIM LIST OFICIAL</v>
          </cell>
        </row>
        <row r="2145">
          <cell r="E2145">
            <v>6990733</v>
          </cell>
          <cell r="F2145" t="str">
            <v>TUBO DE PELIETILENO PE-240 DE 36"</v>
          </cell>
          <cell r="G2145" t="str">
            <v>ELIM LIST OFICIAL</v>
          </cell>
        </row>
        <row r="2146">
          <cell r="E2146">
            <v>6990734</v>
          </cell>
          <cell r="F2146" t="str">
            <v>TUBO GASTROINTESTINAL DE TRES VIAS DENNIS # 16, DESCARTABLE.</v>
          </cell>
          <cell r="G2146" t="str">
            <v>ELIM LIST OFICIAL</v>
          </cell>
        </row>
        <row r="2147">
          <cell r="E2147">
            <v>6990735</v>
          </cell>
          <cell r="F2147" t="str">
            <v>TUBO DE VIDRIO DE UNA VIA 3 1/4", PARA ESTERILIZAR AGUJAS.</v>
          </cell>
          <cell r="G2147" t="str">
            <v>ELIM LIST OFICIAL</v>
          </cell>
        </row>
        <row r="2148">
          <cell r="E2148">
            <v>6990736</v>
          </cell>
          <cell r="F2148" t="str">
            <v>VENDA ADHESIVA ELASTICA 4" (TIPO*ELASTICON).</v>
          </cell>
          <cell r="G2148" t="str">
            <v>ELIM LIST OFICIAL</v>
          </cell>
        </row>
        <row r="2149">
          <cell r="E2149">
            <v>6990737</v>
          </cell>
          <cell r="F2149" t="str">
            <v>INJERTO  ARTERIAL  RECTO  DE  30 MM.  " BARONE "  (DE DACRON).</v>
          </cell>
          <cell r="G2149" t="str">
            <v>ELIM LIST OFICIAL</v>
          </cell>
        </row>
        <row r="2150">
          <cell r="E2150">
            <v>6990738</v>
          </cell>
          <cell r="F2150" t="str">
            <v>INJERTO  ARTERIAL  RECTO  DE  35 MM. " BARONE "   (DE DACRON).</v>
          </cell>
          <cell r="G2150" t="str">
            <v>ELIM LIST OFICIAL</v>
          </cell>
        </row>
        <row r="2151">
          <cell r="E2151">
            <v>6990739</v>
          </cell>
          <cell r="F2151" t="str">
            <v>RAMIREZ WINGED SAF-T.SHUNT STERIL, CAT.S-314.</v>
          </cell>
          <cell r="G2151" t="str">
            <v>ELIM LIST OFICIAL</v>
          </cell>
        </row>
        <row r="2152">
          <cell r="E2152">
            <v>6990740</v>
          </cell>
          <cell r="F2152" t="str">
            <v>CONECTORES DE TEFLON CAT. C-500.</v>
          </cell>
          <cell r="G2152" t="str">
            <v>ELIM LIST OFICIAL</v>
          </cell>
        </row>
        <row r="2153">
          <cell r="E2153">
            <v>6990741</v>
          </cell>
          <cell r="F2153" t="str">
            <v>INTRODUCTOR DE CATETER MOD. DESTILET 1129  MARCA  VYGON.</v>
          </cell>
          <cell r="G2153" t="str">
            <v>ELIM LIST OFICIAL</v>
          </cell>
        </row>
        <row r="2154">
          <cell r="E2154">
            <v>6990742</v>
          </cell>
          <cell r="F2154" t="str">
            <v>ACERO INOXIDABLE P/CIRUGIA 0.40</v>
          </cell>
          <cell r="G2154" t="str">
            <v>ELIM LIST OFICIAL</v>
          </cell>
        </row>
        <row r="2155">
          <cell r="E2155">
            <v>6990743</v>
          </cell>
          <cell r="F2155" t="str">
            <v>*ELIMINADO. AGUJA PARA PUNCION EPIDURAL # 16, DE 31/2", PARED DELGADA, ESTERIL, TIPO TUOHY.</v>
          </cell>
          <cell r="G2155" t="str">
            <v>ELIM LIST OFICIAL</v>
          </cell>
        </row>
        <row r="2156">
          <cell r="E2156">
            <v>6990744</v>
          </cell>
          <cell r="F2156" t="str">
            <v>*ELIMINADO. AGUJA COPE # 11 DE 3" DE LONGITUD,  CON MANDRIL DESCARTABLE.</v>
          </cell>
          <cell r="G2156" t="str">
            <v>ELIM LIST OFICIAL</v>
          </cell>
        </row>
        <row r="2157">
          <cell r="E2157">
            <v>6990745</v>
          </cell>
          <cell r="F2157" t="str">
            <v>*ELIMINADO.AGUJA PARA INFUSION INTRAVENOSA # 18 DE 7/8",CON TUBO DE EXTENSION DE 12", TIPO MARIPOSA.</v>
          </cell>
          <cell r="G2157" t="str">
            <v>ELIM LIST OFICIAL</v>
          </cell>
        </row>
        <row r="2158">
          <cell r="E2158">
            <v>6990746</v>
          </cell>
          <cell r="F2158" t="str">
            <v>*ELIMINADO. AGUJA PARA INFUSION INTRAVENOSA # 16 DE 7/8",CON TUBO DE EXTENSION DE 12", TIPO MARIPOSA</v>
          </cell>
          <cell r="G2158" t="str">
            <v>ELIM LIST OFICIAL</v>
          </cell>
        </row>
        <row r="2159">
          <cell r="E2159">
            <v>6990747</v>
          </cell>
          <cell r="F2159" t="str">
            <v>*ELIMINADO. BOLSA ABIERTA, CON ANILLO SINTETICO RECORTABLE Y ADHESIVO MICROPORE, CON CLAMP, PARA ILEOSTOMIA.</v>
          </cell>
          <cell r="G2159" t="str">
            <v>ELIM LIST OFICIAL</v>
          </cell>
        </row>
        <row r="2160">
          <cell r="E2160">
            <v>6990748</v>
          </cell>
          <cell r="F2160" t="str">
            <v>*ELIMINADO. BOLSA DE HULE PARA AGUA CALIENTE, CON TAPON, DE 1 LITRO.</v>
          </cell>
          <cell r="G2160" t="str">
            <v>ELIM LIST OFICIAL</v>
          </cell>
        </row>
        <row r="2161">
          <cell r="E2161">
            <v>6990749</v>
          </cell>
          <cell r="F2161" t="str">
            <v>*ELIMINADO. BOLSA # 3 DE PAPEL CELOFAN, 5 1/2" X 3 1/2", PARA ESTERILIZAR MATERIAL.</v>
          </cell>
          <cell r="G2161" t="str">
            <v>ELIM LIST OFICIAL</v>
          </cell>
        </row>
        <row r="2162">
          <cell r="E2162">
            <v>6990750</v>
          </cell>
          <cell r="F2162" t="str">
            <v>*ELIMINADO. BOLSA # 5 DE PAPEL CELOFAN, 8 1/2" X 4 1/2", PARA ESTERILIZAR MATERIAL.</v>
          </cell>
          <cell r="G2162" t="str">
            <v>ELIM LIST OFICIAL</v>
          </cell>
        </row>
        <row r="2163">
          <cell r="E2163">
            <v>6990751</v>
          </cell>
          <cell r="F2163" t="str">
            <v>*ELIMINADO. COMPRESOR PARA MUÐECA, CON CIERRE VELCRO, EXTENSION DE HULE, CON ADAPTADOR METALICO.</v>
          </cell>
          <cell r="G2163" t="str">
            <v>ELIM LIST OFICIAL</v>
          </cell>
        </row>
        <row r="2164">
          <cell r="E2164">
            <v>6990752</v>
          </cell>
          <cell r="F2164" t="str">
            <v>CANULA VAGINAL, RECTA DESCARTABLE</v>
          </cell>
          <cell r="G2164" t="str">
            <v>ELIM LIST OFICIAL</v>
          </cell>
        </row>
        <row r="2165">
          <cell r="E2165">
            <v>6990753</v>
          </cell>
          <cell r="F2165" t="str">
            <v>*ELIMINADO. CANULA  NASOFARINGEA  DE  7 MM.,  DE  PLASTICO TRANSPARENTE, DE UNA VIA.</v>
          </cell>
          <cell r="G2165" t="str">
            <v>ELIM LIST OFICIAL</v>
          </cell>
        </row>
        <row r="2166">
          <cell r="E2166">
            <v>6990754</v>
          </cell>
          <cell r="F2166" t="str">
            <v>*ELIMINADO. CATETER PARA OXIGENO, CON EMBUDO, TRANSPARENTE, 8 AGUJEROS, SILICONIZADO, ESTERIL, 40 CM LARGO, CH.1 0 .</v>
          </cell>
          <cell r="G2166" t="str">
            <v>ELIM LIST OFICIAL</v>
          </cell>
        </row>
        <row r="2167">
          <cell r="E2167">
            <v>6990755</v>
          </cell>
          <cell r="F2167" t="str">
            <v>*ELIMINADO. CATETER PARA OXIGENO, CON EMBUDO, TRANSPARENTE 8 AGUJEROS, SILICONIZADO, ESTERIL, 40 CM.LARGO, CH. 1 2 .</v>
          </cell>
          <cell r="G2167" t="str">
            <v>ELIM LIST OFICIAL</v>
          </cell>
        </row>
        <row r="2168">
          <cell r="E2168">
            <v>6990756</v>
          </cell>
          <cell r="F2168" t="str">
            <v>*ELIMINADO. CATETER PARA OXIGENO, CON EMBUDO, TRANSPARENTE, 8 AGUJEROS, SILICONIZADO, ESTERIL, 40 CM LARGO, CH. 1 4 .</v>
          </cell>
          <cell r="G2168" t="str">
            <v>ELIM LIST OFICIAL</v>
          </cell>
        </row>
        <row r="2169">
          <cell r="E2169">
            <v>6990757</v>
          </cell>
          <cell r="F2169" t="str">
            <v>*ELIMINADO. CATETER PARA OXIGENO, CON EMBUDO, TRANSPARENTE 8 AGUJEROS, SILICONIZADO, ESTERIL, 40 CM.LARGO CH. 1 6 .</v>
          </cell>
          <cell r="G2169" t="str">
            <v>ELIM LIST OFICIAL</v>
          </cell>
        </row>
        <row r="2170">
          <cell r="E2170">
            <v>6990758</v>
          </cell>
          <cell r="F2170" t="str">
            <v>*ELIMINADO. CATETER VENTRICULAR, RADIOPACO, PUNTA CON FLAGELO Y CORTE TRANSVERSAL, TIPO PORTNOY.</v>
          </cell>
          <cell r="G2170" t="str">
            <v>ELIM LIST OFICIAL</v>
          </cell>
        </row>
        <row r="2171">
          <cell r="E2171">
            <v>6990759</v>
          </cell>
          <cell r="F2171" t="str">
            <v>*ELIMINADO. CEMENTO PARA DERMATOMO DE PADGETT*TIPO S, REGULAR</v>
          </cell>
          <cell r="G2171" t="str">
            <v>ELIM LIST OFICIAL</v>
          </cell>
        </row>
        <row r="2172">
          <cell r="E2172">
            <v>6990760</v>
          </cell>
          <cell r="F2172" t="str">
            <v>*ELIMINADO. CINTA UMBILICAL DE ALGODON,TRENZADA, DE 1/8" X 36"ESTERIL. (POR CAMBIO DE PRESENTACION SALE DE CUADRO Y SE INCORPORA CON CODIGO 700380)</v>
          </cell>
          <cell r="G2172" t="str">
            <v>ELIM LIST OFICIAL</v>
          </cell>
        </row>
        <row r="2173">
          <cell r="E2173">
            <v>6990761</v>
          </cell>
          <cell r="F2173" t="str">
            <v>*ELIMINADO. CUCHILLA PARA DERMATOMO DE PADGETT.</v>
          </cell>
          <cell r="G2173" t="str">
            <v>ELIM LIST OFICIAL</v>
          </cell>
        </row>
        <row r="2174">
          <cell r="E2174">
            <v>6990762</v>
          </cell>
          <cell r="F2174" t="str">
            <v>*ELIMINADO. CRYO EXTRACTOR DE CATARATA, DESCARTABLE, TIPO MILLER.</v>
          </cell>
          <cell r="G2174" t="str">
            <v>ELIM LIST OFICIAL</v>
          </cell>
        </row>
        <row r="2175">
          <cell r="E2175">
            <v>6990763</v>
          </cell>
          <cell r="F2175" t="str">
            <v>*ELIMINADO. ESPONJA DE GELATINA # 100 (GELFOAN)</v>
          </cell>
          <cell r="G2175" t="str">
            <v>ELIM LIST OFICIAL</v>
          </cell>
        </row>
        <row r="2176">
          <cell r="E2176">
            <v>6990764</v>
          </cell>
          <cell r="F2176" t="str">
            <v>*ELIMINADO. FILTRO PARA CARDIOTOMIA MODELO*PF-427,DESCARTABLE(BENTLEY)</v>
          </cell>
          <cell r="G2176" t="str">
            <v>ELIM LIST OFICIAL</v>
          </cell>
        </row>
        <row r="2177">
          <cell r="E2177">
            <v>6990765</v>
          </cell>
          <cell r="F2177" t="str">
            <v>*ELIMINADO.GASA QUIRURGICA 20 X 24 HILOS X PULGADA CUADRADA Y 36" DE ANCHO. (POR CAMBIO EN PRESENTACION SE INCORPORA CON CODIGO 700463)</v>
          </cell>
          <cell r="G2177" t="str">
            <v>ELIM LIST OFICIAL</v>
          </cell>
        </row>
        <row r="2178">
          <cell r="E2178">
            <v>6990766</v>
          </cell>
          <cell r="F2178" t="str">
            <v>*ELIMINADO.HOJA DE BISTURI # 10, INOXIDABLE, ESTERIL (POR CAMBIO EN PRESENTACION SE INCORPORA CON CODIGO 700553)</v>
          </cell>
          <cell r="G2178" t="str">
            <v>ELIM LIST OFICIAL</v>
          </cell>
        </row>
        <row r="2179">
          <cell r="E2179">
            <v>6990767</v>
          </cell>
          <cell r="F2179" t="str">
            <v>*ELIMINADO. HOJA DE BISTURI # 11, INOXIDABLE, ESTERIL. (POR CAMBIO DE PRESENTACION SE INCORPORA CON 700554)</v>
          </cell>
          <cell r="G2179" t="str">
            <v>ELIM LIST OFICIAL</v>
          </cell>
        </row>
        <row r="2180">
          <cell r="E2180">
            <v>6990768</v>
          </cell>
          <cell r="F2180" t="str">
            <v>*ELIMINADO. HOJA DE BISTURI # 12, INOXIDABLE, ESTERIL. (POR CAMBIO DE PRESENTACION PASA A CODIGO 700555)</v>
          </cell>
          <cell r="G2180" t="str">
            <v>ELIM LIST OFICIAL</v>
          </cell>
        </row>
        <row r="2181">
          <cell r="E2181">
            <v>6990769</v>
          </cell>
          <cell r="F2181" t="str">
            <v>*ELIMINADO. HOJA DE BISTURI # 15, INOXIDABLE, ESTERIL (POR CAMBIO DE PRESENT.SE INCORPORA CON CODIGO 700556)</v>
          </cell>
          <cell r="G2181" t="str">
            <v>ELIM LIST OFICIAL</v>
          </cell>
        </row>
        <row r="2182">
          <cell r="E2182">
            <v>6990770</v>
          </cell>
          <cell r="F2182" t="str">
            <v>*ELIMINADO. HOJA DE BISTURI # 20, INOXIDABLE, ESTERIL (POR CAMBIO DE PRESENT.SE INCORPORA CON CODIGO 700557)</v>
          </cell>
          <cell r="G2182" t="str">
            <v>ELIM LIST OFICIAL</v>
          </cell>
        </row>
        <row r="2183">
          <cell r="E2183">
            <v>6990771</v>
          </cell>
          <cell r="F2183" t="str">
            <v>*ELIMINADO. HOJA DE BISTURI # 21, INOXIDABLE, ESTERIL (POR CAMBIO DE PRESENTACION SE INCORPORA CON CODIGO 700558)</v>
          </cell>
          <cell r="G2183" t="str">
            <v>ELIM LIST OFICIAL</v>
          </cell>
        </row>
        <row r="2184">
          <cell r="E2184">
            <v>6990772</v>
          </cell>
          <cell r="F2184" t="str">
            <v>*ELIMINADO. HOJA DE BISTURI # 22, INOXIDABLE, ESTERIL. (POR CAMBIO DE PRESENT.SE INCORPORA CON CODIGO 700559)</v>
          </cell>
          <cell r="G2184" t="str">
            <v>ELIM LIST OFICIAL</v>
          </cell>
        </row>
        <row r="2185">
          <cell r="E2185">
            <v>6990773</v>
          </cell>
          <cell r="F2185" t="str">
            <v>*ELIMINADO. HOJA DE BISTURI # 23, INOXIDABLE, ESTERIL. (POR CAMBIO DE PRESENT.SE INCORPORA CON CODIGO 700560)</v>
          </cell>
          <cell r="G2185" t="str">
            <v>ELIM LIST OFICIAL</v>
          </cell>
        </row>
        <row r="2186">
          <cell r="E2186">
            <v>6990774</v>
          </cell>
          <cell r="F2186" t="str">
            <v>*ELIMINADO. HOJA DE BISTURI # 24, INOXIDABLE, ESTERIL. (POR CAMBIO DE PRESENT.SE INCORPORA CON CODIGO 700561)</v>
          </cell>
          <cell r="G2186" t="str">
            <v>ELIM LIST OFICIAL</v>
          </cell>
        </row>
        <row r="2187">
          <cell r="E2187">
            <v>6990775</v>
          </cell>
          <cell r="F2187" t="str">
            <v>*ELIMINADO. HULE CON SILICON 2 3/4" X 4 1/2"*#801 (SILASTIC)</v>
          </cell>
          <cell r="G2187" t="str">
            <v>ELIM LIST OFICIAL</v>
          </cell>
        </row>
        <row r="2188">
          <cell r="E2188">
            <v>6990776</v>
          </cell>
          <cell r="F2188" t="str">
            <v>*ELIMINADO. HULE CON SILICON 2 3/4" X 4 1/2"*#802 (SILASTIC)</v>
          </cell>
          <cell r="G2188" t="str">
            <v>ELIM LIST OFICIAL</v>
          </cell>
        </row>
        <row r="2189">
          <cell r="E2189">
            <v>6990777</v>
          </cell>
          <cell r="F2189" t="str">
            <v>*ELIMINADO. HULE CON SILICON 2 3/4" X 4 1/2"*#803 (SILASTIC)</v>
          </cell>
          <cell r="G2189" t="str">
            <v>ELIM LIST OFICIAL</v>
          </cell>
        </row>
        <row r="2190">
          <cell r="E2190">
            <v>6990778</v>
          </cell>
          <cell r="F2190" t="str">
            <v>*ELIMINADO. INJERTO ARTERIAL BIFURCADO DE BAKEY,19 MM X 9.5 MM DACRON.</v>
          </cell>
          <cell r="G2190" t="str">
            <v>ELIM LIST OFICIAL</v>
          </cell>
        </row>
        <row r="2191">
          <cell r="E2191">
            <v>6990779</v>
          </cell>
          <cell r="F2191" t="str">
            <v>*ELIMINADO. INJERTO ARTERIAL BIFURCADO DE BAKEY, 22 MM X 11 MM DACRON.</v>
          </cell>
          <cell r="G2191" t="str">
            <v>ELIM LIST OFICIAL</v>
          </cell>
        </row>
        <row r="2192">
          <cell r="E2192">
            <v>6990780</v>
          </cell>
          <cell r="F2192" t="str">
            <v>*ELIMINADO.INJERTO ARTERIAL BIFURCADO DE BAKEY, 25MM X 12.5 MM DACRON.</v>
          </cell>
          <cell r="G2192" t="str">
            <v>ELIM LIST OFICIAL</v>
          </cell>
        </row>
        <row r="2193">
          <cell r="E2193">
            <v>6990781</v>
          </cell>
          <cell r="F2193" t="str">
            <v>*ELIMINADO.INJERTO ARTERIAL RECTO (VASCULAR PROTESIS) COOLEY 60 MM. X 20 MM., DACRON.</v>
          </cell>
          <cell r="G2193" t="str">
            <v>ELIM LIST OFICIAL</v>
          </cell>
        </row>
        <row r="2194">
          <cell r="E2194">
            <v>6990782</v>
          </cell>
          <cell r="F2194" t="str">
            <v>*ELIMINADO. INJERTO OSEO ESPONJOSO KIEL (TIPO * BRAUN 102-253)CUNA PARA OSTEOTOMIA</v>
          </cell>
          <cell r="G2194" t="str">
            <v>ELIM LIST OFICIAL</v>
          </cell>
        </row>
        <row r="2195">
          <cell r="E2195">
            <v>6990783</v>
          </cell>
          <cell r="F2195" t="str">
            <v>*ELIMINADO. INJERTO OSEO ESPONJOSO KIEL (TIPO * BRAUN 102-255)CUNA PARA OSTEOTOMIA</v>
          </cell>
          <cell r="G2195" t="str">
            <v>ELIM LIST OFICIAL</v>
          </cell>
        </row>
        <row r="2196">
          <cell r="E2196">
            <v>6990784</v>
          </cell>
          <cell r="F2196" t="str">
            <v>*ELIMINADO. INJERTO OSEO ESPONJOSO KIEL (TIPO * BRAUN 102-100) CUNA PARA OSTEOTOMIA</v>
          </cell>
          <cell r="G2196" t="str">
            <v>ELIM LIST OFICIAL</v>
          </cell>
        </row>
        <row r="2197">
          <cell r="E2197">
            <v>6990785</v>
          </cell>
          <cell r="F2197" t="str">
            <v>*ELIMINADO. JERINGA CATETER CON ADAPTADOR METALICO DE 2 ONZAS, DE VIDRIO.</v>
          </cell>
          <cell r="G2197" t="str">
            <v>ELIM LIST OFICIAL</v>
          </cell>
        </row>
        <row r="2198">
          <cell r="E2198">
            <v>6990786</v>
          </cell>
          <cell r="F2198" t="str">
            <v>*ELIMINADO. JERINGA CON ADAPTADOR LUER LOK,DE VIDRIO, DE 2 O 3 CC.</v>
          </cell>
          <cell r="G2198" t="str">
            <v>ELIM LIST OFICIAL</v>
          </cell>
        </row>
        <row r="2199">
          <cell r="E2199">
            <v>6990787</v>
          </cell>
          <cell r="F2199" t="str">
            <v>*ELIMINADO. JERINGA CON ADAPTADOR LUER LOK, DE VIDRIO, DE 5 CC</v>
          </cell>
          <cell r="G2199" t="str">
            <v>ELIM LIST OFICIAL</v>
          </cell>
        </row>
        <row r="2200">
          <cell r="E2200">
            <v>6990788</v>
          </cell>
          <cell r="F2200" t="str">
            <v>*ELIMINADO. JERINGA CON ADAPTADOR LUER LOK, DE VIDRIO, DE 10 CC</v>
          </cell>
          <cell r="G2200" t="str">
            <v>ELIM LIST OFICIAL</v>
          </cell>
        </row>
        <row r="2201">
          <cell r="E2201">
            <v>6990789</v>
          </cell>
          <cell r="F2201" t="str">
            <v>*ELIMINADO. JERINGA CON ADAPTADOR LUER LOK, DE VIDRIO, DE 20 CC</v>
          </cell>
          <cell r="G2201" t="str">
            <v>ELIM LIST OFICIAL</v>
          </cell>
        </row>
        <row r="2202">
          <cell r="E2202">
            <v>6990790</v>
          </cell>
          <cell r="F2202" t="str">
            <v>*ELIMINADO. JERINGA CON ADAPTADOR LUER LOK, DE VIDRIO, DE 50 CC</v>
          </cell>
          <cell r="G2202" t="str">
            <v>ELIM LIST OFICIAL</v>
          </cell>
        </row>
        <row r="2203">
          <cell r="E2203">
            <v>6990791</v>
          </cell>
          <cell r="F2203" t="str">
            <v>*ELIMINADO. JERINGA CON ADAPTADOR LUER LOK,DE VIDRIO, DE 100 CC</v>
          </cell>
          <cell r="G2203" t="str">
            <v>ELIM LIST OFICIAL</v>
          </cell>
        </row>
        <row r="2204">
          <cell r="E2204">
            <v>6990792</v>
          </cell>
          <cell r="F2204" t="str">
            <v>*ELIMINADO. OXIGENADOR  SANGUINEO  DE  MEMBRANA  PARA ADULTO, DESCARTABLE, MODELO TRAVENOL.</v>
          </cell>
          <cell r="G2204" t="str">
            <v>ELIM LIST OFICIAL</v>
          </cell>
        </row>
        <row r="2205">
          <cell r="E2205">
            <v>6990793</v>
          </cell>
          <cell r="F2205" t="str">
            <v>*ELIMINADO. SONDA LEE # 10, TRANSPARENTE.</v>
          </cell>
          <cell r="G2205" t="str">
            <v>ELIM LIST OFICIAL</v>
          </cell>
        </row>
        <row r="2206">
          <cell r="E2206">
            <v>6990794</v>
          </cell>
          <cell r="F2206" t="str">
            <v>*ELIMINADO. SONDA LEE # 12, TRANSPARENTE.</v>
          </cell>
          <cell r="G2206" t="str">
            <v>ELIM LIST OFICIAL</v>
          </cell>
        </row>
        <row r="2207">
          <cell r="E2207">
            <v>6990795</v>
          </cell>
          <cell r="F2207" t="str">
            <v>*ELIMINADO. SONDA LEE # 14, TRANSPARENTE.</v>
          </cell>
          <cell r="G2207" t="str">
            <v>ELIM LIST OFICIAL</v>
          </cell>
        </row>
        <row r="2208">
          <cell r="E2208">
            <v>6990796</v>
          </cell>
          <cell r="F2208" t="str">
            <v>*ELIMINADO. SONDA LEE # 16, TRANSPARENTE.</v>
          </cell>
          <cell r="G2208" t="str">
            <v>ELIM LIST OFICIAL</v>
          </cell>
        </row>
        <row r="2209">
          <cell r="E2209">
            <v>6990797</v>
          </cell>
          <cell r="F2209" t="str">
            <v>*ELIMINADO. SONDA LEE # 18, TRANSPARENTE.</v>
          </cell>
          <cell r="G2209" t="str">
            <v>ELIM LIST OFICIAL</v>
          </cell>
        </row>
        <row r="2210">
          <cell r="E2210">
            <v>6990798</v>
          </cell>
          <cell r="F2210" t="str">
            <v>*ELIMINADO. SONDA LEE # 20, TRANSPARENTE.</v>
          </cell>
          <cell r="G2210" t="str">
            <v>ELIM LIST OFICIAL</v>
          </cell>
        </row>
        <row r="2211">
          <cell r="E2211">
            <v>6990799</v>
          </cell>
          <cell r="F2211" t="str">
            <v>*ELIMINADO. SONDA LEE # 22, TRANSPARENTE.</v>
          </cell>
          <cell r="G2211" t="str">
            <v>ELIM LIST OFICIAL</v>
          </cell>
        </row>
        <row r="2212">
          <cell r="E2212">
            <v>6990800</v>
          </cell>
          <cell r="F2212" t="str">
            <v>*ELIMINADO. SONDA MALECOT # 24, DE 2 1/2", ACODADA, DE HULE.</v>
          </cell>
          <cell r="G2212" t="str">
            <v>ELIM LIST OFICIAL</v>
          </cell>
        </row>
        <row r="2213">
          <cell r="E2213">
            <v>6990801</v>
          </cell>
          <cell r="F2213" t="str">
            <v>*ELIMINADO. SONDA MALECOT # 28, DE 4", ACODADA, DE HULE.</v>
          </cell>
          <cell r="G2213" t="str">
            <v>ELIM LIST OFICIAL</v>
          </cell>
        </row>
        <row r="2214">
          <cell r="E2214">
            <v>6990802</v>
          </cell>
          <cell r="F2214" t="str">
            <v>*ELIMINADO. SONDA MALECOT # 30, DE 3",    ACODADA,DE HULE</v>
          </cell>
          <cell r="G2214" t="str">
            <v>ELIM LIST OFICIAL</v>
          </cell>
        </row>
        <row r="2215">
          <cell r="E2215">
            <v>6990803</v>
          </cell>
          <cell r="F2215" t="str">
            <v>*ELIMINADO. SONDA MALECOT # 32, DE 3",    ACODADA,DE HULE</v>
          </cell>
          <cell r="G2215" t="str">
            <v>ELIM LIST OFICIAL</v>
          </cell>
        </row>
        <row r="2216">
          <cell r="E2216">
            <v>6990804</v>
          </cell>
          <cell r="F2216" t="str">
            <v>*ELIMINADO. SONDA MALECOT # 34, DE 3 1/2", ACODADADE HULE</v>
          </cell>
          <cell r="G2216" t="str">
            <v>ELIM LIST OFICIAL</v>
          </cell>
        </row>
        <row r="2217">
          <cell r="E2217">
            <v>6990805</v>
          </cell>
          <cell r="F2217" t="str">
            <v>*ELIMINADO. SONDA PEZZER # 22, ACODADA, DE HULE.</v>
          </cell>
          <cell r="G2217" t="str">
            <v>ELIM LIST OFICIAL</v>
          </cell>
        </row>
        <row r="2218">
          <cell r="E2218">
            <v>6990806</v>
          </cell>
          <cell r="F2218" t="str">
            <v>*ELIMINADO. SONDA PEZZER # 24, ACODADA, DE HULE.</v>
          </cell>
          <cell r="G2218" t="str">
            <v>ELIM LIST OFICIAL</v>
          </cell>
        </row>
        <row r="2219">
          <cell r="E2219">
            <v>6990807</v>
          </cell>
          <cell r="F2219" t="str">
            <v>*ELIMINADO. TUBO TESTIGO, PARA ESTERILIZACION*EN AUTOCLAVE.</v>
          </cell>
          <cell r="G2219" t="str">
            <v>ELIM LIST OFICIAL</v>
          </cell>
        </row>
        <row r="2220">
          <cell r="E2220">
            <v>6990808</v>
          </cell>
          <cell r="F2220" t="str">
            <v>*ELIMINADO. TUBO, CATETER TORACICO RECTO, # 24,*DESCARTABLE.</v>
          </cell>
          <cell r="G2220" t="str">
            <v>ELIM LIST OFICIAL</v>
          </cell>
        </row>
        <row r="2221">
          <cell r="E2221">
            <v>6990809</v>
          </cell>
          <cell r="F2221" t="str">
            <v>*ELIMINADO.TUBO CONECTOR EN Y, DE 3/16",*PLASTICO.</v>
          </cell>
          <cell r="G2221" t="str">
            <v>ELIM LIST OFICIAL</v>
          </cell>
        </row>
        <row r="2222">
          <cell r="E2222">
            <v>6990810</v>
          </cell>
          <cell r="F2222" t="str">
            <v>*ELIMINADO. TUBO CONECTOR DE VIDRIO EN Y, 1/4" * DE DIAMETRO INTERNO.</v>
          </cell>
          <cell r="G2222" t="str">
            <v>ELIM LIST OFICIAL</v>
          </cell>
        </row>
        <row r="2223">
          <cell r="E2223">
            <v>6990811</v>
          </cell>
          <cell r="F2223" t="str">
            <v>*ELIMINADO. TUBO CONECTOR DE VIDRIO EN Y, 3/8" * DE DIAMETRO INTERNO.</v>
          </cell>
          <cell r="G2223" t="str">
            <v>ELIM LIST OFICIAL</v>
          </cell>
        </row>
        <row r="2224">
          <cell r="E2224">
            <v>6990812</v>
          </cell>
          <cell r="F2224" t="str">
            <v>*ELIMINADO. TUBO CONECTOR DE VIDRIO EN Y, 5/16 * DE DIAMETRO INTERNO.</v>
          </cell>
          <cell r="G2224" t="str">
            <v>ELIM LIST OFICIAL</v>
          </cell>
        </row>
        <row r="2225">
          <cell r="E2225">
            <v>6990813</v>
          </cell>
          <cell r="F2225" t="str">
            <v>*ELIMINADO. TUBO DE DRENAJE PARA OIDO SHEPARD,*0.40 X 1 MM DE TEFLON SIN ALAMBRE</v>
          </cell>
          <cell r="G2225" t="str">
            <v>ELIM LIST OFICIAL</v>
          </cell>
        </row>
        <row r="2226">
          <cell r="E2226">
            <v>6990814</v>
          </cell>
          <cell r="F2226" t="str">
            <v>*ELIMINADO. TUBO DE DRENAJE SARATOGA # 34, DE*20",DESCARTABLE.</v>
          </cell>
          <cell r="G2226" t="str">
            <v>ELIM LIST OFICIAL</v>
          </cell>
        </row>
        <row r="2227">
          <cell r="E2227">
            <v>6990815</v>
          </cell>
          <cell r="F2227" t="str">
            <v>*ELIMINADO. TUBO DE HULE PARA IRRIGADOR 9/32 X*3/64 DE 5 PIES</v>
          </cell>
          <cell r="G2227" t="str">
            <v>ELIM LIST OFICIAL</v>
          </cell>
        </row>
        <row r="2228">
          <cell r="E2228">
            <v>6990816</v>
          </cell>
          <cell r="F2228" t="str">
            <v>EN CONSULTORIO YA NO TIENE CONSUMO ELIMINADO. TUBO FLEXIBLE TYGON  1/2" X 11/16" X 3/32", DE 50 PIES (APROXIMADO)</v>
          </cell>
          <cell r="G2228" t="str">
            <v>ELIM LIST OFICIAL</v>
          </cell>
        </row>
        <row r="2229">
          <cell r="E2229">
            <v>6990817</v>
          </cell>
          <cell r="F2229" t="str">
            <v>*ELIMINADO. TUBO PARA DRENAJE DE ORINA 9/32" X*60", DESCARTABLE</v>
          </cell>
          <cell r="G2229" t="str">
            <v>ELIM LIST OFICIAL</v>
          </cell>
        </row>
        <row r="2230">
          <cell r="E2230">
            <v>6990818</v>
          </cell>
          <cell r="F2230" t="str">
            <v>*ELIMINADO. VENDA ADHESIVA ELASTICA 2" (TIPO*ELASTICON)</v>
          </cell>
          <cell r="G2230" t="str">
            <v>ELIM LIST OFICIAL</v>
          </cell>
        </row>
        <row r="2231">
          <cell r="E2231">
            <v>6990819</v>
          </cell>
          <cell r="F2231" t="str">
            <v>*ELIMINADO. CUELLO CERVICAL, BLANDO, AJUSTABLE, GRANDE, CON CIERRE VELCRO.</v>
          </cell>
          <cell r="G2231" t="str">
            <v>ELIM LIST OFICIAL</v>
          </cell>
        </row>
        <row r="2232">
          <cell r="E2232">
            <v>6990820</v>
          </cell>
          <cell r="F2232" t="str">
            <v>*ELIMINADO.CATETER PARA ANGIOGRAFIA PIGTAIL NYCORE, LONGITUD 65 CM., FR.7 .</v>
          </cell>
          <cell r="G2232" t="str">
            <v>ELIM LIST OFICIAL</v>
          </cell>
        </row>
        <row r="2233">
          <cell r="E2233">
            <v>6990821</v>
          </cell>
          <cell r="F2233" t="str">
            <v>*ELIMINADO.SONDA PEZZER # 22, RECTA,   DE HULE.</v>
          </cell>
          <cell r="G2233" t="str">
            <v>ELIM LIST OFICIAL</v>
          </cell>
        </row>
        <row r="2234">
          <cell r="E2234">
            <v>6990822</v>
          </cell>
          <cell r="F2234" t="str">
            <v>*ELIMINADO. SONDA PEZZER # 24, RECTA,   DE HULE.</v>
          </cell>
          <cell r="G2234" t="str">
            <v>ELIM LIST OFICIAL</v>
          </cell>
        </row>
        <row r="2235">
          <cell r="E2235">
            <v>6990823</v>
          </cell>
          <cell r="F2235" t="str">
            <v>*ELIMINADO.BOLSA ABIERTA, CON ANILLO DE KARAYA Y ADHESIVO MICROPORE, CON CLAMP DE 2 1/2", PARA ILEOSTOMIA.</v>
          </cell>
          <cell r="G2235" t="str">
            <v>ELIM LIST OFICIAL</v>
          </cell>
        </row>
        <row r="2236">
          <cell r="E2236">
            <v>6990824</v>
          </cell>
          <cell r="F2236" t="str">
            <v>*ELIMINADO.AGUJA PERICRANEAL 25</v>
          </cell>
          <cell r="G2236" t="str">
            <v>ELIM LIST OFICIAL</v>
          </cell>
        </row>
        <row r="2237">
          <cell r="E2237">
            <v>6990825</v>
          </cell>
          <cell r="F2237" t="str">
            <v>*ELIMINADO.ELECTRODO PARA MONITOR CARDIACO PORTATIL.</v>
          </cell>
          <cell r="G2237" t="str">
            <v>ELIM LIST OFICIAL</v>
          </cell>
        </row>
        <row r="2238">
          <cell r="E2238">
            <v>6990826</v>
          </cell>
          <cell r="F2238" t="str">
            <v>*ELIMINADO.TUBO ENDOTRAQUEAL ORAL DE HULE, CON BALON 5.5 MM</v>
          </cell>
          <cell r="G2238" t="str">
            <v>ELIM LIST OFICIAL</v>
          </cell>
        </row>
        <row r="2239">
          <cell r="E2239">
            <v>6990827</v>
          </cell>
          <cell r="F2239" t="str">
            <v>FIJADOR DE 2 1/2 GALON EN POLVO</v>
          </cell>
          <cell r="G2239" t="str">
            <v>ELIM LIST OFICIAL</v>
          </cell>
        </row>
        <row r="2240">
          <cell r="E2240">
            <v>6990828</v>
          </cell>
          <cell r="F2240" t="str">
            <v>REVELADOR PARA 2 1/2 GALON.</v>
          </cell>
          <cell r="G2240" t="str">
            <v>ELIM LIST OFICIAL</v>
          </cell>
        </row>
        <row r="2241">
          <cell r="E2241">
            <v>6990829</v>
          </cell>
          <cell r="F2241" t="str">
            <v>*ELIMINADO.FIJADOR EN POLVO PARA PROCESO DE REVELADO DE 5 GALONES (APROXIMADO).</v>
          </cell>
          <cell r="G2241" t="str">
            <v>ELIM LIST OFICIAL</v>
          </cell>
        </row>
        <row r="2242">
          <cell r="E2242">
            <v>6990830</v>
          </cell>
          <cell r="F2242" t="str">
            <v>*ELIMINADO.FIJADOR REFORZADOR PROCESO AUTOMATICO,EN PRESENTACION DE 20 GALONES O SU EQUIVALENTE EN  LITROS  (APROXIMADO)</v>
          </cell>
          <cell r="G2242" t="str">
            <v>ELIM LIST OFICIAL</v>
          </cell>
        </row>
        <row r="2243">
          <cell r="E2243">
            <v>6990831</v>
          </cell>
          <cell r="F2243" t="str">
            <v>*ELIMINADO.PELICULA RADIOGRAFICA PARA MAMOGRAFIA DE ALTA RESOLUCION DE UNA SOLA EMULSION,P/PROCESO AUTOMAT.DE 120 SEGUNDOS DE 18 X 24 CMS. (APROXIMADO</v>
          </cell>
          <cell r="G2243" t="str">
            <v>ELIM LIST OFICIAL</v>
          </cell>
        </row>
        <row r="2244">
          <cell r="E2244">
            <v>6990832</v>
          </cell>
          <cell r="F2244" t="str">
            <v>*ELIMINADO.REVELADOR  EN  POLVO  PARA  PROCESO  MA GALONES (APROXIMADO)</v>
          </cell>
          <cell r="G2244" t="str">
            <v>ELIM LIST OFICIAL</v>
          </cell>
        </row>
        <row r="2245">
          <cell r="E2245">
            <v>6990833</v>
          </cell>
          <cell r="F2245" t="str">
            <v>*ELIMINADO.REVELADOR REFORZADOR PROCESO AUTOMAT.EN PRESENTACION DE 20 GALONES O SU EQUIVALENTE EN   LITROS</v>
          </cell>
          <cell r="G2245" t="str">
            <v>ELIM LIST OFICIAL</v>
          </cell>
        </row>
        <row r="2246">
          <cell r="E2246">
            <v>6990834</v>
          </cell>
          <cell r="F2246" t="str">
            <v>*ELIMINADO.MEDIO DE CONTRASTE PARA EL USO DE ANGIOGRAFIA CORONARIA Y CATETERISMO CARDIACO EN ADULTOS Y NIÐOS.</v>
          </cell>
          <cell r="G2246" t="str">
            <v>ELIM LIST OFICIAL</v>
          </cell>
        </row>
        <row r="2247">
          <cell r="E2247">
            <v>6990835</v>
          </cell>
          <cell r="F2247" t="str">
            <v>*ELIMINADO.MEDIO DE CONTRASTE YODADO AL 60 %, PARA USO ENDOVENOSO, ARTERIAL Y PROCEDIMIENTOS UROLOGICOS.</v>
          </cell>
          <cell r="G2247" t="str">
            <v>ELIM LIST OFICIAL</v>
          </cell>
        </row>
        <row r="2248">
          <cell r="E2248">
            <v>6990836</v>
          </cell>
          <cell r="F2248" t="str">
            <v>*ELIMINADO.MEDIO DE CONTRASTE YODADO PARA ESTUDIO DE VIAS BILIARES, VIA ORAL.</v>
          </cell>
          <cell r="G2248" t="str">
            <v>ELIM LIST OFICIAL</v>
          </cell>
        </row>
        <row r="2249">
          <cell r="E2249">
            <v>6990837</v>
          </cell>
          <cell r="F2249" t="str">
            <v>*ELIMINADO.MEDIO DE CONTRASTE YODADO PARA ESTUDIO DE VIAS BILIARES, VIA ENDOVENOSA.</v>
          </cell>
          <cell r="G2249" t="str">
            <v>ELIM LIST OFICIAL</v>
          </cell>
        </row>
        <row r="2250">
          <cell r="E2250">
            <v>6990838</v>
          </cell>
          <cell r="F2250" t="str">
            <v>*ELIMINADO.MEDIO DE CONTRASTE YODADO, HIDROSOLUBLE, PARA ESTUDIO DE MEDULA ESPINAL.</v>
          </cell>
          <cell r="G2250" t="str">
            <v>ELIM LIST OFICIAL</v>
          </cell>
        </row>
        <row r="2251">
          <cell r="E2251">
            <v>6990839</v>
          </cell>
          <cell r="F2251" t="str">
            <v>*ELIMINADO.SULFATO DE BARIO, SUSPENSION CONCENTRADA PARA TOMOGRAFIA AXIAL COMPUTARIZADA.</v>
          </cell>
          <cell r="G2251" t="str">
            <v>ELIM LIST OFICIAL</v>
          </cell>
        </row>
        <row r="2252">
          <cell r="E2252">
            <v>6990840</v>
          </cell>
          <cell r="F2252" t="str">
            <v>ADAPTADOR PEARSON PARA FERULA,DE*THOMAS, PARA PIERNA DE ADULTO.</v>
          </cell>
          <cell r="G2252" t="str">
            <v>ELIM LIST OFICIAL</v>
          </cell>
        </row>
        <row r="2253">
          <cell r="E2253">
            <v>6990841</v>
          </cell>
          <cell r="F2253" t="str">
            <v>ESPEJO FRONTAL CON SU BANDA.</v>
          </cell>
          <cell r="G2253" t="str">
            <v>ELIM LIST OFICIAL</v>
          </cell>
        </row>
        <row r="2254">
          <cell r="E2254">
            <v>6990842</v>
          </cell>
          <cell r="F2254" t="str">
            <v>ESTETOSCOPIO ESOFAGICO 24 FR. .315"*DIAMETRO (MEDIANO).</v>
          </cell>
          <cell r="G2254" t="str">
            <v>ELIM LIST OFICIAL</v>
          </cell>
        </row>
        <row r="2255">
          <cell r="E2255">
            <v>6990843</v>
          </cell>
          <cell r="F2255" t="str">
            <v>ESTETOSCOPIO OBSTETRICO DE LEE *HILLIS.</v>
          </cell>
          <cell r="G2255" t="str">
            <v>ELIM LIST OFICIAL</v>
          </cell>
        </row>
        <row r="2256">
          <cell r="E2256">
            <v>6990844</v>
          </cell>
          <cell r="F2256" t="str">
            <v>OTO OFTALMOSCOPIO DE BATERIA.</v>
          </cell>
          <cell r="G2256" t="str">
            <v>ELIM LIST OFICIAL</v>
          </cell>
        </row>
        <row r="2257">
          <cell r="E2257">
            <v>6990845</v>
          </cell>
          <cell r="F2257" t="str">
            <v>VASO DE ACERO INOXIDABLE, PARA PACIENTE ENCAMADO.</v>
          </cell>
          <cell r="G2257" t="str">
            <v>ELIM LIST OFICIAL</v>
          </cell>
        </row>
        <row r="2258">
          <cell r="E2258">
            <v>6990846</v>
          </cell>
          <cell r="F2258" t="str">
            <v>*ELIMINADO.BANDEJA INOXIDABLE DE 21 1/4" X 16 1/4" X 7/8"(APROXIMADO), PARA MESA MAYO.</v>
          </cell>
          <cell r="G2258" t="str">
            <v>ELIM LIST OFICIAL</v>
          </cell>
        </row>
        <row r="2259">
          <cell r="E2259">
            <v>6990847</v>
          </cell>
          <cell r="F2259" t="str">
            <v>*ELIMINADO.COPA INOXIDABLE PARA ALIMENTACION*(PISTELA)</v>
          </cell>
          <cell r="G2259" t="str">
            <v>ELIM LIST OFICIAL</v>
          </cell>
        </row>
        <row r="2260">
          <cell r="E2260">
            <v>6990848</v>
          </cell>
          <cell r="F2260" t="str">
            <v>*ELIMINADO.ESCUDILLA INOXIDABLE DE 3 1/2" X 2" (APROX.)</v>
          </cell>
          <cell r="G2260" t="str">
            <v>ELIM LIST OFICIAL</v>
          </cell>
        </row>
        <row r="2261">
          <cell r="E2261">
            <v>6990849</v>
          </cell>
          <cell r="F2261" t="str">
            <v>*ELIMINADO.PICHEL INOXIDABLE DE 1 LITRO, CON*TAPADERA.</v>
          </cell>
          <cell r="G2261" t="str">
            <v>ELIM LIST OFICIAL</v>
          </cell>
        </row>
        <row r="2262">
          <cell r="E2262">
            <v>6990850</v>
          </cell>
          <cell r="F2262" t="str">
            <v>*ELIMINADO.PICHEL INOXIDABLE DE 5 LITROS, SIN*TAPADERA</v>
          </cell>
          <cell r="G2262" t="str">
            <v>ELIM LIST OFICIAL</v>
          </cell>
        </row>
        <row r="2263">
          <cell r="E2263">
            <v>6990851</v>
          </cell>
          <cell r="F2263" t="str">
            <v>*ELIMINADO.RECIPIENTE CON TAPADERA INOXIDABLE,* PARA AGUA DE PACIENTE.</v>
          </cell>
          <cell r="G2263" t="str">
            <v>ELIM LIST OFICIAL</v>
          </cell>
        </row>
        <row r="2264">
          <cell r="E2264">
            <v>6990852</v>
          </cell>
          <cell r="F2264" t="str">
            <v>*ELIMINADO.VASIJA ARRINONADA, INOXIDABLE 6 1/2" X 3 1/2" X 1 1/2" (APROXIMADO).</v>
          </cell>
          <cell r="G2264" t="str">
            <v>ELIM LIST OFICIAL</v>
          </cell>
        </row>
        <row r="2265">
          <cell r="E2265">
            <v>6990853</v>
          </cell>
          <cell r="F2265" t="str">
            <v>*ELIMINADO.VASIJA ARRIÐONADA, INOXIDABLE, 10" X 4 1/2" X 2"(APROXIMADO).</v>
          </cell>
          <cell r="G2265" t="str">
            <v>ELIM LIST OFICIAL</v>
          </cell>
        </row>
        <row r="2266">
          <cell r="E2266">
            <v>6990854</v>
          </cell>
          <cell r="F2266" t="str">
            <v>*ELIMINADO.VASIJA ARRIÐONADA, INOXIDABLE, CON TAPADERA, 5 5/8"X 3 2/8" X 2" (APROXIMADO).</v>
          </cell>
          <cell r="G2266" t="str">
            <v>ELIM LIST OFICIAL</v>
          </cell>
        </row>
        <row r="2267">
          <cell r="E2267">
            <v>6990855</v>
          </cell>
          <cell r="F2267" t="str">
            <v>*ELIMINADO.VASIJA INOXIDABLE, CON TAPADERA, 8 1/2"X 3" X 1 1/2" (APROXIMADO).</v>
          </cell>
          <cell r="G2267" t="str">
            <v>ELIM LIST OFICIAL</v>
          </cell>
        </row>
        <row r="2268">
          <cell r="E2268">
            <v>6990856</v>
          </cell>
          <cell r="F2268" t="str">
            <v>*ELIMINADO.VASIJA INOXIDABLE,CON TAPADERA DE PRESION, 10 3/4" X 13" (APROXIMADO).</v>
          </cell>
          <cell r="G2268" t="str">
            <v>ELIM LIST OFICIAL</v>
          </cell>
        </row>
        <row r="2269">
          <cell r="E2269">
            <v>6990857</v>
          </cell>
          <cell r="F2269" t="str">
            <v>*ELIMINADO.VASIJA INOXIDABLE, CON TAPADERA, 12 1/2" X 3 5/8" X 1 3/4" (APROXIMADO).</v>
          </cell>
          <cell r="G2269" t="str">
            <v>ELIM LIST OFICIAL</v>
          </cell>
        </row>
        <row r="2270">
          <cell r="E2270">
            <v>6990858</v>
          </cell>
          <cell r="F2270" t="str">
            <v>*ELIMINADO.VASIJA INOXIDABLE, CON TAPADERA, 17" X 4" X 2"(APROXIMADO).</v>
          </cell>
          <cell r="G2270" t="str">
            <v>ELIM LIST OFICIAL</v>
          </cell>
        </row>
        <row r="2271">
          <cell r="E2271">
            <v>6990859</v>
          </cell>
          <cell r="F2271" t="str">
            <v>*ELIMINADO.PAPEL GRAFICADOR PARA MONITOR DE 3 CANALES PREDOBLADO, TIPO QUINTON.</v>
          </cell>
          <cell r="G2271" t="str">
            <v>ELIM LIST OFICIAL</v>
          </cell>
        </row>
        <row r="2272">
          <cell r="E2272">
            <v>6990860</v>
          </cell>
          <cell r="F2272" t="str">
            <v>*ELIMINADO.PAPEL GRAFICADOR P/  ENCEFALOGRAMA DE TRES CANALES TIPO AVIONICS O SIMILAR.</v>
          </cell>
          <cell r="G2272" t="str">
            <v>ELIM LIST OFICIAL</v>
          </cell>
        </row>
        <row r="2273">
          <cell r="E2273">
            <v>6990861</v>
          </cell>
          <cell r="F2273" t="str">
            <v>*ELIMINADO.PAPEL  GRAFICADOR  DE  DOS  CANALES  63 MM. PARA ESTEMIOGRAFO</v>
          </cell>
          <cell r="G2273" t="str">
            <v>ELIM LIST OFICIAL</v>
          </cell>
        </row>
        <row r="2274">
          <cell r="E2274">
            <v>6990862</v>
          </cell>
          <cell r="F2274" t="str">
            <v>*ELIMINADO.PAPEL  TERMICO  P/ IMPRESORA  DE  PROCESADORES HEMATOLOGICOS MOD.H-8 Y H-12 CON FORMATO</v>
          </cell>
          <cell r="G2274" t="str">
            <v>ELIM LIST OFICIAL</v>
          </cell>
        </row>
        <row r="2275">
          <cell r="E2275">
            <v>6990863</v>
          </cell>
          <cell r="F2275" t="str">
            <v>*ELIMINADO.PAPEL TERMICO PARA MONITOR CARDIACO</v>
          </cell>
          <cell r="G2275" t="str">
            <v>ELIM LIST OFICIAL</v>
          </cell>
        </row>
        <row r="2276">
          <cell r="E2276">
            <v>6990864</v>
          </cell>
          <cell r="F2276" t="str">
            <v>*ELIMINADO.AGUJA DE SUTURA CIRUGIA REGULAR #3,ACERO INOXIDABLE, 1/2 CIRCULO, CORTANTE.</v>
          </cell>
          <cell r="G2276" t="str">
            <v>ELIM LIST OFICIAL</v>
          </cell>
        </row>
        <row r="2277">
          <cell r="E2277">
            <v>6990865</v>
          </cell>
          <cell r="F2277" t="str">
            <v>*ELIMINADO.AGUJA  DE  SUTURA  CIRUGIA  REGULAR  #  4 ACERO INOXIDABLE, 1/2 CIRCULO, CORTANTE.</v>
          </cell>
          <cell r="G2277" t="str">
            <v>ELIM LIST OFICIAL</v>
          </cell>
        </row>
        <row r="2278">
          <cell r="E2278">
            <v>6990866</v>
          </cell>
          <cell r="F2278" t="str">
            <v>*ELIMINADO.AGUJA  DE  SUTURA  CIRUGIA  REGULAR  #  5 ACERO INOXIDABLE, 1/2 CIRCULO, CORTANTE.</v>
          </cell>
          <cell r="G2278" t="str">
            <v>ELIM LIST OFICIAL</v>
          </cell>
        </row>
        <row r="2279">
          <cell r="E2279">
            <v>6990867</v>
          </cell>
          <cell r="F2279" t="str">
            <v>*ELIMINADO.AGUJA  DE  SUTURA  CIRUGIA  REGULAR  #  6, ACERO INOXIDABLE, 1/2 CIRCULO, CORTANTE.</v>
          </cell>
          <cell r="G2279" t="str">
            <v>ELIM LIST OFICIAL</v>
          </cell>
        </row>
        <row r="2280">
          <cell r="E2280">
            <v>6990868</v>
          </cell>
          <cell r="F2280" t="str">
            <v>*ELIMINADO.AGUJA  DE  SUTURA  CIRUGIA  REGULAR  #  8, ACERO INOXIDABLE, 1/2 CIRCULO, CORTANTE.</v>
          </cell>
          <cell r="G2280" t="str">
            <v>ELIM LIST OFICIAL</v>
          </cell>
        </row>
        <row r="2281">
          <cell r="E2281">
            <v>6990869</v>
          </cell>
          <cell r="F2281" t="str">
            <v>*ELIMINADO.AGUJA  DE  SUTURA  CIRUGIA  REGULAR  #  18, ACERO INOXIDABLE, 3/8 CIRCULO, CORTANTE.</v>
          </cell>
          <cell r="G2281" t="str">
            <v>ELIM LIST OFICIAL</v>
          </cell>
        </row>
        <row r="2282">
          <cell r="E2282">
            <v>6990870</v>
          </cell>
          <cell r="F2282" t="str">
            <v>*ELIMINADO.AGUJA  DE  SUTURA  CIRUGIA  REGULAR  #  20, ACERO INOXIDABLE, 3/8 CIRCULO, CORTANTE.</v>
          </cell>
          <cell r="G2282" t="str">
            <v>ELIM LIST OFICIAL</v>
          </cell>
        </row>
        <row r="2283">
          <cell r="E2283">
            <v>6990871</v>
          </cell>
          <cell r="F2283" t="str">
            <v>AGUJA DE SUTURA FERGUSON #2</v>
          </cell>
          <cell r="G2283" t="str">
            <v>ELIM LIST OFICIAL</v>
          </cell>
        </row>
        <row r="2284">
          <cell r="E2284">
            <v>6990872</v>
          </cell>
          <cell r="F2284" t="str">
            <v>*ELIMINADO. AGUJA DE SUTURA "FERGUSON" # 8, ACERO INOX. 1/2 CIRCULO, REDONDA.</v>
          </cell>
          <cell r="G2284" t="str">
            <v>ELIM LIST OFICIAL</v>
          </cell>
        </row>
        <row r="2285">
          <cell r="E2285">
            <v>6990873</v>
          </cell>
          <cell r="F2285" t="str">
            <v>*ELIMINADO.AGUJA DE SUTURA "FERGUSON" #10, ACERO INOX.1/2 CIRCULO, REDONDA.</v>
          </cell>
          <cell r="G2285" t="str">
            <v>ELIM LIST OFICIAL</v>
          </cell>
        </row>
        <row r="2286">
          <cell r="E2286">
            <v>6990874</v>
          </cell>
          <cell r="F2286" t="str">
            <v>*ELIMINADO.AGUJA DE SUTURA "FERGUSON" #18, ACERO INOX.1/2 CIRCULO, REDONDA.</v>
          </cell>
          <cell r="G2286" t="str">
            <v>ELIM LIST OFICIAL</v>
          </cell>
        </row>
        <row r="2287">
          <cell r="E2287">
            <v>6990875</v>
          </cell>
          <cell r="F2287" t="str">
            <v>*ELIMINADO.AGUJA DE SUTURA "FERGUSON" #20, ACERO INOX.1/2 CIRCULO, REDONDA.</v>
          </cell>
          <cell r="G2287" t="str">
            <v>ELIM LIST OFICIAL</v>
          </cell>
        </row>
        <row r="2288">
          <cell r="E2288">
            <v>6990876</v>
          </cell>
          <cell r="F2288" t="str">
            <v>*ELIMINADO.AGUJA DE SUTURA PARA FISTULA, # 7,ACERO INOX.1/2 CIRCULO, CORTANTE.</v>
          </cell>
          <cell r="G2288" t="str">
            <v>ELIM LIST OFICIAL</v>
          </cell>
        </row>
        <row r="2289">
          <cell r="E2289">
            <v>6990877</v>
          </cell>
          <cell r="F2289" t="str">
            <v>AGUJA  DE SUTURA KEITH DE 2 1/2</v>
          </cell>
          <cell r="G2289" t="str">
            <v>ELIM LIST OFICIAL</v>
          </cell>
        </row>
        <row r="2290">
          <cell r="E2290">
            <v>6990878</v>
          </cell>
          <cell r="F2290" t="str">
            <v>*ELIMINADO.AGUJA  DE  SUTURA " MARTIN "  UTERINA  # 4, ACERO INOXIDABLE, 1/2 CIRCULO, CORTANTE.</v>
          </cell>
          <cell r="G2290" t="str">
            <v>ELIM LIST OFICIAL</v>
          </cell>
        </row>
        <row r="2291">
          <cell r="E2291">
            <v>6990879</v>
          </cell>
          <cell r="F2291" t="str">
            <v>*ELIMINADO.AGUJA  DE  SUTURA " MARTIN "  UTERINA  # 5, ACERO INOXIDABLE, 1/2 CIRCULO, CORTANTE.</v>
          </cell>
          <cell r="G2291" t="str">
            <v>ELIM LIST OFICIAL</v>
          </cell>
        </row>
        <row r="2292">
          <cell r="E2292">
            <v>6990880</v>
          </cell>
          <cell r="F2292" t="str">
            <v>*ELIMINADO.AGUJA  DE  SUTURA " MARTIN "  UTERINA  # 6, ACERO INOXIDABLE, 1/2 CIRCULO, CORTANTE.</v>
          </cell>
          <cell r="G2292" t="str">
            <v>ELIM LIST OFICIAL</v>
          </cell>
        </row>
        <row r="2293">
          <cell r="E2293">
            <v>6990881</v>
          </cell>
          <cell r="F2293" t="str">
            <v>*ELIMINADO.AGUJA DE SUTURA "MAYO CATGUT" # 3,ACERO INOX.1/2 CIRCULO, REDONDA.</v>
          </cell>
          <cell r="G2293" t="str">
            <v>ELIM LIST OFICIAL</v>
          </cell>
        </row>
        <row r="2294">
          <cell r="E2294">
            <v>6990882</v>
          </cell>
          <cell r="F2294" t="str">
            <v>*ELIMINADO.AGUJA DE SUTURA "MAYO CATGUT" # 6,ACEROINOX.1/2 CIRCULO, REDONDA.</v>
          </cell>
          <cell r="G2294" t="str">
            <v>ELIM LIST OFICIAL</v>
          </cell>
        </row>
        <row r="2295">
          <cell r="E2295">
            <v>6990883</v>
          </cell>
          <cell r="F2295" t="str">
            <v>*ELIMINADO.AGUJA DE SUTURA "MAYO CATGUT" # 4,ACEROINOX.1/2 CIRCULO, PUNTA TROCAR.</v>
          </cell>
          <cell r="G2295" t="str">
            <v>ELIM LIST OFICIAL</v>
          </cell>
        </row>
        <row r="2296">
          <cell r="E2296">
            <v>6990884</v>
          </cell>
          <cell r="F2296" t="str">
            <v>*ELIMINADO.AGUJA DE SUTURA "MAYO CATGUT" # 5,ACERO INOX.1/2 CIRCULO, PUNTA TROCAR.</v>
          </cell>
          <cell r="G2296" t="str">
            <v>ELIM LIST OFICIAL</v>
          </cell>
        </row>
        <row r="2297">
          <cell r="E2297">
            <v>6990885</v>
          </cell>
          <cell r="F2297" t="str">
            <v>*ELIMINADO.CATGUT CROMICO 4/0, DOBLE AGUJA MICROPUNTA REVERSOCORTANTE 3/8  CIRCULO TIPO G-3 O SIMILAR LARGO HEBRA 18" - 45 CM.</v>
          </cell>
          <cell r="G2297" t="str">
            <v>ELIM LIST OFICIAL</v>
          </cell>
        </row>
        <row r="2298">
          <cell r="E2298">
            <v>6990886</v>
          </cell>
          <cell r="F2298" t="str">
            <v>*ELIMINADO.CATGUT CROMICO 6/0, DOBLE AGUJA MICROPUNTA REVERSOCORTANTE 3/8, CIRCULO TIPO G-6 O SIMILAR, LARGO HEBRA 18" - 45 CM.</v>
          </cell>
          <cell r="G2298" t="str">
            <v>ELIM LIST OFICIAL</v>
          </cell>
        </row>
        <row r="2299">
          <cell r="E2299">
            <v>6990887</v>
          </cell>
          <cell r="F2299" t="str">
            <v>*ELIMINADO.POLIPROPILENO MONOFILAMENTO 4/0, DOBLE AGUJA 1/2 CIRCULO PUNTA REDONDA TIPO V5 - V5 O SIMILAR, LARGO HEBRA 36".</v>
          </cell>
          <cell r="G2299" t="str">
            <v>ELIM LIST OFICIAL</v>
          </cell>
        </row>
        <row r="2300">
          <cell r="E2300">
            <v>6990888</v>
          </cell>
          <cell r="F2300" t="str">
            <v>*ELIMINADO.POLIPROPILENO MONOFILAMENTO 5/0, DOBLE AGUJA 3/8 CIRCULO PUNTA REDONDA TIPO C1 - C1 O SIMILAR, LARGO HEBRA 30".</v>
          </cell>
          <cell r="G2300" t="str">
            <v>ELIM LIST OFICIAL</v>
          </cell>
        </row>
        <row r="2301">
          <cell r="E2301">
            <v>6990889</v>
          </cell>
          <cell r="F2301" t="str">
            <v>*ELIMINADO.SEDA NEGRA TRENZADA 6/0, DOBLE AGUJA ESPATULADA 1/4 CIRCULO TIPO S-14 O SIMILAR, LARGO HEBRA 18"</v>
          </cell>
          <cell r="G2301" t="str">
            <v>ELIM LIST OFICIAL</v>
          </cell>
        </row>
        <row r="2302">
          <cell r="E2302">
            <v>6990890</v>
          </cell>
          <cell r="F2302" t="str">
            <v>764029 NUDO PREELABORADO PARA CIRUJIA LAPAROSCOPICADE SUTURA NO ABSORBIBLE 2/0</v>
          </cell>
          <cell r="G2302" t="str">
            <v>ELIM LIST OFICIAL</v>
          </cell>
        </row>
        <row r="2303">
          <cell r="E2303">
            <v>6990891</v>
          </cell>
          <cell r="F2303" t="str">
            <v>*ELIMINADO.SEDA  VIRGEN  AZUL 8/0, DOBLE  AGUJA  MICROPUNTA,REVERSO CORTANTE 1/2 CIRCULO, TIPO G-7, HEBRA 18"</v>
          </cell>
          <cell r="G2303" t="str">
            <v>ELIM LIST OFICIAL</v>
          </cell>
        </row>
        <row r="2304">
          <cell r="E2304">
            <v>6990892</v>
          </cell>
          <cell r="F2304" t="str">
            <v>*ELIMINADO.SUTURA DE POLIESTER TRENZADA RECUBIERTA 2/0,DOBLEAGUJA 1/2 CIRCULO PUNTA REDONDA TIPO RB1-RB1 O SIMILAR, HEBRA 30".</v>
          </cell>
          <cell r="G2304" t="str">
            <v>ELIM LIST OFICIAL</v>
          </cell>
        </row>
        <row r="2305">
          <cell r="E2305">
            <v>6990893</v>
          </cell>
          <cell r="F2305" t="str">
            <v>*ELIMINADO.SUTURA DE POLIESTER TRENZADO RECUBIERTA2/0,DOBLEAGUJA 1/2 CIRCULO PUNTA REDONDA TIPO SH O SIMILAR LARGO HEBRA 30".</v>
          </cell>
          <cell r="G2305" t="str">
            <v>ELIM LIST OFICIAL</v>
          </cell>
        </row>
        <row r="2306">
          <cell r="E2306">
            <v>6990894</v>
          </cell>
          <cell r="F2306" t="str">
            <v>*ELIMINADO.SUTURA DE POLIESTER TRENZADO RECUBIERTA 2/0,DOBLEAGUJA 1/2 CIRCULO PUNTA REDONDA TIPO SH -SH CON PLEDGETS SUAVES.</v>
          </cell>
          <cell r="G2306" t="str">
            <v>ELIM LIST OFICIAL</v>
          </cell>
        </row>
        <row r="2307">
          <cell r="E2307">
            <v>6990895</v>
          </cell>
          <cell r="F2307" t="str">
            <v>*ELIMINADO.SUTURA DE POLIESTER TRENZADO RECUBIERTA 2/0,DOBLEAGUJA 1/2 CIRCULO PUNTA REDONDA TIPO V 5-V 5 CON PLEDGETS SUAVES, LARGO HEBRA 36".</v>
          </cell>
          <cell r="G2307" t="str">
            <v>ELIM LIST OFICIAL</v>
          </cell>
        </row>
        <row r="2308">
          <cell r="E2308">
            <v>6990896</v>
          </cell>
          <cell r="F2308" t="str">
            <v>*ELIMINADO.SUTURA SINTETICA ABSORBIBLE RECUBIERTA 0, AGUJA REVERSO CORTANTE 1/2 CIRCULO TIPO CPX O SIMILAR, LARGO HEBRA 27"</v>
          </cell>
          <cell r="G2308" t="str">
            <v>ELIM LIST OFICIAL</v>
          </cell>
        </row>
        <row r="2309">
          <cell r="E2309">
            <v>6990897</v>
          </cell>
          <cell r="F2309" t="str">
            <v>*ELIMINADO.SUTURA SINTETICA ABSORBIBLE RECUBIERTA 1, AGUJA REVERSO CORTANTE 1/2 CIRCULO TIPO CPX O SIMILAR,LARGO HEBRA 27".</v>
          </cell>
          <cell r="G2309" t="str">
            <v>ELIM LIST OFICIAL</v>
          </cell>
        </row>
        <row r="2310">
          <cell r="E2310">
            <v>6990898</v>
          </cell>
          <cell r="F2310" t="str">
            <v>*ELIMINADO.CINTA CROMADA DE COLAGENO, PARA HIGADO,DE 3.75 MMX 60 MM.</v>
          </cell>
          <cell r="G2310" t="str">
            <v>ELIM LIST OFICIAL</v>
          </cell>
        </row>
        <row r="2311">
          <cell r="E2311">
            <v>6990899</v>
          </cell>
          <cell r="F2311" t="str">
            <v>VENDA ELASTICA DE 8"</v>
          </cell>
          <cell r="G2311" t="str">
            <v>ELIM LIST OFICIAL</v>
          </cell>
        </row>
        <row r="2312">
          <cell r="E2312">
            <v>6990900</v>
          </cell>
          <cell r="F2312" t="str">
            <v>SONDA FOLEY DE 3 VIAS # 18 BALON 30 CC.</v>
          </cell>
          <cell r="G2312" t="str">
            <v>ELIM LIST OFICIAL</v>
          </cell>
        </row>
        <row r="2313">
          <cell r="E2313">
            <v>6990901</v>
          </cell>
          <cell r="F2313" t="str">
            <v>AGUJA HIPODERMICA REUSABLE NO. 25, DE 3 1/2"</v>
          </cell>
          <cell r="G2313" t="str">
            <v>ELIM LIST OFICIAL</v>
          </cell>
        </row>
        <row r="2314">
          <cell r="E2314">
            <v>6990902</v>
          </cell>
          <cell r="F2314" t="str">
            <v>CAMPO QUIRURGICO DESCARTABLE DE 23 1/2" X 33 3/8".</v>
          </cell>
          <cell r="G2314" t="str">
            <v>ELIM LIST OFICIAL</v>
          </cell>
        </row>
        <row r="2315">
          <cell r="E2315">
            <v>6990903</v>
          </cell>
          <cell r="F2315" t="str">
            <v>SONDA "FOLEY" NO. 8, BALON DE 3 CC.** ELIMINADO** REF: 701291</v>
          </cell>
          <cell r="G2315" t="str">
            <v>ELIM LIST OFICIAL</v>
          </cell>
        </row>
        <row r="2316">
          <cell r="E2316">
            <v>6990904</v>
          </cell>
          <cell r="F2316" t="str">
            <v>AGUJA HIPODERMICA REUSABLE NO. 18 X 1 1/2"</v>
          </cell>
          <cell r="G2316" t="str">
            <v>ELIM LIST OFICIAL</v>
          </cell>
        </row>
        <row r="2317">
          <cell r="E2317">
            <v>6990905</v>
          </cell>
          <cell r="F2317" t="str">
            <v>ESTUCHE CON 5 ROLLITOS DE GASA</v>
          </cell>
          <cell r="G2317" t="str">
            <v>ELIM LIST OFICIAL</v>
          </cell>
        </row>
        <row r="2318">
          <cell r="E2318">
            <v>6990906</v>
          </cell>
          <cell r="F2318" t="str">
            <v>GRAPAS</v>
          </cell>
          <cell r="G2318" t="str">
            <v>ELIM LIST OFICIAL</v>
          </cell>
        </row>
        <row r="2319">
          <cell r="E2319">
            <v>6990907</v>
          </cell>
          <cell r="F2319" t="str">
            <v>*ELIMINADO(ACDO.2005-1342 OCT) GRAPA DE SELLADOR  MANUAL PARA BOLSA DE SANGRE</v>
          </cell>
          <cell r="G2319" t="str">
            <v>ELIM LIST OFICIAL</v>
          </cell>
        </row>
        <row r="2320">
          <cell r="E2320">
            <v>6990908</v>
          </cell>
          <cell r="F2320" t="str">
            <v>*ELIMINADO(ACDO.2005-1342.OCT)PAPEL FILTRO WHATTMAN # 42, DIAMETRO DE 90 - 95 MM.</v>
          </cell>
          <cell r="G2320" t="str">
            <v>ELIM LIST OFICIAL</v>
          </cell>
        </row>
        <row r="2321">
          <cell r="E2321">
            <v>6990909</v>
          </cell>
          <cell r="F2321" t="str">
            <v>*ELIMINADO. PIEDRA PARA CHISPERO DE FRICCION      (ACDO. # 2004-0736.JUN)</v>
          </cell>
          <cell r="G2321" t="str">
            <v>ELIM LIST OFICIAL</v>
          </cell>
        </row>
        <row r="2322">
          <cell r="E2322">
            <v>7010041</v>
          </cell>
          <cell r="F2322" t="str">
            <v>AGUJA PARA PUNCION ESPINAL, PUNTA TIPO "WHITACRE", ESTERIL, DESCARTABLE, 25 G Y DE 4¼" - 5" DE LONGITUD</v>
          </cell>
          <cell r="G2322" t="str">
            <v>C/U</v>
          </cell>
        </row>
        <row r="2323">
          <cell r="E2323">
            <v>7010042</v>
          </cell>
          <cell r="F2323" t="str">
            <v>AGUJAS PARA ESCLEROSIS DE VARICES (DESCARTABLES)</v>
          </cell>
          <cell r="G2323" t="str">
            <v>SET</v>
          </cell>
        </row>
        <row r="2324">
          <cell r="E2324">
            <v>7010090</v>
          </cell>
          <cell r="F2324" t="str">
            <v>AGUJA ABRAMS PARA BIOPSIA PLEURAL REUTILIZABLE</v>
          </cell>
          <cell r="G2324" t="str">
            <v>UN</v>
          </cell>
        </row>
        <row r="2325">
          <cell r="E2325">
            <v>7010091</v>
          </cell>
          <cell r="F2325" t="str">
            <v>AGUJA CATETER INTRAVENOSA 14 G, LONGITUD DE CATETER DE 1 1/4" - 2" DEPOLIURETANO RADIOPACO, ESTERIL, DESCARTABLE.</v>
          </cell>
          <cell r="G2325" t="str">
            <v>UN</v>
          </cell>
        </row>
        <row r="2326">
          <cell r="E2326">
            <v>7010092</v>
          </cell>
          <cell r="F2326" t="str">
            <v>AGUJA CATETER INTRAVENOSA 16 G, LONGITUD DE CATETER DE 1 1/4" - 2", DE POLIURETANO, RADIOPACO, ESTERIL, DESCARTABLE.</v>
          </cell>
          <cell r="G2326" t="str">
            <v>UN</v>
          </cell>
        </row>
        <row r="2327">
          <cell r="E2327">
            <v>7010093</v>
          </cell>
          <cell r="F2327" t="str">
            <v>AGUJA CATETER INTRAVENOSA 18 G, LONGITUD DE CATETER DE 1 1/4" - 2", DE POLIURETANO, RADIOPACO, ESTERIL, DESCARTABLE.</v>
          </cell>
          <cell r="G2327" t="str">
            <v>UN</v>
          </cell>
        </row>
        <row r="2328">
          <cell r="E2328">
            <v>7010094</v>
          </cell>
          <cell r="F2328" t="str">
            <v>AGUJA CATETER INTRAVENOSA 20 G, LONGITUD DE CATETER DE 1 1/4" - 2", DEPOLIURETANO, RADIOPACO, SIN PUERTO DE ENTRADA NI ARANDELA, ESTERIL,DESCARTABLE</v>
          </cell>
          <cell r="G2328" t="str">
            <v>UN</v>
          </cell>
        </row>
        <row r="2329">
          <cell r="E2329">
            <v>7010095</v>
          </cell>
          <cell r="F2329" t="str">
            <v>AGUJA CATETER INTRAVENOSA 22 G, LONGITUD DE CATETER DE 1 1/4" - 2", DEPOLIURETANO, RADIOPACO, SIN PUERTO DE ENTRADA NI ARANDELA, ESTERIL,DESCARTABLE</v>
          </cell>
          <cell r="G2329" t="str">
            <v>UN</v>
          </cell>
        </row>
        <row r="2330">
          <cell r="E2330">
            <v>7010096</v>
          </cell>
          <cell r="F2330" t="str">
            <v>AGUJA CATETER INTRAVENOSA 24 G, LONGITUD DE CATETER DE 1 1/4" - 2", DEPOLIURETANO, RADIOPACO, SIN PUERTO DE ENTRADA NI ARANDELA, ESTERIL,DESCARTABLE</v>
          </cell>
          <cell r="G2330" t="str">
            <v>UN</v>
          </cell>
        </row>
        <row r="2331">
          <cell r="E2331">
            <v>7010097</v>
          </cell>
          <cell r="F2331" t="str">
            <v>AGUJA CON OBTURADOR, PARED DELGADA # 18 DE 3/64", ESTERIL, DESCARTABLE, TIPO POTTS COURNAND PARA ANGIOGRAFIA CEREBRAL.</v>
          </cell>
          <cell r="G2331" t="str">
            <v>UN</v>
          </cell>
        </row>
        <row r="2332">
          <cell r="E2332">
            <v>7010098</v>
          </cell>
          <cell r="F2332" t="str">
            <v>AGUJA CON RECUBRIMIENTO ESPECIAL TAMANO 20 G  X 150 MM</v>
          </cell>
          <cell r="G2332" t="str">
            <v>UN</v>
          </cell>
        </row>
        <row r="2333">
          <cell r="E2333">
            <v>7010099</v>
          </cell>
          <cell r="F2333" t="str">
            <v>AGUJA CON RECUBRIMIENTO ESPECIAL TAMANO 25 G X 35 MM</v>
          </cell>
          <cell r="G2333" t="str">
            <v>UN</v>
          </cell>
        </row>
        <row r="2334">
          <cell r="E2334">
            <v>7010100</v>
          </cell>
          <cell r="F2334" t="str">
            <v>AGUJA CONCENTRICA L=25 MM; D=0.5 MM</v>
          </cell>
          <cell r="G2334" t="str">
            <v>UN</v>
          </cell>
        </row>
        <row r="2335">
          <cell r="E2335">
            <v>7010101</v>
          </cell>
          <cell r="F2335" t="str">
            <v>AGUJA CONCENTRICA L=35 MM; D=0.5 MM</v>
          </cell>
          <cell r="G2335" t="str">
            <v>UN</v>
          </cell>
        </row>
        <row r="2336">
          <cell r="E2336">
            <v>7010102</v>
          </cell>
          <cell r="F2336" t="str">
            <v>AGUJA CONCENTRICA L=45 MM; D=0.5 MM</v>
          </cell>
          <cell r="G2336" t="str">
            <v>UN</v>
          </cell>
        </row>
        <row r="2337">
          <cell r="E2337">
            <v>7010103</v>
          </cell>
          <cell r="F2337" t="str">
            <v>AGUJA CONCENTRICA L=65 MM D=0.5 MM</v>
          </cell>
          <cell r="G2337" t="str">
            <v>UN</v>
          </cell>
        </row>
        <row r="2338">
          <cell r="E2338">
            <v>7010104</v>
          </cell>
          <cell r="F2338" t="str">
            <v>AGUJA DE ASPIRADO Y BIOPSIA DE MEDULA OSEA TIPO JAMSHIDI, DE ACERO INOXIDABLE, TAMAÑO PARA ADULTO N° 11Ga X 4", REESTERILIZABLE</v>
          </cell>
          <cell r="G2338" t="str">
            <v>UN</v>
          </cell>
        </row>
        <row r="2339">
          <cell r="E2339">
            <v>7010105</v>
          </cell>
          <cell r="F2339" t="str">
            <v>AGUJA HIPODERMICA  21 G, 1 1/2" DE LONGITUD,  DESCARTABLE,   ESTERIL.</v>
          </cell>
          <cell r="G2339" t="str">
            <v>UN</v>
          </cell>
        </row>
        <row r="2340">
          <cell r="E2340">
            <v>7010106</v>
          </cell>
          <cell r="F2340" t="str">
            <v>AGUJA HIPODERMICA  21 G, 1" DE LONGITUD,  DESCARTABLE, ESTERIL.</v>
          </cell>
          <cell r="G2340" t="str">
            <v>UN</v>
          </cell>
        </row>
        <row r="2341">
          <cell r="E2341">
            <v>7010107</v>
          </cell>
          <cell r="F2341" t="str">
            <v>AGUJA HIPODERMICA  23 G, 1" DE LONGITUD,  DESCARTABLE, ESTERIL.</v>
          </cell>
          <cell r="G2341" t="str">
            <v>UN</v>
          </cell>
        </row>
        <row r="2342">
          <cell r="E2342">
            <v>7010108</v>
          </cell>
          <cell r="F2342" t="str">
            <v>AGUJA HIPODERMICA  25 G, 5/8" Ó 1/2" DE LONGITUD,  DESCARTABLE, ESTERIL.</v>
          </cell>
          <cell r="G2342" t="str">
            <v>UN</v>
          </cell>
        </row>
        <row r="2343">
          <cell r="E2343">
            <v>7010109</v>
          </cell>
          <cell r="F2343" t="str">
            <v>AGUJA HIPODERMICA  26 G, 1/2" DE LONGITUD, DESCARTABLE, ESTERIL</v>
          </cell>
          <cell r="G2343" t="str">
            <v>UN</v>
          </cell>
        </row>
        <row r="2344">
          <cell r="E2344">
            <v>7010110</v>
          </cell>
          <cell r="F2344" t="str">
            <v>AGUJA HIPODERMICA 18 G, 1 1/2" DE LONGITUD,  DESCARTABLE,   ESTERIL.</v>
          </cell>
          <cell r="G2344" t="str">
            <v>UN</v>
          </cell>
        </row>
        <row r="2345">
          <cell r="E2345">
            <v>7010111</v>
          </cell>
          <cell r="F2345" t="str">
            <v>AGUJA HIPODERMICA 20 G, 1 1/2" DE LONGITUD,  DESCARTABLE,   ESTERIL.</v>
          </cell>
          <cell r="G2345" t="str">
            <v>UN</v>
          </cell>
        </row>
        <row r="2346">
          <cell r="E2346">
            <v>7010112</v>
          </cell>
          <cell r="F2346" t="str">
            <v>AGUJA HIPODERMICA 22 G DE 1 1/2",  DESCARTABLE,   ESTERIL.</v>
          </cell>
          <cell r="G2346" t="str">
            <v>UN</v>
          </cell>
        </row>
        <row r="2347">
          <cell r="E2347">
            <v>7010113</v>
          </cell>
          <cell r="F2347" t="str">
            <v>AGUJA HIPODERMICA 23 G, 1 1/2" DE LONGITUD,  DESCARTABLE,   ESTERIL.</v>
          </cell>
          <cell r="G2347" t="str">
            <v>UN</v>
          </cell>
        </row>
        <row r="2348">
          <cell r="E2348">
            <v>7010114</v>
          </cell>
          <cell r="F2348" t="str">
            <v>AGUJA HIPODERMICA 24 G, 1" DE LONGITUD, DESCARTABLE, ESTERIL</v>
          </cell>
          <cell r="G2348" t="str">
            <v>UN</v>
          </cell>
        </row>
        <row r="2349">
          <cell r="E2349">
            <v>7010115</v>
          </cell>
          <cell r="F2349" t="str">
            <v>AGUJA MONOPOLAR S=2 MM; D=0.35 MM; L=35 MM</v>
          </cell>
          <cell r="G2349" t="str">
            <v>UN</v>
          </cell>
        </row>
        <row r="2350">
          <cell r="E2350">
            <v>7010116</v>
          </cell>
          <cell r="F2350" t="str">
            <v>AGUJA PARA ACCESO A DISPOSITIVO IMPLANTABLE VENOSO CENTRAL, TIPO HUBER, DE 20 G X 3/4", ANGULADA A 90°, CON ALETAS DE FIJACIÓN, EXTENSOR Y CONECTOR LUER, ENVASE INDIVIDUAL, ESTERIL</v>
          </cell>
          <cell r="G2350" t="str">
            <v>UN</v>
          </cell>
        </row>
        <row r="2351">
          <cell r="E2351">
            <v>7010117</v>
          </cell>
          <cell r="F2351" t="str">
            <v>AGUJA PARA ANESTESIA DE PLEXO 0.55 X 25, DE 24G X 1"</v>
          </cell>
          <cell r="G2351" t="str">
            <v>UN</v>
          </cell>
        </row>
        <row r="2352">
          <cell r="E2352">
            <v>7010118</v>
          </cell>
          <cell r="F2352" t="str">
            <v>AGUJA PARA ANESTESIA DE PLEXO 0.55 X 25, DE 24G X 1"</v>
          </cell>
          <cell r="G2352" t="str">
            <v>UN</v>
          </cell>
        </row>
        <row r="2353">
          <cell r="E2353">
            <v>7010119</v>
          </cell>
          <cell r="F2353" t="str">
            <v>AGUJA PARA ANESTESIA DE PLEXO 0.55 X 25, DE 24G X 1"</v>
          </cell>
          <cell r="G2353" t="str">
            <v>UN</v>
          </cell>
        </row>
        <row r="2354">
          <cell r="E2354">
            <v>7010120</v>
          </cell>
          <cell r="F2354" t="str">
            <v>AGUJA PARA ANESTESIA DE PLEXO 0.55 X 25, DE 24G X 1"</v>
          </cell>
          <cell r="G2354" t="str">
            <v>UN</v>
          </cell>
        </row>
        <row r="2355">
          <cell r="E2355">
            <v>7010121</v>
          </cell>
          <cell r="F2355" t="str">
            <v>AGUJA PARA ANESTESIA DE PLEXO 0.55 X 25, DE 24G X 1"</v>
          </cell>
          <cell r="G2355" t="str">
            <v>UN</v>
          </cell>
        </row>
        <row r="2356">
          <cell r="E2356">
            <v>7010122</v>
          </cell>
          <cell r="F2356" t="str">
            <v>AGUJA PARA ANESTESIA DE PLEXO 0.70 X 50,DE 22 G X 2"</v>
          </cell>
          <cell r="G2356" t="str">
            <v>UN</v>
          </cell>
        </row>
        <row r="2357">
          <cell r="E2357">
            <v>7010123</v>
          </cell>
          <cell r="F2357" t="str">
            <v>AGUJA PARA ANESTESIA DE PLEXO 0.90 X 150, DE 20G X 6"</v>
          </cell>
          <cell r="G2357" t="str">
            <v>UN</v>
          </cell>
        </row>
        <row r="2358">
          <cell r="E2358">
            <v>7010124</v>
          </cell>
          <cell r="F2358" t="str">
            <v>AGUJA PARA BIOPSIA DE TEJIDOS BLANDOS 14 G X 6" DE LONGITUD, DESCARTABLE, ESTERIL, TIPO TRUCUT.</v>
          </cell>
          <cell r="G2358" t="str">
            <v>UN</v>
          </cell>
        </row>
        <row r="2359">
          <cell r="E2359">
            <v>7010125</v>
          </cell>
          <cell r="F2359" t="str">
            <v>AGUJA PARA INFUSION INTRAVENOSA # 19 DE 3/4", CON TUBO DE EXTENSION DE 12", TIPO MARIPOSA.</v>
          </cell>
          <cell r="G2359" t="str">
            <v>UN</v>
          </cell>
        </row>
        <row r="2360">
          <cell r="E2360">
            <v>7010126</v>
          </cell>
          <cell r="F2360" t="str">
            <v>AGUJA PARA INFUSION INTRAVENOSA # 21 DE 3/4", CON TUBO DE EXTENSION DE 12", TIPO MARIPOSA.</v>
          </cell>
          <cell r="G2360" t="str">
            <v>UN</v>
          </cell>
        </row>
        <row r="2361">
          <cell r="E2361">
            <v>7010127</v>
          </cell>
          <cell r="F2361" t="str">
            <v>AGUJA PARA INFUSION INTRAVENOSA # 23 DE 3/4", CON TUBO DE EXTENSION DE 12", TIPO MARIPOSA.</v>
          </cell>
          <cell r="G2361" t="str">
            <v>UN</v>
          </cell>
        </row>
        <row r="2362">
          <cell r="E2362">
            <v>7010128</v>
          </cell>
          <cell r="F2362" t="str">
            <v>AGUJA PARA MARCAJE HOMMER DE 10 CMS. DE LONGITUD.</v>
          </cell>
          <cell r="G2362" t="str">
            <v>UN</v>
          </cell>
        </row>
        <row r="2363">
          <cell r="E2363">
            <v>7010129</v>
          </cell>
          <cell r="F2363" t="str">
            <v>AGUJA PARA MARCAJE PREOPERATORIO DE LESIONES NO PALPABLES DE MAMA, DEDIFERENTES LONGITUDES Y CALIBRES</v>
          </cell>
          <cell r="G2363" t="str">
            <v>UN</v>
          </cell>
        </row>
        <row r="2364">
          <cell r="E2364">
            <v>7010130</v>
          </cell>
          <cell r="F2364" t="str">
            <v>AGUJA PARA MEDULA OSEA 16 G, LONGITUD DE 1 A 2", COMPATIBLE CON CONECTORLUER SLIP O LUER LOCK</v>
          </cell>
          <cell r="G2364" t="str">
            <v>UN</v>
          </cell>
        </row>
        <row r="2365">
          <cell r="E2365">
            <v>7010131</v>
          </cell>
          <cell r="F2365" t="str">
            <v>AGUJA PARA PUNCION ARTERIAL SIMPLE, SIN MANDRIL NI CAMISA, DE 19 G, QUE PERMITA GUIA 0.035" - 0.038"</v>
          </cell>
          <cell r="G2365" t="str">
            <v>UN</v>
          </cell>
        </row>
        <row r="2366">
          <cell r="E2366">
            <v>7010132</v>
          </cell>
          <cell r="F2366" t="str">
            <v>AGUJA PARA PUNCION DE MEDULA OSEA  11 G, 4" DE LONGITUD, CON MANDRIL,ESTERIL, DESCARTABLE.</v>
          </cell>
          <cell r="G2366" t="str">
            <v>UN</v>
          </cell>
        </row>
        <row r="2367">
          <cell r="E2367">
            <v>7010133</v>
          </cell>
          <cell r="F2367" t="str">
            <v>AGUJA PARA PUNCION ESPINAL CON MANDRIL N° 26Ga DE 3 1/2" DESCARTABLE,CON SU CATETER PARA ANESTESIA RAQUIDEA CONTINUA (APROXIMADAMENTE 100 cm )</v>
          </cell>
          <cell r="G2367" t="str">
            <v>UN</v>
          </cell>
        </row>
        <row r="2368">
          <cell r="E2368">
            <v>7010134</v>
          </cell>
          <cell r="F2368" t="str">
            <v>AGUJA PARA PUNCION ESPINAL, PUNTA TIPO "QUINCKE", ESTERIL, DESCARTABLE, 22G Y DE 3½" - 4" DE LONGITUD</v>
          </cell>
          <cell r="G2368" t="str">
            <v>UN</v>
          </cell>
        </row>
        <row r="2369">
          <cell r="E2369">
            <v>7010135</v>
          </cell>
          <cell r="F2369" t="str">
            <v>AGUJA PARA PUNCION ESPINAL, PUNTA TIPO "QUINCKE", ESTERIL, DESCARTABLE, 22G Y DE 4¼" - 5" DE LONGITUD</v>
          </cell>
          <cell r="G2369" t="str">
            <v>UN</v>
          </cell>
        </row>
        <row r="2370">
          <cell r="E2370">
            <v>7010136</v>
          </cell>
          <cell r="F2370" t="str">
            <v>AGUJA PARA PUNCION ESPINAL, PUNTA TIPO "QUINCKE", ESTERIL, DESCARTABLE, 25 G Y DE 3½" - 4" DE LONGITUD</v>
          </cell>
          <cell r="G2370" t="str">
            <v>UN</v>
          </cell>
        </row>
        <row r="2371">
          <cell r="E2371">
            <v>7010137</v>
          </cell>
          <cell r="F2371" t="str">
            <v>AGUJA PARA PUNCION ESPINAL, PUNTA TIPO "QUINCKE", ESTERIL, DESCARTABLE, 25 G Y DE 4¼" - 5" DE LONGITUD</v>
          </cell>
          <cell r="G2371" t="str">
            <v>UN</v>
          </cell>
        </row>
        <row r="2372">
          <cell r="E2372">
            <v>7010138</v>
          </cell>
          <cell r="F2372" t="str">
            <v>AGUJA PARA PUNCION ESPINAL, PUNTA TIPO "QUINCKE", ESTERIL, DESCARTABLE, 27G Y DE 3½" - 4" DE LONGITUD</v>
          </cell>
          <cell r="G2372" t="str">
            <v>UN</v>
          </cell>
        </row>
        <row r="2373">
          <cell r="E2373">
            <v>7010139</v>
          </cell>
          <cell r="F2373" t="str">
            <v>AGUJA PARA PUNCION ESPINAL, PUNTA TIPO "QUINCKE", ESTERIL, DESCARTABLE, 27G Y DE 4¼" - 5" DE LONGITUD</v>
          </cell>
          <cell r="G2373" t="str">
            <v>UN</v>
          </cell>
        </row>
        <row r="2374">
          <cell r="E2374">
            <v>7010140</v>
          </cell>
          <cell r="F2374" t="str">
            <v>AGUJA PARA PUNCION ESPINAL, PUNTA TIPO "QUINCKE", ESTERIL, DESCARTABLE,18 G Y DE 2½" - 3" DE LONGITUD</v>
          </cell>
          <cell r="G2374" t="str">
            <v>UN</v>
          </cell>
        </row>
        <row r="2375">
          <cell r="E2375">
            <v>7010141</v>
          </cell>
          <cell r="F2375" t="str">
            <v>AGUJA PARA PUNCION ESPINAL, PUNTA TIPO "QUINCKE", ESTERIL, DESCARTABLE,20 G Y DE 2½" - 3" DE LONGITUD</v>
          </cell>
          <cell r="G2375" t="str">
            <v>UN</v>
          </cell>
        </row>
        <row r="2376">
          <cell r="E2376">
            <v>7010142</v>
          </cell>
          <cell r="F2376" t="str">
            <v>AGUJA PARA PUNCION ESPINAL, PUNTA TIPO "WHITACRE", ESTERIL, DESCARTABLE, 25 G Y DE 3½" - 4" DE LONGITUD</v>
          </cell>
          <cell r="G2376" t="str">
            <v>UN</v>
          </cell>
        </row>
        <row r="2377">
          <cell r="E2377">
            <v>7011070</v>
          </cell>
          <cell r="F2377" t="str">
            <v>ADAPTADOR MACHO PARA AGUJA HIPODERMICA</v>
          </cell>
          <cell r="G2377" t="str">
            <v>UN</v>
          </cell>
        </row>
        <row r="2378">
          <cell r="E2378">
            <v>7011071</v>
          </cell>
          <cell r="F2378" t="str">
            <v>CATETER ARTERIAL QUE INCLUYE AGUJA INTRODUCTORA 20 G, DE 2" DE LONGITUD, ALAMBRE GUIA Y CATETER RADIOPACO, DESCARTABLE ESTERIL.</v>
          </cell>
          <cell r="G2378" t="str">
            <v>UN</v>
          </cell>
        </row>
        <row r="2379">
          <cell r="E2379">
            <v>7011072</v>
          </cell>
          <cell r="F2379" t="str">
            <v>CATETER DE ARTERIA PULMONAR 7 FRENCH CON CUBIERTA PLASTICA 4 LUMEN,PROXIMAL Y DISTAL CON ADAPTADOR LUER LOCK.</v>
          </cell>
          <cell r="G2379" t="str">
            <v>UN</v>
          </cell>
        </row>
        <row r="2380">
          <cell r="E2380">
            <v>7011073</v>
          </cell>
          <cell r="F2380" t="str">
            <v>CATETER DE EXTENSION CON CONECTOR SIMPLES HEMBRA Y MACHO LUER LOCK, DE 30 - 40 CM DE LONGITUD, ESTERIL DESCARTABLE.</v>
          </cell>
          <cell r="G2380" t="str">
            <v>UN</v>
          </cell>
        </row>
        <row r="2381">
          <cell r="E2381">
            <v>7011074</v>
          </cell>
          <cell r="F2381" t="str">
            <v>CATETER DE EXTENSION CON CONECTORES SIMPLES HEMBRA Y MACHO LUER LOCK,DE 150 CM - 200 CM DE LONGITUD, ESTERIL, DESCARTABLE.</v>
          </cell>
          <cell r="G2381" t="str">
            <v>UN</v>
          </cell>
        </row>
        <row r="2382">
          <cell r="E2382">
            <v>7011075</v>
          </cell>
          <cell r="F2382" t="str">
            <v>CATETER DE EXTENSION Y LLAVE DE 3 VIAS</v>
          </cell>
          <cell r="G2382" t="str">
            <v>UN</v>
          </cell>
        </row>
        <row r="2383">
          <cell r="E2383">
            <v>7011076</v>
          </cell>
          <cell r="F2383" t="str">
            <v>CATETER IMPLANTABLE PARA QUIMIOTERAPIA INTRA-ARTERIAL # 6.5</v>
          </cell>
          <cell r="G2383" t="str">
            <v>UN</v>
          </cell>
        </row>
        <row r="2384">
          <cell r="E2384">
            <v>7011077</v>
          </cell>
          <cell r="F2384" t="str">
            <v>CATETER PARA ARTERIA UMBILICAL, CON LINEA CENTINELA RADIOPACA, NUMERADO EN CENTIMETROS, LONGITUD DE 14" - 15", DIAMETRO 5 FRENCH</v>
          </cell>
          <cell r="G2384" t="str">
            <v>UN</v>
          </cell>
        </row>
        <row r="2385">
          <cell r="E2385">
            <v>7011078</v>
          </cell>
          <cell r="F2385" t="str">
            <v>CATETER PARA ARTERIA UMBILICAL, CON LINEA CENTINELA RADIOPACA, NUMERADOEN CENTIMETROS, LONGITUD DE 14" - 15", DIAMETRO 3.5 FRENCH</v>
          </cell>
          <cell r="G2385" t="str">
            <v>UN</v>
          </cell>
        </row>
        <row r="2386">
          <cell r="E2386">
            <v>7011079</v>
          </cell>
          <cell r="F2386" t="str">
            <v>CATETER PARA SUCCION, TRANSPARENTE, CON REGULACION DE VACIO, DESCARTABLE, 36 - 42 CM DE LONGITUD, DIAMETRO 8 FRENCH, SUCCION EN LA PUNTA Y 2 VENTANAS LATERALES, ESTERIL</v>
          </cell>
          <cell r="G2386" t="str">
            <v>UN</v>
          </cell>
        </row>
        <row r="2387">
          <cell r="E2387">
            <v>7011080</v>
          </cell>
          <cell r="F2387" t="str">
            <v>CATETER PARA SUCCION, TRANSPARENTE, CON REGULACION DE VACIO, DESCARTABLE, 38 CM DE LONGITUD, DIAMETRO6FRENCH, ESTERIL</v>
          </cell>
          <cell r="G2387" t="str">
            <v>UN</v>
          </cell>
        </row>
        <row r="2388">
          <cell r="E2388">
            <v>7011081</v>
          </cell>
          <cell r="F2388" t="str">
            <v>CATETER PARA SUCCION, TRANSPARENTE, NUMERADA EN CENTIMETROS,ATRAUMATICA, CON REGULACION DE VACIO, DESCARTABLE, 36 - 42 CM DELONGITUD, DIAMETRO 14 FRENCH, SUCCION EN LA PUNTA Y 2 VENTANASLATERALES, ESTERIL</v>
          </cell>
          <cell r="G2388" t="str">
            <v>UN</v>
          </cell>
        </row>
        <row r="2389">
          <cell r="E2389">
            <v>7011082</v>
          </cell>
          <cell r="F2389" t="str">
            <v>CATETER PARA TROMBOLISIS, CALIBRE 5 FRENCH, COMPATIBLE CON GUIA 0.035", DE 100 - 110 cm DE LONGITUD, CON MARCADORES RADIOPACOS</v>
          </cell>
          <cell r="G2389" t="str">
            <v>UN</v>
          </cell>
        </row>
        <row r="2390">
          <cell r="E2390">
            <v>7011083</v>
          </cell>
          <cell r="F2390" t="str">
            <v>CATETER RADIOPACO, DE 1.3 MM X 80 MM DE LONGITUD, CON AGUJA TOUHY 18 G X 31/4", DESCARTABLE, ESTERIL</v>
          </cell>
          <cell r="G2390" t="str">
            <v>UN</v>
          </cell>
        </row>
        <row r="2391">
          <cell r="E2391">
            <v>7011084</v>
          </cell>
          <cell r="F2391" t="str">
            <v>CATETER VENOSO  CENTRAL DE DOS VIAS, PARA INTRODUCCION POR VENA PERIFERICA, 27" - 30" DE LONGITUD, PERCUTANEO, CON MARCADORES RADIOPACOS, GRADUADO, CON DISPOSITIVO DE FIJACIÓN A PIEL, PARA INTRODUCCION POR TECNICA SELDINGER.</v>
          </cell>
          <cell r="G2391" t="str">
            <v>UN</v>
          </cell>
        </row>
        <row r="2392">
          <cell r="E2392">
            <v>7011085</v>
          </cell>
          <cell r="F2392" t="str">
            <v>CATETER VENOSO 7 FR. DE 3 VIAS, 20 - 30 CM DE LONGITUD, CON UNA VIA DE 16 G y DOS VIAS 18 G, CON INTRODUCTOR, AGUJA,  DILATADOR, GUIA METALICA PUNTA EN "J" Y DISPOSITIVOS DE FIJACION A PIEL, ESTERIL.</v>
          </cell>
          <cell r="G2392" t="str">
            <v>UN</v>
          </cell>
        </row>
        <row r="2393">
          <cell r="E2393">
            <v>7011086</v>
          </cell>
          <cell r="F2393" t="str">
            <v>CATETER VENOSO CENTRAL DE 2 VIAS, DIAMETRO7FRENCH, 20 - 30 CM DE LONGITUD, CON INTRODUCTOR, AGUJA, DILATADOR, GUIA METALICA PUNTAEN"J", Y DISPOSITIVOS DE FIJACION A PIEL,  ESTERIL.</v>
          </cell>
          <cell r="G2393" t="str">
            <v>UN</v>
          </cell>
        </row>
        <row r="2394">
          <cell r="E2394">
            <v>7011087</v>
          </cell>
          <cell r="F2394" t="str">
            <v>CATETER VENOSO CENTRAL DE 2 VIAS, DIAMETRO 8 FRENCH, 20 - 30 CM DE LONGITUD, CON INTRODUCTOR, AGUJA, DILATADOR, GUIA METALICA PUNTAEN "J" YDISPOSITIVOS DE FIJACION A PIEL, ESTERIL.</v>
          </cell>
          <cell r="G2394" t="str">
            <v>UN</v>
          </cell>
        </row>
        <row r="2395">
          <cell r="E2395">
            <v>7011088</v>
          </cell>
          <cell r="F2395" t="str">
            <v>CATETER VENOSO CENTRAL DE UNA VIA, DE 20 - 30 CM DE LONGITUD, 5 -6FRENCH DE DIAMETRO, CON INTRODUCTOR, AGUJA, DILATADOR, GUIA METALICA PUNTA EN "J" Y DISPOSITIVOS DE FIJACION A PIEL, ESTERIL.</v>
          </cell>
          <cell r="G2395" t="str">
            <v>UN</v>
          </cell>
        </row>
        <row r="2396">
          <cell r="E2396">
            <v>7011089</v>
          </cell>
          <cell r="F2396" t="str">
            <v>DESCARTABLE OSCURO PARA BOMBA DE INFUSION VOLUMETRICA, CON ADAPTADORLUER LOCK, EMPAQUE INDIVIDUAL ESTERIL, PARA LA ADMINISTRACION DEMEDICAMENTO FOTOSENSIBLE</v>
          </cell>
          <cell r="G2396" t="str">
            <v>UN</v>
          </cell>
        </row>
        <row r="2397">
          <cell r="E2397">
            <v>7011090</v>
          </cell>
          <cell r="F2397" t="str">
            <v>DESCARTABLE PARA BOMBA DE DOLOR DE TIPO PCA, COMPATIBLE CON MARCA Y MODELO DE EQUIPO INSTITUCIONAL</v>
          </cell>
          <cell r="G2397" t="str">
            <v>UN</v>
          </cell>
        </row>
        <row r="2398">
          <cell r="E2398">
            <v>7011091</v>
          </cell>
          <cell r="F2398" t="str">
            <v>DESCARTABLE PARA VENOCLISIS CON ADAPTADOR UNIVERSAL AL FRASCO Y SIN AGUJA, CON FILTRO DE VENTILACION CON ADAPTADOR DE LUER LOCK, CON DISPOSITIVO PARA INYECTAR PROXIMO AL PACIENTE</v>
          </cell>
          <cell r="G2398" t="str">
            <v>UN</v>
          </cell>
        </row>
        <row r="2399">
          <cell r="E2399">
            <v>7011092</v>
          </cell>
          <cell r="F2399" t="str">
            <v>DESCARTABLE TRANSPARENTE PARA BOMBA DE INFUSION VOLUMETRICA, CON ADAPTADOR LUER LOCK, EMPAQUE INDIVIDUAL ESTERIL</v>
          </cell>
          <cell r="G2399" t="str">
            <v>UN</v>
          </cell>
        </row>
        <row r="2400">
          <cell r="E2400">
            <v>7011093</v>
          </cell>
          <cell r="F2400" t="str">
            <v>DISPOSITIVO IMPLANTABLE PARA ACCESO VENOSO CENTRAL PARA ADULTO, QUE INCLUYA: PORTAL DE TITANEO DE UNA CAMARA CON DOMO CONVEXO DE CAUCHO SILICONADO,  CATETER VENOSO DE SILICON DE 8.5 - 9 FRENCH Y 70 - 80 CM DE LONGITUD, CON TUNELIZADOR</v>
          </cell>
          <cell r="G2400" t="str">
            <v>UN</v>
          </cell>
        </row>
        <row r="2401">
          <cell r="E2401">
            <v>7011094</v>
          </cell>
          <cell r="F2401" t="str">
            <v>EXTENSOR OSCURO, PARA JERINGA DE BOMBA PERFUSORA, CON ADAPTADOR LUERLOCK, LONGITUD DE 140 - 160 cm, DESCARTABLE, ESTERIL, PARA LAADMINISTRACION DE MEDICAMENTO FOTOSENSIBLE</v>
          </cell>
          <cell r="G2401" t="str">
            <v>UN</v>
          </cell>
        </row>
        <row r="2402">
          <cell r="E2402">
            <v>7011095</v>
          </cell>
          <cell r="F2402" t="str">
            <v>EXTENSOR TRANSPARENTE, PARA JERINGA DE BOMBA PERFUSORA, CON ADAPTADORLUER LOCK, LONGITUD DE 140 - 160 cm, DESCARTABLE, ESTERIL</v>
          </cell>
          <cell r="G2402" t="str">
            <v>UN</v>
          </cell>
        </row>
        <row r="2403">
          <cell r="E2403">
            <v>7011096</v>
          </cell>
          <cell r="F2403" t="str">
            <v>INFUSOR INTRAVENOSO, GRADUADO, CON MICROGOTERO DE 0 - 100 ML., ESTERIL, DESCARTABLE.</v>
          </cell>
          <cell r="G2403" t="str">
            <v>UN</v>
          </cell>
        </row>
        <row r="2404">
          <cell r="E2404">
            <v>7011097</v>
          </cell>
          <cell r="F2404" t="str">
            <v>INTRODUCTOR ARTERIAL CON VALVULA HEMOSTATICA FIJA,  DIAMETRO 8 FRENCH,HIDROFILICO, DE 8 A 10 CM. DE LONGITUD, CON GUIA 0.022" A 0.025"</v>
          </cell>
          <cell r="G2404" t="str">
            <v>UN</v>
          </cell>
        </row>
        <row r="2405">
          <cell r="E2405">
            <v>7011098</v>
          </cell>
          <cell r="F2405" t="str">
            <v>JERINGA CATETER DE 50 - 60 mL DESCARTABLE, ESTERIL, PUNTA TIPO TIP</v>
          </cell>
          <cell r="G2405" t="str">
            <v>UN</v>
          </cell>
        </row>
        <row r="2406">
          <cell r="E2406">
            <v>7011099</v>
          </cell>
          <cell r="F2406" t="str">
            <v>JERINGA CON ADAPTADOR LUER LOCK,  DE 10 mL CON AGUJA INCORPORADA  22 G X  1 1/2", DESCARTABLE, ESTERIL.</v>
          </cell>
          <cell r="G2406" t="str">
            <v>UN</v>
          </cell>
        </row>
        <row r="2407">
          <cell r="E2407">
            <v>7011100</v>
          </cell>
          <cell r="F2407" t="str">
            <v>JERINGA CON ADAPTADOR LUER LOCK,  DE 20 mL, DESCARTABLE, ESTERIL.</v>
          </cell>
          <cell r="G2407" t="str">
            <v>UN</v>
          </cell>
        </row>
        <row r="2408">
          <cell r="E2408">
            <v>7011101</v>
          </cell>
          <cell r="F2408" t="str">
            <v>JERINGA CON ADAPTADOR LUER LOCK,  DE 3 mL CON AGUJA INCORPORADA  22 GX  1 1/2", DESCARTABLE, ESTERIL.</v>
          </cell>
          <cell r="G2408" t="str">
            <v>UN</v>
          </cell>
        </row>
        <row r="2409">
          <cell r="E2409">
            <v>7011102</v>
          </cell>
          <cell r="F2409" t="str">
            <v>JERINGA CON ADAPTADOR LUER LOCK,  DE 30 mL, DESCARTABLE, ESTERIL.</v>
          </cell>
          <cell r="G2409" t="str">
            <v>UN</v>
          </cell>
        </row>
        <row r="2410">
          <cell r="E2410">
            <v>7011103</v>
          </cell>
          <cell r="F2410" t="str">
            <v>JERINGA CON ADAPTADOR LUER LOCK,  DE 5 mL CON AGUJA INCORPORADA  22 GX  1 1/2", DESCARTABLE, ESTERIL.</v>
          </cell>
          <cell r="G2410" t="str">
            <v>UN</v>
          </cell>
        </row>
        <row r="2411">
          <cell r="E2411">
            <v>7011104</v>
          </cell>
          <cell r="F2411" t="str">
            <v>JERINGA DE 1 ML CON ADAPTADOR LUER SLIP, AGUJA INCORPORADA, ESCALA DEMEDICION CON INTERVALOS DE 0.01 ML, AGUJA 23 G X  1", DESCARTABLE, ESTERIL.</v>
          </cell>
          <cell r="G2411" t="str">
            <v>UN</v>
          </cell>
        </row>
        <row r="2412">
          <cell r="E2412">
            <v>7011105</v>
          </cell>
          <cell r="F2412" t="str">
            <v>JERINGA DE 1 ML CON ADAPTADOR LUER SLIP, AGUJA INCORPORADA, ESCALA DEMEDICION CON INTERVALOS DE 0.01 ML, AGUJA 25 G X  3/8 - 5/8",DESCARTABLE, ESTERIL.</v>
          </cell>
          <cell r="G2412" t="str">
            <v>UN</v>
          </cell>
        </row>
        <row r="2413">
          <cell r="E2413">
            <v>7011106</v>
          </cell>
          <cell r="F2413" t="str">
            <v>JERINGA DE 1 ML CON ADAPTADOR LUER SLIP, AGUJA INCORPORADA, ESCALA DEMEDICION CON INTERVALOS DE 0.01 ML, AGUJA 26 - 28 G X  3/8 - 1/2", DESCARTABLE, ESTERIL.</v>
          </cell>
          <cell r="G2413" t="str">
            <v>UN</v>
          </cell>
        </row>
        <row r="2414">
          <cell r="E2414">
            <v>7011107</v>
          </cell>
          <cell r="F2414" t="str">
            <v>JERINGA DE 1 ML CON SISTEMA DE AUTOBLOQUEO, AGUJA 25 G X 5/8", DESCARTABLE, ESTERIL.</v>
          </cell>
          <cell r="G2414" t="str">
            <v>UN</v>
          </cell>
        </row>
        <row r="2415">
          <cell r="E2415">
            <v>7011108</v>
          </cell>
          <cell r="F2415" t="str">
            <v>JERINGA DE 3 Ml CON HEPARINA DE LITIO, SIN AGUJA, PARA TOMA DE GASES ARTERIALES</v>
          </cell>
          <cell r="G2415" t="str">
            <v>UN</v>
          </cell>
        </row>
        <row r="2416">
          <cell r="E2416">
            <v>7011109</v>
          </cell>
          <cell r="F2416" t="str">
            <v>JERINGA DE 50 ML, GRADUADA, CON ADAPTADOR LUER LOCK, DESCARTABLE,ESTERIL.</v>
          </cell>
          <cell r="G2416" t="str">
            <v>UN</v>
          </cell>
        </row>
        <row r="2417">
          <cell r="E2417">
            <v>7011110</v>
          </cell>
          <cell r="F2417" t="str">
            <v>JERINGA OSCURA DE 50 - 60 mL PARA BOMBA PERFUSORA. ANTIREFLUJO, SINAGUJA, CON ADAPTADOR LUER LOCK, GRADUADA, DESCARTABLE, ESTERI, PARA LAADMINISTRACION DE MEDICAMENTO FOTOSENSIBLE</v>
          </cell>
          <cell r="G2417" t="str">
            <v>UN</v>
          </cell>
        </row>
        <row r="2418">
          <cell r="E2418">
            <v>7011111</v>
          </cell>
          <cell r="F2418" t="str">
            <v>JERINGA PARA INSULINA DE 1 ML CON AGUJA INCORPORADA, ESCALA DE MEDICIONDE 100 UNIDADES CON INTERVALOS DE 10, AGUJA 28 - 30 G X  3/8- 1/2",DESCARTABLE, ESTERIL.</v>
          </cell>
          <cell r="G2418" t="str">
            <v>UN</v>
          </cell>
        </row>
        <row r="2419">
          <cell r="E2419">
            <v>7011112</v>
          </cell>
          <cell r="F2419" t="str">
            <v>JERINGA PARA TUBERCULINA DE 1 mL CON ADAPTADOR LUER SLIP, AGUJA INCORPORADA, ESCALA DE MEDICION CON INTERVALOS DE 0.01 ML, AGUJA 26- 27 G X3/8 - 1/2", DESCARTABLE, ESTERIL.</v>
          </cell>
          <cell r="G2419" t="str">
            <v>UN</v>
          </cell>
        </row>
        <row r="2420">
          <cell r="E2420">
            <v>7011113</v>
          </cell>
          <cell r="F2420" t="str">
            <v>JERINGA TRANSPARENTE DE 20 - 30 mL PARA BOMBA PERFUSORA, ANTIREFLUJO,SIN AGUJA, CON ADAPTADOR LUER LOCK, GRADUADA, DESCARTABLE, ESTERIL</v>
          </cell>
          <cell r="G2420" t="str">
            <v>UN</v>
          </cell>
        </row>
        <row r="2421">
          <cell r="E2421">
            <v>7011114</v>
          </cell>
          <cell r="F2421" t="str">
            <v>JERINGA TRANSPARENTE DE 50 - 60 mL PARA BOMBA PERFUSORA, ANTIREFLUJO,SIN AGUJA, CON ADAPTADOR LUER LOCK, GRADUADA, DESCARTABLE, ESTERIL</v>
          </cell>
          <cell r="G2421" t="str">
            <v>UN</v>
          </cell>
        </row>
        <row r="2422">
          <cell r="E2422">
            <v>7011115</v>
          </cell>
          <cell r="F2422" t="str">
            <v>LLAVE  DE 3 VIAS CON  2 ADAPTADORES HEMBRA  LUER LOCK Y UNO MACHO SIMPLE, DESCARTABLE  ESTERIL</v>
          </cell>
          <cell r="G2422" t="str">
            <v>UN</v>
          </cell>
        </row>
        <row r="2423">
          <cell r="E2423">
            <v>7011116</v>
          </cell>
          <cell r="F2423" t="str">
            <v>SET DE INFUSION CON PUERTO EN "Y", Y AGUJA TIPO MARIPOSA DE 19 G. X 3/4" DE LONGITUD, EN ANGULO DE 90 GRADOS CON EXTENSION DE 8".</v>
          </cell>
          <cell r="G2423" t="str">
            <v>SET</v>
          </cell>
        </row>
        <row r="2424">
          <cell r="E2424">
            <v>7011117</v>
          </cell>
          <cell r="F2424" t="str">
            <v>SET DE INFUSION CON PUERTO EN "Y", Y AGUJA TIPO MARIPOSA DE 20 G. X 3/4" DE LONGITUD, EN ANGULO DE 90 GRADOS CON EXTENSION DE 8".</v>
          </cell>
          <cell r="G2424" t="str">
            <v>SET</v>
          </cell>
        </row>
        <row r="2425">
          <cell r="E2425">
            <v>7011118</v>
          </cell>
          <cell r="F2425" t="str">
            <v>SISTEMA DE DRENAJE CERRADO DE SILICON PARA HERIDAS, RESERVORIO DE 50 - 100 ML, QUE INCLUYA TROCAR DE INTRODUCCION</v>
          </cell>
          <cell r="G2425" t="str">
            <v>UN</v>
          </cell>
        </row>
        <row r="2426">
          <cell r="E2426">
            <v>7011119</v>
          </cell>
          <cell r="F2426" t="str">
            <v>SONDA DE HULE TIPO PEZZER, # 22</v>
          </cell>
          <cell r="G2426" t="str">
            <v>UN</v>
          </cell>
        </row>
        <row r="2427">
          <cell r="E2427">
            <v>7011120</v>
          </cell>
          <cell r="F2427" t="str">
            <v>SONDA DE HULE TIPO PEZZER, # 22</v>
          </cell>
          <cell r="G2427" t="str">
            <v>UN</v>
          </cell>
        </row>
        <row r="2428">
          <cell r="E2428">
            <v>7011121</v>
          </cell>
          <cell r="F2428" t="str">
            <v>TAPON DE CIERRE Y MEMBRANA DE LATEX (SELLO DE HEPARINA).</v>
          </cell>
          <cell r="G2428" t="str">
            <v>UN</v>
          </cell>
        </row>
        <row r="2429">
          <cell r="E2429">
            <v>7011122</v>
          </cell>
          <cell r="F2429" t="str">
            <v>TUBO CONECTOR DE PLASTICO, UNIVERSAL, PARA VARIAS  MEDIDAS DE CATETER, TIPO COCODRILO.</v>
          </cell>
          <cell r="G2429" t="str">
            <v>UN</v>
          </cell>
        </row>
        <row r="2430">
          <cell r="E2430">
            <v>7011123</v>
          </cell>
          <cell r="F2430" t="str">
            <v>UNIDAD DE TRANSFERENCIA PARA LIQUIDOS ESTERILES</v>
          </cell>
          <cell r="G2430" t="str">
            <v>UN</v>
          </cell>
        </row>
        <row r="2431">
          <cell r="E2431">
            <v>7012090</v>
          </cell>
          <cell r="F2431" t="str">
            <v>BOLSA DESCARTABLE GRADUADA A 100 mL, PARA RECOLECTAR ORINA EN RECIEN NACIDOS.</v>
          </cell>
          <cell r="G2431" t="str">
            <v>UN</v>
          </cell>
        </row>
        <row r="2432">
          <cell r="E2432">
            <v>7012091</v>
          </cell>
          <cell r="F2432" t="str">
            <v>BOLSA PARA DRENAJE URINARIO, DE MATERIAL TRANSPARENTE CON CAPACIDAD DE 500 - 600 mL, ADAPTABLE A PIERNA POR BANDAS, CON VALVULA DE VACIADO,CON CLICK DE SELLADO, ESTERIL.</v>
          </cell>
          <cell r="G2432" t="str">
            <v>UN</v>
          </cell>
        </row>
        <row r="2433">
          <cell r="E2433">
            <v>7012092</v>
          </cell>
          <cell r="F2433" t="str">
            <v>BOLSA PARA DRENO, CAPACIDAD DE 200 mL, CON ADHESIVO A PIEL Y VALVULA DE VACIADO, DESCARTABLE, ESTERIL</v>
          </cell>
          <cell r="G2433" t="str">
            <v>UN</v>
          </cell>
        </row>
        <row r="2434">
          <cell r="E2434">
            <v>7012093</v>
          </cell>
          <cell r="F2434" t="str">
            <v>BOLSA RECOLECTORA DE ORINA.LATEX # 16. PARA USO EN PACIENTE PARAPLEJICO</v>
          </cell>
          <cell r="G2434" t="str">
            <v>UN</v>
          </cell>
        </row>
        <row r="2435">
          <cell r="E2435">
            <v>7012094</v>
          </cell>
          <cell r="F2435" t="str">
            <v>CATETER TORAXICO # 10</v>
          </cell>
          <cell r="G2435" t="str">
            <v>UN</v>
          </cell>
        </row>
        <row r="2436">
          <cell r="E2436">
            <v>7012095</v>
          </cell>
          <cell r="F2436" t="str">
            <v>CATETER TORAXICO # 12</v>
          </cell>
          <cell r="G2436" t="str">
            <v>UN</v>
          </cell>
        </row>
        <row r="2437">
          <cell r="E2437">
            <v>7012096</v>
          </cell>
          <cell r="F2437" t="str">
            <v>CATETER TORAXICO # 14</v>
          </cell>
          <cell r="G2437" t="str">
            <v>UN</v>
          </cell>
        </row>
        <row r="2438">
          <cell r="E2438">
            <v>7012097</v>
          </cell>
          <cell r="F2438" t="str">
            <v>CATETER TORAXICO RECTO, # 28, DESCARTABLE. ESTERIL</v>
          </cell>
          <cell r="G2438" t="str">
            <v>UN</v>
          </cell>
        </row>
        <row r="2439">
          <cell r="E2439">
            <v>7012098</v>
          </cell>
          <cell r="F2439" t="str">
            <v>CATETER TORAXICO RECTO, # 32, DESCARTABLE ESTERIL</v>
          </cell>
          <cell r="G2439" t="str">
            <v>UN</v>
          </cell>
        </row>
        <row r="2440">
          <cell r="E2440">
            <v>7012099</v>
          </cell>
          <cell r="F2440" t="str">
            <v>CATETER TORAXICO RECTO, # 36, DESCARTABLE ESTERIL</v>
          </cell>
          <cell r="G2440" t="str">
            <v>UN</v>
          </cell>
        </row>
        <row r="2441">
          <cell r="E2441">
            <v>7012100</v>
          </cell>
          <cell r="F2441" t="str">
            <v>DRENO BLANDO DE HULE DE 18" X 1", EN EMPAQUE INDIVIDUAL.</v>
          </cell>
          <cell r="G2441" t="str">
            <v>UN</v>
          </cell>
        </row>
        <row r="2442">
          <cell r="E2442">
            <v>7012101</v>
          </cell>
          <cell r="F2442" t="str">
            <v>DRENO BLANDO DE HULE DE 18" X 1/2", EN EMPAQUE INDIVIDUAL.</v>
          </cell>
          <cell r="G2442" t="str">
            <v>UN</v>
          </cell>
        </row>
        <row r="2443">
          <cell r="E2443">
            <v>7012102</v>
          </cell>
          <cell r="F2443" t="str">
            <v>DRENO BLANDO DE HULE DE 18" X 1/4", EN EMPAQUE INDIVIDUAL.</v>
          </cell>
          <cell r="G2443" t="str">
            <v>UN</v>
          </cell>
        </row>
        <row r="2444">
          <cell r="E2444">
            <v>7012103</v>
          </cell>
          <cell r="F2444" t="str">
            <v>DRENO BLANDO DE HULE DE 18" X 3/8", EN EMPAQUE INDIVIDUAL.</v>
          </cell>
          <cell r="G2444" t="str">
            <v>UN</v>
          </cell>
        </row>
        <row r="2445">
          <cell r="E2445">
            <v>7012104</v>
          </cell>
          <cell r="F2445" t="str">
            <v>DRENO BLANDO DE HULE DE 18" X 5/8", EN EMPAQUE INDIVIDUAL ESTERIL.</v>
          </cell>
          <cell r="G2445" t="str">
            <v>UN</v>
          </cell>
        </row>
        <row r="2446">
          <cell r="E2446">
            <v>7012105</v>
          </cell>
          <cell r="F2446" t="str">
            <v>FRASCO RECOLECTOR DE PLASTICO PARA SUCCION CON BRACKET Y TAPADERA DE 1300 CC, CON TRAMPA DE SOBREFLUJO</v>
          </cell>
          <cell r="G2446" t="str">
            <v>UN</v>
          </cell>
        </row>
        <row r="2447">
          <cell r="E2447">
            <v>7012106</v>
          </cell>
          <cell r="F2447" t="str">
            <v>HEMOSUCCION CERRADA 400 CC. CON  AGUJA 6 1/4"</v>
          </cell>
          <cell r="G2447" t="str">
            <v>UN</v>
          </cell>
        </row>
        <row r="2448">
          <cell r="E2448">
            <v>7012107</v>
          </cell>
          <cell r="F2448" t="str">
            <v>SISTEMA CERRADO DE DRENAJE TORAXICO, ESTERIL, CON ESCALA MEDIDORA DE PRESION Y DESCARTABLE, 3 CAMARAS, CAPACIDAD DE LA BOLSA DE 1000 - 2500CC.</v>
          </cell>
          <cell r="G2448" t="str">
            <v>UN</v>
          </cell>
        </row>
        <row r="2449">
          <cell r="E2449">
            <v>7012108</v>
          </cell>
          <cell r="F2449" t="str">
            <v>SISTEMA CERRADO PARA DRENAJE URINARIO CON CAJA CUENTA GOTAS DE 500 - 600 ML, VALVULA ANTIRREFLUJO CON BOLSA RECOLECTORA CON DRENAJEAL EXTERIOR CON CAPACIDAD DE 1500 - 2000 ML CON SISTEMA DE BLOQUEO Y FILTRO BACTERIANO.</v>
          </cell>
          <cell r="G2449" t="str">
            <v>UN</v>
          </cell>
        </row>
        <row r="2450">
          <cell r="E2450">
            <v>7012109</v>
          </cell>
          <cell r="F2450" t="str">
            <v>SISTEMA DE DRENAJE CERRADO DE SILICON, REDONDO, ACANALADO, PARA USO VASCULAR # 15 RESERVORIO DE 100 ML</v>
          </cell>
          <cell r="G2450" t="str">
            <v>UN</v>
          </cell>
        </row>
        <row r="2451">
          <cell r="E2451">
            <v>7012110</v>
          </cell>
          <cell r="F2451" t="str">
            <v>SISTEMA DE DRENAJE CERRADO DE SILICON, REDONDO, ACANALADO, PARA USO VASCULAR # 19 RESERVORIO DE 100 ML</v>
          </cell>
          <cell r="G2451" t="str">
            <v>UN</v>
          </cell>
        </row>
        <row r="2452">
          <cell r="E2452">
            <v>7012111</v>
          </cell>
          <cell r="F2452" t="str">
            <v>SISTEMA DE DRENAJE URINARIO CERRADO CON VALVULA DE ANTIRREFLUJO, CON CAPACIDAD DE 1500 - 1600 ML., FILTRO BACTERIOLOGICO, CON TUBO DE CONEXION DE PVC DE 3/8 DE DIAMETRO INTERNO, CON TUBO PARA TOMA DE MUESTRAS Y CLAN INTERRUPTOR. ESTERIL.</v>
          </cell>
          <cell r="G2452" t="str">
            <v>UN</v>
          </cell>
        </row>
        <row r="2453">
          <cell r="E2453">
            <v>7012112</v>
          </cell>
          <cell r="F2453" t="str">
            <v>SONDA DE ALIMENTACION # 10, ESTERIL</v>
          </cell>
          <cell r="G2453" t="str">
            <v>UN</v>
          </cell>
        </row>
        <row r="2454">
          <cell r="E2454">
            <v>7012113</v>
          </cell>
          <cell r="F2454" t="str">
            <v>SONDA DE ALIMENTACION, DIAMETRO 5 FRENCH, DE P. V. C. GRADO MEDICO, MARCADA EN CENTIMETROS, DESCARTABLE, ESTERIL</v>
          </cell>
          <cell r="G2454" t="str">
            <v>UN</v>
          </cell>
        </row>
        <row r="2455">
          <cell r="E2455">
            <v>7012114</v>
          </cell>
          <cell r="F2455" t="str">
            <v>SONDA DE ALIMENTACION, DIAMETRO 5 FRENCH, DE P. V. C. GRADO MEDICO, MARCADA EN CENTIMETROS, DESCARTABLE, ESTERIL</v>
          </cell>
          <cell r="G2455" t="str">
            <v>UN</v>
          </cell>
        </row>
        <row r="2456">
          <cell r="E2456">
            <v>7012115</v>
          </cell>
          <cell r="F2456" t="str">
            <v>SONDA DE ALIMENTACION, DIAMETRO 5 FRENCH, DE P. V. C. GRADO MEDICO, MARCADA EN CENTIMETROS, DESCARTABLE, ESTERIL</v>
          </cell>
          <cell r="G2456" t="str">
            <v>UN</v>
          </cell>
        </row>
        <row r="2457">
          <cell r="E2457">
            <v>7012116</v>
          </cell>
          <cell r="F2457" t="str">
            <v>SONDA DE ALIMENTACION, DIAMETRO 5 FRENCH, DE P. V. C. GRADO MEDICO, MARCADA EN CENTIMETROS, DESCARTABLE, ESTERIL</v>
          </cell>
          <cell r="G2457" t="str">
            <v>UN</v>
          </cell>
        </row>
        <row r="2458">
          <cell r="E2458">
            <v>7012117</v>
          </cell>
          <cell r="F2458" t="str">
            <v>SONDA DE ALIMENTACION, DIAMETRO 5 FRENCH, DE P. V. C. GRADO MEDICO, MARCADA EN CENTIMETROS, DESCARTABLE, ESTERIL</v>
          </cell>
          <cell r="G2458" t="str">
            <v>UN</v>
          </cell>
        </row>
        <row r="2459">
          <cell r="E2459">
            <v>7012118</v>
          </cell>
          <cell r="F2459" t="str">
            <v>SONDA DE ALIMENTACION, DIAMETRO 5 FRENCH, DE P. V. C. GRADO MEDICO, MARCADA EN CENTIMETROS, DESCARTABLE, ESTERIL</v>
          </cell>
          <cell r="G2459" t="str">
            <v>UN</v>
          </cell>
        </row>
        <row r="2460">
          <cell r="E2460">
            <v>7012119</v>
          </cell>
          <cell r="F2460" t="str">
            <v>SONDA DE ALIMENTACION, DIAMETRO 5 FRENCH, DE P. V. C. GRADO MEDICO, MARCADA EN CENTIMETROS, DESCARTABLE, ESTERIL</v>
          </cell>
          <cell r="G2460" t="str">
            <v>UN</v>
          </cell>
        </row>
        <row r="2461">
          <cell r="E2461">
            <v>7012120</v>
          </cell>
          <cell r="F2461" t="str">
            <v>SONDA DE ALIMENTACION, DIAMETRO 5 FRENCH, DE P. V. C. GRADO MEDICO, MARCADA EN CENTIMETROS, DESCARTABLE, ESTERIL</v>
          </cell>
          <cell r="G2461" t="str">
            <v>UN</v>
          </cell>
        </row>
        <row r="2462">
          <cell r="E2462">
            <v>7012121</v>
          </cell>
          <cell r="F2462" t="str">
            <v>SONDA DE ALIMENTACION, DIAMETRO 5 FRENCH, DE P. V. C. GRADO MEDICO, MARCADA EN CENTIMETROS, DESCARTABLE, ESTERIL</v>
          </cell>
          <cell r="G2462" t="str">
            <v>UN</v>
          </cell>
        </row>
        <row r="2463">
          <cell r="E2463">
            <v>7012122</v>
          </cell>
          <cell r="F2463" t="str">
            <v>SONDA DE ALIMENTACION, DIAMETRO 5 FRENCH, DE P. V. C. GRADO MEDICO, MARCADA EN CENTIMETROS, DESCARTABLE, ESTERIL</v>
          </cell>
          <cell r="G2463" t="str">
            <v>UN</v>
          </cell>
        </row>
        <row r="2464">
          <cell r="E2464">
            <v>7012123</v>
          </cell>
          <cell r="F2464" t="str">
            <v>SONDA DE ALIMENTACION, DIAMETRO 5 FRENCH, DE P. V. C. GRADO MEDICO, MARCADA EN CENTIMETROS, DESCARTABLE, ESTERIL</v>
          </cell>
          <cell r="G2464" t="str">
            <v>UN</v>
          </cell>
        </row>
        <row r="2465">
          <cell r="E2465">
            <v>7012124</v>
          </cell>
          <cell r="F2465" t="str">
            <v>SONDA DE ALIMENTACION, DIAMETRO 5 FRENCH, DE P. V. C. GRADO MEDICO, MARCADA EN CENTIMETROS, DESCARTABLE, ESTERIL</v>
          </cell>
          <cell r="G2465" t="str">
            <v>UN</v>
          </cell>
        </row>
        <row r="2466">
          <cell r="E2466">
            <v>7012125</v>
          </cell>
          <cell r="F2466" t="str">
            <v>SONDA DE ALIMENTACION, DIAMETRO 5 FRENCH, DE P. V. C. GRADO MEDICO, MARCADA EN CENTIMETROS, DESCARTABLE, ESTERIL</v>
          </cell>
          <cell r="G2466" t="str">
            <v>UN</v>
          </cell>
        </row>
        <row r="2467">
          <cell r="E2467">
            <v>7012126</v>
          </cell>
          <cell r="F2467" t="str">
            <v>SONDA DE ALIMENTACION, DIAMETRO 8 FRENCH, DE P. V. C. GRADO MEDICO, MARCADA EN CENTIMETROS, DESCARTABLE, ESTERIL</v>
          </cell>
          <cell r="G2467" t="str">
            <v>UN</v>
          </cell>
        </row>
        <row r="2468">
          <cell r="E2468">
            <v>7012127</v>
          </cell>
          <cell r="F2468" t="str">
            <v>SONDA DE HULE TIPO PEZZER, # 10</v>
          </cell>
          <cell r="G2468" t="str">
            <v>UN</v>
          </cell>
        </row>
        <row r="2469">
          <cell r="E2469">
            <v>7012128</v>
          </cell>
          <cell r="F2469" t="str">
            <v>SONDA DE HULE TIPO PEZZER, # 12</v>
          </cell>
          <cell r="G2469" t="str">
            <v>UN</v>
          </cell>
        </row>
        <row r="2470">
          <cell r="E2470">
            <v>7012129</v>
          </cell>
          <cell r="F2470" t="str">
            <v>SONDA DE HULE TIPO PEZZER, # 18</v>
          </cell>
          <cell r="G2470" t="str">
            <v>UN</v>
          </cell>
        </row>
        <row r="2471">
          <cell r="E2471">
            <v>7012130</v>
          </cell>
          <cell r="F2471" t="str">
            <v>SONDA EN "T" # 12, DE SILICONIZADA.</v>
          </cell>
          <cell r="G2471" t="str">
            <v>UN</v>
          </cell>
        </row>
        <row r="2472">
          <cell r="E2472">
            <v>7012131</v>
          </cell>
          <cell r="F2472" t="str">
            <v>SONDA EN "T" # 14, DE SILICONIZADA.</v>
          </cell>
          <cell r="G2472" t="str">
            <v>UN</v>
          </cell>
        </row>
        <row r="2473">
          <cell r="E2473">
            <v>7012132</v>
          </cell>
          <cell r="F2473" t="str">
            <v>SONDA EN "T" # 16, DE SILICONIZADA.</v>
          </cell>
          <cell r="G2473" t="str">
            <v>UN</v>
          </cell>
        </row>
        <row r="2474">
          <cell r="E2474">
            <v>7012133</v>
          </cell>
          <cell r="F2474" t="str">
            <v>SONDA EN "T" # 18, DE  SILICONIZADA.</v>
          </cell>
          <cell r="G2474" t="str">
            <v>UN</v>
          </cell>
        </row>
        <row r="2475">
          <cell r="E2475">
            <v>7012134</v>
          </cell>
          <cell r="F2475" t="str">
            <v>SONDA EN "T" # 20, DE SILICONIZADA.</v>
          </cell>
          <cell r="G2475" t="str">
            <v>UN</v>
          </cell>
        </row>
        <row r="2476">
          <cell r="E2476">
            <v>7012135</v>
          </cell>
          <cell r="F2476" t="str">
            <v>SONDA FOLEY # 10, BALON 3 - 5 mL., SILICONIZADA.</v>
          </cell>
          <cell r="G2476" t="str">
            <v>UN</v>
          </cell>
        </row>
        <row r="2477">
          <cell r="E2477">
            <v>7012136</v>
          </cell>
          <cell r="F2477" t="str">
            <v>SONDA FOLEY # 12, BALON 5 - 15 mL., SILICONIZADA.</v>
          </cell>
          <cell r="G2477" t="str">
            <v>UN</v>
          </cell>
        </row>
        <row r="2478">
          <cell r="E2478">
            <v>7012137</v>
          </cell>
          <cell r="F2478" t="str">
            <v>SONDA FOLEY # 14, BALON 15 - 30 mL., SILICONIZADA.</v>
          </cell>
          <cell r="G2478" t="str">
            <v>UN</v>
          </cell>
        </row>
        <row r="2479">
          <cell r="E2479">
            <v>7012138</v>
          </cell>
          <cell r="F2479" t="str">
            <v>SONDA FOLEY # 16, BALON 15 - 30 mL., SILICONIZADA.</v>
          </cell>
          <cell r="G2479" t="str">
            <v>UN</v>
          </cell>
        </row>
        <row r="2480">
          <cell r="E2480">
            <v>7012139</v>
          </cell>
          <cell r="F2480" t="str">
            <v>SONDA FOLEY # 16, DE 3 VIAS, BALON 14 - 30 mL. SILICONIZADA</v>
          </cell>
          <cell r="G2480" t="str">
            <v>UN</v>
          </cell>
        </row>
        <row r="2481">
          <cell r="E2481">
            <v>7012140</v>
          </cell>
          <cell r="F2481" t="str">
            <v>SONDA FOLEY # 18, BALON 15 - 30 mL., SILICONIZADA.</v>
          </cell>
          <cell r="G2481" t="str">
            <v>UN</v>
          </cell>
        </row>
        <row r="2482">
          <cell r="E2482">
            <v>7012141</v>
          </cell>
          <cell r="F2482" t="str">
            <v>SONDA FOLEY # 20, BALON 15 - 30 mL., SILICONIZADA.</v>
          </cell>
          <cell r="G2482" t="str">
            <v>UN</v>
          </cell>
        </row>
        <row r="2483">
          <cell r="E2483">
            <v>7012142</v>
          </cell>
          <cell r="F2483" t="str">
            <v>SONDA FOLEY # 20, BALON 75mL, SILICONIZADA</v>
          </cell>
          <cell r="G2483" t="str">
            <v>UN</v>
          </cell>
        </row>
        <row r="2484">
          <cell r="E2484">
            <v>7012143</v>
          </cell>
          <cell r="F2484" t="str">
            <v>SONDA FOLEY # 22, BALON 15 - 30 mL., SILICONIZADA.</v>
          </cell>
          <cell r="G2484" t="str">
            <v>UN</v>
          </cell>
        </row>
        <row r="2485">
          <cell r="E2485">
            <v>7012144</v>
          </cell>
          <cell r="F2485" t="str">
            <v>SONDA FOLEY # 22, DE 3 VIAS, BALON 14 - 30 mL. SILICONIZADA</v>
          </cell>
          <cell r="G2485" t="str">
            <v>UN</v>
          </cell>
        </row>
        <row r="2486">
          <cell r="E2486">
            <v>7012145</v>
          </cell>
          <cell r="F2486" t="str">
            <v>SONDA FOLEY # 24, BALON 15 - 30 mL., SILICONIZADA.</v>
          </cell>
          <cell r="G2486" t="str">
            <v>UN</v>
          </cell>
        </row>
        <row r="2487">
          <cell r="E2487">
            <v>7012146</v>
          </cell>
          <cell r="F2487" t="str">
            <v>SONDA FOLEY # 24, BALON 75mL. SILICONIZADA</v>
          </cell>
          <cell r="G2487" t="str">
            <v>UN</v>
          </cell>
        </row>
        <row r="2488">
          <cell r="E2488">
            <v>7012147</v>
          </cell>
          <cell r="F2488" t="str">
            <v>SONDA FOLEY # 24, DE 3 VIAS, BALON 15 - 30 mL.</v>
          </cell>
          <cell r="G2488" t="str">
            <v>UN</v>
          </cell>
        </row>
        <row r="2489">
          <cell r="E2489">
            <v>7012148</v>
          </cell>
          <cell r="F2489" t="str">
            <v>SONDA FOLEY # 26, BALON 15 - 30 mL., SILICONIZADA.</v>
          </cell>
          <cell r="G2489" t="str">
            <v>UN</v>
          </cell>
        </row>
        <row r="2490">
          <cell r="E2490">
            <v>7012149</v>
          </cell>
          <cell r="F2490" t="str">
            <v>SONDA FOLEY # 26, BALON 75mL. SILICONIZADA</v>
          </cell>
          <cell r="G2490" t="str">
            <v>UN</v>
          </cell>
        </row>
        <row r="2491">
          <cell r="E2491">
            <v>7012150</v>
          </cell>
          <cell r="F2491" t="str">
            <v>SONDA FOLEY # 26, DE 3 VIAS,  BALON DE 15 - 30 mL. SILICONIZADA</v>
          </cell>
          <cell r="G2491" t="str">
            <v>UN</v>
          </cell>
        </row>
        <row r="2492">
          <cell r="E2492">
            <v>7012151</v>
          </cell>
          <cell r="F2492" t="str">
            <v>SONDA FOLEY # 6, BALON DE 3 - 5 mL., SILICONIZADA.</v>
          </cell>
          <cell r="G2492" t="str">
            <v>UN</v>
          </cell>
        </row>
        <row r="2493">
          <cell r="E2493">
            <v>7012152</v>
          </cell>
          <cell r="F2493" t="str">
            <v>SONDA FOLEY # 8, BALON DE 3 - 5 mL., SILICONIZADA.</v>
          </cell>
          <cell r="G2493" t="str">
            <v>UN</v>
          </cell>
        </row>
        <row r="2494">
          <cell r="E2494">
            <v>7012153</v>
          </cell>
          <cell r="F2494" t="str">
            <v>SONDA FOLEY #22,BALON 75mL. SILICONIZADA</v>
          </cell>
          <cell r="G2494" t="str">
            <v>UN</v>
          </cell>
        </row>
        <row r="2495">
          <cell r="E2495">
            <v>7012154</v>
          </cell>
          <cell r="F2495" t="str">
            <v>SONDA NASOGASTRICA DE REFLUJO DE 2 VIAS, TRANSPARENTE, PARA RECIEN NACIDOS.</v>
          </cell>
          <cell r="G2495" t="str">
            <v>UN</v>
          </cell>
        </row>
        <row r="2496">
          <cell r="E2496">
            <v>7012155</v>
          </cell>
          <cell r="F2496" t="str">
            <v>SONDA NASOGASTRICA LEVIN # 10, DESCARTABLE, ESTERIL</v>
          </cell>
          <cell r="G2496" t="str">
            <v>UN</v>
          </cell>
        </row>
        <row r="2497">
          <cell r="E2497">
            <v>7012156</v>
          </cell>
          <cell r="F2497" t="str">
            <v>SONDA NASOGASTRICA LEVIN # 16, DESCARTABLE, ESTERIL</v>
          </cell>
          <cell r="G2497" t="str">
            <v>UN</v>
          </cell>
        </row>
        <row r="2498">
          <cell r="E2498">
            <v>7012157</v>
          </cell>
          <cell r="F2498" t="str">
            <v>SONDA NASOGASTRICA LEVIN # 18, DESCARTABLE, ESTERIL</v>
          </cell>
          <cell r="G2498" t="str">
            <v>UN</v>
          </cell>
        </row>
        <row r="2499">
          <cell r="E2499">
            <v>7012158</v>
          </cell>
          <cell r="F2499" t="str">
            <v>SONDA NASOGASTRICA TIPO LEVIN, # 5, ESTERIL, DESCARTABLE</v>
          </cell>
          <cell r="G2499" t="str">
            <v>UN</v>
          </cell>
        </row>
        <row r="2500">
          <cell r="E2500">
            <v>7012159</v>
          </cell>
          <cell r="F2500" t="str">
            <v>SONDA NASOGASTRICA TIPO LEVIN, # 8, ESTERIL, DESCARTABLE</v>
          </cell>
          <cell r="G2500" t="str">
            <v>UN</v>
          </cell>
        </row>
        <row r="2501">
          <cell r="E2501">
            <v>7012160</v>
          </cell>
          <cell r="F2501" t="str">
            <v>SONDA NASOYEYUNAL DE LARGA DURACION, 10 FRENCH, CON PUNTA DE TUNGSTENO, GUIA METALICA, ESTERIL, PARA COLOCACION MANUAL</v>
          </cell>
          <cell r="G2501" t="str">
            <v>UN</v>
          </cell>
        </row>
        <row r="2502">
          <cell r="E2502">
            <v>7012161</v>
          </cell>
          <cell r="F2502" t="str">
            <v>SONDA NASOYEYUNAL DE LARGA DURACION, 12 FRENCH, CON PUNTA DE TUNGSTENO, GUIA METALICA, ESTERIL, PARA COLOCACION MANUAL</v>
          </cell>
          <cell r="G2502" t="str">
            <v>UN</v>
          </cell>
        </row>
        <row r="2503">
          <cell r="E2503">
            <v>7012162</v>
          </cell>
          <cell r="F2503" t="str">
            <v>SONDA NASOYEYUNAL DE LARGA DURACION, 8 FRENCH, CON PUNTA DE TUNGSTENO, GUIA METALICA, ESTERIL, PARA COLOCACION MANUAL</v>
          </cell>
          <cell r="G2503" t="str">
            <v>UN</v>
          </cell>
        </row>
        <row r="2504">
          <cell r="E2504">
            <v>7012163</v>
          </cell>
          <cell r="F2504" t="str">
            <v>SONDA NELATON #  8, TRANSPARENTE, ESTERIL</v>
          </cell>
          <cell r="G2504" t="str">
            <v>UN</v>
          </cell>
        </row>
        <row r="2505">
          <cell r="E2505">
            <v>7012164</v>
          </cell>
          <cell r="F2505" t="str">
            <v>SONDA NELATON # 10, TRANSPARENTE, ESTERIL</v>
          </cell>
          <cell r="G2505" t="str">
            <v>UN</v>
          </cell>
        </row>
        <row r="2506">
          <cell r="E2506">
            <v>7012165</v>
          </cell>
          <cell r="F2506" t="str">
            <v>SONDA NELATON # 12, TRANSPARENTE, ESTERIL</v>
          </cell>
          <cell r="G2506" t="str">
            <v>UN</v>
          </cell>
        </row>
        <row r="2507">
          <cell r="E2507">
            <v>7012166</v>
          </cell>
          <cell r="F2507" t="str">
            <v>SONDA NELATON # 14, TRANSPARENTE, ESTERIL</v>
          </cell>
          <cell r="G2507" t="str">
            <v>UN</v>
          </cell>
        </row>
        <row r="2508">
          <cell r="E2508">
            <v>7012167</v>
          </cell>
          <cell r="F2508" t="str">
            <v>SONDA NELATON # 16, TRANSPARENTE, ESTERIL</v>
          </cell>
          <cell r="G2508" t="str">
            <v>UN</v>
          </cell>
        </row>
        <row r="2509">
          <cell r="E2509">
            <v>7012168</v>
          </cell>
          <cell r="F2509" t="str">
            <v>SONDA NELATON # 18, TRANSPARENTE, ESTERIL</v>
          </cell>
          <cell r="G2509" t="str">
            <v>UN</v>
          </cell>
        </row>
        <row r="2510">
          <cell r="E2510">
            <v>7012169</v>
          </cell>
          <cell r="F2510" t="str">
            <v>SONDA NELATON # 20, TRANSPARENTE, ESTERIL</v>
          </cell>
          <cell r="G2510" t="str">
            <v>UN</v>
          </cell>
        </row>
        <row r="2511">
          <cell r="E2511">
            <v>7013042</v>
          </cell>
          <cell r="F2511" t="str">
            <v xml:space="preserve">ALCOHOL ETILICO 90º MINIMO              </v>
          </cell>
          <cell r="G2511" t="str">
            <v>GALON</v>
          </cell>
        </row>
        <row r="2512">
          <cell r="E2512">
            <v>7013070</v>
          </cell>
          <cell r="F2512" t="str">
            <v>ALCOHOL ETILICO DESNATURALIZADO 70% ENVASE 1 LITRO</v>
          </cell>
          <cell r="G2512" t="str">
            <v>L</v>
          </cell>
        </row>
        <row r="2513">
          <cell r="E2513">
            <v>7013071</v>
          </cell>
          <cell r="F2513" t="str">
            <v>ALCOHOL ISOPROPILICO 60 - 90 % ó ALCOHOL ETILICO 70% CON EMOLIENTES GEL FRASCO O BOLSA DE 500 ML</v>
          </cell>
          <cell r="G2513" t="str">
            <v>UN</v>
          </cell>
        </row>
        <row r="2514">
          <cell r="E2514">
            <v>7013072</v>
          </cell>
          <cell r="F2514" t="str">
            <v>ALCOHOL ISOPROPILICO 60 - 90 % ó ALCOHOL ETILICO 70% CON EMOLIENTES GEL FRASCO O BOLSA DE 500 ML</v>
          </cell>
          <cell r="G2514" t="str">
            <v>UN</v>
          </cell>
        </row>
        <row r="2515">
          <cell r="E2515">
            <v>7013073</v>
          </cell>
          <cell r="F2515" t="str">
            <v>BOLSA COMBINADA PAPEL - PLASTICO, GRADO MEDICO, PARA ESTERILIZAR A BAJA Y ALTA TEMPERATURA, 10 - 15  cm  DE ANCHO X 20 - 30  cm DE LARGO</v>
          </cell>
          <cell r="G2515" t="str">
            <v>UN</v>
          </cell>
        </row>
        <row r="2516">
          <cell r="E2516">
            <v>7013074</v>
          </cell>
          <cell r="F2516" t="str">
            <v>BOLSA COMBINADA PAPEL - PLASTICO, GRADO MEDICO, PARA ESTERILIZAR A BAJA Y ALTA TEMPERATURA, 20 - 30  cm  DE ANCHO X 35 - 40  cm DE LARGO</v>
          </cell>
          <cell r="G2516" t="str">
            <v>UN</v>
          </cell>
        </row>
        <row r="2517">
          <cell r="E2517">
            <v>7013075</v>
          </cell>
          <cell r="F2517" t="str">
            <v>BOLSA COMBINADA PAPEL - PLASTICO, GRADO MEDICO, PARA ESTERILIZAR A BAJA Y ALTA TEMPERATURA, 40 - 50  cm  DE ANCHO X 50 - 60  cm DE LARGO</v>
          </cell>
          <cell r="G2517" t="str">
            <v>UN</v>
          </cell>
        </row>
        <row r="2518">
          <cell r="E2518">
            <v>7013076</v>
          </cell>
          <cell r="F2518" t="str">
            <v>BOLSA PAPEL - PAPEL, GRADO MEDICO, PARA ESTERILIZAR A BAJA Y ALTA TEMPERATURA,  12 - 15 cm DE ANCHO X 25 - 30 cm  DE LARGO X 4 - 5 cm DE FUELLE</v>
          </cell>
          <cell r="G2518" t="str">
            <v>UN</v>
          </cell>
        </row>
        <row r="2519">
          <cell r="E2519">
            <v>7013077</v>
          </cell>
          <cell r="F2519" t="str">
            <v>BOLSA PAPEL - PAPEL, GRADO MEDICO, PARA ESTERILIZAR A BAJA Y ALTA TEMPERATURA,  25 - 35 cm DE ANCHO X 55 - 65 cm  DE LARGO X 10 - 15 cm DE FUELLE</v>
          </cell>
          <cell r="G2519" t="str">
            <v>UN</v>
          </cell>
        </row>
        <row r="2520">
          <cell r="E2520">
            <v>7013078</v>
          </cell>
          <cell r="F2520" t="str">
            <v>BOLSA PAPEL - PAPEL, GRADO MEDICO, PARA ESTERILIZAR A BAJA Y ALTA TEMPERATURA,  7.5 - 11 cm DE ANCHO X 18 - 23 cm  DE LARGO X 4 - 5cm DE FUELLE</v>
          </cell>
          <cell r="G2520" t="str">
            <v>UN</v>
          </cell>
        </row>
        <row r="2521">
          <cell r="E2521">
            <v>7013079</v>
          </cell>
          <cell r="F2521" t="str">
            <v>CLORHEXIDINA GLUCONATO 4 % JABON LIQUIDO FRASCO 1 LITRO</v>
          </cell>
          <cell r="G2521" t="str">
            <v>L</v>
          </cell>
        </row>
        <row r="2522">
          <cell r="E2522">
            <v>7013080</v>
          </cell>
          <cell r="F2522" t="str">
            <v>GLUCONATO DE CLORHEXIDINA AL 1% + ALCOHOL ETILICO</v>
          </cell>
          <cell r="G2522" t="str">
            <v>UN</v>
          </cell>
        </row>
        <row r="2523">
          <cell r="E2523">
            <v>7013081</v>
          </cell>
          <cell r="F2523" t="str">
            <v>INDICADOR BIOLOGICO DE LECTURA RAPIDA PARA ESTERILIZACION A GAS (OXIDO DE ETILENO)</v>
          </cell>
          <cell r="G2523" t="str">
            <v>UN</v>
          </cell>
        </row>
        <row r="2524">
          <cell r="E2524">
            <v>7013082</v>
          </cell>
          <cell r="F2524" t="str">
            <v>INDICADOR BIOLOGICO DE LECTURA RAPIDA PARA ESTERILIZACION A VAPOR</v>
          </cell>
          <cell r="G2524" t="str">
            <v>UN</v>
          </cell>
        </row>
        <row r="2525">
          <cell r="E2525">
            <v>7013083</v>
          </cell>
          <cell r="F2525" t="str">
            <v>INDICADOR QUIMICO DE CONTROL EXTERNO, PARA ESTERILIZACION A GAS (OXIDO DE ETILENO), ROLLO DE 12 - 16 MM DE ANCHO X 50 - 55 MT DE LARGO</v>
          </cell>
          <cell r="G2525" t="str">
            <v>UN</v>
          </cell>
        </row>
        <row r="2526">
          <cell r="E2526">
            <v>7013084</v>
          </cell>
          <cell r="F2526" t="str">
            <v>INDICADOR QUIMICO DE CONTROL EXTERNO, PARA ESTERILIZACION A VAPOR, ROLLO DE 12 - 16 MM DE ANCHO X 50 - 55 MT DE LARGO</v>
          </cell>
          <cell r="G2526" t="str">
            <v>UN</v>
          </cell>
        </row>
        <row r="2527">
          <cell r="E2527">
            <v>7013085</v>
          </cell>
          <cell r="F2527" t="str">
            <v>INDICADOR QUIMICO DE CONTROL EXTERNO, PARA ESTERILIZACION POR FORMALDEHIDO, CAJA DE 250 PUNTOS INDICADORES</v>
          </cell>
          <cell r="G2527" t="str">
            <v>UN</v>
          </cell>
        </row>
        <row r="2528">
          <cell r="E2528">
            <v>7013086</v>
          </cell>
          <cell r="F2528" t="str">
            <v>INDICADOR QUIMICO DE CONTROL INTERNO, PARA ESTERILIZACION A GAS (OXIDO DE ETILENO), CAJA DE 250 UNIDADES</v>
          </cell>
          <cell r="G2528" t="str">
            <v>UN</v>
          </cell>
        </row>
        <row r="2529">
          <cell r="E2529">
            <v>7013087</v>
          </cell>
          <cell r="F2529" t="str">
            <v>INDICADOR QUIMICO DE CONTROL INTERNO, PARA ESTERILIZACION A VAPOR, CAJA DE 250 UNIDADES</v>
          </cell>
          <cell r="G2529" t="str">
            <v>UN</v>
          </cell>
        </row>
        <row r="2530">
          <cell r="E2530">
            <v>7013088</v>
          </cell>
          <cell r="F2530" t="str">
            <v>OXIDO DE ETILENO AL 100% PARA ESTERILIZADOR. CARTUCHO</v>
          </cell>
          <cell r="G2530" t="str">
            <v>UN</v>
          </cell>
        </row>
        <row r="2531">
          <cell r="E2531">
            <v>7013089</v>
          </cell>
          <cell r="F2531" t="str">
            <v>PAPEL CREPADO GRADO MEDICO, HOJA DE 110 X 110 cm (43 X 43"), PAQUETE DE 250 HOJAS</v>
          </cell>
          <cell r="G2531" t="str">
            <v>UN</v>
          </cell>
        </row>
        <row r="2532">
          <cell r="E2532">
            <v>7013090</v>
          </cell>
          <cell r="F2532" t="str">
            <v>PAPEL CREPADO GRADO MEDICO, HOJA DE 90 X 90 cm (36 X 36"), PAQUETE DE250 HOJAS</v>
          </cell>
          <cell r="G2532" t="str">
            <v>UN</v>
          </cell>
        </row>
        <row r="2533">
          <cell r="E2533">
            <v>7013091</v>
          </cell>
          <cell r="F2533" t="str">
            <v>PAPEL CREPADO GRADO MEDICO, HOJA SUELTA DE 60 X 60 cm (24 X 24"), PAQUETE DE 250 HOJAS</v>
          </cell>
          <cell r="G2533" t="str">
            <v>UN</v>
          </cell>
        </row>
        <row r="2534">
          <cell r="E2534">
            <v>7013092</v>
          </cell>
          <cell r="F2534" t="str">
            <v>PEROXIDO DE HIDROGENO (3 %) 10 VOLUMENES, FRASCO PROTEGIDO DE LA LUZ DE 400 - 500 mL</v>
          </cell>
          <cell r="G2534" t="str">
            <v>L</v>
          </cell>
        </row>
        <row r="2535">
          <cell r="E2535">
            <v>7013093</v>
          </cell>
          <cell r="F2535" t="str">
            <v>POLIVIDONA IODADA 10 % SOLUCION ACUOSA LITRO</v>
          </cell>
          <cell r="G2535" t="str">
            <v>L</v>
          </cell>
        </row>
        <row r="2536">
          <cell r="E2536">
            <v>7013094</v>
          </cell>
          <cell r="F2536" t="str">
            <v>POLIVIDONA IODADA 8 % JABON LIQUIDO LITRO</v>
          </cell>
          <cell r="G2536" t="str">
            <v>L</v>
          </cell>
        </row>
        <row r="2537">
          <cell r="E2537">
            <v>7013095</v>
          </cell>
          <cell r="F2537" t="str">
            <v>ROLLO COMBINADO PAPEL - PLASTICO GRADO MEDICO, PARA ESTERILIZAR A BAJA Y ALTA TEMPERATURA, DE 10 cm DE ANCHO X 200 mt DE LARGO</v>
          </cell>
          <cell r="G2537" t="str">
            <v>UN</v>
          </cell>
        </row>
        <row r="2538">
          <cell r="E2538">
            <v>7013096</v>
          </cell>
          <cell r="F2538" t="str">
            <v>ROLLO COMBINADO PAPEL - PLASTICO GRADO MEDICO, PARA ESTERILIZAR A BAJA Y ALTA TEMPERATURA, DE 20 cm DE ANCHO X 200 mt DE LARGO</v>
          </cell>
          <cell r="G2538" t="str">
            <v>UN</v>
          </cell>
        </row>
        <row r="2539">
          <cell r="E2539">
            <v>7013097</v>
          </cell>
          <cell r="F2539" t="str">
            <v>ROLLO COMBINADO PAPEL - PLASTICO GRADO MEDICO, PARA ESTERILIZAR A BAJA Y ALTA TEMPERATURA, DE 40 cm DE ANCHO X 200 mt DE LARGO</v>
          </cell>
          <cell r="G2539" t="str">
            <v>UN</v>
          </cell>
        </row>
        <row r="2540">
          <cell r="E2540">
            <v>7013098</v>
          </cell>
          <cell r="F2540" t="str">
            <v>ROLLO COMBINADO PAPEL - PLASTICO GRADO MEDICO, PARA ESTERILIZAR A BAJA Y ALTA TEMPERATURA, DE 50 cm DE ANCHO X 200 mt DE LARGO</v>
          </cell>
          <cell r="G2540" t="str">
            <v>UN</v>
          </cell>
        </row>
        <row r="2541">
          <cell r="E2541">
            <v>7013099</v>
          </cell>
          <cell r="F2541" t="str">
            <v>SET DE VALIDACION QUIMICA DE CONTROL INTERNO, PARA ESTERILIZACION PORFORMALDEHIDO</v>
          </cell>
          <cell r="G2541" t="str">
            <v>SET</v>
          </cell>
        </row>
        <row r="2542">
          <cell r="E2542">
            <v>7013100</v>
          </cell>
          <cell r="F2542" t="str">
            <v>SOLUCION DE FORMALDEHIDO AL 2 % PARA ESTERILIZADOR, A BAJA TEMPERATURA, BOLSA DE 2.7 LITROS</v>
          </cell>
          <cell r="G2542" t="str">
            <v>L</v>
          </cell>
        </row>
        <row r="2543">
          <cell r="E2543">
            <v>7013101</v>
          </cell>
          <cell r="F2543" t="str">
            <v>SOLUCION DE GLUTARALDEHIDO AL 2%,  ESTERILIZANTE Y DESINFECTANTE DE ALTO NIVEL. GALON</v>
          </cell>
          <cell r="G2543" t="str">
            <v>UN</v>
          </cell>
        </row>
        <row r="2544">
          <cell r="E2544">
            <v>7013102</v>
          </cell>
          <cell r="F2544" t="str">
            <v>SOLUCION DESINFECTANTE NO ESTERILIZANTE  DE USO  PARA LIMPIEZA DE  SUPERFICIES  INANIMADAS A BASE  DE CLORO (pH  6.2).. GALON</v>
          </cell>
          <cell r="G2544" t="str">
            <v>UN</v>
          </cell>
        </row>
        <row r="2545">
          <cell r="E2545">
            <v>7013103</v>
          </cell>
          <cell r="F2545" t="str">
            <v>SOLUCION ESTERELIZANTE Y DESINFECTANTE DE ALTO NIVEL BASADO EN ORTOFTALDEHIDO AL 0.55%</v>
          </cell>
          <cell r="G2545" t="str">
            <v>UN</v>
          </cell>
        </row>
        <row r="2546">
          <cell r="E2546">
            <v>7014080</v>
          </cell>
          <cell r="F2546" t="str">
            <v>ESPONJA DE POLIURETANO GRADO MEDICO, DE 10 A 14 CM X 16 A 20 CM YESPESOR DE 3 A 4 CM, ESTERIL, HIDROFOBICA, QUE INCLUYA PELICULASADHESIVAS SEMI PERMEABLES Y VENTOSAS CON TUBERIA DE CONEXION A SISTEMADE MANEJO DE HERIDAS ASISTIDO POR VACIO</v>
          </cell>
          <cell r="G2546" t="str">
            <v>UN</v>
          </cell>
        </row>
        <row r="2547">
          <cell r="E2547">
            <v>7014081</v>
          </cell>
          <cell r="F2547" t="str">
            <v>ESPONJA DE POLIURETANO GRADO MEDICO, DE 15 A 18 CM X 22 A 28 CM YESPESOR DE 3 A 4 CM, ESTERIL, HIDROFOBICA, QUE INCLUYA PELICULASADHESIVAS SEMI PERMEABLES Y VENTOSAS CON TUBERIA DE CONEXION A SISTEMADE MANEJO DE HERIDAS ASISTIDO POR VACIO</v>
          </cell>
          <cell r="G2547" t="str">
            <v>UN</v>
          </cell>
        </row>
        <row r="2548">
          <cell r="E2548">
            <v>7014082</v>
          </cell>
          <cell r="F2548" t="str">
            <v>ESPONJA DE POLIURETANO GRADO MEDICO PARA USO INTRA ABDOMINAL, DE 30 A40CM X 22 A 28 CM Y ESPESOR DE 3 A 4 CM, ESTERIL, HIDROFOBICA,QUE INCLUYAPELICULAS ADHESIVAS SEMI PERMEABLES Y VENTOSAS CON TUBERIA DE CONEXION ASISTEMA DE MANEJO DE HERIDAS ASISTIDO POR</v>
          </cell>
          <cell r="G2548" t="str">
            <v>UN</v>
          </cell>
        </row>
        <row r="2549">
          <cell r="E2549">
            <v>7014090</v>
          </cell>
          <cell r="F2549" t="str">
            <v>ALGODON QUIRURGICO HIDROFILIZADO 100% PURO, PRESENTACION EN EMPAQUE INDIVIDUAL Y DE FACIL ESTIBAMIENTO.. LIBRA</v>
          </cell>
          <cell r="G2549" t="str">
            <v>LB</v>
          </cell>
        </row>
        <row r="2550">
          <cell r="E2550">
            <v>7014091</v>
          </cell>
          <cell r="F2550" t="str">
            <v>APOSITO DE ALGINATO DE CALCIO DE 8 - 12 CM. X  10 - 20 CM.</v>
          </cell>
          <cell r="G2550" t="str">
            <v>UN</v>
          </cell>
        </row>
        <row r="2551">
          <cell r="E2551">
            <v>7014092</v>
          </cell>
          <cell r="F2551" t="str">
            <v>APOSITO DE CARBON ACTIVADO IMPREGNADO CON PLATA DE 10 - 12 X 10 - 12 CM</v>
          </cell>
          <cell r="G2551" t="str">
            <v>UN</v>
          </cell>
        </row>
        <row r="2552">
          <cell r="E2552">
            <v>7014093</v>
          </cell>
          <cell r="F2552" t="str">
            <v>APOSITO DE CARBON ACTIVADO IMPREGNADO CON PLATA DE 10 # 15 x 19 - 21CM</v>
          </cell>
          <cell r="G2552" t="str">
            <v>UN</v>
          </cell>
        </row>
        <row r="2553">
          <cell r="E2553">
            <v>7014094</v>
          </cell>
          <cell r="F2553" t="str">
            <v>APOSITO DE COLAGENO 90 % Y ALGINATO DE CALCIO 10%, DE 10 # 12 X 10 # 12 CM</v>
          </cell>
          <cell r="G2553" t="str">
            <v>UN</v>
          </cell>
        </row>
        <row r="2554">
          <cell r="E2554">
            <v>7014095</v>
          </cell>
          <cell r="F2554" t="str">
            <v>APOSITO OCLUSIVO HIDROCOLOIDE DE 20 X 20 CMS.</v>
          </cell>
          <cell r="G2554" t="str">
            <v>UN</v>
          </cell>
        </row>
        <row r="2555">
          <cell r="E2555">
            <v>7014096</v>
          </cell>
          <cell r="F2555" t="str">
            <v>APOSITO OCLUSIVO HIDROCOLOIDE, DELGADO ENTRE 5 - 8 " DE ANCHO Y 5 - 8" DE LARGO</v>
          </cell>
          <cell r="G2555" t="str">
            <v>UN</v>
          </cell>
        </row>
        <row r="2556">
          <cell r="E2556">
            <v>7014097</v>
          </cell>
          <cell r="F2556" t="str">
            <v>APOSITO OCLUSIVO HIDROCOLOIDE, DELGADO ENTRE 8 - 12 " DE ANCHO Y 8 - 12 "  DE LARGO</v>
          </cell>
          <cell r="G2556" t="str">
            <v>UN</v>
          </cell>
        </row>
        <row r="2557">
          <cell r="E2557">
            <v>7014098</v>
          </cell>
          <cell r="F2557" t="str">
            <v>APOSITO OCLUSIVO HIDROCOLOIDE, GRUESO ENTRE 5 - 8 " DE ANCHO Y 5 - 8 " DE LARGO</v>
          </cell>
          <cell r="G2557" t="str">
            <v>UN</v>
          </cell>
        </row>
        <row r="2558">
          <cell r="E2558">
            <v>7014099</v>
          </cell>
          <cell r="F2558" t="str">
            <v>APOSITO OCLUSIVO HIDROCOLOIDE, GRUESO ENTRE 8 - 12"  DE ANCHO Y 8 - 12"  DE LARGO</v>
          </cell>
          <cell r="G2558" t="str">
            <v>UN</v>
          </cell>
        </row>
        <row r="2559">
          <cell r="E2559">
            <v>7014100</v>
          </cell>
          <cell r="F2559" t="str">
            <v>APOSITO OCULAR OVALADO, ESTERIL, DE 6.5 - 7.0 X 4.5 - 5.0 cm</v>
          </cell>
          <cell r="G2559" t="str">
            <v>UN</v>
          </cell>
        </row>
        <row r="2560">
          <cell r="E2560">
            <v>7014101</v>
          </cell>
          <cell r="F2560" t="str">
            <v>APOSITO PRIMARIO NO ADHERENTE DE CELULOSA IMPREGNADO CON PETROLATO DE7.6  X 20.3 CM ± 10%</v>
          </cell>
          <cell r="G2560" t="str">
            <v>UN</v>
          </cell>
        </row>
        <row r="2561">
          <cell r="E2561">
            <v>7014102</v>
          </cell>
          <cell r="F2561" t="str">
            <v>APOSITO TRANSPARENTE  ADHESIVO, IMPERMEABLE, DE 4 -6X 4 -6CM, ESTERIL.</v>
          </cell>
          <cell r="G2561" t="str">
            <v>UN</v>
          </cell>
        </row>
        <row r="2562">
          <cell r="E2562">
            <v>7014103</v>
          </cell>
          <cell r="F2562" t="str">
            <v>APOSITO TRANSPARENTE ADHESIVO, IMPERMEABLE, DE 6 - 8 X 7 - 10 CM ESTERIL.</v>
          </cell>
          <cell r="G2562" t="str">
            <v>UN</v>
          </cell>
        </row>
        <row r="2563">
          <cell r="E2563">
            <v>7014104</v>
          </cell>
          <cell r="F2563" t="str">
            <v>APOSITO TRANSPARENTE ADHESIVO, IMPERMEABLE, DE 8 - 13 X 10 - 15 CM ESTERIL.</v>
          </cell>
          <cell r="G2563" t="str">
            <v>UN</v>
          </cell>
        </row>
        <row r="2564">
          <cell r="E2564">
            <v>7014105</v>
          </cell>
          <cell r="F2564" t="str">
            <v>CINTA ADHESIVA DE PAPEL USO QUIRURGICO DE 3" X 10 YARDAS, ANTIALERGICA. ROLLO</v>
          </cell>
          <cell r="G2564" t="str">
            <v>UN</v>
          </cell>
        </row>
        <row r="2565">
          <cell r="E2565">
            <v>7014106</v>
          </cell>
          <cell r="F2565" t="str">
            <v>CINTA ADHESIVA DE PAPEL, USO QUIRURGICO, DE 1" X 10 YARDAS, ANTIALERGICA.. ROLLO</v>
          </cell>
          <cell r="G2565" t="str">
            <v>UN</v>
          </cell>
        </row>
        <row r="2566">
          <cell r="E2566">
            <v>7014107</v>
          </cell>
          <cell r="F2566" t="str">
            <v>CINTA ADHESIVA DE PAPEL, USO QUIRURGICO, DE 1/2" X 10 YARDAS, ANTIALERGICA.. ROLLO</v>
          </cell>
          <cell r="G2566" t="str">
            <v>UN</v>
          </cell>
        </row>
        <row r="2567">
          <cell r="E2567">
            <v>7014108</v>
          </cell>
          <cell r="F2567" t="str">
            <v>CINTA ADHESIVA DE PAPEL, USO QUIRURGICO, DE 2" X 10 YARDAS, ANTIALERGICA.. ROLLO</v>
          </cell>
          <cell r="G2567" t="str">
            <v>UN</v>
          </cell>
        </row>
        <row r="2568">
          <cell r="E2568">
            <v>7014109</v>
          </cell>
          <cell r="F2568" t="str">
            <v>CINTA QUIRURGICA 1" X 10 YARDAS, ANTIALERGICA,    ACRILICA,TRANSPARENTE. ROLLO</v>
          </cell>
          <cell r="G2568" t="str">
            <v>UN</v>
          </cell>
        </row>
        <row r="2569">
          <cell r="E2569">
            <v>7014110</v>
          </cell>
          <cell r="F2569" t="str">
            <v>CINTA QUIRURGICA 2" X 10 YARDAS, ANTIALERGICA,    ACRILICA, TRANSPARENTE. ROLLO</v>
          </cell>
          <cell r="G2569" t="str">
            <v>UN</v>
          </cell>
        </row>
        <row r="2570">
          <cell r="E2570">
            <v>7014111</v>
          </cell>
          <cell r="F2570" t="str">
            <v>CINTA QUIRURGICA 3" X 10 YARDAS, ANTIALERGICA,    ACRILICA, TRANSPARENTE. ROLLO</v>
          </cell>
          <cell r="G2570" t="str">
            <v>UN</v>
          </cell>
        </row>
        <row r="2571">
          <cell r="E2571">
            <v>7014112</v>
          </cell>
          <cell r="F2571" t="str">
            <v>CINTA QUIRURGICA 3", ADHESIVA, IMPERMEABLE, TELA ASEDADA.. ROLLO</v>
          </cell>
          <cell r="G2571" t="str">
            <v>UN</v>
          </cell>
        </row>
        <row r="2572">
          <cell r="E2572">
            <v>7014113</v>
          </cell>
          <cell r="F2572" t="str">
            <v>CINTA QUIRURGICA 4", ADHESIVA, IMPERMEABLE, TELA ASEDADA.. ROLLO</v>
          </cell>
          <cell r="G2572" t="str">
            <v>UN</v>
          </cell>
        </row>
        <row r="2573">
          <cell r="E2573">
            <v>7014114</v>
          </cell>
          <cell r="F2573" t="str">
            <v>CUCHILLA DE DOBLE FILO PARA MANGO DE BISTURI 527.40 X 5</v>
          </cell>
          <cell r="G2573" t="str">
            <v>UN</v>
          </cell>
        </row>
        <row r="2574">
          <cell r="E2574">
            <v>7014115</v>
          </cell>
          <cell r="F2574" t="str">
            <v>FRASCO RECOLECTOR PARA EL MANEJO DE HERIDAS ASISTIDO POR VACIO,CAPACIDAD DE 300 A 500 ML, ESTERIL, DESCARTABLE, CON FILTROSHIDROFOBICOS Y DE CARBON INTEGRADO</v>
          </cell>
          <cell r="G2574" t="str">
            <v>UN</v>
          </cell>
        </row>
        <row r="2575">
          <cell r="E2575">
            <v>7014116</v>
          </cell>
          <cell r="F2575" t="str">
            <v>FRASCO RECOLECTOR PARA EL MANEJO DE HERIDAS ASISTIDO POR VACIO,CAPACIDAD DE 600 A 1000 ML, ESTERIL, DESCARTABLE, CON FILTROSHIDROFOBICOS Y DE CARBON INTEGRADO</v>
          </cell>
          <cell r="G2575" t="str">
            <v>UN</v>
          </cell>
        </row>
        <row r="2576">
          <cell r="E2576">
            <v>7014117</v>
          </cell>
          <cell r="F2576" t="str">
            <v>GASA IMPREGNADA CON FUSIDATO DE SODIO, ESTERIL</v>
          </cell>
          <cell r="G2576" t="str">
            <v>UN</v>
          </cell>
        </row>
        <row r="2577">
          <cell r="E2577">
            <v>7014118</v>
          </cell>
          <cell r="F2577" t="str">
            <v>GASA QUIRURGICA 20 X 24 HILOS X PULGADA CUADRADA, 36"  DE ANCHO PREDOBLADO EN HOJAS DE 36" , PIEZA DE 100 YARDAS, 100% ALGODON.</v>
          </cell>
          <cell r="G2577" t="str">
            <v>UN</v>
          </cell>
        </row>
        <row r="2578">
          <cell r="E2578">
            <v>7014119</v>
          </cell>
          <cell r="F2578" t="str">
            <v>GASA QUIRURGICA SIMPLE NO ESTERIL, 20 X 24 HILOS XPULGADA CUADRADA, 8PLIEGOS MINIMO, DE 8-10 CM X 8-10 CM</v>
          </cell>
          <cell r="G2578" t="str">
            <v>UN</v>
          </cell>
        </row>
        <row r="2579">
          <cell r="E2579">
            <v>7014120</v>
          </cell>
          <cell r="F2579" t="str">
            <v>GASA TAMAÑO GRANDE PARA USO INTRA ABDOMINAL, DE 30 A 40 CM X 22 A 28 CMY ESPESOR DE 3 A 4 CM, ESTERIL, HIDROFOBICA, QUE INCLUYA PELICULASADHESIVAS SEMI PERMEABLES Y VENTOSAS CON TUBERIA DE CONEXION A SISTEMADEMANEJO DE HERIDAS ASISTIDO POR VACIO</v>
          </cell>
          <cell r="G2579" t="str">
            <v>UN</v>
          </cell>
        </row>
        <row r="2580">
          <cell r="E2580">
            <v>7014121</v>
          </cell>
          <cell r="F2580" t="str">
            <v>GASA TAMAÑO MEDIANA, DE 15 A 18 CM X 22 A 28 CM Y ESPESOR DE 3 A 4 CM,ESTERIL, HIDROFOBICA, QUE INCLUYA PELICULAS ADHESIVAS SEMI PERMEABLESYVENTOSAS CON TUBERIA DE CONEXION A SISTEMA DE MANEJO DE HERIDAS ASISTIDOPOR VACIO</v>
          </cell>
          <cell r="G2580" t="str">
            <v>UN</v>
          </cell>
        </row>
        <row r="2581">
          <cell r="E2581">
            <v>7014122</v>
          </cell>
          <cell r="F2581" t="str">
            <v>GASA TAMAÑO PEQUEÑA, DE 10 A 14 CM X 16 A 20 CM Y ESPESOR DE 3 A 4 CM,ESTERIL, HIDROFOBICA, QUE INCLUYA PELICULAS ADHESIVAS SEMI PERMEABLESYVENTOSAS CON TUBERIA DE CONEXION A SISTEMA DE MANEJO DE HERIDAS ASISTIDOPOR VACIO</v>
          </cell>
          <cell r="G2581" t="str">
            <v>UN</v>
          </cell>
        </row>
        <row r="2582">
          <cell r="E2582">
            <v>7014123</v>
          </cell>
          <cell r="F2582" t="str">
            <v>GASA TAMAÑO PEQUEÑA, DE 10 A 14 CM X 16 A 20 CM Y ESPESOR DE 3 A 4 CM,ESTERIL, HIDROFOBICA, QUE INCLUYA PELICULAS ADHESIVAS SEMI PERMEABLESYVENTOSAS CON TUBERIA DE CONEXION A SISTEMA DE MANEJO DE HERIDAS ASISTIDOPOR VACIO</v>
          </cell>
          <cell r="G2582" t="str">
            <v>UN</v>
          </cell>
        </row>
        <row r="2583">
          <cell r="E2583">
            <v>7014124</v>
          </cell>
          <cell r="F2583" t="str">
            <v>GASA TAMAÑO PEQUEÑA, DE 10 A 14 CM X 16 A 20 CM Y ESPESOR DE 3 A 4 CM,ESTERIL, HIDROFOBICA, QUE INCLUYA PELICULAS ADHESIVAS SEMI PERMEABLESYVENTOSAS CON TUBERIA DE CONEXION A SISTEMA DE MANEJO DE HERIDAS ASISTIDOPOR VACIO</v>
          </cell>
          <cell r="G2583" t="str">
            <v>UN</v>
          </cell>
        </row>
        <row r="2584">
          <cell r="E2584">
            <v>7014125</v>
          </cell>
          <cell r="F2584" t="str">
            <v>GEL HIDROCOLOIDE 100% BIOLOGICA, TUBO 30 - 50 gr</v>
          </cell>
          <cell r="G2584" t="str">
            <v>UN</v>
          </cell>
        </row>
        <row r="2585">
          <cell r="E2585">
            <v>7014126</v>
          </cell>
          <cell r="F2585" t="str">
            <v>HOJA DE BISTURI # 10, ESTERIL</v>
          </cell>
          <cell r="G2585" t="str">
            <v>UN</v>
          </cell>
        </row>
        <row r="2586">
          <cell r="E2586">
            <v>7014127</v>
          </cell>
          <cell r="F2586" t="str">
            <v>HOJA DE BISTURI # 11, ESTERIL</v>
          </cell>
          <cell r="G2586" t="str">
            <v>UN</v>
          </cell>
        </row>
        <row r="2587">
          <cell r="E2587">
            <v>7014128</v>
          </cell>
          <cell r="F2587" t="str">
            <v>HOJA DE BISTURI # 12, ESTERIL</v>
          </cell>
          <cell r="G2587" t="str">
            <v>UN</v>
          </cell>
        </row>
        <row r="2588">
          <cell r="E2588">
            <v>7014129</v>
          </cell>
          <cell r="F2588" t="str">
            <v>HOJA DE BISTURI # 15, ESTERIL</v>
          </cell>
          <cell r="G2588" t="str">
            <v>UN</v>
          </cell>
        </row>
        <row r="2589">
          <cell r="E2589">
            <v>7014130</v>
          </cell>
          <cell r="F2589" t="str">
            <v>HOJA DE BISTURI # 20, ESTERIL</v>
          </cell>
          <cell r="G2589" t="str">
            <v>UN</v>
          </cell>
        </row>
        <row r="2590">
          <cell r="E2590">
            <v>7014131</v>
          </cell>
          <cell r="F2590" t="str">
            <v>HOJA DE BISTURI # 21, ESTERIL</v>
          </cell>
          <cell r="G2590" t="str">
            <v>UN</v>
          </cell>
        </row>
        <row r="2591">
          <cell r="E2591">
            <v>7014132</v>
          </cell>
          <cell r="F2591" t="str">
            <v>HOJA DE BISTURI # 22, ESTERIL</v>
          </cell>
          <cell r="G2591" t="str">
            <v>UN</v>
          </cell>
        </row>
        <row r="2592">
          <cell r="E2592">
            <v>7014133</v>
          </cell>
          <cell r="F2592" t="str">
            <v>HOJA DE BISTURI # 23, ESTERIL</v>
          </cell>
          <cell r="G2592" t="str">
            <v>UN</v>
          </cell>
        </row>
        <row r="2593">
          <cell r="E2593">
            <v>7014134</v>
          </cell>
          <cell r="F2593" t="str">
            <v>HOJA DE BISTURI # 24, ESTERIL</v>
          </cell>
          <cell r="G2593" t="str">
            <v>UN</v>
          </cell>
        </row>
        <row r="2594">
          <cell r="E2594">
            <v>7014135</v>
          </cell>
          <cell r="F2594" t="str">
            <v>KETANSERINA GEL AL 2%. TUBO</v>
          </cell>
          <cell r="G2594" t="str">
            <v>UN</v>
          </cell>
        </row>
        <row r="2595">
          <cell r="E2595">
            <v>7014136</v>
          </cell>
          <cell r="F2595" t="str">
            <v>RAYON CON ALGODON ABSORBENTE 3" X 8" ESTERIL (APOSITO). SOBRE</v>
          </cell>
          <cell r="G2595" t="str">
            <v>UN</v>
          </cell>
        </row>
        <row r="2596">
          <cell r="E2596">
            <v>7014137</v>
          </cell>
          <cell r="F2596" t="str">
            <v>RAYON CON PORO PARA CIERRE DE PIEL 1/2" X 4" EN TIRAS ESTERILES. SOBRE</v>
          </cell>
          <cell r="G2596" t="str">
            <v>UN</v>
          </cell>
        </row>
        <row r="2597">
          <cell r="E2597">
            <v>7014138</v>
          </cell>
          <cell r="F2597" t="str">
            <v>SISTEMA MULTICAPA DE COMPRESION PARA ULCERAS VENOSAS QUE CONSTA DE APOSITO NO ADHERENTE DE 5" X 9" ± 10% VENDA DE ABSORCION DE ALGODON, VENDAJE DE COMPRESION Y VENDAJE DE COMPRESION COHESIVA.</v>
          </cell>
          <cell r="G2597" t="str">
            <v>UN</v>
          </cell>
        </row>
        <row r="2598">
          <cell r="E2598">
            <v>7014139</v>
          </cell>
          <cell r="F2598" t="str">
            <v>VENDA DE GASA DE 2" X 10 YARDAS BORDES CON ACABADO QUE NO DESHILE.</v>
          </cell>
          <cell r="G2598" t="str">
            <v>UN</v>
          </cell>
        </row>
        <row r="2599">
          <cell r="E2599">
            <v>7014140</v>
          </cell>
          <cell r="F2599" t="str">
            <v>VENDA DE GASA DE 3" X 10 YARDAS BORDES CON ACABADO QUE NO DESHILE.</v>
          </cell>
          <cell r="G2599" t="str">
            <v>UN</v>
          </cell>
        </row>
        <row r="2600">
          <cell r="E2600">
            <v>7014141</v>
          </cell>
          <cell r="F2600" t="str">
            <v>VENDA DE GASA DE 4" X 10 YARDAS BORDES CON ACABADO QUE NO DESHILE</v>
          </cell>
          <cell r="G2600" t="str">
            <v>UN</v>
          </cell>
        </row>
        <row r="2601">
          <cell r="E2601">
            <v>7014142</v>
          </cell>
          <cell r="F2601" t="str">
            <v>VENDA MEDICADA O BOTA DE UNNA.</v>
          </cell>
          <cell r="G2601" t="str">
            <v>UN</v>
          </cell>
        </row>
        <row r="2602">
          <cell r="E2602">
            <v>7015059</v>
          </cell>
          <cell r="F2602" t="str">
            <v>ARANDELA ADHESIVA TIPO ELECTRODO PARA MONITOREO 28 MM DE DIAMETRO Y ORIFICIO INTERNO DE 9 MM.</v>
          </cell>
          <cell r="G2602" t="str">
            <v>UN</v>
          </cell>
        </row>
        <row r="2603">
          <cell r="E2603">
            <v>7015061</v>
          </cell>
          <cell r="F2603" t="str">
            <v>BRAZALETE PARA TENSIOMETRO DE ADULTO</v>
          </cell>
          <cell r="G2603" t="str">
            <v>UN</v>
          </cell>
        </row>
        <row r="2604">
          <cell r="E2604">
            <v>7015062</v>
          </cell>
          <cell r="F2604" t="str">
            <v>BRAZALETE PARA TOMA DE TENSION NO INVASIVA EN NEONATOS # 1</v>
          </cell>
          <cell r="G2604" t="str">
            <v>UN</v>
          </cell>
        </row>
        <row r="2605">
          <cell r="E2605">
            <v>7015063</v>
          </cell>
          <cell r="F2605" t="str">
            <v>BRAZALETE PARA TOMA DE TENSION NO INVASIVA EN NEONATOS # 2</v>
          </cell>
          <cell r="G2605" t="str">
            <v>UN</v>
          </cell>
        </row>
        <row r="2606">
          <cell r="E2606">
            <v>7015064</v>
          </cell>
          <cell r="F2606" t="str">
            <v>BRAZALETE PARA TOMA DE TENSION NO INVASIVA EN NEONATOS # 3</v>
          </cell>
          <cell r="G2606" t="str">
            <v>UN</v>
          </cell>
        </row>
        <row r="2607">
          <cell r="E2607">
            <v>7015065</v>
          </cell>
          <cell r="F2607" t="str">
            <v>BRAZALETE PARA TOMA DE TENSION NO INVASIVA EN NEONATOS # 4</v>
          </cell>
          <cell r="G2607" t="str">
            <v>UN</v>
          </cell>
        </row>
        <row r="2608">
          <cell r="E2608">
            <v>7015066</v>
          </cell>
          <cell r="F2608" t="str">
            <v>BRAZALETE PARA TOMA DE TENSION NO INVASIVA EN NEONATOS # 5</v>
          </cell>
          <cell r="G2608" t="str">
            <v>UN</v>
          </cell>
        </row>
        <row r="2609">
          <cell r="E2609">
            <v>7015067</v>
          </cell>
          <cell r="F2609" t="str">
            <v>BRAZALETE PARA TOMA DE TENSION NO INVASIVA PARA NIÑO</v>
          </cell>
          <cell r="G2609" t="str">
            <v>UN</v>
          </cell>
        </row>
        <row r="2610">
          <cell r="E2610">
            <v>7015068</v>
          </cell>
          <cell r="F2610" t="str">
            <v>CABLE DE PACIENTE DE 10 DERIVACIONES PARA ELECTROCARDIOGRAFO</v>
          </cell>
          <cell r="G2610" t="str">
            <v>UN</v>
          </cell>
        </row>
        <row r="2611">
          <cell r="E2611">
            <v>7015069</v>
          </cell>
          <cell r="F2611" t="str">
            <v>CAPUCHON DE SILICÓN O POLIURETANO PARA CABLE ELECTRODO DE MARCAPASOSPERMANENTE I-S-1 3.2 MM COMPATIBLE</v>
          </cell>
          <cell r="G2611" t="str">
            <v>UN</v>
          </cell>
        </row>
        <row r="2612">
          <cell r="E2612">
            <v>7015071</v>
          </cell>
          <cell r="F2612" t="str">
            <v>CARTUCHO PARA ANÁLISIS DE QUIMICA SANGUINEA POR MICROMUESTRA (65 - 95MICROLITROS)</v>
          </cell>
          <cell r="G2612" t="str">
            <v>UN</v>
          </cell>
        </row>
        <row r="2613">
          <cell r="E2613">
            <v>7015072</v>
          </cell>
          <cell r="F2613" t="str">
            <v>CATETER PARA MARCAPASO EXTERNO, DIAMETRO 5 FRENCH, CON SU INTRODUCTORY BALON</v>
          </cell>
          <cell r="G2613" t="str">
            <v>UN</v>
          </cell>
        </row>
        <row r="2614">
          <cell r="E2614">
            <v>7015073</v>
          </cell>
          <cell r="F2614" t="str">
            <v>CONDUCTOR DE PRESION TRANSMEMBRANA.</v>
          </cell>
          <cell r="G2614" t="str">
            <v>UN</v>
          </cell>
        </row>
        <row r="2615">
          <cell r="E2615">
            <v>7015074</v>
          </cell>
          <cell r="F2615" t="str">
            <v>DESCARTABLE PARA MONITOREO HEMODINAMICO CON ADAPTADOR LUER LOCK Y EXTENSION DE 1.5 MT  PARA PACIENTE, DOMO Y VALVULA DE 3 VIAS DESCARTABLE ESTERIL.</v>
          </cell>
          <cell r="G2615" t="str">
            <v>UN</v>
          </cell>
        </row>
        <row r="2616">
          <cell r="E2616">
            <v>7015075</v>
          </cell>
          <cell r="F2616" t="str">
            <v>DISCO ADHESIVO DESCARTABLE PARA ESTETOSCOPIO PRECORDIAL.</v>
          </cell>
          <cell r="G2616" t="str">
            <v>UN</v>
          </cell>
        </row>
        <row r="2617">
          <cell r="E2617">
            <v>7015076</v>
          </cell>
          <cell r="F2617" t="str">
            <v>DOMOS TRANSPARENTES DESCARTABLES ESTERILES PARA TRANSDUCTORES SEGUN MODELO DE EQUIPO</v>
          </cell>
          <cell r="G2617" t="str">
            <v>UN</v>
          </cell>
        </row>
        <row r="2618">
          <cell r="E2618">
            <v>7015077</v>
          </cell>
          <cell r="F2618" t="str">
            <v>DOMUS PARA PRESION INVASIVA, PARA MONITOR MARCA Y MODELO DE USO INSTITUCIONAL</v>
          </cell>
          <cell r="G2618" t="str">
            <v>UN</v>
          </cell>
        </row>
        <row r="2619">
          <cell r="E2619">
            <v>7015078</v>
          </cell>
          <cell r="F2619" t="str">
            <v>ELECTRODO DE DESFIBRILACION/PAD PARA USO EN EQUIPO DE DESFIBRILACIONMARCA Y MODELO DE USO INSTITUCIONAL</v>
          </cell>
          <cell r="G2619" t="str">
            <v>UN</v>
          </cell>
        </row>
        <row r="2620">
          <cell r="E2620">
            <v>7015079</v>
          </cell>
          <cell r="F2620" t="str">
            <v>ELECTRODO DE MARCAPASO PERMANENTE DE ESTIMULACION EPICARDICA</v>
          </cell>
          <cell r="G2620" t="str">
            <v>UN</v>
          </cell>
        </row>
        <row r="2621">
          <cell r="E2621">
            <v>7015081</v>
          </cell>
          <cell r="F2621" t="str">
            <v>ELECTRODO DE PRUEBA TRIAL DE 8 CONTACTOS PARA COLOCACION VIA PERCUTANEA,PARA USO CON NEUROESTIMULADOR EXTERNO</v>
          </cell>
          <cell r="G2621" t="str">
            <v>UN</v>
          </cell>
        </row>
        <row r="2622">
          <cell r="E2622">
            <v>7015082</v>
          </cell>
          <cell r="F2622" t="str">
            <v>ELECTRODO DESCARTABLE DE ESPUMA PARA MONITOREO, ADHESIVO, HIPOALERGICO, GELATINA LUBRICADA, BROCHE STANDAR DE CLORURO DE PLATA, PARA ADULTOS.</v>
          </cell>
          <cell r="G2622" t="str">
            <v>UN</v>
          </cell>
        </row>
        <row r="2623">
          <cell r="E2623">
            <v>7015083</v>
          </cell>
          <cell r="F2623" t="str">
            <v>ELECTRODO DESCARTABLE PARA RECIEN NACIDO, GELATINA SOLIDA HIPOALERGICA.</v>
          </cell>
          <cell r="G2623" t="str">
            <v>UN</v>
          </cell>
        </row>
        <row r="2624">
          <cell r="E2624">
            <v>7015084</v>
          </cell>
          <cell r="F2624" t="str">
            <v>ELECTRODO LOOP (ASA PARA ELECTROCIRUGIA)</v>
          </cell>
          <cell r="G2624" t="str">
            <v>UN</v>
          </cell>
        </row>
        <row r="2625">
          <cell r="E2625">
            <v>7015085</v>
          </cell>
          <cell r="F2625" t="str">
            <v>ELECTRODO MONOPOLAR PARA CIRUGÍA ARTROSCOPICA, ANGULO DE 90°;DESCARTABLE, ESTERIL, CON SU CABLE CONECTOR. COMPATIBLE CON ELECTROCAUTERIO MARCA Y MODELO DE USO INSTITUCIONAL</v>
          </cell>
          <cell r="G2625" t="str">
            <v>UN</v>
          </cell>
        </row>
        <row r="2626">
          <cell r="E2626">
            <v>7015086</v>
          </cell>
          <cell r="F2626" t="str">
            <v>GEL ELECTROLITICA PARA TRASMISION SOLUBLE EN AGUA. LITRO</v>
          </cell>
          <cell r="G2626" t="str">
            <v>L</v>
          </cell>
        </row>
        <row r="2627">
          <cell r="E2627">
            <v>7015087</v>
          </cell>
          <cell r="F2627" t="str">
            <v>HILO PARA MARCAPASO, CAJA DE 12 UNIDADES</v>
          </cell>
          <cell r="G2627" t="str">
            <v>UN</v>
          </cell>
        </row>
        <row r="2628">
          <cell r="E2628">
            <v>7015088</v>
          </cell>
          <cell r="F2628" t="str">
            <v>JALEA O PASTA ELECTROCONDUCTIVA PARA ELECTRODO CONTENIDO DE 200 - 300GRAMOS. DISPENSADOR</v>
          </cell>
          <cell r="G2628" t="str">
            <v>G</v>
          </cell>
        </row>
        <row r="2629">
          <cell r="E2629">
            <v>7015089</v>
          </cell>
          <cell r="F2629" t="str">
            <v>JUEGOS DE TENAZAS PARA ELECTRODOS DE ELECTROCARDIOGRAFO</v>
          </cell>
          <cell r="G2629" t="str">
            <v>SET</v>
          </cell>
        </row>
        <row r="2630">
          <cell r="E2630">
            <v>7015091</v>
          </cell>
          <cell r="F2630" t="str">
            <v>MANGUERAS CONECTORAS PARA BRAZALETE DE PRESION NO INVASIVA DE NEONATOS COMPATIBLE CON BRAZALETES.</v>
          </cell>
          <cell r="G2630" t="str">
            <v>UN</v>
          </cell>
        </row>
        <row r="2631">
          <cell r="E2631">
            <v>7015092</v>
          </cell>
          <cell r="F2631" t="str">
            <v>MANOMETRO PARA MEDIR PRESION VENOSA CENTRAL DE 25 - 40 CM CON LLAVE DE 3 O 4 VIAS, QUE POSEA ADAPTADOR TIPO PINZA PARA FIJAR AL ATRIL CON EXTENSIONES DE 1.40 - 1.60 MT CON PUNTO DE INYECCION A LA EXTENSION DELPACIENTE, ESTERIL. DESCARTABLE.</v>
          </cell>
          <cell r="G2631" t="str">
            <v>UN</v>
          </cell>
        </row>
        <row r="2632">
          <cell r="E2632">
            <v>7015093</v>
          </cell>
          <cell r="F2632" t="str">
            <v>MARCAPASO DESFIBRILADOR CARDIOVERTER, BICAMERAL,IMPLANTABLE, PROGRAMADOCON SISTEMA DE MONITOREO INTRACARDIACO, QUE INCLUYA CABLE AURICULAR YVENTRICULAR DE FIJACION ACTIVO Y DOS BOBINAS</v>
          </cell>
          <cell r="G2632" t="str">
            <v>UN</v>
          </cell>
        </row>
        <row r="2633">
          <cell r="E2633">
            <v>7015094</v>
          </cell>
          <cell r="F2633" t="str">
            <v>MARCAPASO DOBLE CAMARA MULTIPROGRAMABLE CON SU ELECTRODO ENDOCARDICO.</v>
          </cell>
          <cell r="G2633" t="str">
            <v>UN</v>
          </cell>
        </row>
        <row r="2634">
          <cell r="E2634">
            <v>7015095</v>
          </cell>
          <cell r="F2634" t="str">
            <v>MARCAPASO FISIOLOGICO TELEMETRICO MULTIPROGRAMABLE CON AUTO SET.</v>
          </cell>
          <cell r="G2634" t="str">
            <v>UN</v>
          </cell>
        </row>
        <row r="2635">
          <cell r="E2635">
            <v>7015096</v>
          </cell>
          <cell r="F2635" t="str">
            <v>MARCAPASO VVI, TELEMETRICO MULTIPROGRAMABLE</v>
          </cell>
          <cell r="G2635" t="str">
            <v>UN</v>
          </cell>
        </row>
        <row r="2636">
          <cell r="E2636">
            <v>7015097</v>
          </cell>
          <cell r="F2636" t="str">
            <v>MARCAPASO VVIR MULTIPROGRAMABLE CON SU ELECTRODO  ENDOCARDICO.</v>
          </cell>
          <cell r="G2636" t="str">
            <v>UN</v>
          </cell>
        </row>
        <row r="2637">
          <cell r="E2637">
            <v>7015098</v>
          </cell>
          <cell r="F2637" t="str">
            <v>NEURO-ESTIMULADOR MEDULAR IMPLANTABLE (GENERADOR DEFINITIVO) DE 8CONTACTOS, QUE INCLUYA ELECTRODO PERCUTANEO Y ASISTENCIA TECNICA DURANTELACOLOCACIÓN EN PACIENTE</v>
          </cell>
          <cell r="G2637" t="str">
            <v>UN</v>
          </cell>
        </row>
        <row r="2638">
          <cell r="E2638">
            <v>7015099</v>
          </cell>
          <cell r="F2638" t="str">
            <v>PERILLA PARA TENSIOMETRO</v>
          </cell>
          <cell r="G2638" t="str">
            <v>UN</v>
          </cell>
        </row>
        <row r="2639">
          <cell r="E2639">
            <v>7015100</v>
          </cell>
          <cell r="F2639" t="str">
            <v>PERITA (CHUPETA) DE REEMPLAZO PARA ELECTRODO DE ELECTROCARDIOGRAFO</v>
          </cell>
          <cell r="G2639" t="str">
            <v>UN</v>
          </cell>
        </row>
        <row r="2640">
          <cell r="E2640">
            <v>7015101</v>
          </cell>
          <cell r="F2640" t="str">
            <v>PLACA (ELECTRODO NEUTRO) CON SUS RESPECTIVOS CABLES CONECTORES PARAELECTROCAUTERIO MARCA Y MODELO DE USO INSTITUCIONAL, DIFERENTES MEDIDAS,REUTILIZABLE</v>
          </cell>
          <cell r="G2640" t="str">
            <v>SET</v>
          </cell>
        </row>
        <row r="2641">
          <cell r="E2641">
            <v>7015102</v>
          </cell>
          <cell r="F2641" t="str">
            <v>PLACA AUTOADHESIVA (ELECTRODO NEUTRO) PARA ADULTO, CON SUS RESPECTIVOS CABLES CONECTORES PARA ELECTROCAUTERIO MARCA Y MODELO DE USOINSTITUCIONAL, DIFERENTES MEDIDAS, DESCARTABLE</v>
          </cell>
          <cell r="G2641" t="str">
            <v>UN</v>
          </cell>
        </row>
        <row r="2642">
          <cell r="E2642">
            <v>7015103</v>
          </cell>
          <cell r="F2642" t="str">
            <v>PLACA AUTOADHESIVA (ELECTRODO NEUTRO) PARA RECIEN NACIDO, CON SUS RESPECTIVOS CABLES CONECTORES PARA ELECTROCAUTERIO MARCA Y MODELODE USO INSTITUCIONAL, DIFERENTES MEDIDAS, DESCARTABLE</v>
          </cell>
          <cell r="G2642" t="str">
            <v>UN</v>
          </cell>
        </row>
        <row r="2643">
          <cell r="E2643">
            <v>7015104</v>
          </cell>
          <cell r="F2643" t="str">
            <v>PLACA PARA TRANSDUCTOR DE PRESION, SEGÚN MARCA Y MODELO DE EQUIPOINSTITUCIONAL</v>
          </cell>
          <cell r="G2643" t="str">
            <v>UN</v>
          </cell>
        </row>
        <row r="2644">
          <cell r="E2644">
            <v>7015105</v>
          </cell>
          <cell r="F2644" t="str">
            <v>PUNTA (LAPIZ) DE ELECTROCAUTERIO, DESCARTABLE, ESTERIL, CON SU CABLE CONECTOR COMPATIBLE CON ELECTROCAUTERIO MARCA Y MODELO DE USO INSTITUCIONAL</v>
          </cell>
          <cell r="G2644" t="str">
            <v>UN</v>
          </cell>
        </row>
        <row r="2645">
          <cell r="E2645">
            <v>7015106</v>
          </cell>
          <cell r="F2645" t="str">
            <v>PUNTA RECTA PARA ENDOLASER DE 25 GAUGE, ESTERIL, COMPATIBLE CON EQUIPODEFOTOCOAGULACION MARCA Y MODELO DE USO INSTITUCIONAL</v>
          </cell>
          <cell r="G2645" t="str">
            <v>UN</v>
          </cell>
        </row>
        <row r="2646">
          <cell r="E2646">
            <v>7015107</v>
          </cell>
          <cell r="F2646" t="str">
            <v>SENSOR PARA SATURACION DE OXIGENO EN OXIMETRO DE PULSO, PARA ADULTO, REUTILIZABLE, CON SUS CONEXIONES Y ADAPTADORES. DIFERENTES MARCAS.</v>
          </cell>
          <cell r="G2646" t="str">
            <v>UN</v>
          </cell>
        </row>
        <row r="2647">
          <cell r="E2647">
            <v>7015108</v>
          </cell>
          <cell r="F2647" t="str">
            <v>SENSORES PARA TEMPERATURA DE PIEL NEONATALES PARA INCUBADORA MARCA YMODELO DE USO INSTITUCIONAL</v>
          </cell>
          <cell r="G2647" t="str">
            <v>UN</v>
          </cell>
        </row>
        <row r="2648">
          <cell r="E2648">
            <v>7015109</v>
          </cell>
          <cell r="F2648" t="str">
            <v>SET ELECTRODOS DE SUCCION COMPLETO QUE INCLUYA PERILLAS (6 PERILLAS) Y ELECTRODOS COMPATIBLE CON APARATO ELECTROCARDIOGRATO MARCA BURDICKS MODELO K-8.</v>
          </cell>
          <cell r="G2648" t="str">
            <v>UN</v>
          </cell>
        </row>
        <row r="2649">
          <cell r="E2649">
            <v>7015110</v>
          </cell>
          <cell r="F2649" t="str">
            <v>VACUOMETRO CONTINUO</v>
          </cell>
          <cell r="G2649" t="str">
            <v>UN</v>
          </cell>
        </row>
        <row r="2650">
          <cell r="E2650">
            <v>7015111</v>
          </cell>
          <cell r="F2650" t="str">
            <v>VALVULA O PIEZA T PARA GASTO CARDIACO TRANSPARENTE ESTERIL</v>
          </cell>
          <cell r="G2650" t="str">
            <v>UN</v>
          </cell>
        </row>
        <row r="2651">
          <cell r="E2651">
            <v>7016108</v>
          </cell>
          <cell r="F2651" t="str">
            <v>ADAPTADORES NIPLE Y NUT.</v>
          </cell>
          <cell r="G2651" t="str">
            <v>UN</v>
          </cell>
        </row>
        <row r="2652">
          <cell r="E2652">
            <v>7016109</v>
          </cell>
          <cell r="F2652" t="str">
            <v>APLICADOR DE MADERA DE 6" CON ALGODON EN EMPAQUE INDIVIDUAL, ESTERIL</v>
          </cell>
          <cell r="G2652" t="str">
            <v>UN</v>
          </cell>
        </row>
        <row r="2653">
          <cell r="E2653">
            <v>7016110</v>
          </cell>
          <cell r="F2653" t="str">
            <v>APLICADOR DE MADERA DE 6" CON ALGODÓN, NO ESTERIL, EMPAQUE NO MAYOR DE 1000 UNIDADES.</v>
          </cell>
          <cell r="G2653" t="str">
            <v>UN</v>
          </cell>
        </row>
        <row r="2654">
          <cell r="E2654">
            <v>7016111</v>
          </cell>
          <cell r="F2654" t="str">
            <v>APOSITO OCLUSIVO HIDROCOLOIDE DE 20 X 20 CMS.</v>
          </cell>
          <cell r="G2654" t="str">
            <v>UN</v>
          </cell>
        </row>
        <row r="2655">
          <cell r="E2655">
            <v>7016112</v>
          </cell>
          <cell r="F2655" t="str">
            <v>BAJALENGUA DE MADERA DE 3/4" X 6" EN EMPAQUE INDIVIDUAL DE 100 UNIDADES.</v>
          </cell>
          <cell r="G2655" t="str">
            <v>UN</v>
          </cell>
        </row>
        <row r="2656">
          <cell r="E2656">
            <v>7016113</v>
          </cell>
          <cell r="F2656" t="str">
            <v>BAÑO DE ASIENTO PLASTICO CON SU BOLSA PLASTICA.</v>
          </cell>
          <cell r="G2656" t="str">
            <v>UN</v>
          </cell>
        </row>
        <row r="2657">
          <cell r="E2657">
            <v>7016114</v>
          </cell>
          <cell r="F2657" t="str">
            <v>BOLSA ABIERTA PARA ILEOSTOMIA, CIERRE POR OBTURADOR O VALVULA, ANILLOSINTETICO RECORTABLE Y ADHESIVO DE PAPEL</v>
          </cell>
          <cell r="G2657" t="str">
            <v>UN</v>
          </cell>
        </row>
        <row r="2658">
          <cell r="E2658">
            <v>7016115</v>
          </cell>
          <cell r="F2658" t="str">
            <v>BOLSA CERRADA PARA COLOSTOMIA PARA ADULTO, CON FILTRO PARA GASES Y ARO DE FIJACION O PLACA ADHESIVA CON AREA  RECORTABLE DE 60 mm MINIMO, CON ARO DE FIJACION A BOLSA. POR CADA 30 BOLSAS INCLUIR 10 PLACAS</v>
          </cell>
          <cell r="G2658" t="str">
            <v>SET</v>
          </cell>
        </row>
        <row r="2659">
          <cell r="E2659">
            <v>7016116</v>
          </cell>
          <cell r="F2659" t="str">
            <v>BOLSA DE ALIMENTACION ENTERAL GRADUADA TRANSPARENTE CON CAPACIDAD MINIMA DE 1000 mL, PARA USO EN BOMBA DE INFUSION, CON SU RESPECTIVO DESCARTABLE, ADAPTABLE A DIVERSOS TIPOS DE SONDAS DE ALIMENTACION POR VIA ORAL O PERCUTANEA DE USO INSTITUCIONAL</v>
          </cell>
          <cell r="G2659" t="str">
            <v>SET</v>
          </cell>
        </row>
        <row r="2660">
          <cell r="E2660">
            <v>7016117</v>
          </cell>
          <cell r="F2660" t="str">
            <v>BOLSA DE ALIMENTACION ENTERAL POR GRAVEDAD, GRADUADA TRANSPARENTE CONCAPACIDAD MINIMA DE 1000 mL,  CON SU RESPECTIVO DESCARTABLE, ADAPTABLE A DIVERSOS TIPOS DE SONDAS DE ALIMENTACION POR VIA ORAL O PERCUTANEADE USO INSTITUCIONAL</v>
          </cell>
          <cell r="G2660" t="str">
            <v>SET</v>
          </cell>
        </row>
        <row r="2661">
          <cell r="E2661">
            <v>7016118</v>
          </cell>
          <cell r="F2661" t="str">
            <v>BOLSA DE ALIMENTACION PARENTERAL GRADUADA TRANSPARENTE CON CAPACIDAD PARA 1000 mL, PARA USO EN BOMBA DE INFUSION</v>
          </cell>
          <cell r="G2661" t="str">
            <v>UN</v>
          </cell>
        </row>
        <row r="2662">
          <cell r="E2662">
            <v>7016119</v>
          </cell>
          <cell r="F2662" t="str">
            <v>BOLSA DE PEGAR PARA COLOSTOMIA, CERRADA, RECORTABLE, CON FILTRO DE CARBÓN</v>
          </cell>
          <cell r="G2662" t="str">
            <v>UN</v>
          </cell>
        </row>
        <row r="2663">
          <cell r="E2663">
            <v>7016120</v>
          </cell>
          <cell r="F2663" t="str">
            <v>BOLSA DE POLIETILENO DESCARTABLE DE 2 - 3 LITROS, PARA ELIMINACION DEDESECHOS, CON TAPADERA CON SUS CONECTORES (PARA CIRUGIA SEPTICA)</v>
          </cell>
          <cell r="G2663" t="str">
            <v>UN</v>
          </cell>
        </row>
        <row r="2664">
          <cell r="E2664">
            <v>7016121</v>
          </cell>
          <cell r="F2664" t="str">
            <v>CANULA NASAL PARA ADULTO, CON DOS CONDUCTORES Y TUBO PARA OXIGENO DE 50 PIES, RESISTENTE A  ALTAS PRESIONES DE OXIGENO, AJUSTABLE BAJO LA MANDIBULA.</v>
          </cell>
          <cell r="G2664" t="str">
            <v>UN</v>
          </cell>
        </row>
        <row r="2665">
          <cell r="E2665">
            <v>7016122</v>
          </cell>
          <cell r="F2665" t="str">
            <v>CANULA NASAL PARA ADULTO, CON DOS CONDUCTORES SUAVES Y SILICONADOS  YTUBO PARA OXIGENO, 80- 100" AJUSTABLE BAJO LA MANDIBULA.</v>
          </cell>
          <cell r="G2665" t="str">
            <v>UN</v>
          </cell>
        </row>
        <row r="2666">
          <cell r="E2666">
            <v>7016123</v>
          </cell>
          <cell r="F2666" t="str">
            <v>CANULA NASAL PARA RECIEN NACIDO, CON DOS CONDUCTORES Y TUBO PARA OXIGENO, 80 - 100" DE LONGITUD, EMPAQUE INDIVIDUAL</v>
          </cell>
          <cell r="G2666" t="str">
            <v>UN</v>
          </cell>
        </row>
        <row r="2667">
          <cell r="E2667">
            <v>7016124</v>
          </cell>
          <cell r="F2667" t="str">
            <v>CEPILLO DE NYLON PARA CIRUJANO, REUSABLE Y ESTERILIZABLE.</v>
          </cell>
          <cell r="G2667" t="str">
            <v>UN</v>
          </cell>
        </row>
        <row r="2668">
          <cell r="E2668">
            <v>7016125</v>
          </cell>
          <cell r="F2668" t="str">
            <v>CEPILLO ESTERIL DE NYLON PARA LAVADO QUIRURGICO CON 15 - 20 ML DE SOLUCION A BASE DE YODO O CLORHEXIDINA</v>
          </cell>
          <cell r="G2668" t="str">
            <v>UN</v>
          </cell>
        </row>
        <row r="2669">
          <cell r="E2669">
            <v>7016126</v>
          </cell>
          <cell r="F2669" t="str">
            <v>CINTA PARA IMPRESOR DE GASÓMETRO SEGÚN  MARCA Y MODELO DE USO INSTITUCIONAL</v>
          </cell>
          <cell r="G2669" t="str">
            <v>UN</v>
          </cell>
        </row>
        <row r="2670">
          <cell r="E2670">
            <v>7016127</v>
          </cell>
          <cell r="F2670" t="str">
            <v>CINTA UMBILICAL, TRENZADA 100 YARDAS</v>
          </cell>
          <cell r="G2670" t="str">
            <v>YD</v>
          </cell>
        </row>
        <row r="2671">
          <cell r="E2671">
            <v>7016128</v>
          </cell>
          <cell r="F2671" t="str">
            <v>CLAMP UMBILICAL, DESCARTABLE</v>
          </cell>
          <cell r="G2671" t="str">
            <v>UN</v>
          </cell>
        </row>
        <row r="2672">
          <cell r="E2672">
            <v>7016129</v>
          </cell>
          <cell r="F2672" t="str">
            <v>COLCHON DE AIRE CON BOMBA CON SISTEMA ELECTRICO 120 V. ± 10%, 60 HZ..</v>
          </cell>
          <cell r="G2672" t="str">
            <v>UN</v>
          </cell>
        </row>
        <row r="2673">
          <cell r="E2673">
            <v>7016130</v>
          </cell>
          <cell r="F2673" t="str">
            <v>CONECTOR DOBLE, MACHO LUER LOCK/MACHO LUER LOCK EN AMBOS LADOS</v>
          </cell>
          <cell r="G2673" t="str">
            <v>UN</v>
          </cell>
        </row>
        <row r="2674">
          <cell r="E2674">
            <v>7016131</v>
          </cell>
          <cell r="F2674" t="str">
            <v>ENGRAPADORA #25-26 CIRCULARES CURVAS CABEZA DESMONTABLE CON GRAPAS DETITANIO CON SEGURO, CON GIRO ROTATORIO 360 GRADOS DESCARTABLE.USO ENCIRUGIA</v>
          </cell>
          <cell r="G2674" t="str">
            <v>UN</v>
          </cell>
        </row>
        <row r="2675">
          <cell r="E2675">
            <v>7016132</v>
          </cell>
          <cell r="F2675" t="str">
            <v>FILTRO PARA EQUIPO DE SUCCION DE MARCA Y MODELO DE USO INSTITUCIONAL</v>
          </cell>
          <cell r="G2675" t="str">
            <v>UN</v>
          </cell>
        </row>
        <row r="2676">
          <cell r="E2676">
            <v>7016133</v>
          </cell>
          <cell r="F2676" t="str">
            <v>GORRO DESCARTABLE PARA ENFERMERA.</v>
          </cell>
          <cell r="G2676" t="str">
            <v>UN</v>
          </cell>
        </row>
        <row r="2677">
          <cell r="E2677">
            <v>7016134</v>
          </cell>
          <cell r="F2677" t="str">
            <v>GORRO DESCARTABLE PARA MEDICOS</v>
          </cell>
          <cell r="G2677" t="str">
            <v>UN</v>
          </cell>
        </row>
        <row r="2678">
          <cell r="E2678">
            <v>7016135</v>
          </cell>
          <cell r="F2678" t="str">
            <v>GUANTE NO ESTERIL DE LATEX TALLA "L"</v>
          </cell>
          <cell r="G2678" t="str">
            <v>UN</v>
          </cell>
        </row>
        <row r="2679">
          <cell r="E2679">
            <v>7016136</v>
          </cell>
          <cell r="F2679" t="str">
            <v>GUANTE NO ESTERIL DE LATEX TALLA "M"</v>
          </cell>
          <cell r="G2679" t="str">
            <v>UN</v>
          </cell>
        </row>
        <row r="2680">
          <cell r="E2680">
            <v>7016137</v>
          </cell>
          <cell r="F2680" t="str">
            <v>GUANTE NO ESTERIL DE LATEX TALLA "S"</v>
          </cell>
          <cell r="G2680" t="str">
            <v>UN</v>
          </cell>
        </row>
        <row r="2681">
          <cell r="E2681">
            <v>7016138</v>
          </cell>
          <cell r="F2681" t="str">
            <v>GUANTE QUIRURGICO # 6 1/2, ESTERIL, DE LATEX,  PARA CIRUGIA. PAR</v>
          </cell>
          <cell r="G2681" t="str">
            <v>PAA</v>
          </cell>
        </row>
        <row r="2682">
          <cell r="E2682">
            <v>7016139</v>
          </cell>
          <cell r="F2682" t="str">
            <v>GUANTE QUIRURGICO #71/2, ESTERIL, DE LATEX,  PARA CIRUGIA.. PAR</v>
          </cell>
          <cell r="G2682" t="str">
            <v>PAA</v>
          </cell>
        </row>
        <row r="2683">
          <cell r="E2683">
            <v>7016140</v>
          </cell>
          <cell r="F2683" t="str">
            <v>GUANTE QUIRURGICO # 7, ESTERIL, DE LATEX,  PARA CIRUGIA.. PAR</v>
          </cell>
          <cell r="G2683" t="str">
            <v>PAA</v>
          </cell>
        </row>
        <row r="2684">
          <cell r="E2684">
            <v>7016141</v>
          </cell>
          <cell r="F2684" t="str">
            <v>GUANTE QUIRURGICO # 8 1/2, ESTERIL DE LATEX,  PARA CIRUGIA, ESTERIL. PAR</v>
          </cell>
          <cell r="G2684" t="str">
            <v>PAA</v>
          </cell>
        </row>
        <row r="2685">
          <cell r="E2685">
            <v>7016142</v>
          </cell>
          <cell r="F2685" t="str">
            <v>GUANTE QUIRURGICO # 8, ESTERIL, DE LATEX,  PARA CIRUGIA.. PAR</v>
          </cell>
          <cell r="G2685" t="str">
            <v>PAA</v>
          </cell>
        </row>
        <row r="2686">
          <cell r="E2686">
            <v>7016143</v>
          </cell>
          <cell r="F2686" t="str">
            <v>GUANTE QUIRURGICO # 9, ESTERIL DE LATEX,  PARA CIRUGIA.. PAR</v>
          </cell>
          <cell r="G2686" t="str">
            <v>PAA</v>
          </cell>
        </row>
        <row r="2687">
          <cell r="E2687">
            <v>7016144</v>
          </cell>
          <cell r="F2687" t="str">
            <v>HUATA QUIRURGICA DE 36" X 6 YARDAS. ROLLO</v>
          </cell>
          <cell r="G2687" t="str">
            <v>UN</v>
          </cell>
        </row>
        <row r="2688">
          <cell r="E2688">
            <v>7016145</v>
          </cell>
          <cell r="F2688" t="str">
            <v>INFUSOR A PRESION MANUAL</v>
          </cell>
          <cell r="G2688" t="str">
            <v>UN</v>
          </cell>
        </row>
        <row r="2689">
          <cell r="E2689">
            <v>7016146</v>
          </cell>
          <cell r="F2689" t="str">
            <v>JALEA LUBRICANTE DE USO MEDICO PARA DILATACION, pH NEUTRO, CONTENIDO DE 5 - 8 ONZAS.. DISPENSADOR</v>
          </cell>
          <cell r="G2689" t="str">
            <v>OZ</v>
          </cell>
        </row>
        <row r="2690">
          <cell r="E2690">
            <v>7016147</v>
          </cell>
          <cell r="F2690" t="str">
            <v>LENTES PROTECTORES QUIRURGICOS</v>
          </cell>
          <cell r="G2690" t="str">
            <v>UN</v>
          </cell>
        </row>
        <row r="2691">
          <cell r="E2691">
            <v>7016148</v>
          </cell>
          <cell r="F2691" t="str">
            <v>LUBRICANTE CONCENTRADO PARA INSTRUMENTAL QUIRURGICO</v>
          </cell>
          <cell r="G2691" t="str">
            <v>UN</v>
          </cell>
        </row>
        <row r="2692">
          <cell r="E2692">
            <v>7016149</v>
          </cell>
          <cell r="F2692" t="str">
            <v>MASCARILLA DESCARTABLE CON VISCERA</v>
          </cell>
          <cell r="G2692" t="str">
            <v>UN</v>
          </cell>
        </row>
        <row r="2693">
          <cell r="E2693">
            <v>7016150</v>
          </cell>
          <cell r="F2693" t="str">
            <v>MASCARILLA QUIRURGICA DESCARTABLE.</v>
          </cell>
          <cell r="G2693" t="str">
            <v>UN</v>
          </cell>
        </row>
        <row r="2694">
          <cell r="E2694">
            <v>7016151</v>
          </cell>
          <cell r="F2694" t="str">
            <v>MOLINILLO DE HUESO MANUAL O ACCIONADO CON AIRE COMPRIMIDO</v>
          </cell>
          <cell r="G2694" t="str">
            <v>UN</v>
          </cell>
        </row>
        <row r="2695">
          <cell r="E2695">
            <v>7016152</v>
          </cell>
          <cell r="F2695" t="str">
            <v>NAVAJA DESCARTABLE PARA RASURADO QUIRURGICO, ESTERIL, DE ACERO INOXIDABLE, COMPATIBLE CON RASURADORA ELECTRICA TIPO CLIPPER O SIMILAR, USO HOSPITALARIO</v>
          </cell>
          <cell r="G2695" t="str">
            <v>UN</v>
          </cell>
        </row>
        <row r="2696">
          <cell r="E2696">
            <v>7016153</v>
          </cell>
          <cell r="F2696" t="str">
            <v>PASTA O GEL  SELLADORA Y DE PROTECCION PARA PLACAS O BOLSAS DE OSTOMIA DE DIFERENTES COMPONENTES</v>
          </cell>
          <cell r="G2696" t="str">
            <v>UN</v>
          </cell>
        </row>
        <row r="2697">
          <cell r="E2697">
            <v>7016154</v>
          </cell>
          <cell r="F2697" t="str">
            <v>PERILLA DE HULE DE 2 O 3 ONZAS,  PARA ASPIRAR,    INFANTES.</v>
          </cell>
          <cell r="G2697" t="str">
            <v>UN</v>
          </cell>
        </row>
        <row r="2698">
          <cell r="E2698">
            <v>7016155</v>
          </cell>
          <cell r="F2698" t="str">
            <v>PISTOLA PARA DISPARAR AGUJA PARA BIOPSIA TIPO TRUCUT</v>
          </cell>
          <cell r="G2698" t="str">
            <v>UN</v>
          </cell>
        </row>
        <row r="2699">
          <cell r="E2699">
            <v>7016156</v>
          </cell>
          <cell r="F2699" t="str">
            <v>PRESERVATIVO PARA RECOLECTOR DE ORINA</v>
          </cell>
          <cell r="G2699" t="str">
            <v>UN</v>
          </cell>
        </row>
        <row r="2700">
          <cell r="E2700">
            <v>7016157</v>
          </cell>
          <cell r="F2700" t="str">
            <v>PRESERVATIVO PARA RECOLECTOR DE ORINA</v>
          </cell>
          <cell r="G2700" t="str">
            <v>UN</v>
          </cell>
        </row>
        <row r="2701">
          <cell r="E2701">
            <v>7016158</v>
          </cell>
          <cell r="F2701" t="str">
            <v>RECARGAS P/ENGRAPADORA TERMINAL LINEAL, 60MM. P/TEJIDO GASTROINTESTINALGRUESO, DESC.</v>
          </cell>
          <cell r="G2701" t="str">
            <v>UN</v>
          </cell>
        </row>
        <row r="2702">
          <cell r="E2702">
            <v>7016159</v>
          </cell>
          <cell r="F2702" t="str">
            <v>REGULADOR DE VACIO PARA EMPOTRAR EN PARED ( VACUCM REGULADOR )</v>
          </cell>
          <cell r="G2702" t="str">
            <v>UN</v>
          </cell>
        </row>
        <row r="2703">
          <cell r="E2703">
            <v>7016160</v>
          </cell>
          <cell r="F2703" t="str">
            <v>SET DE BANCO DE LLAVES DE 3 VIAS CON EXTENSION</v>
          </cell>
          <cell r="G2703" t="str">
            <v>SET</v>
          </cell>
        </row>
        <row r="2704">
          <cell r="E2704">
            <v>7016161</v>
          </cell>
          <cell r="F2704" t="str">
            <v>SISTEMA NEUMATICO PARA MIEMBROS INFERIORES PARA PROFILAXIS DE TROMBOSISVENOSA PROFUNDA</v>
          </cell>
          <cell r="G2704" t="str">
            <v>UN</v>
          </cell>
        </row>
        <row r="2705">
          <cell r="E2705">
            <v>7016162</v>
          </cell>
          <cell r="F2705" t="str">
            <v>SUCCIONADOR DE LEE CON TRAMPA, GRADUADO CON CAPACIDAD DE 20 mL, CON TUBO MOLDEABLE DE  8 FRECH, CON BOQUILLA DESCARTABLE</v>
          </cell>
          <cell r="G2705" t="str">
            <v>UN</v>
          </cell>
        </row>
        <row r="2706">
          <cell r="E2706">
            <v>7016163</v>
          </cell>
          <cell r="F2706" t="str">
            <v>SUSPENSOR ELASTICO, CLINICO, GRANDE.</v>
          </cell>
          <cell r="G2706" t="str">
            <v>UN</v>
          </cell>
        </row>
        <row r="2707">
          <cell r="E2707">
            <v>7016164</v>
          </cell>
          <cell r="F2707" t="str">
            <v>SUSPENSOR ELASTICO, CLINICO, MEDIANO.</v>
          </cell>
          <cell r="G2707" t="str">
            <v>UN</v>
          </cell>
        </row>
        <row r="2708">
          <cell r="E2708">
            <v>7016165</v>
          </cell>
          <cell r="F2708" t="str">
            <v>TERMOMETRO CON ESCALA DE -40 A +50 °C, PARA MONITOREO DE CADENA DE FRIO</v>
          </cell>
          <cell r="G2708" t="str">
            <v>UN</v>
          </cell>
        </row>
        <row r="2709">
          <cell r="E2709">
            <v>7016166</v>
          </cell>
          <cell r="F2709" t="str">
            <v>TERMOMETRO ORAL DE MERCURIO GRADUADO EN GRADOS CENTIGRADOS.</v>
          </cell>
          <cell r="G2709" t="str">
            <v>UN</v>
          </cell>
        </row>
        <row r="2710">
          <cell r="E2710">
            <v>7016167</v>
          </cell>
          <cell r="F2710" t="str">
            <v>TERMOMETRO PARA MEDIR TEMPERATURAS ENTRE -40ºC A 50ºC</v>
          </cell>
          <cell r="G2710" t="str">
            <v>UN</v>
          </cell>
        </row>
        <row r="2711">
          <cell r="E2711">
            <v>7016168</v>
          </cell>
          <cell r="F2711" t="str">
            <v>TERMOMETRO RECTAL DE MERCURIO GRADUADO EN GRADOS CENTRIGRADOS.</v>
          </cell>
          <cell r="G2711" t="str">
            <v>UN</v>
          </cell>
        </row>
        <row r="2712">
          <cell r="E2712">
            <v>7016169</v>
          </cell>
          <cell r="F2712" t="str">
            <v>TOALLAS SANITARIAS SUPER ABSORBENTE.</v>
          </cell>
          <cell r="G2712" t="str">
            <v>UN</v>
          </cell>
        </row>
        <row r="2713">
          <cell r="E2713">
            <v>7016170</v>
          </cell>
          <cell r="F2713" t="str">
            <v>TUBO CONECTOR EN Y, DE 1/4", PLASTICO</v>
          </cell>
          <cell r="G2713" t="str">
            <v>UN</v>
          </cell>
        </row>
        <row r="2714">
          <cell r="E2714">
            <v>7016171</v>
          </cell>
          <cell r="F2714" t="str">
            <v>TUBO DE POLIETILENO PARA ESTERILIZAR SONDAS  3" X 75".. ROLLO</v>
          </cell>
          <cell r="G2714" t="str">
            <v>UN</v>
          </cell>
        </row>
        <row r="2715">
          <cell r="E2715">
            <v>7016172</v>
          </cell>
          <cell r="F2715" t="str">
            <v>TUBO FLEXIBLE  DE POLIURETANO GRADO HOSPITALARIO TRANSPARENTE  3/8" X1/2"  X 3/32", DE 50 PIES DE LARGO</v>
          </cell>
          <cell r="G2715" t="str">
            <v>TF</v>
          </cell>
        </row>
        <row r="2716">
          <cell r="E2716">
            <v>7016173</v>
          </cell>
          <cell r="F2716" t="str">
            <v>TUBO FLEXIBLE DE POLIURETANO GRADO HOSPITALARIO TRANSPARENTE  1/4" X3/8"  X 1/16", DE 50 PIES DE LARGO</v>
          </cell>
          <cell r="G2716" t="str">
            <v>TF</v>
          </cell>
        </row>
        <row r="2717">
          <cell r="E2717">
            <v>7016174</v>
          </cell>
          <cell r="F2717" t="str">
            <v>TURBINA PARA ESPIROMETRÍA</v>
          </cell>
          <cell r="G2717" t="str">
            <v>UN</v>
          </cell>
        </row>
        <row r="2718">
          <cell r="E2718">
            <v>7016175</v>
          </cell>
          <cell r="F2718" t="str">
            <v>VENDA ELASTICA DE 2" X 3 Ó 5 YARDAS.</v>
          </cell>
          <cell r="G2718" t="str">
            <v>UN</v>
          </cell>
        </row>
        <row r="2719">
          <cell r="E2719">
            <v>7016176</v>
          </cell>
          <cell r="F2719" t="str">
            <v>VENDA ELASTICA DE 3" X 3 Ó 5 YARDAS.</v>
          </cell>
          <cell r="G2719" t="str">
            <v>UN</v>
          </cell>
        </row>
        <row r="2720">
          <cell r="E2720">
            <v>7016177</v>
          </cell>
          <cell r="F2720" t="str">
            <v>VENDA ELASTICA DE 4" X 3 Ó 5 YARDAS.</v>
          </cell>
          <cell r="G2720" t="str">
            <v>UN</v>
          </cell>
        </row>
        <row r="2721">
          <cell r="E2721">
            <v>7016178</v>
          </cell>
          <cell r="F2721" t="str">
            <v>VENDA ELASTICA DE 6" X 3 Ó 5 YARDAS.</v>
          </cell>
          <cell r="G2721" t="str">
            <v>UN</v>
          </cell>
        </row>
        <row r="2722">
          <cell r="E2722">
            <v>7016198</v>
          </cell>
          <cell r="F2722" t="str">
            <v>FILTRO PARA INCUBADORA DE MARCA Y MODELO DE USO INSTITUCIONAL</v>
          </cell>
          <cell r="G2722" t="str">
            <v>UN</v>
          </cell>
        </row>
        <row r="2723">
          <cell r="E2723">
            <v>7017009</v>
          </cell>
          <cell r="F2723" t="str">
            <v>PAPEL MILIMETRADO EN LIBRETA DE 100 HOJAS</v>
          </cell>
          <cell r="G2723" t="str">
            <v>LIBRETA</v>
          </cell>
        </row>
        <row r="2724">
          <cell r="E2724">
            <v>7017011</v>
          </cell>
          <cell r="F2724" t="str">
            <v>PAPEL PARA ESPIROMETRO, CAJA PARA UN ROLLO</v>
          </cell>
          <cell r="G2724" t="str">
            <v>C/U</v>
          </cell>
        </row>
        <row r="2725">
          <cell r="E2725">
            <v>7017012</v>
          </cell>
          <cell r="F2725" t="str">
            <v>PAPEL PARA MONITOR FETAL INTRAPARTUN (SONICAID)</v>
          </cell>
          <cell r="G2725" t="str">
            <v>BLOCK</v>
          </cell>
        </row>
        <row r="2726">
          <cell r="E2726">
            <v>7017013</v>
          </cell>
          <cell r="F2726" t="str">
            <v>PAPEL PARA MONITOR TIPO PAC KARD</v>
          </cell>
          <cell r="G2726" t="str">
            <v>ROLLO</v>
          </cell>
        </row>
        <row r="2727">
          <cell r="E2727">
            <v>7017014</v>
          </cell>
          <cell r="F2727" t="str">
            <v>PAPEL PREDOBLADO MILIMETRADO PARA MONITOREO DE  HOLTER.</v>
          </cell>
          <cell r="G2727" t="str">
            <v>HOJA</v>
          </cell>
        </row>
        <row r="2728">
          <cell r="E2728">
            <v>7017015</v>
          </cell>
          <cell r="F2728" t="str">
            <v>PAPEL PREDOBLADO PARA FONOCARDIOGRAFO</v>
          </cell>
          <cell r="G2728" t="str">
            <v>HOJA</v>
          </cell>
        </row>
        <row r="2729">
          <cell r="E2729">
            <v>7017017</v>
          </cell>
          <cell r="F2729" t="str">
            <v>PAPEL TERMICO ANALIZADOR IRMA</v>
          </cell>
          <cell r="G2729" t="str">
            <v>ROLLO</v>
          </cell>
        </row>
        <row r="2730">
          <cell r="E2730">
            <v>7017019</v>
          </cell>
          <cell r="F2730" t="str">
            <v>PAPEL TERMICO DE ALTA DENSIDAD PARA ESPIROMETRO  55 MM DE ANCHO Y 5/8" DIAMETRO DE CARRETE.</v>
          </cell>
          <cell r="G2730" t="str">
            <v>ROLLO</v>
          </cell>
        </row>
        <row r="2731">
          <cell r="E2731">
            <v>7017020</v>
          </cell>
          <cell r="F2731" t="str">
            <v>PAPEL TERMICO DE ALTA DENSIDAD PARA ESPIROMETRO,   11 CM DE ANCHO Y 5/8" DIAMETRO DE CARRETE.</v>
          </cell>
          <cell r="G2731" t="str">
            <v>ROLLO</v>
          </cell>
        </row>
        <row r="2732">
          <cell r="E2732">
            <v>7017022</v>
          </cell>
          <cell r="F2732" t="str">
            <v>PAPEL TERMICO PARA HUMA CLOT .</v>
          </cell>
          <cell r="G2732" t="str">
            <v>C/U</v>
          </cell>
        </row>
        <row r="2733">
          <cell r="E2733">
            <v>7017023</v>
          </cell>
          <cell r="F2733" t="str">
            <v>PAPEL TERMICO PARA PRINTER</v>
          </cell>
          <cell r="G2733" t="str">
            <v>C/U</v>
          </cell>
        </row>
        <row r="2734">
          <cell r="E2734">
            <v>7017024</v>
          </cell>
          <cell r="F2734" t="str">
            <v>PAPEL TERMICO PARA PROCESADOR HEMATOLOGICO</v>
          </cell>
          <cell r="G2734" t="str">
            <v>ROLLO</v>
          </cell>
        </row>
        <row r="2735">
          <cell r="E2735">
            <v>7017025</v>
          </cell>
          <cell r="F2735" t="str">
            <v>TABLILLA PARA PAPEL IMPRESOR</v>
          </cell>
          <cell r="G2735" t="str">
            <v>C/U</v>
          </cell>
        </row>
        <row r="2736">
          <cell r="E2736">
            <v>7017050</v>
          </cell>
          <cell r="F2736" t="str">
            <v>PAPEL ABSORBENTE PARA ADULTO. PAQUETE</v>
          </cell>
          <cell r="G2736" t="str">
            <v>UN</v>
          </cell>
        </row>
        <row r="2737">
          <cell r="E2737">
            <v>7017051</v>
          </cell>
          <cell r="F2737" t="str">
            <v>PAPEL DE IMPRESION TERMICO DE ALTA DENSIDAD,PARA  EQUIPO ULTRASONOGRAFIA.. ROLLO</v>
          </cell>
          <cell r="G2737" t="str">
            <v>UN</v>
          </cell>
        </row>
        <row r="2738">
          <cell r="E2738">
            <v>7017052</v>
          </cell>
          <cell r="F2738" t="str">
            <v>PAPEL GRAFICADOR PARA ELECTROCARDIOGRAFO DE 1 CANAL, 50 MM., DIAMETRODE CARRETE 1".. ROLLO</v>
          </cell>
          <cell r="G2738" t="str">
            <v>UN</v>
          </cell>
        </row>
        <row r="2739">
          <cell r="E2739">
            <v>7017053</v>
          </cell>
          <cell r="F2739" t="str">
            <v>PAPEL GRAFICADOR PARA ELECTROCARDIOGRAFO DE 1 CANAL, 50 MM., DIAMETRODE CARRETE 5/8".. ROLLO</v>
          </cell>
          <cell r="G2739" t="str">
            <v>UN</v>
          </cell>
        </row>
        <row r="2740">
          <cell r="E2740">
            <v>7017054</v>
          </cell>
          <cell r="F2740" t="str">
            <v>PAPEL GRAFICADOR PARA ELECTROCARDIOGRAFO DE 1 CANAL, 63 MM., DIAMETRODE CARRETE 5/8".. ROLLO</v>
          </cell>
          <cell r="G2740" t="str">
            <v>UN</v>
          </cell>
        </row>
        <row r="2741">
          <cell r="E2741">
            <v>7017055</v>
          </cell>
          <cell r="F2741" t="str">
            <v>PAPEL GRAFICADOR PARA MONITOR DE 3 CANALES, PREDOBLADO, TIPO QUINTON,DOBLE RAYADO.. BLOCK</v>
          </cell>
          <cell r="G2741" t="str">
            <v>UN</v>
          </cell>
        </row>
        <row r="2742">
          <cell r="E2742">
            <v>7017056</v>
          </cell>
          <cell r="F2742" t="str">
            <v>PAPEL GRAFICADOR PARA MONITOR FETAL TIPO COROMETRIC O SIMILAR.. ROLLO</v>
          </cell>
          <cell r="G2742" t="str">
            <v>UN</v>
          </cell>
        </row>
        <row r="2743">
          <cell r="E2743">
            <v>7017057</v>
          </cell>
          <cell r="F2743" t="str">
            <v>PAPEL GRAFICADOR PREDOBLADO PARA ELECTROCARDIOGRAFO DE 12 CANALES TIPO QUINTON.. BLOCK</v>
          </cell>
          <cell r="G2743" t="str">
            <v>UN</v>
          </cell>
        </row>
        <row r="2744">
          <cell r="E2744">
            <v>7017058</v>
          </cell>
          <cell r="F2744" t="str">
            <v>PAPEL MILIMETRADO CON ESCALA 240 - 30, DE 15 X 10 CM. PAQUETE</v>
          </cell>
          <cell r="G2744" t="str">
            <v>UN</v>
          </cell>
        </row>
        <row r="2745">
          <cell r="E2745">
            <v>7017059</v>
          </cell>
          <cell r="F2745" t="str">
            <v>PAPEL MILIMETRADO, PREDOBLADO, PARA BANDA SIN FIN, SEGÚN MARCA Y MODELO DE EQUIPO INSTITUCIONAL</v>
          </cell>
          <cell r="G2745" t="str">
            <v>UN</v>
          </cell>
        </row>
        <row r="2746">
          <cell r="E2746">
            <v>7017060</v>
          </cell>
          <cell r="F2746" t="str">
            <v>PAPEL PARA ELECTROCARDIOGRAFO PORTATIL (5 CMS.DE ANCHO) PARA MARCA Y MODELO INSTITUCIONAL. ROLLO</v>
          </cell>
          <cell r="G2746" t="str">
            <v>UN</v>
          </cell>
        </row>
        <row r="2747">
          <cell r="E2747">
            <v>7017061</v>
          </cell>
          <cell r="F2747" t="str">
            <v>PAPEL PARA MONITOR FETAL SEGÚN MARCA Y MODELO DE EQUIPO INSTITUCIONAL</v>
          </cell>
          <cell r="G2747" t="str">
            <v>UN</v>
          </cell>
        </row>
        <row r="2748">
          <cell r="E2748">
            <v>7017062</v>
          </cell>
          <cell r="F2748" t="str">
            <v>PAPEL PREDOBLADO PARA MONITOR FETAL MODELO 111.. PAQUETE</v>
          </cell>
          <cell r="G2748" t="str">
            <v>UN</v>
          </cell>
        </row>
        <row r="2749">
          <cell r="E2749">
            <v>7017063</v>
          </cell>
          <cell r="F2749" t="str">
            <v>PAPEL TERMICO DE 110 MM DE BAJA DENSIDAD PARA  ULTRASONOGRAFIA.. ROLLO</v>
          </cell>
          <cell r="G2749" t="str">
            <v>UN</v>
          </cell>
        </row>
        <row r="2750">
          <cell r="E2750">
            <v>7017064</v>
          </cell>
          <cell r="F2750" t="str">
            <v>PAPEL TERMICO PARA ELECTROCARDIOGRAFO DE 3 CANALES, SEGÚN MARCA Y MODELO DE EQUIPO INSTITUCIONAL. ROLLO</v>
          </cell>
          <cell r="G2750" t="str">
            <v>UN</v>
          </cell>
        </row>
        <row r="2751">
          <cell r="E2751">
            <v>7017065</v>
          </cell>
          <cell r="F2751" t="str">
            <v>PAPEL TERMICO PARA GASOMETRO SEGÚN MARCA Y MODELO DE USO INSTITUCIONAL, PARA IMPRESIÓN DE 200 MUESTRAS COMO MINIMO</v>
          </cell>
          <cell r="G2751" t="str">
            <v>UN</v>
          </cell>
        </row>
        <row r="2752">
          <cell r="E2752">
            <v>7017066</v>
          </cell>
          <cell r="F2752" t="str">
            <v>PAPEL TERMICO PARA GRAFICADORA COMPATIBLE CON EQUIPO SIEMENS. ROLLO</v>
          </cell>
          <cell r="G2752" t="str">
            <v>UN</v>
          </cell>
        </row>
        <row r="2753">
          <cell r="E2753">
            <v>7018060</v>
          </cell>
          <cell r="F2753" t="str">
            <v>BALDE INOXIDABLE DE 15" DIAMETRO SUPERIOR, 12" ALTO.</v>
          </cell>
          <cell r="G2753" t="str">
            <v>UN</v>
          </cell>
        </row>
        <row r="2754">
          <cell r="E2754">
            <v>7018061</v>
          </cell>
          <cell r="F2754" t="str">
            <v>BANDEJA INOXIDABLE  DE  17" X 11 1/2" X 1/2"      .</v>
          </cell>
          <cell r="G2754" t="str">
            <v>UN</v>
          </cell>
        </row>
        <row r="2755">
          <cell r="E2755">
            <v>7018062</v>
          </cell>
          <cell r="F2755" t="str">
            <v>BANDEJA INOXIDABLE DE 13 1/2" X 9 3/4" X 5/8"  .</v>
          </cell>
          <cell r="G2755" t="str">
            <v>UN</v>
          </cell>
        </row>
        <row r="2756">
          <cell r="E2756">
            <v>7018063</v>
          </cell>
          <cell r="F2756" t="str">
            <v>BANDEJA INOXIDABLE DE 15 1/8" X 10 1/2" X 1/2" .</v>
          </cell>
          <cell r="G2756" t="str">
            <v>UN</v>
          </cell>
        </row>
        <row r="2757">
          <cell r="E2757">
            <v>7018064</v>
          </cell>
          <cell r="F2757" t="str">
            <v>BANDEJA INOXIDABLE DE 19" X 12 1/2" X 5/8", PARA MESA MAYO.</v>
          </cell>
          <cell r="G2757" t="str">
            <v>UN</v>
          </cell>
        </row>
        <row r="2758">
          <cell r="E2758">
            <v>7018065</v>
          </cell>
          <cell r="F2758" t="str">
            <v>CAJA CON TAPADERA PARA MICROINSTRUMENTOS 230 X 130X 50 MM. INOXIDABLE.</v>
          </cell>
          <cell r="G2758" t="str">
            <v>UN</v>
          </cell>
        </row>
        <row r="2759">
          <cell r="E2759">
            <v>7018066</v>
          </cell>
          <cell r="F2759" t="str">
            <v>CAJA PARA ESTERILIZAR INSTRUMENTAL</v>
          </cell>
          <cell r="G2759" t="str">
            <v>UN</v>
          </cell>
        </row>
        <row r="2760">
          <cell r="E2760">
            <v>7018067</v>
          </cell>
          <cell r="F2760" t="str">
            <v>CAJA PARA ESTERILIZAR INSTRUMENTAL DE MICROCIRUGIA</v>
          </cell>
          <cell r="G2760" t="str">
            <v>UN</v>
          </cell>
        </row>
        <row r="2761">
          <cell r="E2761">
            <v>7018068</v>
          </cell>
          <cell r="F2761" t="str">
            <v>CAJA PARA ESTERILIZAR MATERIAL DE ORTOPEDIA</v>
          </cell>
          <cell r="G2761" t="str">
            <v>UN</v>
          </cell>
        </row>
        <row r="2762">
          <cell r="E2762">
            <v>7018069</v>
          </cell>
          <cell r="F2762" t="str">
            <v>COMODO INOXIDABLE PARA ADULTO.</v>
          </cell>
          <cell r="G2762" t="str">
            <v>UN</v>
          </cell>
        </row>
        <row r="2763">
          <cell r="E2763">
            <v>7018070</v>
          </cell>
          <cell r="F2763" t="str">
            <v>COPA INOXIDABLE GRADUADA DE  2 ONZAS.</v>
          </cell>
          <cell r="G2763" t="str">
            <v>UN</v>
          </cell>
        </row>
        <row r="2764">
          <cell r="E2764">
            <v>7018071</v>
          </cell>
          <cell r="F2764" t="str">
            <v>COPA INOXIDABLE GRADUADA DE 1000 mL SIN ASA.</v>
          </cell>
          <cell r="G2764" t="str">
            <v>UN</v>
          </cell>
        </row>
        <row r="2765">
          <cell r="E2765">
            <v>7018072</v>
          </cell>
          <cell r="F2765" t="str">
            <v>COPA INOXIDABLE GRADUADA DE 500 mL CON ASA.</v>
          </cell>
          <cell r="G2765" t="str">
            <v>UN</v>
          </cell>
        </row>
        <row r="2766">
          <cell r="E2766">
            <v>7018073</v>
          </cell>
          <cell r="F2766" t="str">
            <v>ESCUDILLA INOXIDABLE DE 4 3/8" X 2 5/8"</v>
          </cell>
          <cell r="G2766" t="str">
            <v>UN</v>
          </cell>
        </row>
        <row r="2767">
          <cell r="E2767">
            <v>7018074</v>
          </cell>
          <cell r="F2767" t="str">
            <v>ESCUDILLA INOXIDABLE DE 5 3/4" X 2 3/8"</v>
          </cell>
          <cell r="G2767" t="str">
            <v>UN</v>
          </cell>
        </row>
        <row r="2768">
          <cell r="E2768">
            <v>7018075</v>
          </cell>
          <cell r="F2768" t="str">
            <v>ESCUDILLA INOXIDABLE DE61/2" X 2 1/2"</v>
          </cell>
          <cell r="G2768" t="str">
            <v>UN</v>
          </cell>
        </row>
        <row r="2769">
          <cell r="E2769">
            <v>7018076</v>
          </cell>
          <cell r="F2769" t="str">
            <v>ESTETOSCOPIO CON CAMPANA Y DIAFRAGMA PARA ADULTO.</v>
          </cell>
          <cell r="G2769" t="str">
            <v>UN</v>
          </cell>
        </row>
        <row r="2770">
          <cell r="E2770">
            <v>7018077</v>
          </cell>
          <cell r="F2770" t="str">
            <v>FRASCO DE VIDRIO CON TAPADERA INOXIDABLE, PARA TORUNDAS Y PALILLOS, 5" X 5" .</v>
          </cell>
          <cell r="G2770" t="str">
            <v>UN</v>
          </cell>
        </row>
        <row r="2771">
          <cell r="E2771">
            <v>7018078</v>
          </cell>
          <cell r="F2771" t="str">
            <v>FRASCO DE VIDRIO CON TAPADERA INOXIDABLE, PARA TORUNDAS Y PALILLOS, 7" X 4" .</v>
          </cell>
          <cell r="G2771" t="str">
            <v>UN</v>
          </cell>
        </row>
        <row r="2772">
          <cell r="E2772">
            <v>7018079</v>
          </cell>
          <cell r="F2772" t="str">
            <v>FRASCO PARA EQUIPO DE SUCCION DE SECRECIONES, MATERIAL VIDRIO OPLASTICO, DIAMETRO INTERNO DE BOCA DE 60 MM PARA USAR TAPON DE HULE #12, CAPACIDAD ENTRE 1000 Y 2000 ML, PARA EQUIPO DE MARCA Y MODELO DE USOINSTITUCIONAL</v>
          </cell>
          <cell r="G2772" t="str">
            <v>UN</v>
          </cell>
        </row>
        <row r="2773">
          <cell r="E2773">
            <v>7018080</v>
          </cell>
          <cell r="F2773" t="str">
            <v>FRASCO PLASTICO PARA EQUIPO DE SUCCION DE SECRECIONES, MATERIALPLASTICO, CON TAPADERA, CON VALVULA DE SEGURIDAD PARA EVITAR REBALSE,CAPACIDAD MINIMA DE 1200 ML, PARA EQUIPO DE MARCA Y MODELO DE USOINSTITUCIONAL</v>
          </cell>
          <cell r="G2773" t="str">
            <v>UN</v>
          </cell>
        </row>
        <row r="2774">
          <cell r="E2774">
            <v>7018081</v>
          </cell>
          <cell r="F2774" t="str">
            <v>IRRIGADOR INOXIDABLE DE 2 1/4 LITRO .</v>
          </cell>
          <cell r="G2774" t="str">
            <v>UN</v>
          </cell>
        </row>
        <row r="2775">
          <cell r="E2775">
            <v>7018082</v>
          </cell>
          <cell r="F2775" t="str">
            <v>PORTA BALDE, CON RODOS, PARA SALA  DE OPERACIONES (CON BALDE).</v>
          </cell>
          <cell r="G2775" t="str">
            <v>UN</v>
          </cell>
        </row>
        <row r="2776">
          <cell r="E2776">
            <v>7018083</v>
          </cell>
          <cell r="F2776" t="str">
            <v>PORTA EXPEDIENTE,DE ALUMINIO 9" X 12"</v>
          </cell>
          <cell r="G2776" t="str">
            <v>UN</v>
          </cell>
        </row>
        <row r="2777">
          <cell r="E2777">
            <v>7018084</v>
          </cell>
          <cell r="F2777" t="str">
            <v>PORTA PINZA INOXIDABLE71/4" X 3 1/8"</v>
          </cell>
          <cell r="G2777" t="str">
            <v>UN</v>
          </cell>
        </row>
        <row r="2778">
          <cell r="E2778">
            <v>7018085</v>
          </cell>
          <cell r="F2778" t="str">
            <v>RACK PORTA INSTRUMENTO DE ALUMINIO CON TAPADERA.</v>
          </cell>
          <cell r="G2778" t="str">
            <v>UN</v>
          </cell>
        </row>
        <row r="2779">
          <cell r="E2779">
            <v>7018086</v>
          </cell>
          <cell r="F2779" t="str">
            <v>RACK PORTA INSTRUMENTO FINO INOXIDABLE PEQUEÑO.</v>
          </cell>
          <cell r="G2779" t="str">
            <v>UN</v>
          </cell>
        </row>
        <row r="2780">
          <cell r="E2780">
            <v>7018087</v>
          </cell>
          <cell r="F2780" t="str">
            <v>RECIPIENTE INOXIDABLE 12 3/4" X 3 1/2", TIPO HUACAL</v>
          </cell>
          <cell r="G2780" t="str">
            <v>UN</v>
          </cell>
        </row>
        <row r="2781">
          <cell r="E2781">
            <v>7018088</v>
          </cell>
          <cell r="F2781" t="str">
            <v>TAMBO INOXIDABLE CON TAPADERA 7" X 7"</v>
          </cell>
          <cell r="G2781" t="str">
            <v>UN</v>
          </cell>
        </row>
        <row r="2782">
          <cell r="E2782">
            <v>7018089</v>
          </cell>
          <cell r="F2782" t="str">
            <v>TAMBO INOXIDABLE CON TAPADERA 8" X 10"</v>
          </cell>
          <cell r="G2782" t="str">
            <v>UN</v>
          </cell>
        </row>
        <row r="2783">
          <cell r="E2783">
            <v>7018090</v>
          </cell>
          <cell r="F2783" t="str">
            <v>TAMBO INOXIDABLE CON TAPADERA, 4 7/8" X67/8"</v>
          </cell>
          <cell r="G2783" t="str">
            <v>UN</v>
          </cell>
        </row>
        <row r="2784">
          <cell r="E2784">
            <v>7018091</v>
          </cell>
          <cell r="F2784" t="str">
            <v>URINAL INOXIDABLE MASCULINO  CON  ASA</v>
          </cell>
          <cell r="G2784" t="str">
            <v>UN</v>
          </cell>
        </row>
        <row r="2785">
          <cell r="E2785">
            <v>7018092</v>
          </cell>
          <cell r="F2785" t="str">
            <v>VASIJA ARRIÑONADA, INOXIDABLE, 8" X 3 1/2" X 2" .</v>
          </cell>
          <cell r="G2785" t="str">
            <v>UN</v>
          </cell>
        </row>
        <row r="2786">
          <cell r="E2786">
            <v>7018093</v>
          </cell>
          <cell r="F2786" t="str">
            <v>VASIJA DE ACERO INOXIDABLE DE 5 X 2 "</v>
          </cell>
          <cell r="G2786" t="str">
            <v>UN</v>
          </cell>
        </row>
        <row r="2787">
          <cell r="E2787">
            <v>7018094</v>
          </cell>
          <cell r="F2787" t="str">
            <v>VASIJA INOXIDABLE, SIN TAPADERA, 10 3/8" X63/8" X 2 1/2" .</v>
          </cell>
          <cell r="G2787" t="str">
            <v>UN</v>
          </cell>
        </row>
        <row r="2788">
          <cell r="E2788">
            <v>7018095</v>
          </cell>
          <cell r="F2788" t="str">
            <v>VASIJA INOXIDABLE, SIN TAPADERA, 10" X61/2" X 2".</v>
          </cell>
          <cell r="G2788" t="str">
            <v>UN</v>
          </cell>
        </row>
        <row r="2789">
          <cell r="E2789">
            <v>7018096</v>
          </cell>
          <cell r="F2789" t="str">
            <v>VASIJA INOXIDABLE, SIN TAPADERA, 12 1/4" X75/8" X 2 1/8" .</v>
          </cell>
          <cell r="G2789" t="str">
            <v>UN</v>
          </cell>
        </row>
        <row r="2790">
          <cell r="E2790">
            <v>7018097</v>
          </cell>
          <cell r="F2790" t="str">
            <v>VASIJA INOXIDABLE, SIN TAPADERA, 12 3/4" X67/8" X 2 1/2" .</v>
          </cell>
          <cell r="G2790" t="str">
            <v>UN</v>
          </cell>
        </row>
        <row r="2791">
          <cell r="E2791">
            <v>7018098</v>
          </cell>
          <cell r="F2791" t="str">
            <v>VASIJA INOXIDABLE, SIN TAPADERA, 16 3/4" X 9 3/4" X 2 1/2".</v>
          </cell>
          <cell r="G2791" t="str">
            <v>UN</v>
          </cell>
        </row>
        <row r="2792">
          <cell r="E2792">
            <v>7018099</v>
          </cell>
          <cell r="F2792" t="str">
            <v>VASIJA INOXIDABLE, SIN TAPADERA, 20 3/4" X 12 3/4"X 2 1/2".</v>
          </cell>
          <cell r="G2792" t="str">
            <v>UN</v>
          </cell>
        </row>
        <row r="2793">
          <cell r="E2793">
            <v>7018100</v>
          </cell>
          <cell r="F2793" t="str">
            <v>VASIJA INOXIDABLE, SIN TAPADERA, 8 7/8" X 5" X 2" .</v>
          </cell>
          <cell r="G2793" t="str">
            <v>UN</v>
          </cell>
        </row>
        <row r="2794">
          <cell r="E2794">
            <v>7020019</v>
          </cell>
          <cell r="F2794" t="str">
            <v>CATETER RENAL DOBLE CURVA FRENCH 6</v>
          </cell>
          <cell r="G2794" t="str">
            <v>C/U</v>
          </cell>
        </row>
        <row r="2795">
          <cell r="E2795">
            <v>7020140</v>
          </cell>
          <cell r="F2795" t="str">
            <v>AGUJA CHIBA DESECHABLE # 19 DE 20 CM  DE LARGO, ± 3 CM</v>
          </cell>
          <cell r="G2795" t="str">
            <v>UN</v>
          </cell>
        </row>
        <row r="2796">
          <cell r="E2796">
            <v>7020141</v>
          </cell>
          <cell r="F2796" t="str">
            <v>AGUJA CHIBA DESECHABLE # 20 DE 20 CM  DE LARGO, ± 3 CM</v>
          </cell>
          <cell r="G2796" t="str">
            <v>UN</v>
          </cell>
        </row>
        <row r="2797">
          <cell r="E2797">
            <v>7020142</v>
          </cell>
          <cell r="F2797" t="str">
            <v>AGUJA CHIBA DESECHABLE # 21 DE 20 CM  DE LARGO, ± 3 CM</v>
          </cell>
          <cell r="G2797" t="str">
            <v>UN</v>
          </cell>
        </row>
        <row r="2798">
          <cell r="E2798">
            <v>7020143</v>
          </cell>
          <cell r="F2798" t="str">
            <v>AGUJA CHIBA DESECHABLE # 22 DE 20 CM  DE LARGO , ± 3 CM</v>
          </cell>
          <cell r="G2798" t="str">
            <v>UN</v>
          </cell>
        </row>
        <row r="2799">
          <cell r="E2799">
            <v>7020144</v>
          </cell>
          <cell r="F2799" t="str">
            <v>AGUJA DESECHABLE FRANSEN PARA BIOPSIA PULMONAR</v>
          </cell>
          <cell r="G2799" t="str">
            <v>UN</v>
          </cell>
        </row>
        <row r="2800">
          <cell r="E2800">
            <v>7020145</v>
          </cell>
          <cell r="F2800" t="str">
            <v>AGUJA PARA TOMA DE BIOPSIA DE TEJIDO MAMARIO, CALIBRE 14 G X 10 CM DELONGITUD APROXIMADA; PARA USO CON PISTOLA AUTOMATICA</v>
          </cell>
          <cell r="G2800" t="str">
            <v>UN</v>
          </cell>
        </row>
        <row r="2801">
          <cell r="E2801">
            <v>7020146</v>
          </cell>
          <cell r="F2801" t="str">
            <v>BOLSAS PARA ARCHIVAR ESTUDIOS RADIOGRAFICOS DE 19" X 15", CON IDENTIFICACION DE PACIENTE Y LOGO DEL  ISSS.</v>
          </cell>
          <cell r="G2801" t="str">
            <v>UN</v>
          </cell>
        </row>
        <row r="2802">
          <cell r="E2802">
            <v>7020147</v>
          </cell>
          <cell r="F2802" t="str">
            <v>CARTUCHO DE REPUESTO PARA SISTEMA DE TRATAMIENTO DE EFLUENTES DEMAQUINAS PROCESADORAS DE PELICULAS RADIOGRÁFICAS, SEGÚN MARCA Y MODELODE EQUIPO INSTITUCIONAL</v>
          </cell>
          <cell r="G2802" t="str">
            <v>UN</v>
          </cell>
        </row>
        <row r="2803">
          <cell r="E2803">
            <v>7020148</v>
          </cell>
          <cell r="F2803" t="str">
            <v>CASETA RADIOGRAFICA PARA ALTA CARGA DE TRABAJO, CON SU RESPECTIVO PARDE PANTALLAS INTENSIFICADORAS DE ALTA VELOCIDAD, SENSIBLE A LUZ VERDE10" X 12". UNIDAD</v>
          </cell>
          <cell r="G2803" t="str">
            <v>UN</v>
          </cell>
        </row>
        <row r="2804">
          <cell r="E2804">
            <v>7020149</v>
          </cell>
          <cell r="F2804" t="str">
            <v>CASETA RADIOGRAFICA PARA ALTA CARGA DE TRABAJO, CON SU RESPECTIVO PARDE PANTALLAS INTENSIFICADORAS DE ALTA VELOCIDAD, SENSIBLE A LUZ VERDE11" X 14". UNIDAD</v>
          </cell>
          <cell r="G2804" t="str">
            <v>UN</v>
          </cell>
        </row>
        <row r="2805">
          <cell r="E2805">
            <v>7020150</v>
          </cell>
          <cell r="F2805" t="str">
            <v>CASETA RADIOGRAFICA PARA ALTA CARGA DE TRABAJO, CON SU RESPECTIVO PARDE PANTALLAS INTENSIFICADORAS DE ALTA VELOCIDAD, SENSIBLE A LUZ VERDE14" X 14". UNIDAD</v>
          </cell>
          <cell r="G2805" t="str">
            <v>UN</v>
          </cell>
        </row>
        <row r="2806">
          <cell r="E2806">
            <v>7020151</v>
          </cell>
          <cell r="F2806" t="str">
            <v>CASETA RADIOGRAFICA PARA ALTA CARGA DE TRABAJO, CON SU RESPECTIVO PARDE PANTALLAS INTENSIFICADORAS DE ALTA VELOCIDAD, SENSIBLE A LUZ VERDE14" X 17". UNIDAD</v>
          </cell>
          <cell r="G2806" t="str">
            <v>UN</v>
          </cell>
        </row>
        <row r="2807">
          <cell r="E2807">
            <v>7020152</v>
          </cell>
          <cell r="F2807" t="str">
            <v>CASETA RADIOGRAFICA PARA ALTA CARGA DE TRABAJO, CON SU RESPECTIVO PARDE PANTALLAS INTENSIFICADORAS DE ALTA VELOCIDAD, SENSIBLE A LUZ VERDE7" X 17", UNIDAD</v>
          </cell>
          <cell r="G2807" t="str">
            <v>UN</v>
          </cell>
        </row>
        <row r="2808">
          <cell r="E2808">
            <v>7020153</v>
          </cell>
          <cell r="F2808" t="str">
            <v>CASETA RADIOGRAFICA PARA ALTA CARGA DE TRABAJO, CON SU RESPECTIVO PARDE PANTALLAS INTENSIFICADORAS DE ALTA VELOCIDAD, SENSIBLE A LUZ VERDE8" X 10". UNIDAD</v>
          </cell>
          <cell r="G2808" t="str">
            <v>UN</v>
          </cell>
        </row>
        <row r="2809">
          <cell r="E2809">
            <v>7020154</v>
          </cell>
          <cell r="F2809" t="str">
            <v>CASETA RADIOGRAFICA SENSIBLE A LUZ VERDE, DE UNA SOLA PANTALLA, DE 18X24 CM, PARA ESTUDIOS DE MAMOGRAFIA</v>
          </cell>
          <cell r="G2809" t="str">
            <v>UN</v>
          </cell>
        </row>
        <row r="2810">
          <cell r="E2810">
            <v>7020155</v>
          </cell>
          <cell r="F2810" t="str">
            <v>CASETA RADIOGRAFICA SENSIBLE A LUZ VERDE, DE UNA SOLA PANTALLA, DE 24X30 CM, PARA ESTUDIOS DE MAMOGRAFIA</v>
          </cell>
          <cell r="G2810" t="str">
            <v>UN</v>
          </cell>
        </row>
        <row r="2811">
          <cell r="E2811">
            <v>7020156</v>
          </cell>
          <cell r="F2811" t="str">
            <v>CATETER PARA HISTEROSALPINGOGRAFIA CON BALON DE6- 8 FRENCH</v>
          </cell>
          <cell r="G2811" t="str">
            <v>UN</v>
          </cell>
        </row>
        <row r="2812">
          <cell r="E2812">
            <v>7020157</v>
          </cell>
          <cell r="F2812" t="str">
            <v>CATETER VISCERAL RENAL DOBLE CURVA, DIAMETRO 6.0 FRENCH, 38MM, LONGITUD 65 CM ± 10%.</v>
          </cell>
          <cell r="G2812" t="str">
            <v>UN</v>
          </cell>
        </row>
        <row r="2813">
          <cell r="E2813">
            <v>7020158</v>
          </cell>
          <cell r="F2813" t="str">
            <v>CATETER VISCERAL RENAL DOBLE CURVA, DIAMETRO 7.0 FRENCH, 38 MM; LONGITUD 65 CM ± 10%</v>
          </cell>
          <cell r="G2813" t="str">
            <v>UN</v>
          </cell>
        </row>
        <row r="2814">
          <cell r="E2814">
            <v>7020159</v>
          </cell>
          <cell r="F2814" t="str">
            <v>CHASIS (CASETA) RADIOGRAFICA CON PARRILLA ANTIDIFUSORA, CURVA, INOXIDABLE, PARA TRABAJO PESADO, DE 8" X 10" APROXIMADO, CON SU PANTALLA INTENSIFICADORA DE ALTA VELOCIDAD DE EMISION DE LUZ VERDE Y SU RESPECTIVAMARCA DE IDENTIFICACION INCORPORADA.</v>
          </cell>
          <cell r="G2814" t="str">
            <v>UN</v>
          </cell>
        </row>
        <row r="2815">
          <cell r="E2815">
            <v>7020160</v>
          </cell>
          <cell r="F2815" t="str">
            <v>CHASIS (CASETA) RADIOGRAFICA CON PARRILLA ANTIDIFUSORA, INOXIDABLE, PARA TRABAJO PESADO, DE 10" X 12" APROXIMADO, CON SU PANTALLA INTENSIFICADORA DE ALTA VELOCIDAD DE EMISION DE LUZ VERDE Y SU RESPECTIVA MARCADE IDENTIFICACION INCORPORADA.</v>
          </cell>
          <cell r="G2815" t="str">
            <v>UN</v>
          </cell>
        </row>
        <row r="2816">
          <cell r="E2816">
            <v>7020161</v>
          </cell>
          <cell r="F2816" t="str">
            <v>CHASIS (CASETA) RADIOGRAFICA CON PARRILLA ANTIDIFUSORA, INOXIDABLE, PARA TRABAJO PESADO, DE 11" X 14" APROXIMADO, CON SU PANTALLA INTENSIFICADORA DE ALTA VELOCIDAD DE EMISION DE LUZ VERDE Y SU RESPECTIVA MARCADE IDENTIFICACION INCORPORADA.</v>
          </cell>
          <cell r="G2816" t="str">
            <v>UN</v>
          </cell>
        </row>
        <row r="2817">
          <cell r="E2817">
            <v>7020162</v>
          </cell>
          <cell r="F2817" t="str">
            <v>CHASIS (CASETA) RADIOGRAFICA CON PARRILLA ANTIDIFUSORA, INOXIDABLE, PARA TRABAJO PESADO, DE 14" X 17" APROXIMADO, CON SU PANTALLA INTENSIFICADORA DE ALTA VELOCIDAD DE EMISION DE LUZ VERDE Y SU RESPECTIVA MARCADE IDENTIFICACION INCORPORADA.</v>
          </cell>
          <cell r="G2817" t="str">
            <v>UN</v>
          </cell>
        </row>
        <row r="2818">
          <cell r="E2818">
            <v>7020163</v>
          </cell>
          <cell r="F2818" t="str">
            <v>CHASIS CON PANTALLAS DE FOSFORO CON MEMORIA 10" X 12"</v>
          </cell>
          <cell r="G2818" t="str">
            <v>UN</v>
          </cell>
        </row>
        <row r="2819">
          <cell r="E2819">
            <v>7020164</v>
          </cell>
          <cell r="F2819" t="str">
            <v>CHASIS CON PANTALLAS DE FOSFORO CON MEMORIA 11" X 14"</v>
          </cell>
          <cell r="G2819" t="str">
            <v>UN</v>
          </cell>
        </row>
        <row r="2820">
          <cell r="E2820">
            <v>7020165</v>
          </cell>
          <cell r="F2820" t="str">
            <v>CHASIS CON PANTALLAS DE FOSFORO CON MEMORIA 14" X 14"</v>
          </cell>
          <cell r="G2820" t="str">
            <v>UN</v>
          </cell>
        </row>
        <row r="2821">
          <cell r="E2821">
            <v>7020166</v>
          </cell>
          <cell r="F2821" t="str">
            <v>CHASIS CON PANTALLAS DE FOSFORO CON MEMORIA 14" X 17"</v>
          </cell>
          <cell r="G2821" t="str">
            <v>UN</v>
          </cell>
        </row>
        <row r="2822">
          <cell r="E2822">
            <v>7020167</v>
          </cell>
          <cell r="F2822" t="str">
            <v>CUELLO PLOMADO (BAJO NORMA)</v>
          </cell>
          <cell r="G2822" t="str">
            <v>UN</v>
          </cell>
        </row>
        <row r="2823">
          <cell r="E2823">
            <v>7020168</v>
          </cell>
          <cell r="F2823" t="str">
            <v>DELANTAL PLOMADO CON ESPESOR DE 0.5 - 0.7  MM. DE PLOMO O EQUIVALENTE, SEGÚN NORMA.</v>
          </cell>
          <cell r="G2823" t="str">
            <v>UN</v>
          </cell>
        </row>
        <row r="2824">
          <cell r="E2824">
            <v>7020169</v>
          </cell>
          <cell r="F2824" t="str">
            <v>DEPOSITO PLOMADO PARA ALMACENAR PELICULAS DE DIFERENTES TAMAÑOS EN CUARTO OBSCURO</v>
          </cell>
          <cell r="G2824" t="str">
            <v>UN</v>
          </cell>
        </row>
        <row r="2825">
          <cell r="E2825">
            <v>7020170</v>
          </cell>
          <cell r="F2825" t="str">
            <v>DILATADOR RADIOPACO, DIAMETRO 5 FRENCH, DE 15 CM DE LARGO, ± 3 CM</v>
          </cell>
          <cell r="G2825" t="str">
            <v>UN</v>
          </cell>
        </row>
        <row r="2826">
          <cell r="E2826">
            <v>7020171</v>
          </cell>
          <cell r="F2826" t="str">
            <v>DILATADOR RADIOPACO, DIAMETRO6FRENCH, DE 15 CM DE LARGO, ± 3 CM</v>
          </cell>
          <cell r="G2826" t="str">
            <v>UN</v>
          </cell>
        </row>
        <row r="2827">
          <cell r="E2827">
            <v>7020172</v>
          </cell>
          <cell r="F2827" t="str">
            <v>ENEMA DE SULFATO DE BARIO DE ALTA DENSIDAD, CON SU CANULA Y BALON INCORPORADO</v>
          </cell>
          <cell r="G2827" t="str">
            <v>UN</v>
          </cell>
        </row>
        <row r="2828">
          <cell r="E2828">
            <v>7020173</v>
          </cell>
          <cell r="F2828" t="str">
            <v>EQUIPO PARA SIALOGRAFIA, DESECHABLE, QUE INCLUYA AGUJA Y DILATADORES.</v>
          </cell>
          <cell r="G2828" t="str">
            <v>UN</v>
          </cell>
        </row>
        <row r="2829">
          <cell r="E2829">
            <v>7020174</v>
          </cell>
          <cell r="F2829" t="str">
            <v>GABINETE PLOMADO DE TRANSFERENCIA PARA EL PASO DE  CASETAS HACIA EL CUARTO OSCURO</v>
          </cell>
          <cell r="G2829" t="str">
            <v>UN</v>
          </cell>
        </row>
        <row r="2830">
          <cell r="E2830">
            <v>7020175</v>
          </cell>
          <cell r="F2830" t="str">
            <v>GEL PARA USO EN ULTRASONOGRAFIA DIAGNOSTICA. LITRO</v>
          </cell>
          <cell r="G2830" t="str">
            <v>L</v>
          </cell>
        </row>
        <row r="2831">
          <cell r="E2831">
            <v>7020176</v>
          </cell>
          <cell r="F2831" t="str">
            <v>GUANTE PLOMADO FLEXIBLE CON PROTECCION  DE 0.25 mm de Pb.</v>
          </cell>
          <cell r="G2831" t="str">
            <v>UN</v>
          </cell>
        </row>
        <row r="2832">
          <cell r="E2832">
            <v>7020177</v>
          </cell>
          <cell r="F2832" t="str">
            <v>HELIO LIQUIDO PARA EQUIPO DE RESONANCIA MAGNETICA, CILINDRO DE 250 - 500 LITROS</v>
          </cell>
          <cell r="G2832" t="str">
            <v>L</v>
          </cell>
        </row>
        <row r="2833">
          <cell r="E2833">
            <v>7020178</v>
          </cell>
          <cell r="F2833" t="str">
            <v>JERINGA ANGIOGRAFICA  TRI-PACK DESECHABLE DE 125 - 200  mL. ADAPTABLEA INYECTOR DE ALTA  PRESION MEDRAD.   C/U</v>
          </cell>
          <cell r="G2833" t="str">
            <v>UN</v>
          </cell>
        </row>
        <row r="2834">
          <cell r="E2834">
            <v>7020179</v>
          </cell>
          <cell r="F2834" t="str">
            <v>JERINGA ANGIOGRAFICA  TRI-PACK DESECHABLE DE 150  mL. ADAPTABLEAINYECTOR DE ALTA  PRESION MEDRAD, MODELO 4710-7</v>
          </cell>
          <cell r="G2834" t="str">
            <v>UN</v>
          </cell>
        </row>
        <row r="2835">
          <cell r="E2835">
            <v>7020180</v>
          </cell>
          <cell r="F2835" t="str">
            <v>JERINGA ANGIOGRAFICA DE BAJA PRESION DESECHABLE DE 200cc. ADAPTABLE AINYECTOR DE PRESION MEDRAD.  C/U</v>
          </cell>
          <cell r="G2835" t="str">
            <v>UN</v>
          </cell>
        </row>
        <row r="2836">
          <cell r="E2836">
            <v>7020181</v>
          </cell>
          <cell r="F2836" t="str">
            <v>JERINGA TRI-PACK  PARA INYECTOR TIPO MEDRAD DE BAJA PRESION DE DOBLE EMBOLO DE 20 - 50 ml C/U .</v>
          </cell>
          <cell r="G2836" t="str">
            <v>UN</v>
          </cell>
        </row>
        <row r="2837">
          <cell r="E2837">
            <v>7020182</v>
          </cell>
          <cell r="F2837" t="str">
            <v>KIT DE JERINGA DOBLE, DESCARTABLE COMPATIBLE CON EQUIPO INYECTOR MEDRAD;QUE CONTENGA DOS JERINGAS DESCARTABLES, TUBO CONECTOR DE BAJA PRESIÓN DE60" A 70" Y TUBO DE LLENADO</v>
          </cell>
          <cell r="G2837" t="str">
            <v>UN</v>
          </cell>
        </row>
        <row r="2838">
          <cell r="E2838">
            <v>7020183</v>
          </cell>
          <cell r="F2838" t="str">
            <v>KIT DE PAPEL COLOR CHROMAVISTA PARA TOMOGRAFIA  8.5" X 11", INCLUYECARTUCHO DE TINTA PARA USO EN IMPRESOR CODONICS</v>
          </cell>
          <cell r="G2838" t="str">
            <v>UN</v>
          </cell>
        </row>
        <row r="2839">
          <cell r="E2839">
            <v>7020184</v>
          </cell>
          <cell r="F2839" t="str">
            <v>LENTE PLOMADO (BAJO NORMA)</v>
          </cell>
          <cell r="G2839" t="str">
            <v>UN</v>
          </cell>
        </row>
        <row r="2840">
          <cell r="E2840">
            <v>7020185</v>
          </cell>
          <cell r="F2840" t="str">
            <v>LETRAS  DE PLOMO "R"  Y "L",  O   "DERECHA" E "IZQUIERDA" O " D" E "I."  PAR. PAR</v>
          </cell>
          <cell r="G2840" t="str">
            <v>PAA</v>
          </cell>
        </row>
        <row r="2841">
          <cell r="E2841">
            <v>7020186</v>
          </cell>
          <cell r="F2841" t="str">
            <v>MEDIO DE CONTRASTE EFERVESCENTE, PARA ESTUDIO DE TUBO DIGESTIVO  SUPERIOR.</v>
          </cell>
          <cell r="G2841" t="str">
            <v>SBR</v>
          </cell>
        </row>
        <row r="2842">
          <cell r="E2842">
            <v>7020187</v>
          </cell>
          <cell r="F2842" t="str">
            <v>MEDIO DE CONTRASTE ENDOVENOSO IONICO PARA USO EN PROCEDIMIENTOS RADIOGRAFICOS. FRASCO DE 30 - 150 mL.</v>
          </cell>
          <cell r="G2842" t="str">
            <v>ML</v>
          </cell>
        </row>
        <row r="2843">
          <cell r="E2843">
            <v>7020188</v>
          </cell>
          <cell r="F2843" t="str">
            <v>MEDIO DE CONTRASTE ENDOVENOSO NO IONICO, CONCENTRACION NO MENOR DE 300MG/ML, PARA PROCEDIMIENTOS RADIOGRAFICOS. FRASCO DE 30 - 150 mL</v>
          </cell>
          <cell r="G2843" t="str">
            <v>ML</v>
          </cell>
        </row>
        <row r="2844">
          <cell r="E2844">
            <v>7020189</v>
          </cell>
          <cell r="F2844" t="str">
            <v>MEDIO DE CONTRASTE ENDOVENOSO NO IONICO PARA PROCEDIMIENTOS DETOMOGRAFIA VOLUMETRICA, CONCENTRACION NO MENOR DE 370 MG/ML, FRASCO DE30 A 200 ML</v>
          </cell>
          <cell r="G2844" t="str">
            <v>ML</v>
          </cell>
        </row>
        <row r="2845">
          <cell r="E2845">
            <v>7020190</v>
          </cell>
          <cell r="F2845" t="str">
            <v>MEDIO DE CONTRASTE ENDOVENOSO PARAMAGNETICO FRASCO DE 10 - 50 mL.</v>
          </cell>
          <cell r="G2845" t="str">
            <v>ML</v>
          </cell>
        </row>
        <row r="2846">
          <cell r="E2846">
            <v>7020191</v>
          </cell>
          <cell r="F2846" t="str">
            <v>MEDIO DE CONTRASTE ORAL BARITADO DE BAJA DENSIDAD EN SUSPENSION CONCENTRADA. FRASCO DE 150 - 300 mL.</v>
          </cell>
          <cell r="G2846" t="str">
            <v>ML</v>
          </cell>
        </row>
        <row r="2847">
          <cell r="E2847">
            <v>7020192</v>
          </cell>
          <cell r="F2847" t="str">
            <v>MEDIO DE CONTRASTE YODADO PARA ESTUDIO DE ARBOL BRONQUIAL.. ML</v>
          </cell>
          <cell r="G2847" t="str">
            <v>UN</v>
          </cell>
        </row>
        <row r="2848">
          <cell r="E2848">
            <v>7020193</v>
          </cell>
          <cell r="F2848" t="str">
            <v>PELICULA 8 X 10 PARA RADIOGRAFIA DIGITAL PARA USO EN TERMO IMPRESOR</v>
          </cell>
          <cell r="G2848" t="str">
            <v>UN</v>
          </cell>
        </row>
        <row r="2849">
          <cell r="E2849">
            <v>7020194</v>
          </cell>
          <cell r="F2849" t="str">
            <v>PELICULA BASE AZUL PARA IMPRESOR CODONICS, FORMATO 14" X 17" DVB,BLANCOY NEGRO</v>
          </cell>
          <cell r="G2849" t="str">
            <v>UN</v>
          </cell>
        </row>
        <row r="2850">
          <cell r="E2850">
            <v>7020195</v>
          </cell>
          <cell r="F2850" t="str">
            <v>PELICULA DRY VIEW PARA CAMARA SECA LASER  14"X 17" BASE DE PLATA</v>
          </cell>
          <cell r="G2850" t="str">
            <v>UN</v>
          </cell>
        </row>
        <row r="2851">
          <cell r="E2851">
            <v>7020196</v>
          </cell>
          <cell r="F2851" t="str">
            <v>PELICULA PARA CAMARA SECA TERMICA 14# X 17#  PARA DRYSTAR 3000</v>
          </cell>
          <cell r="G2851" t="str">
            <v>UN</v>
          </cell>
        </row>
        <row r="2852">
          <cell r="E2852">
            <v>7020197</v>
          </cell>
          <cell r="F2852" t="str">
            <v>PELICULA RADIOGRAFICA DE 10" X 12" PARA PROCESO AUTOMATICO, SENSIBLE A LA LUZ VERDE</v>
          </cell>
          <cell r="G2852" t="str">
            <v>UN</v>
          </cell>
        </row>
        <row r="2853">
          <cell r="E2853">
            <v>7020198</v>
          </cell>
          <cell r="F2853" t="str">
            <v>PELICULA RADIOGRAFICA DE 11" X 14", PARA PROCESO AUTOMATICO SENSIBLE A LA LUZ VERDE.</v>
          </cell>
          <cell r="G2853" t="str">
            <v>UN</v>
          </cell>
        </row>
        <row r="2854">
          <cell r="E2854">
            <v>7020199</v>
          </cell>
          <cell r="F2854" t="str">
            <v>PELICULA RADIOGRAFICA DE 14" X 14" PARA PROCESO AUTOMATICO SENSIBLE ALA LUZ VERDE</v>
          </cell>
          <cell r="G2854" t="str">
            <v>UN</v>
          </cell>
        </row>
        <row r="2855">
          <cell r="E2855">
            <v>7020200</v>
          </cell>
          <cell r="F2855" t="str">
            <v>PELICULA RADIOGRAFICA DE 14" X 17", PARA PROCESO AUTOMATICO, SENSIBLEA LA LUZ VERDE.</v>
          </cell>
          <cell r="G2855" t="str">
            <v>UN</v>
          </cell>
        </row>
        <row r="2856">
          <cell r="E2856">
            <v>7020201</v>
          </cell>
          <cell r="F2856" t="str">
            <v>PELICULA RADIOGRAFICA DE 7" X 17" PARA PROCESO AUTOMATICO, SENSIBLE ALA LUZ VERDE.</v>
          </cell>
          <cell r="G2856" t="str">
            <v>UN</v>
          </cell>
        </row>
        <row r="2857">
          <cell r="E2857">
            <v>7020202</v>
          </cell>
          <cell r="F2857" t="str">
            <v>PELICULA RADIOGRAFICA DE 8" X 10" PARA  PROCESO AUTOMATICO, SENSIBLE A LA LUZ VERDE.</v>
          </cell>
          <cell r="G2857" t="str">
            <v>UN</v>
          </cell>
        </row>
        <row r="2858">
          <cell r="E2858">
            <v>7020203</v>
          </cell>
          <cell r="F2858" t="str">
            <v>PELICULA RADIOGRAFICA PARA MAMOGRAFIA DE ALTA RESOLUCION DENSIDAD Y CONTRASTE DE UNA SOLA EMULSION, PARA PROCESO AUTOMATICO DE 18 X24 CM</v>
          </cell>
          <cell r="G2858" t="str">
            <v>UN</v>
          </cell>
        </row>
        <row r="2859">
          <cell r="E2859">
            <v>7020204</v>
          </cell>
          <cell r="F2859" t="str">
            <v>PELICULA RADIOGRAFICA PARA MAMOGRAFIA DE ALTA RESOLUCION, DENSIDAD Y CONTRASTE, DE UNA SOLA EMULSION, PARA PROCESO AUTOMATICO TAMAÑO 24 X 30 CMS.</v>
          </cell>
          <cell r="G2859" t="str">
            <v>UN</v>
          </cell>
        </row>
        <row r="2860">
          <cell r="E2860">
            <v>7020205</v>
          </cell>
          <cell r="F2860" t="str">
            <v>PELICULA TERMICA 14" X 17" D T 2 B, COMPATIBLE CON  CAMARA SECA AGFA DRYSTAR 5,300</v>
          </cell>
          <cell r="G2860" t="str">
            <v>UN</v>
          </cell>
        </row>
        <row r="2861">
          <cell r="E2861">
            <v>7020206</v>
          </cell>
          <cell r="F2861" t="str">
            <v>SET DE DRENAJE PERCUTÁNEO DE COLECCIONES EN ÓRGANOS Y CAVIDADES, QUECONTENGA: CATÉTER DE DRENAJE UNIVERSAL DESECHABLE, DE 8.5 FRENCH O MAYORY DE 25 CM O MAS DE LONGITUD, CANULA METALICA Y TROCAR PUNZANTE</v>
          </cell>
          <cell r="G2861" t="str">
            <v>SET</v>
          </cell>
        </row>
        <row r="2862">
          <cell r="E2862">
            <v>7020207</v>
          </cell>
          <cell r="F2862" t="str">
            <v>SET DE SONDAS PARA ESTUDIO DE SIALOGRAFIA, DESECHABLES.</v>
          </cell>
          <cell r="G2862" t="str">
            <v>SET</v>
          </cell>
        </row>
        <row r="2863">
          <cell r="E2863">
            <v>7020208</v>
          </cell>
          <cell r="F2863" t="str">
            <v>SISTEMA PARA TRATAMIENTO DE EFLUENTES DE MAQUINAS PROCESADORAS DEPELICULAS RADIOGRÁFICAS</v>
          </cell>
          <cell r="G2863" t="str">
            <v>UN</v>
          </cell>
        </row>
        <row r="2864">
          <cell r="E2864">
            <v>7020209</v>
          </cell>
          <cell r="F2864" t="str">
            <v>SOLUCION ANTIESTATICA PARA LIMPIEZA DE PANTALLA DE CASETA RADIOGRAFICA</v>
          </cell>
          <cell r="G2864" t="str">
            <v>UN</v>
          </cell>
        </row>
        <row r="2865">
          <cell r="E2865">
            <v>7020210</v>
          </cell>
          <cell r="F2865" t="str">
            <v>SULFATO DE BARIO DE ALTA DENSIDAD. KILOGRAMO</v>
          </cell>
          <cell r="G2865" t="str">
            <v>KG</v>
          </cell>
        </row>
        <row r="2866">
          <cell r="E2866">
            <v>7020211</v>
          </cell>
          <cell r="F2866" t="str">
            <v>SUSTANCIA PARA PREPARAR QUIMICO FIJADOR REFORZADOR PARA PROCESADORA AUTOMATICA DE PELICULAS. LITRO</v>
          </cell>
          <cell r="G2866" t="str">
            <v>L</v>
          </cell>
        </row>
        <row r="2867">
          <cell r="E2867">
            <v>7020212</v>
          </cell>
          <cell r="F2867" t="str">
            <v>SUSTANCIA PARA PREPARAR QUIMICO REVELADOR REFORZADOR PARA PROCESADORAAUTOMATICA DE PELICULAS.. LITRO</v>
          </cell>
          <cell r="G2867" t="str">
            <v>L</v>
          </cell>
        </row>
        <row r="2868">
          <cell r="E2868">
            <v>7020213</v>
          </cell>
          <cell r="F2868" t="str">
            <v>TUBO CONECTOR DE BAJA PRESION DE 60" PARA USO EN INYECTOR MEDRAD DUAL</v>
          </cell>
          <cell r="G2868" t="str">
            <v>UN</v>
          </cell>
        </row>
        <row r="2869">
          <cell r="E2869">
            <v>7020214</v>
          </cell>
          <cell r="F2869" t="str">
            <v>TUBO CONECTOR DOBLE EN ESPIRAL DE BAJA PRESION PARA INYECTOR TIPO MEDRAD, DE 50" - 70" DE LONGITUD</v>
          </cell>
          <cell r="G2869" t="str">
            <v>UN</v>
          </cell>
        </row>
        <row r="2870">
          <cell r="E2870">
            <v>7020215</v>
          </cell>
          <cell r="F2870" t="str">
            <v>TUBO CONECTOR EN ESPIRAL DE BAJA PRESION HASTA 355 P.S.I. PARA INYECTOR TIPO MEDRAD DE 50"- 70" DE LONGITUD</v>
          </cell>
          <cell r="G2870" t="str">
            <v>UN</v>
          </cell>
        </row>
        <row r="2871">
          <cell r="E2871">
            <v>7022050</v>
          </cell>
          <cell r="F2871" t="str">
            <v>ALEACION DE BISMUTO, CADMIO, ESTAÑO Y PLOMO, LIBRA</v>
          </cell>
          <cell r="G2871" t="str">
            <v>LB</v>
          </cell>
        </row>
        <row r="2872">
          <cell r="E2872">
            <v>7022051</v>
          </cell>
          <cell r="F2872" t="str">
            <v>APLICADOR POST CARGA FLETCHER-SUIT-DELCLOS PARA BRAQUITERAPIA, DE BAJATASA DE DOSIS</v>
          </cell>
          <cell r="G2872" t="str">
            <v>UN</v>
          </cell>
        </row>
        <row r="2873">
          <cell r="E2873">
            <v>7022052</v>
          </cell>
          <cell r="F2873" t="str">
            <v>APLICADOR POST CARGA MINI OVOIDE PARA BRAQUITERAPIA, DE BAJA TASA DEDOSIS</v>
          </cell>
          <cell r="G2873" t="str">
            <v>UN</v>
          </cell>
        </row>
        <row r="2874">
          <cell r="E2874">
            <v>7022053</v>
          </cell>
          <cell r="F2874" t="str">
            <v>BIOMBO MOVIL PARA PROTECCION RADIOLOGICA DE 0.5 mm DE Pb, AJUSTABLE EN ALTURA</v>
          </cell>
          <cell r="G2874" t="str">
            <v>UN</v>
          </cell>
        </row>
        <row r="2875">
          <cell r="E2875">
            <v>7022054</v>
          </cell>
          <cell r="F2875" t="str">
            <v>BOLSA DE SELLADO AL VACIO DE 50 - 60 cm DE ANCHO Y 70 - 90 cm DE LARGO, DE NYLON REFORZADO</v>
          </cell>
          <cell r="G2875" t="str">
            <v>UN</v>
          </cell>
        </row>
        <row r="2876">
          <cell r="E2876">
            <v>7022055</v>
          </cell>
          <cell r="F2876" t="str">
            <v>BOLSA DE SELLADO AL VACIO DE 90 - 110 cm  DE ANCHO Y 130 - 150 cm DE LARGO, DE NYLON REFORZADO</v>
          </cell>
          <cell r="G2876" t="str">
            <v>UN</v>
          </cell>
        </row>
        <row r="2877">
          <cell r="E2877">
            <v>7022056</v>
          </cell>
          <cell r="F2877" t="str">
            <v>COLLAR PLOMADO CON PROTECCION DE 0.5 mm DE Pb. CON CIERRE VELCRO</v>
          </cell>
          <cell r="G2877" t="str">
            <v>UN</v>
          </cell>
        </row>
        <row r="2878">
          <cell r="E2878">
            <v>7022057</v>
          </cell>
          <cell r="F2878" t="str">
            <v>DEPOSITO PLOMADO PARA TRASLADO DE JERINGAS, CON CAPACIDAD PARA MULTIPLES JERINGAS DE 2 A 20 CC</v>
          </cell>
          <cell r="G2878" t="str">
            <v>UN</v>
          </cell>
        </row>
        <row r="2879">
          <cell r="E2879">
            <v>7022058</v>
          </cell>
          <cell r="F2879" t="str">
            <v>ESPUMA PLANA DE ALTA DENSIDAD DE 12" X 12" Y 3" DE GROSOR APROXIMADO.BLOQUE</v>
          </cell>
          <cell r="G2879" t="str">
            <v>UN</v>
          </cell>
        </row>
        <row r="2880">
          <cell r="E2880">
            <v>7022059</v>
          </cell>
          <cell r="F2880" t="str">
            <v>ESPUMA PLANA DE ALTA DENSIDAD DE 30.5 X 30.5 cm Y 2 cm DE ESPESOR. BLOQUE</v>
          </cell>
          <cell r="G2880" t="str">
            <v>UN</v>
          </cell>
        </row>
        <row r="2881">
          <cell r="E2881">
            <v>7022060</v>
          </cell>
          <cell r="F2881" t="str">
            <v>FERULA DE FIBRA DE VIDRIO O PLASTICO RADIOTRANSLUCENTE, PARA INMOVILIZAR MIEMBROS SUPERIORES</v>
          </cell>
          <cell r="G2881" t="str">
            <v>UN</v>
          </cell>
        </row>
        <row r="2882">
          <cell r="E2882">
            <v>7022061</v>
          </cell>
          <cell r="F2882" t="str">
            <v>GUANTE PLOMADO FLEXIBLE CON PROTECCION  DE 0.5 mm DE Pb. CON CUBIERTADE VINIL</v>
          </cell>
          <cell r="G2882" t="str">
            <v>PAA</v>
          </cell>
        </row>
        <row r="2883">
          <cell r="E2883">
            <v>7022062</v>
          </cell>
          <cell r="F2883" t="str">
            <v>HOJA DE GEL SOLIDA EQUIVALENTE A TEJIDO HUMANO, DE 30 X 30 CM Y 0.5 CMDE ESPESOR</v>
          </cell>
          <cell r="G2883" t="str">
            <v>UN</v>
          </cell>
        </row>
        <row r="2884">
          <cell r="E2884">
            <v>7022063</v>
          </cell>
          <cell r="F2884" t="str">
            <v>HOJA DE GEL SOLIDA EQUIVALENTE A TEJIDO HUMANO, DE 30 X 30 CM Y 1.0 CMDE ESPESOR</v>
          </cell>
          <cell r="G2884" t="str">
            <v>UN</v>
          </cell>
        </row>
        <row r="2885">
          <cell r="E2885">
            <v>7022064</v>
          </cell>
          <cell r="F2885" t="str">
            <v>INMOVILIZADOR TERMOPLASTICO (TERMOFORMABLE) PARA PELVIS, DESCARTABLE,CON AGARRADERO (SUJETADOR), TAMAÑO DE 18 X 22 PULGADAS APROXIMADAS</v>
          </cell>
          <cell r="G2885" t="str">
            <v>UN</v>
          </cell>
        </row>
        <row r="2886">
          <cell r="E2886">
            <v>7022065</v>
          </cell>
          <cell r="F2886" t="str">
            <v>KIT DE NEBULIZACION PARA CENTELLOGRAMA PULMONAR-VENTILATORIO</v>
          </cell>
          <cell r="G2886" t="str">
            <v>UN</v>
          </cell>
        </row>
        <row r="2887">
          <cell r="E2887">
            <v>7022066</v>
          </cell>
          <cell r="F2887" t="str">
            <v>MASCARAS TERMOFORMABLES 9" X 10" X 2.4" APROXIMADO</v>
          </cell>
          <cell r="G2887" t="str">
            <v>UN</v>
          </cell>
        </row>
        <row r="2888">
          <cell r="E2888">
            <v>7022067</v>
          </cell>
          <cell r="F2888" t="str">
            <v>PELICULA DE VERIFICACION GAMMAGRAFIA 14" X 17"</v>
          </cell>
          <cell r="G2888" t="str">
            <v>UN</v>
          </cell>
        </row>
        <row r="2889">
          <cell r="E2889">
            <v>7022068</v>
          </cell>
          <cell r="F2889" t="str">
            <v>PROTECTOR DE JERINGA DE 10 CC, DE TUNGSTENO CON MANGUITO BLINDADO DESLIZANTE, CON VISOR DE CRISTAL DE PLOMO</v>
          </cell>
          <cell r="G2889" t="str">
            <v>UN</v>
          </cell>
        </row>
        <row r="2890">
          <cell r="E2890">
            <v>7022069</v>
          </cell>
          <cell r="F2890" t="str">
            <v>PROTECTOR DE JERINGA DE 5 CC, DE TUNGSTENO CON MANGUITO BLINDADO DESLIZANTE, CON VISOR DE CRISTAL DE PLOMO</v>
          </cell>
          <cell r="G2890" t="str">
            <v>UN</v>
          </cell>
        </row>
        <row r="2891">
          <cell r="E2891">
            <v>7022070</v>
          </cell>
          <cell r="F2891" t="str">
            <v>SOPORTE DE MATERIAL ACRILICO DE 27.9 X 32.6 cm, 8 mm DE GROSOR, CON 2CISAS DE6mm ALREDEDOR DEL MARCO</v>
          </cell>
          <cell r="G2891" t="str">
            <v>UN</v>
          </cell>
        </row>
        <row r="2892">
          <cell r="E2892">
            <v>7022071</v>
          </cell>
          <cell r="F2892" t="str">
            <v>SOPORTE DE MATERIAL ACRILICO DE 30.8 X 30.8 cm, DE 8 mm DE ESPESOR, CON SAQUE DE 8.5 cm DE LARGO X 1.9 cm DE ANCHO</v>
          </cell>
          <cell r="G2892" t="str">
            <v>UN</v>
          </cell>
        </row>
        <row r="2893">
          <cell r="E2893">
            <v>7022072</v>
          </cell>
          <cell r="F2893" t="str">
            <v>TUBO DE FUENTE DE CESIO 137 PARA BRAQUITERAPIA, EQUIVALENTE A 30 mg DE Ra 226. CONTENIDO EN DOS CAPSULAS METALICAS</v>
          </cell>
          <cell r="G2893" t="str">
            <v>UN</v>
          </cell>
        </row>
        <row r="2894">
          <cell r="E2894">
            <v>7022073</v>
          </cell>
          <cell r="F2894" t="str">
            <v>TUBO DE FUENTE DE CESIO 137 PARA BRAQUITERAPIA, EQUIVALENTE A 40 mg DE Ra 226. CONTENIDO EN DOS CAPSULAS METALICAS</v>
          </cell>
          <cell r="G2894" t="str">
            <v>UN</v>
          </cell>
        </row>
        <row r="2895">
          <cell r="E2895">
            <v>7030024</v>
          </cell>
          <cell r="F2895" t="str">
            <v>CAMPO QUIRURGICO IODADO ESTERIL, AUTOADHESIVO, 90 X 45 CM.</v>
          </cell>
          <cell r="G2895" t="str">
            <v>UN</v>
          </cell>
        </row>
        <row r="2896">
          <cell r="E2896">
            <v>7030025</v>
          </cell>
          <cell r="F2896" t="str">
            <v>CAMPO QUIRURGICO IODADO, AUTOADHESIVO, ESTERIL, DE 60 X 90 CM</v>
          </cell>
          <cell r="G2896" t="str">
            <v>UN</v>
          </cell>
        </row>
        <row r="2897">
          <cell r="E2897">
            <v>7030026</v>
          </cell>
          <cell r="F2897" t="str">
            <v>ELECTRODO DESCARTABLE CON MANDIBULA DE 2.5 CM, SUPERFICIE CON RALLADURASINDENTADAS GRUESAS, COMPATIBLE CON PINZA DE 23 CM DE LARGO</v>
          </cell>
          <cell r="G2897" t="str">
            <v>UN</v>
          </cell>
        </row>
        <row r="2898">
          <cell r="E2898">
            <v>7030027</v>
          </cell>
          <cell r="F2898" t="str">
            <v>ESPONJA DE HEMOSTATICO, ABSORBIBLE DE GELATINA DE 7 X 5 X 1 CM. SOBRE</v>
          </cell>
          <cell r="G2898" t="str">
            <v>UN</v>
          </cell>
        </row>
        <row r="2899">
          <cell r="E2899">
            <v>7030028</v>
          </cell>
          <cell r="F2899" t="str">
            <v>ESPONJA DE HEMOSTATICO, ABSORBIBLE DE GELATINA DE 7x 5 x 0.1 CM. SOBRE</v>
          </cell>
          <cell r="G2899" t="str">
            <v>UN</v>
          </cell>
        </row>
        <row r="2900">
          <cell r="E2900">
            <v>7030029</v>
          </cell>
          <cell r="F2900" t="str">
            <v>ESPONJA HEMOSTATICO ABSORBIBLE DE GELATINA 3 x 5 CM.</v>
          </cell>
          <cell r="G2900" t="str">
            <v>UN</v>
          </cell>
        </row>
        <row r="2901">
          <cell r="E2901">
            <v>7030030</v>
          </cell>
          <cell r="F2901" t="str">
            <v>ESPONJA HEMOSTATICO CON GELATINA 5 X 8 CM ABSORBIBLE</v>
          </cell>
          <cell r="G2901" t="str">
            <v>UN</v>
          </cell>
        </row>
        <row r="2902">
          <cell r="E2902">
            <v>7030031</v>
          </cell>
          <cell r="F2902" t="str">
            <v>GARFIO MICHEL 11 MM (25 X GUSANO)</v>
          </cell>
          <cell r="G2902" t="str">
            <v>UN</v>
          </cell>
        </row>
        <row r="2903">
          <cell r="E2903">
            <v>7030035</v>
          </cell>
          <cell r="F2903" t="str">
            <v>GARFIO MICHEL 14 MM (25 X GUSANO)</v>
          </cell>
          <cell r="G2903" t="str">
            <v>UN</v>
          </cell>
        </row>
        <row r="2904">
          <cell r="E2904">
            <v>7030037</v>
          </cell>
          <cell r="F2904" t="str">
            <v>GARFIO MICHEL 16 MM (25 X GUSANO)</v>
          </cell>
          <cell r="G2904" t="str">
            <v>UN</v>
          </cell>
        </row>
        <row r="2905">
          <cell r="E2905">
            <v>7030038</v>
          </cell>
          <cell r="F2905" t="str">
            <v>LIGADURAS DE LATEX PARA HEMORROIDES</v>
          </cell>
          <cell r="G2905" t="str">
            <v>UN</v>
          </cell>
        </row>
        <row r="2906">
          <cell r="E2906">
            <v>7030039</v>
          </cell>
          <cell r="F2906" t="str">
            <v>MEDIAS ELASTICAS GRANDES PARA VARICES, TIPO PANTY</v>
          </cell>
          <cell r="G2906" t="str">
            <v>UN</v>
          </cell>
        </row>
        <row r="2907">
          <cell r="E2907">
            <v>7030040</v>
          </cell>
          <cell r="F2907" t="str">
            <v>MEDIAS ELASTICAS MEDIANAS, PARA VARICES,TIPO PANTY</v>
          </cell>
          <cell r="G2907" t="str">
            <v>UN</v>
          </cell>
        </row>
        <row r="2908">
          <cell r="E2908">
            <v>7030041</v>
          </cell>
          <cell r="F2908" t="str">
            <v>MEDIAS ELASTICAS PEQUEÑAS, PARA VARICES,TIPO PANTY</v>
          </cell>
          <cell r="G2908" t="str">
            <v>UN</v>
          </cell>
        </row>
        <row r="2909">
          <cell r="E2909">
            <v>7030042</v>
          </cell>
          <cell r="F2909" t="str">
            <v>MEDIAS ELASTICAS XL PARA VARICES TIPO PANTY.</v>
          </cell>
          <cell r="G2909" t="str">
            <v>UN</v>
          </cell>
        </row>
        <row r="2910">
          <cell r="E2910">
            <v>7030043</v>
          </cell>
          <cell r="F2910" t="str">
            <v>PIEZA DE MANO DESCARTABLE PARA CIRUGIA ABIERTA, DE PRECISION, CON SURESPECTIVO CABLE ADAPTADOR A EQUIPO DE SELLADO DE VASOS MARCA YMODELODEUSO INSTITUCIONAL</v>
          </cell>
          <cell r="G2910" t="str">
            <v>UN</v>
          </cell>
        </row>
        <row r="2911">
          <cell r="E2911">
            <v>7030044</v>
          </cell>
          <cell r="F2911" t="str">
            <v>PIEZA DE MANO DESCARTABLE PARA CIRUGIA ABIERTA, TIPO STD, CON SURESPECTIVO CABLE ADAPTADOR A EQUIPO DE SELLADO DE VASOS MARCA Y MODELODE USO INSTITUCIONAL</v>
          </cell>
          <cell r="G2911" t="str">
            <v>UN</v>
          </cell>
        </row>
        <row r="2912">
          <cell r="E2912">
            <v>7030045</v>
          </cell>
          <cell r="F2912" t="str">
            <v>PIEZA DE MANO DESCARTABLE PARA CIRUGIA ABIERTA, TIPO XTD, CON SURESPECTIVO CABLE ADAPTADOR A EQUIPO DE SELLADO DE VASOS MARCA Y MODELODE USO INSTITUCIONAL</v>
          </cell>
          <cell r="G2912" t="str">
            <v>UN</v>
          </cell>
        </row>
        <row r="2913">
          <cell r="E2913">
            <v>7030046</v>
          </cell>
          <cell r="F2913" t="str">
            <v>PIEZA DE MANO DESCARTABLE PARA CIRUGIA LAPAROSCOPICA, DE 35 - 40 CM DELONGITUD, DIAMETRO 10 MM, GIRATORIO 360°, CON SU RESPECTIVO CABLEADAPTADOR A EQUIPO DE SELLADO DE VASOS MARCA Y MODELO DE USOINSTITUCIONAL</v>
          </cell>
          <cell r="G2913" t="str">
            <v>UN</v>
          </cell>
        </row>
        <row r="2914">
          <cell r="E2914">
            <v>7030047</v>
          </cell>
          <cell r="F2914" t="str">
            <v>PINZA DESCARTABLE PARA CIRUGIA LAPAROSCOPICA, DE 35 - 40 CM DELONGITUD,DIAMETRO 5 MM, GIRATORIO 360°, CON SU RESPECTIVO CABLE ADAPTADOR AEQUIPO DE SELLADO DE VASOS MARCA Y MODELO DE USO INSTITUCIONAL</v>
          </cell>
          <cell r="G2914" t="str">
            <v>UN</v>
          </cell>
        </row>
        <row r="2915">
          <cell r="E2915">
            <v>7030048</v>
          </cell>
          <cell r="F2915" t="str">
            <v>SET COMPLETO PARA LIGADURA DE HEMMORROIDES</v>
          </cell>
          <cell r="G2915" t="str">
            <v>UN</v>
          </cell>
        </row>
        <row r="2916">
          <cell r="E2916">
            <v>7030049</v>
          </cell>
          <cell r="F2916" t="str">
            <v>TIRAS DE CELULOSA ABSORBIBLE PARA HEMOSTASIA DE 5 CM X 35 CM. ESTERILESEN CAJAS SELLADAS. CAJA POR DOCE</v>
          </cell>
          <cell r="G2916" t="str">
            <v>UN</v>
          </cell>
        </row>
        <row r="2917">
          <cell r="E2917">
            <v>7031037</v>
          </cell>
          <cell r="F2917" t="str">
            <v>CAMPO QUIRURGICO IODADO ESTERIL, AUTOADHESIVO, DE 30 X 30 cm</v>
          </cell>
          <cell r="G2917" t="str">
            <v>UN</v>
          </cell>
        </row>
        <row r="2918">
          <cell r="E2918">
            <v>7031038</v>
          </cell>
          <cell r="F2918" t="str">
            <v>CARTUCHO PARA ENGRAPADORA CURVO CORTANTE PARA ACCESO A PELIVIS BAJA PARATEJIDO GRUESO. LINEA DE CORTE NO MENOR DE 40 MM</v>
          </cell>
          <cell r="G2918" t="str">
            <v>UN</v>
          </cell>
        </row>
        <row r="2919">
          <cell r="E2919">
            <v>7031039</v>
          </cell>
          <cell r="F2919" t="str">
            <v>CARTUCHO PARA ENGRAPADORA CURVO CORTANTE PARA ACCESO A PELIVIS BAJA PARATEJIDO REGULAR. LINEA DE CORTE NO MENOR DE 40 MM</v>
          </cell>
          <cell r="G2919" t="str">
            <v>UN</v>
          </cell>
        </row>
        <row r="2920">
          <cell r="E2920">
            <v>7031040</v>
          </cell>
          <cell r="F2920" t="str">
            <v>CARTUCHO PARA ENGRAPADORA LAPAROSCOPICA DE HERNIA ARTICULADA REUSABLECON 10 - 20 GRAPAS</v>
          </cell>
          <cell r="G2920" t="str">
            <v>UN</v>
          </cell>
        </row>
        <row r="2921">
          <cell r="E2921">
            <v>7031041</v>
          </cell>
          <cell r="F2921" t="str">
            <v>CARTUCHO PARA ENGRAPADORA LINEAL CORTANTE ARTICULADA LAPAROSCOPICA DE35 - 45 mm DE LARGO DE CARTUCHO, PARA TEJIDO REGULAR</v>
          </cell>
          <cell r="G2921" t="str">
            <v>UN</v>
          </cell>
        </row>
        <row r="2922">
          <cell r="E2922">
            <v>7031042</v>
          </cell>
          <cell r="F2922" t="str">
            <v>CARTUCHO PARA ENGRAPADORA LINEAL CORTANTE ARTICULADA LAPAROSCOPICA DE50 - 60 mm DE LARGO DE CARTUCHO, PARA TEJIDO REGULAR</v>
          </cell>
          <cell r="G2922" t="str">
            <v>UN</v>
          </cell>
        </row>
        <row r="2923">
          <cell r="E2923">
            <v>7031043</v>
          </cell>
          <cell r="F2923" t="str">
            <v>CARTUCHO PARA ENGRAPADORA LINEAL CORTANTE ARTICULADA LAPAROSCOPICA DE50 - 60 mm DE LARGO DE CARTUCHO, PARA TEJIDO VASCULAR</v>
          </cell>
          <cell r="G2923" t="str">
            <v>UN</v>
          </cell>
        </row>
        <row r="2924">
          <cell r="E2924">
            <v>7031044</v>
          </cell>
          <cell r="F2924" t="str">
            <v>CARTUCHO PARA ENGRAPADORA LINEAL CORTANTE ARTICULADA LAPAROSCOPICA DE35 - 45 mm DE LARGO DE CARTUCHO, PARA TEJIDO VASCULAR</v>
          </cell>
          <cell r="G2924" t="str">
            <v>UN</v>
          </cell>
        </row>
        <row r="2925">
          <cell r="E2925">
            <v>7031045</v>
          </cell>
          <cell r="F2925" t="str">
            <v>CARTUCHO PARA ENGRAPADORA TIPO PIG TAIL O TACKER, LAPAROSCOPICA, DE 5mm DE DIAMETRO, PARA FIJACION DE MALLA</v>
          </cell>
          <cell r="G2925" t="str">
            <v>UN</v>
          </cell>
        </row>
        <row r="2926">
          <cell r="E2926">
            <v>7031046</v>
          </cell>
          <cell r="F2926" t="str">
            <v>ENGRAPADORA CIRCULAR CURVA DE 31 - 33 mm INTRALUMINAL, CABEZA DESMONTABLE PARA TEJIDO GRUESO</v>
          </cell>
          <cell r="G2926" t="str">
            <v>UN</v>
          </cell>
        </row>
        <row r="2927">
          <cell r="E2927">
            <v>7031047</v>
          </cell>
          <cell r="F2927" t="str">
            <v>ENGRAPADORA CIRCULAR DE 25 - 26 mm  INTRALUMINAL, CABEZA DESMONTABLE PARA TEJIDO REGULAR.</v>
          </cell>
          <cell r="G2927" t="str">
            <v>UN</v>
          </cell>
        </row>
        <row r="2928">
          <cell r="E2928">
            <v>7031048</v>
          </cell>
          <cell r="F2928" t="str">
            <v>ENGRAPADORA CURVO CORTANTE PARA ACCESO A PELVIS BAJA. CAPACIDAD DEMONTAR CARTUCHOS PARA TEJIDO GRUESO Y REGULAR</v>
          </cell>
          <cell r="G2928" t="str">
            <v>UN</v>
          </cell>
        </row>
        <row r="2929">
          <cell r="E2929">
            <v>7031049</v>
          </cell>
          <cell r="F2929" t="str">
            <v>ENGRAPADORA LAPAROSCOPICA DE HERNIA ARTICULADA REUSABLE, DE 11 - 12 MM DE DIAMETRO</v>
          </cell>
          <cell r="G2929" t="str">
            <v>UN</v>
          </cell>
        </row>
        <row r="2930">
          <cell r="E2930">
            <v>7031050</v>
          </cell>
          <cell r="F2930" t="str">
            <v>ENGRAPADORA LINEAL ARTICULADA DE 55 - 60 mm</v>
          </cell>
          <cell r="G2930" t="str">
            <v>UN</v>
          </cell>
        </row>
        <row r="2931">
          <cell r="E2931">
            <v>7031051</v>
          </cell>
          <cell r="F2931" t="str">
            <v>ENGRAPADORA LINEAL CORTANTE DE 55 - 60 mm CON MECANISMO DE SEGURIDAD</v>
          </cell>
          <cell r="G2931" t="str">
            <v>UN</v>
          </cell>
        </row>
        <row r="2932">
          <cell r="E2932">
            <v>7031052</v>
          </cell>
          <cell r="F2932" t="str">
            <v>ENGRAPADORA LINEAL CORTANTE DE 75 - 90 mm.</v>
          </cell>
          <cell r="G2932" t="str">
            <v>UN</v>
          </cell>
        </row>
        <row r="2933">
          <cell r="E2933">
            <v>7031053</v>
          </cell>
          <cell r="F2933" t="str">
            <v>ENGRAPADORA LINEAL CORTANTE LAPAROSCOPICA REUSABLE, ARTICULADA, GIRATORIA 360 GRADOS, DE 10 - 12 mm DE DIAMETRO, 30 - 35 CM DE LARGO, PARA CARTUCHO DE  50 - 60 mm.</v>
          </cell>
          <cell r="G2933" t="str">
            <v>UN</v>
          </cell>
        </row>
        <row r="2934">
          <cell r="E2934">
            <v>7031054</v>
          </cell>
          <cell r="F2934" t="str">
            <v>ENGRAPADORA LINEAL CORTANTE LAPAROSCOPICA REUSABLE, ARTICULADA, GIRATORIA 360 GRADOS, DE 10 - 12 mm DE DIAMETRO, 30 - 35 CM DE LARGO, PARA CARTUCHO DE 35 - 45 mm.</v>
          </cell>
          <cell r="G2934" t="str">
            <v>UN</v>
          </cell>
        </row>
        <row r="2935">
          <cell r="E2935">
            <v>7031055</v>
          </cell>
          <cell r="F2935" t="str">
            <v>ENGRAPADORA LINEAL DE 55 - 60 mm</v>
          </cell>
          <cell r="G2935" t="str">
            <v>UN</v>
          </cell>
        </row>
        <row r="2936">
          <cell r="E2936">
            <v>7031056</v>
          </cell>
          <cell r="F2936" t="str">
            <v>ENGRAPADORA LINEAL TERMINAL, DE 75 - 90 mm.</v>
          </cell>
          <cell r="G2936" t="str">
            <v>UN</v>
          </cell>
        </row>
        <row r="2937">
          <cell r="E2937">
            <v>7031057</v>
          </cell>
          <cell r="F2937" t="str">
            <v>ENGRAPADORA TIPO PIG TAIL O TACKER, LAPAROSCOPICA, DE 5 mm DE DIAMETRO Y 30 - 35 CM DE LARGO. PARA FIJACION DE MALLA</v>
          </cell>
          <cell r="G2937" t="str">
            <v>UN</v>
          </cell>
        </row>
        <row r="2938">
          <cell r="E2938">
            <v>7031058</v>
          </cell>
          <cell r="F2938" t="str">
            <v>KIT DE GRAPEO PARA PROLAPSO RECTAL Y HEMORROIDES, CONSISTENTE EN:  ENGRAPADORA CIRCULAR RECTA DE 33 MM, DILATADOR ANAL, ANOSCOPIO YGANCHO PARA SUTURA</v>
          </cell>
          <cell r="G2938" t="str">
            <v>UN</v>
          </cell>
        </row>
        <row r="2939">
          <cell r="E2939">
            <v>7031059</v>
          </cell>
          <cell r="F2939" t="str">
            <v>RECARGA PARA ENGRAPADORA LINEAL ARTICULADA DE 55 - 60 mm PARA TEJIDO GRUESO</v>
          </cell>
          <cell r="G2939" t="str">
            <v>UN</v>
          </cell>
        </row>
        <row r="2940">
          <cell r="E2940">
            <v>7031060</v>
          </cell>
          <cell r="F2940" t="str">
            <v>RECARGA PARA ENGRAPADORA LINEAL CORTANTE DE 55 - 60 mm PARA TEJIDO GRUESO</v>
          </cell>
          <cell r="G2940" t="str">
            <v>UN</v>
          </cell>
        </row>
        <row r="2941">
          <cell r="E2941">
            <v>7031061</v>
          </cell>
          <cell r="F2941" t="str">
            <v>RECARGA PARA ENGRAPADORA LINEAL CORTANTE DE 55 - 60 mm PARA TEJIDO REGULAR</v>
          </cell>
          <cell r="G2941" t="str">
            <v>UN</v>
          </cell>
        </row>
        <row r="2942">
          <cell r="E2942">
            <v>7031062</v>
          </cell>
          <cell r="F2942" t="str">
            <v>RECARGA PARA ENGRAPADORA LINEAL CORTANTE DE 75 - 90 mm.</v>
          </cell>
          <cell r="G2942" t="str">
            <v>UN</v>
          </cell>
        </row>
        <row r="2943">
          <cell r="E2943">
            <v>7031063</v>
          </cell>
          <cell r="F2943" t="str">
            <v>RECARGA PARA ENGRAPADORA LINEAL DE 55 - 60 mm PARA TEJIDO GRUESO</v>
          </cell>
          <cell r="G2943" t="str">
            <v>UN</v>
          </cell>
        </row>
        <row r="2944">
          <cell r="E2944">
            <v>7031064</v>
          </cell>
          <cell r="F2944" t="str">
            <v>RECARGA PARA ENGRAPADORA LINEAL DE 55 - 60 mm PARA TEJIDO REGULAR</v>
          </cell>
          <cell r="G2944" t="str">
            <v>UN</v>
          </cell>
        </row>
        <row r="2945">
          <cell r="E2945">
            <v>7031065</v>
          </cell>
          <cell r="F2945" t="str">
            <v>RECARGA PARA ENGRAPADORA LINEAL TERMINAL, DE 75 - 90 mm PARA TEJIDO GRUESO</v>
          </cell>
          <cell r="G2945" t="str">
            <v>UN</v>
          </cell>
        </row>
        <row r="2946">
          <cell r="E2946">
            <v>7031066</v>
          </cell>
          <cell r="F2946" t="str">
            <v>SET PARA APLICACIÓN DE BANDAS PARA HEMORROIDES</v>
          </cell>
          <cell r="G2946" t="str">
            <v>SET</v>
          </cell>
        </row>
        <row r="2947">
          <cell r="E2947">
            <v>7032060</v>
          </cell>
          <cell r="F2947" t="str">
            <v>CUCHILLA DESCARTABLE PARA MICROTOMO</v>
          </cell>
          <cell r="G2947" t="str">
            <v>UN</v>
          </cell>
        </row>
        <row r="2948">
          <cell r="E2948">
            <v>7032061</v>
          </cell>
          <cell r="F2948" t="str">
            <v>CUCHILLA FIJA PARA MICROTOMO</v>
          </cell>
          <cell r="G2948" t="str">
            <v>UN</v>
          </cell>
        </row>
        <row r="2949">
          <cell r="E2949">
            <v>7032062</v>
          </cell>
          <cell r="F2949" t="str">
            <v>CUCHILLA PARA DERMATOMO BROWN</v>
          </cell>
          <cell r="G2949" t="str">
            <v>UN</v>
          </cell>
        </row>
        <row r="2950">
          <cell r="E2950">
            <v>7032063</v>
          </cell>
          <cell r="F2950" t="str">
            <v>CUCHILLA PARA DERMATOMO DE WATSON.</v>
          </cell>
          <cell r="G2950" t="str">
            <v>UN</v>
          </cell>
        </row>
        <row r="2951">
          <cell r="E2951">
            <v>7032064</v>
          </cell>
          <cell r="F2951" t="str">
            <v>EXPANSOR DE TEJIDO REDONDO DE 500 ML DE VOLUMEN</v>
          </cell>
          <cell r="G2951" t="str">
            <v>UN</v>
          </cell>
        </row>
        <row r="2952">
          <cell r="E2952">
            <v>7032065</v>
          </cell>
          <cell r="F2952" t="str">
            <v>FERULA PARA DEDO MALEABLE 12 1/2" LARGO X 2 1/2" ANCHO, ± 10%</v>
          </cell>
          <cell r="G2952" t="str">
            <v>UN</v>
          </cell>
        </row>
        <row r="2953">
          <cell r="E2953">
            <v>7032066</v>
          </cell>
          <cell r="F2953" t="str">
            <v>FERULA PARA DEDO, DE ALUMINIO DE 18 PULGADAS DE LARGO X 0.6 ANCHO ± 10%</v>
          </cell>
          <cell r="G2953" t="str">
            <v>UN</v>
          </cell>
        </row>
        <row r="2954">
          <cell r="E2954">
            <v>7032067</v>
          </cell>
          <cell r="F2954" t="str">
            <v>HOJA PARA DERMATOMO WARNER</v>
          </cell>
          <cell r="G2954" t="str">
            <v>UN</v>
          </cell>
        </row>
        <row r="2955">
          <cell r="E2955">
            <v>7032068</v>
          </cell>
          <cell r="F2955" t="str">
            <v>IMPLANTE MAMARIO LISO 180 CC</v>
          </cell>
          <cell r="G2955" t="str">
            <v>UN</v>
          </cell>
        </row>
        <row r="2956">
          <cell r="E2956">
            <v>7032069</v>
          </cell>
          <cell r="F2956" t="str">
            <v>IMPLANTE MAMARIO LISO 200 CC</v>
          </cell>
          <cell r="G2956" t="str">
            <v>UN</v>
          </cell>
        </row>
        <row r="2957">
          <cell r="E2957">
            <v>7032070</v>
          </cell>
          <cell r="F2957" t="str">
            <v>IMPLANTE MAMARIO LISO 225 CC</v>
          </cell>
          <cell r="G2957" t="str">
            <v>UN</v>
          </cell>
        </row>
        <row r="2958">
          <cell r="E2958">
            <v>7032071</v>
          </cell>
          <cell r="F2958" t="str">
            <v>IMPLANTE MAMARIO PARA RECONSTRUCCION, ENTRE 250 Y 500 ML</v>
          </cell>
          <cell r="G2958" t="str">
            <v>UN</v>
          </cell>
        </row>
        <row r="2959">
          <cell r="E2959">
            <v>7032072</v>
          </cell>
          <cell r="F2959" t="str">
            <v>MEDIDOR DE INJERTO TUNEL DE 10 MM</v>
          </cell>
          <cell r="G2959" t="str">
            <v>UN</v>
          </cell>
        </row>
        <row r="2960">
          <cell r="E2960">
            <v>7032073</v>
          </cell>
          <cell r="F2960" t="str">
            <v>MEDIDOR DE INJERTO TUNEL DE 11 MM</v>
          </cell>
          <cell r="G2960" t="str">
            <v>UN</v>
          </cell>
        </row>
        <row r="2961">
          <cell r="E2961">
            <v>7032074</v>
          </cell>
          <cell r="F2961" t="str">
            <v>MEDIDOR DE INJERTO TUNEL DE 9 MM</v>
          </cell>
          <cell r="G2961" t="str">
            <v>UN</v>
          </cell>
        </row>
        <row r="2962">
          <cell r="E2962">
            <v>7032075</v>
          </cell>
          <cell r="F2962" t="str">
            <v>MEDIDOR PARA ARTICULACION DE DEDO  # 00.</v>
          </cell>
          <cell r="G2962" t="str">
            <v>UN</v>
          </cell>
        </row>
        <row r="2963">
          <cell r="E2963">
            <v>7032076</v>
          </cell>
          <cell r="F2963" t="str">
            <v>MEDIDOR PARA ARTICULACION DE DEDO  # 10.</v>
          </cell>
          <cell r="G2963" t="str">
            <v>UN</v>
          </cell>
        </row>
        <row r="2964">
          <cell r="E2964">
            <v>7032077</v>
          </cell>
          <cell r="F2964" t="str">
            <v>MEDIDOR PARA ARTICULACION DE DEDO  # 30.</v>
          </cell>
          <cell r="G2964" t="str">
            <v>UN</v>
          </cell>
        </row>
        <row r="2965">
          <cell r="E2965">
            <v>7032078</v>
          </cell>
          <cell r="F2965" t="str">
            <v>MEDIDOR PARA ARTICULACION DE DEDO  # 40.</v>
          </cell>
          <cell r="G2965" t="str">
            <v>UN</v>
          </cell>
        </row>
        <row r="2966">
          <cell r="E2966">
            <v>7032079</v>
          </cell>
          <cell r="F2966" t="str">
            <v>MEDIDOR PARA ARTICULACION DE DEDO # 20.</v>
          </cell>
          <cell r="G2966" t="str">
            <v>UN</v>
          </cell>
        </row>
        <row r="2967">
          <cell r="E2967">
            <v>7032080</v>
          </cell>
          <cell r="F2967" t="str">
            <v>MEDIDOR PARA TRAPECIO # 10</v>
          </cell>
          <cell r="G2967" t="str">
            <v>UN</v>
          </cell>
        </row>
        <row r="2968">
          <cell r="E2968">
            <v>7032081</v>
          </cell>
          <cell r="F2968" t="str">
            <v>MEDIDOR PARA TRAPECIO # 15</v>
          </cell>
          <cell r="G2968" t="str">
            <v>UN</v>
          </cell>
        </row>
        <row r="2969">
          <cell r="E2969">
            <v>7032082</v>
          </cell>
          <cell r="F2969" t="str">
            <v>MEDIDOR PARA TRAPECIO # 20</v>
          </cell>
          <cell r="G2969" t="str">
            <v>UN</v>
          </cell>
        </row>
        <row r="2970">
          <cell r="E2970">
            <v>7032083</v>
          </cell>
          <cell r="F2970" t="str">
            <v>MEDIDOR PARA TRAPECIO # 25</v>
          </cell>
          <cell r="G2970" t="str">
            <v>UN</v>
          </cell>
        </row>
        <row r="2971">
          <cell r="E2971">
            <v>7032084</v>
          </cell>
          <cell r="F2971" t="str">
            <v>MEDIDOR PARA TRAPECIO # 30</v>
          </cell>
          <cell r="G2971" t="str">
            <v>UN</v>
          </cell>
        </row>
        <row r="2972">
          <cell r="E2972">
            <v>7032085</v>
          </cell>
          <cell r="F2972" t="str">
            <v>MEDIDOR PARA TRAPECIO # 35</v>
          </cell>
          <cell r="G2972" t="str">
            <v>UN</v>
          </cell>
        </row>
        <row r="2973">
          <cell r="E2973">
            <v>7032086</v>
          </cell>
          <cell r="F2973" t="str">
            <v>PROTESIS  DE  DACRON  Y  SILICON  PARA  TRAPECIO  , # 10.</v>
          </cell>
          <cell r="G2973" t="str">
            <v>UN</v>
          </cell>
        </row>
        <row r="2974">
          <cell r="E2974">
            <v>7032087</v>
          </cell>
          <cell r="F2974" t="str">
            <v>PROTESIS  DE  DACRON  Y  SILICON  PARA  TRAPECIO  , # 15.</v>
          </cell>
          <cell r="G2974" t="str">
            <v>UN</v>
          </cell>
        </row>
        <row r="2975">
          <cell r="E2975">
            <v>7032088</v>
          </cell>
          <cell r="F2975" t="str">
            <v>PROTESIS  DE  DACRON  Y  SILICON  PARA  TRAPECIO  , # 20,</v>
          </cell>
          <cell r="G2975" t="str">
            <v>UN</v>
          </cell>
        </row>
        <row r="2976">
          <cell r="E2976">
            <v>7032089</v>
          </cell>
          <cell r="F2976" t="str">
            <v>PROTESIS  DE  DACRON  Y  SILICON  PARA  TRAPECIO  , # 25.</v>
          </cell>
          <cell r="G2976" t="str">
            <v>UN</v>
          </cell>
        </row>
        <row r="2977">
          <cell r="E2977">
            <v>7032090</v>
          </cell>
          <cell r="F2977" t="str">
            <v>PROTESIS  DE  DACRON  Y  SILICON  PARA  TRAPECIO  , # 30.</v>
          </cell>
          <cell r="G2977" t="str">
            <v>UN</v>
          </cell>
        </row>
        <row r="2978">
          <cell r="E2978">
            <v>7032091</v>
          </cell>
          <cell r="F2978" t="str">
            <v>PROTESIS  DE  DACRON  Y  SILICON  PARA  TRAPECIO  , # 35.</v>
          </cell>
          <cell r="G2978" t="str">
            <v>UN</v>
          </cell>
        </row>
        <row r="2979">
          <cell r="E2979">
            <v>7032092</v>
          </cell>
          <cell r="F2979" t="str">
            <v>PROTESIS DE DACRON Y SILICON PARA ARTICULACION DE  DEDO, # 00</v>
          </cell>
          <cell r="G2979" t="str">
            <v>UN</v>
          </cell>
        </row>
        <row r="2980">
          <cell r="E2980">
            <v>7032093</v>
          </cell>
          <cell r="F2980" t="str">
            <v>PROTESIS DE DACRON Y SILICON PARA ARTICULACION DE  DEDO, # 10</v>
          </cell>
          <cell r="G2980" t="str">
            <v>UN</v>
          </cell>
        </row>
        <row r="2981">
          <cell r="E2981">
            <v>7032094</v>
          </cell>
          <cell r="F2981" t="str">
            <v>PROTESIS DE DACRON Y SILICON PARA ARTICULACION DE  DEDO, # 20</v>
          </cell>
          <cell r="G2981" t="str">
            <v>UN</v>
          </cell>
        </row>
        <row r="2982">
          <cell r="E2982">
            <v>7032095</v>
          </cell>
          <cell r="F2982" t="str">
            <v>PROTESIS DE DACRON Y SILICON PARA ARTICULACION DE  DEDO, # 30</v>
          </cell>
          <cell r="G2982" t="str">
            <v>UN</v>
          </cell>
        </row>
        <row r="2983">
          <cell r="E2983">
            <v>7032096</v>
          </cell>
          <cell r="F2983" t="str">
            <v>PROTESIS DE DACRON Y SILICON PARA ARTICULACION DE  DEDO, # 40</v>
          </cell>
          <cell r="G2983" t="str">
            <v>UN</v>
          </cell>
        </row>
        <row r="2984">
          <cell r="E2984">
            <v>7032097</v>
          </cell>
          <cell r="F2984" t="str">
            <v>PUNCH DERMICO PARA TOMA DE BIOPSIA, DE 3 mm DE DIAMETRO, DESCARTABLE</v>
          </cell>
          <cell r="G2984" t="str">
            <v>UN</v>
          </cell>
        </row>
        <row r="2985">
          <cell r="E2985">
            <v>7032098</v>
          </cell>
          <cell r="F2985" t="str">
            <v>PUNCH DERMICO PARA TOMA DE BIOPSIA, DE 4 mm DE DIAMETRO, DESCARTABLE</v>
          </cell>
          <cell r="G2985" t="str">
            <v>UN</v>
          </cell>
        </row>
        <row r="2986">
          <cell r="E2986">
            <v>7032099</v>
          </cell>
          <cell r="F2986" t="str">
            <v>PUNCH DERMICO PARA TOMA DE BIOPSIA, DE 5 mm DE DIAMETRO, DESCARTABLE</v>
          </cell>
          <cell r="G2986" t="str">
            <v>UN</v>
          </cell>
        </row>
        <row r="2987">
          <cell r="E2987">
            <v>7032100</v>
          </cell>
          <cell r="F2987" t="str">
            <v>PUNCH DERMICO PARA TOMA DE BIOPSIA, DE6mm DE DIAMETRO, DESCARTABLE</v>
          </cell>
          <cell r="G2987" t="str">
            <v>UN</v>
          </cell>
        </row>
        <row r="2988">
          <cell r="E2988">
            <v>7032101</v>
          </cell>
          <cell r="F2988" t="str">
            <v>TELA ADHESIVA PARA DERMATOMO DE REESE 12" X 4". PIEZA</v>
          </cell>
          <cell r="G2988" t="str">
            <v>UN</v>
          </cell>
        </row>
        <row r="2989">
          <cell r="E2989">
            <v>7033040</v>
          </cell>
          <cell r="F2989" t="str">
            <v>AGUJA PARA HEMOSTASIA Y ESCLEROSIS PARA USO EN VIDEO COLONOSCOPIO, LONGITUD  DE 230 CM O MAS</v>
          </cell>
          <cell r="G2989" t="str">
            <v>UN</v>
          </cell>
        </row>
        <row r="2990">
          <cell r="E2990">
            <v>7033041</v>
          </cell>
          <cell r="F2990" t="str">
            <v>AGUJA PARA HEMOSTASIA Y ESCLEROSIS PARA USO EN VIDEO GASTROSCOPIO, LONGITUD DE 165 CM O MAS</v>
          </cell>
          <cell r="G2990" t="str">
            <v>UN</v>
          </cell>
        </row>
        <row r="2991">
          <cell r="E2991">
            <v>7033042</v>
          </cell>
          <cell r="F2991" t="str">
            <v>ANILLOS DE LIGADURA PARA HEMORROIDES (BANDAS DE CAUCHO), FRASCO CON 100BANDAS DE CAUCHO</v>
          </cell>
          <cell r="G2991" t="str">
            <v>UN</v>
          </cell>
        </row>
        <row r="2992">
          <cell r="E2992">
            <v>7033043</v>
          </cell>
          <cell r="F2992" t="str">
            <v>BALON DE DILATACION ESOFAGICA 20 MM DIAMETRO Y 8 CM DE LARGO</v>
          </cell>
          <cell r="G2992" t="str">
            <v>UN</v>
          </cell>
        </row>
        <row r="2993">
          <cell r="E2993">
            <v>7033044</v>
          </cell>
          <cell r="F2993" t="str">
            <v>BALÓN DE DILATACIÓN PARA COLON, DESCARTABLE, DIÁMETRO DE INFLADO MÍNIMODE 16 MM (48 FRENCH), LONGITUD DE BALÓN DE 5.5 CM, LONGITUD DE CATÉTERDE 240 CM O MAS</v>
          </cell>
          <cell r="G2993" t="str">
            <v>UN</v>
          </cell>
        </row>
        <row r="2994">
          <cell r="E2994">
            <v>7033045</v>
          </cell>
          <cell r="F2994" t="str">
            <v>BALON Y ORING PARA ENTEROSCOPIO DE DOBLE BALON. SET</v>
          </cell>
          <cell r="G2994" t="str">
            <v>UN</v>
          </cell>
        </row>
        <row r="2995">
          <cell r="E2995">
            <v>7033046</v>
          </cell>
          <cell r="F2995" t="str">
            <v>CANASTA EXTRACTORA DE CALCULOS PARA DUODENOSCOPIO, 20 - 30 mm DE DIAMETRO DE CANASTA, DE 35 - 60 mm DE LONGITUD, 4 FILAMENTOS, CON PUERTO DE INYECCIÓN</v>
          </cell>
          <cell r="G2995" t="str">
            <v>UN</v>
          </cell>
        </row>
        <row r="2996">
          <cell r="E2996">
            <v>7033047</v>
          </cell>
          <cell r="F2996" t="str">
            <v>CANASTAS PARA LITOTRIPTOR DUODENOSCOPIO</v>
          </cell>
          <cell r="G2996" t="str">
            <v>UN</v>
          </cell>
        </row>
        <row r="2997">
          <cell r="E2997">
            <v>7033048</v>
          </cell>
          <cell r="F2997" t="str">
            <v>CANASTILLA DE EXTRACCION DE POLIPOS POR COLONOSCOPIA, DIAMETRO MINIMODELA CESTA DE 2 CM, LONGITUD MINIMA DE LA CESTA MAYOR O IGUAL A 4 CM,LONGITUD MINIMA DEL EXTRACTOR 240 CM, REUTILIZABLE</v>
          </cell>
          <cell r="G2997" t="str">
            <v>UN</v>
          </cell>
        </row>
        <row r="2998">
          <cell r="E2998">
            <v>7033049</v>
          </cell>
          <cell r="F2998" t="str">
            <v>CANULA DIAGNOSTICA PARA ERCP</v>
          </cell>
          <cell r="G2998" t="str">
            <v>UN</v>
          </cell>
        </row>
        <row r="2999">
          <cell r="E2999">
            <v>7033050</v>
          </cell>
          <cell r="F2999" t="str">
            <v>CATETER CON BALON PARA DILATACION DE ACALASIA</v>
          </cell>
          <cell r="G2999" t="str">
            <v>UN</v>
          </cell>
        </row>
        <row r="3000">
          <cell r="E3000">
            <v>7033051</v>
          </cell>
          <cell r="F3000" t="str">
            <v>CATETER CON DILATACION CON BALON FR 5</v>
          </cell>
          <cell r="G3000" t="str">
            <v>UN</v>
          </cell>
        </row>
        <row r="3001">
          <cell r="E3001">
            <v>7033052</v>
          </cell>
          <cell r="F3001" t="str">
            <v>CATETER CON DILATACION CON BALON FR 6</v>
          </cell>
          <cell r="G3001" t="str">
            <v>UN</v>
          </cell>
        </row>
        <row r="3002">
          <cell r="E3002">
            <v>7033053</v>
          </cell>
          <cell r="F3002" t="str">
            <v>CATETER PARA COLANGIOGRAFIA FR 4 DE 40 CMS</v>
          </cell>
          <cell r="G3002" t="str">
            <v>UN</v>
          </cell>
        </row>
        <row r="3003">
          <cell r="E3003">
            <v>7033054</v>
          </cell>
          <cell r="F3003" t="str">
            <v>CEPILLO DE LIMPIEZA DEL CANAL DE AIRE/AGUA, LONGITUD MÍNIMA DE 200 MM,REUTILIZABLE, PARA USO EN VIDEO COLONOSCOPIO MARCA Y MODELO DE USOINSTITUCIONAL</v>
          </cell>
          <cell r="G3003" t="str">
            <v>UN</v>
          </cell>
        </row>
        <row r="3004">
          <cell r="E3004">
            <v>7033055</v>
          </cell>
          <cell r="F3004" t="str">
            <v>CEPILLO DE LIMPIEZA DEL CANAL DE INSTRUMENTACION, LONGITUD MÍNIMA DE 200MM, REUTILIZABLE, PARA USO EN VIDEO COLONOSCOPIO MARCA Y MODELO DE USOINSTITUCIONAL</v>
          </cell>
          <cell r="G3004" t="str">
            <v>UN</v>
          </cell>
        </row>
        <row r="3005">
          <cell r="E3005">
            <v>7033056</v>
          </cell>
          <cell r="F3005" t="str">
            <v>CEPILLO DE LIMPIEZA PARA CILINDRO DE VALVULA DE ASPIRACION DE AIRE/AGUA,LONGITUD MÍNIMA DE 200 MM, REUTILIZABLE, PARA USO EN VIDEO COLONOSCOPIOMARCA Y MODELO DE USO INSTITUCIONAL</v>
          </cell>
          <cell r="G3005" t="str">
            <v>UN</v>
          </cell>
        </row>
        <row r="3006">
          <cell r="E3006">
            <v>7033057</v>
          </cell>
          <cell r="F3006" t="str">
            <v>CEPILLO PARA CITOLOGIA PARA COLONOSCOPIO, PARA USO EN CANAL DE 2.8 mm</v>
          </cell>
          <cell r="G3006" t="str">
            <v>UN</v>
          </cell>
        </row>
        <row r="3007">
          <cell r="E3007">
            <v>7033058</v>
          </cell>
          <cell r="F3007" t="str">
            <v>CEPILLO PARA CITOLOGIA PARA DUODENOSCOPIO, PARA USO EN CANAL DE 2.8 mm</v>
          </cell>
          <cell r="G3007" t="str">
            <v>UN</v>
          </cell>
        </row>
        <row r="3008">
          <cell r="E3008">
            <v>7033059</v>
          </cell>
          <cell r="F3008" t="str">
            <v>CEPILLO PARA CITOLOGIA PARA GASTROSCOPIO, PARA USO EN CANAL DE 2.8 mm</v>
          </cell>
          <cell r="G3008" t="str">
            <v>UN</v>
          </cell>
        </row>
        <row r="3009">
          <cell r="E3009">
            <v>7033060</v>
          </cell>
          <cell r="F3009" t="str">
            <v>CEPILLO PARA LIMPIEZA DE CANALES DE VIDEO GASTROSCOPIO, CANAL DE 2.8 MMDE DIAMETRO, LONGITUD DE 165 CM APROXIMADO</v>
          </cell>
          <cell r="G3009" t="str">
            <v>UN</v>
          </cell>
        </row>
        <row r="3010">
          <cell r="E3010">
            <v>7033061</v>
          </cell>
          <cell r="F3010" t="str">
            <v>CLIP PREMONTADO PARA HEMOSTASIA PARA USO EN ENDOSCOPIO DE TUBO DIGESTIVOINFERIOR, LONGITUD 230 CM APROXIMADO</v>
          </cell>
          <cell r="G3010" t="str">
            <v>UN</v>
          </cell>
        </row>
        <row r="3011">
          <cell r="E3011">
            <v>7033062</v>
          </cell>
          <cell r="F3011" t="str">
            <v>CLIP PREMONTADO PARA HEMOSTASIA PARA USO EN ENDOSCOPIO DE TUBO DIGESTIVOSUPERIOR, LONGITUD 165 CM APROXIMADO</v>
          </cell>
          <cell r="G3011" t="str">
            <v>UN</v>
          </cell>
        </row>
        <row r="3012">
          <cell r="E3012">
            <v>7033063</v>
          </cell>
          <cell r="F3012" t="str">
            <v>EQUIPO DE DRENAJE BILIAR, QUE CONTENGA DILATADOR, GUIA Y AGUJA DE CHIBA</v>
          </cell>
          <cell r="G3012" t="str">
            <v>UN</v>
          </cell>
        </row>
        <row r="3013">
          <cell r="E3013">
            <v>7033064</v>
          </cell>
          <cell r="F3013" t="str">
            <v>ESFINTEROTOMO CONVENCIONAL 0.25 - 0.5 x 20 - 35 mm DE LARGO</v>
          </cell>
          <cell r="G3013" t="str">
            <v>UN</v>
          </cell>
        </row>
        <row r="3014">
          <cell r="E3014">
            <v>7033065</v>
          </cell>
          <cell r="F3014" t="str">
            <v>ESFINTEROTOMO PRECORTE. ALAMBRE DE CORTE DE 3 - 5 mm.</v>
          </cell>
          <cell r="G3014" t="str">
            <v>UN</v>
          </cell>
        </row>
        <row r="3015">
          <cell r="E3015">
            <v>7033066</v>
          </cell>
          <cell r="F3015" t="str">
            <v>GUIA BILIAR HIDROFILICA DE 0.021" - 0.035" Y 450 - 480 CM DE LONGITUD</v>
          </cell>
          <cell r="G3015" t="str">
            <v>UN</v>
          </cell>
        </row>
        <row r="3016">
          <cell r="E3016">
            <v>7033067</v>
          </cell>
          <cell r="F3016" t="str">
            <v>KIT DE GASTROSTOMIA ENDOSCOPICA PERCUTANEA, QUE CONTENGA TUBO DE ALIMENTACION DE SILICON, BANDEJA DE PREPARACION y LAZO O GUIA DE TRACCION</v>
          </cell>
          <cell r="G3016" t="str">
            <v>UN</v>
          </cell>
        </row>
        <row r="3017">
          <cell r="E3017">
            <v>7033068</v>
          </cell>
          <cell r="F3017" t="str">
            <v>KIT DE LIGADURA DE VARICES ESOFAGICAS, QUE CONTENGA6- 8 BANDAS ELASTICAS, MANGO LIGADOR MULTIBANDA, CORDON DISPARADOR Y DISPOSITIVOCON BANDAS PREVIAMENTE CARGADAS, CATETER DE CARGA Y ADAPTADOR DE IRRIGACION</v>
          </cell>
          <cell r="G3017" t="str">
            <v>UN</v>
          </cell>
        </row>
        <row r="3018">
          <cell r="E3018">
            <v>7033069</v>
          </cell>
          <cell r="F3018" t="str">
            <v>KIT DE SONDA DE RECAMBIO PARA GASTROSTOMIA</v>
          </cell>
          <cell r="G3018" t="str">
            <v>UN</v>
          </cell>
        </row>
        <row r="3019">
          <cell r="E3019">
            <v>7033070</v>
          </cell>
          <cell r="F3019" t="str">
            <v>PERILLA DE INSUFLACION COMPLETA</v>
          </cell>
          <cell r="G3019" t="str">
            <v>UN</v>
          </cell>
        </row>
        <row r="3020">
          <cell r="E3020">
            <v>7033071</v>
          </cell>
          <cell r="F3020" t="str">
            <v>PINZA APLICADORA DE GRAPAS PARA USO EN VIDEOGASTROSCOPIO DE TRES PUNTOS O DIENTES</v>
          </cell>
          <cell r="G3020" t="str">
            <v>UN</v>
          </cell>
        </row>
        <row r="3021">
          <cell r="E3021">
            <v>7033072</v>
          </cell>
          <cell r="F3021" t="str">
            <v>PINZA DE AGARRE PARA USO EN VIDEO GASTROSCOPIO, EN FORMA DE CUCHARA REDONDA CON DIENTES, LONGITUD DE 160 cm O MAYOR, PARA CANAL DE 2.8</v>
          </cell>
          <cell r="G3021" t="str">
            <v>UN</v>
          </cell>
        </row>
        <row r="3022">
          <cell r="E3022">
            <v>7033073</v>
          </cell>
          <cell r="F3022" t="str">
            <v>PINZA DE AGARRE TIPO TRIPODE PARA USO EN VIDEO GASTROSCOPIO, LONGITUDDE 160 cm O MAYOR, PARA CANAL DE 2.8</v>
          </cell>
          <cell r="G3022" t="str">
            <v>UN</v>
          </cell>
        </row>
        <row r="3023">
          <cell r="E3023">
            <v>7033074</v>
          </cell>
          <cell r="F3023" t="str">
            <v>PINZA DE EXTRACCION DE CUERPO EXTRAÑO POR COLONOSCOPIA, MORDIDA MINIMADE 1.8 MM, LONGITUD MAYOR O IGUAL A 225 CM, REUTILIZABLE</v>
          </cell>
          <cell r="G3023" t="str">
            <v>UN</v>
          </cell>
        </row>
        <row r="3024">
          <cell r="E3024">
            <v>7033075</v>
          </cell>
          <cell r="F3024" t="str">
            <v>PINZA PARA BIOPSIA RECTAL TIPO CAIMAN, MORDIDA DE 4 MM DE DIAMETRO YLONGITUD DE TRABAJO MAYOR DE 27 CM</v>
          </cell>
          <cell r="G3024" t="str">
            <v>UN</v>
          </cell>
        </row>
        <row r="3025">
          <cell r="E3025">
            <v>7033076</v>
          </cell>
          <cell r="F3025" t="str">
            <v>PINZA PARA BIOPSIA, DE COLONOSCOPIO</v>
          </cell>
          <cell r="G3025" t="str">
            <v>UN</v>
          </cell>
        </row>
        <row r="3026">
          <cell r="E3026">
            <v>7033077</v>
          </cell>
          <cell r="F3026" t="str">
            <v>PINZA PARA TOMA DE BIOPSIA PARA DUODENOSCOPIO, HELICOIDAL, CON AGUJA</v>
          </cell>
          <cell r="G3026" t="str">
            <v>UN</v>
          </cell>
        </row>
        <row r="3027">
          <cell r="E3027">
            <v>7033078</v>
          </cell>
          <cell r="F3027" t="str">
            <v>PINZA PARA TOMA DE BIOPSIA POR VIDEO GASTROSCOPIO, CANAL DE TRABAJO DE 2.8</v>
          </cell>
          <cell r="G3027" t="str">
            <v>UN</v>
          </cell>
        </row>
        <row r="3028">
          <cell r="E3028">
            <v>7033079</v>
          </cell>
          <cell r="F3028" t="str">
            <v>PINZA PORTATORUNDAS Y EXTRACCION DE CUERPO EXTRAÑO EN RECTO, DE 3 MM DEDIAMETRO Y LONGITUD UTIL MAYOR DE 30 CM</v>
          </cell>
          <cell r="G3028" t="str">
            <v>UN</v>
          </cell>
        </row>
        <row r="3029">
          <cell r="E3029">
            <v>7033080</v>
          </cell>
          <cell r="F3029" t="str">
            <v>POLIPECTOTOMO DIATERMICO PARA VIDEO COLONOSCOPIO, DIFERENTES FORMAS YTAMAÑOS</v>
          </cell>
          <cell r="G3029" t="str">
            <v>UN</v>
          </cell>
        </row>
        <row r="3030">
          <cell r="E3030">
            <v>7033081</v>
          </cell>
          <cell r="F3030" t="str">
            <v>POLIPECTOTOMO DIATERMICO PARA VIDEO GASTROSCOPIO, DIFERENTES FORMAS YTAMAÑOS</v>
          </cell>
          <cell r="G3030" t="str">
            <v>UN</v>
          </cell>
        </row>
        <row r="3031">
          <cell r="E3031">
            <v>7033082</v>
          </cell>
          <cell r="F3031" t="str">
            <v>PROTESIS BILIAR METALICA, AUTOEXPANDIBLE, RECUBIERTA, DE 10 MM DEDIAMETRO Y6- 10 CM DE LONTIGUD</v>
          </cell>
          <cell r="G3031" t="str">
            <v>UN</v>
          </cell>
        </row>
        <row r="3032">
          <cell r="E3032">
            <v>7033083</v>
          </cell>
          <cell r="F3032" t="str">
            <v>PROTESIS BILIAR TIPO AMSTERDAM DE 8.5 FRECH Y 9-12 CM DE LONGITUD</v>
          </cell>
          <cell r="G3032" t="str">
            <v>UN</v>
          </cell>
        </row>
        <row r="3033">
          <cell r="E3033">
            <v>7033084</v>
          </cell>
          <cell r="F3033" t="str">
            <v>PROTESIS BILIAR TIPO AMSTERDAM DE 8.5 FRECH Y 9-12 CM DE LONGITUD PREMONTADA</v>
          </cell>
          <cell r="G3033" t="str">
            <v>UN</v>
          </cell>
        </row>
        <row r="3034">
          <cell r="E3034">
            <v>7033085</v>
          </cell>
          <cell r="F3034" t="str">
            <v>PROTESIS COLONICA AUTO EXPANDIBLE DE 20 - 30 MM DE EXPANSION Y DE LONGITUD DE6- 8 CM</v>
          </cell>
          <cell r="G3034" t="str">
            <v>UN</v>
          </cell>
        </row>
        <row r="3035">
          <cell r="E3035">
            <v>7033086</v>
          </cell>
          <cell r="F3035" t="str">
            <v>SET DE LIGADURA DE LAZO PARA HEMOSTASIA ENDOSCOPICA PARA USO EN COLONOSCOPIA</v>
          </cell>
          <cell r="G3035" t="str">
            <v>UN</v>
          </cell>
        </row>
        <row r="3036">
          <cell r="E3036">
            <v>7033087</v>
          </cell>
          <cell r="F3036" t="str">
            <v>SET PARA APLICACIÓN DE BANDAS DE HEMORROIDES ASISTIDO POR ASPIRACION,QUE INCLUYE INSTRUMENTAL PARA LIGADURA POR ASPIRACION, UN CABEZAL DEASPIRACION GRANDE, UN CABEZAL DE ASPIRACION PEQUEÑO, CONO DE CARGA PARALIGADOR DE HEMORROIDES</v>
          </cell>
          <cell r="G3036" t="str">
            <v>SET</v>
          </cell>
        </row>
        <row r="3037">
          <cell r="E3037">
            <v>7033088</v>
          </cell>
          <cell r="F3037" t="str">
            <v xml:space="preserve">SET PARA COLOCACION DE PROTESIS ESOFAGICA, QUE CONTENGA: PROTESIS ESOFAGICA CON VALVULA ANTIRREFLUJO, DIVERSAS LONGITUDES Y DIAMETROS, CATETER INTERNO RADIOPACO, VAINA EXTERNA CON MARCAS GRADUADAS, CATETER GUIA, DILATADOR CONPUNTA RADIOPACA Y GUIA SAVARY </v>
          </cell>
          <cell r="G3037" t="str">
            <v>UN</v>
          </cell>
        </row>
        <row r="3038">
          <cell r="E3038">
            <v>7033089</v>
          </cell>
          <cell r="F3038" t="str">
            <v>SONDA CON BALON DE EXTRACCION DE CALCULOS BILIARES. DE DOBLE O TRIPLELUMEN, 8.5 mm - 18 mm DE LONGITUD DE BALON Y 1.5  - 5.0 mL DEVOLUMEN DE AIRE. LONGITUD DE CATETER MAYOR O IGUAL A 160 CM</v>
          </cell>
          <cell r="G3038" t="str">
            <v>UN</v>
          </cell>
        </row>
        <row r="3039">
          <cell r="E3039">
            <v>7033090</v>
          </cell>
          <cell r="F3039" t="str">
            <v>SONDA CON BALON DILATADOR DE VIAS BILIARES. BALON DE6- 10 mm DE DIAMETRO Y 3 - 5 cm DE LONGITUD</v>
          </cell>
          <cell r="G3039" t="str">
            <v>UN</v>
          </cell>
        </row>
        <row r="3040">
          <cell r="E3040">
            <v>7033091</v>
          </cell>
          <cell r="F3040" t="str">
            <v>SONDA PARA DRENAJE NASOBILIAR DE 7 FRENCH LONGITUD DE 250 CM O MAYOR</v>
          </cell>
          <cell r="G3040" t="str">
            <v>UN</v>
          </cell>
        </row>
        <row r="3041">
          <cell r="E3041">
            <v>7033092</v>
          </cell>
          <cell r="F3041" t="str">
            <v>STENT DE VIAS BILIARES DE 8.5 -  12 FRECH Y DE 9 - 12 cm DE LONGITUD</v>
          </cell>
          <cell r="G3041" t="str">
            <v>UN</v>
          </cell>
        </row>
        <row r="3042">
          <cell r="E3042">
            <v>7033093</v>
          </cell>
          <cell r="F3042" t="str">
            <v>TUBO DE SUCCION DE 30 CM</v>
          </cell>
          <cell r="G3042" t="str">
            <v>UN</v>
          </cell>
        </row>
        <row r="3043">
          <cell r="E3043">
            <v>7033094</v>
          </cell>
          <cell r="F3043" t="str">
            <v>TUBO ESOFAGO GASTRICO # 20, SANGSTAKEN.</v>
          </cell>
          <cell r="G3043" t="str">
            <v>UN</v>
          </cell>
        </row>
        <row r="3044">
          <cell r="E3044">
            <v>7033095</v>
          </cell>
          <cell r="F3044" t="str">
            <v>TUBO ESOFAGO GASTRICO SANGSTAKEN # 16</v>
          </cell>
          <cell r="G3044" t="str">
            <v>UN</v>
          </cell>
        </row>
        <row r="3045">
          <cell r="E3045">
            <v>7033096</v>
          </cell>
          <cell r="F3045" t="str">
            <v>TUBO ESOFAGO GASTRICO SANGSTAKEN # 18</v>
          </cell>
          <cell r="G3045" t="str">
            <v>UN</v>
          </cell>
        </row>
        <row r="3046">
          <cell r="E3046">
            <v>7033097</v>
          </cell>
          <cell r="F3046" t="str">
            <v>TUBO PROTECTOR PARA ENTEROSCOPIO</v>
          </cell>
          <cell r="G3046" t="str">
            <v>UN</v>
          </cell>
        </row>
        <row r="3047">
          <cell r="E3047">
            <v>7034040</v>
          </cell>
          <cell r="F3047" t="str">
            <v>ASA CORTE PARA RESECTOSCOPIO, DE 0.3 mm</v>
          </cell>
          <cell r="G3047" t="str">
            <v>UN</v>
          </cell>
        </row>
        <row r="3048">
          <cell r="E3048">
            <v>7034041</v>
          </cell>
          <cell r="F3048" t="str">
            <v>ASA DE POLIPECTOMIA PARA USO EN HISTEROSCOPIO DIAGNOSTICO, UNIPOLAR,DIAMETRO 5 CHARR, LONGITUD DE 30 A 35 CM</v>
          </cell>
          <cell r="G3048" t="str">
            <v>UN</v>
          </cell>
        </row>
        <row r="3049">
          <cell r="E3049">
            <v>7034042</v>
          </cell>
          <cell r="F3049" t="str">
            <v>BANDAS DE OBSTRUCCION TUBARICA (ANILLOS DE YOON), DE SILICONA. PAR</v>
          </cell>
          <cell r="G3049" t="str">
            <v>PAA</v>
          </cell>
        </row>
        <row r="3050">
          <cell r="E3050">
            <v>7034043</v>
          </cell>
          <cell r="F3050" t="str">
            <v>BOMBA PARA MAMAS (TIRA LECHE)</v>
          </cell>
          <cell r="G3050" t="str">
            <v>UN</v>
          </cell>
        </row>
        <row r="3051">
          <cell r="E3051">
            <v>7034044</v>
          </cell>
          <cell r="F3051" t="str">
            <v>CANULA PARA OBTENCION DE MUESTRAS DE ENDOMETRIO, (CONSTA DE CANULA Y JERINGA DE ASPIRACIÓN), EMPAQUE INDIVIDUAL, DESCARTABLE, ESTERIL</v>
          </cell>
          <cell r="G3051" t="str">
            <v>UN</v>
          </cell>
        </row>
        <row r="3052">
          <cell r="E3052">
            <v>7034045</v>
          </cell>
          <cell r="F3052" t="str">
            <v>CEPILLO ENDOCERVICAL</v>
          </cell>
          <cell r="G3052" t="str">
            <v>UN</v>
          </cell>
        </row>
        <row r="3053">
          <cell r="E3053">
            <v>7034046</v>
          </cell>
          <cell r="F3053" t="str">
            <v>CONDON DE USO MASCULINO, DE POLIURETANO O LATEX, LUBRICADO CON SUSTANCIAS INERTES</v>
          </cell>
          <cell r="G3053" t="str">
            <v>UN</v>
          </cell>
        </row>
        <row r="3054">
          <cell r="E3054">
            <v>7034047</v>
          </cell>
          <cell r="F3054" t="str">
            <v>DISPOSITIVO ANTICONCEPTIVO INTRAUTERINO DE POLIETILENO EN FORMA DE T,RECUBIERTO DE COBRE (TCu-380A)</v>
          </cell>
          <cell r="G3054" t="str">
            <v>UN</v>
          </cell>
        </row>
        <row r="3055">
          <cell r="E3055">
            <v>7034048</v>
          </cell>
          <cell r="F3055" t="str">
            <v>ELECTRODO REDONDO PARA USO EN RESECTOSCOPIO</v>
          </cell>
          <cell r="G3055" t="str">
            <v>UN</v>
          </cell>
        </row>
        <row r="3056">
          <cell r="E3056">
            <v>7034049</v>
          </cell>
          <cell r="F3056" t="str">
            <v>EQUIPO PARA LA APLICACION DE CRIOTERAPIAS. QUE CONTENGA: PISTOLA, SETDE PUNTAS, ADAPTADOR A CILINDRO DE OXIDO NITROSO, TIPO "G"</v>
          </cell>
          <cell r="G3056" t="str">
            <v>UN</v>
          </cell>
        </row>
        <row r="3057">
          <cell r="E3057">
            <v>7034050</v>
          </cell>
          <cell r="F3057" t="str">
            <v>ESPATULA  DE MADERA  PARA FROTIS  GINECOLOGICA. PAQUETE 100 UNIDADES</v>
          </cell>
          <cell r="G3057" t="str">
            <v>UN</v>
          </cell>
        </row>
        <row r="3058">
          <cell r="E3058">
            <v>7034051</v>
          </cell>
          <cell r="F3058" t="str">
            <v>ESPECULO REVESTIDO DE AISLANTE PARA REALIZAR PROCEDIMIENTOS ELECTROQUIRURGICOS</v>
          </cell>
          <cell r="G3058" t="str">
            <v>UN</v>
          </cell>
        </row>
        <row r="3059">
          <cell r="E3059">
            <v>7034052</v>
          </cell>
          <cell r="F3059" t="str">
            <v>ESPECULO VAGINAL DESCARTABLE, VALVA DE 12 - 15 cm DE LONGITUD</v>
          </cell>
          <cell r="G3059" t="str">
            <v>UN</v>
          </cell>
        </row>
        <row r="3060">
          <cell r="E3060">
            <v>7034053</v>
          </cell>
          <cell r="F3060" t="str">
            <v>PEZONERA PLASTICA CON BIBERON.</v>
          </cell>
          <cell r="G3060" t="str">
            <v>UN</v>
          </cell>
        </row>
        <row r="3061">
          <cell r="E3061">
            <v>7034054</v>
          </cell>
          <cell r="F3061" t="str">
            <v>TAMPON DE ALGODÓN</v>
          </cell>
          <cell r="G3061" t="str">
            <v>UN</v>
          </cell>
        </row>
        <row r="3062">
          <cell r="E3062">
            <v>7035022</v>
          </cell>
          <cell r="F3062" t="str">
            <v>CASSETTE PARA MAQUINA CICLADORA DE DIALISIS PERITONEAL INTERMITENTEAUTOMATIZADA</v>
          </cell>
          <cell r="G3062" t="str">
            <v>UN</v>
          </cell>
        </row>
        <row r="3063">
          <cell r="E3063">
            <v>7035023</v>
          </cell>
          <cell r="F3063" t="str">
            <v>CATETER DOBLE LUMEN PARA HEMODIALISIS, DE 11.5 - 12 FRENCH, 15 - 16 cm DE LONGITUD, CON EXTENSION CURVA, GUIA METALICA CON EXTREMO EN "J", AGUJA INTRODUCTORA, DILATADOR Y DOS TAPONES</v>
          </cell>
          <cell r="G3063" t="str">
            <v>UN</v>
          </cell>
        </row>
        <row r="3064">
          <cell r="E3064">
            <v>7035024</v>
          </cell>
          <cell r="F3064" t="str">
            <v>CATETER DOBLE LUMEN PARA HEMODIALISIS, DE 11.5 - 12 FRENCH, 18 - 19 cm DE LONGITUD, CON EXTENSION LARGA, GUIA METALICA CON EXTREMO EN "J", AGUJA INTRODUCTORA, DILATADOR Y DOS TAPONES</v>
          </cell>
          <cell r="G3064" t="str">
            <v>UN</v>
          </cell>
        </row>
        <row r="3065">
          <cell r="E3065">
            <v>7035025</v>
          </cell>
          <cell r="F3065" t="str">
            <v>CATETER RIGIDO PARA DIALISIS PERITONEAL, PARA COLOCACION PERCUTANEA, CON ESTILETE 2.5 X 3.5 X 280 mm, DESCARTABLE, ESTERIL</v>
          </cell>
          <cell r="G3065" t="str">
            <v>UN</v>
          </cell>
        </row>
        <row r="3066">
          <cell r="E3066">
            <v>7035026</v>
          </cell>
          <cell r="F3066" t="str">
            <v>CONCENTRADO ACIDO PARA HEMODIALISIS. GALON</v>
          </cell>
          <cell r="G3066" t="str">
            <v>GLN</v>
          </cell>
        </row>
        <row r="3067">
          <cell r="E3067">
            <v>7035027</v>
          </cell>
          <cell r="F3067" t="str">
            <v>CONCENTRADO DE BICARBONATO PARA HEMODIALISIS. GALON</v>
          </cell>
          <cell r="G3067" t="str">
            <v>GLN</v>
          </cell>
        </row>
        <row r="3068">
          <cell r="E3068">
            <v>7035028</v>
          </cell>
          <cell r="F3068" t="str">
            <v>DIALIZADOR BIO COMPATIBLE CON FIBRA HUECA DE 1.1 - 1.3 M² DE SUPERFICIE, PARA HEMODIALISIS</v>
          </cell>
          <cell r="G3068" t="str">
            <v>UN</v>
          </cell>
        </row>
        <row r="3069">
          <cell r="E3069">
            <v>7035029</v>
          </cell>
          <cell r="F3069" t="str">
            <v>DIALIZADOR BIO COMPATIBLE CON FIBRA HUECA DE 1.4 - 1.7 M² DE SUPERFICIE, PARA HEMODIALISIS</v>
          </cell>
          <cell r="G3069" t="str">
            <v>UN</v>
          </cell>
        </row>
        <row r="3070">
          <cell r="E3070">
            <v>7035030</v>
          </cell>
          <cell r="F3070" t="str">
            <v>KIT PARA COLOCACION PERCUTANEA DE CATETER BLANDO, QUE CONTENGA: CATETER BLANDO DE 56 - 65 cm DE LONGITUD TOTAL, EXTREMO EN ESPIRAL,CON DOBLE COJINETA, ADAPTADOR O CONECTOR CIRCULAR A LINEA DE TRANSFERENCIA, CAMISA/DILATADOR DE 16 FRENCH, GUIA METALICA CON</v>
          </cell>
          <cell r="G3070" t="str">
            <v>UN</v>
          </cell>
        </row>
        <row r="3071">
          <cell r="E3071">
            <v>7035031</v>
          </cell>
          <cell r="F3071" t="str">
            <v>LINEA CORTA DE LARGA VIDA PARA DIALISIS PERITONEAL, CON CIERRE DE FLUJO GIRATORIO SOBRE SU EJE</v>
          </cell>
          <cell r="G3071" t="str">
            <v>UN</v>
          </cell>
        </row>
        <row r="3072">
          <cell r="E3072">
            <v>7035032</v>
          </cell>
          <cell r="F3072" t="str">
            <v>LINEA CORTA DE LARGA VIDA PARA DIALISIS PERITONEAL, CON REGULADOR DE FLUJO TIPO CARRETE</v>
          </cell>
          <cell r="G3072" t="str">
            <v>UN</v>
          </cell>
        </row>
        <row r="3073">
          <cell r="E3073">
            <v>7035033</v>
          </cell>
          <cell r="F3073" t="str">
            <v>LINEA LARGA DE CORTA VIDA PARA DIALISIS PERITONEAL</v>
          </cell>
          <cell r="G3073" t="str">
            <v>UN</v>
          </cell>
        </row>
        <row r="3074">
          <cell r="E3074">
            <v>7035034</v>
          </cell>
          <cell r="F3074" t="str">
            <v>PINZA PLASTICA PARA SUJECION, PARA DIALISIS PERITONEAL</v>
          </cell>
          <cell r="G3074" t="str">
            <v>UN</v>
          </cell>
        </row>
        <row r="3075">
          <cell r="E3075">
            <v>7035035</v>
          </cell>
          <cell r="F3075" t="str">
            <v>SET DE INFUSION PARA MAQUINA CICLADORA DE DIALISIS PERITONEALINTERMITENTE AUTOMATIZADA</v>
          </cell>
          <cell r="G3075" t="str">
            <v>UN</v>
          </cell>
        </row>
        <row r="3076">
          <cell r="E3076">
            <v>7035036</v>
          </cell>
          <cell r="F3076" t="str">
            <v>SISTEMA ARTERIOVENOSO PARA DIALIZADOR, COMPUESTA POR LINEA ARTERIAL, LINEA VENOSA, MEMBRANAS TRANSDUCTORAS DE LA LINEA VENOSA Y DE LA LINEAARTERIAL Y DESCARTABLE PARA ADMINISTRAR SOLUCIONES</v>
          </cell>
          <cell r="G3076" t="str">
            <v>UN</v>
          </cell>
        </row>
        <row r="3077">
          <cell r="E3077">
            <v>7035037</v>
          </cell>
          <cell r="F3077" t="str">
            <v>TAPON PLASTICO CON SOLUCION DESINFECTANTE PARA LINEA CORTA DE LARGA VIDA PARA DIALISIS PERITONEAL</v>
          </cell>
          <cell r="G3077" t="str">
            <v>UN</v>
          </cell>
        </row>
        <row r="3078">
          <cell r="E3078">
            <v>7036090</v>
          </cell>
          <cell r="F3078" t="str">
            <v>ALGODON COMPRIMIDO 1 1/2" X 1 1/2". SOBRE</v>
          </cell>
          <cell r="G3078" t="str">
            <v>SBR</v>
          </cell>
        </row>
        <row r="3079">
          <cell r="E3079">
            <v>7036091</v>
          </cell>
          <cell r="F3079" t="str">
            <v>ALGODON COMPRIMIDO 1 1/2" X 1 1/2". SOBRE</v>
          </cell>
          <cell r="G3079" t="str">
            <v>SBR</v>
          </cell>
        </row>
        <row r="3080">
          <cell r="E3080">
            <v>7036092</v>
          </cell>
          <cell r="F3080" t="str">
            <v>ALGODON COMPRIMIDO 1 1/2" X 1 1/2". SOBRE</v>
          </cell>
          <cell r="G3080" t="str">
            <v>SBR</v>
          </cell>
        </row>
        <row r="3081">
          <cell r="E3081">
            <v>7036093</v>
          </cell>
          <cell r="F3081" t="str">
            <v>ALGODON COMPRIMIDO 1" X 1", TIPO COTONOID.. SOBRE</v>
          </cell>
          <cell r="G3081" t="str">
            <v>SBR</v>
          </cell>
        </row>
        <row r="3082">
          <cell r="E3082">
            <v>7036094</v>
          </cell>
          <cell r="F3082" t="str">
            <v>ALGODON COMPRIMIDO 1" X 3", TIPO COTONOID.. SOBRE</v>
          </cell>
          <cell r="G3082" t="str">
            <v>SBR</v>
          </cell>
        </row>
        <row r="3083">
          <cell r="E3083">
            <v>7036095</v>
          </cell>
          <cell r="F3083" t="str">
            <v>ALGODON COMPRIMIDO 1/2" X 1". SOBRE</v>
          </cell>
          <cell r="G3083" t="str">
            <v>SBR</v>
          </cell>
        </row>
        <row r="3084">
          <cell r="E3084">
            <v>7036096</v>
          </cell>
          <cell r="F3084" t="str">
            <v>ALGODON COMPRIMIDO 1/2" X 1/2". SOBRE</v>
          </cell>
          <cell r="G3084" t="str">
            <v>SBR</v>
          </cell>
        </row>
        <row r="3085">
          <cell r="E3085">
            <v>7036097</v>
          </cell>
          <cell r="F3085" t="str">
            <v>ALGODON COMPRIMIDO 1/2" X 2". SOBRE</v>
          </cell>
          <cell r="G3085" t="str">
            <v>SBR</v>
          </cell>
        </row>
        <row r="3086">
          <cell r="E3086">
            <v>7036098</v>
          </cell>
          <cell r="F3086" t="str">
            <v>ALGODON COMPRIMIDO 1/2" X 3". SOBRE</v>
          </cell>
          <cell r="G3086" t="str">
            <v>SBR</v>
          </cell>
        </row>
        <row r="3087">
          <cell r="E3087">
            <v>7036099</v>
          </cell>
          <cell r="F3087" t="str">
            <v>ALGODON COMPRIMIDO 2" X 6", TIPO COTONOID.. SOBRE</v>
          </cell>
          <cell r="G3087" t="str">
            <v>SBR</v>
          </cell>
        </row>
        <row r="3088">
          <cell r="E3088">
            <v>7036100</v>
          </cell>
          <cell r="F3088" t="str">
            <v>ALGODON COMPRIMIDO 3" X 3", TIPO COTONOID.. SOBRE</v>
          </cell>
          <cell r="G3088" t="str">
            <v>SBR</v>
          </cell>
        </row>
        <row r="3089">
          <cell r="E3089">
            <v>7036101</v>
          </cell>
          <cell r="F3089" t="str">
            <v>ALGODON COMPRIMIDO 3/4" X 3/4". SOBRE</v>
          </cell>
          <cell r="G3089" t="str">
            <v>SBR</v>
          </cell>
        </row>
        <row r="3090">
          <cell r="E3090">
            <v>7036102</v>
          </cell>
          <cell r="F3090" t="str">
            <v>ALGODÓN COMPRIMIDO, REDONDO, DE 1" DE DIAMETRO. SOBRE</v>
          </cell>
          <cell r="G3090" t="str">
            <v>SBR</v>
          </cell>
        </row>
        <row r="3091">
          <cell r="E3091">
            <v>7036103</v>
          </cell>
          <cell r="F3091" t="str">
            <v>ALGODÓN COMPRIMIDO, REDONDO, DE 1/2" DE DIAMETRO. SOBRE</v>
          </cell>
          <cell r="G3091" t="str">
            <v>SBR</v>
          </cell>
        </row>
        <row r="3092">
          <cell r="E3092">
            <v>7036104</v>
          </cell>
          <cell r="F3092" t="str">
            <v>ALGODÓN COMPRIMIDO, REDONDO, DE 3/4" DE DIAMETRO. SOBRE</v>
          </cell>
          <cell r="G3092" t="str">
            <v>SBR</v>
          </cell>
        </row>
        <row r="3093">
          <cell r="E3093">
            <v>7036105</v>
          </cell>
          <cell r="F3093" t="str">
            <v>ALGODÓN COMPRIMIDO, REDONDO, DE 5/16" DE DIAMETRO. SOBRE</v>
          </cell>
          <cell r="G3093" t="str">
            <v>SBR</v>
          </cell>
        </row>
        <row r="3094">
          <cell r="E3094">
            <v>7036106</v>
          </cell>
          <cell r="F3094" t="str">
            <v>ALGODON, ESPONJA COLAGENO 3" X 4". SOBRE</v>
          </cell>
          <cell r="G3094" t="str">
            <v>SBR</v>
          </cell>
        </row>
        <row r="3095">
          <cell r="E3095">
            <v>7036107</v>
          </cell>
          <cell r="F3095" t="str">
            <v>CABLE BIPLAR Y TUBO DE IRRIGACION INTEGRADO MALLI S. JUEGO</v>
          </cell>
          <cell r="G3095" t="str">
            <v>UN</v>
          </cell>
        </row>
        <row r="3096">
          <cell r="E3096">
            <v>7036108</v>
          </cell>
          <cell r="F3096" t="str">
            <v>CATETER SHUNT DE 91CM  ±  5 CMS PARA SISTEMA HIDROCEFALIA</v>
          </cell>
          <cell r="G3096" t="str">
            <v>UN</v>
          </cell>
        </row>
        <row r="3097">
          <cell r="E3097">
            <v>7036109</v>
          </cell>
          <cell r="F3097" t="str">
            <v>CEMENTO Y DILUYENTE PARA ANEUROPLASTIC.. SET</v>
          </cell>
          <cell r="G3097" t="str">
            <v>SET</v>
          </cell>
        </row>
        <row r="3098">
          <cell r="E3098">
            <v>7036110</v>
          </cell>
          <cell r="F3098" t="str">
            <v>CEMENTO Y DILUYENTE PARA CRANEOPLASTIC.. SET</v>
          </cell>
          <cell r="G3098" t="str">
            <v>SET</v>
          </cell>
        </row>
        <row r="3099">
          <cell r="E3099">
            <v>7036111</v>
          </cell>
          <cell r="F3099" t="str">
            <v>CLIP PARA CUERO CABELLUDO RANEY. CAJA POR DOCE</v>
          </cell>
          <cell r="G3099" t="str">
            <v>UN</v>
          </cell>
        </row>
        <row r="3100">
          <cell r="E3100">
            <v>7036112</v>
          </cell>
          <cell r="F3100" t="str">
            <v>CLIP PARA CUERO CABELLUDO,  MODELO COLONIA, 10 PZS.</v>
          </cell>
          <cell r="G3100" t="str">
            <v>UN</v>
          </cell>
        </row>
        <row r="3101">
          <cell r="E3101">
            <v>7036113</v>
          </cell>
          <cell r="F3101" t="str">
            <v>CLIP TEMPORAL SUNDT, NO MAGNETICO, COMPATIBLE CON RMN, COLOR ORO, CONFIGURACION # 6, RECTO, 0.5 X 4 mm</v>
          </cell>
          <cell r="G3101" t="str">
            <v>UN</v>
          </cell>
        </row>
        <row r="3102">
          <cell r="E3102">
            <v>7036114</v>
          </cell>
          <cell r="F3102" t="str">
            <v>CLIP TEMPORAL SUNDT, NO MAGNETICO, COMPATIBLE CON RMN, COLOR ORO, CONFIGURACION # 7, ANGULADO HACIA UN LADO, 0.6 X 10 mm</v>
          </cell>
          <cell r="G3102" t="str">
            <v>UN</v>
          </cell>
        </row>
        <row r="3103">
          <cell r="E3103">
            <v>7036115</v>
          </cell>
          <cell r="F3103" t="str">
            <v>CLIP TEMPORAL SUNDT, NO MAGNETICO, COMPATIBLE CON RMN, COLOR ORO, CONFIGURACION # 7, CURVO HACIA ADELANTE, 0.6 X 9.5 mm</v>
          </cell>
          <cell r="G3103" t="str">
            <v>UN</v>
          </cell>
        </row>
        <row r="3104">
          <cell r="E3104">
            <v>7036116</v>
          </cell>
          <cell r="F3104" t="str">
            <v>CLIP TEMPORAL SUNDT, NO MAGNETICO, COMPATIBLE CON RMN, COLOR ORO, CONFIGURACION # 7, RECTO, 0.6 X 10 mm</v>
          </cell>
          <cell r="G3104" t="str">
            <v>UN</v>
          </cell>
        </row>
        <row r="3105">
          <cell r="E3105">
            <v>7036117</v>
          </cell>
          <cell r="F3105" t="str">
            <v>CLIP TEMPORAL SUNDT, NO MAGNETICO, COMPATIBLE CON RMN, COLOR ORO, CONFIGURACION # 7, RECTO, 0.6 X 15 mm</v>
          </cell>
          <cell r="G3105" t="str">
            <v>UN</v>
          </cell>
        </row>
        <row r="3106">
          <cell r="E3106">
            <v>7036118</v>
          </cell>
          <cell r="F3106" t="str">
            <v>CLIPS RANEY DE METAL PARA CUERO CABELLUDO</v>
          </cell>
          <cell r="G3106" t="str">
            <v>UN</v>
          </cell>
        </row>
        <row r="3107">
          <cell r="E3107">
            <v>7036119</v>
          </cell>
          <cell r="F3107" t="str">
            <v>COLLAR CERVICAL TIPO FILADELFIA, TALLA "S"</v>
          </cell>
          <cell r="G3107" t="str">
            <v>UN</v>
          </cell>
        </row>
        <row r="3108">
          <cell r="E3108">
            <v>7036120</v>
          </cell>
          <cell r="F3108" t="str">
            <v>CORSE DORSO LUMBAR CON BALLENAS METALICAS, TALLA XL</v>
          </cell>
          <cell r="G3108" t="str">
            <v>UN</v>
          </cell>
        </row>
        <row r="3109">
          <cell r="E3109">
            <v>7036121</v>
          </cell>
          <cell r="F3109" t="str">
            <v>CORSE EN POLIPROPILENO PARA ESCOLIOSIS DORSAL DERECHA Y LUMBAR IZQUIERDA</v>
          </cell>
          <cell r="G3109" t="str">
            <v>UN</v>
          </cell>
        </row>
        <row r="3110">
          <cell r="E3110">
            <v>7036122</v>
          </cell>
          <cell r="F3110" t="str">
            <v>CORSE LUMBO-SACRO CON BALLENAS METALICAS, TALLA "L"</v>
          </cell>
          <cell r="G3110" t="str">
            <v>UN</v>
          </cell>
        </row>
        <row r="3111">
          <cell r="E3111">
            <v>7036123</v>
          </cell>
          <cell r="F3111" t="str">
            <v>CORSE LUMBO-SACRO CON BALLENAS METALICAS, TALLA "M"</v>
          </cell>
          <cell r="G3111" t="str">
            <v>UN</v>
          </cell>
        </row>
        <row r="3112">
          <cell r="E3112">
            <v>7036124</v>
          </cell>
          <cell r="F3112" t="str">
            <v>CORSE LUMBO-SACRO CON BALLENAS METALICAS, TALLA "S"</v>
          </cell>
          <cell r="G3112" t="str">
            <v>UN</v>
          </cell>
        </row>
        <row r="3113">
          <cell r="E3113">
            <v>7036125</v>
          </cell>
          <cell r="F3113" t="str">
            <v>CORSE LUMBO-SACRO CON BALLENAS METALICAS,TALLA "XL"</v>
          </cell>
          <cell r="G3113" t="str">
            <v>UN</v>
          </cell>
        </row>
        <row r="3114">
          <cell r="E3114">
            <v>7036126</v>
          </cell>
          <cell r="F3114" t="str">
            <v>CORSE LUMBO-SACRO CON BALLENAS METALICAS,TALLA "XXL"</v>
          </cell>
          <cell r="G3114" t="str">
            <v>UN</v>
          </cell>
        </row>
        <row r="3115">
          <cell r="E3115">
            <v>7036127</v>
          </cell>
          <cell r="F3115" t="str">
            <v>CORSE TORACO-LUMBAR CON BALLENAS METALICAS, TALLA "L"</v>
          </cell>
          <cell r="G3115" t="str">
            <v>UN</v>
          </cell>
        </row>
        <row r="3116">
          <cell r="E3116">
            <v>7036128</v>
          </cell>
          <cell r="F3116" t="str">
            <v>CORSE TORACO-LUMBAR CON BALLENAS METALICAS, TALLA "M"</v>
          </cell>
          <cell r="G3116" t="str">
            <v>UN</v>
          </cell>
        </row>
        <row r="3117">
          <cell r="E3117">
            <v>7036129</v>
          </cell>
          <cell r="F3117" t="str">
            <v>CORSE TORACO-LUMBAR CON BALLENAS METALICAS, TALLA "S"</v>
          </cell>
          <cell r="G3117" t="str">
            <v>UN</v>
          </cell>
        </row>
        <row r="3118">
          <cell r="E3118">
            <v>7036130</v>
          </cell>
          <cell r="F3118" t="str">
            <v>CUBIERTA ESTERIL PARA MICROSCOPIO, MEDIDAS SEGUN MARCA Y MODELO DE EQUIPO INSTITUCIONAL</v>
          </cell>
          <cell r="G3118" t="str">
            <v>UN</v>
          </cell>
        </row>
        <row r="3119">
          <cell r="E3119">
            <v>7036131</v>
          </cell>
          <cell r="F3119" t="str">
            <v>CUCHILLA CORTANTE EN LOS LADOS, FORMA HELICOIDAL, DE 25 mm</v>
          </cell>
          <cell r="G3119" t="str">
            <v>UN</v>
          </cell>
        </row>
        <row r="3120">
          <cell r="E3120">
            <v>7036132</v>
          </cell>
          <cell r="F3120" t="str">
            <v>CUCHILLA DE ULTRA PODER DE DOS ESTRIAS EN FORMA DE HUSO, DE 1.8 X 11.0mm, PARA EL SISTEMA DE CRANEOTOMO</v>
          </cell>
          <cell r="G3120" t="str">
            <v>UN</v>
          </cell>
        </row>
        <row r="3121">
          <cell r="E3121">
            <v>7036133</v>
          </cell>
          <cell r="F3121" t="str">
            <v>CUCHILLA DE ULTRA PODER DE DOS ESTRIAS EN FORMA DE HUSO, DE 2.2 X 16.0mm, PARA EL SISTEMA DE CRANEOTOMO. SET</v>
          </cell>
          <cell r="G3121" t="str">
            <v>UN</v>
          </cell>
        </row>
        <row r="3122">
          <cell r="E3122">
            <v>7036134</v>
          </cell>
          <cell r="F3122" t="str">
            <v>CUCHILLA DE ULTRA PODER DE DOS ESTRIAS EN FORMA DE HUSO, DE 3.0 X 25.0mm PARA EL SISTEMA DE CRANEOTOMO</v>
          </cell>
          <cell r="G3122" t="str">
            <v>UN</v>
          </cell>
        </row>
        <row r="3123">
          <cell r="E3123">
            <v>7036135</v>
          </cell>
          <cell r="F3123" t="str">
            <v>CUELLO CERVICAL RIGIDO, AJUSTABLE, GRANDE, CON CIERRE VELCRO.</v>
          </cell>
          <cell r="G3123" t="str">
            <v>UN</v>
          </cell>
        </row>
        <row r="3124">
          <cell r="E3124">
            <v>7036136</v>
          </cell>
          <cell r="F3124" t="str">
            <v>CUELLO CERVICAL RIGIDO, AJUSTABLE, MEDIANO, CON CIERRE VELCRO.</v>
          </cell>
          <cell r="G3124" t="str">
            <v>UN</v>
          </cell>
        </row>
        <row r="3125">
          <cell r="E3125">
            <v>7036137</v>
          </cell>
          <cell r="F3125" t="str">
            <v>CUELLO CERVICAL RIGIDO, AJUSTABLE, PEQUEÑO, CON CIERRE VELCRO.</v>
          </cell>
          <cell r="G3125" t="str">
            <v>UN</v>
          </cell>
        </row>
        <row r="3126">
          <cell r="E3126">
            <v>7036138</v>
          </cell>
          <cell r="F3126" t="str">
            <v>CUELLO CERVICAL TIPO FILADELFIA "L".</v>
          </cell>
          <cell r="G3126" t="str">
            <v>UN</v>
          </cell>
        </row>
        <row r="3127">
          <cell r="E3127">
            <v>7036139</v>
          </cell>
          <cell r="F3127" t="str">
            <v>CUELLO CERVICAL TIPO FILADELFIA "M".</v>
          </cell>
          <cell r="G3127" t="str">
            <v>UN</v>
          </cell>
        </row>
        <row r="3128">
          <cell r="E3128">
            <v>7036140</v>
          </cell>
          <cell r="F3128" t="str">
            <v>FAJA LUMBAR SIN BARRAS TALLA "L"</v>
          </cell>
          <cell r="G3128" t="str">
            <v>UN</v>
          </cell>
        </row>
        <row r="3129">
          <cell r="E3129">
            <v>7036141</v>
          </cell>
          <cell r="F3129" t="str">
            <v>FAJA LUMBAR SIN BARRAS TALLA "M"</v>
          </cell>
          <cell r="G3129" t="str">
            <v>UN</v>
          </cell>
        </row>
        <row r="3130">
          <cell r="E3130">
            <v>7036142</v>
          </cell>
          <cell r="F3130" t="str">
            <v>FAJA LUMBAR SIN BARRAS TALLA "S"</v>
          </cell>
          <cell r="G3130" t="str">
            <v>UN</v>
          </cell>
        </row>
        <row r="3131">
          <cell r="E3131">
            <v>7036143</v>
          </cell>
          <cell r="F3131" t="str">
            <v>FAJA PARA TRACCION PELVICA TALLA L</v>
          </cell>
          <cell r="G3131" t="str">
            <v>UN</v>
          </cell>
        </row>
        <row r="3132">
          <cell r="E3132">
            <v>7036144</v>
          </cell>
          <cell r="F3132" t="str">
            <v>FAJA PARA TRACCION PELVICA TALLA M</v>
          </cell>
          <cell r="G3132" t="str">
            <v>UN</v>
          </cell>
        </row>
        <row r="3133">
          <cell r="E3133">
            <v>7036145</v>
          </cell>
          <cell r="F3133" t="str">
            <v>FAJA PARA TRACCION PELVICA TALLA S</v>
          </cell>
          <cell r="G3133" t="str">
            <v>UN</v>
          </cell>
        </row>
        <row r="3134">
          <cell r="E3134">
            <v>7036146</v>
          </cell>
          <cell r="F3134" t="str">
            <v>FAJA PARA TRACCION PELVICA TALLA XL</v>
          </cell>
          <cell r="G3134" t="str">
            <v>UN</v>
          </cell>
        </row>
        <row r="3135">
          <cell r="E3135">
            <v>7036147</v>
          </cell>
          <cell r="F3135" t="str">
            <v>FAJA PARA TRACCION PELVICA TALLA XXL.</v>
          </cell>
          <cell r="G3135" t="str">
            <v>UN</v>
          </cell>
        </row>
        <row r="3136">
          <cell r="E3136">
            <v>7036148</v>
          </cell>
          <cell r="F3136" t="str">
            <v>FRONDA PARA TRACCION CEFALICA.</v>
          </cell>
          <cell r="G3136" t="str">
            <v>UN</v>
          </cell>
        </row>
        <row r="3137">
          <cell r="E3137">
            <v>7036149</v>
          </cell>
          <cell r="F3137" t="str">
            <v>HAEMOCLIPS DE TITANIO GRANDE. CAJA DE 200</v>
          </cell>
          <cell r="G3137" t="str">
            <v>UN</v>
          </cell>
        </row>
        <row r="3138">
          <cell r="E3138">
            <v>7036150</v>
          </cell>
          <cell r="F3138" t="str">
            <v>HAEMOCLIPS DE TITANIO MEDIANO. CAJA DE 250</v>
          </cell>
          <cell r="G3138" t="str">
            <v>UN</v>
          </cell>
        </row>
        <row r="3139">
          <cell r="E3139">
            <v>7036151</v>
          </cell>
          <cell r="F3139" t="str">
            <v>HAEMOCLIPS DE TITANIO PEQUEÑO. CAJA DE 300</v>
          </cell>
          <cell r="G3139" t="str">
            <v>UN</v>
          </cell>
        </row>
        <row r="3140">
          <cell r="E3140">
            <v>7036152</v>
          </cell>
          <cell r="F3140" t="str">
            <v>HALO VEST CERVICAL</v>
          </cell>
          <cell r="G3140" t="str">
            <v>UN</v>
          </cell>
        </row>
        <row r="3141">
          <cell r="E3141">
            <v>7036153</v>
          </cell>
          <cell r="F3141" t="str">
            <v>INJERTO DE DURAMADRE BIOLOGICO DE 4 X 10 CM.</v>
          </cell>
          <cell r="G3141" t="str">
            <v>UN</v>
          </cell>
        </row>
        <row r="3142">
          <cell r="E3142">
            <v>7036154</v>
          </cell>
          <cell r="F3142" t="str">
            <v>INJERTO DE DURAMADRE BIOLOGICO DE6X 14 CM.</v>
          </cell>
          <cell r="G3142" t="str">
            <v>UN</v>
          </cell>
        </row>
        <row r="3143">
          <cell r="E3143">
            <v>7036155</v>
          </cell>
          <cell r="F3143" t="str">
            <v>LIENZO DE PRECLUDE ESPINAL DE 6.0 X 12.0 CM X 0.3 MM</v>
          </cell>
          <cell r="G3143" t="str">
            <v>UN</v>
          </cell>
        </row>
        <row r="3144">
          <cell r="E3144">
            <v>7036156</v>
          </cell>
          <cell r="F3144" t="str">
            <v>MANOMETRO PARA MEDIR PRESION DEL LIQUIDO CEFALO-  RAQUIDEO, DE TRES VIAS</v>
          </cell>
          <cell r="G3144" t="str">
            <v>UN</v>
          </cell>
        </row>
        <row r="3145">
          <cell r="E3145">
            <v>7036157</v>
          </cell>
          <cell r="F3145" t="str">
            <v>SET DE CRANEOTOMIA, QUE CONTENGA 1 BROCA CON CLUTCH, 1 CUCHILLA DE CRANEOTOMO, 1 CUCHILLA PASA ALAMBRE</v>
          </cell>
          <cell r="G3145" t="str">
            <v>SET</v>
          </cell>
        </row>
        <row r="3146">
          <cell r="E3146">
            <v>7036158</v>
          </cell>
          <cell r="F3146" t="str">
            <v>SISTEMA  DE  DERIVACION VENTRICULO PERITONIAL  PARA HIDROCEFALIA  DE PRESION  ALTA PARA  ADULTOS... SET</v>
          </cell>
          <cell r="G3146" t="str">
            <v>SET</v>
          </cell>
        </row>
        <row r="3147">
          <cell r="E3147">
            <v>7036159</v>
          </cell>
          <cell r="F3147" t="str">
            <v>SISTEMA  DE  DERIVACION VENTRICULO PERITONIAL  PARA HIDROCEFALIA  DE PRESION BAJA PARA  ADULTOS. SET</v>
          </cell>
          <cell r="G3147" t="str">
            <v>SET</v>
          </cell>
        </row>
        <row r="3148">
          <cell r="E3148">
            <v>7036160</v>
          </cell>
          <cell r="F3148" t="str">
            <v>SISTEMA CERRADO 5° VENTRICULO PARA MONITOREO PIC Y DRENAJE EXTERNO, LIBRE DE LATEX,  QUE INCLUYA CATETER DE PUNCIÓN</v>
          </cell>
          <cell r="G3148" t="str">
            <v>SET</v>
          </cell>
        </row>
        <row r="3149">
          <cell r="E3149">
            <v>7036161</v>
          </cell>
          <cell r="F3149" t="str">
            <v>SISTEMA DE DERIVACION VENTRICULO PERITONIAL PARA HIDROCEFALIA DE PRESION MEDIA PARA ADULTO.. SET</v>
          </cell>
          <cell r="G3149" t="str">
            <v>SET</v>
          </cell>
        </row>
        <row r="3150">
          <cell r="E3150">
            <v>7036162</v>
          </cell>
          <cell r="F3150" t="str">
            <v>SISTEMA DE HIDROCEFALIA DE BAJA PRESION,VENTRICULO PERITONEAL, PARA NIÑOS. SET</v>
          </cell>
          <cell r="G3150" t="str">
            <v>SET</v>
          </cell>
        </row>
        <row r="3151">
          <cell r="E3151">
            <v>7036163</v>
          </cell>
          <cell r="F3151" t="str">
            <v>UNIDADES DE NEUROSUCCION DE 100-150 mL DE CAPACIDAD CON SEGURO DE 7MM(DRENAJE DE GRAVEDAD)</v>
          </cell>
          <cell r="G3151" t="str">
            <v>UN</v>
          </cell>
        </row>
        <row r="3152">
          <cell r="E3152">
            <v>7037110</v>
          </cell>
          <cell r="F3152" t="str">
            <v>BANDA SILICONA SOLIDA 2.5MM. CAJA</v>
          </cell>
          <cell r="G3152" t="str">
            <v>UN</v>
          </cell>
        </row>
        <row r="3153">
          <cell r="E3153">
            <v>7037111</v>
          </cell>
          <cell r="F3153" t="str">
            <v>BANDA SILICONA SOLIDA 4MM. CAJA</v>
          </cell>
          <cell r="G3153" t="str">
            <v>UN</v>
          </cell>
        </row>
        <row r="3154">
          <cell r="E3154">
            <v>7037112</v>
          </cell>
          <cell r="F3154" t="str">
            <v>CARTUCHO B PARA INYECTOR DE PIEZA DE MANO PARA COLOCACION DE LIO PLEGABLE</v>
          </cell>
          <cell r="G3154" t="str">
            <v>UN</v>
          </cell>
        </row>
        <row r="3155">
          <cell r="E3155">
            <v>7037113</v>
          </cell>
          <cell r="F3155" t="str">
            <v>CASSETT PARA EQUIPO PHACO EMULSIFICADOR, MARCA Y MODELO DE USO INSTITUCIONAL</v>
          </cell>
          <cell r="G3155" t="str">
            <v>UN</v>
          </cell>
        </row>
        <row r="3156">
          <cell r="E3156">
            <v>7037114</v>
          </cell>
          <cell r="F3156" t="str">
            <v>CASSETT PARA VITREOFAGO, MARCA Y MODELO DE EQUIPO INSTITUCIONAL</v>
          </cell>
          <cell r="G3156" t="str">
            <v>UN</v>
          </cell>
        </row>
        <row r="3157">
          <cell r="E3157">
            <v>7037115</v>
          </cell>
          <cell r="F3157" t="str">
            <v>CHOPPER PARA FACOEMULSIFICACION</v>
          </cell>
          <cell r="G3157" t="str">
            <v>UN</v>
          </cell>
        </row>
        <row r="3158">
          <cell r="E3158">
            <v>7037116</v>
          </cell>
          <cell r="F3158" t="str">
            <v>CUCHILLETE DE 3.0 # 3.2 mm</v>
          </cell>
          <cell r="G3158" t="str">
            <v>UN</v>
          </cell>
        </row>
        <row r="3159">
          <cell r="E3159">
            <v>7037117</v>
          </cell>
          <cell r="F3159" t="str">
            <v>CUCHILLETE PARA TUNELIZACION EN PHACO</v>
          </cell>
          <cell r="G3159" t="str">
            <v>UN</v>
          </cell>
        </row>
        <row r="3160">
          <cell r="E3160">
            <v>7037118</v>
          </cell>
          <cell r="F3160" t="str">
            <v>ESPONJA DE SILICON VARIAS MEDIDAS</v>
          </cell>
          <cell r="G3160" t="str">
            <v>UN</v>
          </cell>
        </row>
        <row r="3161">
          <cell r="E3161">
            <v>7037119</v>
          </cell>
          <cell r="F3161" t="str">
            <v>EXOPLANTE DE SILICON PARA IMPLANTE DE RETINA # 5</v>
          </cell>
          <cell r="G3161" t="str">
            <v>UN</v>
          </cell>
        </row>
        <row r="3162">
          <cell r="E3162">
            <v>7037120</v>
          </cell>
          <cell r="F3162" t="str">
            <v>EXOPLANTE DE SILICON PARA IMPLANTE DE RETINA # 7.2</v>
          </cell>
          <cell r="G3162" t="str">
            <v>UN</v>
          </cell>
        </row>
        <row r="3163">
          <cell r="E3163">
            <v>7037121</v>
          </cell>
          <cell r="F3163" t="str">
            <v>GAS DE USO INTRAOCULAR PERFLUROPROPANO (C3F8). CILINDRO PARA ZONAMETROPOLITANA CON FLETE</v>
          </cell>
          <cell r="G3163" t="str">
            <v>UN</v>
          </cell>
        </row>
        <row r="3164">
          <cell r="E3164">
            <v>7037122</v>
          </cell>
          <cell r="F3164" t="str">
            <v>LANCETA 15° PARA REALIZAR EXTRACCION DE CATARATAS PARA FACOEMULSIFICACION</v>
          </cell>
          <cell r="G3164" t="str">
            <v>UN</v>
          </cell>
        </row>
        <row r="3165">
          <cell r="E3165">
            <v>7037123</v>
          </cell>
          <cell r="F3165" t="str">
            <v>LANCETA PARA ESCLEROTOMIA 19 GAUGE. CAJA</v>
          </cell>
          <cell r="G3165" t="str">
            <v>UN</v>
          </cell>
        </row>
        <row r="3166">
          <cell r="E3166">
            <v>7037124</v>
          </cell>
          <cell r="F3166" t="str">
            <v>LANCETA PARA ESCLEROTOMIA 20 GAUGE. CAJA</v>
          </cell>
          <cell r="G3166" t="str">
            <v>UN</v>
          </cell>
        </row>
        <row r="3167">
          <cell r="E3167">
            <v>7037125</v>
          </cell>
          <cell r="F3167" t="str">
            <v>PIEZA DE MANO CON IRRIGACION Y ASPIRACION PARA VITRECTOMIA ANTERIOR</v>
          </cell>
          <cell r="G3167" t="str">
            <v>UN</v>
          </cell>
        </row>
        <row r="3168">
          <cell r="E3168">
            <v>7037126</v>
          </cell>
          <cell r="F3168" t="str">
            <v>PIEZA DE MANO IRRIGACION # ASPIRACION PARA PHACO</v>
          </cell>
          <cell r="G3168" t="str">
            <v>UN</v>
          </cell>
        </row>
        <row r="3169">
          <cell r="E3169">
            <v>7037127</v>
          </cell>
          <cell r="F3169" t="str">
            <v>PIEZA DE MANO TIPO ESTANDAR PARA PHACO</v>
          </cell>
          <cell r="G3169" t="str">
            <v>UN</v>
          </cell>
        </row>
        <row r="3170">
          <cell r="E3170">
            <v>7037128</v>
          </cell>
          <cell r="F3170" t="str">
            <v>PIEZA DE MANO TIPO MACKOOL PARA PHACO</v>
          </cell>
          <cell r="G3170" t="str">
            <v>UN</v>
          </cell>
        </row>
        <row r="3171">
          <cell r="E3171">
            <v>7037129</v>
          </cell>
          <cell r="F3171" t="str">
            <v>PINZA PARA TAPON ESCLERAL</v>
          </cell>
          <cell r="G3171" t="str">
            <v>UN</v>
          </cell>
        </row>
        <row r="3172">
          <cell r="E3172">
            <v>7037130</v>
          </cell>
          <cell r="F3172" t="str">
            <v>PUNTA (TIP) IRRIGACION # ASPIRACION PARA PIEZA DE MANO PARA PHACO</v>
          </cell>
          <cell r="G3172" t="str">
            <v>UN</v>
          </cell>
        </row>
        <row r="3173">
          <cell r="E3173">
            <v>7037131</v>
          </cell>
          <cell r="F3173" t="str">
            <v>PUNTA PARA PHACO EMULSIFICACION DE CATARATAS TIPO ESTÁNDAR, FLAIRE ABS A 30°</v>
          </cell>
          <cell r="G3173" t="str">
            <v>UN</v>
          </cell>
        </row>
        <row r="3174">
          <cell r="E3174">
            <v>7037132</v>
          </cell>
          <cell r="F3174" t="str">
            <v>PUNTA PARA PHACO EMULSIFICACION DE CATARATAS TIPO ESTÁNDAR, KELMAN A 30°</v>
          </cell>
          <cell r="G3174" t="str">
            <v>UN</v>
          </cell>
        </row>
        <row r="3175">
          <cell r="E3175">
            <v>7037133</v>
          </cell>
          <cell r="F3175" t="str">
            <v>PUNTA PARA PHACO EMULSIFICACION DE CATARATAS TIPO MACKOLL, FLAIRE ABSA 30</v>
          </cell>
          <cell r="G3175" t="str">
            <v>UN</v>
          </cell>
        </row>
        <row r="3176">
          <cell r="E3176">
            <v>7037134</v>
          </cell>
          <cell r="F3176" t="str">
            <v>PUNTA PARA PHACO EMULSIFICACION DE CATARATAS TIPO MACKOLL, KELMAN A 30°</v>
          </cell>
          <cell r="G3176" t="str">
            <v>UN</v>
          </cell>
        </row>
        <row r="3177">
          <cell r="E3177">
            <v>7037135</v>
          </cell>
          <cell r="F3177" t="str">
            <v>PUNTA PARA VITRECTOMIA ANTERIOR CON IRRIGACIÓN COMPATIBLE CON MARCA YMODELO DE EQUIPO INSTITUCIONAL</v>
          </cell>
          <cell r="G3177" t="str">
            <v>UN</v>
          </cell>
        </row>
        <row r="3178">
          <cell r="E3178">
            <v>7037136</v>
          </cell>
          <cell r="F3178" t="str">
            <v>SET DE INTUBACION LAGRIMAL</v>
          </cell>
          <cell r="G3178" t="str">
            <v>UN</v>
          </cell>
        </row>
        <row r="3179">
          <cell r="E3179">
            <v>7037137</v>
          </cell>
          <cell r="F3179" t="str">
            <v>SILICONA ACEITE INTRAOCULAR, PESO MOLECULAR DE 1000 CENTISTOCK, FRASCODE 7.5 ML</v>
          </cell>
          <cell r="G3179" t="str">
            <v>UN</v>
          </cell>
        </row>
        <row r="3180">
          <cell r="E3180">
            <v>7037138</v>
          </cell>
          <cell r="F3180" t="str">
            <v>SISTEMA DE CONTROL DE FLUIDOS PARA LA APLICACIÓN DE SILICON INTRAOCULAR</v>
          </cell>
          <cell r="G3180" t="str">
            <v>UN</v>
          </cell>
        </row>
        <row r="3181">
          <cell r="E3181">
            <v>7037139</v>
          </cell>
          <cell r="F3181" t="str">
            <v>SISTEMA DE INTERCAMBIO LIQUIDO AIRE PARA USO EN VITREOFAGO MARCA Y MODELO DE USO INSTITUCIONAL. QUE INCLUYA TUBOS VGFI, TUBO PREENSAMBLADO DE INTERCAMBIO AIRE LIQUIDO CON VALVULA DE CONTROL INCLUIDA Y VALVULA ADICIONAL. SET</v>
          </cell>
          <cell r="G3181" t="str">
            <v>SET</v>
          </cell>
        </row>
        <row r="3182">
          <cell r="E3182">
            <v>7037140</v>
          </cell>
          <cell r="F3182" t="str">
            <v>SONDA ACCURUS 1500 CORTES POR MINUTO CON SISTEMA DE ACCESORIOS PARA VITRECTOMIA POSTERIOR. PAQUETE</v>
          </cell>
          <cell r="G3182" t="str">
            <v>UN</v>
          </cell>
        </row>
        <row r="3183">
          <cell r="E3183">
            <v>7037141</v>
          </cell>
          <cell r="F3183" t="str">
            <v>SONDA IMNOVIT CON SISTEMA DE ACCESORIOS PARA VITRECTOMIA POSTERIOR. PAQUETE</v>
          </cell>
          <cell r="G3183" t="str">
            <v>UN</v>
          </cell>
        </row>
        <row r="3184">
          <cell r="E3184">
            <v>7037142</v>
          </cell>
          <cell r="F3184" t="str">
            <v>TAPON DE SILICON DE 0.4 mm</v>
          </cell>
          <cell r="G3184" t="str">
            <v>UN</v>
          </cell>
        </row>
        <row r="3185">
          <cell r="E3185">
            <v>7037143</v>
          </cell>
          <cell r="F3185" t="str">
            <v>TAPON DE SILICON DE 0.5 mm</v>
          </cell>
          <cell r="G3185" t="str">
            <v>UN</v>
          </cell>
        </row>
        <row r="3186">
          <cell r="E3186">
            <v>7037144</v>
          </cell>
          <cell r="F3186" t="str">
            <v>TAPON DE SILICON DE 0.6 mm</v>
          </cell>
          <cell r="G3186" t="str">
            <v>UN</v>
          </cell>
        </row>
        <row r="3187">
          <cell r="E3187">
            <v>7037145</v>
          </cell>
          <cell r="F3187" t="str">
            <v>TAPON DE SILICON DE 0.7 mm</v>
          </cell>
          <cell r="G3187" t="str">
            <v>UN</v>
          </cell>
        </row>
        <row r="3188">
          <cell r="E3188">
            <v>7037146</v>
          </cell>
          <cell r="F3188" t="str">
            <v>TAPON ESCLERAL 19 GAUGE</v>
          </cell>
          <cell r="G3188" t="str">
            <v>UN</v>
          </cell>
        </row>
        <row r="3189">
          <cell r="E3189">
            <v>7037147</v>
          </cell>
          <cell r="F3189" t="str">
            <v>TAPON ESCLERAL 20 GAUGE</v>
          </cell>
          <cell r="G3189" t="str">
            <v>UN</v>
          </cell>
        </row>
        <row r="3190">
          <cell r="E3190">
            <v>7037148</v>
          </cell>
          <cell r="F3190" t="str">
            <v>TUBO DE SILICON DE 0.25 A 0.035 MM</v>
          </cell>
          <cell r="G3190" t="str">
            <v>UN</v>
          </cell>
        </row>
        <row r="3191">
          <cell r="E3191">
            <v>7037149</v>
          </cell>
          <cell r="F3191" t="str">
            <v>VALVULA DE DRENAJE DE HUMOR ACUOSO, DE SILICON PARA CIRUGIA DE GLAUCOMA</v>
          </cell>
          <cell r="G3191" t="str">
            <v>UN</v>
          </cell>
        </row>
        <row r="3192">
          <cell r="E3192">
            <v>7037150</v>
          </cell>
          <cell r="F3192" t="str">
            <v>PUNTA RECTA PARA ENDOLASER DE 23 GAUGE, ESTERIL, COMPATIBLE CON EQUIPODE FOTOCOAGULACION MARCA Y MODELO DE USO INSTITUCIONAL</v>
          </cell>
          <cell r="G3192" t="str">
            <v>UN</v>
          </cell>
        </row>
        <row r="3193">
          <cell r="E3193">
            <v>7037151</v>
          </cell>
          <cell r="F3193" t="str">
            <v>PIEZA DE MANO IRRIGACION ASPIRACION PARA PHACO, RECTA</v>
          </cell>
          <cell r="G3193" t="str">
            <v>UN</v>
          </cell>
        </row>
        <row r="3194">
          <cell r="E3194">
            <v>7037152</v>
          </cell>
          <cell r="F3194" t="str">
            <v>PIEZA DE MANO IRRIGACION ASPIRACION PARA PHACO, CURVA</v>
          </cell>
          <cell r="G3194" t="str">
            <v>UN</v>
          </cell>
        </row>
        <row r="3195">
          <cell r="E3195">
            <v>7038050</v>
          </cell>
          <cell r="F3195" t="str">
            <v>ALMOHADA ABDUCTORA DE CADERA</v>
          </cell>
          <cell r="G3195" t="str">
            <v>UN</v>
          </cell>
        </row>
        <row r="3196">
          <cell r="E3196">
            <v>7038051</v>
          </cell>
          <cell r="F3196" t="str">
            <v>CABEZA FEMORAL DE BANCO</v>
          </cell>
          <cell r="G3196" t="str">
            <v>UN</v>
          </cell>
        </row>
        <row r="3197">
          <cell r="E3197">
            <v>7038052</v>
          </cell>
          <cell r="F3197" t="str">
            <v>CATETER DE IRRIGACION PARA ADAPTAR A BOMBA DE ARTROSCOPIA</v>
          </cell>
          <cell r="G3197" t="str">
            <v>UN</v>
          </cell>
        </row>
        <row r="3198">
          <cell r="E3198">
            <v>7038053</v>
          </cell>
          <cell r="F3198" t="str">
            <v>CATETER DE IRRIGACION POR GRAVEDAD PARA ARTROSCOPIA</v>
          </cell>
          <cell r="G3198" t="str">
            <v>UN</v>
          </cell>
        </row>
        <row r="3199">
          <cell r="E3199">
            <v>7038054</v>
          </cell>
          <cell r="F3199" t="str">
            <v>CEMENTO EN POLVO PARA PROTESIS EN ORTOPEDIA. CAJA</v>
          </cell>
          <cell r="G3199" t="str">
            <v>UN</v>
          </cell>
        </row>
        <row r="3200">
          <cell r="E3200">
            <v>7038055</v>
          </cell>
          <cell r="F3200" t="str">
            <v>CERA PARA HUESOS, ESTERIL.. CAJA</v>
          </cell>
          <cell r="G3200" t="str">
            <v>UN</v>
          </cell>
        </row>
        <row r="3201">
          <cell r="E3201">
            <v>7038056</v>
          </cell>
          <cell r="F3201" t="str">
            <v>ESPACIADOR PARA CIRUGIA DE REVISION DE PROTESIS DE CADERA, CONANTIBIÓTICO. DIFERENTES MEDIDAS.</v>
          </cell>
          <cell r="G3201" t="str">
            <v>UN</v>
          </cell>
        </row>
        <row r="3202">
          <cell r="E3202">
            <v>7038057</v>
          </cell>
          <cell r="F3202" t="str">
            <v>ESPACIADOR PARA CIRUGIA DE REVISION DE PROTESIS RODILLA, CONANTIBIOTICO. DIFERENTES MEDIDAS.</v>
          </cell>
          <cell r="G3202" t="str">
            <v>UN</v>
          </cell>
        </row>
        <row r="3203">
          <cell r="E3203">
            <v>7038058</v>
          </cell>
          <cell r="F3203" t="str">
            <v>FERULA DE BOHLER-BRAUN MODIFICADA, PARA ADULTO.</v>
          </cell>
          <cell r="G3203" t="str">
            <v>UN</v>
          </cell>
        </row>
        <row r="3204">
          <cell r="E3204">
            <v>7038059</v>
          </cell>
          <cell r="F3204" t="str">
            <v>FERULA DE THOMAS, PARA PIERNA DE ADULTO, ARO COMPLETO</v>
          </cell>
          <cell r="G3204" t="str">
            <v>UN</v>
          </cell>
        </row>
        <row r="3205">
          <cell r="E3205">
            <v>7038060</v>
          </cell>
          <cell r="F3205" t="str">
            <v>FRESA METALICA PARA TALADRAR TUNEL FEMORAL EN REPARO ARTROSCOPICO DELIGAMENTO CRUZADO ANTERIOR DE RODILLA, DE 10 MM X 9"</v>
          </cell>
          <cell r="G3205" t="str">
            <v>UN</v>
          </cell>
        </row>
        <row r="3206">
          <cell r="E3206">
            <v>7038061</v>
          </cell>
          <cell r="F3206" t="str">
            <v>GUIA FEMORAL 2.4 MM 12 O 18 " CON OJAL PARA EQUIPO LIGAMENTO CRUZADO ANTERIOR</v>
          </cell>
          <cell r="G3206" t="str">
            <v>UN</v>
          </cell>
        </row>
        <row r="3207">
          <cell r="E3207">
            <v>7038062</v>
          </cell>
          <cell r="F3207" t="str">
            <v>GUIA FEMORAL CON AGUJERO PIN 2.4 MM DE 12 O 18 " PARA EQUIPO LIGAMENTO FEMORAL ANTERIOR</v>
          </cell>
          <cell r="G3207" t="str">
            <v>UN</v>
          </cell>
        </row>
        <row r="3208">
          <cell r="E3208">
            <v>7038063</v>
          </cell>
          <cell r="F3208" t="str">
            <v>HUESO CORTICAL DE 20 CM.</v>
          </cell>
          <cell r="G3208" t="str">
            <v>UN</v>
          </cell>
        </row>
        <row r="3209">
          <cell r="E3209">
            <v>7038064</v>
          </cell>
          <cell r="F3209" t="str">
            <v>INJERTO OSEO ESPONJOSO HUMANO EN CHIPS, PRESENTACION DE 20 CC</v>
          </cell>
          <cell r="G3209" t="str">
            <v>FRA</v>
          </cell>
        </row>
        <row r="3210">
          <cell r="E3210">
            <v>7038065</v>
          </cell>
          <cell r="F3210" t="str">
            <v>INJERTO OSEO ESPONJOSO HUMANO EN TROZOS CUADRADOS DE MAS O MENOS 1 CM. X LADO</v>
          </cell>
          <cell r="G3210" t="str">
            <v>UN</v>
          </cell>
        </row>
        <row r="3211">
          <cell r="E3211">
            <v>7038066</v>
          </cell>
          <cell r="F3211" t="str">
            <v>JUEGO UNIVERSAL DE TUBOS FLEXIBLES PARA ARTROSCOPIA (8-15 MM)</v>
          </cell>
          <cell r="G3211" t="str">
            <v>SET</v>
          </cell>
        </row>
        <row r="3212">
          <cell r="E3212">
            <v>7038067</v>
          </cell>
          <cell r="F3212" t="str">
            <v>LOCALIZADOR FEMORAL (10 MM/2 MM) PARA EQUIPO LIGAMENTO CRUZADO ANTERIOR</v>
          </cell>
          <cell r="G3212" t="str">
            <v>UN</v>
          </cell>
        </row>
        <row r="3213">
          <cell r="E3213">
            <v>7038068</v>
          </cell>
          <cell r="F3213" t="str">
            <v>LOCALIZADOR FEMORAL (11 MM/2 MM) PARA EQUIPO LIGAMENTO CRUZADO ANTERIOR</v>
          </cell>
          <cell r="G3213" t="str">
            <v>UN</v>
          </cell>
        </row>
        <row r="3214">
          <cell r="E3214">
            <v>7038069</v>
          </cell>
          <cell r="F3214" t="str">
            <v>LOCALIZADOR TUNEL FEMORAL PARA EQUIPO LIGAMENTO CRUZADO ANTERIOR</v>
          </cell>
          <cell r="G3214" t="str">
            <v>UN</v>
          </cell>
        </row>
        <row r="3215">
          <cell r="E3215">
            <v>7038070</v>
          </cell>
          <cell r="F3215" t="str">
            <v>MALLA DE ACERO INOXIDABLE, PARA SOPORTE DE INJERTO ÓSEO, EN CIRUGÍA DEREVISIÓN DE CADERA Y RODILLA. DIFERENTES MEDIDAS.</v>
          </cell>
          <cell r="G3215" t="str">
            <v>UN</v>
          </cell>
        </row>
        <row r="3216">
          <cell r="E3216">
            <v>7038071</v>
          </cell>
          <cell r="F3216" t="str">
            <v>PUNTA DESECHABLE PARA RASURADOR, PARA CARTILAGO. SEGUN A MARCA Y MODELO DE EQUIPO INSTITUCIONAL</v>
          </cell>
          <cell r="G3216" t="str">
            <v>UN</v>
          </cell>
        </row>
        <row r="3217">
          <cell r="E3217">
            <v>7038072</v>
          </cell>
          <cell r="F3217" t="str">
            <v>PUNTA DESECHABLE PARA RASURADOR, PARA HUESO, DE 3.5 A 4.5 MM DE DIAMETRO. SEGUN A MARCA Y MODELO DE EQUIPO INSTITUCIONAL</v>
          </cell>
          <cell r="G3217" t="str">
            <v>UN</v>
          </cell>
        </row>
        <row r="3218">
          <cell r="E3218">
            <v>7038073</v>
          </cell>
          <cell r="F3218" t="str">
            <v>PUNTA DESECHABLE PARA RASURADOR, PARA MENISCO, DE 3.5 A 4.5 MM DE DIAMETRO. SEGUN MARCA Y MODELO DE EQUIPO INSTITUCIONAL</v>
          </cell>
          <cell r="G3218" t="str">
            <v>UN</v>
          </cell>
        </row>
        <row r="3219">
          <cell r="E3219">
            <v>7038074</v>
          </cell>
          <cell r="F3219" t="str">
            <v>PUNTA DESECHABLE PARA RASURADOR, PARA TEJIDO SINOVIAL. SEGUN MARCA Y MODELO DE EQUIPO INSTITUCIONAL</v>
          </cell>
          <cell r="G3219" t="str">
            <v>UN</v>
          </cell>
        </row>
        <row r="3220">
          <cell r="E3220">
            <v>7038075</v>
          </cell>
          <cell r="F3220" t="str">
            <v>RODILLERA PREFABRICADA EN NEOPRENE, CON BARRAS LATERALES DE ALUMINIO,CON SUJETADORES EN VELCRO, QUE PERMITA MOVIMIENTO DE FLEXION -EXTENSION</v>
          </cell>
          <cell r="G3220" t="str">
            <v>UN</v>
          </cell>
        </row>
        <row r="3221">
          <cell r="E3221">
            <v>7038076</v>
          </cell>
          <cell r="F3221" t="str">
            <v>TIRADEDOS CON MAYA DE ALAMBRE PARA LOS 5 DEDOS</v>
          </cell>
          <cell r="G3221" t="str">
            <v>UN</v>
          </cell>
        </row>
        <row r="3222">
          <cell r="E3222">
            <v>7038077</v>
          </cell>
          <cell r="F3222" t="str">
            <v>TORNILLO CANULADO DE VARIAS MEDIDAS</v>
          </cell>
          <cell r="G3222" t="str">
            <v>UN</v>
          </cell>
        </row>
        <row r="3223">
          <cell r="E3223">
            <v>7038078</v>
          </cell>
          <cell r="F3223" t="str">
            <v>VENDA DE HULE PARA TORNIQUETE 3" X 10 YARDAS, TIPO SMARSH.</v>
          </cell>
          <cell r="G3223" t="str">
            <v>UN</v>
          </cell>
        </row>
        <row r="3224">
          <cell r="E3224">
            <v>7038079</v>
          </cell>
          <cell r="F3224" t="str">
            <v>VENDA DE YESO, SECADO RAPIDO (NO  MAYOR DE 15 MIN.), 8" X 5 YARDAS.</v>
          </cell>
          <cell r="G3224" t="str">
            <v>UN</v>
          </cell>
        </row>
        <row r="3225">
          <cell r="E3225">
            <v>7038080</v>
          </cell>
          <cell r="F3225" t="str">
            <v>VENDA DE YESO, SECADO RAPIDO (NO MAYOR DE 15 MIN.), 2" X 5 YARDAS.</v>
          </cell>
          <cell r="G3225" t="str">
            <v>UN</v>
          </cell>
        </row>
        <row r="3226">
          <cell r="E3226">
            <v>7038081</v>
          </cell>
          <cell r="F3226" t="str">
            <v>VENDA DE YESO, SECADO RAPIDO (NO MAYOR DE 15 MIN.), 4" X 5 YARDAS.</v>
          </cell>
          <cell r="G3226" t="str">
            <v>UN</v>
          </cell>
        </row>
        <row r="3227">
          <cell r="E3227">
            <v>7038082</v>
          </cell>
          <cell r="F3227" t="str">
            <v>VENDA DE YESO, SECADO RAPIDO (NO MAYOR DE 15 MIN.), 6" X 5 YARDAS.</v>
          </cell>
          <cell r="G3227" t="str">
            <v>UN</v>
          </cell>
        </row>
        <row r="3228">
          <cell r="E3228">
            <v>7038083</v>
          </cell>
          <cell r="F3228" t="str">
            <v>VENDA STOKINETE DE 2" X 25 YARDAS.</v>
          </cell>
          <cell r="G3228" t="str">
            <v>UN</v>
          </cell>
        </row>
        <row r="3229">
          <cell r="E3229">
            <v>7038084</v>
          </cell>
          <cell r="F3229" t="str">
            <v>VENDA STOKINETE DE 4" X 25 YARDAS.</v>
          </cell>
          <cell r="G3229" t="str">
            <v>UN</v>
          </cell>
        </row>
        <row r="3230">
          <cell r="E3230">
            <v>7038085</v>
          </cell>
          <cell r="F3230" t="str">
            <v>VENDA STOKINETE DE 6" X 25 YARDAS.</v>
          </cell>
          <cell r="G3230" t="str">
            <v>UN</v>
          </cell>
        </row>
        <row r="3231">
          <cell r="E3231">
            <v>7038086</v>
          </cell>
          <cell r="F3231" t="str">
            <v>VENDA STOKINETE DE 8" X 25 YARDAS.</v>
          </cell>
          <cell r="G3231" t="str">
            <v>UN</v>
          </cell>
        </row>
        <row r="3232">
          <cell r="E3232">
            <v>7038087</v>
          </cell>
          <cell r="F3232" t="str">
            <v>VENDAJE EN "8" PARA HOMBROS, TALLA L</v>
          </cell>
          <cell r="G3232" t="str">
            <v>UN</v>
          </cell>
        </row>
        <row r="3233">
          <cell r="E3233">
            <v>7038088</v>
          </cell>
          <cell r="F3233" t="str">
            <v>VENDAS DE FIBRA DE VIDRIO DE 4" DE ANCHO PARA TRATAMIENTO DE FRACTURA</v>
          </cell>
          <cell r="G3233" t="str">
            <v>UN</v>
          </cell>
        </row>
        <row r="3234">
          <cell r="E3234">
            <v>7038089</v>
          </cell>
          <cell r="F3234" t="str">
            <v>VENDAS DE FIBRA DE VIDRIO DE 5" ANCHO, PARA TRATAMIENTO DE FRACTURA</v>
          </cell>
          <cell r="G3234" t="str">
            <v>UN</v>
          </cell>
        </row>
        <row r="3235">
          <cell r="E3235">
            <v>7038090</v>
          </cell>
          <cell r="F3235" t="str">
            <v>VENDAS DE FIBRA DE VIDRIO DE 6" ANCHO, PARA TRATAMIENTO DE FRACTURA</v>
          </cell>
          <cell r="G3235" t="str">
            <v>UN</v>
          </cell>
        </row>
        <row r="3236">
          <cell r="E3236">
            <v>7040004</v>
          </cell>
          <cell r="F3236" t="str">
            <v>CONCENTRADO DE ACETATO PARA HEMODIALISIS</v>
          </cell>
          <cell r="G3236" t="str">
            <v>GALON</v>
          </cell>
        </row>
        <row r="3237">
          <cell r="E3237">
            <v>7040006</v>
          </cell>
          <cell r="F3237" t="str">
            <v>CONECTOR O ADAPTADOR CIRCULAR A LINEA DE TRANSFERENCIA, PARA CATETER BLANDO DE DIALISIS PERITONEAL</v>
          </cell>
          <cell r="G3237" t="str">
            <v>C/U</v>
          </cell>
        </row>
        <row r="3238">
          <cell r="E3238">
            <v>7040015</v>
          </cell>
          <cell r="F3238" t="str">
            <v>TAPON PARA CATETER BLANDO DE DIALISIS PERITONEAL</v>
          </cell>
          <cell r="G3238" t="str">
            <v>C/U</v>
          </cell>
        </row>
        <row r="3239">
          <cell r="E3239">
            <v>7040020</v>
          </cell>
          <cell r="F3239" t="str">
            <v>ASA DE ALAMBRE PARA AMIGDALOTOMO. CAJA POR DOCE</v>
          </cell>
          <cell r="G3239" t="str">
            <v>UN</v>
          </cell>
        </row>
        <row r="3240">
          <cell r="E3240">
            <v>7040021</v>
          </cell>
          <cell r="F3240" t="str">
            <v>CANULA DE TRAQUEOSTOMIA METALICA # 11</v>
          </cell>
          <cell r="G3240" t="str">
            <v>UN</v>
          </cell>
        </row>
        <row r="3241">
          <cell r="E3241">
            <v>7040022</v>
          </cell>
          <cell r="F3241" t="str">
            <v>CANULA DE TRAQUEOSTOMIA METALICA # 11</v>
          </cell>
          <cell r="G3241" t="str">
            <v>UN</v>
          </cell>
        </row>
        <row r="3242">
          <cell r="E3242">
            <v>7040023</v>
          </cell>
          <cell r="F3242" t="str">
            <v>CANULA DE TRAQUEOSTOMIA METALICA, FENESTRADA # 10</v>
          </cell>
          <cell r="G3242" t="str">
            <v>UN</v>
          </cell>
        </row>
        <row r="3243">
          <cell r="E3243">
            <v>7040024</v>
          </cell>
          <cell r="F3243" t="str">
            <v>CANULA DE TRAQUEOSTOMIA METALICA, FENESTRADA # 6</v>
          </cell>
          <cell r="G3243" t="str">
            <v>UN</v>
          </cell>
        </row>
        <row r="3244">
          <cell r="E3244">
            <v>7040025</v>
          </cell>
          <cell r="F3244" t="str">
            <v>CANULA DE TRAQUEOSTOMIA METALICA, FENESTRADA # 8</v>
          </cell>
          <cell r="G3244" t="str">
            <v>UN</v>
          </cell>
        </row>
        <row r="3245">
          <cell r="E3245">
            <v>7040026</v>
          </cell>
          <cell r="F3245" t="str">
            <v>CANULA PARA TRAQUEOTOMIA DE 12 MM</v>
          </cell>
          <cell r="G3245" t="str">
            <v>UN</v>
          </cell>
        </row>
        <row r="3246">
          <cell r="E3246">
            <v>7040027</v>
          </cell>
          <cell r="F3246" t="str">
            <v>CANULA PARA TRAQUEOTOMIA DE MATERIAL NO FLEXIBLE  CON BALON DE ALTO CONTENIDO Y BAJA PRESION DE 10 mm DIAMETRO INTERNO, CON ENDOCANULA Y MANDRIL, ESTERIL, DESCARTABLE.</v>
          </cell>
          <cell r="G3246" t="str">
            <v>UN</v>
          </cell>
        </row>
        <row r="3247">
          <cell r="E3247">
            <v>7040028</v>
          </cell>
          <cell r="F3247" t="str">
            <v>CANULA PARA TRAQUEOTOMIA DE MATERIAL NO FLEXIBLE  CON BALON DE ALTO CONTENIDO Y BAJA PRESION DE 8 mm DIAMETRO INTERNO, CON ENDOCANULA Y MANDRIL, ESTERIL, DESCARTABLE.</v>
          </cell>
          <cell r="G3247" t="str">
            <v>UN</v>
          </cell>
        </row>
        <row r="3248">
          <cell r="E3248">
            <v>7040029</v>
          </cell>
          <cell r="F3248" t="str">
            <v>CANULA PARA TRAQUEOTOMIA DE MATERIAL NO FLEXIBLE  CON BALON DE ALTO CONTENIDO Y BAJA PRESION DE 9 mm DIAMETRO INTERNO, CON ENDOCANULA Y MANDRIL, ESTERIL, DESCARTABLE.</v>
          </cell>
          <cell r="G3248" t="str">
            <v>UN</v>
          </cell>
        </row>
        <row r="3249">
          <cell r="E3249">
            <v>7040030</v>
          </cell>
          <cell r="F3249" t="str">
            <v>CANULA PLASTICA DE TRAQUEOSTOMIA # 10, FENESTRADA, CON ADAPTADORES MULTIPLES PARA OXIGENO TERAPIA, OCLUSION DE CANULA Y VALVULA PARA HABLAR</v>
          </cell>
          <cell r="G3249" t="str">
            <v>UN</v>
          </cell>
        </row>
        <row r="3250">
          <cell r="E3250">
            <v>7040031</v>
          </cell>
          <cell r="F3250" t="str">
            <v>CANULA PLASTICA DE TRAQUEOSTOMIA # 6, FENESTRADA, CON ADAPTADORES MULTIPLES PARA OXIGENO TERAPIA, OCLUSION DE CANULA Y VALVULA PARAHABLAR</v>
          </cell>
          <cell r="G3250" t="str">
            <v>UN</v>
          </cell>
        </row>
        <row r="3251">
          <cell r="E3251">
            <v>7040032</v>
          </cell>
          <cell r="F3251" t="str">
            <v>CANULA PLASTICA DE TRAQUEOSTOMIA # 8, FENESTRADA, CON ADAPTADORES MULTIPLES PARA OXIGENO TERAPIA, OCLUSION DE CANULA Y VALVULA PARAHABLAR</v>
          </cell>
          <cell r="G3251" t="str">
            <v>UN</v>
          </cell>
        </row>
        <row r="3252">
          <cell r="E3252">
            <v>7040033</v>
          </cell>
          <cell r="F3252" t="str">
            <v>ESPEJO FRONTAL CON CINCHO DE CUERO</v>
          </cell>
          <cell r="G3252" t="str">
            <v>UN</v>
          </cell>
        </row>
        <row r="3253">
          <cell r="E3253">
            <v>7040034</v>
          </cell>
          <cell r="F3253" t="str">
            <v>PROTESIS DE TEFLON Y ALAMBRE PARA OIDO</v>
          </cell>
          <cell r="G3253" t="str">
            <v>UN</v>
          </cell>
        </row>
        <row r="3254">
          <cell r="E3254">
            <v>7040035</v>
          </cell>
          <cell r="F3254" t="str">
            <v>TUBO DE VENTILACION TIPO SHEPARD GROMET, DE FLUOROPLASTIC, DE 1.02 mmDE DIAMETRO INTERNO</v>
          </cell>
          <cell r="G3254" t="str">
            <v>UN</v>
          </cell>
        </row>
        <row r="3255">
          <cell r="E3255">
            <v>7040036</v>
          </cell>
          <cell r="F3255" t="str">
            <v>TUBO STANDAR EN "T" DE MONTGOMERY # 12</v>
          </cell>
          <cell r="G3255" t="str">
            <v>UN</v>
          </cell>
        </row>
        <row r="3256">
          <cell r="E3256">
            <v>7040037</v>
          </cell>
          <cell r="F3256" t="str">
            <v>TUBO STANDAR EN "T" DE MONTGOMERY # 14</v>
          </cell>
          <cell r="G3256" t="str">
            <v>UN</v>
          </cell>
        </row>
        <row r="3257">
          <cell r="E3257">
            <v>7040038</v>
          </cell>
          <cell r="F3257" t="str">
            <v>TUBO STANDAR EN "T" DE MONTGOMERY # 16</v>
          </cell>
          <cell r="G3257" t="str">
            <v>UN</v>
          </cell>
        </row>
        <row r="3258">
          <cell r="E3258">
            <v>7041055</v>
          </cell>
          <cell r="F3258" t="str">
            <v>ASPIRADOR DE MECONIO, TRANSPARENTE, ADAPTABLE AL TUBO ENDOTRAQUEAL, CON PUERTO LATERAL QUE PERMITA SUCCION INTERMITENTE, DESCARTABLE, ESTERIL</v>
          </cell>
          <cell r="G3258" t="str">
            <v>UN</v>
          </cell>
        </row>
        <row r="3259">
          <cell r="E3259">
            <v>7041056</v>
          </cell>
          <cell r="F3259" t="str">
            <v>BANDAS DE PROTECCION NEONATAL PARA FOTOTERAPIA, PAQUETE DE 50 UNIDADES</v>
          </cell>
          <cell r="G3259" t="str">
            <v>UN</v>
          </cell>
        </row>
        <row r="3260">
          <cell r="E3260">
            <v>7041057</v>
          </cell>
          <cell r="F3260" t="str">
            <v>CAMPANA (CAJA) PLASTICA TRANSPARENTE GRANDE PARAADMINISTRAR OXIGENO CON SU RESPECTIVO CALENTADORY VALVULA DE CONCENTRACION DE OXIGENO.</v>
          </cell>
          <cell r="G3260" t="str">
            <v>UN</v>
          </cell>
        </row>
        <row r="3261">
          <cell r="E3261">
            <v>7041058</v>
          </cell>
          <cell r="F3261" t="str">
            <v>CAMPANA (CAJA) PLASTICA TRANSPARENTE GRANDE PARAADMINISTRAR OXIGENO CON SU RESPECTIVO CALENTADORY VALVULA DE CONCENTRACION DE OXIGENO.</v>
          </cell>
          <cell r="G3261" t="str">
            <v>UN</v>
          </cell>
        </row>
        <row r="3262">
          <cell r="E3262">
            <v>7041059</v>
          </cell>
          <cell r="F3262" t="str">
            <v>CAMPANA (CAJA) PLASTICA TRANSPARENTE MEDIANA PARAADMINISTRAR OXIGENO CONSU RESPECTIVO CALENTADORY VALVULA DE CONCENTRACION DE OXIGENO.</v>
          </cell>
          <cell r="G3262" t="str">
            <v>UN</v>
          </cell>
        </row>
        <row r="3263">
          <cell r="E3263">
            <v>7041061</v>
          </cell>
          <cell r="F3263" t="str">
            <v>CAMPANA (CAJA) PLASTICA TRANSPARENTE PEQUENA PARAADMINISTRAR OXIGENO CON SU RESPECTIVO CALENTADORY VALVULA DE CONCENTRACION DE OXIGENO.</v>
          </cell>
          <cell r="G3263" t="str">
            <v>UN</v>
          </cell>
        </row>
        <row r="3264">
          <cell r="E3264">
            <v>7041062</v>
          </cell>
          <cell r="F3264" t="str">
            <v>CANASTILLA PARA EXTRACCION DE CUERPO EXTRAÑO EN URETER, DE 4 FILAMENTOS, DIAMETRO 3 FRENCH</v>
          </cell>
          <cell r="G3264" t="str">
            <v>UN</v>
          </cell>
        </row>
        <row r="3265">
          <cell r="E3265">
            <v>7041063</v>
          </cell>
          <cell r="F3265" t="str">
            <v>CATETER PEDIATRICO (NIH) 4 FRECH. 50 MM</v>
          </cell>
          <cell r="G3265" t="str">
            <v>UN</v>
          </cell>
        </row>
        <row r="3266">
          <cell r="E3266">
            <v>7041064</v>
          </cell>
          <cell r="F3266" t="str">
            <v>CATETER PEDIATRICO (NIH) 5 FRECH. 50 MM</v>
          </cell>
          <cell r="G3266" t="str">
            <v>UN</v>
          </cell>
        </row>
        <row r="3267">
          <cell r="E3267">
            <v>7041065</v>
          </cell>
          <cell r="F3267" t="str">
            <v>CATETER PEDIATRICO (NIH)6FRECH. 50 MM</v>
          </cell>
          <cell r="G3267" t="str">
            <v>UN</v>
          </cell>
        </row>
        <row r="3268">
          <cell r="E3268">
            <v>7041066</v>
          </cell>
          <cell r="F3268" t="str">
            <v>EXANGUINEO - TRANSFUSION  PARA  RECIEN  NACIDOS, DESCARTABLE.. SET</v>
          </cell>
          <cell r="G3268" t="str">
            <v>UN</v>
          </cell>
        </row>
        <row r="3269">
          <cell r="E3269">
            <v>7042040</v>
          </cell>
          <cell r="F3269" t="str">
            <v>AGUJA DE BIOPSIA PROSTATICA, TRANSRECTAL PARA USO CON PISTOLA TIPO PRO MAG DE 16G X 20CM DESCARTALBE</v>
          </cell>
          <cell r="G3269" t="str">
            <v>UN</v>
          </cell>
        </row>
        <row r="3270">
          <cell r="E3270">
            <v>7042041</v>
          </cell>
          <cell r="F3270" t="str">
            <v>ASAS DESCARTABLES P/USO EN RESECTOSCOPIO</v>
          </cell>
          <cell r="G3270" t="str">
            <v>UN</v>
          </cell>
        </row>
        <row r="3271">
          <cell r="E3271">
            <v>7042042</v>
          </cell>
          <cell r="F3271" t="str">
            <v>BISTURI PARA CORTE FRIO, PARA URETROTOMO</v>
          </cell>
          <cell r="G3271" t="str">
            <v>UN</v>
          </cell>
        </row>
        <row r="3272">
          <cell r="E3272">
            <v>7042043</v>
          </cell>
          <cell r="F3272" t="str">
            <v>CATETER BALON PARA DILATACION URETERAL, NO COMPLACIENTE, CON RECUBRIMIENTO HIDROFILICO Y MARCADORES RADIOPACOS</v>
          </cell>
          <cell r="G3272" t="str">
            <v>UN</v>
          </cell>
        </row>
        <row r="3273">
          <cell r="E3273">
            <v>7042044</v>
          </cell>
          <cell r="F3273" t="str">
            <v>CATETER DE ENDOPIELOTOMIA - ENDOURETEROTOMIA, 6 - 7 FRENCH, DE TRESVIAS, CON BALON DISTAL, GUIA Y CONECTOR A BISTURI ELECTRICO, EMPAQUEINDIVIDUAL, ESTERIL</v>
          </cell>
          <cell r="G3273" t="str">
            <v>UN</v>
          </cell>
        </row>
        <row r="3274">
          <cell r="E3274">
            <v>7042045</v>
          </cell>
          <cell r="F3274" t="str">
            <v>CATETER PARA EXTRACCION DE CALCULOS, FORCEPS TRIDENTE</v>
          </cell>
          <cell r="G3274" t="str">
            <v>UN</v>
          </cell>
        </row>
        <row r="3275">
          <cell r="E3275">
            <v>7042046</v>
          </cell>
          <cell r="F3275" t="str">
            <v>CATETER RECTAL PARA MEDICION DE PRESION INTRAABDOMINAL, DIAMETRO 9 FRENCH, COMPATIBLE CON EQUIPO DE URODINAMIA MARCA Y MODELO DE USO INSTITUCIONAL</v>
          </cell>
          <cell r="G3275" t="str">
            <v>UN</v>
          </cell>
        </row>
        <row r="3276">
          <cell r="E3276">
            <v>7042047</v>
          </cell>
          <cell r="F3276" t="str">
            <v>CATETER TRANSURETRAL, DOBLE LUMEN # CONTORNO DE PRESION, DIAMETRO DE7# 9 FRENCH, COMPATIBLE CON EQUIPO DE URODINAMIA MARCA Y MODELODE USO INSTITUCIONAL</v>
          </cell>
          <cell r="G3276" t="str">
            <v>UN</v>
          </cell>
        </row>
        <row r="3277">
          <cell r="E3277">
            <v>7042048</v>
          </cell>
          <cell r="F3277" t="str">
            <v>CATETER URETERAL CON MANDRIL, PUNTA EN - NGULO DE 4 FRECH, RADIOPACO,GRADUADO, ESTERIL, DE 65 -  72 cm DE LONGITUD.</v>
          </cell>
          <cell r="G3277" t="str">
            <v>UN</v>
          </cell>
        </row>
        <row r="3278">
          <cell r="E3278">
            <v>7042049</v>
          </cell>
          <cell r="F3278" t="str">
            <v>CATETER URETERAL CON MANDRIL, PUNTA EN - NGULO DE 5 FRECH, RADIOPACO,GRADUADO, ESTERIL, DE 65 -  72 cm DE LONGITUD.</v>
          </cell>
          <cell r="G3278" t="str">
            <v>UN</v>
          </cell>
        </row>
        <row r="3279">
          <cell r="E3279">
            <v>7042050</v>
          </cell>
          <cell r="F3279" t="str">
            <v>CATETER URETERAL CON MANDRIL, PUNTA EN - NGULO DE6FRECH, RADIOPACO,GRADUADO, ESTERIL, DE 65 -  72 cm DE LONGITUD.</v>
          </cell>
          <cell r="G3279" t="str">
            <v>UN</v>
          </cell>
        </row>
        <row r="3280">
          <cell r="E3280">
            <v>7042051</v>
          </cell>
          <cell r="F3280" t="str">
            <v>CATETER URETERAL CON MANDRIL, PUNTA EN ESPIRAL, 4 FRECH, RADIOPACO, GRADUADO, ESTERIL, DE 65 - 72 CM DE LONGITUD</v>
          </cell>
          <cell r="G3280" t="str">
            <v>UN</v>
          </cell>
        </row>
        <row r="3281">
          <cell r="E3281">
            <v>7042052</v>
          </cell>
          <cell r="F3281" t="str">
            <v>CATETER URETERAL CON MANDRIL, PUNTA EN ESPIRAL, 5 FRECH, RADIOPACO, GRADUADO, ESTERIL, DE 65 - 72 CM DE LONGITUD</v>
          </cell>
          <cell r="G3281" t="str">
            <v>UN</v>
          </cell>
        </row>
        <row r="3282">
          <cell r="E3282">
            <v>7042053</v>
          </cell>
          <cell r="F3282" t="str">
            <v>CATETER URETERAL CON MANDRIL, PUNTA EN ESPIRAL,6FRECH, RADIOPACO, GRADUADO, ESTERIL, DE 65 - 72 CM DE LONGITUD</v>
          </cell>
          <cell r="G3282" t="str">
            <v>UN</v>
          </cell>
        </row>
        <row r="3283">
          <cell r="E3283">
            <v>7042054</v>
          </cell>
          <cell r="F3283" t="str">
            <v>CATETER URETERAL CON MANDRIL, PUNTA RECTA 4 FRECH, RADIOPACO, GRADUADO, ESTERIL, DE 65 -  72 cm DE LONGITUD.</v>
          </cell>
          <cell r="G3283" t="str">
            <v>UN</v>
          </cell>
        </row>
        <row r="3284">
          <cell r="E3284">
            <v>7042055</v>
          </cell>
          <cell r="F3284" t="str">
            <v>CATETER URETERAL CON MANDRIL, PUNTA RECTA 5 FRECH, RADIOPACO, GRADUADO, ESTERIL, DE 65 -  72 cm DE LONGITUD.</v>
          </cell>
          <cell r="G3284" t="str">
            <v>UN</v>
          </cell>
        </row>
        <row r="3285">
          <cell r="E3285">
            <v>7042056</v>
          </cell>
          <cell r="F3285" t="str">
            <v>CATETER URETERAL CON MANDRIL, PUNTA RECTA6FRECH, RADIOPACO, GRADUADO,ESTERIL, DE 65 -  72 cm DE LONGITUD.</v>
          </cell>
          <cell r="G3285" t="str">
            <v>UN</v>
          </cell>
        </row>
        <row r="3286">
          <cell r="E3286">
            <v>7042057</v>
          </cell>
          <cell r="F3286" t="str">
            <v>CATETER URETERAL DOBLE J, DIAMETRO 4 FRENCH,  CON FINAL ABIERTO, LARGO DE 26 - 30 cm. QUE INCLUYA POSICIONADOR Y GUIA</v>
          </cell>
          <cell r="G3286" t="str">
            <v>UN</v>
          </cell>
        </row>
        <row r="3287">
          <cell r="E3287">
            <v>7042058</v>
          </cell>
          <cell r="F3287" t="str">
            <v>CATETER URETERAL DOBLE J, DIAMETRO 5 FRENCH,  CON FINAL ABIERTO, LARGO DE 26 - 30 cm. QUE INCLUYA POSICIONADOR Y GUIA</v>
          </cell>
          <cell r="G3287" t="str">
            <v>UN</v>
          </cell>
        </row>
        <row r="3288">
          <cell r="E3288">
            <v>7042059</v>
          </cell>
          <cell r="F3288" t="str">
            <v>CATETER URETERAL DOBLE J, DIAMETRO6FRENCH,  CON FINAL ABIERTO, LARGO DE 26 - 30 cm. QUE INCLUYA POSICIONADOR Y GUIA</v>
          </cell>
          <cell r="G3288" t="str">
            <v>UN</v>
          </cell>
        </row>
        <row r="3289">
          <cell r="E3289">
            <v>7042060</v>
          </cell>
          <cell r="F3289" t="str">
            <v>CATETER URETERAL DOBLE J, DIAMETRO7FRENCH,  CON FINAL ABIERTO, LARGO DE 26 - 30 cm. QUE INCLUYA POSICIONADOR Y GUIA</v>
          </cell>
          <cell r="G3289" t="str">
            <v>UN</v>
          </cell>
        </row>
        <row r="3290">
          <cell r="E3290">
            <v>7042061</v>
          </cell>
          <cell r="F3290" t="str">
            <v>DESCARTABLE PARA BOMBA DE INFUSION, COMPATIBLE CON EQUIPO DE URODINAMIA MARCA Y MODELO DE USO INSTITUCIONAL</v>
          </cell>
          <cell r="G3290" t="str">
            <v>UN</v>
          </cell>
        </row>
        <row r="3291">
          <cell r="E3291">
            <v>7042062</v>
          </cell>
          <cell r="F3291" t="str">
            <v>DILATADOR PARA NEFROSTOMIA PERCUTANEA #10. SET</v>
          </cell>
          <cell r="G3291" t="str">
            <v>UN</v>
          </cell>
        </row>
        <row r="3292">
          <cell r="E3292">
            <v>7042063</v>
          </cell>
          <cell r="F3292" t="str">
            <v>DILATADOR PARA NEFROSTOMIA PERCUTANEA #11. SET</v>
          </cell>
          <cell r="G3292" t="str">
            <v>UN</v>
          </cell>
        </row>
        <row r="3293">
          <cell r="E3293">
            <v>7042064</v>
          </cell>
          <cell r="F3293" t="str">
            <v>DILATADOR PARA NEFROSTOMIA PERCUTANEA #8. SET</v>
          </cell>
          <cell r="G3293" t="str">
            <v>UN</v>
          </cell>
        </row>
        <row r="3294">
          <cell r="E3294">
            <v>7042065</v>
          </cell>
          <cell r="F3294" t="str">
            <v>DILATADOR URETRAL FILIFORME, DIVERSAS MEDIDAS. SET</v>
          </cell>
          <cell r="G3294" t="str">
            <v>UN</v>
          </cell>
        </row>
        <row r="3295">
          <cell r="E3295">
            <v>7042066</v>
          </cell>
          <cell r="F3295" t="str">
            <v>DILATADOR URETRAL TIPO PHILIPS CON ORIFICIO DE DRENAJE DE ORINA, DIVERSAS MEDIDAS. SET</v>
          </cell>
          <cell r="G3295" t="str">
            <v>UN</v>
          </cell>
        </row>
        <row r="3296">
          <cell r="E3296">
            <v>7042067</v>
          </cell>
          <cell r="F3296" t="str">
            <v>DISPOSITIVO DE AGUJA PARA TOMA DE BIOPSIA PROSTATICA AUTOMATICA TIPO TRUPATH DE MEDIDAS 18 G X 21 CM DE LONGITUD DESCARTABLE</v>
          </cell>
          <cell r="G3296" t="str">
            <v>UN</v>
          </cell>
        </row>
        <row r="3297">
          <cell r="E3297">
            <v>7042068</v>
          </cell>
          <cell r="F3297" t="str">
            <v>DOMO DEL TRANSDUCTOR DE PRESION COMPATIBLE CON EQUIPO DE URODINAMIA MARCA Y MODELO DE USO INSTITUCIONAL</v>
          </cell>
          <cell r="G3297" t="str">
            <v>UN</v>
          </cell>
        </row>
        <row r="3298">
          <cell r="E3298">
            <v>7042069</v>
          </cell>
          <cell r="F3298" t="str">
            <v>ELECTRODO DE SUPERFICIE PARA ELECTROMIOGRAFIA, DESCARTABLE, PARA ESTUDIO DE URODINAMIA, COMPATIBLE CON EQUIPO DE MARCA Y MODELO DE USO INSTITUCIONAL. SOBRE CON 3 ELECTRODOS. CAJA DE 75 SOBRES</v>
          </cell>
          <cell r="G3298" t="str">
            <v>UN</v>
          </cell>
        </row>
        <row r="3299">
          <cell r="E3299">
            <v>7042070</v>
          </cell>
          <cell r="F3299" t="str">
            <v>ELECTRODO O SONDA INTRA-VAGINAL CON CABLE DE 2 SALIDAS, COMPATIBLE CON EQUIPO DE ELECTROMIOGRAFIA Y ESTIMULACION MUSCULAR MARCA Y MODELO DEUSO INSTITUCIONAL</v>
          </cell>
          <cell r="G3299" t="str">
            <v>UN</v>
          </cell>
        </row>
        <row r="3300">
          <cell r="E3300">
            <v>7042071</v>
          </cell>
          <cell r="F3300" t="str">
            <v>GUIA TERAPEUTICA ENDOUROLOGICA CON ALMA DE NITINOL, HIDROFILICA, RECUBRIMIENTO EXTERIOR FLEXIBLE Y MARCADORES RADIOPACOS</v>
          </cell>
          <cell r="G3300" t="str">
            <v>UN</v>
          </cell>
        </row>
        <row r="3301">
          <cell r="E3301">
            <v>7042072</v>
          </cell>
          <cell r="F3301" t="str">
            <v>GUIA TERAPEUTICA ENDOUROLOGICA DUALFLEX DE URETANO, CON RECUBRIMIENTOHIDROFILICO Y MARCADORES RADIOPACOS</v>
          </cell>
          <cell r="G3301" t="str">
            <v>UN</v>
          </cell>
        </row>
        <row r="3302">
          <cell r="E3302">
            <v>7042073</v>
          </cell>
          <cell r="F3302" t="str">
            <v>PISTOLA PARA TOMA DE BIOPSIA DE PROSTATA</v>
          </cell>
          <cell r="G3302" t="str">
            <v>UN</v>
          </cell>
        </row>
        <row r="3303">
          <cell r="E3303">
            <v>7042074</v>
          </cell>
          <cell r="F3303" t="str">
            <v>SET DE NEFROSTOMIA PERCUTANEA 10 FRENCH, CATETER CON PUNTA COLA DE COCHINO</v>
          </cell>
          <cell r="G3303" t="str">
            <v>SET</v>
          </cell>
        </row>
        <row r="3304">
          <cell r="E3304">
            <v>7042075</v>
          </cell>
          <cell r="F3304" t="str">
            <v>SET DE NEFROSTOMIA PERCUTANEA 12 FRENCH, CATETER CON PUNTA COLA DE COCHINO</v>
          </cell>
          <cell r="G3304" t="str">
            <v>SET</v>
          </cell>
        </row>
        <row r="3305">
          <cell r="E3305">
            <v>7042076</v>
          </cell>
          <cell r="F3305" t="str">
            <v>SISTEMA DE BALON PARA CORREGIR LA ESTRECHEZ URETERO PIELICA</v>
          </cell>
          <cell r="G3305" t="str">
            <v>UN</v>
          </cell>
        </row>
        <row r="3306">
          <cell r="E3306">
            <v>7042077</v>
          </cell>
          <cell r="F3306" t="str">
            <v>SONDA RECTAL # 26, TRANSPARENTE, ESTERIL</v>
          </cell>
          <cell r="G3306" t="str">
            <v>UN</v>
          </cell>
        </row>
        <row r="3307">
          <cell r="E3307">
            <v>7042078</v>
          </cell>
          <cell r="F3307" t="str">
            <v>SONDA RECTAL # 28, TRANSPARENTE, ESTERIL</v>
          </cell>
          <cell r="G3307" t="str">
            <v>UN</v>
          </cell>
        </row>
        <row r="3308">
          <cell r="E3308">
            <v>7042079</v>
          </cell>
          <cell r="F3308" t="str">
            <v>TUBO O MANGUERA PARA TRANSMISION DE PRESION, LONGITUD DE 180 # 190 cm, COMPATIBLE CON EQUIPO DE URODINAMIA MARCA Y MODELO DE USO INSTITUCIONAL</v>
          </cell>
          <cell r="G3308" t="str">
            <v>UN</v>
          </cell>
        </row>
        <row r="3309">
          <cell r="E3309">
            <v>7042080</v>
          </cell>
          <cell r="F3309" t="str">
            <v>TUBO O MANGUERA PARA TRANSMISION DE PRESION, LONGITUD DE 180 # 190 cm, COMPATIBLE CON EQUIPO DE URODINAMIA MARCA Y MODELO DE USO INSTITUCIONAL</v>
          </cell>
          <cell r="G3309" t="str">
            <v>UN</v>
          </cell>
        </row>
        <row r="3310">
          <cell r="E3310">
            <v>7050030</v>
          </cell>
          <cell r="F3310" t="str">
            <v>CAMPANA (CAJA) PLASTICA TRANSPARENTE PEQUENA PARAADMINISTRAR OXIGENO CON SU RESPECTIVO CALENTADORY VALVULA DE CONCENTRACION DE OXIGENO.</v>
          </cell>
          <cell r="G3310" t="str">
            <v>UN</v>
          </cell>
        </row>
        <row r="3311">
          <cell r="E3311">
            <v>7050031</v>
          </cell>
          <cell r="F3311" t="str">
            <v>CATGUT  CROMICO # 0,  AGUJA  PUNTA  REDONDA, 1/2 CIRCULO, DE 34 - 37 MM, HEBRA  DE 70 - 90 CM. CAJA POR DOCE</v>
          </cell>
          <cell r="G3311" t="str">
            <v>UN</v>
          </cell>
        </row>
        <row r="3312">
          <cell r="E3312">
            <v>7050032</v>
          </cell>
          <cell r="F3312" t="str">
            <v>CATGUT  CROMICO # 1,  AGUJA  PUNTA  REDONDA, 1/2 CIRCULO, DE 34 - 37 MM, HEBRA  DE 70 - 90 CM. CAJA POR DOCE</v>
          </cell>
          <cell r="G3312" t="str">
            <v>UN</v>
          </cell>
        </row>
        <row r="3313">
          <cell r="E3313">
            <v>7050033</v>
          </cell>
          <cell r="F3313" t="str">
            <v>CATGUT  CROMICO # 2/0,  AGUJA  PUNTA  REDONDA, 1/2 CIRCULO, DE 34 - 37 MM, HEBRA  DE 70 - 90 CM. CAJA POR DOCE</v>
          </cell>
          <cell r="G3313" t="str">
            <v>UN</v>
          </cell>
        </row>
        <row r="3314">
          <cell r="E3314">
            <v>7050034</v>
          </cell>
          <cell r="F3314" t="str">
            <v>CATGUT  CROMICO # 3/0,  AGUJA  PUNTA  REDONDA, 1/2 CIRCULO, DE 25 - 27 MM, HEBRA  DE 70 - 90 CM. CAJA POR DOCE</v>
          </cell>
          <cell r="G3314" t="str">
            <v>UN</v>
          </cell>
        </row>
        <row r="3315">
          <cell r="E3315">
            <v>7050035</v>
          </cell>
          <cell r="F3315" t="str">
            <v>CATGUT  CROMICO # 3/0,  AGUJA REVERSO CORTANTE, 3/8 CIRCULO, DE 19 - 25 MM, HEBRA  DE 45 - 75 CM. CAJA POR DOCE</v>
          </cell>
          <cell r="G3315" t="str">
            <v>UN</v>
          </cell>
        </row>
        <row r="3316">
          <cell r="E3316">
            <v>7050036</v>
          </cell>
          <cell r="F3316" t="str">
            <v>CATGUT  CROMICO # 4/0,  AGUJA  PUNTA  REDONDA, 1/2 CIRCULO, DE 15 - 17 MM, HEBRA  DE 70 - 90 CM. CAJA POR DOCE</v>
          </cell>
          <cell r="G3316" t="str">
            <v>UN</v>
          </cell>
        </row>
        <row r="3317">
          <cell r="E3317">
            <v>7050037</v>
          </cell>
          <cell r="F3317" t="str">
            <v>CATGUT  CROMICO # 4/0,  AGUJA  REVERSO CORTANTE, 3/8 CIRCULO, DE 15 -19 MM, HEBRA  DE 45 - 75 CM. CAJA POR DOCE</v>
          </cell>
          <cell r="G3317" t="str">
            <v>UN</v>
          </cell>
        </row>
        <row r="3318">
          <cell r="E3318">
            <v>7050038</v>
          </cell>
          <cell r="F3318" t="str">
            <v>CATGUT CROMICO  # 2/0, AGUJA PUNTA REDONDA,1/2  CIRCULO DE 25 - 27 MM, HEBRA 70 - 90 CM. CAJA POR DOCE</v>
          </cell>
          <cell r="G3318" t="str">
            <v>UN</v>
          </cell>
        </row>
        <row r="3319">
          <cell r="E3319">
            <v>7050039</v>
          </cell>
          <cell r="F3319" t="str">
            <v>CATGUT CROMICO # 0, SIN AGUJA., HEBRA DE 125 - 150 CMS. CAJA POR DOCE</v>
          </cell>
          <cell r="G3319" t="str">
            <v>UN</v>
          </cell>
        </row>
        <row r="3320">
          <cell r="E3320">
            <v>7050040</v>
          </cell>
          <cell r="F3320" t="str">
            <v>CATGUT CROMICO # 1,   AGUJA PUNTA ROMA , 1/2 CIRCULO DE 85 - 95 MM, HEBRA DE 70 - 90 CM. CAJA POR DOCE</v>
          </cell>
          <cell r="G3320" t="str">
            <v>UN</v>
          </cell>
        </row>
        <row r="3321">
          <cell r="E3321">
            <v>7050041</v>
          </cell>
          <cell r="F3321" t="str">
            <v>CATGUT CROMICO # 1, SIN AGUJA., HEBRA DE 125 - 150 CMS. CAJA POR DOCE</v>
          </cell>
          <cell r="G3321" t="str">
            <v>UN</v>
          </cell>
        </row>
        <row r="3322">
          <cell r="E3322">
            <v>7050042</v>
          </cell>
          <cell r="F3322" t="str">
            <v>CATGUT CROMICO # 2/0, SIN AGUJA., HEBRA DE 125 - 150 CMS. CAJA POR DOCE</v>
          </cell>
          <cell r="G3322" t="str">
            <v>UN</v>
          </cell>
        </row>
        <row r="3323">
          <cell r="E3323">
            <v>7050043</v>
          </cell>
          <cell r="F3323" t="str">
            <v>CATGUT CROMICO # 2/0,AGUJA PUNTA REDONDA  (AHUSADA) CUERPO REDONDO  1/2 CIRCULO DE 17 - 20 MM. HEBRA DE 70 - 90 CM. CAJA POR DOCE</v>
          </cell>
          <cell r="G3323" t="str">
            <v>UN</v>
          </cell>
        </row>
        <row r="3324">
          <cell r="E3324">
            <v>7050044</v>
          </cell>
          <cell r="F3324" t="str">
            <v>CATGUT SIMPLE # 2/0, AGUJA PUNTA  REDONDA 1/2 CIRCULO, DE 30 - 35 MM,HEBRA  DE 60 - 90 CM. CAJA POR DOCE</v>
          </cell>
          <cell r="G3324" t="str">
            <v>UN</v>
          </cell>
        </row>
        <row r="3325">
          <cell r="E3325">
            <v>7050045</v>
          </cell>
          <cell r="F3325" t="str">
            <v>CATGUT SIMPLE 2/0, AGUJA 1/2 CIRCULO, 35 A 37 MM,  HEBRA DE 70  -  75CM. CAJA POR DOCE</v>
          </cell>
          <cell r="G3325" t="str">
            <v>UN</v>
          </cell>
        </row>
        <row r="3326">
          <cell r="E3326">
            <v>7050046</v>
          </cell>
          <cell r="F3326" t="str">
            <v>CATGUT SIMPLE 2/0, AGUJA 3/8 REVERSO CORTANTE, 19 A 24 MM,  HEBRA DE 70  -  75 CM. CAJA POR DOCE</v>
          </cell>
          <cell r="G3326" t="str">
            <v>UN</v>
          </cell>
        </row>
        <row r="3327">
          <cell r="E3327">
            <v>7050047</v>
          </cell>
          <cell r="F3327" t="str">
            <v>CATGUT SIMPLE 3/0, AGUJA PUNTA REDONDA, 1/2 CIRCULO, DE 25 A 26 MM,  HEBRA DE 70  -  75 CM. CAJA POR DOCE</v>
          </cell>
          <cell r="G3327" t="str">
            <v>UN</v>
          </cell>
        </row>
        <row r="3328">
          <cell r="E3328">
            <v>7050048</v>
          </cell>
          <cell r="F3328" t="str">
            <v>CATGUT SIMPLE 3/0, SIN AGUJA, HEBRA DE 125 - 150 CMS. CAJA POR DOCE</v>
          </cell>
          <cell r="G3328" t="str">
            <v>UN</v>
          </cell>
        </row>
        <row r="3329">
          <cell r="E3329">
            <v>7050049</v>
          </cell>
          <cell r="F3329" t="str">
            <v>CINTA DE COLAGENO PARA PARENQUIMA. DOBLE AGUJA, 1/2 CIRCULO, PUNTA ROMA DE 85 - 90 MM. DE 3 - 4 CM DE ANCHO X 40 - 60 CM DE LARGO..CAJA PORDOCE</v>
          </cell>
          <cell r="G3329" t="str">
            <v>UN</v>
          </cell>
        </row>
        <row r="3330">
          <cell r="E3330">
            <v>7051040</v>
          </cell>
          <cell r="F3330" t="str">
            <v>SUTURA SINTETICA ABSORBIBLE  MONOFILAR 6/0 DOBLE  AGUJA  PUNTA  REDONDA 3/8  DE  CIRCULO  DE 12-13 MM, HEBRA  DE 60-90 CMS. CAJA POR DOCE</v>
          </cell>
          <cell r="G3330" t="str">
            <v>UN</v>
          </cell>
        </row>
        <row r="3331">
          <cell r="E3331">
            <v>7051041</v>
          </cell>
          <cell r="F3331" t="str">
            <v>SUTURA SINTETICA ABSORBIBLE MONOFILAR 5/0, DOBLE AGUJA PUNTA REDONDA 3/8 DE CIRCULO DE 13-15 MM, HEBRA DE 60-90 CMS. CAJA POR DOCE</v>
          </cell>
          <cell r="G3331" t="str">
            <v>UN</v>
          </cell>
        </row>
        <row r="3332">
          <cell r="E3332">
            <v>7051042</v>
          </cell>
          <cell r="F3332" t="str">
            <v>SUTURA SINTETICA ABSORBIBLE MULTIFILAMENTO RECUBIERTA, CALIBRE 6-0 CON HEBRA DE 45 - 60 cm DE LARGO AGUJA DE CUERPO ESTRIADO LONGITUDINAL, DE ACERO INOXIDABLE, CON PUNTA REVERSO CORTANTE, CURVATURA DE 3/8 DE CIRCULO CON CUERPO DE 1.1 - 1.5 cm. CAJA POR DO</v>
          </cell>
          <cell r="G3332" t="str">
            <v>UN</v>
          </cell>
        </row>
        <row r="3333">
          <cell r="E3333">
            <v>7051043</v>
          </cell>
          <cell r="F3333" t="str">
            <v>SUTURA SINTETICA ABSORBIBLE MULTIFILAMENTO, RECUBIERTA, CALIBRE 4-0 CON HEBRA DE 45 - 60 cm DE LARGO AGUJA DE CUERPO ESTRIADO LONGITUDINAL,DE ACERO INOXIDABLE, CON PUNTA REVERSO CORTANTE CURVATURA DE 1/2 DE CIRCULO CON CUERPO DE 1.1 - 1.6 cm. CAJA POR DOC</v>
          </cell>
          <cell r="G3333" t="str">
            <v>UN</v>
          </cell>
        </row>
        <row r="3334">
          <cell r="E3334">
            <v>7051044</v>
          </cell>
          <cell r="F3334" t="str">
            <v>SUTURA SINTETICA ABSORBIBLE MULTIFILAMENTO, RECUBIERTA, CALIBRE 6-0 CON HEBRA DE 45 - 60 cm DE LARGO AGUJA DE CUERPO ESTRIADO LONGITUDINAL,DE ACERO INOXIDABLE, CON PUNTA REVERSO CORTANTE CURVATURA DE 1/2 DE CIRCULO CON CUERPO DE 1.1 - 1.6 cm. CAJA POR DOC</v>
          </cell>
          <cell r="G3334" t="str">
            <v>UN</v>
          </cell>
        </row>
        <row r="3335">
          <cell r="E3335">
            <v>7051045</v>
          </cell>
          <cell r="F3335" t="str">
            <v>SUTURA SINTETICA ABSORBIBLE RECUBIERTA 0, AGUJA PUNTA REDONDA 1/2 CIRCULO DE 34-37 MM, HEBRA 70-90 CMS. CAJA POR DOCE</v>
          </cell>
          <cell r="G3335" t="str">
            <v>UN</v>
          </cell>
        </row>
        <row r="3336">
          <cell r="E3336">
            <v>7051046</v>
          </cell>
          <cell r="F3336" t="str">
            <v>SUTURA SINTETICA ABSORBIBLE RECUBIERTA 1, AGUJA PUNTA REDONDA MEDIO CIRCULO DE 34 A 35 MILIMETROS, LARGO DE HEBRA DE 70 A 90 CMS. CAJA POR DOCE</v>
          </cell>
          <cell r="G3336" t="str">
            <v>UN</v>
          </cell>
        </row>
        <row r="3337">
          <cell r="E3337">
            <v>7051047</v>
          </cell>
          <cell r="F3337" t="str">
            <v>SUTURA SINTETICA ABSORBIBLE RECUBIERTA 2/0, AGUJA   PUNTA REDONDA 1/2CIRCULO DE  34-37 MM, HEBRA  DE 70-90 CMS. CAJA POR DOCE</v>
          </cell>
          <cell r="G3337" t="str">
            <v>UN</v>
          </cell>
        </row>
        <row r="3338">
          <cell r="E3338">
            <v>7051048</v>
          </cell>
          <cell r="F3338" t="str">
            <v>SUTURA SINTETICA ABSORBIBLE RECUBIERTA 2/0, AGUJA  PUNTA REDONDA 1/2 CIRCULO DE 20-22 MM, HEBRA DE 70-90 CM. CAJA POR DOCE</v>
          </cell>
          <cell r="G3338" t="str">
            <v>UN</v>
          </cell>
        </row>
        <row r="3339">
          <cell r="E3339">
            <v>7051049</v>
          </cell>
          <cell r="F3339" t="str">
            <v>SUTURA SINTETICA ABSORBIBLE RECUBIERTA 2/0, AGUJA  RERVERSO  CORTANTE1/2 CIRCULO DE 34 - 37 MM, HEBRA  DE 70-90 CM. CAJA POR DOCE</v>
          </cell>
          <cell r="G3339" t="str">
            <v>UN</v>
          </cell>
        </row>
        <row r="3340">
          <cell r="E3340">
            <v>7051050</v>
          </cell>
          <cell r="F3340" t="str">
            <v>SUTURA SINTETICA ABSORBIBLE RECUBIERTA 2/0, AGUJA  REVERSO CORTANTE 3/8 CIRCULO  DE 24-27 MM, HEBRA  DE 60-90 CMS. CAJA POR DOCE</v>
          </cell>
          <cell r="G3340" t="str">
            <v>UN</v>
          </cell>
        </row>
        <row r="3341">
          <cell r="E3341">
            <v>7051051</v>
          </cell>
          <cell r="F3341" t="str">
            <v>SUTURA SINTETICA ABSORBIBLE RECUBIERTA 3/0, AGUJA  PUNTA REDONDA 1/2 CIRCULO DE 26-27 MM,HEBRA DE 60-90 CMS. CAJA POR DOCE</v>
          </cell>
          <cell r="G3341" t="str">
            <v>UN</v>
          </cell>
        </row>
        <row r="3342">
          <cell r="E3342">
            <v>7051052</v>
          </cell>
          <cell r="F3342" t="str">
            <v>SUTURA SINTETICA ABSORBIBLE RECUBIERTA 3/0, AGUJA  PUNTA REDONDA 1/2 CIRCULO DE 34-37 MM,HEBRA DE 60-90 CMS. CAJA POR DOCE</v>
          </cell>
          <cell r="G3342" t="str">
            <v>UN</v>
          </cell>
        </row>
        <row r="3343">
          <cell r="E3343">
            <v>7051053</v>
          </cell>
          <cell r="F3343" t="str">
            <v>SUTURA SINTETICA ABSORBIBLE RECUBIERTA 4/0, AGUJA  REVERSO CORTANTE 3/8 CIRCULO  DE 12-13 MM, HEBRA DE 45-60 CMS. CAJA POR DOCE</v>
          </cell>
          <cell r="G3343" t="str">
            <v>UN</v>
          </cell>
        </row>
        <row r="3344">
          <cell r="E3344">
            <v>7051054</v>
          </cell>
          <cell r="F3344" t="str">
            <v>SUTURA SINTETICA ABSORBIBLE RECUBIERTA 4/0, AGUJA  REVERSO CORTANTE 3/8 DE CIRCULO  DE 19-24 MM, HEBRA  DE 45-60 CMS. CAJA POR DOCE</v>
          </cell>
          <cell r="G3344" t="str">
            <v>UN</v>
          </cell>
        </row>
        <row r="3345">
          <cell r="E3345">
            <v>7051055</v>
          </cell>
          <cell r="F3345" t="str">
            <v>SUTURA SINTETICA ABSORBIBLE RECUBIERTA 5/0, AGUJA  3/8 DE CIRCULO PUNTA DE PRECISION REVERSO PUNTA CORTANTE DE 11 - 15 MM, HEBRA DE45-60 CMS.. CAJA POR DOCE</v>
          </cell>
          <cell r="G3345" t="str">
            <v>UN</v>
          </cell>
        </row>
        <row r="3346">
          <cell r="E3346">
            <v>7051056</v>
          </cell>
          <cell r="F3346" t="str">
            <v>SUTURA SINTETICA ABSORBIBLE RECUBIERTA 7/0 (ACIDO POLIGLICOLICO) DOBLE AGUJA MICRO PUNTA ESPATULADA  1/4 DE CIRCULO DE 6.0-8.0 MM,HEBRA DE 30-45 CMS.. CAJA POR DOCE</v>
          </cell>
          <cell r="G3346" t="str">
            <v>UN</v>
          </cell>
        </row>
        <row r="3347">
          <cell r="E3347">
            <v>7051057</v>
          </cell>
          <cell r="F3347" t="str">
            <v>SUTURA SINTETICA ABSORBIBLE RECUBIERTA 7/0, DOBLE  AGUJA MICROPUNTA ESPATULA 3/8 CIRCULO DE  6.0-6.5 MM, HEBRA  45 CMS. CAJA POR DOCE</v>
          </cell>
          <cell r="G3347" t="str">
            <v>UN</v>
          </cell>
        </row>
        <row r="3348">
          <cell r="E3348">
            <v>7051058</v>
          </cell>
          <cell r="F3348" t="str">
            <v>SUTURA SINTETICA ABSORBIBLE RECUBIERTA 8/0 (ACIDO POLIGLICOLICO) DOBLE AGUJA MICRO PUNTA ESPATULADA  3/4 DE CIRCULO DE 6.0-8.0 MM,HEBRA DE 30-45 CMS.. CAJA POR DOCE</v>
          </cell>
          <cell r="G3348" t="str">
            <v>UN</v>
          </cell>
        </row>
        <row r="3349">
          <cell r="E3349">
            <v>7051059</v>
          </cell>
          <cell r="F3349" t="str">
            <v>SUTURA SINTETICA ABSORBIBLE RECUBIERTA MONOFILAR 4/0, DOBLE  AGUJA PUNTA REDONDA 1/2 CIRCULO  DE 15-17 MM, HEBRA  DE 60-90 CMS. CAJA POR DOCE</v>
          </cell>
          <cell r="G3349" t="str">
            <v>UN</v>
          </cell>
        </row>
        <row r="3350">
          <cell r="E3350">
            <v>7051060</v>
          </cell>
          <cell r="F3350" t="str">
            <v>SUTURA SINTETICA ABSORBIBLE RECUBIERTA, MULTIFILAMENTO; CALIBRE 5-0 CON HEBRA DE 45 - 60 cm DE LARGO AGUJA DE CUERPO ESTRIADO LONGITUDINAL,DE ACERO INOXIDABLE, CON PUNTA REVERSO CORTANTE CURVATURA DE 1/2 DE CIRCULO CON CUERPO DE 1.1 - 1.6 cm. CAJA POR DOC</v>
          </cell>
          <cell r="G3350" t="str">
            <v>UN</v>
          </cell>
        </row>
        <row r="3351">
          <cell r="E3351">
            <v>7051061</v>
          </cell>
          <cell r="F3351" t="str">
            <v>SUTURA SINTETICA ABSORBIBLE, RECUBIERTA 3/0, AGUJA REVERSO CORTANTE 3/8 CIRCULO DE 19-24 MM. HEBRA DE 45 - 60.. CAJA POR DOCE</v>
          </cell>
          <cell r="G3351" t="str">
            <v>UN</v>
          </cell>
        </row>
        <row r="3352">
          <cell r="E3352">
            <v>7051062</v>
          </cell>
          <cell r="F3352" t="str">
            <v>SUTURA SINTETICA ABSORBIBLE, RECUBIERTA, CALIBRE 6/0, CON DOBLE AGUJA3/8 DE CIRCULO, CORTANTE LATERAL EN ESPATULA, DE6-7mm DE LONGITUD,HEBRA DE 30 - 50 cm DE LONGITUD. CAJA POR DOCE</v>
          </cell>
          <cell r="G3352" t="str">
            <v>UN</v>
          </cell>
        </row>
        <row r="3353">
          <cell r="E3353">
            <v>7051063</v>
          </cell>
          <cell r="F3353" t="str">
            <v>SUTURA SINTETICA ABSORBIBLE, RECUBIERTA, CALIBRE 6/0, CON DOBLE AGUJA3/8 DE CIRCULO, CORTANTE LATERAL EN ESPATULA, DE6-7mm DE LONGITUD,HEBRA DE 30 - 50 cm DE LONGITUD. CAJA POR DOCE</v>
          </cell>
          <cell r="G3353" t="str">
            <v>UN</v>
          </cell>
        </row>
        <row r="3354">
          <cell r="E3354">
            <v>7051064</v>
          </cell>
          <cell r="F3354" t="str">
            <v>SUTURA SINTETICA ABSORBIBLE, RECUBIERTA, CALIBRE 6/0, CON DOBLE AGUJA3/8 DE CIRCULO, CORTANTE LATERAL EN ESPATULA, DE6-7mm DE LONGITUD,HEBRA DE 30 - 50 cm DE LONGITUD. CAJA POR DOCE</v>
          </cell>
          <cell r="G3354" t="str">
            <v>UN</v>
          </cell>
        </row>
        <row r="3355">
          <cell r="E3355">
            <v>7051065</v>
          </cell>
          <cell r="F3355" t="str">
            <v>SUTURA SINTETICA ABSORBIBLE, RECUBIERTA, CALIBRE 6/0, CON DOBLE AGUJA3/8 DE CIRCULO, CORTANTE LATERAL EN ESPATULA, DE6-7mm DE LONGITUD,HEBRA DE 30 - 50 cm DE LONGITUD. CAJA POR DOCE</v>
          </cell>
          <cell r="G3355" t="str">
            <v>UN</v>
          </cell>
        </row>
        <row r="3356">
          <cell r="E3356">
            <v>7051066</v>
          </cell>
          <cell r="F3356" t="str">
            <v>SUTURA SINTETICA ABSORBIBLE, RECUBIERTA, CALIBRE 6/0, CON DOBLE AGUJA3/8 DE CIRCULO, CORTANTE LATERAL EN ESPATULA, DE6-7mm DE LONGITUD,HEBRA DE 30 - 50 cm DE LONGITUD. CAJA POR DOCE</v>
          </cell>
          <cell r="G3356" t="str">
            <v>UN</v>
          </cell>
        </row>
        <row r="3357">
          <cell r="E3357">
            <v>7051067</v>
          </cell>
          <cell r="F3357" t="str">
            <v>SUTURA SINTETICA ABSORBIBLE, RECUBIERTA, CALIBRE 6/0, CON DOBLE AGUJA3/8 DE CIRCULO, CORTANTE LATERAL EN ESPATULA, DE6-7mm DE LONGITUD,HEBRA DE 30 - 50 cm DE LONGITUD. CAJA POR DOCE</v>
          </cell>
          <cell r="G3357" t="str">
            <v>UN</v>
          </cell>
        </row>
        <row r="3358">
          <cell r="E3358">
            <v>7051068</v>
          </cell>
          <cell r="F3358" t="str">
            <v>SUTURA SINTETICA ABSORBIBLE, RECUBIERTA, CALIBRE 6/0, CON DOBLE AGUJAESPATULADA 1/4 DE CIRCULO, DE 8 mm DE LONGITUD, HEBRA DE 40 - 50 cm DELONGITUD. CAJA POR DOCE</v>
          </cell>
          <cell r="G3358" t="str">
            <v>UN</v>
          </cell>
        </row>
        <row r="3359">
          <cell r="E3359">
            <v>7051069</v>
          </cell>
          <cell r="F3359" t="str">
            <v>SUTURA SINTETICA MONOFILAMENTO ABSORBIBLE 1 CON AGUJA REDONDA 1/2CIRCULO DE 34 - 37 MM HEBRA DE 60-90 CMS. CAJA POR DOCE</v>
          </cell>
          <cell r="G3359" t="str">
            <v>UN</v>
          </cell>
        </row>
        <row r="3360">
          <cell r="E3360">
            <v>7051070</v>
          </cell>
          <cell r="F3360" t="str">
            <v>SUTURA SINTETICA MONOFILAMENTO ABSORBIBLE 2/0 CON AGUJA REDONDA 1/2 CIRCULO DE 24 - 26 MM HEBRA DE 65 - 75 CMS. CAJA POR DOCE</v>
          </cell>
          <cell r="G3360" t="str">
            <v>UN</v>
          </cell>
        </row>
        <row r="3361">
          <cell r="E3361">
            <v>7051071</v>
          </cell>
          <cell r="F3361" t="str">
            <v>SUTURA SINTETICA MONOFILAMENTO ABSORBIBLE 2/0 CON AGUJA REDONDA 1/2 CIRCULO DE 34-37 MM HEBRA DE 60-90 CMS. CAJA POR DOCE</v>
          </cell>
          <cell r="G3361" t="str">
            <v>UN</v>
          </cell>
        </row>
        <row r="3362">
          <cell r="E3362">
            <v>7052030</v>
          </cell>
          <cell r="F3362" t="str">
            <v>SEDA  NEGRA  TRENZADA 4/0, DOBLE  AGUJA 3/8 DE  CIRCULO,  REVERSO  CORTANTE, MICRO PUNTA  DE 12-13 MM, HEBRA DE 45-60 CMS. CAJA PORDOCE</v>
          </cell>
          <cell r="G3362" t="str">
            <v>UN</v>
          </cell>
        </row>
        <row r="3363">
          <cell r="E3363">
            <v>7052031</v>
          </cell>
          <cell r="F3363" t="str">
            <v>SEDA  NEGRA  TRENZADA 5/0, DOBLE  AGUJA 3/8 DE  CIRCULO,  REVERSO  CORTANTE,  DE 12-13 MM, HEBRA DE 45-75 CMS. CAJA POR DOCE</v>
          </cell>
          <cell r="G3363" t="str">
            <v>UN</v>
          </cell>
        </row>
        <row r="3364">
          <cell r="E3364">
            <v>7052032</v>
          </cell>
          <cell r="F3364" t="str">
            <v>SEDA NEGRA TRENZADA 0, AGUJA DE 1/2 DE CIRCULO, PUNTA REDONDA, DE 35-40 MM. HEBRA DE 45-75 CM</v>
          </cell>
          <cell r="G3364" t="str">
            <v>UN</v>
          </cell>
        </row>
        <row r="3365">
          <cell r="E3365">
            <v>7052033</v>
          </cell>
          <cell r="F3365" t="str">
            <v>SEDA NEGRA TRENZADA 0, SIN AGUJA PRECORTADA DE 10-12 HEBRAS DE 60-75 CMS  DE LARGO. CAJA POR DOCE</v>
          </cell>
          <cell r="G3365" t="str">
            <v>UN</v>
          </cell>
        </row>
        <row r="3366">
          <cell r="E3366">
            <v>7052034</v>
          </cell>
          <cell r="F3366" t="str">
            <v>SEDA NEGRA TRENZADA 1, AGUJA DE 3/8 DE CIRCULO REVERSO CORTANTE DE 35-40 MM. HEBRA DE 45-75 CMS. CAJA POR DOCE</v>
          </cell>
          <cell r="G3366" t="str">
            <v>UN</v>
          </cell>
        </row>
        <row r="3367">
          <cell r="E3367">
            <v>7052035</v>
          </cell>
          <cell r="F3367" t="str">
            <v>SEDA NEGRA TRENZADA 1, SIN AGUJA PRECORTADA DE 10-12 HEBRAS DE 60-75 CMS  DE LARGO. CAJA POR DOCE</v>
          </cell>
          <cell r="G3367" t="str">
            <v>UN</v>
          </cell>
        </row>
        <row r="3368">
          <cell r="E3368">
            <v>7052036</v>
          </cell>
          <cell r="F3368" t="str">
            <v>SEDA NEGRA TRENZADA 2/0, AGUJA 1/2 CIRCULO PUNTA  REDONDA  DE 25-26 MM, HEBRA  DE 75-90 CMS. CAJA POR DOCE</v>
          </cell>
          <cell r="G3368" t="str">
            <v>UN</v>
          </cell>
        </row>
        <row r="3369">
          <cell r="E3369">
            <v>7052037</v>
          </cell>
          <cell r="F3369" t="str">
            <v>SEDA NEGRA TRENZADA 2/0, SIN AGUJA PRECORTADA DE 10-12 HEBRAS DE 60-75 CMS  DE LARGO. CAJA POR DOCE</v>
          </cell>
          <cell r="G3369" t="str">
            <v>UN</v>
          </cell>
        </row>
        <row r="3370">
          <cell r="E3370">
            <v>7052038</v>
          </cell>
          <cell r="F3370" t="str">
            <v>SEDA NEGRA TRENZADA 3/0, AGUJA 1/2 CIRCULO PUNTA  REDONDA  DE  15-22-MM, HEBRA  DE 75-90 CMS. CAJA POR DOCE</v>
          </cell>
          <cell r="G3370" t="str">
            <v>UN</v>
          </cell>
        </row>
        <row r="3371">
          <cell r="E3371">
            <v>7052039</v>
          </cell>
          <cell r="F3371" t="str">
            <v>SEDA NEGRA TRENZADA 3/0, AGUJA 1/2 CIRCULO PUNTA  REDONDA  DE  25-26-MM, HEBRA  DE 75-90 CMS. CAJA POR DOCE</v>
          </cell>
          <cell r="G3371" t="str">
            <v>UN</v>
          </cell>
        </row>
        <row r="3372">
          <cell r="E3372">
            <v>7052040</v>
          </cell>
          <cell r="F3372" t="str">
            <v>SEDA NEGRA TRENZADA 3/0, SIN AGUJA PRECORTADA DE 10-12 HEBRAS DE 60-75 CMS  DE LARGO. CAJA POR DOCE</v>
          </cell>
          <cell r="G3372" t="str">
            <v>UN</v>
          </cell>
        </row>
        <row r="3373">
          <cell r="E3373">
            <v>7052041</v>
          </cell>
          <cell r="F3373" t="str">
            <v>SEDA NEGRA TRENZADA 4/0,   AGUJA  3/8  REVERSO CORTANTE  DE 19-20 MM,HEBRA  DE 45-75 CMS. CAJA POR DOCE</v>
          </cell>
          <cell r="G3373" t="str">
            <v>UN</v>
          </cell>
        </row>
        <row r="3374">
          <cell r="E3374">
            <v>7052042</v>
          </cell>
          <cell r="F3374" t="str">
            <v>SEDA NEGRA TRENZADA 4/0, SIN AGUJA PRECORTADA DE 10-12 HEBRAS DE 60-75 CMS  DE LARGO. CAJA POR DOCE</v>
          </cell>
          <cell r="G3374" t="str">
            <v>UN</v>
          </cell>
        </row>
        <row r="3375">
          <cell r="E3375">
            <v>7052043</v>
          </cell>
          <cell r="F3375" t="str">
            <v>SEDA NEGRA TRENZADA 4-0, CON AGUJA REDONDA ½ CIRCULO DE 13 A 17 MM. HEBRA 45 - 75 CM.. CAJA POR DOCE</v>
          </cell>
          <cell r="G3375" t="str">
            <v>UN</v>
          </cell>
        </row>
        <row r="3376">
          <cell r="E3376">
            <v>7052044</v>
          </cell>
          <cell r="F3376" t="str">
            <v>SEDA NEGRA TRENZADA 4-0, CON AGUJA REDONDA ½ CIRCULO DE 13 A 17 MM. HEBRA 45 - 75 CM.. CAJA POR DOCE</v>
          </cell>
          <cell r="G3376" t="str">
            <v>UN</v>
          </cell>
        </row>
        <row r="3377">
          <cell r="E3377">
            <v>7052045</v>
          </cell>
          <cell r="F3377" t="str">
            <v>SEDA NEGRA TRENZADA 5/0, AGUJA 3/8 CIRCULO REVERSO CORTANTE  DE 19-20MM, HEBRA  DE 45-75 CMS. CAJA POR DOCE</v>
          </cell>
          <cell r="G3377" t="str">
            <v>UN</v>
          </cell>
        </row>
        <row r="3378">
          <cell r="E3378">
            <v>7052046</v>
          </cell>
          <cell r="F3378" t="str">
            <v>SEDA NEGRA TRENZADA 5-0, CON AGUJA REDONDA ½ CIRCULO DE 13 A 17 MM. HEBRA 45 - 75 CM.. CAJA POR DOCE</v>
          </cell>
          <cell r="G3378" t="str">
            <v>UN</v>
          </cell>
        </row>
        <row r="3379">
          <cell r="E3379">
            <v>7052047</v>
          </cell>
          <cell r="F3379" t="str">
            <v>SEDA NEGRA TRENZADA 7/0,   DOBLE AGUJA MICRO ESPATULA 3/8  CIRCULO DE6.0 - 6.5 MM. HEBRA DE 45 - 60 CMS. CAJA POR DOCE</v>
          </cell>
          <cell r="G3379" t="str">
            <v>UN</v>
          </cell>
        </row>
        <row r="3380">
          <cell r="E3380">
            <v>7053046</v>
          </cell>
          <cell r="F3380" t="str">
            <v>ACERO MONOFILAR # 7, AGUJA CORTANTE 1/2 CIRCULO DE 120 MM, HEBRA DE 60 CMS ± 10%. CAJA POR DOCE</v>
          </cell>
          <cell r="G3380" t="str">
            <v>UN</v>
          </cell>
        </row>
        <row r="3381">
          <cell r="E3381">
            <v>7053047</v>
          </cell>
          <cell r="F3381" t="str">
            <v>ACERO QUIRURGICO # 5 CON AGUJA CORTANTE, 1/2 CIRCULO DE 55 - 65 MM.SOBRE DE 2 HEBRAS X 75 - 85 CMS</v>
          </cell>
          <cell r="G3381" t="str">
            <v>UN</v>
          </cell>
        </row>
        <row r="3382">
          <cell r="E3382">
            <v>7053048</v>
          </cell>
          <cell r="F3382" t="str">
            <v>ACERO QUIRURGICO MONOFILAMENTO #5, CON AGUJA 1/2 CIRCULO DE 55 A 60 MM, HEBRA DE 70 A 80 CM, CAJA DE 12 UNIDADES</v>
          </cell>
          <cell r="G3382" t="str">
            <v>UN</v>
          </cell>
        </row>
        <row r="3383">
          <cell r="E3383">
            <v>7053049</v>
          </cell>
          <cell r="F3383" t="str">
            <v>ALAMBRE DE ACERO INOXIDABLE 1, AGUJA 1/2 CIRCULO, 40 - 45 MM, PUNTA CORTANTE, HEBRA DE 45 - 50 CM</v>
          </cell>
          <cell r="G3383" t="str">
            <v>UN</v>
          </cell>
        </row>
        <row r="3384">
          <cell r="E3384">
            <v>7053053</v>
          </cell>
          <cell r="F3384" t="str">
            <v>BANDA QUIRURGICA DE ACERO  INOXIDABLE PARA SUTURA DE ESTERNON, MONOFILAMENTO, HEBRA DE 35 - 50 CM, DOBLE AGUJA CORTANTE. CAJA POR DOCE</v>
          </cell>
          <cell r="G3384" t="str">
            <v>UN</v>
          </cell>
        </row>
        <row r="3385">
          <cell r="E3385">
            <v>7053054</v>
          </cell>
          <cell r="F3385" t="str">
            <v>CINTA DE POLIESTER DE 5 MM. DE ANCHO X 30 X 50 CMS DE LARGO. CON DOBLE AGUJA, MEDIO CIRCULO, CUERPO REDONDO, PUNTA ROMA DE 45 MM.. CAJA PORDOCE</v>
          </cell>
          <cell r="G3385" t="str">
            <v>UN</v>
          </cell>
        </row>
        <row r="3386">
          <cell r="E3386">
            <v>7053055</v>
          </cell>
          <cell r="F3386" t="str">
            <v>Malla quirúrgica de Polipropileno Monofilamento, con poro mayor de 75micras, grosor menor o igual a 0.022" (0.57 mm), plana, de 20 - 30 x 30- 40 cm.</v>
          </cell>
          <cell r="G3386" t="str">
            <v>UN</v>
          </cell>
        </row>
        <row r="3387">
          <cell r="E3387">
            <v>7053056</v>
          </cell>
          <cell r="F3387" t="str">
            <v>MALLA QUIRURGICA DE POLIPROPILENO. PLANA  DE 20 - 30 CMS X 30 - 40 CM</v>
          </cell>
          <cell r="G3387" t="str">
            <v>UN</v>
          </cell>
        </row>
        <row r="3388">
          <cell r="E3388">
            <v>7053057</v>
          </cell>
          <cell r="F3388" t="str">
            <v>MALLA QUIRURGICA DE POLIPROPILENO. PLANA O TRIDIMENCIONAL DE 5 - 8 CMS X11 - 13 CM</v>
          </cell>
          <cell r="G3388" t="str">
            <v>UN</v>
          </cell>
        </row>
        <row r="3389">
          <cell r="E3389">
            <v>7053058</v>
          </cell>
          <cell r="F3389" t="str">
            <v>NYLON  MONOFILAMENTO  9/0,  DOBLE  AGUJA  MICRO   ESPATULA, 3/8 DE CIRCILO, DE 6.0 - 6.5 MM, HEBRA DE 30 - 45 CM. CAJA POR DOCE</v>
          </cell>
          <cell r="G3389" t="str">
            <v>UN</v>
          </cell>
        </row>
        <row r="3390">
          <cell r="E3390">
            <v>7053059</v>
          </cell>
          <cell r="F3390" t="str">
            <v>NYLON 2 MONOFILAMENTO HEBRA 75 CM CON AGUJA 75 MMDE LARGO CORTANTE, 3/8CIRCULO</v>
          </cell>
          <cell r="G3390" t="str">
            <v>UN</v>
          </cell>
        </row>
        <row r="3391">
          <cell r="E3391">
            <v>7053061</v>
          </cell>
          <cell r="F3391" t="str">
            <v>NYLON MONOFILAMENTO # 0, AGUJA 1/2 CIRCULO, PUNTA  REDONDA DE 27 - 30MM, HEBRA  DE 75 - 100 CM. CAJA POR DOCE</v>
          </cell>
          <cell r="G3391" t="str">
            <v>UN</v>
          </cell>
        </row>
        <row r="3392">
          <cell r="E3392">
            <v>7053062</v>
          </cell>
          <cell r="F3392" t="str">
            <v>NYLON MONOFILAMENTO # 1, AGUJA 3/8 CIRCULO, PUNTA  REVERSO CORTANTE DE 75 - 90 MM, HEBRA DE 75 - 100 CM. CAJA POR DOCE</v>
          </cell>
          <cell r="G3392" t="str">
            <v>UN</v>
          </cell>
        </row>
        <row r="3393">
          <cell r="E3393">
            <v>7053063</v>
          </cell>
          <cell r="F3393" t="str">
            <v>NYLON MONOFILAMENTO # 10/0, DOBLE AGUJA, MICRO ESPATULA, CORTE LATERAL 3/8 DE CIRCULO DE 6.0 - 6.5 MM, HEBRA 30-45 CMS, MAS SEDA 4/0, AGUJAMICRO PUNTA REVERSO CORTANTE 3/8 DE CIRCULO DE 13 CM, HEBRA DE 30 A 45CM. CAJA POR DOCE</v>
          </cell>
          <cell r="G3393" t="str">
            <v>UN</v>
          </cell>
        </row>
        <row r="3394">
          <cell r="E3394">
            <v>7053064</v>
          </cell>
          <cell r="F3394" t="str">
            <v>NYLON MONOFILAMENTO 2/0, CON AGUJA 3/8 DE CIRCULO,  PUNTA  REVERSO CORTANTE DE 24 - 30 MM, HEBRA  DE 45 - 60 CM. CAJA POR DOCE</v>
          </cell>
          <cell r="G3394" t="str">
            <v>UN</v>
          </cell>
        </row>
        <row r="3395">
          <cell r="E3395">
            <v>7053065</v>
          </cell>
          <cell r="F3395" t="str">
            <v>NYLON MONOFILAMENTO 3/0, AGUJA 3/8 CIRCULO, PUNTA   REVERSO CORTANTEDE 19 - 24 MM, HEBRA  DE 45 - 75 CM. CAJA POR DOCE</v>
          </cell>
          <cell r="G3395" t="str">
            <v>UN</v>
          </cell>
        </row>
        <row r="3396">
          <cell r="E3396">
            <v>7053066</v>
          </cell>
          <cell r="F3396" t="str">
            <v>NYLON MONOFILAMENTO 4/0, AGUJA 3/8 CIRCULO, PUNTA DE PRECISION REVERSO CORTANTE, DE 18 - 19 mm, CON ESTRIA LONGITUDINAL EN EL CUERPO, HEBRADE 45 - 60 cm. CAJA POR DOCE</v>
          </cell>
          <cell r="G3396" t="str">
            <v>UN</v>
          </cell>
        </row>
        <row r="3397">
          <cell r="E3397">
            <v>7053067</v>
          </cell>
          <cell r="F3397" t="str">
            <v>NYLON MONOFILAMENTO 5/0, AGUJA 3/8 CIRCULO, PUNTA DE PRECISION REVERSO CORTANTE DE 16 - 19 mm, CON ESTRIA LONGITUDINAL EN EL CUERPO, HEBRA DE 45 - 60 cm. CAJA POR DOCE</v>
          </cell>
          <cell r="G3397" t="str">
            <v>UN</v>
          </cell>
        </row>
        <row r="3398">
          <cell r="E3398">
            <v>7053068</v>
          </cell>
          <cell r="F3398" t="str">
            <v>NYLON MONOFILAMENTO 6/0, AGUJA 3/8 CIRCULO, PUNTA DE PRECISION REVERSO CORTANTE DE 11 - 15 mm, CON ESTRIA LONGITUDINAL EN EL CUERPO, HEBRA DE 45 - 60 cm. CAJA POR DOCE</v>
          </cell>
          <cell r="G3398" t="str">
            <v>UN</v>
          </cell>
        </row>
        <row r="3399">
          <cell r="E3399">
            <v>7053069</v>
          </cell>
          <cell r="F3399" t="str">
            <v>NYLON NEGRO TRENZADO 4-0, AGUJA 1/2 CIRCULO PUNTA  REDONDA DE 12-13 MM. HEBRA DE 45 - 60 CMS O PAQUETE DE 8 HEBRAS. CAJA POR DOCE</v>
          </cell>
          <cell r="G3399" t="str">
            <v>UN</v>
          </cell>
        </row>
        <row r="3400">
          <cell r="E3400">
            <v>7053071</v>
          </cell>
          <cell r="F3400" t="str">
            <v>POLIESTER BLANCO TRENZADO 5-0 DOBLE AGUJA PUNTA ESPATULADA DE 1/4, CIRCULO DE 8-9 MM LARGO HEBRA 40-50 CM. CAJA POR DOCE</v>
          </cell>
          <cell r="G3400" t="str">
            <v>UN</v>
          </cell>
        </row>
        <row r="3401">
          <cell r="E3401">
            <v>7053072</v>
          </cell>
          <cell r="F3401" t="str">
            <v>POLIESTER TRENZADO 2/0, CARDIOVASCULAR PARA SUTURA DE VALVULA CARDIACA,RECUBIERTO, DOBLE AGUJA MEDIO CIRCULO, PUNTA REDONDA ATRAUMATICA DE 20 A26 MM, CON ALMOHADILLA DE TEFLÓN DE6x 3 x 1.5 MM, HILOS COLOR VERDE YBLANCO. DOCENA</v>
          </cell>
          <cell r="G3401" t="str">
            <v>UN</v>
          </cell>
        </row>
        <row r="3402">
          <cell r="E3402">
            <v>7053073</v>
          </cell>
          <cell r="F3402" t="str">
            <v>POLIESTER TRENZADO 3/0, DOBLE AGUJA 1/2 CIRCULO PUNTA REDONDA  DE 15-18 MM, HEBRA  DE 75-90 CMS. CAJA POR DOCE</v>
          </cell>
          <cell r="G3402" t="str">
            <v>UN</v>
          </cell>
        </row>
        <row r="3403">
          <cell r="E3403">
            <v>7053074</v>
          </cell>
          <cell r="F3403" t="str">
            <v>POLIESTER TRENZADO 5/0, DOBLE AGUJA 1/4 CIRCULO   PUNTA  ESPATULADA  DE 8.0-9.0 MM, HEBRA  DE 30-45 CMS. CAJA POR DOCE</v>
          </cell>
          <cell r="G3403" t="str">
            <v>UN</v>
          </cell>
        </row>
        <row r="3404">
          <cell r="E3404">
            <v>7053075</v>
          </cell>
          <cell r="F3404" t="str">
            <v>POLIESTER TRENZADO 6/0, DOBLE AGUJA 1/4 CIRCULO   PUNTA  ESPATULADA  DE 8.0-9.0 MM, HEBRA  DE 30-45 CMS. CAJA POR DOCE</v>
          </cell>
          <cell r="G3404" t="str">
            <v>UN</v>
          </cell>
        </row>
        <row r="3405">
          <cell r="E3405">
            <v>7053076</v>
          </cell>
          <cell r="F3405" t="str">
            <v>POLIPROPILENO MONOFILAMENTO # 0,  AGUJA 1/2  CIRCULO, PUNTA  REDONDA DE35-40  MM, HEBRA  DE 75-100 CMS. CAJA POR DOCE</v>
          </cell>
          <cell r="G3405" t="str">
            <v>UN</v>
          </cell>
        </row>
        <row r="3406">
          <cell r="E3406">
            <v>7053077</v>
          </cell>
          <cell r="F3406" t="str">
            <v>POLIPROPILENO MONOFILAMENTO 3/0, DOBLE AGUJA 1/2  CIRCULO PUNTA REDONDA  DE 15 -18 MM, HEBRA  DE 75-90 CMS. CAJA POR DOCE</v>
          </cell>
          <cell r="G3406" t="str">
            <v>UN</v>
          </cell>
        </row>
        <row r="3407">
          <cell r="E3407">
            <v>7053078</v>
          </cell>
          <cell r="F3407" t="str">
            <v>POLIPROPILENO MONOFILAMENTO 4/0, DOBLE AGUJA 1/2  CIRCULO PUNTA REDONDA  DE 15-18 MM.M HEBRA  DE 60-90 CMS. CAJA POR DOCE</v>
          </cell>
          <cell r="G3407" t="str">
            <v>UN</v>
          </cell>
        </row>
        <row r="3408">
          <cell r="E3408">
            <v>7053079</v>
          </cell>
          <cell r="F3408" t="str">
            <v>POLIPROPILENO MONOFILAMENTO 5/0, DOBLE AGUJA 1/2  CIRCULO PUNTA REDONDA  DE 10-13 MM, HEBRA  DE 60-90 CMS. CAJA POR DOCE</v>
          </cell>
          <cell r="G3408" t="str">
            <v>UN</v>
          </cell>
        </row>
        <row r="3409">
          <cell r="E3409">
            <v>7053080</v>
          </cell>
          <cell r="F3409" t="str">
            <v>POLIPROPILENO MONOFILAMENTO 5/0, DOBLE AGUJA 1/2  CIRCULO PUNTA REDONDA  TIPO HEMOSEAL, DE 10 -13 MM, HEBRA  DE 60 - 90 CM</v>
          </cell>
          <cell r="G3409" t="str">
            <v>UN</v>
          </cell>
        </row>
        <row r="3410">
          <cell r="E3410">
            <v>7053081</v>
          </cell>
          <cell r="F3410" t="str">
            <v>POLIPROPILENO MONOFILAMENTO 6/0, DOBLE AGUJA 3/8  CIRCULO PUNTA REDONDA DE 8-10 MM, HEBRA 60-90 CMS. CAJA POR DOCE</v>
          </cell>
          <cell r="G3410" t="str">
            <v>UN</v>
          </cell>
        </row>
        <row r="3411">
          <cell r="E3411">
            <v>7053082</v>
          </cell>
          <cell r="F3411" t="str">
            <v>POLIPROPILENO MONOFILAMENTO 6/0, DOBLE AGUJA 3/8  CIRCULO, PUNTA  CORTANTE  DE 8-10  MM, HEBRA  DE  60-90 CMS. CAJA POR DOCE</v>
          </cell>
          <cell r="G3411" t="str">
            <v>UN</v>
          </cell>
        </row>
        <row r="3412">
          <cell r="E3412">
            <v>7053083</v>
          </cell>
          <cell r="F3412" t="str">
            <v>POLIPROPILENO MONOFILAMENTO 7/0, DOBLE AGUJA 3/8  CIRCULO PUNTA REDONDA DE 8-10 MM, HEBRA 60-90 CMS. CAJA POR DOCE</v>
          </cell>
          <cell r="G3412" t="str">
            <v>UN</v>
          </cell>
        </row>
        <row r="3413">
          <cell r="E3413">
            <v>7053084</v>
          </cell>
          <cell r="F3413" t="str">
            <v>POLIPROPILENO MONOFILAMENTO 7/0, DOBLE AGUJA 3/8  CIRCULO, PUNTA  CORTANTE  DE 8-10  MM, HEBRA  DE  60-90 CMS. CAJA POR DOCE</v>
          </cell>
          <cell r="G3413" t="str">
            <v>UN</v>
          </cell>
        </row>
        <row r="3414">
          <cell r="E3414">
            <v>7053085</v>
          </cell>
          <cell r="F3414" t="str">
            <v>POLYESTER 2/0  DOBLE AGUJA 1/2 CIRCULO REDONDO DE 22-25 MM, HEBRA DE 60-90 CM. CAJA POR DOCE</v>
          </cell>
          <cell r="G3414" t="str">
            <v>UN</v>
          </cell>
        </row>
        <row r="3415">
          <cell r="E3415">
            <v>7053086</v>
          </cell>
          <cell r="F3415" t="str">
            <v>SET DE PUNTOS DE RETENSION ACERO RECUBIERTO DE 1.3MM DIAMET.,DOBLE AGUJA 3/8 DE CIRCULO CORTANTE DE 100 MM.,HEBRA DE 75-90 CMS Y SUS RESPECTIVAS PLACAS PLASTICAS OVALES.</v>
          </cell>
          <cell r="G3415" t="str">
            <v>UN</v>
          </cell>
        </row>
        <row r="3416">
          <cell r="E3416">
            <v>7053087</v>
          </cell>
          <cell r="F3416" t="str">
            <v>SUTURA DE SINTETICA NO ABSORBIBLE DE POLIPROPILENO CALIBRE 2/0, HEBRADE 60 - 75 cm. DE LONGITUD, AGUJA ATRAUMATICA DE 1/2 CIRCULO CON CUERPO DE 2.1 - 2.5 cm. CAJA POR DOCE</v>
          </cell>
          <cell r="G3416" t="str">
            <v>UN</v>
          </cell>
        </row>
        <row r="3417">
          <cell r="E3417">
            <v>7053088</v>
          </cell>
          <cell r="F3417" t="str">
            <v>SUTURA MONOFILAMENTO DE POLIPROPILENO 2/0, DOBLE AGUJA 1/2 CIRCULO PUNTA REDONDA DE 25-26 MM, HEBRA  DE 75-90 CMS. CAJA POR DOCE</v>
          </cell>
          <cell r="G3417" t="str">
            <v>UN</v>
          </cell>
        </row>
        <row r="3418">
          <cell r="E3418">
            <v>7053089</v>
          </cell>
          <cell r="F3418" t="str">
            <v>SUTURA SINTETICA NO ABSORBIBLE DE POLIESTER TRENZADO, CALIBRE 2/0, DOBLE AGUJA 1/2 CIRCULO, ATRAUMATICA, DE 17 - 22 MM, HEBRA  DE 70 - 80 CMS, CAJA DE 12 UNIDADES</v>
          </cell>
          <cell r="G3418" t="str">
            <v>UN</v>
          </cell>
        </row>
        <row r="3419">
          <cell r="E3419">
            <v>7053090</v>
          </cell>
          <cell r="F3419" t="str">
            <v>SUTURA SINTETICA NO ABSORBIBLE MONO FILAMENTO DE NYLON, CALIBRE 4/0 CON HEBRA DE 45 - 60 cm DE LARGO AGUJA DE CUERPO ESTRIADO LONGITUDINAL DE ACERO INOXIDABLE CON PUNTA REVERSO CORTANTE CURVATURA DE 1/2 CIRCULO CON CUERPO DE 1.1 - 1.6 cm. CAJA POR DOCE</v>
          </cell>
          <cell r="G3419" t="str">
            <v>UN</v>
          </cell>
        </row>
        <row r="3420">
          <cell r="E3420">
            <v>7053091</v>
          </cell>
          <cell r="F3420" t="str">
            <v>SUTURA SINTETICA NO ABSORBIBLE MONOFILAMENTO DE NYLON, CALIBRE 4/0 CON HEBRA DE 45 - 60 cm DE LARGO AGUJA DE CUERPO ESTRIADO LONGITUDINAL DE ACERO INOXIDABLE CON PUNTA REVERSO CORTANTE CURVATURA DE 3/8 CIRCULOCON CUERPO DE 1.1 - 1.5 cm. CAJA POR DOCE</v>
          </cell>
          <cell r="G3420" t="str">
            <v>UN</v>
          </cell>
        </row>
        <row r="3421">
          <cell r="E3421">
            <v>7053092</v>
          </cell>
          <cell r="F3421" t="str">
            <v>SUTURA SINTETICA NO ABSORBIBLE, MONOFILAMENTO DE NYLON CALIBRE 6/0, CON HEBRA DE 45 - 60 cm DE LARGO, AGUJA DE CUERPO ESTRIADO LONGITUDINALDE ACERO INOXIDALBE CON PUNTA REVERSO CORTANTE, CURVATURA DE 1/2 CIRCULO CON CUERPO DE 1.3 - 1.6 cm. CAJA POR DOCE</v>
          </cell>
          <cell r="G3421" t="str">
            <v>UN</v>
          </cell>
        </row>
        <row r="3422">
          <cell r="E3422">
            <v>7060000</v>
          </cell>
          <cell r="F3422" t="str">
            <v>BARRA 100 MM</v>
          </cell>
          <cell r="G3422" t="str">
            <v>C/U</v>
          </cell>
        </row>
        <row r="3423">
          <cell r="E3423">
            <v>7060001</v>
          </cell>
          <cell r="F3423" t="str">
            <v>BARRA 110 MM</v>
          </cell>
          <cell r="G3423" t="str">
            <v>C/U</v>
          </cell>
        </row>
        <row r="3424">
          <cell r="E3424">
            <v>7060002</v>
          </cell>
          <cell r="F3424" t="str">
            <v>BARRA 120 MM</v>
          </cell>
          <cell r="G3424" t="str">
            <v>C/U</v>
          </cell>
        </row>
        <row r="3425">
          <cell r="E3425">
            <v>7060003</v>
          </cell>
          <cell r="F3425" t="str">
            <v>BARRA 130 MM</v>
          </cell>
          <cell r="G3425" t="str">
            <v>C/U</v>
          </cell>
        </row>
        <row r="3426">
          <cell r="E3426">
            <v>7060004</v>
          </cell>
          <cell r="F3426" t="str">
            <v>BARRA 150 MM</v>
          </cell>
          <cell r="G3426" t="str">
            <v>C/U</v>
          </cell>
        </row>
        <row r="3427">
          <cell r="E3427">
            <v>7060005</v>
          </cell>
          <cell r="F3427" t="str">
            <v>BARRA 50 MM</v>
          </cell>
          <cell r="G3427" t="str">
            <v>C/U</v>
          </cell>
        </row>
        <row r="3428">
          <cell r="E3428">
            <v>7060006</v>
          </cell>
          <cell r="F3428" t="str">
            <v>BARRA 60 MM</v>
          </cell>
          <cell r="G3428" t="str">
            <v>C/U</v>
          </cell>
        </row>
        <row r="3429">
          <cell r="E3429">
            <v>7060007</v>
          </cell>
          <cell r="F3429" t="str">
            <v>BARRA 90 MM</v>
          </cell>
          <cell r="G3429" t="str">
            <v>C/U</v>
          </cell>
        </row>
        <row r="3430">
          <cell r="E3430">
            <v>7060009</v>
          </cell>
          <cell r="F3430" t="str">
            <v>CONECTOR MULTI AXIAL 29-31 MM</v>
          </cell>
          <cell r="G3430" t="str">
            <v>C/U</v>
          </cell>
        </row>
        <row r="3431">
          <cell r="E3431">
            <v>7060010</v>
          </cell>
          <cell r="F3431" t="str">
            <v>CONECTOR MULTI AXIAL 31-35 MM</v>
          </cell>
          <cell r="G3431" t="str">
            <v>C/U</v>
          </cell>
        </row>
        <row r="3432">
          <cell r="E3432">
            <v>7060011</v>
          </cell>
          <cell r="F3432" t="str">
            <v>CONECTOR MULTI AXIAL 35-39 MM</v>
          </cell>
          <cell r="G3432" t="str">
            <v>C/U</v>
          </cell>
        </row>
        <row r="3433">
          <cell r="E3433">
            <v>7060012</v>
          </cell>
          <cell r="F3433" t="str">
            <v>CONECTOR MULTI AXIAL 36-40 MM</v>
          </cell>
          <cell r="G3433" t="str">
            <v>C/U</v>
          </cell>
        </row>
        <row r="3434">
          <cell r="E3434">
            <v>7060013</v>
          </cell>
          <cell r="F3434" t="str">
            <v>CONECTOR MULTI AXIAL 38-43</v>
          </cell>
          <cell r="G3434" t="str">
            <v>C/U</v>
          </cell>
        </row>
        <row r="3435">
          <cell r="E3435">
            <v>7060014</v>
          </cell>
          <cell r="F3435" t="str">
            <v>CONECTOR MULTI AXIAL 42-51 MM</v>
          </cell>
          <cell r="G3435" t="str">
            <v>C/U</v>
          </cell>
        </row>
        <row r="3436">
          <cell r="E3436">
            <v>7060015</v>
          </cell>
          <cell r="F3436" t="str">
            <v>CONECTOR MULTI AXIAL 50-67 MM</v>
          </cell>
          <cell r="G3436" t="str">
            <v>C/U</v>
          </cell>
        </row>
        <row r="3437">
          <cell r="E3437">
            <v>7060016</v>
          </cell>
          <cell r="F3437" t="str">
            <v>OJIVA DE TITANEO 10-0 GRADOS</v>
          </cell>
          <cell r="G3437" t="str">
            <v>C/U</v>
          </cell>
        </row>
        <row r="3438">
          <cell r="E3438">
            <v>7060017</v>
          </cell>
          <cell r="F3438" t="str">
            <v>OJIVA DE TITANEO 10-4 GRADOS</v>
          </cell>
          <cell r="G3438" t="str">
            <v>C/U</v>
          </cell>
        </row>
        <row r="3439">
          <cell r="E3439">
            <v>7060018</v>
          </cell>
          <cell r="F3439" t="str">
            <v>OJIVA DE TITANEO 10-8 GRADOS</v>
          </cell>
          <cell r="G3439" t="str">
            <v>C/U</v>
          </cell>
        </row>
        <row r="3440">
          <cell r="E3440">
            <v>7060019</v>
          </cell>
          <cell r="F3440" t="str">
            <v>OJIVA DE TITANEO 11-0 GRADOS</v>
          </cell>
          <cell r="G3440" t="str">
            <v>C/U</v>
          </cell>
        </row>
        <row r="3441">
          <cell r="E3441">
            <v>7060020</v>
          </cell>
          <cell r="F3441" t="str">
            <v>OJIVA DE TITANEO 11-4 GRADOS</v>
          </cell>
          <cell r="G3441" t="str">
            <v>C/U</v>
          </cell>
        </row>
        <row r="3442">
          <cell r="E3442">
            <v>7060021</v>
          </cell>
          <cell r="F3442" t="str">
            <v>OJIVA DE TITANEO 11-8 GRADOS</v>
          </cell>
          <cell r="G3442" t="str">
            <v>C/U</v>
          </cell>
        </row>
        <row r="3443">
          <cell r="E3443">
            <v>7060022</v>
          </cell>
          <cell r="F3443" t="str">
            <v>OJIVA DE TITANEO 9-0 GRADOS</v>
          </cell>
          <cell r="G3443" t="str">
            <v>C/U</v>
          </cell>
        </row>
        <row r="3444">
          <cell r="E3444">
            <v>7060023</v>
          </cell>
          <cell r="F3444" t="str">
            <v>OJIVA DE TITANEO 9-4 GRADOS</v>
          </cell>
          <cell r="G3444" t="str">
            <v>C/U</v>
          </cell>
        </row>
        <row r="3445">
          <cell r="E3445">
            <v>7060024</v>
          </cell>
          <cell r="F3445" t="str">
            <v>OJIVA DE TITANEO PARA ESTABILIZACION DE CUERPOS VERTABRALES CERVICALES</v>
          </cell>
          <cell r="G3445" t="str">
            <v>C/U</v>
          </cell>
        </row>
        <row r="3446">
          <cell r="E3446">
            <v>7060025</v>
          </cell>
          <cell r="F3446" t="str">
            <v>TORNILLO AUTORROSCANTE DE TITANIO DE 2.0 X 17 MM</v>
          </cell>
          <cell r="G3446" t="str">
            <v>C/U</v>
          </cell>
        </row>
        <row r="3447">
          <cell r="E3447">
            <v>7060026</v>
          </cell>
          <cell r="F3447" t="str">
            <v>TORNILLO DE BRAZO LARGO LUMBAR DE 6.7 MM X 40 MM CON SU BLOQUEADOR,CAPUCHON Y OLIVA</v>
          </cell>
          <cell r="G3447" t="str">
            <v>C/U</v>
          </cell>
        </row>
        <row r="3448">
          <cell r="E3448">
            <v>7060027</v>
          </cell>
          <cell r="F3448" t="str">
            <v>TORNILLO DE BRAZO LARGO LUMBAR DE 6.7 MM X 45 MM CON SU BLOQUEADOR,CAPUCHON Y OLIVA</v>
          </cell>
          <cell r="G3448" t="str">
            <v>C/U</v>
          </cell>
        </row>
        <row r="3449">
          <cell r="E3449">
            <v>7060028</v>
          </cell>
          <cell r="F3449" t="str">
            <v>TORNILLO DE BRAZO LARGO LUMBAR DE 6.7 MM X 50 MM CON SU BLOQUEADOR,CAPUCHON Y OLIVA</v>
          </cell>
          <cell r="G3449" t="str">
            <v>C/U</v>
          </cell>
        </row>
        <row r="3450">
          <cell r="E3450">
            <v>7060029</v>
          </cell>
          <cell r="F3450" t="str">
            <v>TORNILLO LUMBAR DE 6.7 MM X 35 MM CON SUS BLOQUEADORES,CAPUCHONES Y OLIVAS</v>
          </cell>
          <cell r="G3450" t="str">
            <v>C/U</v>
          </cell>
        </row>
        <row r="3451">
          <cell r="E3451">
            <v>7060030</v>
          </cell>
          <cell r="F3451" t="str">
            <v>TORNILLO LUMBAR DE 6.7 MM X 40 MM CON SUS BLOQUEADORES,CAPUCHONES Y OLIVAS</v>
          </cell>
          <cell r="G3451" t="str">
            <v>C/U</v>
          </cell>
        </row>
        <row r="3452">
          <cell r="E3452">
            <v>7060031</v>
          </cell>
          <cell r="F3452" t="str">
            <v>TORNILLO LUMBAR DE 6.7 MM X 45 MM CON SUS BLOQUEADORES,CAPUCHONES Y OLIVAS</v>
          </cell>
          <cell r="G3452" t="str">
            <v>C/U</v>
          </cell>
        </row>
        <row r="3453">
          <cell r="E3453">
            <v>7060032</v>
          </cell>
          <cell r="F3453" t="str">
            <v>TORNILLO LUMBAR DE 6.7 MM X 50 MM CON SUS BLOQUEADORES,CAPUCHONES Y OLIVAS</v>
          </cell>
          <cell r="G3453" t="str">
            <v>C/U</v>
          </cell>
        </row>
        <row r="3454">
          <cell r="E3454">
            <v>7060033</v>
          </cell>
          <cell r="F3454" t="str">
            <v>TORNILLO SACRAL DE 8 MM X 40 MM CON SU BLOQUEADOR ,CAPUCHON Y OLIVA</v>
          </cell>
          <cell r="G3454" t="str">
            <v>C/U</v>
          </cell>
        </row>
        <row r="3455">
          <cell r="E3455">
            <v>7060034</v>
          </cell>
          <cell r="F3455" t="str">
            <v>TORNILLO SACRAL DE 8MM X 45 MM CON SU BLOQUEADOR,CAPUCHON Y OLIVA</v>
          </cell>
          <cell r="G3455" t="str">
            <v>C/U</v>
          </cell>
        </row>
        <row r="3456">
          <cell r="E3456">
            <v>7060035</v>
          </cell>
          <cell r="F3456" t="str">
            <v>TORNILLO TORACICO DE 5.5 MM X 30 MM CON SU BLOQUEADOR,CAPUCHON Y OLIVA</v>
          </cell>
          <cell r="G3456" t="str">
            <v>C/U</v>
          </cell>
        </row>
        <row r="3457">
          <cell r="E3457">
            <v>7060040</v>
          </cell>
          <cell r="F3457" t="str">
            <v>BARRA DE ERICH</v>
          </cell>
          <cell r="G3457" t="str">
            <v>UN</v>
          </cell>
        </row>
        <row r="3458">
          <cell r="E3458">
            <v>7061060</v>
          </cell>
          <cell r="F3458" t="str">
            <v>MICRO MALLA DE TITANIO DE 1.0 mm PERFIL DE 0.2 mm</v>
          </cell>
          <cell r="G3458" t="str">
            <v>UN</v>
          </cell>
        </row>
        <row r="3459">
          <cell r="E3459">
            <v>7061061</v>
          </cell>
          <cell r="F3459" t="str">
            <v>MICRO MALLA DE TITANIO DE 1.0 mm PERFIL DE 0.3 mm,</v>
          </cell>
          <cell r="G3459" t="str">
            <v>UN</v>
          </cell>
        </row>
        <row r="3460">
          <cell r="E3460">
            <v>7061062</v>
          </cell>
          <cell r="F3460" t="str">
            <v>MICRO PLACA DE TITANIO DE 0.6 MM DE 16 ORIFICIOS</v>
          </cell>
          <cell r="G3460" t="str">
            <v>UN</v>
          </cell>
        </row>
        <row r="3461">
          <cell r="E3461">
            <v>7061063</v>
          </cell>
          <cell r="F3461" t="str">
            <v>MICRO PLACA DE TITANIO DE 0.6 MM DE 2 ORIFICIOS</v>
          </cell>
          <cell r="G3461" t="str">
            <v>UN</v>
          </cell>
        </row>
        <row r="3462">
          <cell r="E3462">
            <v>7061064</v>
          </cell>
          <cell r="F3462" t="str">
            <v>MICRO PLACA DE TITANIO DE 0.6 MM DE 20 ORIFICIOS</v>
          </cell>
          <cell r="G3462" t="str">
            <v>UN</v>
          </cell>
        </row>
        <row r="3463">
          <cell r="E3463">
            <v>7061065</v>
          </cell>
          <cell r="F3463" t="str">
            <v>MICRO TORNILLO DE 1.0 mm X 3 mm</v>
          </cell>
          <cell r="G3463" t="str">
            <v>UN</v>
          </cell>
        </row>
        <row r="3464">
          <cell r="E3464">
            <v>7061066</v>
          </cell>
          <cell r="F3464" t="str">
            <v>MICRO TORNILLO DE 1.0 mm X 4 mm</v>
          </cell>
          <cell r="G3464" t="str">
            <v>UN</v>
          </cell>
        </row>
        <row r="3465">
          <cell r="E3465">
            <v>7061067</v>
          </cell>
          <cell r="F3465" t="str">
            <v>MICRO TORNILLO DE 1.0 mm X 5 mm</v>
          </cell>
          <cell r="G3465" t="str">
            <v>UN</v>
          </cell>
        </row>
        <row r="3466">
          <cell r="E3466">
            <v>7061068</v>
          </cell>
          <cell r="F3466" t="str">
            <v>MICRO TORNILLO DE TITANIO DE 1.0 mm X7mm</v>
          </cell>
          <cell r="G3466" t="str">
            <v>UN</v>
          </cell>
        </row>
        <row r="3467">
          <cell r="E3467">
            <v>7061069</v>
          </cell>
          <cell r="F3467" t="str">
            <v>MINI PLACA DE 2.0 mm X 16 ORIFICIOS</v>
          </cell>
          <cell r="G3467" t="str">
            <v>UN</v>
          </cell>
        </row>
        <row r="3468">
          <cell r="E3468">
            <v>7061070</v>
          </cell>
          <cell r="F3468" t="str">
            <v>MINI PLACA DE 2.0 mm X 2 ORIFICIOS, LARGO 13 cm</v>
          </cell>
          <cell r="G3468" t="str">
            <v>UN</v>
          </cell>
        </row>
        <row r="3469">
          <cell r="E3469">
            <v>7061071</v>
          </cell>
          <cell r="F3469" t="str">
            <v>MINI PLACA DE 2.0 mm X 4 ORIFICIOS A DOBLE ESPACIO, LARGO 28 mm APROXIMADO</v>
          </cell>
          <cell r="G3469" t="str">
            <v>UN</v>
          </cell>
        </row>
        <row r="3470">
          <cell r="E3470">
            <v>7061072</v>
          </cell>
          <cell r="F3470" t="str">
            <v>MINI PLACA DE 2.0 mm X 4 ORIFICIOS SIN ESPACIO, LARGO 22 mm APROXIMADO</v>
          </cell>
          <cell r="G3470" t="str">
            <v>UN</v>
          </cell>
        </row>
        <row r="3471">
          <cell r="E3471">
            <v>7061073</v>
          </cell>
          <cell r="F3471" t="str">
            <v>MINI PLACA DE 2.0 mm X 4 ORIFICIOS UN ESPACIO, LARGO 25 mm APROXIMADO</v>
          </cell>
          <cell r="G3471" t="str">
            <v>UN</v>
          </cell>
        </row>
        <row r="3472">
          <cell r="E3472">
            <v>7061074</v>
          </cell>
          <cell r="F3472" t="str">
            <v>MINI PLACA DE 2.0 mm X6ORIFICIOS A DOBLE ESPACIO, LARGO 39 mm APROXIMADO</v>
          </cell>
          <cell r="G3472" t="str">
            <v>UN</v>
          </cell>
        </row>
        <row r="3473">
          <cell r="E3473">
            <v>7061075</v>
          </cell>
          <cell r="F3473" t="str">
            <v>MINI PLACA DE 2.0 mm X6ORIFICIOS SIN ESPACIO, LARGO 34 mm APROXIMADO</v>
          </cell>
          <cell r="G3473" t="str">
            <v>UN</v>
          </cell>
        </row>
        <row r="3474">
          <cell r="E3474">
            <v>7061076</v>
          </cell>
          <cell r="F3474" t="str">
            <v>MINI PLACA DE 40 ORIFICIOS PARA RECONSTRUCCION LARGO 240MM</v>
          </cell>
          <cell r="G3474" t="str">
            <v>UN</v>
          </cell>
        </row>
        <row r="3475">
          <cell r="E3475">
            <v>7061077</v>
          </cell>
          <cell r="F3475" t="str">
            <v>MINI PLACA EN "L" DERECHA DE 4 ORIFICIOS, LARGO 22 X 11mm</v>
          </cell>
          <cell r="G3475" t="str">
            <v>UN</v>
          </cell>
        </row>
        <row r="3476">
          <cell r="E3476">
            <v>7061078</v>
          </cell>
          <cell r="F3476" t="str">
            <v>MINI PLACA EN "L" IZQUIERDA DE 2.0 mm X 4 ORIFICIOS, LARGO 22 X 11 mm</v>
          </cell>
          <cell r="G3476" t="str">
            <v>UN</v>
          </cell>
        </row>
        <row r="3477">
          <cell r="E3477">
            <v>7061079</v>
          </cell>
          <cell r="F3477" t="str">
            <v>MINI PLACA EN "Y" DE 2.0 mm X 4 ORIFICIOS</v>
          </cell>
          <cell r="G3477" t="str">
            <v>UN</v>
          </cell>
        </row>
        <row r="3478">
          <cell r="E3478">
            <v>7061080</v>
          </cell>
          <cell r="F3478" t="str">
            <v>MINI PLACA EN DOBLE Y, DE 2.0 mm X 6 ORIFICIOS</v>
          </cell>
          <cell r="G3478" t="str">
            <v>UN</v>
          </cell>
        </row>
        <row r="3479">
          <cell r="E3479">
            <v>7061081</v>
          </cell>
          <cell r="F3479" t="str">
            <v>MINI TORNILLO DE 2.0 X 10.0 mm</v>
          </cell>
          <cell r="G3479" t="str">
            <v>UN</v>
          </cell>
        </row>
        <row r="3480">
          <cell r="E3480">
            <v>7061082</v>
          </cell>
          <cell r="F3480" t="str">
            <v>MINI TORNILLO DE 2.0 X 6.0 mm</v>
          </cell>
          <cell r="G3480" t="str">
            <v>UN</v>
          </cell>
        </row>
        <row r="3481">
          <cell r="E3481">
            <v>7061083</v>
          </cell>
          <cell r="F3481" t="str">
            <v>MINI TORNILLO DE 2.0 X 7.0 mm</v>
          </cell>
          <cell r="G3481" t="str">
            <v>UN</v>
          </cell>
        </row>
        <row r="3482">
          <cell r="E3482">
            <v>7061084</v>
          </cell>
          <cell r="F3482" t="str">
            <v>MINI TORNILLO DE EMERGENCIA DE 2.3 X 7.0 mm</v>
          </cell>
          <cell r="G3482" t="str">
            <v>UN</v>
          </cell>
        </row>
        <row r="3483">
          <cell r="E3483">
            <v>7061085</v>
          </cell>
          <cell r="F3483" t="str">
            <v>MINI TORNILLO DE EMERGENCIA DE 2.3 X 9.0 mm</v>
          </cell>
          <cell r="G3483" t="str">
            <v>UN</v>
          </cell>
        </row>
        <row r="3484">
          <cell r="E3484">
            <v>7061086</v>
          </cell>
          <cell r="F3484" t="str">
            <v>MINI TORNILLO DE TITANEO DE 2.0 X 13 MM</v>
          </cell>
          <cell r="G3484" t="str">
            <v>UN</v>
          </cell>
        </row>
        <row r="3485">
          <cell r="E3485">
            <v>7061087</v>
          </cell>
          <cell r="F3485" t="str">
            <v>MINI TORNILLO DE TITANIO 2.0 X 11 mm</v>
          </cell>
          <cell r="G3485" t="str">
            <v>UN</v>
          </cell>
        </row>
        <row r="3486">
          <cell r="E3486">
            <v>7061088</v>
          </cell>
          <cell r="F3486" t="str">
            <v>MINI TORNILLO DE TITANIO 2.0 X 9 mm</v>
          </cell>
          <cell r="G3486" t="str">
            <v>UN</v>
          </cell>
        </row>
        <row r="3487">
          <cell r="E3487">
            <v>7061089</v>
          </cell>
          <cell r="F3487" t="str">
            <v>MINI TORNILLO DE TITANIO DE 1.5 X 4 mm</v>
          </cell>
          <cell r="G3487" t="str">
            <v>UN</v>
          </cell>
        </row>
        <row r="3488">
          <cell r="E3488">
            <v>7061090</v>
          </cell>
          <cell r="F3488" t="str">
            <v>MINI TORNILLO DE TITANIO DE 1.5 X 5 mm</v>
          </cell>
          <cell r="G3488" t="str">
            <v>UN</v>
          </cell>
        </row>
        <row r="3489">
          <cell r="E3489">
            <v>7061091</v>
          </cell>
          <cell r="F3489" t="str">
            <v>MINI TORNILLO DE TITANIO DE 2.0 X 4 mm</v>
          </cell>
          <cell r="G3489" t="str">
            <v>UN</v>
          </cell>
        </row>
        <row r="3490">
          <cell r="E3490">
            <v>7061092</v>
          </cell>
          <cell r="F3490" t="str">
            <v>MNI PLACA EN "L" DERECHA DE 2.0 mm X 4 ORIFICIOS, LARGO 22 X 11 mm</v>
          </cell>
          <cell r="G3490" t="str">
            <v>UN</v>
          </cell>
        </row>
        <row r="3491">
          <cell r="E3491">
            <v>7061093</v>
          </cell>
          <cell r="F3491" t="str">
            <v>SET DE CIRUGIA FACIAL QUE CONSTA DE PLACA DE RECONSTRUCCION Y SUS RESPECTIVOS TORNILLOS. ESPECIFICACIONES SEGUN NECESIDAD DE PACIENTE.</v>
          </cell>
          <cell r="G3491" t="str">
            <v>UN</v>
          </cell>
        </row>
        <row r="3492">
          <cell r="E3492">
            <v>7061094</v>
          </cell>
          <cell r="F3492" t="str">
            <v>TUTORES EXTERNOS PARA MANO</v>
          </cell>
          <cell r="G3492" t="str">
            <v>UN</v>
          </cell>
        </row>
        <row r="3493">
          <cell r="E3493">
            <v>7062230</v>
          </cell>
          <cell r="F3493" t="str">
            <v>ALAMBRE PARA HUESO, DIAMETRO 0.8 mm. ROLLO</v>
          </cell>
          <cell r="G3493" t="str">
            <v>UN</v>
          </cell>
        </row>
        <row r="3494">
          <cell r="E3494">
            <v>7062231</v>
          </cell>
          <cell r="F3494" t="str">
            <v>ALAMBRE PARA HUESO, DIAMETRO 1.0 mm. ROLLO</v>
          </cell>
          <cell r="G3494" t="str">
            <v>UN</v>
          </cell>
        </row>
        <row r="3495">
          <cell r="E3495">
            <v>7062232</v>
          </cell>
          <cell r="F3495" t="str">
            <v>ALAMBRE PARA HUESO, DIAMETRO 1.2 mm. ROLLO</v>
          </cell>
          <cell r="G3495" t="str">
            <v>UN</v>
          </cell>
        </row>
        <row r="3496">
          <cell r="E3496">
            <v>7062233</v>
          </cell>
          <cell r="F3496" t="str">
            <v>ARANDELA PARA TORNILLO CORITICAL DE 3.5 mm DIAMETRO</v>
          </cell>
          <cell r="G3496" t="str">
            <v>UN</v>
          </cell>
        </row>
        <row r="3497">
          <cell r="E3497">
            <v>7062234</v>
          </cell>
          <cell r="F3497" t="str">
            <v>ARANDELA PARA TORNILLO DE ESPONJOSA DE 4.0 mm DE DIAMETRO</v>
          </cell>
          <cell r="G3497" t="str">
            <v>UN</v>
          </cell>
        </row>
        <row r="3498">
          <cell r="E3498">
            <v>7062235</v>
          </cell>
          <cell r="F3498" t="str">
            <v>ARANDELA PARA TORNILLO DE ESPONJOSA DE 6.5 mm DE DIAMETRO</v>
          </cell>
          <cell r="G3498" t="str">
            <v>UN</v>
          </cell>
        </row>
        <row r="3499">
          <cell r="E3499">
            <v>7062236</v>
          </cell>
          <cell r="F3499" t="str">
            <v>CLAVO ALAMBRE PARA HUESO, NO ROSCADO CON PUNTA DE TROCAR, TIPO KIRSCHNER, DIAMETRO: 1.50 mm  LONGITUD:100 mm - 350 mm</v>
          </cell>
          <cell r="G3499" t="str">
            <v>UN</v>
          </cell>
        </row>
        <row r="3500">
          <cell r="E3500">
            <v>7062237</v>
          </cell>
          <cell r="F3500" t="str">
            <v>CLAVO ALAMBRE PARA HUESO, NO ROSCADO CON PUNTA DE TROCAR, TIPO KIRSCHNER.DIAMETRO: 0.80 mm LONGITUD: 70 mm - 150 mm</v>
          </cell>
          <cell r="G3500" t="str">
            <v>UN</v>
          </cell>
        </row>
        <row r="3501">
          <cell r="E3501">
            <v>7062238</v>
          </cell>
          <cell r="F3501" t="str">
            <v>CLAVO ALAMBRE PARA HUESO, NO ROSCADO CON PUNTA DE TROCAR, TIPO KIRSCHNER.DIAMETRO: 1.00 mm LONGITUD: 100 mm - 350 mm</v>
          </cell>
          <cell r="G3501" t="str">
            <v>UN</v>
          </cell>
        </row>
        <row r="3502">
          <cell r="E3502">
            <v>7062239</v>
          </cell>
          <cell r="F3502" t="str">
            <v>CLAVO ALAMBRE PARA HUESO, NO ROSCADO CON PUNTA DE TROCAR, TIPO KIRSCHNER.DIAMETRO: 1.20 mm LONGITUD: 100 mm - 350 mm</v>
          </cell>
          <cell r="G3502" t="str">
            <v>UN</v>
          </cell>
        </row>
        <row r="3503">
          <cell r="E3503">
            <v>7062240</v>
          </cell>
          <cell r="F3503" t="str">
            <v>CLAVO O PIN PARA HUESO SCHANZ, PUNTA TROCAR Y VASTAGO TRIANGULAR, DIAMETRO: 5.0 mm, LONGITUD: 150 mm</v>
          </cell>
          <cell r="G3503" t="str">
            <v>UN</v>
          </cell>
        </row>
        <row r="3504">
          <cell r="E3504">
            <v>7062241</v>
          </cell>
          <cell r="F3504" t="str">
            <v>CLAVO O PIN PARA HUESO SCHANZ, PUNTA TROCAR Y VASTAGO TRIANGULAR, DIAMETRO: 5.0 mm, LONGITUD: 170 mm</v>
          </cell>
          <cell r="G3504" t="str">
            <v>UN</v>
          </cell>
        </row>
        <row r="3505">
          <cell r="E3505">
            <v>7062242</v>
          </cell>
          <cell r="F3505" t="str">
            <v>CLAVO PARA HUESO TIPO RUSH, DIAMETRO: 2.5 mm, LONGITUD: 160 mm</v>
          </cell>
          <cell r="G3505" t="str">
            <v>UN</v>
          </cell>
        </row>
        <row r="3506">
          <cell r="E3506">
            <v>7062243</v>
          </cell>
          <cell r="F3506" t="str">
            <v>CLAVO PARA HUESO TIPO RUSH, DIAMETRO: 2.5 mm, LONGITUD: 200 mm</v>
          </cell>
          <cell r="G3506" t="str">
            <v>UN</v>
          </cell>
        </row>
        <row r="3507">
          <cell r="E3507">
            <v>7062244</v>
          </cell>
          <cell r="F3507" t="str">
            <v>CLAVO PARA HUESO TIPO RUSH, DIAMETRO: 3.0 mm, LONGITUD: 160 mm</v>
          </cell>
          <cell r="G3507" t="str">
            <v>UN</v>
          </cell>
        </row>
        <row r="3508">
          <cell r="E3508">
            <v>7062245</v>
          </cell>
          <cell r="F3508" t="str">
            <v>CLAVO PARA HUESO TIPO RUSH, DIAMETRO: 3.0 mm, LONGITUD: 200 mm</v>
          </cell>
          <cell r="G3508" t="str">
            <v>UN</v>
          </cell>
        </row>
        <row r="3509">
          <cell r="E3509">
            <v>7062246</v>
          </cell>
          <cell r="F3509" t="str">
            <v>CLAVO PARA HUESO TIPO RUSH, DIAMETRO: 3.5 mm, LONGITUD: 160 mm</v>
          </cell>
          <cell r="G3509" t="str">
            <v>UN</v>
          </cell>
        </row>
        <row r="3510">
          <cell r="E3510">
            <v>7062247</v>
          </cell>
          <cell r="F3510" t="str">
            <v>CLAVO PARA HUESO TIPO RUSH, DIAMETRO: 3.5 mm, LONGITUD: 200 mm</v>
          </cell>
          <cell r="G3510" t="str">
            <v>UN</v>
          </cell>
        </row>
        <row r="3511">
          <cell r="E3511">
            <v>7062248</v>
          </cell>
          <cell r="F3511" t="str">
            <v>CLAVO PARA HUESO TIPO RUSH, DIAMETRO: 3.5 mm, LONGITUD: 250 mm</v>
          </cell>
          <cell r="G3511" t="str">
            <v>UN</v>
          </cell>
        </row>
        <row r="3512">
          <cell r="E3512">
            <v>7062249</v>
          </cell>
          <cell r="F3512" t="str">
            <v>CLAVO PARA HUESO TIPO RUSH, DIAMETRO: 6.0 mm, LONGITUD: 300 mm</v>
          </cell>
          <cell r="G3512" t="str">
            <v>UN</v>
          </cell>
        </row>
        <row r="3513">
          <cell r="E3513">
            <v>7062250</v>
          </cell>
          <cell r="F3513" t="str">
            <v>CLAVO PARA HUESO TIPO RUSH, DIAMETRO: 6.0 mm, LONGITUD: 350 mm</v>
          </cell>
          <cell r="G3513" t="str">
            <v>UN</v>
          </cell>
        </row>
        <row r="3514">
          <cell r="E3514">
            <v>7062251</v>
          </cell>
          <cell r="F3514" t="str">
            <v>CLAVO PARA HUESO TIPO STEINMANN, PUNTA DE TROCAR, DIAMETRO: 3.5 mm, LONGITUD: 200 mm</v>
          </cell>
          <cell r="G3514" t="str">
            <v>UN</v>
          </cell>
        </row>
        <row r="3515">
          <cell r="E3515">
            <v>7062252</v>
          </cell>
          <cell r="F3515" t="str">
            <v>CLAVO PARA HUESO TIPO STEINMANN, PUNTA DE TROCAR, DIAMETRO: 3.5 mm, LONGITUD: 250 mm</v>
          </cell>
          <cell r="G3515" t="str">
            <v>UN</v>
          </cell>
        </row>
        <row r="3516">
          <cell r="E3516">
            <v>7062253</v>
          </cell>
          <cell r="F3516" t="str">
            <v>CLAVO PARA HUESO TIPO STEINMANN, PUNTA DE TROCAR, DIAMETRO: 4.0 mm, LONGITUD: 200 mm</v>
          </cell>
          <cell r="G3516" t="str">
            <v>UN</v>
          </cell>
        </row>
        <row r="3517">
          <cell r="E3517">
            <v>7062254</v>
          </cell>
          <cell r="F3517" t="str">
            <v>CLAVO PARA HUESO TIPO STEINMANN, PUNTA DE TROCAR, DIAMETRO: 4.0 mm, LONGITUD: 250 mm</v>
          </cell>
          <cell r="G3517" t="str">
            <v>UN</v>
          </cell>
        </row>
        <row r="3518">
          <cell r="E3518">
            <v>7062255</v>
          </cell>
          <cell r="F3518" t="str">
            <v>CLAVO PARA HUESO TIPO STEINMANN, PUNTA DE TROCAR, DIAMETRO: 5.0 mm, LONGITUD: 200 mm</v>
          </cell>
          <cell r="G3518" t="str">
            <v>UN</v>
          </cell>
        </row>
        <row r="3519">
          <cell r="E3519">
            <v>7062256</v>
          </cell>
          <cell r="F3519" t="str">
            <v>CLAVO PARA HUESO TIPO STEINMANN, PUNTA DE TROCAR, DIAMETRO: 5.0 mm, LONGITUD: 250 mm</v>
          </cell>
          <cell r="G3519" t="str">
            <v>UN</v>
          </cell>
        </row>
        <row r="3520">
          <cell r="E3520">
            <v>7062257</v>
          </cell>
          <cell r="F3520" t="str">
            <v>COMPRESOR "CHARMLEY" PARA ARTRODESIS, GRANDE DE 2 CLAVOS.</v>
          </cell>
          <cell r="G3520" t="str">
            <v>UN</v>
          </cell>
        </row>
        <row r="3521">
          <cell r="E3521">
            <v>7062258</v>
          </cell>
          <cell r="F3521" t="str">
            <v>COMPRESOR "CHARMLEY" PARA ARTRODESIS, GRANDE DE 4 CLAVOS.</v>
          </cell>
          <cell r="G3521" t="str">
            <v>UN</v>
          </cell>
        </row>
        <row r="3522">
          <cell r="E3522">
            <v>7062259</v>
          </cell>
          <cell r="F3522" t="str">
            <v>COMPRESOR "CHARMLEY" PARA ARTRODESIS, MEDIANO DE 2 CLAVOS.</v>
          </cell>
          <cell r="G3522" t="str">
            <v>UN</v>
          </cell>
        </row>
        <row r="3523">
          <cell r="E3523">
            <v>7062260</v>
          </cell>
          <cell r="F3523" t="str">
            <v>COMPRESOR "CHARMLEY" PARA ARTRODESIS, PEQUEÑO DE 2 CLAVOS.</v>
          </cell>
          <cell r="G3523" t="str">
            <v>UN</v>
          </cell>
        </row>
        <row r="3524">
          <cell r="E3524">
            <v>7062261</v>
          </cell>
          <cell r="F3524" t="str">
            <v>EQUIPO SE SUTURA DE MENISCOS. CONTIENE SISTEMA DE AGUJAS AFUERA - ADENTRO CON HEBRA DE HILO ABSORBIBLE MONOFILAMENTO</v>
          </cell>
          <cell r="G3524" t="str">
            <v>SET</v>
          </cell>
        </row>
        <row r="3525">
          <cell r="E3525">
            <v>7062262</v>
          </cell>
          <cell r="F3525" t="str">
            <v>GRAPA PARA EPIFISIS 5/8 X 7/8 DE PULGADA</v>
          </cell>
          <cell r="G3525" t="str">
            <v>UN</v>
          </cell>
        </row>
        <row r="3526">
          <cell r="E3526">
            <v>7062263</v>
          </cell>
          <cell r="F3526" t="str">
            <v>GUIA DE TORNILLO DE INTERFERENCIA</v>
          </cell>
          <cell r="G3526" t="str">
            <v>UN</v>
          </cell>
        </row>
        <row r="3527">
          <cell r="E3527">
            <v>7062264</v>
          </cell>
          <cell r="F3527" t="str">
            <v>GUIA EN "C" PARA REPARO DE LIGAMENTO CRUZADO POSTERIOR</v>
          </cell>
          <cell r="G3527" t="str">
            <v>UN</v>
          </cell>
        </row>
        <row r="3528">
          <cell r="E3528">
            <v>7062265</v>
          </cell>
          <cell r="F3528" t="str">
            <v>MACHUELO PARA TORNILLO DE 4.0 mm, CON MANGO INCORPORADO</v>
          </cell>
          <cell r="G3528" t="str">
            <v>UN</v>
          </cell>
        </row>
        <row r="3529">
          <cell r="E3529">
            <v>7062266</v>
          </cell>
          <cell r="F3529" t="str">
            <v>MACHUELO PARA TORNILLOS DE 3.5 mm</v>
          </cell>
          <cell r="G3529" t="str">
            <v>UN</v>
          </cell>
        </row>
        <row r="3530">
          <cell r="E3530">
            <v>7062267</v>
          </cell>
          <cell r="F3530" t="str">
            <v>MACHUELO PARA TORNILLOS DE 4.5 mm, CON MANGO INCORPORADO</v>
          </cell>
          <cell r="G3530" t="str">
            <v>UN</v>
          </cell>
        </row>
        <row r="3531">
          <cell r="E3531">
            <v>7062268</v>
          </cell>
          <cell r="F3531" t="str">
            <v>MACHUELO PARA TORNILLOS DE 6.5 mm, CON MANGO INCORPORADO</v>
          </cell>
          <cell r="G3531" t="str">
            <v>UN</v>
          </cell>
        </row>
        <row r="3532">
          <cell r="E3532">
            <v>7062269</v>
          </cell>
          <cell r="F3532" t="str">
            <v>PLACA 1/2 TUBO DE 10 AGUJEROS</v>
          </cell>
          <cell r="G3532" t="str">
            <v>UN</v>
          </cell>
        </row>
        <row r="3533">
          <cell r="E3533">
            <v>7062270</v>
          </cell>
          <cell r="F3533" t="str">
            <v>PLACA 1/2 TUBO DE 4 AGUJEROS</v>
          </cell>
          <cell r="G3533" t="str">
            <v>UN</v>
          </cell>
        </row>
        <row r="3534">
          <cell r="E3534">
            <v>7062271</v>
          </cell>
          <cell r="F3534" t="str">
            <v>PLACA 1/2 TUBO DE 5 AGUJEROS</v>
          </cell>
          <cell r="G3534" t="str">
            <v>UN</v>
          </cell>
        </row>
        <row r="3535">
          <cell r="E3535">
            <v>7062272</v>
          </cell>
          <cell r="F3535" t="str">
            <v>PLACA 1/2 TUBO DE6AGUJEROS</v>
          </cell>
          <cell r="G3535" t="str">
            <v>UN</v>
          </cell>
        </row>
        <row r="3536">
          <cell r="E3536">
            <v>7062273</v>
          </cell>
          <cell r="F3536" t="str">
            <v>PLACA 1/2 TUBO DE7AGUJEROS</v>
          </cell>
          <cell r="G3536" t="str">
            <v>UN</v>
          </cell>
        </row>
        <row r="3537">
          <cell r="E3537">
            <v>7062274</v>
          </cell>
          <cell r="F3537" t="str">
            <v>PLACA 1/2 TUBO DE 8 AGUJEROS</v>
          </cell>
          <cell r="G3537" t="str">
            <v>UN</v>
          </cell>
        </row>
        <row r="3538">
          <cell r="E3538">
            <v>7062275</v>
          </cell>
          <cell r="F3538" t="str">
            <v>PLACA 1/2 TUBO DE 9 AGUJEROS</v>
          </cell>
          <cell r="G3538" t="str">
            <v>UN</v>
          </cell>
        </row>
        <row r="3539">
          <cell r="E3539">
            <v>7062276</v>
          </cell>
          <cell r="F3539" t="str">
            <v>PLACA 1/3 DE TUBO DE 4 AGUJEROS</v>
          </cell>
          <cell r="G3539" t="str">
            <v>UN</v>
          </cell>
        </row>
        <row r="3540">
          <cell r="E3540">
            <v>7062277</v>
          </cell>
          <cell r="F3540" t="str">
            <v>PLACA 1/3 DE TUBO DE 5 AGUJEROS</v>
          </cell>
          <cell r="G3540" t="str">
            <v>UN</v>
          </cell>
        </row>
        <row r="3541">
          <cell r="E3541">
            <v>7062278</v>
          </cell>
          <cell r="F3541" t="str">
            <v>PLACA 1/3 DE TUBO DE6AGUJEROS</v>
          </cell>
          <cell r="G3541" t="str">
            <v>UN</v>
          </cell>
        </row>
        <row r="3542">
          <cell r="E3542">
            <v>7062279</v>
          </cell>
          <cell r="F3542" t="str">
            <v>PLACA 1/3 DE TUBO DE 7AGUJEROS</v>
          </cell>
          <cell r="G3542" t="str">
            <v>UN</v>
          </cell>
        </row>
        <row r="3543">
          <cell r="E3543">
            <v>7062280</v>
          </cell>
          <cell r="F3543" t="str">
            <v>PLACA 1/3 DE TUBO DE 8 AGUJEROS</v>
          </cell>
          <cell r="G3543" t="str">
            <v>UN</v>
          </cell>
        </row>
        <row r="3544">
          <cell r="E3544">
            <v>7062281</v>
          </cell>
          <cell r="F3544" t="str">
            <v>PLACA ANGULADA DE 130 GRADOS, DE 12  ORIFICIOS, 70 mm DE LARGO DE HOJA</v>
          </cell>
          <cell r="G3544" t="str">
            <v>UN</v>
          </cell>
        </row>
        <row r="3545">
          <cell r="E3545">
            <v>7062282</v>
          </cell>
          <cell r="F3545" t="str">
            <v>PLACA ANGULADA DE 130 GRADOS, DE 12  ORIFICIOS, 80 mm DE LARGO DE HOJA</v>
          </cell>
          <cell r="G3545" t="str">
            <v>UN</v>
          </cell>
        </row>
        <row r="3546">
          <cell r="E3546">
            <v>7062283</v>
          </cell>
          <cell r="F3546" t="str">
            <v>PLACA ANGULADA DE 130 GRADOS, DE6 ORIFICIOS, 70 mm DE LARGO DE HOJA</v>
          </cell>
          <cell r="G3546" t="str">
            <v>UN</v>
          </cell>
        </row>
        <row r="3547">
          <cell r="E3547">
            <v>7062284</v>
          </cell>
          <cell r="F3547" t="str">
            <v>PLACA ANGULADA DE 130 GRADOS, DE6 ORIFICIOS, 80 mm DE LARGO DE HOJA</v>
          </cell>
          <cell r="G3547" t="str">
            <v>UN</v>
          </cell>
        </row>
        <row r="3548">
          <cell r="E3548">
            <v>7062285</v>
          </cell>
          <cell r="F3548" t="str">
            <v>PLACA ANGULADA DE 95 GRADOS, 12 AGUJEROS Y HOJA DE 70 mm DE LARGO</v>
          </cell>
          <cell r="G3548" t="str">
            <v>UN</v>
          </cell>
        </row>
        <row r="3549">
          <cell r="E3549">
            <v>7062286</v>
          </cell>
          <cell r="F3549" t="str">
            <v>PLACA ANGULADA DE 95 GRADOS, 12 AGUJEROS Y HOJA DE 80 mm DE LARGO</v>
          </cell>
          <cell r="G3549" t="str">
            <v>UN</v>
          </cell>
        </row>
        <row r="3550">
          <cell r="E3550">
            <v>7062287</v>
          </cell>
          <cell r="F3550" t="str">
            <v>PLACA ANGULADA DE 95 GRADOS, 16 AGUJEROS Y HOJA DE 70 mm DE LARGO</v>
          </cell>
          <cell r="G3550" t="str">
            <v>UN</v>
          </cell>
        </row>
        <row r="3551">
          <cell r="E3551">
            <v>7062288</v>
          </cell>
          <cell r="F3551" t="str">
            <v>PLACA ANGULADA DE 95 GRADOS, 16 AGUJEROS Y HOJA DE 80 mm DE LARGO</v>
          </cell>
          <cell r="G3551" t="str">
            <v>UN</v>
          </cell>
        </row>
        <row r="3552">
          <cell r="E3552">
            <v>7062289</v>
          </cell>
          <cell r="F3552" t="str">
            <v>PLACA ANGULADA DE 95 GRADOS, 9 ORIFICIOS Y 70 mm DE LARGO DE HOJA</v>
          </cell>
          <cell r="G3552" t="str">
            <v>UN</v>
          </cell>
        </row>
        <row r="3553">
          <cell r="E3553">
            <v>7062290</v>
          </cell>
          <cell r="F3553" t="str">
            <v>PLACA ANGULADA DE 95 GRADOS, 9 ORIFICIOS Y 80 mm DE LARGO DE HOJA</v>
          </cell>
          <cell r="G3553" t="str">
            <v>UN</v>
          </cell>
        </row>
        <row r="3554">
          <cell r="E3554">
            <v>7062291</v>
          </cell>
          <cell r="F3554" t="str">
            <v>PLACA BUTRESS DE 3 AGUJEROS</v>
          </cell>
          <cell r="G3554" t="str">
            <v>UN</v>
          </cell>
        </row>
        <row r="3555">
          <cell r="E3555">
            <v>7062292</v>
          </cell>
          <cell r="F3555" t="str">
            <v>PLACA BUTRESS DE 4 AGUJEROS</v>
          </cell>
          <cell r="G3555" t="str">
            <v>UN</v>
          </cell>
        </row>
        <row r="3556">
          <cell r="E3556">
            <v>7062293</v>
          </cell>
          <cell r="F3556" t="str">
            <v>PLACA BUTRESS DE 5 AGUJEROS</v>
          </cell>
          <cell r="G3556" t="str">
            <v>UN</v>
          </cell>
        </row>
        <row r="3557">
          <cell r="E3557">
            <v>7062294</v>
          </cell>
          <cell r="F3557" t="str">
            <v>PLACA COBRA DE 8 AGUJEROS.</v>
          </cell>
          <cell r="G3557" t="str">
            <v>UN</v>
          </cell>
        </row>
        <row r="3558">
          <cell r="E3558">
            <v>7062295</v>
          </cell>
          <cell r="F3558" t="str">
            <v>PLACA DE AUTOCOMPRESION DINAMICA ANCHA, DE 10 AGUJEROS</v>
          </cell>
          <cell r="G3558" t="str">
            <v>UN</v>
          </cell>
        </row>
        <row r="3559">
          <cell r="E3559">
            <v>7062296</v>
          </cell>
          <cell r="F3559" t="str">
            <v>PLACA DE AUTOCOMPRESION DINAMICA ANCHA, DE 12 AGUJEROS</v>
          </cell>
          <cell r="G3559" t="str">
            <v>UN</v>
          </cell>
        </row>
        <row r="3560">
          <cell r="E3560">
            <v>7062297</v>
          </cell>
          <cell r="F3560" t="str">
            <v>PLACA DE AUTOCOMPRESION DINAMICA ANCHA, DE 14 AGUJEROS</v>
          </cell>
          <cell r="G3560" t="str">
            <v>UN</v>
          </cell>
        </row>
        <row r="3561">
          <cell r="E3561">
            <v>7062298</v>
          </cell>
          <cell r="F3561" t="str">
            <v>PLACA DE AUTOCOMPRESION DINAMICA ANCHA, DE 16 AGUJEROS</v>
          </cell>
          <cell r="G3561" t="str">
            <v>UN</v>
          </cell>
        </row>
        <row r="3562">
          <cell r="E3562">
            <v>7062299</v>
          </cell>
          <cell r="F3562" t="str">
            <v>PLACA DE AUTOCOMPRESION DINAMICA ANCHA, DE 18 AGUJEROS</v>
          </cell>
          <cell r="G3562" t="str">
            <v>UN</v>
          </cell>
        </row>
        <row r="3563">
          <cell r="E3563">
            <v>7062300</v>
          </cell>
          <cell r="F3563" t="str">
            <v>PLACA DE AUTOCOMPRESION DINAMICA ANCHA, DE 5 AGUJEROS</v>
          </cell>
          <cell r="G3563" t="str">
            <v>UN</v>
          </cell>
        </row>
        <row r="3564">
          <cell r="E3564">
            <v>7062301</v>
          </cell>
          <cell r="F3564" t="str">
            <v>PLACA DE AUTOCOMPRESION DINAMICA ANCHA, DE6AGUJEROS</v>
          </cell>
          <cell r="G3564" t="str">
            <v>UN</v>
          </cell>
        </row>
        <row r="3565">
          <cell r="E3565">
            <v>7062302</v>
          </cell>
          <cell r="F3565" t="str">
            <v>PLACA DE AUTOCOMPRESION DINAMICA ANCHA, DE7AGUJEROS</v>
          </cell>
          <cell r="G3565" t="str">
            <v>UN</v>
          </cell>
        </row>
        <row r="3566">
          <cell r="E3566">
            <v>7062303</v>
          </cell>
          <cell r="F3566" t="str">
            <v>PLACA DE AUTOCOMPRESION DINAMICA ANCHA, DE 8 AGUJEROS</v>
          </cell>
          <cell r="G3566" t="str">
            <v>UN</v>
          </cell>
        </row>
        <row r="3567">
          <cell r="E3567">
            <v>7062304</v>
          </cell>
          <cell r="F3567" t="str">
            <v>PLACA DE AUTOCOMPRESION DINAMICA ANCHA, DE 9 AGUJEROS</v>
          </cell>
          <cell r="G3567" t="str">
            <v>UN</v>
          </cell>
        </row>
        <row r="3568">
          <cell r="E3568">
            <v>7062305</v>
          </cell>
          <cell r="F3568" t="str">
            <v>PLACA DE AUTOCOMPRESION DINAMICA ESTRECHA, DE 10 AGUJEROS</v>
          </cell>
          <cell r="G3568" t="str">
            <v>UN</v>
          </cell>
        </row>
        <row r="3569">
          <cell r="E3569">
            <v>7062306</v>
          </cell>
          <cell r="F3569" t="str">
            <v>PLACA DE AUTOCOMPRESION DINAMICA ESTRECHA, DE 12 AGUJEROS</v>
          </cell>
          <cell r="G3569" t="str">
            <v>UN</v>
          </cell>
        </row>
        <row r="3570">
          <cell r="E3570">
            <v>7062307</v>
          </cell>
          <cell r="F3570" t="str">
            <v>PLACA DE AUTOCOMPRESION DINAMICA ESTRECHA, DE 14 AGUJEROS</v>
          </cell>
          <cell r="G3570" t="str">
            <v>UN</v>
          </cell>
        </row>
        <row r="3571">
          <cell r="E3571">
            <v>7062308</v>
          </cell>
          <cell r="F3571" t="str">
            <v>PLACA DE AUTOCOMPRESION DINAMICA ESTRECHA, DE 4 AGUJEROS</v>
          </cell>
          <cell r="G3571" t="str">
            <v>UN</v>
          </cell>
        </row>
        <row r="3572">
          <cell r="E3572">
            <v>7062309</v>
          </cell>
          <cell r="F3572" t="str">
            <v>PLACA DE AUTOCOMPRESION DINAMICA ESTRECHA, DE 5 AGUJEROS</v>
          </cell>
          <cell r="G3572" t="str">
            <v>UN</v>
          </cell>
        </row>
        <row r="3573">
          <cell r="E3573">
            <v>7062310</v>
          </cell>
          <cell r="F3573" t="str">
            <v>PLACA DE AUTOCOMPRESION DINAMICA ESTRECHA, DE6AGUJEROS</v>
          </cell>
          <cell r="G3573" t="str">
            <v>UN</v>
          </cell>
        </row>
        <row r="3574">
          <cell r="E3574">
            <v>7062311</v>
          </cell>
          <cell r="F3574" t="str">
            <v>PLACA DE AUTOCOMPRESION DINAMICA ESTRECHA, DE7AGUJEROS</v>
          </cell>
          <cell r="G3574" t="str">
            <v>UN</v>
          </cell>
        </row>
        <row r="3575">
          <cell r="E3575">
            <v>7062312</v>
          </cell>
          <cell r="F3575" t="str">
            <v>PLACA DE AUTOCOMPRESION DINAMICA ESTRECHA, DE 8 AGUJEROS</v>
          </cell>
          <cell r="G3575" t="str">
            <v>UN</v>
          </cell>
        </row>
        <row r="3576">
          <cell r="E3576">
            <v>7062313</v>
          </cell>
          <cell r="F3576" t="str">
            <v>PLACA DE AUTOCOMPRESION DINAMICA ESTRECHA, DE 9 AGUJEROS</v>
          </cell>
          <cell r="G3576" t="str">
            <v>UN</v>
          </cell>
        </row>
        <row r="3577">
          <cell r="E3577">
            <v>7062314</v>
          </cell>
          <cell r="F3577" t="str">
            <v>PLACA DE CUCHARA 5 ORIFICIOS,</v>
          </cell>
          <cell r="G3577" t="str">
            <v>UN</v>
          </cell>
        </row>
        <row r="3578">
          <cell r="E3578">
            <v>7062315</v>
          </cell>
          <cell r="F3578" t="str">
            <v>PLACA DE CUCHARA6ORIFICIOS,</v>
          </cell>
          <cell r="G3578" t="str">
            <v>UN</v>
          </cell>
        </row>
        <row r="3579">
          <cell r="E3579">
            <v>7062316</v>
          </cell>
          <cell r="F3579" t="str">
            <v>PLACA DE DE AUTO COMPRESION DINAMICA PARA PEQUEÑOS FRAGMENTOS DE 5 AGUJEROS</v>
          </cell>
          <cell r="G3579" t="str">
            <v>UN</v>
          </cell>
        </row>
        <row r="3580">
          <cell r="E3580">
            <v>7062317</v>
          </cell>
          <cell r="F3580" t="str">
            <v>PLACA DE DE AUTO COMPRESION DINAMICA PARA PEQUEÑOS FRAGMENTOS DE6AGUJEROS</v>
          </cell>
          <cell r="G3580" t="str">
            <v>UN</v>
          </cell>
        </row>
        <row r="3581">
          <cell r="E3581">
            <v>7062318</v>
          </cell>
          <cell r="F3581" t="str">
            <v>PLACA DE DE AUTO COMPRESION DINAMICA PARA PEQUEÑOS FRAGMENTOS DE 8 AGUJEROS</v>
          </cell>
          <cell r="G3581" t="str">
            <v>UN</v>
          </cell>
        </row>
        <row r="3582">
          <cell r="E3582">
            <v>7062319</v>
          </cell>
          <cell r="F3582" t="str">
            <v>PLACA DE RECONSTRUCCION ACETABULAR DE PEQUEÑOS FRAGMENTOS DE 10 AGUJEROS</v>
          </cell>
          <cell r="G3582" t="str">
            <v>UN</v>
          </cell>
        </row>
        <row r="3583">
          <cell r="E3583">
            <v>7062320</v>
          </cell>
          <cell r="F3583" t="str">
            <v>PLACA DE RECONSTRUCCION ACETABULAR DE PEQUEÑOS FRAGMENTOS DE 14 AGUJEROS</v>
          </cell>
          <cell r="G3583" t="str">
            <v>UN</v>
          </cell>
        </row>
        <row r="3584">
          <cell r="E3584">
            <v>7062321</v>
          </cell>
          <cell r="F3584" t="str">
            <v>PLACA DE RECONSTRUCCION ACETABULAR DE PEQUEÑOS FRAGMENTOS DE 16 AGUJEROS</v>
          </cell>
          <cell r="G3584" t="str">
            <v>UN</v>
          </cell>
        </row>
        <row r="3585">
          <cell r="E3585">
            <v>7062322</v>
          </cell>
          <cell r="F3585" t="str">
            <v>PLACA DE RECONSTRUCCION ACETABULAR DE PEQUEÑOS FRAGMENTOS DE 5 AGUJEROS</v>
          </cell>
          <cell r="G3585" t="str">
            <v>UN</v>
          </cell>
        </row>
        <row r="3586">
          <cell r="E3586">
            <v>7062323</v>
          </cell>
          <cell r="F3586" t="str">
            <v>PLACA DE RECONSTRUCCION ACETABULAR DE PEQUEÑOS FRAGMENTOS DE6AGUJEROS</v>
          </cell>
          <cell r="G3586" t="str">
            <v>UN</v>
          </cell>
        </row>
        <row r="3587">
          <cell r="E3587">
            <v>7062324</v>
          </cell>
          <cell r="F3587" t="str">
            <v>PLACA DE RECONSTRUCCION ACETABULAR DE PEQUEÑOS FRAGMENTOS DE 8 AGUJEROS</v>
          </cell>
          <cell r="G3587" t="str">
            <v>UN</v>
          </cell>
        </row>
        <row r="3588">
          <cell r="E3588">
            <v>7062325</v>
          </cell>
          <cell r="F3588" t="str">
            <v>PLACA EN "T" PARA PEQUEÑOS FRAGMENTOS, VASTAGO DE 3 ORIFICIOS</v>
          </cell>
          <cell r="G3588" t="str">
            <v>UN</v>
          </cell>
        </row>
        <row r="3589">
          <cell r="E3589">
            <v>7062326</v>
          </cell>
          <cell r="F3589" t="str">
            <v>PLACA EN "T" PARA PEQUEÑOS FRAGMENTOS, VASTAGO DE 4 ORIFICIOS</v>
          </cell>
          <cell r="G3589" t="str">
            <v>UN</v>
          </cell>
        </row>
        <row r="3590">
          <cell r="E3590">
            <v>7062327</v>
          </cell>
          <cell r="F3590" t="str">
            <v>PLACA EN "T" PARA PEQUEÑOS FRAGMENTOS, VASTAGO DE 5 ORIFICIOS</v>
          </cell>
          <cell r="G3590" t="str">
            <v>UN</v>
          </cell>
        </row>
        <row r="3591">
          <cell r="E3591">
            <v>7062328</v>
          </cell>
          <cell r="F3591" t="str">
            <v>PLACA EN "T" PARA PEQUEÑOS FRAGMENTOS, VASTAGO DE6ORIFICIOS</v>
          </cell>
          <cell r="G3591" t="str">
            <v>UN</v>
          </cell>
        </row>
        <row r="3592">
          <cell r="E3592">
            <v>7062329</v>
          </cell>
          <cell r="F3592" t="str">
            <v>PLACA EN "T", VASTAGO DE 3 ORIFICIOS</v>
          </cell>
          <cell r="G3592" t="str">
            <v>UN</v>
          </cell>
        </row>
        <row r="3593">
          <cell r="E3593">
            <v>7062330</v>
          </cell>
          <cell r="F3593" t="str">
            <v>PLACA EN "T", VASTAGO DE 4 ORIFICIOS</v>
          </cell>
          <cell r="G3593" t="str">
            <v>UN</v>
          </cell>
        </row>
        <row r="3594">
          <cell r="E3594">
            <v>7062331</v>
          </cell>
          <cell r="F3594" t="str">
            <v>PLACA EN "T", VASTAGO DE 5 ORIFICIOS</v>
          </cell>
          <cell r="G3594" t="str">
            <v>UN</v>
          </cell>
        </row>
        <row r="3595">
          <cell r="E3595">
            <v>7062332</v>
          </cell>
          <cell r="F3595" t="str">
            <v>PLACA EN "T", VASTAGO DE6ORIFICIOS</v>
          </cell>
          <cell r="G3595" t="str">
            <v>UN</v>
          </cell>
        </row>
        <row r="3596">
          <cell r="E3596">
            <v>7062333</v>
          </cell>
          <cell r="F3596" t="str">
            <v>PLACA EN "T", VASTAGO DE 8 ORIFICIOS</v>
          </cell>
          <cell r="G3596" t="str">
            <v>UN</v>
          </cell>
        </row>
        <row r="3597">
          <cell r="E3597">
            <v>7062334</v>
          </cell>
          <cell r="F3597" t="str">
            <v>PLACA EN "TREBOL" PARA PEQUEÑOS FRAGMENTOS, VASTAGO DE 5 ORIFICIOS</v>
          </cell>
          <cell r="G3597" t="str">
            <v>UN</v>
          </cell>
        </row>
        <row r="3598">
          <cell r="E3598">
            <v>7062335</v>
          </cell>
          <cell r="F3598" t="str">
            <v>PLACA EN "TREBOL" PARA PEQUEÑOS FRAGMENTOS, VASTAGO DE6ORIFICIOS</v>
          </cell>
          <cell r="G3598" t="str">
            <v>UN</v>
          </cell>
        </row>
        <row r="3599">
          <cell r="E3599">
            <v>7062336</v>
          </cell>
          <cell r="F3599" t="str">
            <v>PLACA EN FORMA DE " L " DE 4 AGUJEROS PARA TIBIA, DERECHA</v>
          </cell>
          <cell r="G3599" t="str">
            <v>UN</v>
          </cell>
        </row>
        <row r="3600">
          <cell r="E3600">
            <v>7062337</v>
          </cell>
          <cell r="F3600" t="str">
            <v>PLACA EN FORMA DE " L " DE 4 AGUJEROS PARA TIBIA, IZQUIERDA</v>
          </cell>
          <cell r="G3600" t="str">
            <v>UN</v>
          </cell>
        </row>
        <row r="3601">
          <cell r="E3601">
            <v>7062338</v>
          </cell>
          <cell r="F3601" t="str">
            <v>SISTEMA DE PASADOR DE SUTURA ARTROSCOPICA, DIFERENTES ANGULOS, REUTILIZABLE</v>
          </cell>
          <cell r="G3601" t="str">
            <v>SET</v>
          </cell>
        </row>
        <row r="3602">
          <cell r="E3602">
            <v>7062339</v>
          </cell>
          <cell r="F3602" t="str">
            <v>SISTEMA PARA REPARACION DE MANGO ROTADOR Y LABRUM, TIPO ANCLA O TORNILLO METALICO AUTOROSCANTE DE 2.0 MM A 3.0 MM DE DIAMETRO, SUTURA NO ABSORBIBLE Y BOTON PLASTICO DE FIJACION</v>
          </cell>
          <cell r="G3602" t="str">
            <v>UN</v>
          </cell>
        </row>
        <row r="3603">
          <cell r="E3603">
            <v>7062340</v>
          </cell>
          <cell r="F3603" t="str">
            <v>SISTEMA PARA REPARACION DE MANGO ROTADOR Y LABRUM, TIPO ANCLA O TORNILLO METALICO AUTOROSCANTE DE 4.0 MM A 5.0 MM DE DIAMETRO, SUTURA NO ABSORBIBLE Y BOTON PLASTICO DE FIJACION</v>
          </cell>
          <cell r="G3603" t="str">
            <v>UN</v>
          </cell>
        </row>
        <row r="3604">
          <cell r="E3604">
            <v>7062341</v>
          </cell>
          <cell r="F3604" t="str">
            <v>TORNILLO CANULADO CILINDRICO DE INTERFERENCIA, DE ALEACION DE TITANIOO BIODEGRADABLE, PARA LA FIJACION DEL INJERTO EN LA PLASTIA DELIGAMENTOS CRUZADOS, DE ROSCA NO CORTANTE. DIAMETRO:7MM  LONGITUD 20 MM</v>
          </cell>
          <cell r="G3604" t="str">
            <v>UN</v>
          </cell>
        </row>
        <row r="3605">
          <cell r="E3605">
            <v>7062342</v>
          </cell>
          <cell r="F3605" t="str">
            <v>TORNILLO CANULADO CILINDRICO DE INTERFERENCIA, DE ALEACION DE TITANIOO BIODEGRADABLE, PARA LA FIJACION DEL INJERTO EN LA PLASTIA DELIGAMENTOS CRUZADOS, DE ROSCA NO CORTANTE. DIAMETRO:7MM  LONGITUD 25 MM</v>
          </cell>
          <cell r="G3605" t="str">
            <v>UN</v>
          </cell>
        </row>
        <row r="3606">
          <cell r="E3606">
            <v>7062343</v>
          </cell>
          <cell r="F3606" t="str">
            <v>TORNILLO CANULADO CILINDRICO DE INTERFERENCIA, DE ALEACION DE TITANIOO BIODEGRADABLE, PARA LA FIJACION DEL INJERTO EN LA PLASTIA DELIGAMENTOS CRUZADOS, DE ROSCA NO CORTANTE. DIAMETRO: 8 MM  LONGITUD 20 MM</v>
          </cell>
          <cell r="G3606" t="str">
            <v>UN</v>
          </cell>
        </row>
        <row r="3607">
          <cell r="E3607">
            <v>7062344</v>
          </cell>
          <cell r="F3607" t="str">
            <v>TORNILLO CANULADO CILINDRICO DE INTERFERENCIA, DE ALEACION DE TITANIOO BIODEGRADABLE, PARA LA FIJACION DEL INJERTO EN LA PLASTIA DELIGAMENTOS CRUZADOS, DE ROSCA NO CORTANTE. DIAMETRO: 8 MM  LONGITUD 25 MM</v>
          </cell>
          <cell r="G3607" t="str">
            <v>UN</v>
          </cell>
        </row>
        <row r="3608">
          <cell r="E3608">
            <v>7062345</v>
          </cell>
          <cell r="F3608" t="str">
            <v>TORNILLO CANULADO CILINDRICO DE INTERFERENCIA, DE ALEACION DE TITANIOO BIODEGRADABLE, PARA LA FIJACION DEL INJERTO EN LA PLASTIA DELIGAMENTOS CRUZADOS, DE ROSCA NO CORTANTE. DIAMETRO: 9 MM  LONGITUD 20 MM</v>
          </cell>
          <cell r="G3608" t="str">
            <v>UN</v>
          </cell>
        </row>
        <row r="3609">
          <cell r="E3609">
            <v>7062346</v>
          </cell>
          <cell r="F3609" t="str">
            <v>TORNILLO CANULADO CILINDRICO DE INTERFERENCIA, DE ALEACION DE TITANIOO BIODEGRADABLE, PARA LA FIJACION DEL INJERTO EN LA PLASTIA DELIGAMENTOS CRUZADOS, DE ROSCA NO CORTANTE. DIAMETRO: 9 MM  LONGITUD 25 MM</v>
          </cell>
          <cell r="G3609" t="str">
            <v>UN</v>
          </cell>
        </row>
        <row r="3610">
          <cell r="E3610">
            <v>7062347</v>
          </cell>
          <cell r="F3610" t="str">
            <v>TORNILLO CORTICAL, DIAMETRO: 3.5 mm, LONGITUD TOTAL: 10 mm</v>
          </cell>
          <cell r="G3610" t="str">
            <v>UN</v>
          </cell>
        </row>
        <row r="3611">
          <cell r="E3611">
            <v>7062348</v>
          </cell>
          <cell r="F3611" t="str">
            <v>TORNILLO CORTICAL, DIAMETRO: 3.5 mm, LONGITUD TOTAL: 12 mm</v>
          </cell>
          <cell r="G3611" t="str">
            <v>UN</v>
          </cell>
        </row>
        <row r="3612">
          <cell r="E3612">
            <v>7062349</v>
          </cell>
          <cell r="F3612" t="str">
            <v>TORNILLO CORTICAL, DIAMETRO: 3.5 mm, LONGITUD TOTAL: 14 mm</v>
          </cell>
          <cell r="G3612" t="str">
            <v>UN</v>
          </cell>
        </row>
        <row r="3613">
          <cell r="E3613">
            <v>7062350</v>
          </cell>
          <cell r="F3613" t="str">
            <v>TORNILLO CORTICAL, DIAMETRO: 3.5 mm, LONGITUD TOTAL: 16 mm</v>
          </cell>
          <cell r="G3613" t="str">
            <v>UN</v>
          </cell>
        </row>
        <row r="3614">
          <cell r="E3614">
            <v>7062351</v>
          </cell>
          <cell r="F3614" t="str">
            <v>TORNILLO CORTICAL, DIAMETRO: 3.5 mm, LONGITUD TOTAL: 18 mm</v>
          </cell>
          <cell r="G3614" t="str">
            <v>UN</v>
          </cell>
        </row>
        <row r="3615">
          <cell r="E3615">
            <v>7062352</v>
          </cell>
          <cell r="F3615" t="str">
            <v>TORNILLO CORTICAL, DIAMETRO: 3.5 mm, LONGITUD TOTAL: 20 mm</v>
          </cell>
          <cell r="G3615" t="str">
            <v>UN</v>
          </cell>
        </row>
        <row r="3616">
          <cell r="E3616">
            <v>7062353</v>
          </cell>
          <cell r="F3616" t="str">
            <v>TORNILLO CORTICAL, DIAMETRO: 3.5 mm, LONGITUD TOTAL: 22 mm</v>
          </cell>
          <cell r="G3616" t="str">
            <v>UN</v>
          </cell>
        </row>
        <row r="3617">
          <cell r="E3617">
            <v>7062354</v>
          </cell>
          <cell r="F3617" t="str">
            <v>TORNILLO CORTICAL, DIAMETRO: 3.5 mm, LONGITUD TOTAL: 24 mm</v>
          </cell>
          <cell r="G3617" t="str">
            <v>UN</v>
          </cell>
        </row>
        <row r="3618">
          <cell r="E3618">
            <v>7062355</v>
          </cell>
          <cell r="F3618" t="str">
            <v>TORNILLO CORTICAL, DIAMETRO: 3.5 mm, LONGITUD TOTAL: 26 mm</v>
          </cell>
          <cell r="G3618" t="str">
            <v>UN</v>
          </cell>
        </row>
        <row r="3619">
          <cell r="E3619">
            <v>7062356</v>
          </cell>
          <cell r="F3619" t="str">
            <v>TORNILLO CORTICAL, DIAMETRO: 3.5 mm, LONGITUD TOTAL: 28 mm</v>
          </cell>
          <cell r="G3619" t="str">
            <v>UN</v>
          </cell>
        </row>
        <row r="3620">
          <cell r="E3620">
            <v>7062357</v>
          </cell>
          <cell r="F3620" t="str">
            <v>TORNILLO CORTICAL, DIAMETRO: 3.5 mm, LONGITUD TOTAL: 30 mm</v>
          </cell>
          <cell r="G3620" t="str">
            <v>UN</v>
          </cell>
        </row>
        <row r="3621">
          <cell r="E3621">
            <v>7062358</v>
          </cell>
          <cell r="F3621" t="str">
            <v>TORNILLO CORTICAL, DIAMETRO: 3.5 mm, LONGITUD TOTAL: 32 mm</v>
          </cell>
          <cell r="G3621" t="str">
            <v>UN</v>
          </cell>
        </row>
        <row r="3622">
          <cell r="E3622">
            <v>7062359</v>
          </cell>
          <cell r="F3622" t="str">
            <v>TORNILLO CORTICAL, DIAMETRO: 3.5 mm, LONGITUD TOTAL: 34 mm</v>
          </cell>
          <cell r="G3622" t="str">
            <v>UN</v>
          </cell>
        </row>
        <row r="3623">
          <cell r="E3623">
            <v>7062360</v>
          </cell>
          <cell r="F3623" t="str">
            <v>TORNILLO CORTICAL, DIAMETRO: 3.5 mm, LONGITUD TOTAL: 36 mm</v>
          </cell>
          <cell r="G3623" t="str">
            <v>UN</v>
          </cell>
        </row>
        <row r="3624">
          <cell r="E3624">
            <v>7062361</v>
          </cell>
          <cell r="F3624" t="str">
            <v>TORNILLO CORTICAL, DIAMETRO: 3.5 mm, LONGITUD TOTAL: 38 mm</v>
          </cell>
          <cell r="G3624" t="str">
            <v>UN</v>
          </cell>
        </row>
        <row r="3625">
          <cell r="E3625">
            <v>7062362</v>
          </cell>
          <cell r="F3625" t="str">
            <v>TORNILLO CORTICAL, DIAMETRO: 3.5 mm, LONGITUD TOTAL: 40 mm</v>
          </cell>
          <cell r="G3625" t="str">
            <v>UN</v>
          </cell>
        </row>
        <row r="3626">
          <cell r="E3626">
            <v>7062363</v>
          </cell>
          <cell r="F3626" t="str">
            <v>TORNILLO CORTICAL, DIAMETRO: 3.5 mm, LONGITUD TOTAL: 42 mm</v>
          </cell>
          <cell r="G3626" t="str">
            <v>UN</v>
          </cell>
        </row>
        <row r="3627">
          <cell r="E3627">
            <v>7062364</v>
          </cell>
          <cell r="F3627" t="str">
            <v>TORNILLO CORTICAL, DIAMETRO: 3.5 mm, LONGITUD TOTAL: 44 mm</v>
          </cell>
          <cell r="G3627" t="str">
            <v>UN</v>
          </cell>
        </row>
        <row r="3628">
          <cell r="E3628">
            <v>7062365</v>
          </cell>
          <cell r="F3628" t="str">
            <v>TORNILLO CORTICAL, DIAMETRO: 3.5 mm, LONGITUD TOTAL: 46 mm</v>
          </cell>
          <cell r="G3628" t="str">
            <v>UN</v>
          </cell>
        </row>
        <row r="3629">
          <cell r="E3629">
            <v>7062366</v>
          </cell>
          <cell r="F3629" t="str">
            <v>TORNILLO CORTICAL, DIAMETRO: 3.5 mm, LONGITUD TOTAL: 48 mm</v>
          </cell>
          <cell r="G3629" t="str">
            <v>UN</v>
          </cell>
        </row>
        <row r="3630">
          <cell r="E3630">
            <v>7062367</v>
          </cell>
          <cell r="F3630" t="str">
            <v>TORNILLO CORTICAL, DIAMETRO: 3.5 mm, LONGITUD TOTAL: 50 mm</v>
          </cell>
          <cell r="G3630" t="str">
            <v>UN</v>
          </cell>
        </row>
        <row r="3631">
          <cell r="E3631">
            <v>7062368</v>
          </cell>
          <cell r="F3631" t="str">
            <v>TORNILLO CORTICAL, DIAMETRO: 4.5 mm, LONGITUD TOTAL: 14 mm</v>
          </cell>
          <cell r="G3631" t="str">
            <v>UN</v>
          </cell>
        </row>
        <row r="3632">
          <cell r="E3632">
            <v>7062369</v>
          </cell>
          <cell r="F3632" t="str">
            <v>TORNILLO CORTICAL, DIAMETRO: 4.5 mm, LONGITUD TOTAL: 16 mm</v>
          </cell>
          <cell r="G3632" t="str">
            <v>UN</v>
          </cell>
        </row>
        <row r="3633">
          <cell r="E3633">
            <v>7062370</v>
          </cell>
          <cell r="F3633" t="str">
            <v>TORNILLO CORTICAL, DIAMETRO: 4.5 mm, LONGITUD TOTAL: 18 mm</v>
          </cell>
          <cell r="G3633" t="str">
            <v>UN</v>
          </cell>
        </row>
        <row r="3634">
          <cell r="E3634">
            <v>7062371</v>
          </cell>
          <cell r="F3634" t="str">
            <v>TORNILLO CORTICAL, DIAMETRO: 4.5 mm, LONGITUD TOTAL: 20 mm</v>
          </cell>
          <cell r="G3634" t="str">
            <v>UN</v>
          </cell>
        </row>
        <row r="3635">
          <cell r="E3635">
            <v>7062372</v>
          </cell>
          <cell r="F3635" t="str">
            <v>TORNILLO CORTICAL, DIAMETRO: 4.5 mm, LONGITUD TOTAL: 22 mm</v>
          </cell>
          <cell r="G3635" t="str">
            <v>UN</v>
          </cell>
        </row>
        <row r="3636">
          <cell r="E3636">
            <v>7062373</v>
          </cell>
          <cell r="F3636" t="str">
            <v>TORNILLO CORTICAL, DIAMETRO: 4.5 mm, LONGITUD TOTAL: 24 mm</v>
          </cell>
          <cell r="G3636" t="str">
            <v>UN</v>
          </cell>
        </row>
        <row r="3637">
          <cell r="E3637">
            <v>7062374</v>
          </cell>
          <cell r="F3637" t="str">
            <v>TORNILLO CORTICAL, DIAMETRO: 4.5 mm, LONGITUD TOTAL: 26 mm</v>
          </cell>
          <cell r="G3637" t="str">
            <v>UN</v>
          </cell>
        </row>
        <row r="3638">
          <cell r="E3638">
            <v>7062375</v>
          </cell>
          <cell r="F3638" t="str">
            <v>TORNILLO CORTICAL, DIAMETRO: 4.5 mm, LONGITUD TOTAL: 28 mm</v>
          </cell>
          <cell r="G3638" t="str">
            <v>UN</v>
          </cell>
        </row>
        <row r="3639">
          <cell r="E3639">
            <v>7062376</v>
          </cell>
          <cell r="F3639" t="str">
            <v>TORNILLO CORTICAL, DIAMETRO: 4.5 mm, LONGITUD TOTAL: 30 mm</v>
          </cell>
          <cell r="G3639" t="str">
            <v>UN</v>
          </cell>
        </row>
        <row r="3640">
          <cell r="E3640">
            <v>7062377</v>
          </cell>
          <cell r="F3640" t="str">
            <v>TORNILLO CORTICAL, DIAMETRO: 4.5 mm, LONGITUD TOTAL: 32 mm</v>
          </cell>
          <cell r="G3640" t="str">
            <v>UN</v>
          </cell>
        </row>
        <row r="3641">
          <cell r="E3641">
            <v>7062378</v>
          </cell>
          <cell r="F3641" t="str">
            <v>TORNILLO CORTICAL, DIAMETRO: 4.5 mm, LONGITUD TOTAL: 34 mm</v>
          </cell>
          <cell r="G3641" t="str">
            <v>UN</v>
          </cell>
        </row>
        <row r="3642">
          <cell r="E3642">
            <v>7062379</v>
          </cell>
          <cell r="F3642" t="str">
            <v>TORNILLO CORTICAL, DIAMETRO: 4.5 mm, LONGITUD TOTAL: 36 mm</v>
          </cell>
          <cell r="G3642" t="str">
            <v>UN</v>
          </cell>
        </row>
        <row r="3643">
          <cell r="E3643">
            <v>7062380</v>
          </cell>
          <cell r="F3643" t="str">
            <v>TORNILLO CORTICAL, DIAMETRO: 4.5 mm, LONGITUD TOTAL: 38 mm</v>
          </cell>
          <cell r="G3643" t="str">
            <v>UN</v>
          </cell>
        </row>
        <row r="3644">
          <cell r="E3644">
            <v>7062381</v>
          </cell>
          <cell r="F3644" t="str">
            <v>TORNILLO CORTICAL, DIAMETRO: 4.5 mm, LONGITUD TOTAL: 40 mm</v>
          </cell>
          <cell r="G3644" t="str">
            <v>UN</v>
          </cell>
        </row>
        <row r="3645">
          <cell r="E3645">
            <v>7062382</v>
          </cell>
          <cell r="F3645" t="str">
            <v>TORNILLO CORTICAL, DIAMETRO: 4.5 mm, LONGITUD TOTAL: 42 mm</v>
          </cell>
          <cell r="G3645" t="str">
            <v>UN</v>
          </cell>
        </row>
        <row r="3646">
          <cell r="E3646">
            <v>7062383</v>
          </cell>
          <cell r="F3646" t="str">
            <v>TORNILLO CORTICAL, DIAMETRO: 4.5 mm, LONGITUD TOTAL: 44 mm</v>
          </cell>
          <cell r="G3646" t="str">
            <v>UN</v>
          </cell>
        </row>
        <row r="3647">
          <cell r="E3647">
            <v>7062384</v>
          </cell>
          <cell r="F3647" t="str">
            <v>TORNILLO CORTICAL, DIAMETRO: 4.5 mm, LONGITUD TOTAL: 46 mm</v>
          </cell>
          <cell r="G3647" t="str">
            <v>UN</v>
          </cell>
        </row>
        <row r="3648">
          <cell r="E3648">
            <v>7062385</v>
          </cell>
          <cell r="F3648" t="str">
            <v>TORNILLO CORTICAL, DIAMETRO: 4.5 mm, LONGITUD TOTAL: 48 mm</v>
          </cell>
          <cell r="G3648" t="str">
            <v>UN</v>
          </cell>
        </row>
        <row r="3649">
          <cell r="E3649">
            <v>7062386</v>
          </cell>
          <cell r="F3649" t="str">
            <v>TORNILLO CORTICAL, DIAMETRO: 4.5 mm, LONGITUD TOTAL: 50 mm</v>
          </cell>
          <cell r="G3649" t="str">
            <v>UN</v>
          </cell>
        </row>
        <row r="3650">
          <cell r="E3650">
            <v>7062387</v>
          </cell>
          <cell r="F3650" t="str">
            <v>TORNILLO CORTICAL, DIAMETRO: 4.5 mm, LONGITUD TOTAL: 52 mm</v>
          </cell>
          <cell r="G3650" t="str">
            <v>UN</v>
          </cell>
        </row>
        <row r="3651">
          <cell r="E3651">
            <v>7062388</v>
          </cell>
          <cell r="F3651" t="str">
            <v>TORNILLO CORTICAL, DIAMETRO: 4.5 mm, LONGITUD TOTAL: 54 mm</v>
          </cell>
          <cell r="G3651" t="str">
            <v>UN</v>
          </cell>
        </row>
        <row r="3652">
          <cell r="E3652">
            <v>7062389</v>
          </cell>
          <cell r="F3652" t="str">
            <v>TORNILLO CORTICAL, DIAMETRO: 4.5 mm, LONGITUD TOTAL: 56 mm</v>
          </cell>
          <cell r="G3652" t="str">
            <v>UN</v>
          </cell>
        </row>
        <row r="3653">
          <cell r="E3653">
            <v>7062390</v>
          </cell>
          <cell r="F3653" t="str">
            <v>TORNILLO CORTICAL, DIAMETRO: 4.5 mm, LONGITUD TOTAL: 58 mm</v>
          </cell>
          <cell r="G3653" t="str">
            <v>UN</v>
          </cell>
        </row>
        <row r="3654">
          <cell r="E3654">
            <v>7062391</v>
          </cell>
          <cell r="F3654" t="str">
            <v>TORNILLO CORTICAL, DIAMETRO: 4.5 mm, LONGITUD TOTAL: 60 mm</v>
          </cell>
          <cell r="G3654" t="str">
            <v>UN</v>
          </cell>
        </row>
        <row r="3655">
          <cell r="E3655">
            <v>7062392</v>
          </cell>
          <cell r="F3655" t="str">
            <v>TORNILLO CORTICAL, DIAMETRO: 4.5 mm, LONGITUD TOTAL: 62 mm</v>
          </cell>
          <cell r="G3655" t="str">
            <v>UN</v>
          </cell>
        </row>
        <row r="3656">
          <cell r="E3656">
            <v>7062393</v>
          </cell>
          <cell r="F3656" t="str">
            <v>TORNILLO CORTICAL, DIAMETRO: 4.5 mm, LONGITUD TOTAL: 64 mm</v>
          </cell>
          <cell r="G3656" t="str">
            <v>UN</v>
          </cell>
        </row>
        <row r="3657">
          <cell r="E3657">
            <v>7062394</v>
          </cell>
          <cell r="F3657" t="str">
            <v>TORNILLO CORTICAL, DIAMETRO: 4.5 mm, LONGITUD TOTAL: 66 mm</v>
          </cell>
          <cell r="G3657" t="str">
            <v>UN</v>
          </cell>
        </row>
        <row r="3658">
          <cell r="E3658">
            <v>7062395</v>
          </cell>
          <cell r="F3658" t="str">
            <v>TORNILLO ESPONJOSO CON ROSCA DE 16 mm, DIAMETRO: 6.5 mm, LONGITUD: 30mm</v>
          </cell>
          <cell r="G3658" t="str">
            <v>UN</v>
          </cell>
        </row>
        <row r="3659">
          <cell r="E3659">
            <v>7062396</v>
          </cell>
          <cell r="F3659" t="str">
            <v>TORNILLO ESPONJOSO CON ROSCA DE 16 mm, DIAMETRO: 6.5 mm, LONGITUD: 35mm</v>
          </cell>
          <cell r="G3659" t="str">
            <v>UN</v>
          </cell>
        </row>
        <row r="3660">
          <cell r="E3660">
            <v>7062397</v>
          </cell>
          <cell r="F3660" t="str">
            <v>TORNILLO ESPONJOSO CON ROSCA DE 16 mm, DIAMETRO: 6.5 mm, LONGITUD: 40mm</v>
          </cell>
          <cell r="G3660" t="str">
            <v>UN</v>
          </cell>
        </row>
        <row r="3661">
          <cell r="E3661">
            <v>7062398</v>
          </cell>
          <cell r="F3661" t="str">
            <v>TORNILLO ESPONJOSO CON ROSCA DE 16 mm, DIAMETRO: 6.5 mm, LONGITUD: 45mm</v>
          </cell>
          <cell r="G3661" t="str">
            <v>UN</v>
          </cell>
        </row>
        <row r="3662">
          <cell r="E3662">
            <v>7062399</v>
          </cell>
          <cell r="F3662" t="str">
            <v>TORNILLO ESPONJOSO CON ROSCA DE 16 mm, DIAMETRO: 6.5 mm, LONGITUD: 50mm</v>
          </cell>
          <cell r="G3662" t="str">
            <v>UN</v>
          </cell>
        </row>
        <row r="3663">
          <cell r="E3663">
            <v>7062400</v>
          </cell>
          <cell r="F3663" t="str">
            <v>TORNILLO ESPONJOSO CON ROSCA DE 16 mm, DIAMETRO: 6.5 mm, LONGITUD: 55mm</v>
          </cell>
          <cell r="G3663" t="str">
            <v>UN</v>
          </cell>
        </row>
        <row r="3664">
          <cell r="E3664">
            <v>7062401</v>
          </cell>
          <cell r="F3664" t="str">
            <v>TORNILLO ESPONJOSO CON ROSCA DE 16 mm, DIAMETRO: 6.5 mm, LONGITUD: 60mm</v>
          </cell>
          <cell r="G3664" t="str">
            <v>UN</v>
          </cell>
        </row>
        <row r="3665">
          <cell r="E3665">
            <v>7062402</v>
          </cell>
          <cell r="F3665" t="str">
            <v>TORNILLO ESPONJOSO CON ROSCA DE 16 mm, DIAMETRO: 6.5 mm, LONGITUD: 65mm</v>
          </cell>
          <cell r="G3665" t="str">
            <v>UN</v>
          </cell>
        </row>
        <row r="3666">
          <cell r="E3666">
            <v>7062403</v>
          </cell>
          <cell r="F3666" t="str">
            <v>TORNILLO ESPONJOSO CON ROSCA DE 32 mm, DIAMETRO: 6.5 mm, LONGITUD: 45mm</v>
          </cell>
          <cell r="G3666" t="str">
            <v>UN</v>
          </cell>
        </row>
        <row r="3667">
          <cell r="E3667">
            <v>7062404</v>
          </cell>
          <cell r="F3667" t="str">
            <v>TORNILLO ESPONJOSO CON ROSCA DE 32 mm, DIAMETRO: 6.5 mm, LONGITUD: 50mm</v>
          </cell>
          <cell r="G3667" t="str">
            <v>UN</v>
          </cell>
        </row>
        <row r="3668">
          <cell r="E3668">
            <v>7062405</v>
          </cell>
          <cell r="F3668" t="str">
            <v>TORNILLO ESPONJOSO CON ROSCA DE 32 mm, DIAMETRO: 6.5 mm, LONGITUD: 55mm</v>
          </cell>
          <cell r="G3668" t="str">
            <v>UN</v>
          </cell>
        </row>
        <row r="3669">
          <cell r="E3669">
            <v>7062406</v>
          </cell>
          <cell r="F3669" t="str">
            <v>TORNILLO ESPONJOSO CON ROSCA DE 32 mm, DIAMETRO: 6.5 mm, LONGITUD: 60mm</v>
          </cell>
          <cell r="G3669" t="str">
            <v>UN</v>
          </cell>
        </row>
        <row r="3670">
          <cell r="E3670">
            <v>7062407</v>
          </cell>
          <cell r="F3670" t="str">
            <v>TORNILLO ESPONJOSO CON ROSCA DE 32 mm, DIAMETRO: 6.5 mm, LONGITUD: 65mm</v>
          </cell>
          <cell r="G3670" t="str">
            <v>UN</v>
          </cell>
        </row>
        <row r="3671">
          <cell r="E3671">
            <v>7062408</v>
          </cell>
          <cell r="F3671" t="str">
            <v>TORNILLO ESPONJOSO CON ROSCA DE 32 mm, DIAMETRO: 6.5 mm, LONGITUD: 75mm</v>
          </cell>
          <cell r="G3671" t="str">
            <v>UN</v>
          </cell>
        </row>
        <row r="3672">
          <cell r="E3672">
            <v>7062409</v>
          </cell>
          <cell r="F3672" t="str">
            <v>TORNILLO ESPONJOSO CON ROSCA TOTAL, DIAMETRO: 4.0 mm, LONGITUD: 14 mm</v>
          </cell>
          <cell r="G3672" t="str">
            <v>UN</v>
          </cell>
        </row>
        <row r="3673">
          <cell r="E3673">
            <v>7062410</v>
          </cell>
          <cell r="F3673" t="str">
            <v>TORNILLO ESPONJOSO CON ROSCA TOTAL, DIAMETRO: 4.0 mm, LONGITUD: 25 mm</v>
          </cell>
          <cell r="G3673" t="str">
            <v>UN</v>
          </cell>
        </row>
        <row r="3674">
          <cell r="E3674">
            <v>7062411</v>
          </cell>
          <cell r="F3674" t="str">
            <v>TORNILLO ESPONJOSO CON ROSCA TOTAL, DIAMETRO: 4.0 mm, LONGITUD: 30 mm</v>
          </cell>
          <cell r="G3674" t="str">
            <v>UN</v>
          </cell>
        </row>
        <row r="3675">
          <cell r="E3675">
            <v>7062412</v>
          </cell>
          <cell r="F3675" t="str">
            <v>TORNILLO ESPONJOSO CON ROSCA TOTAL, DIAMETRO: 4.0 mm, LONGITUD: 35 mm</v>
          </cell>
          <cell r="G3675" t="str">
            <v>UN</v>
          </cell>
        </row>
        <row r="3676">
          <cell r="E3676">
            <v>7062413</v>
          </cell>
          <cell r="F3676" t="str">
            <v>TORNILLO ESPONJOSO CON ROSCA TOTAL, DIAMETRO: 4.0 mm, LONGITUD: 40 mm</v>
          </cell>
          <cell r="G3676" t="str">
            <v>UN</v>
          </cell>
        </row>
        <row r="3677">
          <cell r="E3677">
            <v>7062414</v>
          </cell>
          <cell r="F3677" t="str">
            <v>TORNILLO ESPONJOSO CON ROSCA TOTAL, DIAMETRO: 4.0 mm, LONGITUD: 45 mm</v>
          </cell>
          <cell r="G3677" t="str">
            <v>UN</v>
          </cell>
        </row>
        <row r="3678">
          <cell r="E3678">
            <v>7062415</v>
          </cell>
          <cell r="F3678" t="str">
            <v>TORNILLO ESPONJOSO CON ROSCA TOTAL, DIAMETRO: 4.0 mm, LONGITUD: 55 mm</v>
          </cell>
          <cell r="G3678" t="str">
            <v>UN</v>
          </cell>
        </row>
        <row r="3679">
          <cell r="E3679">
            <v>7062416</v>
          </cell>
          <cell r="F3679" t="str">
            <v>TORNILLO ESPONJOSO CON ROSCA TOTAL, DIAMETRO: 4.0 mm, LONGITUD: 60 mm</v>
          </cell>
          <cell r="G3679" t="str">
            <v>UN</v>
          </cell>
        </row>
        <row r="3680">
          <cell r="E3680">
            <v>7062417</v>
          </cell>
          <cell r="F3680" t="str">
            <v>TORNILLO ESPONJOSO CON ROSCA TOTAL, DIAMETRO: 6.5 mm, LONGITUD: 45 mm</v>
          </cell>
          <cell r="G3680" t="str">
            <v>UN</v>
          </cell>
        </row>
        <row r="3681">
          <cell r="E3681">
            <v>7062418</v>
          </cell>
          <cell r="F3681" t="str">
            <v>TORNILLO ESPONJOSO CON ROSCA TOTAL, DIAMETRO: 6.5 mm, LONGITUD: 50 mm</v>
          </cell>
          <cell r="G3681" t="str">
            <v>UN</v>
          </cell>
        </row>
        <row r="3682">
          <cell r="E3682">
            <v>7062419</v>
          </cell>
          <cell r="F3682" t="str">
            <v>TORNILLO ESPONJOSO CON ROSCA TOTAL, DIAMETRO: 6.5 mm, LONGITUD: 55 mm</v>
          </cell>
          <cell r="G3682" t="str">
            <v>UN</v>
          </cell>
        </row>
        <row r="3683">
          <cell r="E3683">
            <v>7062420</v>
          </cell>
          <cell r="F3683" t="str">
            <v>TORNILLO ESPONJOSO CON ROSCA TOTAL, DIAMETRO: 6.5 mm, LONGITUD: 60 mm</v>
          </cell>
          <cell r="G3683" t="str">
            <v>UN</v>
          </cell>
        </row>
        <row r="3684">
          <cell r="E3684">
            <v>7062421</v>
          </cell>
          <cell r="F3684" t="str">
            <v>TORNILLO ESPONJOSO CON ROSCA TOTAL, DIAMETRO: 6.5 mm, LONGITUD: 65 mm</v>
          </cell>
          <cell r="G3684" t="str">
            <v>UN</v>
          </cell>
        </row>
        <row r="3685">
          <cell r="E3685">
            <v>7062422</v>
          </cell>
          <cell r="F3685" t="str">
            <v>TORNILLO ESPONJOSO CON ROSCA TOTAL, DIAMETRO: 6.5 mm, LONGITUD: 70 mm</v>
          </cell>
          <cell r="G3685" t="str">
            <v>UN</v>
          </cell>
        </row>
        <row r="3686">
          <cell r="E3686">
            <v>7062423</v>
          </cell>
          <cell r="F3686" t="str">
            <v>TORNILLO ESPONJOSO CON ROSCA TOTAL, DIAMETRO: 6.5 mm, LONGITUD: 75 mm</v>
          </cell>
          <cell r="G3686" t="str">
            <v>UN</v>
          </cell>
        </row>
        <row r="3687">
          <cell r="E3687">
            <v>7062424</v>
          </cell>
          <cell r="F3687" t="str">
            <v>TORNILLO ESPONJOSO, DIAMETRO: 4.0 mm, LONGITUD: 10 mm, TODO ROSCA  </v>
          </cell>
          <cell r="G3687" t="str">
            <v>UN</v>
          </cell>
        </row>
        <row r="3688">
          <cell r="E3688">
            <v>7062425</v>
          </cell>
          <cell r="F3688" t="str">
            <v>TORNILLO ESPONJOSO, DIAMETRO: 4.0 mm, LONGITUD: 12 mm</v>
          </cell>
          <cell r="G3688" t="str">
            <v>UN</v>
          </cell>
        </row>
        <row r="3689">
          <cell r="E3689">
            <v>7062426</v>
          </cell>
          <cell r="F3689" t="str">
            <v>TORNILLO ESPONJOSO, DIAMETRO: 4.0 mm, LONGITUD: 14 mm, TODO ROSCA</v>
          </cell>
          <cell r="G3689" t="str">
            <v>UN</v>
          </cell>
        </row>
        <row r="3690">
          <cell r="E3690">
            <v>7062427</v>
          </cell>
          <cell r="F3690" t="str">
            <v>TORNILLO ESPONJOSO, DIAMETRO: 4.0 mm, LONGITUD: 16 mm</v>
          </cell>
          <cell r="G3690" t="str">
            <v>UN</v>
          </cell>
        </row>
        <row r="3691">
          <cell r="E3691">
            <v>7062428</v>
          </cell>
          <cell r="F3691" t="str">
            <v>TORNILLO ESPONJOSO, DIAMETRO: 4.0 mm, LONGITUD: 18 mm, TODO ROSCA</v>
          </cell>
          <cell r="G3691" t="str">
            <v>UN</v>
          </cell>
        </row>
        <row r="3692">
          <cell r="E3692">
            <v>7062429</v>
          </cell>
          <cell r="F3692" t="str">
            <v>TORNILLO ESPONJOSO, DIAMETRO: 4.0 mm, LONGITUD: 20 mm, TODO ROSCA</v>
          </cell>
          <cell r="G3692" t="str">
            <v>UN</v>
          </cell>
        </row>
        <row r="3693">
          <cell r="E3693">
            <v>7062430</v>
          </cell>
          <cell r="F3693" t="str">
            <v>TORNILLO ESPONJOSO, DIAMETRO: 4.0 mm, LONGITUD: 22 mm, ½ ROSCA</v>
          </cell>
          <cell r="G3693" t="str">
            <v>UN</v>
          </cell>
        </row>
        <row r="3694">
          <cell r="E3694">
            <v>7062431</v>
          </cell>
          <cell r="F3694" t="str">
            <v>TORNILLO ESPONJOSO, DIAMETRO: 4.0 mm, LONGITUD: 24 mm</v>
          </cell>
          <cell r="G3694" t="str">
            <v>UN</v>
          </cell>
        </row>
        <row r="3695">
          <cell r="E3695">
            <v>7062432</v>
          </cell>
          <cell r="F3695" t="str">
            <v>TORNILLO ESPONJOSO, DIAMETRO: 4.0 mm, LONGITUD: 26 mm, ½ ROSCA</v>
          </cell>
          <cell r="G3695" t="str">
            <v>UN</v>
          </cell>
        </row>
        <row r="3696">
          <cell r="E3696">
            <v>7062433</v>
          </cell>
          <cell r="F3696" t="str">
            <v>TORNILLO ESPONJOSO, DIAMETRO: 4.0 mm, LONGITUD: 28 mm</v>
          </cell>
          <cell r="G3696" t="str">
            <v>UN</v>
          </cell>
        </row>
        <row r="3697">
          <cell r="E3697">
            <v>7062434</v>
          </cell>
          <cell r="F3697" t="str">
            <v>TORNILLO ESPONJOSO, DIAMETRO: 4.0 mm, LONGITUD: 30 mm, ½ ROSCA</v>
          </cell>
          <cell r="G3697" t="str">
            <v>UN</v>
          </cell>
        </row>
        <row r="3698">
          <cell r="E3698">
            <v>7062435</v>
          </cell>
          <cell r="F3698" t="str">
            <v>TORNILLO ESPONJOSO, DIAMETRO: 4.0 mm, LONGITUD: 35 mm, ½ ROSCA</v>
          </cell>
          <cell r="G3698" t="str">
            <v>UN</v>
          </cell>
        </row>
        <row r="3699">
          <cell r="E3699">
            <v>7062436</v>
          </cell>
          <cell r="F3699" t="str">
            <v>TORNILLO ESPONJOSO, DIAMETRO: 4.0 mm, LONGITUD: 40 mm, ½ ROSCA</v>
          </cell>
          <cell r="G3699" t="str">
            <v>UN</v>
          </cell>
        </row>
        <row r="3700">
          <cell r="E3700">
            <v>7062437</v>
          </cell>
          <cell r="F3700" t="str">
            <v>TORNILLO ESPONJOSO, DIAMETRO: 4.0 mm, LONGITUD: 45 mm, ½ ROSCA</v>
          </cell>
          <cell r="G3700" t="str">
            <v>UN</v>
          </cell>
        </row>
        <row r="3701">
          <cell r="E3701">
            <v>7062438</v>
          </cell>
          <cell r="F3701" t="str">
            <v>TORNILLO ESPONJOSO, DIAMETRO: 4.0 mm, LONGITUD: 50 mm</v>
          </cell>
          <cell r="G3701" t="str">
            <v>UN</v>
          </cell>
        </row>
        <row r="3702">
          <cell r="E3702">
            <v>7062439</v>
          </cell>
          <cell r="F3702" t="str">
            <v>TORNILLO ESPONJOSO, DIAMETRO: 6.5 mm, LONGITUD: 25 mm, TODO ROSCA  </v>
          </cell>
          <cell r="G3702" t="str">
            <v>UN</v>
          </cell>
        </row>
        <row r="3703">
          <cell r="E3703">
            <v>7062440</v>
          </cell>
          <cell r="F3703" t="str">
            <v>TORNILLO ESPONJOSO, DIAMETRO: 6.5 mm, LONGITUD: 30 mm, TODO ROSCA  </v>
          </cell>
          <cell r="G3703" t="str">
            <v>UN</v>
          </cell>
        </row>
        <row r="3704">
          <cell r="E3704">
            <v>7062441</v>
          </cell>
          <cell r="F3704" t="str">
            <v>TORNILLO ESPONJOSO, DIAMETRO: 6.5 mm, LONGITUD: 35 mm</v>
          </cell>
          <cell r="G3704" t="str">
            <v>UN</v>
          </cell>
        </row>
        <row r="3705">
          <cell r="E3705">
            <v>7062442</v>
          </cell>
          <cell r="F3705" t="str">
            <v>TORNILLO ESPONJOSO, DIAMETRO: 6.5 mm, LONGITUD: 40 mm, ROSCA DE 32mm</v>
          </cell>
          <cell r="G3705" t="str">
            <v>UN</v>
          </cell>
        </row>
        <row r="3706">
          <cell r="E3706">
            <v>7062443</v>
          </cell>
          <cell r="F3706" t="str">
            <v>TORNILLO ESPONJOSO, DIAMETRO: 6.5 mm, LONGITUD: 45 mm, ROSCA DE 32 mm</v>
          </cell>
          <cell r="G3706" t="str">
            <v>UN</v>
          </cell>
        </row>
        <row r="3707">
          <cell r="E3707">
            <v>7062444</v>
          </cell>
          <cell r="F3707" t="str">
            <v>TORNILLO ESPONJOSO, DIAMETRO: 6.5 mm, LONGITUD: 50 mm, ROSCA DE 32 mm</v>
          </cell>
          <cell r="G3707" t="str">
            <v>UN</v>
          </cell>
        </row>
        <row r="3708">
          <cell r="E3708">
            <v>7062445</v>
          </cell>
          <cell r="F3708" t="str">
            <v>TORNILLO ESPONJOSO, DIAMETRO: 6.5 mm, LONGITUD: 55 mm, ROSCA DE 32 mm</v>
          </cell>
          <cell r="G3708" t="str">
            <v>UN</v>
          </cell>
        </row>
        <row r="3709">
          <cell r="E3709">
            <v>7062446</v>
          </cell>
          <cell r="F3709" t="str">
            <v>TORNILLO ESPONJOSO, DIAMETRO: 6.5 mm, LONGITUD: 60 mm, ROSCA DE 32 mm</v>
          </cell>
          <cell r="G3709" t="str">
            <v>UN</v>
          </cell>
        </row>
        <row r="3710">
          <cell r="E3710">
            <v>7062447</v>
          </cell>
          <cell r="F3710" t="str">
            <v>TORNILLO ESPONJOSO, DIAMETRO: 6.5 mm, LONGITUD: 65 mm</v>
          </cell>
          <cell r="G3710" t="str">
            <v>UN</v>
          </cell>
        </row>
        <row r="3711">
          <cell r="E3711">
            <v>7062448</v>
          </cell>
          <cell r="F3711" t="str">
            <v>TORNILLO ESPONJOSO, DIAMETRO: 6.5 mm, LONGITUD: 70 mm, TODO ROSCA</v>
          </cell>
          <cell r="G3711" t="str">
            <v>UN</v>
          </cell>
        </row>
        <row r="3712">
          <cell r="E3712">
            <v>7062449</v>
          </cell>
          <cell r="F3712" t="str">
            <v>TORNILLO ESPONJOSO, DIAMETRO: 6.5 mm, LONGITUD: 75 mm</v>
          </cell>
          <cell r="G3712" t="str">
            <v>UN</v>
          </cell>
        </row>
        <row r="3713">
          <cell r="E3713">
            <v>7062450</v>
          </cell>
          <cell r="F3713" t="str">
            <v>TORNILLO ESPONJOSO, DIAMETRO: 6.5 mm, LONGITUD: 80 mm</v>
          </cell>
          <cell r="G3713" t="str">
            <v>UN</v>
          </cell>
        </row>
        <row r="3714">
          <cell r="E3714">
            <v>7062451</v>
          </cell>
          <cell r="F3714" t="str">
            <v>TORNILLO ESPONJOSO, DIAMETRO: 6.5 mm, LONGITUD: 90 mm</v>
          </cell>
          <cell r="G3714" t="str">
            <v>UN</v>
          </cell>
        </row>
        <row r="3715">
          <cell r="E3715">
            <v>7062452</v>
          </cell>
          <cell r="F3715" t="str">
            <v>TORNILLO MALEOLAR, DIAMETRO: 4.5 mm, LONGITUD TOTAL: 35 mm</v>
          </cell>
          <cell r="G3715" t="str">
            <v>UN</v>
          </cell>
        </row>
        <row r="3716">
          <cell r="E3716">
            <v>7062453</v>
          </cell>
          <cell r="F3716" t="str">
            <v>TORNILLO MALEOLAR, DIAMETRO: 4.5 mm, LONGITUD TOTAL: 40 mm</v>
          </cell>
          <cell r="G3716" t="str">
            <v>UN</v>
          </cell>
        </row>
        <row r="3717">
          <cell r="E3717">
            <v>7062454</v>
          </cell>
          <cell r="F3717" t="str">
            <v>TORNILLO MALEOLAR, DIAMETRO: 4.5 mm, LONGITUD TOTAL: 45 mm</v>
          </cell>
          <cell r="G3717" t="str">
            <v>UN</v>
          </cell>
        </row>
        <row r="3718">
          <cell r="E3718">
            <v>7062455</v>
          </cell>
          <cell r="F3718" t="str">
            <v>TORNILLO MALEOLAR, DIAMETRO: 4.5 mm, LONGITUD TOTAL: 50 mm</v>
          </cell>
          <cell r="G3718" t="str">
            <v>UN</v>
          </cell>
        </row>
        <row r="3719">
          <cell r="E3719">
            <v>7062456</v>
          </cell>
          <cell r="F3719" t="str">
            <v>TORNILLO MALEOLAR, DIAMETRO: 4.5 mm, LONGITUD TOTAL: 55 mm</v>
          </cell>
          <cell r="G3719" t="str">
            <v>UN</v>
          </cell>
        </row>
        <row r="3720">
          <cell r="E3720">
            <v>7062457</v>
          </cell>
          <cell r="F3720" t="str">
            <v>TORNILLO MALEOLAR, DIAMETRO: 4.5 mm, LONGITUD TOTAL: 60 mm</v>
          </cell>
          <cell r="G3720" t="str">
            <v>UN</v>
          </cell>
        </row>
        <row r="3721">
          <cell r="E3721">
            <v>7062458</v>
          </cell>
          <cell r="F3721" t="str">
            <v>TORNILLO MALEOLAR, DIAMETRO: 4.5 mm, LONGITUD TOTAL: 65 mm</v>
          </cell>
          <cell r="G3721" t="str">
            <v>UN</v>
          </cell>
        </row>
        <row r="3722">
          <cell r="E3722">
            <v>7062459</v>
          </cell>
          <cell r="F3722" t="str">
            <v>TORNILLO MALEOLAR, DIAMETRO: 4.5 mm, LONGITUD TOTAL: 70 mm</v>
          </cell>
          <cell r="G3722" t="str">
            <v>UN</v>
          </cell>
        </row>
        <row r="3723">
          <cell r="E3723">
            <v>7070069</v>
          </cell>
          <cell r="F3723" t="str">
            <v>AMPOLLA DE CALIBRACION SLOPE PARA GASOMETRO SEGÚN MARCA Y MODELO DE EQUIPO INSTITUCIONAL</v>
          </cell>
          <cell r="G3723" t="str">
            <v>C/U</v>
          </cell>
        </row>
        <row r="3724">
          <cell r="E3724">
            <v>7070120</v>
          </cell>
          <cell r="F3724" t="str">
            <v>BOLSA RESERVORIO PARA AMBU 500 ML</v>
          </cell>
          <cell r="G3724" t="str">
            <v>UN</v>
          </cell>
        </row>
        <row r="3725">
          <cell r="E3725">
            <v>7070121</v>
          </cell>
          <cell r="F3725" t="str">
            <v>CANULA OROFARINGEA TRANSPARENTE DE 100 mm DE LONGITUD</v>
          </cell>
          <cell r="G3725" t="str">
            <v>UN</v>
          </cell>
        </row>
        <row r="3726">
          <cell r="E3726">
            <v>7070122</v>
          </cell>
          <cell r="F3726" t="str">
            <v>CANULA OROFARINGEA TRANSPARENTE DE 30 MM DE LONGITUD</v>
          </cell>
          <cell r="G3726" t="str">
            <v>UN</v>
          </cell>
        </row>
        <row r="3727">
          <cell r="E3727">
            <v>7070123</v>
          </cell>
          <cell r="F3727" t="str">
            <v>CANULA OROFARINGEA TRANSPARENTE DE 40 mm DE LONGITUD</v>
          </cell>
          <cell r="G3727" t="str">
            <v>UN</v>
          </cell>
        </row>
        <row r="3728">
          <cell r="E3728">
            <v>7070124</v>
          </cell>
          <cell r="F3728" t="str">
            <v>CANULA OROFARINGEA TRANSPARENTE DE 50 mm DE LONGITUD</v>
          </cell>
          <cell r="G3728" t="str">
            <v>UN</v>
          </cell>
        </row>
        <row r="3729">
          <cell r="E3729">
            <v>7070125</v>
          </cell>
          <cell r="F3729" t="str">
            <v>CANULA OROFARINGEA TRANSPARENTE DE 60 mm DE LONGITUD</v>
          </cell>
          <cell r="G3729" t="str">
            <v>UN</v>
          </cell>
        </row>
        <row r="3730">
          <cell r="E3730">
            <v>7070126</v>
          </cell>
          <cell r="F3730" t="str">
            <v>CANULA OROFARINGEA TRANSPARENTE DE 70 mm DE LONGITUDSILICONADA, QUEPERMITA LA ASPIRACION</v>
          </cell>
          <cell r="G3730" t="str">
            <v>UN</v>
          </cell>
        </row>
        <row r="3731">
          <cell r="E3731">
            <v>7070127</v>
          </cell>
          <cell r="F3731" t="str">
            <v>CANULA OROFARINGEA TRANSPARENTE DE 80 mm DE LONGITUD</v>
          </cell>
          <cell r="G3731" t="str">
            <v>UN</v>
          </cell>
        </row>
        <row r="3732">
          <cell r="E3732">
            <v>7070128</v>
          </cell>
          <cell r="F3732" t="str">
            <v>CANULA OROFARINGEA TRANSPARENTE DE 90 mm DE LONGITUDSILICONADA, QUEPERMITA LA ASPIRACION</v>
          </cell>
          <cell r="G3732" t="str">
            <v>UN</v>
          </cell>
        </row>
        <row r="3733">
          <cell r="E3733">
            <v>7070129</v>
          </cell>
          <cell r="F3733" t="str">
            <v>CEPILLO PARA LAVAR TUBO CORRUGADO, LARGO 50 - 60 cm, DIAMETRO  2 cm (APROXIMADO)</v>
          </cell>
          <cell r="G3733" t="str">
            <v>UN</v>
          </cell>
        </row>
        <row r="3734">
          <cell r="E3734">
            <v>7070130</v>
          </cell>
          <cell r="F3734" t="str">
            <v>COLCHON DE HULE DE ESPUMA CON FORRO IMPERMEABLE EN EN MEDIDAS DE 1.0 X 1.2 M X 15 CM.</v>
          </cell>
          <cell r="G3734" t="str">
            <v>UN</v>
          </cell>
        </row>
        <row r="3735">
          <cell r="E3735">
            <v>7070131</v>
          </cell>
          <cell r="F3735" t="str">
            <v>COLLAR PARA AEROSOLES EN PACIENTES CON TRAQUEOTOMIA CON SUJETADOR ELASTICO</v>
          </cell>
          <cell r="G3735" t="str">
            <v>UN</v>
          </cell>
        </row>
        <row r="3736">
          <cell r="E3736">
            <v>7070132</v>
          </cell>
          <cell r="F3736" t="str">
            <v>CONDUCTOR MOLDEABLE PARA TUBOS ENDOTRAQUEALES, REUTILIZABLES</v>
          </cell>
          <cell r="G3736" t="str">
            <v>UN</v>
          </cell>
        </row>
        <row r="3737">
          <cell r="E3737">
            <v>7070133</v>
          </cell>
          <cell r="F3737" t="str">
            <v>CONECTOR PARA MANGUERA DE AIRE COMPRIMIDO DE VENTILADOR MECANICO,ADAPTABLE A SISTEMA DE GASES MEDICOS INSTITUCIONAL</v>
          </cell>
          <cell r="G3737" t="str">
            <v>UN</v>
          </cell>
        </row>
        <row r="3738">
          <cell r="E3738">
            <v>7070134</v>
          </cell>
          <cell r="F3738" t="str">
            <v>CONECTOR PARA MANGUERA DE OXIGENO DE VENTILADOR MECANICO, ADAPTABLE ASISTEMA DE GASES MEDICOS INSTITUCIONAL</v>
          </cell>
          <cell r="G3738" t="str">
            <v>UN</v>
          </cell>
        </row>
        <row r="3739">
          <cell r="E3739">
            <v>7070135</v>
          </cell>
          <cell r="F3739" t="str">
            <v>CUELLO CERVICAL PARA ADAPTAR CANULA DE TRAQUEOSTOMIA PARA ADULTO</v>
          </cell>
          <cell r="G3739" t="str">
            <v>UN</v>
          </cell>
        </row>
        <row r="3740">
          <cell r="E3740">
            <v>7070136</v>
          </cell>
          <cell r="F3740" t="str">
            <v>DISPOSITIVO DE PRESION POSITIVA ESPIRATORIA OSCILATORIA REUTILIZABLE</v>
          </cell>
          <cell r="G3740" t="str">
            <v>UN</v>
          </cell>
        </row>
        <row r="3741">
          <cell r="E3741">
            <v>7070137</v>
          </cell>
          <cell r="F3741" t="str">
            <v>ENTRENADOR MUSCULAR INSPIRATORIO</v>
          </cell>
          <cell r="G3741" t="str">
            <v>UN</v>
          </cell>
        </row>
        <row r="3742">
          <cell r="E3742">
            <v>7070138</v>
          </cell>
          <cell r="F3742" t="str">
            <v>ESPACIADOR DE VOLUMEN NEONATAL CON MASCARILLA N° 1, VALVULAUNIDIRECCIONAL, AEROCAMARA ENTRE 60 Y 200 ML</v>
          </cell>
          <cell r="G3742" t="str">
            <v>UN</v>
          </cell>
        </row>
        <row r="3743">
          <cell r="E3743">
            <v>7070139</v>
          </cell>
          <cell r="F3743" t="str">
            <v>ESPACIADOR DE VOLUMEN NEONATAL, CON MASCARILLA N° 0, VALVULAUNIDIRECCIONAL, AEROCAMARA ANTIESTATICA ENTRE 60 Y 200 ML</v>
          </cell>
          <cell r="G3743" t="str">
            <v>UN</v>
          </cell>
        </row>
        <row r="3744">
          <cell r="E3744">
            <v>7070140</v>
          </cell>
          <cell r="F3744" t="str">
            <v>ESPACIADOR DE VOLUMEN PARA ADULTO, CON VALVULA UNIDIRECCIONAL, AEROCAMARA Y SILBATO</v>
          </cell>
          <cell r="G3744" t="str">
            <v>UN</v>
          </cell>
        </row>
        <row r="3745">
          <cell r="E3745">
            <v>7070141</v>
          </cell>
          <cell r="F3745" t="str">
            <v>ESPACIADOR DE VOLUMEN PARA ADULTO, CON VALVULA UNIDIRECCIONAL,AEROCAMARA Y SILBATO(ALARMA) Y ADAPTADOR A VENTILADOR MECANICO</v>
          </cell>
          <cell r="G3745" t="str">
            <v>UN</v>
          </cell>
        </row>
        <row r="3746">
          <cell r="E3746">
            <v>7070142</v>
          </cell>
          <cell r="F3746" t="str">
            <v>ESPACIADOR DE VOLUMEN PEDIATRICO, CON MASCARILLA GRANDE, VALVULAUNIDIRECCIONAL Y AEROCAMARA ANTIESTATICA</v>
          </cell>
          <cell r="G3746" t="str">
            <v>UN</v>
          </cell>
        </row>
        <row r="3747">
          <cell r="E3747">
            <v>7070143</v>
          </cell>
          <cell r="F3747" t="str">
            <v>ESPACIADOR DE VOLUMEN PEDIATRICO, CON MASCARILLA MEDIANA, VALVULAUNIDIRECCIONAL Y AEROCAMARA ANTIESTATICA</v>
          </cell>
          <cell r="G3747" t="str">
            <v>UN</v>
          </cell>
        </row>
        <row r="3748">
          <cell r="E3748">
            <v>7070144</v>
          </cell>
          <cell r="F3748" t="str">
            <v>ESPACIADOR DE VOLUMEN PEDIATRICO, CON MASCARILLA PEQUEÑA , VALVULAUNIDIRECCIONAL Y AEROCAMARA ANTIESTATICA</v>
          </cell>
          <cell r="G3748" t="str">
            <v>UN</v>
          </cell>
        </row>
        <row r="3749">
          <cell r="E3749">
            <v>7070145</v>
          </cell>
          <cell r="F3749" t="str">
            <v>FILTRO BACTERIANO PARA NEBULIZADOR ULTRASONICO, COMPATIBLE CON EQUIPOINSTITUCIONAL</v>
          </cell>
          <cell r="G3749" t="str">
            <v>UN</v>
          </cell>
        </row>
        <row r="3750">
          <cell r="E3750">
            <v>7070146</v>
          </cell>
          <cell r="F3750" t="str">
            <v>FILTRO CON INTERCAMBIADOR DE CALOR Y HUMEDAD PARA TRAQUEOTOMÍA CONPUERTO DE OXIGENO (NARIZ ARTIFICIAL, HME)</v>
          </cell>
          <cell r="G3750" t="str">
            <v>UN</v>
          </cell>
        </row>
        <row r="3751">
          <cell r="E3751">
            <v>7070147</v>
          </cell>
          <cell r="F3751" t="str">
            <v>FILTRO CON INTERCAMBIADOR DE CALOR Y HUMEDAD PARA TRAQUEOTOMÍA SINPUERTO DE OXIGENO (NARIZ ARTIFICIAL, HME)</v>
          </cell>
          <cell r="G3751" t="str">
            <v>UN</v>
          </cell>
        </row>
        <row r="3752">
          <cell r="E3752">
            <v>7070148</v>
          </cell>
          <cell r="F3752" t="str">
            <v>FRASCO NEBULIZADOR DE OXIGENO CON SU RESPECTIVO   CALENTADOR.</v>
          </cell>
          <cell r="G3752" t="str">
            <v>UN</v>
          </cell>
        </row>
        <row r="3753">
          <cell r="E3753">
            <v>7070149</v>
          </cell>
          <cell r="F3753" t="str">
            <v>GRAPAS PARA PULMON CON SUS RESPECTIVA ENGRAPADORA DESCARTABLE.. SET</v>
          </cell>
          <cell r="G3753" t="str">
            <v>UN</v>
          </cell>
        </row>
        <row r="3754">
          <cell r="E3754">
            <v>7070150</v>
          </cell>
          <cell r="F3754" t="str">
            <v>HUMIDIFICADOR DESCARTABLE CON  RESERVORIO TIPO BURBUJA, CON SALIDAMINIMA DE 6 psi, UTILIZABLE CON FLUJOS DE OXIGENO AL MENOS ENTRE 2 Y 15LPM</v>
          </cell>
          <cell r="G3754" t="str">
            <v>UN</v>
          </cell>
        </row>
        <row r="3755">
          <cell r="E3755">
            <v>7070151</v>
          </cell>
          <cell r="F3755" t="str">
            <v>INSPIROMETRO DE INCENTIVO PARA ADULTO, DE FLUJO O DE VOLUMEN,DESCARTABLE</v>
          </cell>
          <cell r="G3755" t="str">
            <v>UN</v>
          </cell>
        </row>
        <row r="3756">
          <cell r="E3756">
            <v>7070152</v>
          </cell>
          <cell r="F3756" t="str">
            <v>INSPIROMETRO INCENTIVO CON ADAPTADOR PARA O2  DE FLUJO O DE VOLUMEN, DESCARTABLES.</v>
          </cell>
          <cell r="G3756" t="str">
            <v>UN</v>
          </cell>
        </row>
        <row r="3757">
          <cell r="E3757">
            <v>7070153</v>
          </cell>
          <cell r="F3757" t="str">
            <v>MANGUERA AZUL PARA VENTILADOR DE ALTA FRECUENCIA, PARA MARCA Y MODELODEUSO INSTITUCIONAL</v>
          </cell>
          <cell r="G3757" t="str">
            <v>UN</v>
          </cell>
        </row>
        <row r="3758">
          <cell r="E3758">
            <v>7070154</v>
          </cell>
          <cell r="F3758" t="str">
            <v>MANGUERA ROJA PARA VENTILADOR DE ALTA FRECUENCIA, PARA MARCA Y MODELODEUSO INSTITUCIONAL</v>
          </cell>
          <cell r="G3758" t="str">
            <v>UN</v>
          </cell>
        </row>
        <row r="3759">
          <cell r="E3759">
            <v>7070155</v>
          </cell>
          <cell r="F3759" t="str">
            <v>MANGUERA VERDE PARA VENTILADOR DE ALTA FRECUENCIA, PARA MARCA Y MODELODE USO INSTITUCIONAL</v>
          </cell>
          <cell r="G3759" t="str">
            <v>UN</v>
          </cell>
        </row>
        <row r="3760">
          <cell r="E3760">
            <v>7070156</v>
          </cell>
          <cell r="F3760" t="str">
            <v>MANOMETRO DE PRESION DE BALON DE TUBO ENDOTRAQUEAL O ENDOBRONQUIAL, CON INSUFLADOR</v>
          </cell>
          <cell r="G3760" t="str">
            <v>UN</v>
          </cell>
        </row>
        <row r="3761">
          <cell r="E3761">
            <v>7070157</v>
          </cell>
          <cell r="F3761" t="str">
            <v>MASCARA FACIAL PARA APLICACIÓN DE VENTILACIÓN NO INVASIVA, REUTILIZABLE,CON PUERTO PARA O2 - CO2 Y VALVULA DE EXHALACIÓN; TAMAÑO "L", QUEINCLUYA ARNE, ADAPTABLE A VENTILADOR MECANICO MARCA Y MODELO DE USOINSTITUCIONAL</v>
          </cell>
          <cell r="G3761" t="str">
            <v>UN</v>
          </cell>
        </row>
        <row r="3762">
          <cell r="E3762">
            <v>7070158</v>
          </cell>
          <cell r="F3762" t="str">
            <v>MASCARA FACIAL PARA APLICACIÓN DE VENTILACIÓN NO INVASIVA, REUTILIZABLE,CON PUERTO PARA O2 - CO2 Y VALVULA DE EXHALACIÓN; TAMAÑO "M", QUEINCLUYA ARNE, ADAPTABLE A VENTILADOR MECANICO MARCA Y MODELO DE USOINSTITUCIONAL</v>
          </cell>
          <cell r="G3762" t="str">
            <v>UN</v>
          </cell>
        </row>
        <row r="3763">
          <cell r="E3763">
            <v>7070159</v>
          </cell>
          <cell r="F3763" t="str">
            <v>MASCARA PARA OXIGENO CON SISTEMA VENTURI PARA ADULTO, CON LINEA  DEOXIGENO DE 6 -  9 PIES</v>
          </cell>
          <cell r="G3763" t="str">
            <v>UN</v>
          </cell>
        </row>
        <row r="3764">
          <cell r="E3764">
            <v>7070160</v>
          </cell>
          <cell r="F3764" t="str">
            <v>MASCARA TRANSPARENTE PARA ADULTO CON BOLSA RESERVORIO, CON EXTENSIONPARA OXIGENO 1.5 - 2 MT. DE LARGO, CON VALVULA DE NO REINHALACION,DESCARTABLE, ESTERIL</v>
          </cell>
          <cell r="G3764" t="str">
            <v>UN</v>
          </cell>
        </row>
        <row r="3765">
          <cell r="E3765">
            <v>7070161</v>
          </cell>
          <cell r="F3765" t="str">
            <v>MASCARILLA DE ALTA EFICIENCIA CON FILTRO N-95 Y VALVULA DE EXHALACION</v>
          </cell>
          <cell r="G3765" t="str">
            <v>UN</v>
          </cell>
        </row>
        <row r="3766">
          <cell r="E3766">
            <v>7070162</v>
          </cell>
          <cell r="F3766" t="str">
            <v>MASCARILLA DE POLIPROPILENO # 1 ó EQUIVALENTE, ACOLCHONADA, TRANSPARENTEY SILICONADA, ADAPTABLE A RESUCITADOR MANUAL NEONATAL</v>
          </cell>
          <cell r="G3766" t="str">
            <v>UN</v>
          </cell>
        </row>
        <row r="3767">
          <cell r="E3767">
            <v>7070163</v>
          </cell>
          <cell r="F3767" t="str">
            <v>MASCARILLA DE POLIPROPILENO # 3, ADAPTABLE A RESUCITADOR MANUAL PARA NIÑOS</v>
          </cell>
          <cell r="G3767" t="str">
            <v>UN</v>
          </cell>
        </row>
        <row r="3768">
          <cell r="E3768">
            <v>7070164</v>
          </cell>
          <cell r="F3768" t="str">
            <v>MASCARILLA DE POLIPROPILENO # 4, ADAPTABLE A RESUCITADOR MANUAL PARA ADULTO</v>
          </cell>
          <cell r="G3768" t="str">
            <v>UN</v>
          </cell>
        </row>
        <row r="3769">
          <cell r="E3769">
            <v>7070165</v>
          </cell>
          <cell r="F3769" t="str">
            <v>MASCARILLA DE POLIPROPILENO # 5, ADAPTABLE A RESUCITADOR MANUAL PARA ADULTO</v>
          </cell>
          <cell r="G3769" t="str">
            <v>UN</v>
          </cell>
        </row>
        <row r="3770">
          <cell r="E3770">
            <v>7070166</v>
          </cell>
          <cell r="F3770" t="str">
            <v>MEDIDOR DE FLUJO EXPIRATORIO MAXIMO (PEAK FLOW)</v>
          </cell>
          <cell r="G3770" t="str">
            <v>UN</v>
          </cell>
        </row>
        <row r="3771">
          <cell r="E3771">
            <v>7070167</v>
          </cell>
          <cell r="F3771" t="str">
            <v>NEBULIZADOR CON BOQUILLA Y LINEA DE OXIGENO</v>
          </cell>
          <cell r="G3771" t="str">
            <v>UN</v>
          </cell>
        </row>
        <row r="3772">
          <cell r="E3772">
            <v>7070168</v>
          </cell>
          <cell r="F3772" t="str">
            <v>NEBULIZADOR CON MASCARILLA GRANDE PARA ADULTOS,  TODA POSICION</v>
          </cell>
          <cell r="G3772" t="str">
            <v>UN</v>
          </cell>
        </row>
        <row r="3773">
          <cell r="E3773">
            <v>7070169</v>
          </cell>
          <cell r="F3773" t="str">
            <v>NEBULIZADOR CON MASCARILLA MEDIANA PARA ADULTOS, TODA POSICION</v>
          </cell>
          <cell r="G3773" t="str">
            <v>UN</v>
          </cell>
        </row>
        <row r="3774">
          <cell r="E3774">
            <v>7070170</v>
          </cell>
          <cell r="F3774" t="str">
            <v>NEBULIZADOR CON MASCARILLA PARA INFANTES,  TODA POSICION</v>
          </cell>
          <cell r="G3774" t="str">
            <v>UN</v>
          </cell>
        </row>
        <row r="3775">
          <cell r="E3775">
            <v>7070171</v>
          </cell>
          <cell r="F3775" t="str">
            <v>NEBULIZADOR CON MASCARILLA PARA NEONATOS, TODA POSICION</v>
          </cell>
          <cell r="G3775" t="str">
            <v>UN</v>
          </cell>
        </row>
        <row r="3776">
          <cell r="E3776">
            <v>7070172</v>
          </cell>
          <cell r="F3776" t="str">
            <v>NEBULIZADOR CON PIEZA "T" DE DOBLE TERMINACION, EXTREMOS DE 15 Y 22 mm PARA ADAPTAR A VENTILADOR MECANICO, CON SU LINEA DE OXIGENO</v>
          </cell>
          <cell r="G3776" t="str">
            <v>UN</v>
          </cell>
        </row>
        <row r="3777">
          <cell r="E3777">
            <v>7070173</v>
          </cell>
          <cell r="F3777" t="str">
            <v>NEBULIZADOR CON SELECTOR DE CONCENTRACION, CON SISTEMA VENTURI, DE ALTO VOLUMEN, CON SU RESPECTIVO CALENTADOR</v>
          </cell>
          <cell r="G3777" t="str">
            <v>UN</v>
          </cell>
        </row>
        <row r="3778">
          <cell r="E3778">
            <v>7070174</v>
          </cell>
          <cell r="F3778" t="str">
            <v>NEBULIZADOR CON SELECTOR DE CONCENTRACION, CON SISTEMA VENTURI, DE ALTO VOLUMEN, DESCARTABLE</v>
          </cell>
          <cell r="G3778" t="str">
            <v>UN</v>
          </cell>
        </row>
        <row r="3779">
          <cell r="E3779">
            <v>7070175</v>
          </cell>
          <cell r="F3779" t="str">
            <v>PERCUTOR NEONATAL DE GOMA CON ADAPTADORES PLASTICOS</v>
          </cell>
          <cell r="G3779" t="str">
            <v>UN</v>
          </cell>
        </row>
        <row r="3780">
          <cell r="E3780">
            <v>7070176</v>
          </cell>
          <cell r="F3780" t="str">
            <v>PERCUTOR PARA ADULTO</v>
          </cell>
          <cell r="G3780" t="str">
            <v>UN</v>
          </cell>
        </row>
        <row r="3781">
          <cell r="E3781">
            <v>7070177</v>
          </cell>
          <cell r="F3781" t="str">
            <v>PIEZA EN "T" DE 14 - 16 mm DE DIAMETRO INTERNO, DESCARTABLE</v>
          </cell>
          <cell r="G3781" t="str">
            <v>UN</v>
          </cell>
        </row>
        <row r="3782">
          <cell r="E3782">
            <v>7070178</v>
          </cell>
          <cell r="F3782" t="str">
            <v>PIEZA EN "T" DE 20 - 22 mm DE DIAMETRO INTERNO, DESCARTABLE</v>
          </cell>
          <cell r="G3782" t="str">
            <v>UN</v>
          </cell>
        </row>
        <row r="3783">
          <cell r="E3783">
            <v>7070179</v>
          </cell>
          <cell r="F3783" t="str">
            <v>PULMON DE PUREBA DE 150 A 300 ML, CON RESISTENCIA Y COMPLIANCEESTABLECIDOS</v>
          </cell>
          <cell r="G3783" t="str">
            <v>UN</v>
          </cell>
        </row>
        <row r="3784">
          <cell r="E3784">
            <v>7070180</v>
          </cell>
          <cell r="F3784" t="str">
            <v>PULMON DE PUREBA DE 500 A 2000 ML, CON RESISTENCIA Y COMPLIANCEESTABLECIDOS</v>
          </cell>
          <cell r="G3784" t="str">
            <v>UN</v>
          </cell>
        </row>
        <row r="3785">
          <cell r="E3785">
            <v>7070181</v>
          </cell>
          <cell r="F3785" t="str">
            <v>RESUCITADOR MANUAL INFANTIL, REUTILIZABLE Y DESARMABLE, DESILICON,TRASPARENTE, CON VALVULA LIMITADORA DE PRESION, ADAPTABLE AFUENTE DEOXIGENO, CON SU RESPECTIVA BOLSA RESERVORIO Y VALVULA PEEP DE 0A 20 cmH20, QUE PERMITA VERIFICAR NIVEL DE PRESION, CON AD</v>
          </cell>
          <cell r="G3785" t="str">
            <v>UN</v>
          </cell>
        </row>
        <row r="3786">
          <cell r="E3786">
            <v>7070182</v>
          </cell>
          <cell r="F3786" t="str">
            <v>RESUCITADOR MANUAL NEONATAL, REUTILIZABLE Y DESARMABLE, DE SILICON; CONMASCARA TRASPARENTE, ANATOMICA, DE BORDES ACOLCHONADOS; CON VALVULALIMITADORA DE PRESION Y VALVULA PEEP CON SU ADAPTADOR; ADAPTABLE AFUENTE DE OXIGENO, CON SU RESPECTIVA BOLSA RESERVOR</v>
          </cell>
          <cell r="G3786" t="str">
            <v>UN</v>
          </cell>
        </row>
        <row r="3787">
          <cell r="E3787">
            <v>7070183</v>
          </cell>
          <cell r="F3787" t="str">
            <v>RESUCITADOR MANUAL PARA ADULTO, REUTILIZABLE Y DESARMABLE, DESILICON,TRASPARENTE, CON VALVULA LIMITADORA DE PRESION, ADAPTABLE AFUENTE DEOXIGENO, CON SU RESPECTIVA BOLSA RESERVORIO Y VALVULA PEEP DE 0A 20 cmH20, QUE PERMITA VERIFICAR NIVEL DE PRESION, CON</v>
          </cell>
          <cell r="G3787" t="str">
            <v>UN</v>
          </cell>
        </row>
        <row r="3788">
          <cell r="E3788">
            <v>7070184</v>
          </cell>
          <cell r="F3788" t="str">
            <v>SET DE ASPIRACION DE TRAQUEA CON TAPADERA DE ROSCA</v>
          </cell>
          <cell r="G3788" t="str">
            <v>UN</v>
          </cell>
        </row>
        <row r="3789">
          <cell r="E3789">
            <v>7070185</v>
          </cell>
          <cell r="F3789" t="str">
            <v>SET DE TUBOS CORRUGADOS REUTILIZABLES PARA ADULTO, INCLUYENDO CAMARAHUMIDIFICADORA DE AUTO LLENADO CON SUS RESPECTIVOS CABLES PARA BASECALENTADORA, MARCA Y MODELO DE USO INSTITUCIONAL</v>
          </cell>
          <cell r="G3789" t="str">
            <v>SET</v>
          </cell>
        </row>
        <row r="3790">
          <cell r="E3790">
            <v>7070186</v>
          </cell>
          <cell r="F3790" t="str">
            <v>SET DE TUBOS CORRUGADOS REUTILIZABLES PARA ADULTO, PARA MARCA Y MODELODE USO INSTITUCIONAL.</v>
          </cell>
          <cell r="G3790" t="str">
            <v>UN</v>
          </cell>
        </row>
        <row r="3791">
          <cell r="E3791">
            <v>7070187</v>
          </cell>
          <cell r="F3791" t="str">
            <v>SET PARA TOMA DE GASES ARTERIALES QUE CONTENGA: JERINGA DE 3 cc Y AGUJADE 23 G, HEPARINA DE LITIO, TORUNDA CON ALCOHOL Y YODO, VENDA AUTOADHESIVA Y CON IDENTIFICACION PARA JERINGA Y BOLSA PARA TRASLADO DEMUESTRA</v>
          </cell>
          <cell r="G3791" t="str">
            <v>UN</v>
          </cell>
        </row>
        <row r="3792">
          <cell r="E3792">
            <v>7070188</v>
          </cell>
          <cell r="F3792" t="str">
            <v>SISTEMA CERRADO DE ASPIRACION BRONQUIAL # 14, FLEXIBLE, CON INTERRUPTOR,PUNTA REDONDA ATRAUMATICA, CON ESCALA E INDICADOR NUMERICO,ESTERIL,DESCARTABLE</v>
          </cell>
          <cell r="G3792" t="str">
            <v>UN</v>
          </cell>
        </row>
        <row r="3793">
          <cell r="E3793">
            <v>7070189</v>
          </cell>
          <cell r="F3793" t="str">
            <v>SISTEMA CERRADO DE ASPIRACION BRONQUIAL #6, FLEXIBLE, CON INTERRUPTOR,PUNTA REDONDA ATRAUMATICA, CON ESCALA E INDICADOR NUMERICO, ESTERIL,DESCARTABLE</v>
          </cell>
          <cell r="G3793" t="str">
            <v>UN</v>
          </cell>
        </row>
        <row r="3794">
          <cell r="E3794">
            <v>7070190</v>
          </cell>
          <cell r="F3794" t="str">
            <v>SISTEMA CERRADO DE ASPIRACION BRONQUIAL #8, FLEXIBLE, CON INTERRUPTOR,PUNTA REDONDA ATRAUMATICA, CON ESCALA E INDICADOR NUMERICO, ESTERIL,DESCARTABLE</v>
          </cell>
          <cell r="G3794" t="str">
            <v>UN</v>
          </cell>
        </row>
        <row r="3795">
          <cell r="E3795">
            <v>7070191</v>
          </cell>
          <cell r="F3795" t="str">
            <v>SISTEMA DE PRESION EXPIRATORIA POSITIVA OSCILANTE PARA HIGIENE BRONQUIAL</v>
          </cell>
          <cell r="G3795" t="str">
            <v>UN</v>
          </cell>
        </row>
        <row r="3796">
          <cell r="E3796">
            <v>7070192</v>
          </cell>
          <cell r="F3796" t="str">
            <v>SOSTENEDOR DE TUBO ENDOTRAQUEAL SIN MORDEDERA PARA ADULTO</v>
          </cell>
          <cell r="G3796" t="str">
            <v>UN</v>
          </cell>
        </row>
        <row r="3797">
          <cell r="E3797">
            <v>7070193</v>
          </cell>
          <cell r="F3797" t="str">
            <v>TAPADERA DE RECIPIENTE DE DESCARTE</v>
          </cell>
          <cell r="G3797" t="str">
            <v>UN</v>
          </cell>
        </row>
        <row r="3798">
          <cell r="E3798">
            <v>7070194</v>
          </cell>
          <cell r="F3798" t="str">
            <v>TUBO CORRUGADO TRANSPARENTE CON ADAPTADORES UNIVERSALES FLEXIBLES, DE12PIES DE LONGITUD</v>
          </cell>
          <cell r="G3798" t="str">
            <v>UN</v>
          </cell>
        </row>
        <row r="3799">
          <cell r="E3799">
            <v>7070195</v>
          </cell>
          <cell r="F3799" t="str">
            <v>TUBO CORRUGADO TRANSPARENTE CON ADAPTADORES UNIVERSALES FLEXIBLES, DE6PIES DE LONGITUD</v>
          </cell>
          <cell r="G3799" t="str">
            <v>UN</v>
          </cell>
        </row>
        <row r="3800">
          <cell r="E3800">
            <v>7070196</v>
          </cell>
          <cell r="F3800" t="str">
            <v>TUBO CORRUGADO, DE 100 PIES DE LONGITUD, DESCARTABLE</v>
          </cell>
          <cell r="G3800" t="str">
            <v>UN</v>
          </cell>
        </row>
        <row r="3801">
          <cell r="E3801">
            <v>7070197</v>
          </cell>
          <cell r="F3801" t="str">
            <v>TUBO DE LATEX AMBAR 1/4 X 1/2 X 1/8 PIES</v>
          </cell>
          <cell r="G3801" t="str">
            <v>UN</v>
          </cell>
        </row>
        <row r="3802">
          <cell r="E3802">
            <v>7070198</v>
          </cell>
          <cell r="F3802" t="str">
            <v>TUBO ENDOTRAQUEAL PARA ASPIRACIÓN SUBGLOTICA CON BALÓN DE ALTO VOLUMEN YBAJA PRESIÓN CON LUMEN DE SUCCIÓN Y PUERTO DE EVACUACIÓN  #7.5</v>
          </cell>
          <cell r="G3802" t="str">
            <v>UN</v>
          </cell>
        </row>
        <row r="3803">
          <cell r="E3803">
            <v>7070199</v>
          </cell>
          <cell r="F3803" t="str">
            <v>TUBO ENDOTRAQUEAL PARA ASPIRACIÓN SUBGLOTICA CON BALÓN DE ALTO VOLUMEN YBAJA PRESIÓN CON LUMEN DE SUCCIÓN Y PUERTO DE EVACUACIÓN  #8.0</v>
          </cell>
          <cell r="G3803" t="str">
            <v>UN</v>
          </cell>
        </row>
        <row r="3804">
          <cell r="E3804">
            <v>7070200</v>
          </cell>
          <cell r="F3804" t="str">
            <v>TUBO ENDOTRAQUEAL PARA ASPIRACIÓN SUBGLOTICA CON BALÓN DE ALTO VOLUMEN YBAJA PRESIÓN CON LUMEN DE SUCCIÓN Y PUERTO DE EVACUACIÓN  #8.5</v>
          </cell>
          <cell r="G3804" t="str">
            <v>UN</v>
          </cell>
        </row>
        <row r="3805">
          <cell r="E3805">
            <v>7070201</v>
          </cell>
          <cell r="F3805" t="str">
            <v>TUBO ENDOTRAQUEAL PARA ASPIRACIÓN SUBGLOTICA CON BALÓN DE ALTO VOLUMEN YBAJA PRESIÓN CON LUMEN DE SUCCIÓN Y PUERTO DE EVACUACIÓN  #9.0</v>
          </cell>
          <cell r="G3805" t="str">
            <v>UN</v>
          </cell>
        </row>
        <row r="3806">
          <cell r="E3806">
            <v>7070202</v>
          </cell>
          <cell r="F3806" t="str">
            <v>VALVULA DE EXHALACION PARA VENTILADOR MECANICO, MARCA Y MODELO DE USOINSTITUCIONAL</v>
          </cell>
          <cell r="G3806" t="str">
            <v>UN</v>
          </cell>
        </row>
        <row r="3807">
          <cell r="E3807">
            <v>7070203</v>
          </cell>
          <cell r="F3807" t="str">
            <v>VALVULA PEEP UNIVERSAL DE 0 - 20 cm DE AGUA, ADAPTABLE A RESUCITADORMANUAL</v>
          </cell>
          <cell r="G3807" t="str">
            <v>UN</v>
          </cell>
        </row>
        <row r="3808">
          <cell r="E3808">
            <v>7071061</v>
          </cell>
          <cell r="F3808" t="str">
            <v>BLOQUEO CONTINUO DE PLEXO CON CATETER 0.45 X 0.85 X 400 mm. SET</v>
          </cell>
          <cell r="G3808" t="str">
            <v>UN</v>
          </cell>
        </row>
        <row r="3809">
          <cell r="E3809">
            <v>7071062</v>
          </cell>
          <cell r="F3809" t="str">
            <v>BOLSA DE HULE PARA ANESTESIA, CAPACIDAD 3 LITROS.</v>
          </cell>
          <cell r="G3809" t="str">
            <v>UN</v>
          </cell>
        </row>
        <row r="3810">
          <cell r="E3810">
            <v>7071063</v>
          </cell>
          <cell r="F3810" t="str">
            <v>CABEZALES DE HULE PARA ADULTO PARA SOSTEN DE MASCARA VENTILATORIA EN ANESTESIA GENERAL BAJO MASCARA</v>
          </cell>
          <cell r="G3810" t="str">
            <v>UN</v>
          </cell>
        </row>
        <row r="3811">
          <cell r="E3811">
            <v>7071064</v>
          </cell>
          <cell r="F3811" t="str">
            <v>CAL SODADA.. GRAMO</v>
          </cell>
          <cell r="G3811" t="str">
            <v>G</v>
          </cell>
        </row>
        <row r="3812">
          <cell r="E3812">
            <v>7071065</v>
          </cell>
          <cell r="F3812" t="str">
            <v>CANULA NASOFARINGEA DE 4.5 mm, DERECHA, DE PLASTICO TRANSPARENTE, FLEXIBLE, DE UNA VIA</v>
          </cell>
          <cell r="G3812" t="str">
            <v>UN</v>
          </cell>
        </row>
        <row r="3813">
          <cell r="E3813">
            <v>7071066</v>
          </cell>
          <cell r="F3813" t="str">
            <v>CANULA NASOFARINGEA DE 4.5 mm, IZQUIERDA, DE PLASTICO TRANSPARENTE, FLEXIBLE, DE UNA VIA</v>
          </cell>
          <cell r="G3813" t="str">
            <v>UN</v>
          </cell>
        </row>
        <row r="3814">
          <cell r="E3814">
            <v>7071067</v>
          </cell>
          <cell r="F3814" t="str">
            <v>CANULA NASOFARINGEA DE 5.5 mm, DERECHA, DE PLASTICO TRANSPARENTE, FLEXIBLE, DE UNA VIA</v>
          </cell>
          <cell r="G3814" t="str">
            <v>UN</v>
          </cell>
        </row>
        <row r="3815">
          <cell r="E3815">
            <v>7071068</v>
          </cell>
          <cell r="F3815" t="str">
            <v>CANULA NASOFARINGEA DE 5.5 mm, IZQUIERDA, DE PLASTICO TRANSPARENTE, FLEXIBLE, DE UNA VIA</v>
          </cell>
          <cell r="G3815" t="str">
            <v>UN</v>
          </cell>
        </row>
        <row r="3816">
          <cell r="E3816">
            <v>7071069</v>
          </cell>
          <cell r="F3816" t="str">
            <v>CANULA NASOFARINGEA DE6mm, DERECHA, DE PLASTICO TRANSPARENTE, FLEXIBLE, DE UNA VIA</v>
          </cell>
          <cell r="G3816" t="str">
            <v>UN</v>
          </cell>
        </row>
        <row r="3817">
          <cell r="E3817">
            <v>7071072</v>
          </cell>
          <cell r="F3817" t="str">
            <v>CANULA NASOFARINGEA DE6mm, IZQUIERDA, DE PLASTICO TRANSPARENTE, FLEXIBLE, DE UNA VIA</v>
          </cell>
          <cell r="G3817" t="str">
            <v>UN</v>
          </cell>
        </row>
        <row r="3818">
          <cell r="E3818">
            <v>7071073</v>
          </cell>
          <cell r="F3818" t="str">
            <v>CODO PARA CAPNOGRAFO</v>
          </cell>
          <cell r="G3818" t="str">
            <v>UN</v>
          </cell>
        </row>
        <row r="3819">
          <cell r="E3819">
            <v>7071074</v>
          </cell>
          <cell r="F3819" t="str">
            <v>MASCARA LARINGEA #3 CON CANAL DE ASPIRACION GASTRICA E INTRODUCTOR</v>
          </cell>
          <cell r="G3819" t="str">
            <v>UN</v>
          </cell>
        </row>
        <row r="3820">
          <cell r="E3820">
            <v>7071075</v>
          </cell>
          <cell r="F3820" t="str">
            <v>MASCARA LARINGEA #4 CON CANAL DE ASPIRACION GASTRICA E INTRODUCTOR</v>
          </cell>
          <cell r="G3820" t="str">
            <v>UN</v>
          </cell>
        </row>
        <row r="3821">
          <cell r="E3821">
            <v>7071076</v>
          </cell>
          <cell r="F3821" t="str">
            <v>MASCARA LARINGEA #5 CON CANAL DE ASPIRACION GASTRICA E INTRODUCTOR</v>
          </cell>
          <cell r="G3821" t="str">
            <v>UN</v>
          </cell>
        </row>
        <row r="3822">
          <cell r="E3822">
            <v>7071077</v>
          </cell>
          <cell r="F3822" t="str">
            <v>MASCARA LARINGEA TIPO FAST TRACK #3, QUE INCLUYA ESTABILIZADOR Y TUBO</v>
          </cell>
          <cell r="G3822" t="str">
            <v>UN</v>
          </cell>
        </row>
        <row r="3823">
          <cell r="E3823">
            <v>7071078</v>
          </cell>
          <cell r="F3823" t="str">
            <v>MASCARA LARINGEA TIPO FAST TRACK #4, QUE INCLUYA ESTABILIZADOR Y TUBO</v>
          </cell>
          <cell r="G3823" t="str">
            <v>UN</v>
          </cell>
        </row>
        <row r="3824">
          <cell r="E3824">
            <v>7071079</v>
          </cell>
          <cell r="F3824" t="str">
            <v>MASCARA LARINGEA TIPO FAST TRACK #5, QUE INCLUYA ESTABILIZADOR Y TUBO</v>
          </cell>
          <cell r="G3824" t="str">
            <v>UN</v>
          </cell>
        </row>
        <row r="3825">
          <cell r="E3825">
            <v>7071083</v>
          </cell>
          <cell r="F3825" t="str">
            <v>MASCARA PARA ANESTESIA GRANDE, ANATOMICA, INFLABLE, DESCARTABLE</v>
          </cell>
          <cell r="G3825" t="str">
            <v>UN</v>
          </cell>
        </row>
        <row r="3826">
          <cell r="E3826">
            <v>7071084</v>
          </cell>
          <cell r="F3826" t="str">
            <v>MASCARA PARA ANESTESIA MEDIANA, ANATOMICA, INFLABLE, DESCARTABLE</v>
          </cell>
          <cell r="G3826" t="str">
            <v>UN</v>
          </cell>
        </row>
        <row r="3827">
          <cell r="E3827">
            <v>7071085</v>
          </cell>
          <cell r="F3827" t="str">
            <v>REPUESTOS PARA CIRCUITOS DE ANESTESIA JACKSON REES DE 1 LITRO.</v>
          </cell>
          <cell r="G3827" t="str">
            <v>UN</v>
          </cell>
        </row>
        <row r="3828">
          <cell r="E3828">
            <v>7071086</v>
          </cell>
          <cell r="F3828" t="str">
            <v>REPUESTOS PARA CIRCUITOS DE ANESTESIA JACKSON REES DE 500 ml</v>
          </cell>
          <cell r="G3828" t="str">
            <v>UN</v>
          </cell>
        </row>
        <row r="3829">
          <cell r="E3829">
            <v>7071087</v>
          </cell>
          <cell r="F3829" t="str">
            <v>SET DE ANESTESIA EPIDURAL Y ANALGESICO QUE CONTENGA: AGUJA TIPO TOUHY18 Ga X 3 1/4 CON CONEXIÓN LUER LOCK, CATETER 20 Ga X ±100 cmFILTRO PLANO ANTIBACTERIAL, CONECTOR PLASTICO, TRANSPARENTE DE ROSCA Y JERINGACON PERDIDA DE RESISTENCIA DE 10 ml</v>
          </cell>
          <cell r="G3829" t="str">
            <v>SET</v>
          </cell>
        </row>
        <row r="3830">
          <cell r="E3830">
            <v>7071088</v>
          </cell>
          <cell r="F3830" t="str">
            <v>SET TUBOS CORRUGADOS CON FILTRO, MASCARA, BOLSA DE 3 LITROS Y CODO PARAMAQUINA DE ANESTESIA CON ADAPTADOR PARA LINEA DE CAPNOGRAFO</v>
          </cell>
          <cell r="G3830" t="str">
            <v>UN</v>
          </cell>
        </row>
        <row r="3831">
          <cell r="E3831">
            <v>7071089</v>
          </cell>
          <cell r="F3831" t="str">
            <v>SISTEMA LINEAL DE ANESTESIA DE 25 ml</v>
          </cell>
          <cell r="G3831" t="str">
            <v>UN</v>
          </cell>
        </row>
        <row r="3832">
          <cell r="E3832">
            <v>7071090</v>
          </cell>
          <cell r="F3832" t="str">
            <v>SISTEMA LINEAL DE ANESTESIA DE 50 ml</v>
          </cell>
          <cell r="G3832" t="str">
            <v>UN</v>
          </cell>
        </row>
        <row r="3833">
          <cell r="E3833">
            <v>7071091</v>
          </cell>
          <cell r="F3833" t="str">
            <v>TUBO ENDOTRAQUEAL CON ALMA DE ACERO DE 6.0 mm DE DIAMETRO, CON BALON DE ALTO VOLUMEN Y BAJA PRESION</v>
          </cell>
          <cell r="G3833" t="str">
            <v>UN</v>
          </cell>
        </row>
        <row r="3834">
          <cell r="E3834">
            <v>7071092</v>
          </cell>
          <cell r="F3834" t="str">
            <v>TUBO ENDOTRAQUEAL CON ALMA DE ACERO DE 7.0 mm DE DIAMETRO, CON BALON ALTO VOLUMEN Y BAJA PRESION</v>
          </cell>
          <cell r="G3834" t="str">
            <v>UN</v>
          </cell>
        </row>
        <row r="3835">
          <cell r="E3835">
            <v>7071093</v>
          </cell>
          <cell r="F3835" t="str">
            <v>TUBO ENDOTRAQUEAL CON ALMA DE ACERO DE 7.5 mm DE DIAMETRO, CON BALON ALTO VOLUMEN Y BAJA PRESION</v>
          </cell>
          <cell r="G3835" t="str">
            <v>UN</v>
          </cell>
        </row>
        <row r="3836">
          <cell r="E3836">
            <v>7071094</v>
          </cell>
          <cell r="F3836" t="str">
            <v>TUBO ENDOTRAQUEAL CON ALMA DE ACERO DE 8.5 mm DE DIAMETRO, CON BALON DE ALTO VOLUMEN Y BAJA PRESION</v>
          </cell>
          <cell r="G3836" t="str">
            <v>UN</v>
          </cell>
        </row>
        <row r="3837">
          <cell r="E3837">
            <v>7071095</v>
          </cell>
          <cell r="F3837" t="str">
            <v>TUBO ENDOTRAQUEAL DE7MM DIAMETRO INTERNO PARA USO CON MASCARA LARINGEATIPO FAST-TRACK, CON SU RESPECTIVO INTRODUCTOR</v>
          </cell>
          <cell r="G3837" t="str">
            <v>UN</v>
          </cell>
        </row>
        <row r="3838">
          <cell r="E3838">
            <v>7071096</v>
          </cell>
          <cell r="F3838" t="str">
            <v>TUBO ENDOTRAQUEAL DE 7.5 MM DIAMETRO INTERNO PARA USO CON MASCARALARINGEA TIPO FAST-TRACK, CON SU RESPECTIVO INTRODUCTOR</v>
          </cell>
          <cell r="G3838" t="str">
            <v>UN</v>
          </cell>
        </row>
        <row r="3839">
          <cell r="E3839">
            <v>7071097</v>
          </cell>
          <cell r="F3839" t="str">
            <v>TUBO ENDOTRAQUEAL DE 8 MM DIAMETRO INTERNO PARA USO CON MASCARA LARINGEATIPO FAST-TRACK, CON SU RESPECTIVO INTRODUCTOR</v>
          </cell>
          <cell r="G3839" t="str">
            <v>UN</v>
          </cell>
        </row>
        <row r="3840">
          <cell r="E3840">
            <v>7071098</v>
          </cell>
          <cell r="F3840" t="str">
            <v>TUBO ENDOTRAQUEAL ORAL DE 10 mm (#40), TRANSPARENTE,CON BALON DE BAJAPRESION Y ALTO VOLUMEN, CON OJO MURPHY, LINEA CENTINELA, DE MATERIAL QUE PERMITA MANTENER SU CURVATURA.</v>
          </cell>
          <cell r="G3840" t="str">
            <v>UN</v>
          </cell>
        </row>
        <row r="3841">
          <cell r="E3841">
            <v>7071099</v>
          </cell>
          <cell r="F3841" t="str">
            <v>TUBO ENDOTRAQUEAL ORAL DE 2.5 mm, TRANSPARENTE,  CON OJO MURPHY, LINEA CENTINELA E IDENTIFICADOR DE CUERDAS VOCALES,  DE MATERIAL RADIOPACOQUE PERMITA MANTENER SU CURVATURA</v>
          </cell>
          <cell r="G3841" t="str">
            <v>UN</v>
          </cell>
        </row>
        <row r="3842">
          <cell r="E3842">
            <v>7071100</v>
          </cell>
          <cell r="F3842" t="str">
            <v>TUBO ENDOTRAQUEAL ORAL DE 3.0 mm, TRANSPARENTE,  CON OJO MURPHY, LINEA CENTINELA E IDENTIFICADOR DE CUERDAS VOCALES,  DE MATERIAL RADIOPACOQUE PERMITA MANTENER SU CURVATURA</v>
          </cell>
          <cell r="G3842" t="str">
            <v>UN</v>
          </cell>
        </row>
        <row r="3843">
          <cell r="E3843">
            <v>7071101</v>
          </cell>
          <cell r="F3843" t="str">
            <v>TUBO ENDOTRAQUEAL ORAL DE 3.5 mm, TRANSPARENTE,  CON OJO MURPHY, LINEA CENTINELA E IDENTIFICADOR DE CUERDAS VOCALES,  DE MATERIAL RADIOPACOQUE PERMITA MANTENER SU CURVATURA</v>
          </cell>
          <cell r="G3843" t="str">
            <v>UN</v>
          </cell>
        </row>
        <row r="3844">
          <cell r="E3844">
            <v>7071102</v>
          </cell>
          <cell r="F3844" t="str">
            <v>TUBO ENDOTRAQUEAL ORAL DE 4.0 mm, TRANSPARENTE,  CON OJO MURPHY, LINEA CENTINELA E IDENTIFICADOR DE CUERDAS VOCALES,  DE MATERIAL RADIOPACOQUE PERMITA MANTENER SU CURVATURA</v>
          </cell>
          <cell r="G3844" t="str">
            <v>UN</v>
          </cell>
        </row>
        <row r="3845">
          <cell r="E3845">
            <v>7071103</v>
          </cell>
          <cell r="F3845" t="str">
            <v>TUBO ENDOTRAQUEAL ORAL DE 4.5 mm, TRANSPARENTE,  CON OJO MURPHY Y LINEA CENTINELA,  DE MATERIAL RADIOPACO QUE PERMITA CONSERVAR SU CURVATURA</v>
          </cell>
          <cell r="G3845" t="str">
            <v>UN</v>
          </cell>
        </row>
        <row r="3846">
          <cell r="E3846">
            <v>7071104</v>
          </cell>
          <cell r="F3846" t="str">
            <v>TUBO ENDOTRAQUEAL ORAL DE 5.0 mm, TRANSPARENTE,  CON OJO MURPHY Y LINEA CENTINELA,  DE MATERIAL RADIOPACO QUE PERMITA CONSERVAR SU CURVATURA</v>
          </cell>
          <cell r="G3846" t="str">
            <v>UN</v>
          </cell>
        </row>
        <row r="3847">
          <cell r="E3847">
            <v>7071105</v>
          </cell>
          <cell r="F3847" t="str">
            <v>TUBO ENDOTRAQUEAL ORAL DE 5.5 mm, TRANSPARENTE,  CON OJO MURPHY Y LINEA CENTINELA,  DE MATERIAL RADIOPACO QUE PERMITA CONSERVAR SU CURVATURA</v>
          </cell>
          <cell r="G3847" t="str">
            <v>UN</v>
          </cell>
        </row>
        <row r="3848">
          <cell r="E3848">
            <v>7071106</v>
          </cell>
          <cell r="F3848" t="str">
            <v>TUBO ENDOTRAQUEAL ORAL DE6mm (#24), TRANSPARENTE, CON BALON DE BAJAPRESION Y ALTO VOLUMEN, CON OJO MURPHY, LINEA CENTINELA, DE MATERIAL QUEPERMITA MANTENER SU CURVATURA.</v>
          </cell>
          <cell r="G3848" t="str">
            <v>UN</v>
          </cell>
        </row>
        <row r="3849">
          <cell r="E3849">
            <v>7071107</v>
          </cell>
          <cell r="F3849" t="str">
            <v>TUBO ENDOTRAQUEAL ORAL DE 6.5 mm (#26), TRANSPARENTE, CON BALON DE BAJA PRESION Y ALTO VOLUMEN, CON OJO MURPHY, LINEA CENTINELA, DEMATERIALQUE PERMITA MANTENER SU CURVATURA.</v>
          </cell>
          <cell r="G3849" t="str">
            <v>UN</v>
          </cell>
        </row>
        <row r="3850">
          <cell r="E3850">
            <v>7071108</v>
          </cell>
          <cell r="F3850" t="str">
            <v>TUBO ENDOTRAQUEAL ORAL DE7mm (#28), TRANSPARENTE, CON BALON DE BAJAPRESION Y ALTO VOLUMEN, CON OJO MURPHY, LINEA CENTINELA, DE MATERIAL QUEPERMITA MANTENER SU CURVATURA.</v>
          </cell>
          <cell r="G3850" t="str">
            <v>UN</v>
          </cell>
        </row>
        <row r="3851">
          <cell r="E3851">
            <v>7071109</v>
          </cell>
          <cell r="F3851" t="str">
            <v>TUBO ENDOTRAQUEAL ORAL DE 7.5 mm (#30), TRANSPARENTE, CON BALON DE BAJAPRESION Y ALTO VOLUMEN, CON OJO MURPHY, LINEA CENTINELA, DEMATERIAL QUE PERMITA MANTENER SU CURVATURA.</v>
          </cell>
          <cell r="G3851" t="str">
            <v>UN</v>
          </cell>
        </row>
        <row r="3852">
          <cell r="E3852">
            <v>7071110</v>
          </cell>
          <cell r="F3852" t="str">
            <v>TUBO ENDOTRAQUEAL ORAL DE 8 mm (#32), TRANSPARENTE, CON BALON DE BAJAPRESION Y ALTO VOLUMEN, CON OJO MURPHY, LINEA CENTINELA, DE MATERIAL QUE PERMITA MANTENER SU CURVATURA.</v>
          </cell>
          <cell r="G3852" t="str">
            <v>UN</v>
          </cell>
        </row>
        <row r="3853">
          <cell r="E3853">
            <v>7071111</v>
          </cell>
          <cell r="F3853" t="str">
            <v>TUBO ENDOTRAQUEAL ORAL DE 8.5 mm (#34), TRANSPARENTE, CON BALON DE BAJA PRESION Y ALTO VOLUMEN, CON OJO MURPHY, LINEA CENTINELA, DEMATERIALQUE PERMITA MANTENER SU CURVATURA.</v>
          </cell>
          <cell r="G3853" t="str">
            <v>UN</v>
          </cell>
        </row>
        <row r="3854">
          <cell r="E3854">
            <v>7071112</v>
          </cell>
          <cell r="F3854" t="str">
            <v>TUBO ENDOTRAQUEAL ORAL DE 9 mm (#36), TRANSPARENTE, CON BALON DE BAJAPRESION Y ALTO VOLUMEN, CON OJO MURPHY, LINEA CENTINELA, DE MATERIAL QUE PERMITA MANTENER SU CURVATURA.</v>
          </cell>
          <cell r="G3854" t="str">
            <v>UN</v>
          </cell>
        </row>
        <row r="3855">
          <cell r="E3855">
            <v>7071113</v>
          </cell>
          <cell r="F3855" t="str">
            <v>TUBO ENDOTRAQUEAL ORAL DE 9.5 mm (#38), TRANSPARENTE,CON BALON DE BAJA PRESION Y ALTO VOLUMEN, CON OJO MURPHY, LINEA CENTINELA, DE MATERIALQUE PERMITA CONTENER SU CURVATURA.</v>
          </cell>
          <cell r="G3855" t="str">
            <v>UN</v>
          </cell>
        </row>
        <row r="3856">
          <cell r="E3856">
            <v>7071114</v>
          </cell>
          <cell r="F3856" t="str">
            <v>TUBO ENDOTRAQUEAL ORAL DE 9.5 mm (#38), TRANSPARENTE,CON BALON DE BAJA PRESION Y ALTO VOLUMEN, CON OJO MURPHY, LINEA CENTINELA, DE MATERIALQUE PERMITA CONTENER SU CURVATURA.</v>
          </cell>
          <cell r="G3856" t="str">
            <v>UN</v>
          </cell>
        </row>
        <row r="3857">
          <cell r="E3857">
            <v>7071115</v>
          </cell>
          <cell r="F3857" t="str">
            <v>TUBO ENDOTRAQUEAL ORAL DE 9.5 mm (#38), TRANSPARENTE,CON BALON DE BAJA PRESION Y ALTO VOLUMEN, CON OJO MURPHY, LINEA CENTINELA, DE MATERIALQUE PERMITA CONTENER SU CURVATURA.</v>
          </cell>
          <cell r="G3857" t="str">
            <v>UN</v>
          </cell>
        </row>
        <row r="3858">
          <cell r="E3858">
            <v>7071116</v>
          </cell>
          <cell r="F3858" t="str">
            <v>TUBO ENDOTRAQUEAL ORAL DE 9.5 mm (#38), TRANSPARENTE,CON BALON DE BAJA PRESION Y ALTO VOLUMEN, CON OJO MURPHY, LINEA CENTINELA, DE MATERIALQUE PERMITA CONTENER SU CURVATURA.</v>
          </cell>
          <cell r="G3858" t="str">
            <v>UN</v>
          </cell>
        </row>
        <row r="3859">
          <cell r="E3859">
            <v>7071117</v>
          </cell>
          <cell r="F3859" t="str">
            <v>TUBO ENDOTRAQUEAL, CON ALMA DE ACERO, CON BALON DE ALTO VOLUMEN DE BAJA PRESION DE 7.5 mm</v>
          </cell>
          <cell r="G3859" t="str">
            <v>UN</v>
          </cell>
        </row>
        <row r="3860">
          <cell r="E3860">
            <v>7071118</v>
          </cell>
          <cell r="F3860" t="str">
            <v>TUBO ENDOTRAQUEAL, CON ALMA DE ACERO, CON BALON DE ALTO VOLUMEN Y BAJA PRESION DE 5 mm</v>
          </cell>
          <cell r="G3860" t="str">
            <v>UN</v>
          </cell>
        </row>
        <row r="3861">
          <cell r="E3861">
            <v>7071119</v>
          </cell>
          <cell r="F3861" t="str">
            <v>TUBO ENDOTRAQUEAL, CON ALMA DE ACERO, CON BALON DE ALTO VOLUMEN Y BAJA PRESION DE 8 mm</v>
          </cell>
          <cell r="G3861" t="str">
            <v>UN</v>
          </cell>
        </row>
        <row r="3862">
          <cell r="E3862">
            <v>7071120</v>
          </cell>
          <cell r="F3862" t="str">
            <v>TUBO TRAQUEOBRONQUIAL PARA VENTILACION INDEPENDIENTE DERECHO, CON BALON DE BAJA PRESION Y ALTO VOLUMEN, 37 FRENCH, TIPO ROBERTSHOW</v>
          </cell>
          <cell r="G3862" t="str">
            <v>UN</v>
          </cell>
        </row>
        <row r="3863">
          <cell r="E3863">
            <v>7071121</v>
          </cell>
          <cell r="F3863" t="str">
            <v>TUBO TRAQUEOBRONQUIAL PARA VENTILACION INDEPENDIENTE DERECHO, CON BALON DE BAJA PRESION Y ALTO VOLUMEN, 38 FRENCH, TIPO ROBERTSHOW</v>
          </cell>
          <cell r="G3863" t="str">
            <v>UN</v>
          </cell>
        </row>
        <row r="3864">
          <cell r="E3864">
            <v>7071122</v>
          </cell>
          <cell r="F3864" t="str">
            <v>TUBO TRAQUEOBRONQUIAL PARA VENTILACION INDEPENDIENTE DERECHO, CON BALON DE BAJA PRESION Y ALTO VOLUMEN, 39 FRENCH, TIPO ROBERTSHOW</v>
          </cell>
          <cell r="G3864" t="str">
            <v>UN</v>
          </cell>
        </row>
        <row r="3865">
          <cell r="E3865">
            <v>7071123</v>
          </cell>
          <cell r="F3865" t="str">
            <v>TUBO TRAQUEOBRONQUIAL PARA VENTILACION INDEPENDIENTE IZQUIERDO, CON BALON DE BAJA PRESION Y ALTO VOLUMEN, 37 FRENCH, TIPO ROBERTSHOW</v>
          </cell>
          <cell r="G3865" t="str">
            <v>UN</v>
          </cell>
        </row>
        <row r="3866">
          <cell r="E3866">
            <v>7071124</v>
          </cell>
          <cell r="F3866" t="str">
            <v>TUBO TRAQUEOBRONQUIAL PARA VENTILACION INDEPENDIENTE IZQUIERDO, CON BALON DE BAJA PRESION Y ALTO VOLUMEN, 38 FRENCH, TIPO ROBERTSHOW</v>
          </cell>
          <cell r="G3866" t="str">
            <v>UN</v>
          </cell>
        </row>
        <row r="3867">
          <cell r="E3867">
            <v>7071125</v>
          </cell>
          <cell r="F3867" t="str">
            <v>TUBO TRAQUEOBRONQUIAL PARA VENTILACION INDEPENDIENTE IZQUIERDO, CON BALON DE BAJA PRESION Y ALTO VOLUMEN, 39 FRENCH, TIPO ROBERTSHOW</v>
          </cell>
          <cell r="G3867" t="str">
            <v>UN</v>
          </cell>
        </row>
        <row r="3868">
          <cell r="E3868">
            <v>7072020</v>
          </cell>
          <cell r="F3868" t="str">
            <v>ADAPTADORES NASALES TALLA "M" (2) PARA PROCEDIMIENTOS DE RINOMETRIA</v>
          </cell>
          <cell r="G3868" t="str">
            <v>UN</v>
          </cell>
        </row>
        <row r="3869">
          <cell r="E3869">
            <v>7072021</v>
          </cell>
          <cell r="F3869" t="str">
            <v>ATOMIZADOR PARA APLICAR MEDICAMENTO DURANTE PLEUROSCOPIA</v>
          </cell>
          <cell r="G3869" t="str">
            <v>UN</v>
          </cell>
        </row>
        <row r="3870">
          <cell r="E3870">
            <v>7072022</v>
          </cell>
          <cell r="F3870" t="str">
            <v>BOQUILLA DESCARTABLE PARA ESPIROMETRO PARA MARCA Y MODELO DE USO INSTITUCIONAL</v>
          </cell>
          <cell r="G3870" t="str">
            <v>UN</v>
          </cell>
        </row>
        <row r="3871">
          <cell r="E3871">
            <v>7072023</v>
          </cell>
          <cell r="F3871" t="str">
            <v>CEPILLO DESCARTABLE PEDIATRICO PARA CEPILLADO BRONQUIAL # 51</v>
          </cell>
          <cell r="G3871" t="str">
            <v>UN</v>
          </cell>
        </row>
        <row r="3872">
          <cell r="E3872">
            <v>7072024</v>
          </cell>
          <cell r="F3872" t="str">
            <v>CLAMP NASAL PARA ADULTO</v>
          </cell>
          <cell r="G3872" t="str">
            <v>UN</v>
          </cell>
        </row>
        <row r="3873">
          <cell r="E3873">
            <v>7072025</v>
          </cell>
          <cell r="F3873" t="str">
            <v>FIBROSCOPIO DE INTUBACION PARA TUBOS ENDOTRAQUEALES</v>
          </cell>
          <cell r="G3873" t="str">
            <v>UN</v>
          </cell>
        </row>
        <row r="3874">
          <cell r="E3874">
            <v>7072026</v>
          </cell>
          <cell r="F3874" t="str">
            <v>FRASCO DESCARTABLE CON TAPADERA DE ROSCA PARA TOMA DE PRUEBAS DE SECRECION TRAQUEAL, ADAPTABLE A BRONCOSCOPIO</v>
          </cell>
          <cell r="G3874" t="str">
            <v>UN</v>
          </cell>
        </row>
        <row r="3875">
          <cell r="E3875">
            <v>7072027</v>
          </cell>
          <cell r="F3875" t="str">
            <v>PINZA FLEXIBLE DE BIOPSIA, ESTANDAR, CON AGUJA CENTRAL, PARA BRONCOSCOPIO FLEXIBLE</v>
          </cell>
          <cell r="G3875" t="str">
            <v>UN</v>
          </cell>
        </row>
        <row r="3876">
          <cell r="E3876">
            <v>7072028</v>
          </cell>
          <cell r="F3876" t="str">
            <v>PINZA PARA BIOPSIA TRANSBRONQUIAL TIPO COCODRILO, PARA CANAL DE TRABAJO DE 2 mm</v>
          </cell>
          <cell r="G3876" t="str">
            <v>UN</v>
          </cell>
        </row>
        <row r="3877">
          <cell r="E3877">
            <v>7072029</v>
          </cell>
          <cell r="F3877" t="str">
            <v>SET DE CATETER PLEURAL DELGADO CON VALVULAS  UNIDIRECCIONALES Y BOLSACOLECTORA, DESCARTABLE, ESTERIL</v>
          </cell>
          <cell r="G3877" t="str">
            <v>UN</v>
          </cell>
        </row>
        <row r="3878">
          <cell r="E3878">
            <v>7072030</v>
          </cell>
          <cell r="F3878" t="str">
            <v>SET DE CEPILLOS PARA CITOLOGIA, PARA FIBROBRONCOSCOPIO CON CANAL DE TRABAJO DE 2 mm</v>
          </cell>
          <cell r="G3878" t="str">
            <v>UN</v>
          </cell>
        </row>
        <row r="3879">
          <cell r="E3879">
            <v>7072031</v>
          </cell>
          <cell r="F3879" t="str">
            <v>SET DE ENDOPRÓTESIS BRONQUIAL. QUE CONTENGA PROTESIS DE ALEACIÓN NIQUEL Y TITANIO, RECUBIERTA DE POLIURETANO PARA COLOCACIÓN BRONCOSCÓPICA;CON GUÍA HIDROFÍLICA DE COLOCACIÓN, RADIOPACA DE LA MISMA ALEACIÓN Y SISTEMA DE LIBERACIÓN POR SUTURA Y DILATADOR PO</v>
          </cell>
          <cell r="G3879" t="str">
            <v>UN</v>
          </cell>
        </row>
        <row r="3880">
          <cell r="E3880">
            <v>7072032</v>
          </cell>
          <cell r="F3880" t="str">
            <v>SET DE ENDOPRÓTESIS TRAQUEAL. QUE CONTENGA PROTESIS DE ALEACIÓN NIQUEL Y TITANIO, RECUBIERTA DE POLIURETANO, PARA COLOCACIÓN BRONCOSCÓPICA;CON GUÍA HIDROFÍLICA DE COLOCACIÓN, RADIOPACA DE LA MISMA ALEACIÓN Y SISTEMA DE LIBERACIÓN POR SUTURA Y DILATADOR PO</v>
          </cell>
          <cell r="G3880" t="str">
            <v>UN</v>
          </cell>
        </row>
        <row r="3881">
          <cell r="E3881">
            <v>7072033</v>
          </cell>
          <cell r="F3881" t="str">
            <v>SET DE ENDOPRÓTESIS TRAQUEOBRONQUIAL DE SILICÓN CON GRADO DE IMPLANTE, SISTEMA ANTI-MIGRACIÓN, SUPERFICIE NO ADHERENTE, REMOVIBLE, RADIOPACO. DIÁMETRO EXTERNO TRAQUEAL DE 14 Y 16 mm Y  DIÁMETRO EXTERNO BRONQUIAL DE 10 Y 12 mm</v>
          </cell>
          <cell r="G3881" t="str">
            <v>UN</v>
          </cell>
        </row>
        <row r="3882">
          <cell r="E3882">
            <v>7073000</v>
          </cell>
          <cell r="F3882" t="str">
            <v>CALIBRADOR EXTERNO DE SATURACION DE OXIGENO PARA GASOMETRO DE MARCA Y MODELO DE USO INSTITUCIONAL</v>
          </cell>
          <cell r="G3882" t="str">
            <v>C/U</v>
          </cell>
        </row>
        <row r="3883">
          <cell r="E3883">
            <v>7073001</v>
          </cell>
          <cell r="F3883" t="str">
            <v>CAL-PAK COMPATIBLE CON GASOMETRO MODELO CIBA CORNING 238</v>
          </cell>
          <cell r="G3883" t="str">
            <v>C/U</v>
          </cell>
        </row>
        <row r="3884">
          <cell r="E3884">
            <v>7073002</v>
          </cell>
          <cell r="F3884" t="str">
            <v>CARTUCHO DE GAS DE CALIBRACION PARA GASOMETRO MARCA Y MODELO DE USO INSTITUCIONAL</v>
          </cell>
          <cell r="G3884" t="str">
            <v>C/U</v>
          </cell>
        </row>
        <row r="3885">
          <cell r="E3885">
            <v>7073003</v>
          </cell>
          <cell r="F3885" t="str">
            <v>CILINDRO DE GAS SLOPE AL 10% CO2, 5% O2, BALANCE N2</v>
          </cell>
          <cell r="G3885" t="str">
            <v>C/U</v>
          </cell>
        </row>
        <row r="3886">
          <cell r="E3886">
            <v>7073004</v>
          </cell>
          <cell r="F3886" t="str">
            <v>CONTROL DE CALIDAD EXTERNO NIVEL I (ACIDOTICO), PARA GASOMETRO DE MARCA Y MODELO DE USO INSTITUCIONAL</v>
          </cell>
          <cell r="G3886" t="str">
            <v>C/U</v>
          </cell>
        </row>
        <row r="3887">
          <cell r="E3887">
            <v>7073005</v>
          </cell>
          <cell r="F3887" t="str">
            <v>CONTROL DE CALIDAD EXTERNO NIVEL II (NORMAL) PARA GASOMETRO DE MARCA Y MODELO DE USO INSTITUCIONAL</v>
          </cell>
          <cell r="G3887" t="str">
            <v>C/U</v>
          </cell>
        </row>
        <row r="3888">
          <cell r="E3888">
            <v>7073006</v>
          </cell>
          <cell r="F3888" t="str">
            <v>CONTROL DE CALIDAD EXTERNO NIVEL III (BASICO) PARA GASOMETRO DE MARCA Y MODELO DE USO INSTITUCIONAL</v>
          </cell>
          <cell r="G3888" t="str">
            <v>C/U</v>
          </cell>
        </row>
        <row r="3889">
          <cell r="E3889">
            <v>7073007</v>
          </cell>
          <cell r="F3889" t="str">
            <v>CONTROL DE CALIDAD INTERNO PARA GASOMETRO COMPATIBLE CON  MARCA Y MODELO DE USO INSTITUCIONAL</v>
          </cell>
          <cell r="G3889" t="str">
            <v>C/U</v>
          </cell>
        </row>
        <row r="3890">
          <cell r="E3890">
            <v>7073008</v>
          </cell>
          <cell r="F3890" t="str">
            <v xml:space="preserve">DETECTOR MUESTRA AIRE COMPATIBLE GASOMETRO MARCA Y MODELO DE USO INSTITUCIONAL </v>
          </cell>
          <cell r="G3890" t="str">
            <v>C/U</v>
          </cell>
        </row>
        <row r="3891">
          <cell r="E3891">
            <v>7073009</v>
          </cell>
          <cell r="F3891" t="str">
            <v>ELECTRODO DE SATURACION COMPATIBLE CON GASOMETRO MARCA Y MODELO DE USO INSTITUCIONAL</v>
          </cell>
          <cell r="G3891" t="str">
            <v>C/U</v>
          </cell>
        </row>
        <row r="3892">
          <cell r="E3892">
            <v>7073010</v>
          </cell>
          <cell r="F3892" t="str">
            <v>ELECTRODO O SENSOR DE CALCIO PARA GASOMETRO DE MARCA Y MODELO DE USO INSTITUCIONAL</v>
          </cell>
          <cell r="G3892" t="str">
            <v>C/U</v>
          </cell>
        </row>
        <row r="3893">
          <cell r="E3893">
            <v>7073011</v>
          </cell>
          <cell r="F3893" t="str">
            <v>ELECTRODO O SENSOR DE CLORO PARA GASOMETRO DE MARCA Y MODELO DE USO INSTITUCIONAL</v>
          </cell>
          <cell r="G3893" t="str">
            <v>C/U</v>
          </cell>
        </row>
        <row r="3894">
          <cell r="E3894">
            <v>7073012</v>
          </cell>
          <cell r="F3894" t="str">
            <v>ELECTRODO O SENSOR DE GLUCOSA PARA GASOMETRO DE MARCA Y MODELO DE USO INSTITUCIONAL</v>
          </cell>
          <cell r="G3894" t="str">
            <v>C/U</v>
          </cell>
        </row>
        <row r="3895">
          <cell r="E3895">
            <v>7073013</v>
          </cell>
          <cell r="F3895" t="str">
            <v>ELECTRODO O SENSOR DE HEMATOCRITO PARA GASOMETRO DE MARCA Y MODELO DE USO INSTITUCIONAL</v>
          </cell>
          <cell r="G3895" t="str">
            <v>C/U</v>
          </cell>
        </row>
        <row r="3896">
          <cell r="E3896">
            <v>7073014</v>
          </cell>
          <cell r="F3896" t="str">
            <v>ELECTRODO O SENSOR DE PCO2 PARA GASOMETRO DE MARCA Y MODELO DE USO INSTITUCIONAL</v>
          </cell>
          <cell r="G3896" t="str">
            <v>C/U</v>
          </cell>
        </row>
        <row r="3897">
          <cell r="E3897">
            <v>7073015</v>
          </cell>
          <cell r="F3897" t="str">
            <v>ELECTRODO O SENSOR DE pH PARA GASOMETRO DE MARCA Y MODELO DE USO INSTITUCIONAL</v>
          </cell>
          <cell r="G3897" t="str">
            <v>C/U</v>
          </cell>
        </row>
        <row r="3898">
          <cell r="E3898">
            <v>7073016</v>
          </cell>
          <cell r="F3898" t="str">
            <v>ELECTRODO O SENSOR DE PO2 PARA GASOMETRO DE MARCA Y MODELO DE USO INSTITUCIONAL</v>
          </cell>
          <cell r="G3898" t="str">
            <v>C/U</v>
          </cell>
        </row>
        <row r="3899">
          <cell r="E3899">
            <v>7073017</v>
          </cell>
          <cell r="F3899" t="str">
            <v>ELECTRODO O SENSOR DE POTASIO PARA GASOMETRO DE MARCA Y MODELO DE USO INSTITUCIONAL</v>
          </cell>
          <cell r="G3899" t="str">
            <v>C/U</v>
          </cell>
        </row>
        <row r="3900">
          <cell r="E3900">
            <v>7073018</v>
          </cell>
          <cell r="F3900" t="str">
            <v>ELECTRODO O SENSOR DE REFERENCIA PARA GASOMETRO DE MARCA Y MODELO DE USO INSTITUCIONAL</v>
          </cell>
          <cell r="G3900" t="str">
            <v>C/U</v>
          </cell>
        </row>
        <row r="3901">
          <cell r="E3901">
            <v>7073019</v>
          </cell>
          <cell r="F3901" t="str">
            <v>ELECTRODO O SENSOR DE SODIO PARA GASOMETRO DE MARCA Y MODELO DE USO INSTITUCIONAL</v>
          </cell>
          <cell r="G3901" t="str">
            <v>C/U</v>
          </cell>
        </row>
        <row r="3902">
          <cell r="E3902">
            <v>7073020</v>
          </cell>
          <cell r="F3902" t="str">
            <v>MEMBRANA DE PCO2 PARA GASOMETRO DE MARCA Y MODELO DE USO INSTITUCIONAL</v>
          </cell>
          <cell r="G3902" t="str">
            <v>C/U</v>
          </cell>
        </row>
        <row r="3903">
          <cell r="E3903">
            <v>7073021</v>
          </cell>
          <cell r="F3903" t="str">
            <v>MEMBRANA DE PO2 PARA GASOMETRO DE MARCA Y MODELO DE USO INSTITUCIONAL</v>
          </cell>
          <cell r="G3903" t="str">
            <v>C/U</v>
          </cell>
        </row>
        <row r="3904">
          <cell r="E3904">
            <v>7073022</v>
          </cell>
          <cell r="F3904" t="str">
            <v>MEMBRANA PARA ELECTRODO DE GLUCOSA PARA GASOMETRO DE MARCA Y MODELO DE USO INSTITUCIONAL</v>
          </cell>
          <cell r="G3904" t="str">
            <v>C/U</v>
          </cell>
        </row>
        <row r="3905">
          <cell r="E3905">
            <v>7073023</v>
          </cell>
          <cell r="F3905" t="str">
            <v>SET DE REACTIVOS PARA MEDIDOR DE GASES ARTERIALES COMPATIBLE CON MARCA Y MODELO DE USO INSTITUCIONAL</v>
          </cell>
          <cell r="G3905" t="str">
            <v>SET</v>
          </cell>
        </row>
        <row r="3906">
          <cell r="E3906">
            <v>7073024</v>
          </cell>
          <cell r="F3906" t="str">
            <v>SOLUCION ACONDICIONADORA DE ELECTRODO DE pH PARA GASOMETRO DE MARCA Y MODELO DE USO INSTITUCIONAL</v>
          </cell>
          <cell r="G3906" t="str">
            <v>C/U</v>
          </cell>
        </row>
        <row r="3907">
          <cell r="E3907">
            <v>7073025</v>
          </cell>
          <cell r="F3907" t="str">
            <v>SOLUCION ACONDICIONADORA PARA GASOMETRO DE MARCA Y MODELO DE USO INSTITUCIONAL</v>
          </cell>
          <cell r="G3907" t="str">
            <v>C/U</v>
          </cell>
        </row>
        <row r="3908">
          <cell r="E3908">
            <v>7073026</v>
          </cell>
          <cell r="F3908" t="str">
            <v>SOLUCION BUFFER ACIDA DE CALIBRACION PARA GASOMETRO DE MARCA Y MODELO DE USO INSTITUCIONAL</v>
          </cell>
          <cell r="G3908" t="str">
            <v>C/U</v>
          </cell>
        </row>
        <row r="3909">
          <cell r="E3909">
            <v>7073027</v>
          </cell>
          <cell r="F3909" t="str">
            <v>SOLUCION BUFFER BASICA DE CALIBRACION PARA GASOMETRO DE MARCA Y MODELO DE USO INSTITUCIONAL</v>
          </cell>
          <cell r="G3909" t="str">
            <v>C/U</v>
          </cell>
        </row>
        <row r="3910">
          <cell r="E3910">
            <v>7073028</v>
          </cell>
          <cell r="F3910" t="str">
            <v>SOLUCION DE HEMATOCRITO SLOPE PARA GASOMETRO DE MARCA Y MODELO DE USO INSTITUCIONAL</v>
          </cell>
          <cell r="G3910" t="str">
            <v>C/U</v>
          </cell>
        </row>
        <row r="3911">
          <cell r="E3911">
            <v>7073029</v>
          </cell>
          <cell r="F3911" t="str">
            <v>SOLUCION DE LIMPIEZA PARA GASOMETRO DE MARCA Y MODELO DE USO INSTITUCIONAL</v>
          </cell>
          <cell r="G3911" t="str">
            <v>C/U</v>
          </cell>
        </row>
        <row r="3912">
          <cell r="E3912">
            <v>7073030</v>
          </cell>
          <cell r="F3912" t="str">
            <v>SOLUCION DE RELLENO DE ELECTRODO DE pH PARA GASOMETRO DE MARCA Y MODELO DE USO INSTITUCIONAL</v>
          </cell>
          <cell r="G3912" t="str">
            <v>C/U</v>
          </cell>
        </row>
        <row r="3913">
          <cell r="E3913">
            <v>7073031</v>
          </cell>
          <cell r="F3913" t="str">
            <v>SOLUCION DE RELLENO DE ELECTRODO DE REFERENCIA KCL PARA GASOMETRO DE MARCA Y MODELO DE USO INSTITUCIONAL</v>
          </cell>
          <cell r="G3913" t="str">
            <v>C/U</v>
          </cell>
        </row>
        <row r="3914">
          <cell r="E3914">
            <v>7073032</v>
          </cell>
          <cell r="F3914" t="str">
            <v>SOLUCION DE RELLENO DE SODIO, CLORO, CALCIO Y POTASIO PARA GASOMETRO DE MARCA Y MODELO DE USO INSTITUCIONAL</v>
          </cell>
          <cell r="G3914" t="str">
            <v>C/U</v>
          </cell>
        </row>
        <row r="3915">
          <cell r="E3915">
            <v>7073033</v>
          </cell>
          <cell r="F3915" t="str">
            <v>SOLUCION DESPROTEINIZANTE PARA GASOMETRO DE MARCA Y MODELO DE USO INSTITUCIONAL</v>
          </cell>
          <cell r="G3915" t="str">
            <v>C/U</v>
          </cell>
        </row>
        <row r="3916">
          <cell r="E3916">
            <v>7073034</v>
          </cell>
          <cell r="F3916" t="str">
            <v>SOLUCION ELECTROLÍTICA DE PCO2 PARA GASOMETRO</v>
          </cell>
          <cell r="G3916" t="str">
            <v>C/U</v>
          </cell>
        </row>
        <row r="3917">
          <cell r="E3917">
            <v>7073035</v>
          </cell>
          <cell r="F3917" t="str">
            <v>SOLUCION ELECTROLÍTICA DE PO2 PARA GASOMETRO</v>
          </cell>
          <cell r="G3917" t="str">
            <v>C/U</v>
          </cell>
        </row>
        <row r="3918">
          <cell r="E3918">
            <v>7073036</v>
          </cell>
          <cell r="F3918" t="str">
            <v>SONDA DE PRUEBA PARA GASOMETRO</v>
          </cell>
          <cell r="G3918" t="str">
            <v>C/U</v>
          </cell>
        </row>
        <row r="3919">
          <cell r="E3919">
            <v>7073037</v>
          </cell>
          <cell r="F3919" t="str">
            <v>GAS ACIDO DE CALIBRACION PARA GASOMETRO DE MARCA Y MODELO DE USO INSTITUCIONAL</v>
          </cell>
          <cell r="G3919" t="str">
            <v>CARTUCHO</v>
          </cell>
        </row>
        <row r="3920">
          <cell r="E3920">
            <v>7073038</v>
          </cell>
          <cell r="F3920" t="str">
            <v>SET DE REACTIVOS PARA GASOMETRO DE MARCA Y MODELO DE USO INSTITUCIONAL</v>
          </cell>
          <cell r="G3920" t="str">
            <v>SET</v>
          </cell>
        </row>
        <row r="3921">
          <cell r="E3921">
            <v>7073039</v>
          </cell>
          <cell r="F3921" t="str">
            <v>SET DE TRES NIVELES DE CONTROL DE CALIDAD PARA GASOMETRO DE MARCA Y MODELO DE USO INSTITUCIONAL, QUE CONTENGA 10 AMPOLLAS POR CADA NIVEL</v>
          </cell>
          <cell r="G3921" t="str">
            <v>SET</v>
          </cell>
        </row>
        <row r="3922">
          <cell r="E3922">
            <v>7074040</v>
          </cell>
          <cell r="F3922" t="str">
            <v>ADAPTADOR PARA VENTILADOR CON PUERTA PARA SUCCION, DEBE TENER DIAFRAGMA QUE EVITE PERDIDA DE VOLUMEN TOTAL</v>
          </cell>
          <cell r="G3922" t="str">
            <v>UN</v>
          </cell>
        </row>
        <row r="3923">
          <cell r="E3923">
            <v>7074041</v>
          </cell>
          <cell r="F3923" t="str">
            <v>ADAPTADORES ANGULADOS CON AUTO SELLO PARA PROCEDIMIENTOS EN PACIENTESINTUBADOS</v>
          </cell>
          <cell r="G3923" t="str">
            <v>UN</v>
          </cell>
        </row>
        <row r="3924">
          <cell r="E3924">
            <v>7074042</v>
          </cell>
          <cell r="F3924" t="str">
            <v>CIRCUITO DE TUBOS CORRUGADOS DESCARTABLES  CON VÁLVULA EXHALATORIA PARA PACIENTE ADULTO PARA VENTILADOR MARCA Y MODELO DE USO INSTITUCIONAL</v>
          </cell>
          <cell r="G3924" t="str">
            <v>UN</v>
          </cell>
        </row>
        <row r="3925">
          <cell r="E3925">
            <v>7074043</v>
          </cell>
          <cell r="F3925" t="str">
            <v>CIRCUITO DE TUBOS CORRUGADOS REUTILIZABLES CON VÁLVULA EXHALATORIA PARA PACIENTE ADULTO PARA VENTILADOR MARCA Y MODELO DE USO INSTITUCIONAL</v>
          </cell>
          <cell r="G3925" t="str">
            <v>UN</v>
          </cell>
        </row>
        <row r="3926">
          <cell r="E3926">
            <v>7074044</v>
          </cell>
          <cell r="F3926" t="str">
            <v>CIRCUITO VENTILATORIO DE TUBOS DESCARTABLES, PARA PACIENTE ADULTO</v>
          </cell>
          <cell r="G3926" t="str">
            <v>UN</v>
          </cell>
        </row>
        <row r="3927">
          <cell r="E3927">
            <v>7074045</v>
          </cell>
          <cell r="F3927" t="str">
            <v>CIRCUITO VENTILATORIO DE TUBOS DESCARTABLES, PARA RECIEN NACIDO, CONCAMARA DE AUTOLLENADO, DOBLEMENTE CALEFACTADOS</v>
          </cell>
          <cell r="G3927" t="str">
            <v>UN</v>
          </cell>
        </row>
        <row r="3928">
          <cell r="E3928">
            <v>7074046</v>
          </cell>
          <cell r="F3928" t="str">
            <v>DIAFRAGMA DE VALVULA EXHALATORIA COMPATIBLE CON VENTILADOR MECANICO, MARCA Y MODELO DE USO INSTITUCIONAL</v>
          </cell>
          <cell r="G3928" t="str">
            <v>UN</v>
          </cell>
        </row>
        <row r="3929">
          <cell r="E3929">
            <v>7074047</v>
          </cell>
          <cell r="F3929" t="str">
            <v>FILTRO BACTERIANO EXPIRATORIO, COMPATIBLE CON VENTILADOR MECANICO MARCA Y MODELO DE USO INSTITUCIONAL</v>
          </cell>
          <cell r="G3929" t="str">
            <v>UN</v>
          </cell>
        </row>
        <row r="3930">
          <cell r="E3930">
            <v>7074048</v>
          </cell>
          <cell r="F3930" t="str">
            <v>FILTRO BACTERIANO PARA TRANSDUCTOR DE FLUJO EXPIRATORIO.</v>
          </cell>
          <cell r="G3930" t="str">
            <v>UN</v>
          </cell>
        </row>
        <row r="3931">
          <cell r="E3931">
            <v>7074049</v>
          </cell>
          <cell r="F3931" t="str">
            <v>FILTRO HIDROFOBO BACTERIANO Y VIRAL, BAJA RESISTENCIA, BAJO ESPACIO MUERTO, ALTO PORCENTAJE DE FILTRACION, BAJO PESO</v>
          </cell>
          <cell r="G3931" t="str">
            <v>UN</v>
          </cell>
        </row>
        <row r="3932">
          <cell r="E3932">
            <v>7074050</v>
          </cell>
          <cell r="F3932" t="str">
            <v>FILTRO HIDROFOBO BACTERIANO-VIRAL BAJA RESISTENCIA AL FLUJO, AL MENOSCON 99.99%  CON ALTO PORCENTAJE DE FILTRACIÓN, CON INTERCAMBIADOR DECALOR Y HUMEDAD, CON MINIMO DE 30 MGH20/LITRO PARA 750 ML, CON PUERTO DEMUESTREO, LIBRE DE LATEX, BAJO ESPACIO MUERTO,</v>
          </cell>
          <cell r="G3932" t="str">
            <v>UN</v>
          </cell>
        </row>
        <row r="3933">
          <cell r="E3933">
            <v>7074051</v>
          </cell>
          <cell r="F3933" t="str">
            <v xml:space="preserve">FILTRO HIDROFOBO BACTERIANO-VIRAL BAJA RESISTENCIA AL FLUJO, CON ALTOPORCENTAJE DE FILTRACIÓN, AL MENOS CON 99.99% CON INTERCAMBIADOR DECALOR Y HUMEDAD, CON MINIMO DE 30 MGH20/LITRO PARA 750 ML, CON PUERTO DEMUESTREO, LIBRE DE LATEX, BAJO ESPACIO MUERTO, </v>
          </cell>
          <cell r="G3933" t="str">
            <v>UN</v>
          </cell>
        </row>
        <row r="3934">
          <cell r="E3934">
            <v>7074052</v>
          </cell>
          <cell r="F3934" t="str">
            <v>HUMIDIFICADOR HIGROSCOPICO PARA VENTILADOR MECANICO PARA ADULTO</v>
          </cell>
          <cell r="G3934" t="str">
            <v>UN</v>
          </cell>
        </row>
        <row r="3935">
          <cell r="E3935">
            <v>7074053</v>
          </cell>
          <cell r="F3935" t="str">
            <v>MASCARA FACIAL PARA APLICACIÓN DE VENTILACIÓN NO INVASIVA, CON PUERTOPARA O2 - CO2 Y VALVULA DE EXHALACIÓN; TAMAÑO "S", QUE INCLUYAARNE. SET</v>
          </cell>
          <cell r="G3935" t="str">
            <v>SET</v>
          </cell>
        </row>
        <row r="3936">
          <cell r="E3936">
            <v>7074054</v>
          </cell>
          <cell r="F3936" t="str">
            <v>MASCARILLA NASAL PARA VENTILACION MECANICA NO INVASIVA TAMAÑO "L" CONPUERTO PARA O2 Y CO2, VALVULA DE EXHALACION Y ARNES, ADAPTABLEA VENTILADOR MECANICO MARCA Y MODELO DE USO INSTITUCIONAL</v>
          </cell>
          <cell r="G3936" t="str">
            <v>UN</v>
          </cell>
        </row>
        <row r="3937">
          <cell r="E3937">
            <v>7074055</v>
          </cell>
          <cell r="F3937" t="str">
            <v>MASCARILLA NASAL PARA VENTILACION MECANICA NO INVASIVA TAMAÑO "M" CONPUERTO PARA O2 Y CO2, VALVULA DE EXHALACION Y ARNES, ADAPTABLEA VENTILADOR MECANICO MARCA Y MODELO DE USO INSTITUCIONAL</v>
          </cell>
          <cell r="G3937" t="str">
            <v>UN</v>
          </cell>
        </row>
        <row r="3938">
          <cell r="E3938">
            <v>7074056</v>
          </cell>
          <cell r="F3938" t="str">
            <v>MASCARILLA NASAL PARA VENTILACION MECANICA NO INVASIVA TAMAÑO "S" CONPUERTO PARA O2 Y CO2, VALVULA DE EXHALACION Y ARNES, ADAPTABLEA VENTILADOR MECANICO MARCA Y MODELO DE USO INSTITUCIONAL</v>
          </cell>
          <cell r="G3938" t="str">
            <v>UN</v>
          </cell>
        </row>
        <row r="3939">
          <cell r="E3939">
            <v>7074057</v>
          </cell>
          <cell r="F3939" t="str">
            <v>SELLO NASAL P/APLICAR CPAP</v>
          </cell>
          <cell r="G3939" t="str">
            <v>UN</v>
          </cell>
        </row>
        <row r="3940">
          <cell r="E3940">
            <v>7074058</v>
          </cell>
          <cell r="F3940" t="str">
            <v>SENSOR DE FLUJO PARA VENTILADOR MECÁNICO Y MÁQUINAS DE ANESTESIA, SEGÚNMARCA Y MODELO DE EQUIPO INSTITUCIONAL</v>
          </cell>
          <cell r="G3940" t="str">
            <v>UN</v>
          </cell>
        </row>
        <row r="3941">
          <cell r="E3941">
            <v>7074059</v>
          </cell>
          <cell r="F3941" t="str">
            <v>CELULA O SENSOR DE OXIGENO PARA VENTILADORES DE MARCA Y MODELOINSTITUCIONAL</v>
          </cell>
          <cell r="G3941" t="str">
            <v>UN</v>
          </cell>
        </row>
        <row r="3942">
          <cell r="E3942">
            <v>7074060</v>
          </cell>
          <cell r="F3942" t="str">
            <v>SET DE CIRCUITOS NEONATALES  REUTILIZABLES PARA VENTILADOR OSCILATORIO DE ALTA FRECUENCIA COMPATIBLE CON VENTILADOR MECANICO DE USOINSTITUCIONAL</v>
          </cell>
          <cell r="G3942" t="str">
            <v>SET</v>
          </cell>
        </row>
        <row r="3943">
          <cell r="E3943">
            <v>7074061</v>
          </cell>
          <cell r="F3943" t="str">
            <v>SET DE CIRCUITOS NEONATALES  REUTILIZABLES PARA VENTILADOR SECHRISTMILLENIUM CON LINEA CALEFACTORA Y LINEA SENSORA DE TEMPERATURA</v>
          </cell>
          <cell r="G3943" t="str">
            <v>SET</v>
          </cell>
        </row>
        <row r="3944">
          <cell r="E3944">
            <v>7074062</v>
          </cell>
          <cell r="F3944" t="str">
            <v>SET DE COJINETE NASAL PARA APLICACIÓN DE VENTILACION NO INVASIVA, QUECONTENGA: VALVULA DE EXHALACION Y ARNE, CON ALMOHADILLAS TAMAÑO "L", "M" Y "S"</v>
          </cell>
          <cell r="G3944" t="str">
            <v>SET</v>
          </cell>
        </row>
        <row r="3945">
          <cell r="E3945">
            <v>7074063</v>
          </cell>
          <cell r="F3945" t="str">
            <v>SISTEMA NASAL PARA TERAPIA DE PRESION POSITIVA CONTINUA DE VIA AEREA (CPAP) N° 0, MARGEN DE PESO MENOR 700 g. SET</v>
          </cell>
          <cell r="G3945" t="str">
            <v>SET</v>
          </cell>
        </row>
        <row r="3946">
          <cell r="E3946">
            <v>7074064</v>
          </cell>
          <cell r="F3946" t="str">
            <v>SISTEMA NASAL PARA TERAPIA DE PRESION POSITIVA CONTINUA DE VIA AEREA (CPAP) N° 00, MARGEN DE PESO MENOR 700 g. SET</v>
          </cell>
          <cell r="G3946" t="str">
            <v>SET</v>
          </cell>
        </row>
        <row r="3947">
          <cell r="E3947">
            <v>7074065</v>
          </cell>
          <cell r="F3947" t="str">
            <v>SISTEMA NASAL PARA TERAPIA DE PRESION POSITIVA CONTINUA DE VIA AEREA (CPAP) N° 1, MARGEN DE PESO DE 700 - 1250 g.. SET</v>
          </cell>
          <cell r="G3947" t="str">
            <v>SET</v>
          </cell>
        </row>
        <row r="3948">
          <cell r="E3948">
            <v>7074066</v>
          </cell>
          <cell r="F3948" t="str">
            <v>SISTEMA NASAL PARA TERAPIA DE PRESION POSITIVA CONTINUA DE VIA AEREA (CPAP) N° 2, MARGEN DE PESO 1250 - 2000 g.. SET</v>
          </cell>
          <cell r="G3948" t="str">
            <v>SET</v>
          </cell>
        </row>
        <row r="3949">
          <cell r="E3949">
            <v>7074067</v>
          </cell>
          <cell r="F3949" t="str">
            <v>SISTEMA PARA APLICAR CPAP DESCARTABLE PARA ADULTO.. SET</v>
          </cell>
          <cell r="G3949" t="str">
            <v>SET</v>
          </cell>
        </row>
        <row r="3950">
          <cell r="E3950">
            <v>7074068</v>
          </cell>
          <cell r="F3950" t="str">
            <v>VALVULAS ORIGINALES C/PEEP P/VENTILADOR AVIAN</v>
          </cell>
          <cell r="G3950" t="str">
            <v>UN</v>
          </cell>
        </row>
        <row r="3951">
          <cell r="E3951">
            <v>7074070</v>
          </cell>
          <cell r="F3951" t="str">
            <v>CAMARA HUMIDIFICADORA PARA BASE CALEFACTORA DE MARCA Y MODELO DE USO INSTITUCIONAL</v>
          </cell>
          <cell r="G3951" t="str">
            <v>UN</v>
          </cell>
        </row>
        <row r="3952">
          <cell r="E3952">
            <v>7074071</v>
          </cell>
          <cell r="F3952" t="str">
            <v>SET DE DIAGFRAGMA PARA VENTILADOR DE ALTA FRECUENCIA DE MARCA Y MODELO DE USO INSTITUCIONAL</v>
          </cell>
          <cell r="G3952" t="str">
            <v>UN</v>
          </cell>
        </row>
        <row r="3953">
          <cell r="E3953">
            <v>7074072</v>
          </cell>
          <cell r="F3953" t="str">
            <v>DIAFRAGMA CON TRAMPA DE AGUA PARA VENTILADOR DE ALTA FRECUENCIA DE MARCA Y MODELO DE USO INSTITUCIONAL</v>
          </cell>
          <cell r="G3953" t="str">
            <v>UN</v>
          </cell>
        </row>
        <row r="3954">
          <cell r="E3954">
            <v>7080007</v>
          </cell>
          <cell r="F3954" t="str">
            <v>VALVULAS PROTESICAS CARDIACAS MECANICAS BAJO PERFIL, DOBLE VALVA, APROBADAS POR LA F.D.A., POSICION AORTICA (VARIAS MEDIDAS DE DIAMETRO SEGUN DEMANDA)</v>
          </cell>
          <cell r="G3954" t="str">
            <v>C/U</v>
          </cell>
        </row>
        <row r="3955">
          <cell r="E3955">
            <v>7080008</v>
          </cell>
          <cell r="F3955" t="str">
            <v>VALVULAS PROTESICAS CARDIACAS MECANICAS BAJO PERFIL,DOBLE VALVA,APROBADAS POR LA F.D.A., POSICION MITRALES  (VARIAS MEDIDAS DE DIAMETRO SEGUN DEMANDA)</v>
          </cell>
          <cell r="G3955" t="str">
            <v>C/U</v>
          </cell>
        </row>
        <row r="3956">
          <cell r="E3956">
            <v>7080009</v>
          </cell>
          <cell r="F3956" t="str">
            <v>VALVULAS PROTESICAS CARDIACAS BIOLOGICAS PERICARDIIO DE BOVINO O PORCINO,POSICION MITRALES APROBADAS POR LA F.D.A.(VARIAS MEDIDAS DE DIAMETRO SEGUN DEMANDA)</v>
          </cell>
          <cell r="G3956" t="str">
            <v>C/U</v>
          </cell>
        </row>
        <row r="3957">
          <cell r="E3957">
            <v>7080140</v>
          </cell>
          <cell r="F3957" t="str">
            <v>ADAPTADOR MACHO PARA AGUJA HIPODERMICA</v>
          </cell>
          <cell r="G3957" t="str">
            <v>UN</v>
          </cell>
        </row>
        <row r="3958">
          <cell r="E3958">
            <v>7080141</v>
          </cell>
          <cell r="F3958" t="str">
            <v>ANILLO FLEXIBLE PARA ANULOPLASTIA # 25</v>
          </cell>
          <cell r="G3958" t="str">
            <v>UN</v>
          </cell>
        </row>
        <row r="3959">
          <cell r="E3959">
            <v>7080142</v>
          </cell>
          <cell r="F3959" t="str">
            <v>ANILLO FLEXIBLE PARA ANULOPLASTIA # 27</v>
          </cell>
          <cell r="G3959" t="str">
            <v>UN</v>
          </cell>
        </row>
        <row r="3960">
          <cell r="E3960">
            <v>7080143</v>
          </cell>
          <cell r="F3960" t="str">
            <v>BALONES INTRA AORTICO # 34 CC. COMPATIBLE CON APARATO DATASCOPE SYSTEMS 90</v>
          </cell>
          <cell r="G3960" t="str">
            <v>UN</v>
          </cell>
        </row>
        <row r="3961">
          <cell r="E3961">
            <v>7080144</v>
          </cell>
          <cell r="F3961" t="str">
            <v>BALONES INTRA AORTICO # 40 CC. COMPATIBLE CON APARATO DATASCOPE SYSTEMS 90</v>
          </cell>
          <cell r="G3961" t="str">
            <v>UN</v>
          </cell>
        </row>
        <row r="3962">
          <cell r="E3962">
            <v>7080145</v>
          </cell>
          <cell r="F3962" t="str">
            <v>BALONES INTRA AORTICO # 50 CC. COMPATIBLE CON APARATO DATASCOPE SYSTEMS 90</v>
          </cell>
          <cell r="G3962" t="str">
            <v>UN</v>
          </cell>
        </row>
        <row r="3963">
          <cell r="E3963">
            <v>7080146</v>
          </cell>
          <cell r="F3963" t="str">
            <v>BOLSA PARA ESTERILIZACION 40 X 46  (200 BOLSAS EN CADA CAJA).. CAJA</v>
          </cell>
          <cell r="G3963" t="str">
            <v>UN</v>
          </cell>
        </row>
        <row r="3964">
          <cell r="E3964">
            <v>7080147</v>
          </cell>
          <cell r="F3964" t="str">
            <v>CALENTADOR PARA TUBO PACIENTES  COMPATIBLE CON VENTILADOR SERVO  900 C.</v>
          </cell>
          <cell r="G3964" t="str">
            <v>UN</v>
          </cell>
        </row>
        <row r="3965">
          <cell r="E3965">
            <v>7080148</v>
          </cell>
          <cell r="F3965" t="str">
            <v>CAMPANA PARA RECUPERADOR CELULAR DE 135 MM</v>
          </cell>
          <cell r="G3965" t="str">
            <v>UN</v>
          </cell>
        </row>
        <row r="3966">
          <cell r="E3966">
            <v>7080149</v>
          </cell>
          <cell r="F3966" t="str">
            <v>CANULA ARTERIAL CON PUNTA RECTA # 20 CON CONECTOR DE 3/8"</v>
          </cell>
          <cell r="G3966" t="str">
            <v>UN</v>
          </cell>
        </row>
        <row r="3967">
          <cell r="E3967">
            <v>7080150</v>
          </cell>
          <cell r="F3967" t="str">
            <v>CANULA ARTERIAL CON PUNTA RECTA # 22 FR.</v>
          </cell>
          <cell r="G3967" t="str">
            <v>UN</v>
          </cell>
        </row>
        <row r="3968">
          <cell r="E3968">
            <v>7080151</v>
          </cell>
          <cell r="F3968" t="str">
            <v>CANULA ARTERIAL CON PUNTA RECTA # 24 FR.</v>
          </cell>
          <cell r="G3968" t="str">
            <v>UN</v>
          </cell>
        </row>
        <row r="3969">
          <cell r="E3969">
            <v>7080152</v>
          </cell>
          <cell r="F3969" t="str">
            <v>CANULA ARTERIAL DE FLUJO SUAVE CON ALMA DE ACERO Y PUNTA CURVA # 21FRENCH CON CONECTOR DE 3/8</v>
          </cell>
          <cell r="G3969" t="str">
            <v>UN</v>
          </cell>
        </row>
        <row r="3970">
          <cell r="E3970">
            <v>7080153</v>
          </cell>
          <cell r="F3970" t="str">
            <v>CANULA ARTERIAL DE FLUJO SUAVE CON PUNTA DE ALMA DE ACERO CURVA # 24 FR CON CONECTOR DE 3/8.</v>
          </cell>
          <cell r="G3970" t="str">
            <v>UN</v>
          </cell>
        </row>
        <row r="3971">
          <cell r="E3971">
            <v>7080154</v>
          </cell>
          <cell r="F3971" t="str">
            <v>CANULA ARTERIAL DE FLUJO SUAVE, ALMA DE ACERO, CON PUNTA CURVA, 18FRENCH, CON CONECTOR DE 3/8"</v>
          </cell>
          <cell r="G3971" t="str">
            <v>UN</v>
          </cell>
        </row>
        <row r="3972">
          <cell r="E3972">
            <v>7080155</v>
          </cell>
          <cell r="F3972" t="str">
            <v>CANULA ARTERIAL DE FLUJO SUAVE, ALMA DE ACERO, CON PUNTA CURVA, 20 FRENCH, CON CONECTOR DE 3/8"</v>
          </cell>
          <cell r="G3972" t="str">
            <v>UN</v>
          </cell>
        </row>
        <row r="3973">
          <cell r="E3973">
            <v>7080156</v>
          </cell>
          <cell r="F3973" t="str">
            <v>CANULA ARTERIAL DE FLUJO SUAVE, ALMA DE ACERO, CON PUNTA CURVA, 22 FRENCH, CON CONECTOR DE 3/8"</v>
          </cell>
          <cell r="G3973" t="str">
            <v>UN</v>
          </cell>
        </row>
        <row r="3974">
          <cell r="E3974">
            <v>7080157</v>
          </cell>
          <cell r="F3974" t="str">
            <v>CANULA DE ARTERIOTOMIA INTRAVASCULAR CORONARIA DE  1.5 MM</v>
          </cell>
          <cell r="G3974" t="str">
            <v>UN</v>
          </cell>
        </row>
        <row r="3975">
          <cell r="E3975">
            <v>7080158</v>
          </cell>
          <cell r="F3975" t="str">
            <v>CANULA DE ARTERIOTOMIA INTRAVASCULAR CORONARIA DE  2.0 MM</v>
          </cell>
          <cell r="G3975" t="str">
            <v>UN</v>
          </cell>
        </row>
        <row r="3976">
          <cell r="E3976">
            <v>7080159</v>
          </cell>
          <cell r="F3976" t="str">
            <v>CANULA DE ARTERIOTOMIA INTRAVASCULAR CORONARIA DE  2.5 MM</v>
          </cell>
          <cell r="G3976" t="str">
            <v>UN</v>
          </cell>
        </row>
        <row r="3977">
          <cell r="E3977">
            <v>7080160</v>
          </cell>
          <cell r="F3977" t="str">
            <v>CANULA DE ARTERIOTOMIA INTRAVASCULAR CORONARIA DE  3.0 MM</v>
          </cell>
          <cell r="G3977" t="str">
            <v>UN</v>
          </cell>
        </row>
        <row r="3978">
          <cell r="E3978">
            <v>7080161</v>
          </cell>
          <cell r="F3978" t="str">
            <v>CANULA DE CARDIOPLEJIA ANTEROGRADA PARA RAIZ AORTICA,7FRENCH, CON CONECTOR LUER, GUIA METALICA,  LINEA DE VENTILACION CON PINZA</v>
          </cell>
          <cell r="G3978" t="str">
            <v>UN</v>
          </cell>
        </row>
        <row r="3979">
          <cell r="E3979">
            <v>7080162</v>
          </cell>
          <cell r="F3979" t="str">
            <v>CANULA DE PERFUSION RETROGRADA PARA CARDIOPLEJIA, 15 FRENCH, CON BALON DISTAL INSUFLABLE O AUTOMATICO, ALMA DE ACERO, GUIA, LINEA PARA MONITOREO DE PRESION Y CONECTOR LUER, DESCARTABLE, ESTERIL</v>
          </cell>
          <cell r="G3979" t="str">
            <v>SET</v>
          </cell>
        </row>
        <row r="3980">
          <cell r="E3980">
            <v>7080163</v>
          </cell>
          <cell r="F3980" t="str">
            <v>CANULA DE RETORNO VENOSO  PARA ADULTO CON PUNTA DE ACERO CURVA  #28FR.</v>
          </cell>
          <cell r="G3980" t="str">
            <v>UN</v>
          </cell>
        </row>
        <row r="3981">
          <cell r="E3981">
            <v>7080164</v>
          </cell>
          <cell r="F3981" t="str">
            <v>CANULA DE RETORNO VENOSO  PARA ADULTO CON PUNTA DE ACERO CURVA  #31FR.</v>
          </cell>
          <cell r="G3981" t="str">
            <v>UN</v>
          </cell>
        </row>
        <row r="3982">
          <cell r="E3982">
            <v>7080165</v>
          </cell>
          <cell r="F3982" t="str">
            <v>CANULA DE RETORNO VENOSO DE DOBLE ENTRADA MALEABLE DE UNA SOLA PIEZA Y ALMA DE ACERO 34/46 FR. CON CONECTOR 1/2 PULGADA.</v>
          </cell>
          <cell r="G3982" t="str">
            <v>UN</v>
          </cell>
        </row>
        <row r="3983">
          <cell r="E3983">
            <v>7080166</v>
          </cell>
          <cell r="F3983" t="str">
            <v>CANULA DE RETORNO VENOSO, CON ALMA DE ACERO, PUNTA RECTA, DIAMETRO DE28FRENCH CON CONECTOR DE 3/8 DE PULGADA</v>
          </cell>
          <cell r="G3983" t="str">
            <v>UN</v>
          </cell>
        </row>
        <row r="3984">
          <cell r="E3984">
            <v>7080167</v>
          </cell>
          <cell r="F3984" t="str">
            <v>CANULA DE RETORNO VENOSO, CON ALMA DE ACERO, PUNTA RECTA, DIAMETRO DE30FRENCH CON CONECTOR DE 3/8 DE PULGADA</v>
          </cell>
          <cell r="G3984" t="str">
            <v>UN</v>
          </cell>
        </row>
        <row r="3985">
          <cell r="E3985">
            <v>7080168</v>
          </cell>
          <cell r="F3985" t="str">
            <v>CANULA DE RETORNO VENOSO, CON ALMA DE ACERO, PUNTA RECTA, DIAMETRO DE32FRENCH CON CONECTOR DE 3/8 DE PULGADA</v>
          </cell>
          <cell r="G3985" t="str">
            <v>UN</v>
          </cell>
        </row>
        <row r="3986">
          <cell r="E3986">
            <v>7080169</v>
          </cell>
          <cell r="F3986" t="str">
            <v>CANULA FEMORAL ARTERIAL CON CONECTOR DE 3/8 # 17 FRENCH, CON ALMA DEACERO Y CONECTOR DE 3/8 Y ADAPTADOR LUER</v>
          </cell>
          <cell r="G3986" t="str">
            <v>UN</v>
          </cell>
        </row>
        <row r="3987">
          <cell r="E3987">
            <v>7080170</v>
          </cell>
          <cell r="F3987" t="str">
            <v>CANULA FEMORAL ARTERIAL CON CONECTOR DE 3/8 # 21 FR.</v>
          </cell>
          <cell r="G3987" t="str">
            <v>UN</v>
          </cell>
        </row>
        <row r="3988">
          <cell r="E3988">
            <v>7080171</v>
          </cell>
          <cell r="F3988" t="str">
            <v>CANULA FEMORAL VENOSA CON CONECTOR DE MEDIA # 21 FR.</v>
          </cell>
          <cell r="G3988" t="str">
            <v>UN</v>
          </cell>
        </row>
        <row r="3989">
          <cell r="E3989">
            <v>7080172</v>
          </cell>
          <cell r="F3989" t="str">
            <v>CANULA FEMORAL VENOSA CON CONECTOR DE MEDIA # 28 FR.</v>
          </cell>
          <cell r="G3989" t="str">
            <v>UN</v>
          </cell>
        </row>
        <row r="3990">
          <cell r="E3990">
            <v>7080173</v>
          </cell>
          <cell r="F3990" t="str">
            <v>CANULA MEZCLADORA DE CO2 INSUFLADOR NEBULIZADOR</v>
          </cell>
          <cell r="G3990" t="str">
            <v>UN</v>
          </cell>
        </row>
        <row r="3991">
          <cell r="E3991">
            <v>7080174</v>
          </cell>
          <cell r="F3991" t="str">
            <v>CANULA PARA PERFUSION DE OSTIUM CORONARIO</v>
          </cell>
          <cell r="G3991" t="str">
            <v>UN</v>
          </cell>
        </row>
        <row r="3992">
          <cell r="E3992">
            <v>7080175</v>
          </cell>
          <cell r="F3992" t="str">
            <v>CANULA VENOSA 28 X 36 FRENCH CON CONECTOR 3/8", DE DOBLE CANASTA Y ALMADE ACERO</v>
          </cell>
          <cell r="G3992" t="str">
            <v>UN</v>
          </cell>
        </row>
        <row r="3993">
          <cell r="E3993">
            <v>7080176</v>
          </cell>
          <cell r="F3993" t="str">
            <v>CANULA VENOSA 29 X 37 FRENCH CON CONECTOR DE ½", CUERPO REDUCIDO, DOBLECANASTA Y ALMA DE ACERO</v>
          </cell>
          <cell r="G3993" t="str">
            <v>UN</v>
          </cell>
        </row>
        <row r="3994">
          <cell r="E3994">
            <v>7080177</v>
          </cell>
          <cell r="F3994" t="str">
            <v>CANULA VENOSA CON ALMA DE ACERO # 34 FR. CONECTOR DE 3/8"</v>
          </cell>
          <cell r="G3994" t="str">
            <v>UN</v>
          </cell>
        </row>
        <row r="3995">
          <cell r="E3995">
            <v>7080178</v>
          </cell>
          <cell r="F3995" t="str">
            <v>CANULA VENOSA CON ALMA DE ACERO # 36 FR. CONECTOR DE 3/8"</v>
          </cell>
          <cell r="G3995" t="str">
            <v>UN</v>
          </cell>
        </row>
        <row r="3996">
          <cell r="E3996">
            <v>7080179</v>
          </cell>
          <cell r="F3996" t="str">
            <v>CANULA VENOSA CON ALMA DE ACERO # 38 FR. CONECTOR DE 3/8"</v>
          </cell>
          <cell r="G3996" t="str">
            <v>UN</v>
          </cell>
        </row>
        <row r="3997">
          <cell r="E3997">
            <v>7080180</v>
          </cell>
          <cell r="F3997" t="str">
            <v>CANULA VENOSA CON DOBLE CANASTA CON ALMA DE ACERO # 36/51 FR. CON CONECTOR DE 1/2 UNICA.</v>
          </cell>
          <cell r="G3997" t="str">
            <v>UN</v>
          </cell>
        </row>
        <row r="3998">
          <cell r="E3998">
            <v>7080181</v>
          </cell>
          <cell r="F3998" t="str">
            <v>CANULA VENOSA CON PUNTA DE ACERO CURVA # 24 FR. CON ALMA DE ACERO</v>
          </cell>
          <cell r="G3998" t="str">
            <v>UN</v>
          </cell>
        </row>
        <row r="3999">
          <cell r="E3999">
            <v>7080182</v>
          </cell>
          <cell r="F3999" t="str">
            <v>CANULA VENOSA DE 32 X 40 FRENCH, CON CONECTOR DE ½" DE DOBLE CANASTA YALMA DE ACERO</v>
          </cell>
          <cell r="G3999" t="str">
            <v>UN</v>
          </cell>
        </row>
        <row r="4000">
          <cell r="E4000">
            <v>7080183</v>
          </cell>
          <cell r="F4000" t="str">
            <v>CARTUCHO CC PARA ANALIZADOR IRMA CON LECTURA DE PH, PCO2,  PO2, HTO, ICA MAS VALORES CALCULADOS.</v>
          </cell>
          <cell r="G4000" t="str">
            <v>UN</v>
          </cell>
        </row>
        <row r="4001">
          <cell r="E4001">
            <v>7080184</v>
          </cell>
          <cell r="F4001" t="str">
            <v>CARTUCHO DE ALTO RANGO PARA ACT-II</v>
          </cell>
          <cell r="G4001" t="str">
            <v>UN</v>
          </cell>
        </row>
        <row r="4002">
          <cell r="E4002">
            <v>7080185</v>
          </cell>
          <cell r="F4002" t="str">
            <v>CARTUCHO DE BAJO RANGO PARA ACT-II</v>
          </cell>
          <cell r="G4002" t="str">
            <v>UN</v>
          </cell>
        </row>
        <row r="4003">
          <cell r="E4003">
            <v>7080186</v>
          </cell>
          <cell r="F4003" t="str">
            <v>CATETER  VENT DE VENTRICULO IZQUIERDO # 13 FR.</v>
          </cell>
          <cell r="G4003" t="str">
            <v>UN</v>
          </cell>
        </row>
        <row r="4004">
          <cell r="E4004">
            <v>7080187</v>
          </cell>
          <cell r="F4004" t="str">
            <v>CINTURONES PLASTICOS DE 3 MM DE ANCHO X 6 PULGADAS DE LARGO</v>
          </cell>
          <cell r="G4004" t="str">
            <v>UN</v>
          </cell>
        </row>
        <row r="4005">
          <cell r="E4005">
            <v>7080188</v>
          </cell>
          <cell r="F4005" t="str">
            <v>CONO PARA CENTRIFUGA, TAMAÑO ADULTO, PARA BOMBA DE CIRCULACIÓNEXTRACORPOREA, MARCA Y MODELO DE USO INSTITUCIONAL</v>
          </cell>
          <cell r="G4005" t="str">
            <v>UN</v>
          </cell>
        </row>
        <row r="4006">
          <cell r="E4006">
            <v>7080189</v>
          </cell>
          <cell r="F4006" t="str">
            <v>ESTABILIZADOR CARDIACO POR  SUCCION</v>
          </cell>
          <cell r="G4006" t="str">
            <v>UN</v>
          </cell>
        </row>
        <row r="4007">
          <cell r="E4007">
            <v>7080190</v>
          </cell>
          <cell r="F4007" t="str">
            <v>EXTENSION CON ADAPTADOR MACHO-HEMBRA, PARA USO EN DOMO DE TRANSDUCTORDE PRESION DE BOMBA DE CIRCULACION EXTRACORPOREA, MARCA Y MODELO DE USO INSTITUCIONAL</v>
          </cell>
          <cell r="G4007" t="str">
            <v>UN</v>
          </cell>
        </row>
        <row r="4008">
          <cell r="E4008">
            <v>7080191</v>
          </cell>
          <cell r="F4008" t="str">
            <v>EXTENSION CON ADAPTADOR MACHO-MACHO, PARA USO EN DOMO DE TRANSDUCTOR DE PRESION DE BOMBA DE CIRCULACION EXTRACORPOREA, MARCA Y MODELO DE USO INSTITUCIONAL</v>
          </cell>
          <cell r="G4008" t="str">
            <v>UN</v>
          </cell>
        </row>
        <row r="4009">
          <cell r="E4009">
            <v>7080192</v>
          </cell>
          <cell r="F4009" t="str">
            <v>EXTENSION PARA MARCAPASO  TEMPORAL PARA SER ADAPTADO A FUENTE MARCAPASO MARCA Y MODELO DE USO INSTITUCIONAL</v>
          </cell>
          <cell r="G4009" t="str">
            <v>UN</v>
          </cell>
        </row>
        <row r="4010">
          <cell r="E4010">
            <v>7080193</v>
          </cell>
          <cell r="F4010" t="str">
            <v>GUIAS  METALICAS PARA ARMAR SET DE TUBOS CORRUGADOS COMPATIBLES CONVENTILADOR DE MARCA Y MODELO DE USO INSTITUCIONAL</v>
          </cell>
          <cell r="G4010" t="str">
            <v>UN</v>
          </cell>
        </row>
        <row r="4011">
          <cell r="E4011">
            <v>7080194</v>
          </cell>
          <cell r="F4011" t="str">
            <v>HEMOCONCENTRADORES SIN PARAFINA CON LINEA DE 1/4 TAMANO ADULTO.</v>
          </cell>
          <cell r="G4011" t="str">
            <v>UN</v>
          </cell>
        </row>
        <row r="4012">
          <cell r="E4012">
            <v>7080195</v>
          </cell>
          <cell r="F4012" t="str">
            <v>KIT DE MONITOREO PARA TRANSDUCTOR DE PRESION INVASIVA, QUE CONTENGA:DOMO, DESCARTABLE PARA SUERO,CINTAS DE SUJECION, TAPON LUER YLLAVE DE TRES VIA</v>
          </cell>
          <cell r="G4012" t="str">
            <v>UN</v>
          </cell>
        </row>
        <row r="4013">
          <cell r="E4013">
            <v>7080196</v>
          </cell>
          <cell r="F4013" t="str">
            <v>LINEA GRIS  PARA SER ADAPTADO A CASCADA VENTILADOR SERVO 900 C. SIEMENS.</v>
          </cell>
          <cell r="G4013" t="str">
            <v>UN</v>
          </cell>
        </row>
        <row r="4014">
          <cell r="E4014">
            <v>7080197</v>
          </cell>
          <cell r="F4014" t="str">
            <v>PARCHE DE PERICARDIO DE BOVINO, FIJADO EN GLUTARALDEHIDO, DIFERENTESMEDIDAS</v>
          </cell>
          <cell r="G4014" t="str">
            <v>UN</v>
          </cell>
        </row>
        <row r="4015">
          <cell r="E4015">
            <v>7080198</v>
          </cell>
          <cell r="F4015" t="str">
            <v>PARCHE POLIESTER, PUNTO TEJIDO, DE BAJA POROSIDAD, 10X 10 CMS.</v>
          </cell>
          <cell r="G4015" t="str">
            <v>UN</v>
          </cell>
        </row>
        <row r="4016">
          <cell r="E4016">
            <v>7080199</v>
          </cell>
          <cell r="F4016" t="str">
            <v>PINZA CIERRA TUBOS DE 16 CMS CON CREMAYERA</v>
          </cell>
          <cell r="G4016" t="str">
            <v>UN</v>
          </cell>
        </row>
        <row r="4017">
          <cell r="E4017">
            <v>7080200</v>
          </cell>
          <cell r="F4017" t="str">
            <v>PINZA PARA CIERRE DE TUBO CON CREMAYERA DE 20 CM. DE LONGITUD DE TOPE(FUERTE)</v>
          </cell>
          <cell r="G4017" t="str">
            <v>UN</v>
          </cell>
        </row>
        <row r="4018">
          <cell r="E4018">
            <v>7080201</v>
          </cell>
          <cell r="F4018" t="str">
            <v>PROBADOR DE VALVULAS MECANICAS CARDIACAS, REESTERELIZABLE</v>
          </cell>
          <cell r="G4018" t="str">
            <v>UN</v>
          </cell>
        </row>
        <row r="4019">
          <cell r="E4019">
            <v>7080202</v>
          </cell>
          <cell r="F4019" t="str">
            <v>PROTESIS VASCULAR WOVEN, IMPREGNADA DE GELATINA, ESTERILES LONGITUD 40-60 CMS  (VARIAS MEDIDAS DE DIAMETRO SEGUN DEMANDA)</v>
          </cell>
          <cell r="G4019" t="str">
            <v>UN</v>
          </cell>
        </row>
        <row r="4020">
          <cell r="E4020">
            <v>7080203</v>
          </cell>
          <cell r="F4020" t="str">
            <v>PUNCH AORTICO DESCARTABLE DE 4.8 mm</v>
          </cell>
          <cell r="G4020" t="str">
            <v>UN</v>
          </cell>
        </row>
        <row r="4021">
          <cell r="E4021">
            <v>7080204</v>
          </cell>
          <cell r="F4021" t="str">
            <v>PUNCH AORTICO DESCARTABLE DE 5.2 mm</v>
          </cell>
          <cell r="G4021" t="str">
            <v>UN</v>
          </cell>
        </row>
        <row r="4022">
          <cell r="E4022">
            <v>7080205</v>
          </cell>
          <cell r="F4022" t="str">
            <v>SE ENCUENTRA INCLUIDO EN CODIGO 7015017</v>
          </cell>
          <cell r="G4022" t="str">
            <v>UN</v>
          </cell>
        </row>
        <row r="4023">
          <cell r="E4023">
            <v>7080206</v>
          </cell>
          <cell r="F4023" t="str">
            <v>SELLO HEMOSTATICO QUIRURGICO MULTIPROTEICO CRIOPRECIPITADO DE PLASMAYALBUMINA, QUE CONTIENE UN VIAL DE 5 ML DE TROMBINA  GLUTARALDEHIDO AL10% Y UN</v>
          </cell>
          <cell r="G4023" t="str">
            <v>UN</v>
          </cell>
        </row>
        <row r="4024">
          <cell r="E4024">
            <v>7080207</v>
          </cell>
          <cell r="F4024" t="str">
            <v>SET PARA ADMINISTRACION DE CARDIOPLEJIA SANGUINEA Y/O CRISTALOIDE</v>
          </cell>
          <cell r="G4024" t="str">
            <v>SET</v>
          </cell>
        </row>
        <row r="4025">
          <cell r="E4025">
            <v>7080208</v>
          </cell>
          <cell r="F4025" t="str">
            <v>SISTEMA DE MEMBRANA PARA ADULTO, DE CIRCULACION EXTRACORPOREA EN CIRUGIA A CORAZON ABIERTO, CONSTA DE: 1 OXIGENADOR DE MEMBRANA CONRESERVORIO VENOSO, FILTRO ARTERIAL Y DE OXIGENO, CONECT. Y LINEAS + 1 JUEGO DESONDAS PARA MEDIR TEMPERATURA ARTERIAL. SET</v>
          </cell>
          <cell r="G4025" t="str">
            <v>SET</v>
          </cell>
        </row>
        <row r="4026">
          <cell r="E4026">
            <v>7080209</v>
          </cell>
          <cell r="F4026" t="str">
            <v>TRANSDUCTOR PARA TEMPERATURA RECTAR NASOFARINGEA DE 5 MT. DE LONGITUDCON ESPIGA STANDARD PARA MONITOR.</v>
          </cell>
          <cell r="G4026" t="str">
            <v>UN</v>
          </cell>
        </row>
        <row r="4027">
          <cell r="E4027">
            <v>7080210</v>
          </cell>
          <cell r="F4027" t="str">
            <v>TRANSDUCTORES Y CONOS PARA CENTRIFUGA, TAMAÑO ADULTO, PARA BOMBA DE CIRCULACIÓN EXTRACORPOREA, MARCA Y MODELO DE USO INSTITUCIONAL</v>
          </cell>
          <cell r="G4027" t="str">
            <v>UN</v>
          </cell>
        </row>
        <row r="4028">
          <cell r="E4028">
            <v>7081060</v>
          </cell>
          <cell r="F4028" t="str">
            <v>CANULA PARA FISTULA ARTERIOVENOSA CON AGUJA 16 G X 1-1/4" DE LONGITUDy CATETER DE EXTENSION SILICONIZADA DE 12" - 15" DE LONGITUD,CON INTERRUPTOR</v>
          </cell>
          <cell r="G4028" t="str">
            <v>UN</v>
          </cell>
        </row>
        <row r="4029">
          <cell r="E4029">
            <v>7081061</v>
          </cell>
          <cell r="F4029" t="str">
            <v>CATETER BALON PARA OCLUSION AORTICA TIPO PRUITT, BALON DE 42 A 44 MM,DIAMETRO 12 FRENCH</v>
          </cell>
          <cell r="G4029" t="str">
            <v>UN</v>
          </cell>
        </row>
        <row r="4030">
          <cell r="E4030">
            <v>7081062</v>
          </cell>
          <cell r="F4030" t="str">
            <v>CATETER INAHARA - PRUITT, DE DOBLE LUMEN, CON BALON DISTAL Y PROXIMAL, DE INSUFLACION INDEPENDIENTE</v>
          </cell>
          <cell r="G4030" t="str">
            <v>UN</v>
          </cell>
        </row>
        <row r="4031">
          <cell r="E4031">
            <v>7081063</v>
          </cell>
          <cell r="F4031" t="str">
            <v>CATETER PARA USO PERMANENTE EN HEMODIALISIS DE DOBLE LUMEN, DIAMETRO 15A 15.5 FRENCH, CON RETEN DE DACRON (TELFA) ENTRE 18 A 20 CM DE LA PUNTA,QUE INCLUYA: AGUJA INTRODUCTORA, GUIA METALICA CON PUNTA EN "J",DILATADOR, TUNELIZADOR Y TAPONES</v>
          </cell>
          <cell r="G4031" t="str">
            <v>UN</v>
          </cell>
        </row>
        <row r="4032">
          <cell r="E4032">
            <v>7081064</v>
          </cell>
          <cell r="F4032" t="str">
            <v>INJERTO ARTERIAL BIFURCADO PRECOAGULADO 18 mm X 9 mm</v>
          </cell>
          <cell r="G4032" t="str">
            <v>UN</v>
          </cell>
        </row>
        <row r="4033">
          <cell r="E4033">
            <v>7081065</v>
          </cell>
          <cell r="F4033" t="str">
            <v>INJERTO ARTERIAL BIFURCADO PRECOAGULADO 20 mm X 10 mm</v>
          </cell>
          <cell r="G4033" t="str">
            <v>UN</v>
          </cell>
        </row>
        <row r="4034">
          <cell r="E4034">
            <v>7081066</v>
          </cell>
          <cell r="F4034" t="str">
            <v>INJERTO ARTERIAL BIFURCADO PRECOAGULADO DE 16 mm X 8 mm</v>
          </cell>
          <cell r="G4034" t="str">
            <v>UN</v>
          </cell>
        </row>
        <row r="4035">
          <cell r="E4035">
            <v>7081067</v>
          </cell>
          <cell r="F4035" t="str">
            <v>INJERTO ARTERIAL DE PTFE DE 5 mm, ANILLADO REMOVIBLE, DE 50 - 70 cm DE LONGITUD</v>
          </cell>
          <cell r="G4035" t="str">
            <v>UN</v>
          </cell>
        </row>
        <row r="4036">
          <cell r="E4036">
            <v>7081068</v>
          </cell>
          <cell r="F4036" t="str">
            <v>INJERTO ARTERIAL DE PTFE NO ANILLADO, DIAMETRO DE 6.0 MM Y LONGITUD DE 50 - 70 cm DE LONGITUD, RECUBIERTO DE COLAGENO</v>
          </cell>
          <cell r="G4036" t="str">
            <v>UN</v>
          </cell>
        </row>
        <row r="4037">
          <cell r="E4037">
            <v>7081069</v>
          </cell>
          <cell r="F4037" t="str">
            <v>INJERTO ARTERIAL RECTO DE 12 mm PRECOAGULADO, DE DACRON.</v>
          </cell>
          <cell r="G4037" t="str">
            <v>UN</v>
          </cell>
        </row>
        <row r="4038">
          <cell r="E4038">
            <v>7081070</v>
          </cell>
          <cell r="F4038" t="str">
            <v>INJERTO ARTERIAL RECTO DE 14 mm PRECOAGULADO.</v>
          </cell>
          <cell r="G4038" t="str">
            <v>UN</v>
          </cell>
        </row>
        <row r="4039">
          <cell r="E4039">
            <v>7081071</v>
          </cell>
          <cell r="F4039" t="str">
            <v>INJERTO ARTERIAL RECTO DE 16 mm PRECOAGULADO</v>
          </cell>
          <cell r="G4039" t="str">
            <v>UN</v>
          </cell>
        </row>
        <row r="4040">
          <cell r="E4040">
            <v>7081072</v>
          </cell>
          <cell r="F4040" t="str">
            <v>INJERTO ARTERIAL RECTO DE 18 mm PRECOAGULADO.</v>
          </cell>
          <cell r="G4040" t="str">
            <v>UN</v>
          </cell>
        </row>
        <row r="4041">
          <cell r="E4041">
            <v>7081073</v>
          </cell>
          <cell r="F4041" t="str">
            <v>INJERTO ARTERIAL RECTO DE PTFE DE 10 mm, ANILLADO REMOVIBLE, DE 50 - 70 cm DE LONGITUD</v>
          </cell>
          <cell r="G4041" t="str">
            <v>UN</v>
          </cell>
        </row>
        <row r="4042">
          <cell r="E4042">
            <v>7081074</v>
          </cell>
          <cell r="F4042" t="str">
            <v>INJERTO ARTERIAL RECTO DE PTFE DE6mm, NO ANILLADO, DE 50 - 70 cm DELONGITUD</v>
          </cell>
          <cell r="G4042" t="str">
            <v>UN</v>
          </cell>
        </row>
        <row r="4043">
          <cell r="E4043">
            <v>7081075</v>
          </cell>
          <cell r="F4043" t="str">
            <v>INJERTO ARTERIAL RECTO DE PTFE DE 8 mm, ANILLADO REMOVIBLE, DE 50 - 70 cm DE LONGITUD</v>
          </cell>
          <cell r="G4043" t="str">
            <v>UN</v>
          </cell>
        </row>
        <row r="4044">
          <cell r="E4044">
            <v>7081076</v>
          </cell>
          <cell r="F4044" t="str">
            <v>INJERTO BIFURCADO DACRON PRECOAGULADO 14 X 7MM X 40MM</v>
          </cell>
          <cell r="G4044" t="str">
            <v>UN</v>
          </cell>
        </row>
        <row r="4045">
          <cell r="E4045">
            <v>7081077</v>
          </cell>
          <cell r="F4045" t="str">
            <v>INJERTO BIFURCADO DACRON PRECOAGULADO DE 12 X6MM X 40 CM.</v>
          </cell>
          <cell r="G4045" t="str">
            <v>UN</v>
          </cell>
        </row>
        <row r="4046">
          <cell r="E4046">
            <v>7081078</v>
          </cell>
          <cell r="F4046" t="str">
            <v>INJERTO VASCULAR DE PTFE DE6mm , ANILLADO, DE 50 - 70 cm DE LONGITUD</v>
          </cell>
          <cell r="G4046" t="str">
            <v>UN</v>
          </cell>
        </row>
        <row r="4047">
          <cell r="E4047">
            <v>7081079</v>
          </cell>
          <cell r="F4047" t="str">
            <v>INJERTO VASCULAR DE PTFE DE6mm , CONICO, DE 50 - 70 cm DE LONGITUD</v>
          </cell>
          <cell r="G4047" t="str">
            <v>UN</v>
          </cell>
        </row>
        <row r="4048">
          <cell r="E4048">
            <v>7081080</v>
          </cell>
          <cell r="F4048" t="str">
            <v>INJERTO VASCULAR DE PTFE DE7mm , ANILLADO, DE 50 - 70 cm DE LONGITUD</v>
          </cell>
          <cell r="G4048" t="str">
            <v>UN</v>
          </cell>
        </row>
        <row r="4049">
          <cell r="E4049">
            <v>7081081</v>
          </cell>
          <cell r="F4049" t="str">
            <v>INJERTO VASCULAR DE PTFE DE7mm , NO ANILLADO, DE 50 - 70 cm DE LONGITUD</v>
          </cell>
          <cell r="G4049" t="str">
            <v>UN</v>
          </cell>
        </row>
        <row r="4050">
          <cell r="E4050">
            <v>7081082</v>
          </cell>
          <cell r="F4050" t="str">
            <v>VALVULOTOMO ATRAUMATICO DE 2.5 mm</v>
          </cell>
          <cell r="G4050" t="str">
            <v>UN</v>
          </cell>
        </row>
        <row r="4051">
          <cell r="E4051">
            <v>7081083</v>
          </cell>
          <cell r="F4051" t="str">
            <v>VALVULOTOMO ATRAUMATICO DE 3.0 mm</v>
          </cell>
          <cell r="G4051" t="str">
            <v>UN</v>
          </cell>
        </row>
        <row r="4052">
          <cell r="E4052">
            <v>7081084</v>
          </cell>
          <cell r="F4052" t="str">
            <v>VALVULOTOMO ATRAUMATICO DE 3.5 mm</v>
          </cell>
          <cell r="G4052" t="str">
            <v>UN</v>
          </cell>
        </row>
        <row r="4053">
          <cell r="E4053">
            <v>7081085</v>
          </cell>
          <cell r="F4053" t="str">
            <v>VALVULOTOMO EXPANDIBLE DE 2.0 mm</v>
          </cell>
          <cell r="G4053" t="str">
            <v>UN</v>
          </cell>
        </row>
        <row r="4054">
          <cell r="E4054">
            <v>7090090</v>
          </cell>
          <cell r="F4054" t="str">
            <v>ALMOHADILLAS (PADS) PARA ELECTRODO DE BARRA DE 40 MM. SET DE 10 UNIDADES. SET</v>
          </cell>
          <cell r="G4054" t="str">
            <v>SET</v>
          </cell>
        </row>
        <row r="4055">
          <cell r="E4055">
            <v>7090091</v>
          </cell>
          <cell r="F4055" t="str">
            <v>ANDADERA METALICA PLEGABLE.</v>
          </cell>
          <cell r="G4055" t="str">
            <v>UN</v>
          </cell>
        </row>
        <row r="4056">
          <cell r="E4056">
            <v>7090092</v>
          </cell>
          <cell r="F4056" t="str">
            <v>BANDA EJERCITADORA DE 6 YARDAS DE LARGO, COLOR AZUL</v>
          </cell>
          <cell r="G4056" t="str">
            <v>UN</v>
          </cell>
        </row>
        <row r="4057">
          <cell r="E4057">
            <v>7090093</v>
          </cell>
          <cell r="F4057" t="str">
            <v>BANDA EJERCITADORA DE6YARDAS DE LARGO, COLOR ROJO.</v>
          </cell>
          <cell r="G4057" t="str">
            <v>UN</v>
          </cell>
        </row>
        <row r="4058">
          <cell r="E4058">
            <v>7090094</v>
          </cell>
          <cell r="F4058" t="str">
            <v>BANDA EJERCITADORA DE6YARDAS DE LARGO, COLOR VERDE .</v>
          </cell>
          <cell r="G4058" t="str">
            <v>UN</v>
          </cell>
        </row>
        <row r="4059">
          <cell r="E4059">
            <v>7090095</v>
          </cell>
          <cell r="F4059" t="str">
            <v>BASTON DE METAL GRADUABLE DE ALTURA, CON BASE DE CUATRO PUNTOS CON SUS RESPECTIVOS REGATONES, PARA ADULTOS</v>
          </cell>
          <cell r="G4059" t="str">
            <v>UN</v>
          </cell>
        </row>
        <row r="4060">
          <cell r="E4060">
            <v>7090096</v>
          </cell>
          <cell r="F4060" t="str">
            <v>BASTON PARA ADULTO, DE MADERA DE DIAMETRO 7/8" X 36" DE LONGITUD CON SU RESPECTIVO TACO ANTIDESLIZANTE</v>
          </cell>
          <cell r="G4060" t="str">
            <v>UN</v>
          </cell>
        </row>
        <row r="4061">
          <cell r="E4061">
            <v>7090097</v>
          </cell>
          <cell r="F4061" t="str">
            <v>BASTON PARA ADULTO, GRADUABLE, DE ALUMINIO CON TACO ANTIDESLIZANTE.</v>
          </cell>
          <cell r="G4061" t="str">
            <v>UN</v>
          </cell>
        </row>
        <row r="4062">
          <cell r="E4062">
            <v>7090098</v>
          </cell>
          <cell r="F4062" t="str">
            <v>BOLSA DE HULE PARA CUELLO.</v>
          </cell>
          <cell r="G4062" t="str">
            <v>UN</v>
          </cell>
        </row>
        <row r="4063">
          <cell r="E4063">
            <v>7090099</v>
          </cell>
          <cell r="F4063" t="str">
            <v>BOLSA DE HULE PARA HIELO.</v>
          </cell>
          <cell r="G4063" t="str">
            <v>UN</v>
          </cell>
        </row>
        <row r="4064">
          <cell r="E4064">
            <v>7090100</v>
          </cell>
          <cell r="F4064" t="str">
            <v>CABLE DE TENS CON PIN DE METAL. PAR</v>
          </cell>
          <cell r="G4064" t="str">
            <v>PAA</v>
          </cell>
        </row>
        <row r="4065">
          <cell r="E4065">
            <v>7090101</v>
          </cell>
          <cell r="F4065" t="str">
            <v>CABLE PARA ELECTRODO PARA APARATO DE DIATERMIA, MARCA Y MODELO INSTITUCIONAL</v>
          </cell>
          <cell r="G4065" t="str">
            <v>UN</v>
          </cell>
        </row>
        <row r="4066">
          <cell r="E4066">
            <v>7090102</v>
          </cell>
          <cell r="F4066" t="str">
            <v>CABLE REUSABLE PARA AGUJA MONOPOLAR</v>
          </cell>
          <cell r="G4066" t="str">
            <v>UN</v>
          </cell>
        </row>
        <row r="4067">
          <cell r="E4067">
            <v>7090103</v>
          </cell>
          <cell r="F4067" t="str">
            <v>CABLE REUSABLE PARA ELECTRODO DE DISCO DE ELECTROMIOGRAFIA</v>
          </cell>
          <cell r="G4067" t="str">
            <v>UN</v>
          </cell>
        </row>
        <row r="4068">
          <cell r="E4068">
            <v>7090104</v>
          </cell>
          <cell r="F4068" t="str">
            <v>CABLES DE DOS SALIDAS TIPO HEMBRA PIN DE HULE 36" PARA TENS. PAR</v>
          </cell>
          <cell r="G4068" t="str">
            <v>UN</v>
          </cell>
        </row>
        <row r="4069">
          <cell r="E4069">
            <v>7090105</v>
          </cell>
          <cell r="F4069" t="str">
            <v>CABLES PARA TENS DE PIN DE HULE, TERMINAL TIPO HEMBRA. PAR</v>
          </cell>
          <cell r="G4069" t="str">
            <v>PAA</v>
          </cell>
        </row>
        <row r="4070">
          <cell r="E4070">
            <v>7090106</v>
          </cell>
          <cell r="F4070" t="str">
            <v>CODERA DERECHA PARA CODO DEL TENISTA</v>
          </cell>
          <cell r="G4070" t="str">
            <v>UN</v>
          </cell>
        </row>
        <row r="4071">
          <cell r="E4071">
            <v>7090107</v>
          </cell>
          <cell r="F4071" t="str">
            <v>CODERA IZQUIERDA PARA CODO DEL TENISTA</v>
          </cell>
          <cell r="G4071" t="str">
            <v>UN</v>
          </cell>
        </row>
        <row r="4072">
          <cell r="E4072">
            <v>7090108</v>
          </cell>
          <cell r="F4072" t="str">
            <v>COJIN DE ESPUMA EN FORMA DE CELULAS DE AIRE, CON SU RESPECTIVA BOMBA MANUAL PARA USO EN SILLA DE RUEDAS, PARA ADULTOS</v>
          </cell>
          <cell r="G4072" t="str">
            <v>UN</v>
          </cell>
        </row>
        <row r="4073">
          <cell r="E4073">
            <v>7090109</v>
          </cell>
          <cell r="F4073" t="str">
            <v>COJIN DE GEL PARA USO EN SILLA DE RUEDAS PARA ADULTOS</v>
          </cell>
          <cell r="G4073" t="str">
            <v>UN</v>
          </cell>
        </row>
        <row r="4074">
          <cell r="E4074">
            <v>7090110</v>
          </cell>
          <cell r="F4074" t="str">
            <v>COJIN DE HULE,INFLABLE,REDONDO,MEDIANO</v>
          </cell>
          <cell r="G4074" t="str">
            <v>UN</v>
          </cell>
        </row>
        <row r="4075">
          <cell r="E4075">
            <v>7090111</v>
          </cell>
          <cell r="F4075" t="str">
            <v>COLCHON PARA RELLENAR CON AGUA, PARA USARSE EN CAMA HOSPITALARIA.</v>
          </cell>
          <cell r="G4075" t="str">
            <v>UN</v>
          </cell>
        </row>
        <row r="4076">
          <cell r="E4076">
            <v>7090112</v>
          </cell>
          <cell r="F4076" t="str">
            <v>COLCHONES DE GELATINA 36" X 66"</v>
          </cell>
          <cell r="G4076" t="str">
            <v>UN</v>
          </cell>
        </row>
        <row r="4077">
          <cell r="E4077">
            <v>7090113</v>
          </cell>
          <cell r="F4077" t="str">
            <v>COLCHONETA DE ESPUMA ORTOPEDICA, DE 1.83 X 0.75 mt Y 4" DE ESPESOR</v>
          </cell>
          <cell r="G4077" t="str">
            <v>UN</v>
          </cell>
        </row>
        <row r="4078">
          <cell r="E4078">
            <v>7090114</v>
          </cell>
          <cell r="F4078" t="str">
            <v>COMPRESAS CALIENTES STANDARD</v>
          </cell>
          <cell r="G4078" t="str">
            <v>UN</v>
          </cell>
        </row>
        <row r="4079">
          <cell r="E4079">
            <v>7090115</v>
          </cell>
          <cell r="F4079" t="str">
            <v>COMPRESAS FRIAS STANDARD</v>
          </cell>
          <cell r="G4079" t="str">
            <v>UN</v>
          </cell>
        </row>
        <row r="4080">
          <cell r="E4080">
            <v>7090116</v>
          </cell>
          <cell r="F4080" t="str">
            <v>CORSET DE FIJACION TLSO EN POLIPROPILENO, CON SUJETADORES DE VELCRO.</v>
          </cell>
          <cell r="G4080" t="str">
            <v>UN</v>
          </cell>
        </row>
        <row r="4081">
          <cell r="E4081">
            <v>7090117</v>
          </cell>
          <cell r="F4081" t="str">
            <v>ELECTRODO BIPOLAR PARA EMG6MM  LARGO</v>
          </cell>
          <cell r="G4081" t="str">
            <v>UN</v>
          </cell>
        </row>
        <row r="4082">
          <cell r="E4082">
            <v>7090118</v>
          </cell>
          <cell r="F4082" t="str">
            <v>ELECTRODO DE CAUCHO FLEXIBLE 15 X 25 CM PARA DIATERMIA</v>
          </cell>
          <cell r="G4082" t="str">
            <v>UN</v>
          </cell>
        </row>
        <row r="4083">
          <cell r="E4083">
            <v>7090119</v>
          </cell>
          <cell r="F4083" t="str">
            <v>ELECTRODO DE CAUCHO FLEXIBLE6X 8 CM</v>
          </cell>
          <cell r="G4083" t="str">
            <v>UN</v>
          </cell>
        </row>
        <row r="4084">
          <cell r="E4084">
            <v>7090120</v>
          </cell>
          <cell r="F4084" t="str">
            <v>ELECTRODO DE DISCO 130 MM  DE DIAMETRO PARA DIATERMIA</v>
          </cell>
          <cell r="G4084" t="str">
            <v>UN</v>
          </cell>
        </row>
        <row r="4085">
          <cell r="E4085">
            <v>7090121</v>
          </cell>
          <cell r="F4085" t="str">
            <v>ELECTRODO DE DISCO DESCARTABLE PARA ELECTROMIOGRAFIA</v>
          </cell>
          <cell r="G4085" t="str">
            <v>UN</v>
          </cell>
        </row>
        <row r="4086">
          <cell r="E4086">
            <v>7090122</v>
          </cell>
          <cell r="F4086" t="str">
            <v>ELECTRODO MONOPOLAR DE ELECTROESTIMULADOR</v>
          </cell>
          <cell r="G4086" t="str">
            <v>UN</v>
          </cell>
        </row>
        <row r="4087">
          <cell r="E4087">
            <v>7090123</v>
          </cell>
          <cell r="F4087" t="str">
            <v>ELECTRODOS ADHESIVOS CON GEL DE 5 X 5 CM PARA TENS (SET DE 4 ELECTRODOS). SET</v>
          </cell>
          <cell r="G4087" t="str">
            <v>SET</v>
          </cell>
        </row>
        <row r="4088">
          <cell r="E4088">
            <v>7090124</v>
          </cell>
          <cell r="F4088" t="str">
            <v>ELECTRODOS DE CARBON PARA APARATO TENS, FLEXIBLE, REUSABLE. (SET DE 4ELECTRODOS)</v>
          </cell>
          <cell r="G4088" t="str">
            <v>SET</v>
          </cell>
        </row>
        <row r="4089">
          <cell r="E4089">
            <v>7090125</v>
          </cell>
          <cell r="F4089" t="str">
            <v>ELETRODO DE BARRA PARA EMG. 40 MM. LARGO</v>
          </cell>
          <cell r="G4089" t="str">
            <v>UN</v>
          </cell>
        </row>
        <row r="4090">
          <cell r="E4090">
            <v>7090126</v>
          </cell>
          <cell r="F4090" t="str">
            <v>ESTABILIZADOR DE TOBILLO, CON BARRAS LATERALES DE ALUMINIO, CON SUJETADORES EN VELCRO</v>
          </cell>
          <cell r="G4090" t="str">
            <v>UN</v>
          </cell>
        </row>
        <row r="4091">
          <cell r="E4091">
            <v>7090127</v>
          </cell>
          <cell r="F4091" t="str">
            <v>FERULA DE POLIPROPILENO OTP/L CORTA BAJO</v>
          </cell>
          <cell r="G4091" t="str">
            <v>UN</v>
          </cell>
        </row>
        <row r="4092">
          <cell r="E4092">
            <v>7090128</v>
          </cell>
          <cell r="F4092" t="str">
            <v>FERULA DE POLIPROPILENO OTP/M BAJO</v>
          </cell>
          <cell r="G4092" t="str">
            <v>UN</v>
          </cell>
        </row>
        <row r="4093">
          <cell r="E4093">
            <v>7090129</v>
          </cell>
          <cell r="F4093" t="str">
            <v>FERULA DE POLIPROPILENO OTP/S BAJO</v>
          </cell>
          <cell r="G4093" t="str">
            <v>UN</v>
          </cell>
        </row>
        <row r="4094">
          <cell r="E4094">
            <v>7090130</v>
          </cell>
          <cell r="F4094" t="str">
            <v>FERULA DE POLIPROPILENO PARA ANTEBRAZO Y MANO DERECHA, PARA MANTENER EXTENSORES DE MUNECA Y DEDOS</v>
          </cell>
          <cell r="G4094" t="str">
            <v>UN</v>
          </cell>
        </row>
        <row r="4095">
          <cell r="E4095">
            <v>7090131</v>
          </cell>
          <cell r="F4095" t="str">
            <v>FERULA EN POSICION FUNCIONAL PARA AMBAS MANOS, PREFABRICADAS EN NEOPRENE CON BARRA METALICA INTERNA, SUJETADORES EN VELCRO</v>
          </cell>
          <cell r="G4095" t="str">
            <v>UN</v>
          </cell>
        </row>
        <row r="4096">
          <cell r="E4096">
            <v>7090132</v>
          </cell>
          <cell r="F4096" t="str">
            <v>FERULA PARA ANTEBRAZO DERECHO PARA ADULTO</v>
          </cell>
          <cell r="G4096" t="str">
            <v>UN</v>
          </cell>
        </row>
        <row r="4097">
          <cell r="E4097">
            <v>7090133</v>
          </cell>
          <cell r="F4097" t="str">
            <v>FERULA PARA ANTEBRAZO IZQUIERDO PARA ADULTO.</v>
          </cell>
          <cell r="G4097" t="str">
            <v>UN</v>
          </cell>
        </row>
        <row r="4098">
          <cell r="E4098">
            <v>7090134</v>
          </cell>
          <cell r="F4098" t="str">
            <v>FERULA PARA CODO, AJUSTABLE, PARA ADULTO</v>
          </cell>
          <cell r="G4098" t="str">
            <v>UN</v>
          </cell>
        </row>
        <row r="4099">
          <cell r="E4099">
            <v>7090135</v>
          </cell>
          <cell r="F4099" t="str">
            <v>GONIOMETRO METALICO PARA MEDICION DE ARTICULACIONES PARA MIEMBROS SUPERIORES Y DEDOS</v>
          </cell>
          <cell r="G4099" t="str">
            <v>UN</v>
          </cell>
        </row>
        <row r="4100">
          <cell r="E4100">
            <v>7090136</v>
          </cell>
          <cell r="F4100" t="str">
            <v>JUEGO DE PESAS CON VELCRO EN PARES DE 1 A 5 LIBRAS. SET</v>
          </cell>
          <cell r="G4100" t="str">
            <v>SET</v>
          </cell>
        </row>
        <row r="4101">
          <cell r="E4101">
            <v>7090137</v>
          </cell>
          <cell r="F4101" t="str">
            <v>JUEGO DE PESAS DE MANO DE 1 A 10 LIBRAS. SET</v>
          </cell>
          <cell r="G4101" t="str">
            <v>SET</v>
          </cell>
        </row>
        <row r="4102">
          <cell r="E4102">
            <v>7090138</v>
          </cell>
          <cell r="F4102" t="str">
            <v>MEDIAS DE LANA PARA PROTECCION DE MUÑON DE AMPUTADO</v>
          </cell>
          <cell r="G4102" t="str">
            <v>UN</v>
          </cell>
        </row>
        <row r="4103">
          <cell r="E4103">
            <v>7090139</v>
          </cell>
          <cell r="F4103" t="str">
            <v>MULETA AJUSTABLE DE METAL, PARA ADULTO, CON TACOS  ANTIDESLIZANTES INCORPORADOS. PAR</v>
          </cell>
          <cell r="G4103" t="str">
            <v>PAA</v>
          </cell>
        </row>
        <row r="4104">
          <cell r="E4104">
            <v>7090140</v>
          </cell>
          <cell r="F4104" t="str">
            <v>MULETA AJUSTABLE, DE MADERA, PARA ADULTO, CON TACOS ANTIDESLIZANTES INCORPORADOS. PAR</v>
          </cell>
          <cell r="G4104" t="str">
            <v>PAA</v>
          </cell>
        </row>
        <row r="4105">
          <cell r="E4105">
            <v>7090141</v>
          </cell>
          <cell r="F4105" t="str">
            <v>MULETAS TIPO CANADIENSES REGULABLES DE ALTURA, PARA ADULTOS, CON REGATONES DE HULE. PAR</v>
          </cell>
          <cell r="G4105" t="str">
            <v>PAA</v>
          </cell>
        </row>
        <row r="4106">
          <cell r="E4106">
            <v>7090142</v>
          </cell>
          <cell r="F4106" t="str">
            <v>OREJERAS PARA EQUIPO DE ELECTROMIOGRAFIA</v>
          </cell>
          <cell r="G4106" t="str">
            <v>UN</v>
          </cell>
        </row>
        <row r="4107">
          <cell r="E4107">
            <v>7090143</v>
          </cell>
          <cell r="F4107" t="str">
            <v>PARAFINA EN MARQUETA DE6- 10 KGS. KILOGRAMO</v>
          </cell>
          <cell r="G4107" t="str">
            <v>KG</v>
          </cell>
        </row>
        <row r="4108">
          <cell r="E4108">
            <v>7090144</v>
          </cell>
          <cell r="F4108" t="str">
            <v>PASTA ABRASIVA PARA PREPARAR PIEL PARA ELECTROMIOGRAFIAS. FCO 114 GR.</v>
          </cell>
          <cell r="G4108" t="str">
            <v>UN</v>
          </cell>
        </row>
        <row r="4109">
          <cell r="E4109">
            <v>7090145</v>
          </cell>
          <cell r="F4109" t="str">
            <v>PLACA DE FIELTRO PARA ELECTRODO FLEXIBLE 15 X 25 CM  PARA DIATERMIA</v>
          </cell>
          <cell r="G4109" t="str">
            <v>UN</v>
          </cell>
        </row>
        <row r="4110">
          <cell r="E4110">
            <v>7090146</v>
          </cell>
          <cell r="F4110" t="str">
            <v>PLANTILLA DE SILICON, COMPLETA, DIFERENTES TALLAS</v>
          </cell>
          <cell r="G4110" t="str">
            <v>UN</v>
          </cell>
        </row>
        <row r="4111">
          <cell r="E4111">
            <v>7090147</v>
          </cell>
          <cell r="F4111" t="str">
            <v>PLANTILLAS PARA ESPOLON CALCANEO TALLA L. PAR</v>
          </cell>
          <cell r="G4111" t="str">
            <v>PAA</v>
          </cell>
        </row>
        <row r="4112">
          <cell r="E4112">
            <v>7090148</v>
          </cell>
          <cell r="F4112" t="str">
            <v>PLANTILLAS PARA ESPOLON CALCANEO TALLA M. PAR</v>
          </cell>
          <cell r="G4112" t="str">
            <v>PAA</v>
          </cell>
        </row>
        <row r="4113">
          <cell r="E4113">
            <v>7090149</v>
          </cell>
          <cell r="F4113" t="str">
            <v>PLANTILLAS PARA ESPOLON CALCANEO TALLA S. PAR</v>
          </cell>
          <cell r="G4113" t="str">
            <v>PAA</v>
          </cell>
        </row>
        <row r="4114">
          <cell r="E4114">
            <v>7090150</v>
          </cell>
          <cell r="F4114" t="str">
            <v>PLASTILINA TERAPEUTICA PARA TERAPIA DE MANOS COLOR AMARILLA. FRASCO 8ONZAS ± 10%</v>
          </cell>
          <cell r="G4114" t="str">
            <v>UN</v>
          </cell>
        </row>
        <row r="4115">
          <cell r="E4115">
            <v>7090151</v>
          </cell>
          <cell r="F4115" t="str">
            <v>PLASTILINA TERAPEUTICA PARA TERAPIA DE MANOS COLOR AZUL. FRASCO 8 ONZAS ± 10%</v>
          </cell>
          <cell r="G4115" t="str">
            <v>UN</v>
          </cell>
        </row>
        <row r="4116">
          <cell r="E4116">
            <v>7090152</v>
          </cell>
          <cell r="F4116" t="str">
            <v>PLASTILINA TERAPEUTICA PARA TERAPIA DE MANOS COLOR ROJO. FCO. 8 ONZAS± 10%.</v>
          </cell>
          <cell r="G4116" t="str">
            <v>UN</v>
          </cell>
        </row>
        <row r="4117">
          <cell r="E4117">
            <v>7090153</v>
          </cell>
          <cell r="F4117" t="str">
            <v>PLASTILINA TERAPEUTICA PARA TERAPIA DE MANOS COLOR VERDE. FCO.  8 ONZAS ± 10%</v>
          </cell>
          <cell r="G4117" t="str">
            <v>UN</v>
          </cell>
        </row>
        <row r="4118">
          <cell r="E4118">
            <v>7090154</v>
          </cell>
          <cell r="F4118" t="str">
            <v>REGATON DE HULE CON REFUERZO DE  METAL  INTERNO PARA MULETA O BASTON DE METAL DE UNA PULGADA DE DIAMETRO</v>
          </cell>
          <cell r="G4118" t="str">
            <v>UN</v>
          </cell>
        </row>
        <row r="4119">
          <cell r="E4119">
            <v>7090155</v>
          </cell>
          <cell r="F4119" t="str">
            <v>RODILLERA DE NEOPRENE TALLA LARGE, PARA AMBAS RODILLAS, CON LOCALIZADOR DE ROTULA</v>
          </cell>
          <cell r="G4119" t="str">
            <v>UN</v>
          </cell>
        </row>
        <row r="4120">
          <cell r="E4120">
            <v>7090156</v>
          </cell>
          <cell r="F4120" t="str">
            <v>RODILLERA DE NEOPRENE TALLA MEDIUM PARA AMBAS RODILLAS, LOCALIZADOR ROTULIANO</v>
          </cell>
          <cell r="G4120" t="str">
            <v>UN</v>
          </cell>
        </row>
        <row r="4121">
          <cell r="E4121">
            <v>7090157</v>
          </cell>
          <cell r="F4121" t="str">
            <v>SILLA DE RUEDAS ESTANDAR</v>
          </cell>
          <cell r="G4121" t="str">
            <v>UN</v>
          </cell>
        </row>
        <row r="4122">
          <cell r="E4122">
            <v>7090158</v>
          </cell>
          <cell r="F4122" t="str">
            <v>SISTEMA DE TRACCION CERVICAL QUE COMPRENDE FRONDA BARRA, GARRUCHA Y BOLSA DE ARENA. SET</v>
          </cell>
          <cell r="G4122" t="str">
            <v>SET</v>
          </cell>
        </row>
        <row r="4123">
          <cell r="E4123">
            <v>7090159</v>
          </cell>
          <cell r="F4123" t="str">
            <v>SOPORTE ARTICULAR DE RODILLA TALLA "M"</v>
          </cell>
          <cell r="G4123" t="str">
            <v>UN</v>
          </cell>
        </row>
        <row r="4124">
          <cell r="E4124">
            <v>7090160</v>
          </cell>
          <cell r="F4124" t="str">
            <v>SOPORTE ARTICULAR DE RODILLAS TALLA "S"</v>
          </cell>
          <cell r="G4124" t="str">
            <v>UN</v>
          </cell>
        </row>
        <row r="4125">
          <cell r="E4125">
            <v>7090161</v>
          </cell>
          <cell r="F4125" t="str">
            <v>SOPORTE FIJO DE RODILLA CON BARRA METALICA, TALLA  "M".</v>
          </cell>
          <cell r="G4125" t="str">
            <v>UN</v>
          </cell>
        </row>
        <row r="4126">
          <cell r="E4126">
            <v>7090162</v>
          </cell>
          <cell r="F4126" t="str">
            <v>SOPORTE FIJO DE RODILLA CON BARRA METALICA, TALLA "L".</v>
          </cell>
          <cell r="G4126" t="str">
            <v>UN</v>
          </cell>
        </row>
        <row r="4127">
          <cell r="E4127">
            <v>7090163</v>
          </cell>
          <cell r="F4127" t="str">
            <v>SOPORTE FIJO DE RODILLA CON BARRA METALICA, TALLA "S".</v>
          </cell>
          <cell r="G4127" t="str">
            <v>UN</v>
          </cell>
        </row>
        <row r="4128">
          <cell r="E4128">
            <v>7090164</v>
          </cell>
          <cell r="F4128" t="str">
            <v>TALONERA PARA USO EN ESPOLON CALCANEO TALLA 1, NUMERO DE ZAPATO 5L - 7L</v>
          </cell>
          <cell r="G4128" t="str">
            <v>UN</v>
          </cell>
        </row>
        <row r="4129">
          <cell r="E4129">
            <v>7090165</v>
          </cell>
          <cell r="F4129" t="str">
            <v>TALONERA PARA USO EN ESPOLON CALCANEO TALLA 2, NUMERO DE ZAPATO 8L - 10L</v>
          </cell>
          <cell r="G4129" t="str">
            <v>UN</v>
          </cell>
        </row>
        <row r="4130">
          <cell r="E4130">
            <v>7090166</v>
          </cell>
          <cell r="F4130" t="str">
            <v>TALONERA PARA USO EN ESPOLON CALCANEO TALLA 3, NUMERO DE ZAPATO 8M - 10M</v>
          </cell>
          <cell r="G4130" t="str">
            <v>UN</v>
          </cell>
        </row>
        <row r="4131">
          <cell r="E4131">
            <v>7090167</v>
          </cell>
          <cell r="F4131" t="str">
            <v>TIJERAS PARA MANO IZQUIERDA STANDARD</v>
          </cell>
          <cell r="G4131" t="str">
            <v>UN</v>
          </cell>
        </row>
        <row r="4132">
          <cell r="E4132">
            <v>7090168</v>
          </cell>
          <cell r="F4132" t="str">
            <v>TOBILLERA MIEMBRO INFERIOR, PREFABRICADA EN NEOPRENE, CON SUJETADORESEN VELCRO</v>
          </cell>
          <cell r="G4132" t="str">
            <v>UN</v>
          </cell>
        </row>
        <row r="4133">
          <cell r="E4133">
            <v>7091020</v>
          </cell>
          <cell r="F4133" t="str">
            <v>ACCESORIOS PARA ELECTROMIOGRAFIAS</v>
          </cell>
          <cell r="G4133" t="str">
            <v>UN</v>
          </cell>
        </row>
        <row r="4134">
          <cell r="E4134">
            <v>7091021</v>
          </cell>
          <cell r="F4134" t="str">
            <v>AGUJA DESCARTABLE PARA  ELECTROMIOGRAFIA 45 MM</v>
          </cell>
          <cell r="G4134" t="str">
            <v>UN</v>
          </cell>
        </row>
        <row r="4135">
          <cell r="E4135">
            <v>7091022</v>
          </cell>
          <cell r="F4135" t="str">
            <v>AGUJA DESCARTABLE PARA ELECTROMIOGRAFIA 20 MM</v>
          </cell>
          <cell r="G4135" t="str">
            <v>UN</v>
          </cell>
        </row>
        <row r="4136">
          <cell r="E4136">
            <v>7091023</v>
          </cell>
          <cell r="F4136" t="str">
            <v>AGUJA DESCARTABLE PARA ELECTROMIOGRAFIA 30 MM</v>
          </cell>
          <cell r="G4136" t="str">
            <v>UN</v>
          </cell>
        </row>
        <row r="4137">
          <cell r="E4137">
            <v>7091024</v>
          </cell>
          <cell r="F4137" t="str">
            <v>AGUJA MONOPOLAR DESCARTABLE PARA EMG. 37 MM. LARGO</v>
          </cell>
          <cell r="G4137" t="str">
            <v>UN</v>
          </cell>
        </row>
        <row r="4138">
          <cell r="E4138">
            <v>7091025</v>
          </cell>
          <cell r="F4138" t="str">
            <v>AGUJA MONOPOLAR DESCARTABLE PARA EMG. 50 MM LARGO</v>
          </cell>
          <cell r="G4138" t="str">
            <v>UN</v>
          </cell>
        </row>
        <row r="4139">
          <cell r="E4139">
            <v>7091026</v>
          </cell>
          <cell r="F4139" t="str">
            <v>AGUJA MONOPOLAR DESCARTABLE PARA EMG. 75 MM LARGO</v>
          </cell>
          <cell r="G4139" t="str">
            <v>UN</v>
          </cell>
        </row>
        <row r="4140">
          <cell r="E4140">
            <v>7091027</v>
          </cell>
          <cell r="F4140" t="str">
            <v>ALMOHADILLAS (PADS) PARA ELECTRODO BIPOLAR DE EQ. DE EMG.  SET DE 10 UNID.</v>
          </cell>
          <cell r="G4140" t="str">
            <v>SET</v>
          </cell>
        </row>
        <row r="4141">
          <cell r="E4141">
            <v>7091028</v>
          </cell>
          <cell r="F4141" t="str">
            <v>CABLE ADAPTADOR PARA BANDA POLO TIERRA</v>
          </cell>
          <cell r="G4141" t="str">
            <v>UN</v>
          </cell>
        </row>
        <row r="4142">
          <cell r="E4142">
            <v>7091029</v>
          </cell>
          <cell r="F4142" t="str">
            <v>CABLE DE AGUJA PARA ELECTROMIOGRAFIA</v>
          </cell>
          <cell r="G4142" t="str">
            <v>UN</v>
          </cell>
        </row>
        <row r="4143">
          <cell r="E4143">
            <v>7091030</v>
          </cell>
          <cell r="F4143" t="str">
            <v>CABLES PARA AGUJA DESCARTABLE DE ELECTROMIOGRAFIA</v>
          </cell>
          <cell r="G4143" t="str">
            <v>UN</v>
          </cell>
        </row>
        <row r="4144">
          <cell r="E4144">
            <v>7091031</v>
          </cell>
          <cell r="F4144" t="str">
            <v>ELECTRODO DE TIERRA DE 25 CM.</v>
          </cell>
          <cell r="G4144" t="str">
            <v>UN</v>
          </cell>
        </row>
        <row r="4145">
          <cell r="E4145">
            <v>7091032</v>
          </cell>
          <cell r="F4145" t="str">
            <v>ELECTRODO DE TIERRA DE 50 CM.</v>
          </cell>
          <cell r="G4145" t="str">
            <v>UN</v>
          </cell>
        </row>
        <row r="4146">
          <cell r="E4146">
            <v>7091033</v>
          </cell>
          <cell r="F4146" t="str">
            <v>ELECTRODO STANDARD PARA ENCEFALOGRAMA, DE 10 mm, DISCO DE ORO, CAJA X10 UNIDADES</v>
          </cell>
          <cell r="G4146" t="str">
            <v>UN</v>
          </cell>
        </row>
        <row r="4147">
          <cell r="E4147">
            <v>7091034</v>
          </cell>
          <cell r="F4147" t="str">
            <v>ELECTRODOS DE DISCO REUSABLE PARA ELECTROMIOGRAFIA</v>
          </cell>
          <cell r="G4147" t="str">
            <v>UN</v>
          </cell>
        </row>
        <row r="4148">
          <cell r="E4148">
            <v>7091035</v>
          </cell>
          <cell r="F4148" t="str">
            <v>ELECTRODOS PARA POTENCIALES EVOCADOS DE NEUROCONDUCCION NERVIOSA. SET</v>
          </cell>
          <cell r="G4148" t="str">
            <v>SET</v>
          </cell>
        </row>
        <row r="4149">
          <cell r="E4149">
            <v>7091036</v>
          </cell>
          <cell r="F4149" t="str">
            <v>GEL ADHESIVA PARA ELECTRODO (FCO.14 - 17 ONZAS)</v>
          </cell>
          <cell r="G4149" t="str">
            <v>OZ</v>
          </cell>
        </row>
        <row r="4150">
          <cell r="E4150">
            <v>7091037</v>
          </cell>
          <cell r="F4150" t="str">
            <v>GEL CONDUCTIVA PARA ESTUDIOS DE ELECTROFISIOLOGIA.. TUBO</v>
          </cell>
          <cell r="G4150" t="str">
            <v>OZ</v>
          </cell>
        </row>
        <row r="4151">
          <cell r="E4151">
            <v>7091038</v>
          </cell>
          <cell r="F4151" t="str">
            <v>PASTA CONDUCTIVA PARA ESTUDIOS DE ELECTROFISIOLOGIA.</v>
          </cell>
          <cell r="G4151" t="str">
            <v>OZ</v>
          </cell>
        </row>
        <row r="4152">
          <cell r="E4152">
            <v>7091039</v>
          </cell>
          <cell r="F4152" t="str">
            <v>PLUMILLAS PARA EL TRAZO DE ESTUDIOS DE POTENCIALES EVOCADOS, VARIAS MARCAS. JUEGO</v>
          </cell>
          <cell r="G4152" t="str">
            <v>UN</v>
          </cell>
        </row>
        <row r="4153">
          <cell r="E4153">
            <v>7100001</v>
          </cell>
          <cell r="F4153" t="str">
            <v>GUIA FILAMENTO PARA ANGIOPLASTIA CORONARIA STANDARD,  DE 0.014", LONGITUD DE 170 -185 cm, ALMA FIJA, CON PUNTA RECTA</v>
          </cell>
          <cell r="G4153" t="str">
            <v>C/U</v>
          </cell>
        </row>
        <row r="4154">
          <cell r="E4154">
            <v>7100002</v>
          </cell>
          <cell r="F4154" t="str">
            <v>GUIA FILAMENTO PARA ANGIOPLASTIA CORONARIA PARA OCLUSIONES TOTALES CRONICAS, CON DIAMETRO DE 0.014", LONGITUD DE 170 - 185 cm, PUNTA RECTA DE 2- 3 cm, RADIOPACO</v>
          </cell>
          <cell r="G4154" t="str">
            <v>C/U</v>
          </cell>
        </row>
        <row r="4155">
          <cell r="E4155">
            <v>7100004</v>
          </cell>
          <cell r="F4155" t="str">
            <v>GUIA FILAMENTO PARA ANGIOPLASTIA CORONARIA, FLOOPY,  DE 0.014", LONGITUD DE 170 -185 cm, ALMA FIJA, CON PUNTA RECTA</v>
          </cell>
          <cell r="G4155" t="str">
            <v>C/U</v>
          </cell>
        </row>
        <row r="4156">
          <cell r="E4156">
            <v>7100005</v>
          </cell>
          <cell r="F4156" t="str">
            <v>GUIA FILAMENTO PARA ANGIOPLASTIA, EXTRA SOPORTE,  DE 0.014", LONGITUD DE 260 - 300 cm, ALMA FIJA, CON PUNTA RECTA</v>
          </cell>
          <cell r="G4156" t="str">
            <v>C/U</v>
          </cell>
        </row>
        <row r="4157">
          <cell r="E4157">
            <v>7100007</v>
          </cell>
          <cell r="F4157" t="str">
            <v>GUIA FILAMENTO PARA ANGIOPLASTIA, STANDARD,  DE 0.014", LONGITUD DE 260 - 300 cm, ALMA FIJA, CON PUNTA RECTA</v>
          </cell>
          <cell r="G4157" t="str">
            <v>C/U</v>
          </cell>
        </row>
        <row r="4158">
          <cell r="E4158">
            <v>7100008</v>
          </cell>
          <cell r="F4158" t="str">
            <v>GUIA ANGIOGRAFICA CUBIERTA DE PTFE CON DIAMETRO 0.035", DE 170 -185 cm DE LONGITUD, PUNTA RECTA</v>
          </cell>
          <cell r="G4158" t="str">
            <v>C/U</v>
          </cell>
        </row>
        <row r="4159">
          <cell r="E4159">
            <v>7100009</v>
          </cell>
          <cell r="F4159" t="str">
            <v>GUIA ANGIOGRAFICA CUBIERTA DE PTFE CON DIAMETRO 0.038", DE 170 - 185 cm DE LONGITUD, PUNTA RECTA</v>
          </cell>
          <cell r="G4159" t="str">
            <v>C/U</v>
          </cell>
        </row>
        <row r="4160">
          <cell r="E4160">
            <v>7100010</v>
          </cell>
          <cell r="F4160" t="str">
            <v>GUIA ANGIOGRAFICA CUBIERTA DE PTFE, CON DIAMETRO 0.035",  DE 260 - 300 cm DE LONGITUD, PUNTA RECTA</v>
          </cell>
          <cell r="G4160" t="str">
            <v>C/U</v>
          </cell>
        </row>
        <row r="4161">
          <cell r="E4161">
            <v>7100011</v>
          </cell>
          <cell r="F4161" t="str">
            <v>GUIA ANGIOGRAFICA CUBIERTA DE PTFE, CON DIAMETRO 0.038",  DE 260 -300 cm DE LONGITUD, PUNTA RECTA</v>
          </cell>
          <cell r="G4161" t="str">
            <v>C/U</v>
          </cell>
        </row>
        <row r="4162">
          <cell r="E4162">
            <v>7100012</v>
          </cell>
          <cell r="F4162" t="str">
            <v>GUIA ANGIOGRAFICA CUBIERTA DE PTFE CON DIAMETRO 0.035", DE 170 - 185 cm DE LONGITUD, PUNTA EN  "J"</v>
          </cell>
          <cell r="G4162" t="str">
            <v>C/U</v>
          </cell>
        </row>
        <row r="4163">
          <cell r="E4163">
            <v>7100013</v>
          </cell>
          <cell r="F4163" t="str">
            <v>GUIA ANGIOGRAFICA CUBIERTA DE PTFE CON DIAMETRO 0.038", DE 170 -185 cm DE LONGITUD, PUNTA EN "J"</v>
          </cell>
          <cell r="G4163" t="str">
            <v>C/U</v>
          </cell>
        </row>
        <row r="4164">
          <cell r="E4164">
            <v>7100014</v>
          </cell>
          <cell r="F4164" t="str">
            <v>GUIA ANGIOGRAFICA CUBIERTA DE PTFE, CON DIAMETRO 0.035",  DE 260 - 300 cm DE LONGITUD, PUNTA EN "J"</v>
          </cell>
          <cell r="G4164" t="str">
            <v>C/U</v>
          </cell>
        </row>
        <row r="4165">
          <cell r="E4165">
            <v>7100015</v>
          </cell>
          <cell r="F4165" t="str">
            <v>GUIA ANGIOGRAFICA CUBIERTA DE PTFE, CON DIAMETRO 0.038",  DE 260 - 300 cm DE LONGITUD, PUNTA EN "J”</v>
          </cell>
          <cell r="G4165" t="str">
            <v>C/U</v>
          </cell>
        </row>
        <row r="4166">
          <cell r="E4166">
            <v>7100024</v>
          </cell>
          <cell r="F4166" t="str">
            <v>INTRODUCTOR ARTERIAL CON VALVULA HEMOSTATICA FIJA,  DIAMETRO 7 FRENCH, DE 20 - 25 cm. DE LONGITUD, CON GUIA 0.035" A 0.038"</v>
          </cell>
          <cell r="G4166" t="str">
            <v>C/U</v>
          </cell>
        </row>
        <row r="4167">
          <cell r="E4167">
            <v>7100027</v>
          </cell>
          <cell r="F4167" t="str">
            <v>INTRODUCTOR ARTERIAL CON VALVULA HEMOSTATICA FIJA,  DIAMETRO 12 FRENCH, DE 10 - 15 cm. DE LONGITUD, COMPATIBLE CON GUIA 0.035" - 0.038"</v>
          </cell>
          <cell r="G4167" t="str">
            <v>C/U</v>
          </cell>
        </row>
        <row r="4168">
          <cell r="E4168">
            <v>7100028</v>
          </cell>
          <cell r="F4168" t="str">
            <v>INTRODUCTOR TRANSRADIAL CON VALVULA HEMOSTATICA FIJA, DIAMETRO 6 FRENCH, CON MINI GUIA 0.018" A 0.022", PUNTA ATRAUMATICA, DE 10 - 15 cm. DE LONGITUD</v>
          </cell>
          <cell r="G4168" t="str">
            <v>C/U</v>
          </cell>
        </row>
        <row r="4169">
          <cell r="E4169">
            <v>7100029</v>
          </cell>
          <cell r="F4169" t="str">
            <v>INTRODUCTOR TRANSRADIAL CON VALVULA HEMOSTATICA FIJA, DIAMETRO 6 FRENCH, CON MINI GUIA 0.018" A 0.022", PUNTA ATRAUMATICA, DE 20 - 25 cm. DE LONGITUD</v>
          </cell>
          <cell r="G4169" t="str">
            <v>C/U</v>
          </cell>
        </row>
        <row r="4170">
          <cell r="E4170">
            <v>7100037</v>
          </cell>
          <cell r="F4170" t="str">
            <v>PROTESIS METALICA INTRACORONARIA, MONTADA SOBRE BALON SEMICOMPLACIENTE, 2.5 mm x 8 - 11 mm DE LONGITUD, CON 2 MARCAS RADIOPACAS, CON PERFIL DE CRUCE MENOR O IGUAL A 0.044'', PRESION DE RUPTURA MAYOR A 14 ATM, DE INTERCAMBIO RAPIDO, COMPATIBLE CON GUIA 0.0</v>
          </cell>
          <cell r="G4170" t="str">
            <v>C/U</v>
          </cell>
        </row>
        <row r="4171">
          <cell r="E4171">
            <v>7100038</v>
          </cell>
          <cell r="F4171" t="str">
            <v>PROTESIS METALICA INTRACORONARIA, MONTADA SOBRE BALON SEMICOMPLACIENTE, 2.5 mm x 12 - 15 mm DE LONGITUD, CON 2 MARCAS RADIOPACAS, CON PERFIL DE CRUCE MENOR O IGUAL A 0.044'', PRESION DE RUPTURA MAYOR A 14 ATM, DE INTERCAMBIO RAPIDO, COMPATIBLE CON GUIA 0.</v>
          </cell>
          <cell r="G4171" t="str">
            <v>C/U</v>
          </cell>
        </row>
        <row r="4172">
          <cell r="E4172">
            <v>7100039</v>
          </cell>
          <cell r="F4172" t="str">
            <v>PROTESIS METALICA INTRACORONARIA, MONTADA SOBRE BALON SEMICOMPLACIENTE, 2.5 mm x 16 - 20 mm DE LONGITUD, CON 2 MARCAS RADIOPACAS, CON PERFIL DE CRUCE MENOR O IGUAL A 0.044'', PRESION DE RUPTURA MAYOR A 14 ATM, DE INTERCAMBIO RAPIDO, COMPATIBLE CON GUIA 0.</v>
          </cell>
          <cell r="G4172" t="str">
            <v>C/U</v>
          </cell>
        </row>
        <row r="4173">
          <cell r="E4173">
            <v>7100040</v>
          </cell>
          <cell r="F4173" t="str">
            <v>PROTESIS METALICA INTRACORONARIA, MONTADA SOBRE BALON SEMICOMPLACIENTE, 2.5 mm x 21 - 25 mm DE LONGITUD, CON 2 MARCAS RADIOPACAS, CON PERFIL DE CRUCE MENOR O IGUAL A 0.044'', PRESION DE RUPTURA MAYOR A 14 ATM, DE INTERCAMBIO RAPIDO, COMPATIBLE CON GUIA 0.</v>
          </cell>
          <cell r="G4173" t="str">
            <v>C/U</v>
          </cell>
        </row>
        <row r="4174">
          <cell r="E4174">
            <v>7100041</v>
          </cell>
          <cell r="F4174" t="str">
            <v>PROTESIS METALICA INTRACORONARIA, MONTADA SOBRE BALON SEMICOMPLACIENTE, 2.5 mm x 26 - 33 mm DE LONGITUD, CON 2 MARCAS RADIOPACAS, CON PERFIL DE CRUCE MENOR O IGUAL A 0.044'', PRESION DE RUPTURA MAYOR A 14 ATM, DE INTERCAMBIO RAPIDO, COMPATIBLE CON GUIA 0.</v>
          </cell>
          <cell r="G4174" t="str">
            <v>C/U</v>
          </cell>
        </row>
        <row r="4175">
          <cell r="E4175">
            <v>7100042</v>
          </cell>
          <cell r="F4175" t="str">
            <v>PROTESIS METALICA INTRACORONARIA, MONTADA SOBRE BALON SEMICOMPLACIENTE, 3.0 mm x 8 - 11 mm DE LONGITUD, CON 2 MARCAS RADIOPACAS, CON PERFIL DE CRUCE MENOR O IGUAL A 0.045'', PRESION DE RUPTURA MAYOR A 16 ATM, DE INTERCAMBIO RAPIDO, COMPATIBLE CON GUIA 0.0</v>
          </cell>
          <cell r="G4175" t="str">
            <v>C/U</v>
          </cell>
        </row>
        <row r="4176">
          <cell r="E4176">
            <v>7100043</v>
          </cell>
          <cell r="F4176" t="str">
            <v>PROTESIS METALICA INTRACORONARIA, MONTADA SOBRE BALON SEMICOMPLACIENTE, 3.0 mm x 12 - 15 mm DE LONGITUD, CON 2 MARCAS RADIOPACAS, CON PERFIL DE CRUCE MENOR O IGUAL A 0.045'', PRESION DE RUPTURA MAYOR A 16 ATM, DE INTERCAMBIO RAPIDO, COMPATIBLE CON GUIA 0.</v>
          </cell>
          <cell r="G4176" t="str">
            <v>C/U</v>
          </cell>
        </row>
        <row r="4177">
          <cell r="E4177">
            <v>7100044</v>
          </cell>
          <cell r="F4177" t="str">
            <v>PROTESIS METALICA INTRACORONARIA, MONTADA SOBRE BALON SEMICOMPLACIENTE, 3.0 mm x 16 - 20 mm DE LONGITUD, CON 2 MARCAS RADIOPACAS, CON PERFIL DE CRUCE MENOR O IGUAL A 0.045'', PRESION DE RUPTURA MAYOR A 16 ATM, DE INTERCAMBIO RAPIDO, COMPATIBLE CON GUIA 0.</v>
          </cell>
          <cell r="G4177" t="str">
            <v>C/U</v>
          </cell>
        </row>
        <row r="4178">
          <cell r="E4178">
            <v>7100045</v>
          </cell>
          <cell r="F4178" t="str">
            <v>PROTESIS METALICA INTRACORONARIA, MONTADA SOBRE BALON SEMICOMPLACIENTE, 3.0 mm x 21 - 25 mm DE LONGITUD, CON 2 MARCAS RADIOPACAS, CON PERFIL DE CRUCE MENOR O IGUAL A 0.045'', PRESION DE RUPTURA MAYOR A 16 ATM, DE INTERCAMBIO RAPIDO, COMPATIBLE CON GUIA 0.</v>
          </cell>
          <cell r="G4178" t="str">
            <v>C/U</v>
          </cell>
        </row>
        <row r="4179">
          <cell r="E4179">
            <v>7100046</v>
          </cell>
          <cell r="F4179" t="str">
            <v>PROTESIS METALICA INTRACORONARIA, MONTADA SOBRE BALON SEMICOMPLACIENTE, 3.0 mm x 26 - 33 mm DE LONGITUD, CON 2 MARCAS RADIOPACAS, CON PERFIL DE CRUCE MENOR O IGUAL A 0.045'', PRESION DE RUPTURA MAYOR A 16 ATM, DE INTERCAMBIO RAPIDO, COMPATIBLE CON GUIA 0.</v>
          </cell>
          <cell r="G4179" t="str">
            <v>C/U</v>
          </cell>
        </row>
        <row r="4180">
          <cell r="E4180">
            <v>7100047</v>
          </cell>
          <cell r="F4180" t="str">
            <v>PROTESIS METALICA INTRACORONARIA, MONTADA SOBRE BALON SEMICOMPLACIENTE, 3.5 mm x 8 - 11 mm DE LONGITUD, CON 2 MARCAS RADIOPACAS, CON PERFIL DE CRUCE MENOR O IGUAL A 0.046'', PRESION DE RUPTURA MAYOR A 16 ATM, DE INTERCAMBIO RAPIDO, COMPATIBLE CON GUIA 0.0</v>
          </cell>
          <cell r="G4180" t="str">
            <v>C/U</v>
          </cell>
        </row>
        <row r="4181">
          <cell r="E4181">
            <v>7100048</v>
          </cell>
          <cell r="F4181" t="str">
            <v>PROTESIS METALICA INTRACORONARIA, MONTADA SOBRE BALON SEMICOMPLACIENTE, 3.5 mm x 12 - 15 mm DE LONGITUD, CON 2 MARCAS RADIOPACAS, CON PERFIL DE CRUCE MENOR O IGUAL A 0.046'', PRESION DE RUPTURA MAYOR A 16 ATM, DE INTERCAMBIO RAPIDO, COMPATIBLE CON GUIA 0.</v>
          </cell>
          <cell r="G4181" t="str">
            <v>C/U</v>
          </cell>
        </row>
        <row r="4182">
          <cell r="E4182">
            <v>7100049</v>
          </cell>
          <cell r="F4182" t="str">
            <v>PROTESIS METALICA INTRACORONARIA, MONTADA SOBRE BALON SEMICOMPLACIENTE, 3.5 mm x 16 - 20 mm DE LONGITUD, CON 2 MARCAS RADIOPACAS, CON PERFIL DE CRUCE MENOR O IGUAL A 0.046'', PRESION DE RUPTURA MAYOR A 16 ATM, DE INTERCAMBIO RAPIDO, COMPATIBLE CON GUIA 0.</v>
          </cell>
          <cell r="G4182" t="str">
            <v>C/U</v>
          </cell>
        </row>
        <row r="4183">
          <cell r="E4183">
            <v>7100050</v>
          </cell>
          <cell r="F4183" t="str">
            <v>PROTESIS METALICA INTRACORONARIA, MONTADA SOBRE BALON SEMICOMPLACIENTE, 3.5 mm x 21 - 25 mm DE LONGITUD, CON 2 MARCAS RADIOPACAS, CON PERFIL DE CRUCE MENOR O IGUAL A 0.046'', PRESION DE RUPTURA MAYOR A 16 ATM, DE INTERCAMBIO RAPIDO, COMPATIBLE CON GUIA 0.</v>
          </cell>
          <cell r="G4183" t="str">
            <v>C/U</v>
          </cell>
        </row>
        <row r="4184">
          <cell r="E4184">
            <v>7100051</v>
          </cell>
          <cell r="F4184" t="str">
            <v>PROTESIS METALICA INTRACORONARIA, MONTADA SOBRE BALON SEMICOMPLACIENTE, 3.5 mm x 26 - 33 mm DE LONGITUD, CON 2 MARCAS RADIOPACAS, CON PERFIL DE CRUCE MENOR O IGUAL A 0.046'', PRESION DE RUPTURA MAYOR A 16 ATM, DE INTERCAMBIO RAPIDO, COMPATIBLE CON GUIA 0.</v>
          </cell>
          <cell r="G4184" t="str">
            <v>C/U</v>
          </cell>
        </row>
        <row r="4185">
          <cell r="E4185">
            <v>7100052</v>
          </cell>
          <cell r="F4185" t="str">
            <v>PROTESIS METALICA INTRACORONARIA, MONTADA SOBRE BALON SEMICOMPLACIENTE, 4.0 mm x 8 - 11 mm DE LONGITUD, CON 2 MARCAS RADIOPACAS, CON PERFIL DE CRUCE MENOR O IGUAL A 0.048'', PRESION DE RUPTURA MAYOR A 16 ATM, DE INTERCAMBIO RAPIDO, COMPATIBLE CON GUIA 0.0</v>
          </cell>
          <cell r="G4185" t="str">
            <v>C/U</v>
          </cell>
        </row>
        <row r="4186">
          <cell r="E4186">
            <v>7100053</v>
          </cell>
          <cell r="F4186" t="str">
            <v>PROTESIS METALICA INTRACORONARIA, MONTADA SOBRE BALON SEMICOMPLACIENTE, 4.0 mm x 12 - 15 mm DE LONGITUD, CON 2 MARCAS RADIOPACAS, CON PERFIL DE CRUCE MENOR O IGUAL A 0.048'', PRESION DE RUPTURA MAYOR A 16 ATM, DE INTERCAMBIO RAPIDO, COMPATIBLE CON GUIA 0.</v>
          </cell>
          <cell r="G4186" t="str">
            <v>C/U</v>
          </cell>
        </row>
        <row r="4187">
          <cell r="E4187">
            <v>7100054</v>
          </cell>
          <cell r="F4187" t="str">
            <v>PROTESIS METALICA INTRACORONARIA, MONTADA SOBRE BALON SEMICOMPLACIENTE, 4.0 mm x 16 - 20 mm DE LONGITUD, CON 2 MARCAS RADIOPACAS, CON PERFIL DE CRUCE MENOR O IGUAL A 0.048'', PRESION DE RUPTURA MAYOR A 16 ATM, DE INTERCAMBIO RAPIDO, COMPATIBLE CON GUIA 0.</v>
          </cell>
          <cell r="G4187" t="str">
            <v>C/U</v>
          </cell>
        </row>
        <row r="4188">
          <cell r="E4188">
            <v>7100055</v>
          </cell>
          <cell r="F4188" t="str">
            <v>PROTESIS METALICA INTRACORONARIA, MONTADA SOBRE BALON SEMICOMPLACIENTE, 4.0 mm x 21 - 25 mm DE LONGITUD, CON 2 MARCAS RADIOPACAS, CON PERFIL DE CRUCE MENOR O IGUAL A 0.048'', PRESION DE RUPTURA MAYOR A 16 ATM, DE INTERCAMBIO RAPIDO, COMPATIBLE CON GUIA 0.</v>
          </cell>
          <cell r="G4188" t="str">
            <v>C/U</v>
          </cell>
        </row>
        <row r="4189">
          <cell r="E4189">
            <v>7100056</v>
          </cell>
          <cell r="F4189" t="str">
            <v>PROTESIS METALICA INTRACORONARIA, MONTADA SOBRE BALON SEMICOMPLACIENTE, 4.0 mm x 26 - 33 mm DE LONGITUD, CON 2 MARCAS RADIOPACAS, CON PERFIL DE CRUCE MENOR O IGUAL A 0.048'', PRESION DE RUPTURA MAYOR A 16 ATM, DE INTERCAMBIO RAPIDO, COMPATIBLE CON GUIA 0.</v>
          </cell>
          <cell r="G4189" t="str">
            <v>C/U</v>
          </cell>
        </row>
        <row r="4190">
          <cell r="E4190">
            <v>7100057</v>
          </cell>
          <cell r="F4190" t="str">
            <v>PROTESIS METALICA INTRACORONARIA, MONTADA SOBRE BALON SEMICOMPLACIENTE, 4.5 mm x 8 - 11 mm DE LONGITUD, CON 2 MARCAS RADIOPACAS, CON PERFIL DE CRUCE MAYOR  O IGUAL A 0.048'', PRESION DE RUPTURA MAYOR A 16 ATM, DE INTERCAMBIO RAPIDO, COMPATIBLE CON GUIA 0.</v>
          </cell>
          <cell r="G4190" t="str">
            <v>C/U</v>
          </cell>
        </row>
        <row r="4191">
          <cell r="E4191">
            <v>7100058</v>
          </cell>
          <cell r="F4191" t="str">
            <v>PROTESIS METALICA INTRACORONARIA, MONTADA SOBRE BALON SEMICOMPLACIENTE, 4.5 mm x 12 - 15 mm DE LONGITUD, CON 2 MARCAS RADIOPACAS, CON PERFIL DE CRUCE MENOR O IGUAL A 0.048'', PRESION DE RUPTURA MAYOR A 16 ATM, DE INTERCAMBIO RAPIDO, COMPATIBLE CON GUIA 0.</v>
          </cell>
          <cell r="G4191" t="str">
            <v>C/U</v>
          </cell>
        </row>
        <row r="4192">
          <cell r="E4192">
            <v>7100059</v>
          </cell>
          <cell r="F4192" t="str">
            <v>PROTESIS METALICA INTRACORONARIA, MONTADA SOBRE BALON SEMICOMPLACIENTE, 4.5 mm x 16 - 20 mm DE LONGITUD, CON 2 MARCAS RADIOPACAS, CON PERFIL DE CRUCE MENOR O IGUAL A 0.048'', PRESION DE RUPTURA MAYOR A 16 ATM, DE INTERCAMBIO RAPIDO, COMPATIBLE CON GUIA 0.</v>
          </cell>
          <cell r="G4192" t="str">
            <v>C/U</v>
          </cell>
        </row>
        <row r="4193">
          <cell r="E4193">
            <v>7100060</v>
          </cell>
          <cell r="F4193" t="str">
            <v>PROTESIS METALICA INTRACORONARIA, MONTADA SOBRE BALON SEMICOMPLACIENTE, 4.5 mm x 21 - 25 mm DE LONGITUD, CON 2 MARCAS RADIOPACAS, CON PERFIL DE CRUCE MENOR O IGUAL A 0.048'', PRESION DE RUPTURA MAYOR A 16 ATM, DE INTERCAMBIO RAPIDO, COMPATIBLE CON GUIA 0.</v>
          </cell>
          <cell r="G4193" t="str">
            <v>C/U</v>
          </cell>
        </row>
        <row r="4194">
          <cell r="E4194">
            <v>7100061</v>
          </cell>
          <cell r="F4194" t="str">
            <v>PROTESIS METALICA INTRACORONARIA, MONTADA SOBRE BALON SEMICOMPLACIENTE, 4.5 mm x 26 - 33 mm DE LONGITUD, CON 2 MARCAS RADIOPACAS, CON PERFIL DE CRUCE MENOR O IGUAL A 0.048'', PRESION DE RUPTURA MAYOR A 16 ATM, DE INTERCAMBIO RAPIDO, COMPATIBLE CON GUIA 0.</v>
          </cell>
          <cell r="G4194" t="str">
            <v>C/U</v>
          </cell>
        </row>
        <row r="4195">
          <cell r="E4195">
            <v>7100062</v>
          </cell>
          <cell r="F4195" t="str">
            <v>CATETER CON BALON DE DILATACION SEMICOMPLACIENTE, DE INTERCAMBIO RAPIDO, 1.5 mm X 9 - 15 mm, LONGITUD DE CATETER 120 - 140 cm, COMPATIBLE CON GUIA 0.014", CON PRESIÓN DE RUPTURA MAYOR O IGUAL A 12 ATM, CON MARCA RADIOPACA</v>
          </cell>
          <cell r="G4195" t="str">
            <v>C/U</v>
          </cell>
        </row>
        <row r="4196">
          <cell r="E4196">
            <v>7100063</v>
          </cell>
          <cell r="F4196" t="str">
            <v>CATETER CON BALON DE DILATACION SEMICOMPLACIENTE, DE INTERCAMBIO RAPIDO, 1.5 mm X 20 mm, LONGITUD DE CATETER 120 - 140 cm, COMPATIBLE CON GUIA 0.014", CON PRESIÓN DE RUPTURA MAYOR O IGUAL A 12 ATM, CON MARCA RADIOPACA</v>
          </cell>
          <cell r="G4196" t="str">
            <v>C/U</v>
          </cell>
        </row>
        <row r="4197">
          <cell r="E4197">
            <v>7100064</v>
          </cell>
          <cell r="F4197" t="str">
            <v>CATETER CON BALON DE DILATACION SEMICOMPLACIENTE, DE INTERCAMBIO RAPIDO, 2.0 mm X 9 - 15 mm, LONGITUD DE CATETER 120 - 140 cm, COMPATIBLE CON GUIA 0.014", CON PRESIÓN DE RUPTURA MAYOR O IGUAL A 12 ATM, CON DOS MARCAS RADIOPACAS</v>
          </cell>
          <cell r="G4197" t="str">
            <v>C/U</v>
          </cell>
        </row>
        <row r="4198">
          <cell r="E4198">
            <v>7100065</v>
          </cell>
          <cell r="F4198" t="str">
            <v>CATETER CON BALON DE DILATACION SEMICOMPLACIENTE, DE INTERCAMBIO RAPIDO, 2.0 mm X 20 mm, LONGITUD DE CATETER 120 - 140 cm, COMPATIBLE CON GUIA 0.014", CON PRESIÓN DE RUPTURA MAYOR O IGUAL A 12 ATM, CON DOS MARCAS RADIOPACAS</v>
          </cell>
          <cell r="G4198" t="str">
            <v>C/U</v>
          </cell>
        </row>
        <row r="4199">
          <cell r="E4199">
            <v>7100066</v>
          </cell>
          <cell r="F4199" t="str">
            <v>CATETER CON BALON DE DILATACION SEMICOMPLACIENTE, DE INTERCAMBIO RAPIDO, 2.0 mm X 30 mm, LONGITUD DE CATETER 120 - 140 cm, COMPATIBLE CON GUIA 0.014", CON PRESIÓN DE RUPTURA MAYOR O IGUAL A 12 ATM, CON DOS MARCAS RADIOPACAS</v>
          </cell>
          <cell r="G4199" t="str">
            <v>C/U</v>
          </cell>
        </row>
        <row r="4200">
          <cell r="E4200">
            <v>7100067</v>
          </cell>
          <cell r="F4200" t="str">
            <v>CATETER CON BALON DE DILATACION SEMICOMPLACIENTE, DE INTERCAMBIO RAPIDO, 2.5 mm X 9 - 15 mm, LONGITUD DE CATETER 120 - 140 cm, COMPATIBLE CON GUIA 0.014", CON PRESIÓN DE RUPTURA MAYOR O IGUAL A 12 ATM, CON DOS MARCAS RADIOPACAS</v>
          </cell>
          <cell r="G4200" t="str">
            <v>C/U</v>
          </cell>
        </row>
        <row r="4201">
          <cell r="E4201">
            <v>7100068</v>
          </cell>
          <cell r="F4201" t="str">
            <v>CATETER CON BALON DE DILATACION SEMICOMPLACIENTE, DE INTERCAMBIO RAPIDO, 2.5 mm X 20 mm, LONGITUD DE CATETER 120 - 140 cm, COMPATIBLE CON GUIA 0.014", CON PRESIÓN DE RUPTURA MAYOR O IGUAL A 14 ATM, CON DOS MARCAS RADIOPACAS</v>
          </cell>
          <cell r="G4201" t="str">
            <v>C/U</v>
          </cell>
        </row>
        <row r="4202">
          <cell r="E4202">
            <v>7100070</v>
          </cell>
          <cell r="F4202" t="str">
            <v>CATETER CON BALON DE DILATACION SEMICOMPLACIENTE, DE INTERCAMBIO RAPIDO, 3.0 mm X 9 - 15 mm, LONGITUD DE CATETER 120 - 140 cm, COMPATIBLE CON GUIA 0.014", CON PRESIÓN DE RUPTURA MAYOR O IGUAL A 14 ATM, CON DOS MARCAS RADIOPACAS</v>
          </cell>
          <cell r="G4202" t="str">
            <v>C/U</v>
          </cell>
        </row>
        <row r="4203">
          <cell r="E4203">
            <v>7100071</v>
          </cell>
          <cell r="F4203" t="str">
            <v>CATETER CON BALON DE DILATACION SEMICOMPLACIENTE, DE INTERCAMBIO RAPIDO, 3.0 mm X 20 mm, LONGITUD DE CATETER 120 - 140 cm, COMPATIBLE CON GUIA 0.014", CON PRESIÓN DE RUPTURA MAYOR O IGUAL A 14 ATM, CON DOS MARCAS RADIOPACAS</v>
          </cell>
          <cell r="G4203" t="str">
            <v>C/U</v>
          </cell>
        </row>
        <row r="4204">
          <cell r="E4204">
            <v>7100073</v>
          </cell>
          <cell r="F4204" t="str">
            <v>CATETER CON BALON DE DILATACION SEMICOMPLACIENTE, DE INTERCAMBIO RAPIDO, 3.5 mm X 9 - 15 mm, LONGITUD DE CATETER 120 - 140 cm, COMPATIBLE CON GUIA 0.014", CON PRESIÓN DE RUPTURA MAYOR O IGUAL A 14 ATM, CON DOS MARCAS RADIOPACAS</v>
          </cell>
          <cell r="G4204" t="str">
            <v>C/U</v>
          </cell>
        </row>
        <row r="4205">
          <cell r="E4205">
            <v>7100074</v>
          </cell>
          <cell r="F4205" t="str">
            <v>CATETER CON BALON DE DILATACION SEMICOMPLACIENTE, DE INTERCAMBIO RAPIDO, 3.5 mm X 20 mm, LONGITUD DE CATETER 120 - 140 cm, COMPATIBLE CON GUIA 0.014", CON PRESIÓN DE RUPTURA MAYOR O IGUAL A 14 ATM, CON DOS MARCAS RADIOPACAS</v>
          </cell>
          <cell r="G4205" t="str">
            <v>C/U</v>
          </cell>
        </row>
        <row r="4206">
          <cell r="E4206">
            <v>7100075</v>
          </cell>
          <cell r="F4206" t="str">
            <v>CATETER CON BALON DE DILATACION SEMICOMPLACIENTE, DE INTERCAMBIO RAPIDO, 3.5 mm X 30 mm, LONGITUD DE CATETER 120 - 140 cm, COMPATIBLE CON GUIA 0.014", CON PRESIÓN DE RUPTURA MAYOR O IGUAL A 14 ATM, CON DOS MARCAS RADIOPACAS</v>
          </cell>
          <cell r="G4206" t="str">
            <v>C/U</v>
          </cell>
        </row>
        <row r="4207">
          <cell r="E4207">
            <v>7100076</v>
          </cell>
          <cell r="F4207" t="str">
            <v>CATETER CON BALON DE DILATACION SEMICOMPLACIENTE, DE INTERCAMBIO RAPIDO, 4.0 mm X 9 - 15 mm, LONGITUD DE CATETER 120 - 140 cm, COMPATIBLE CON GUIA 0.014", CON PRESIÓN DE RUPTURA MAYOR O IGUAL A 14 ATM, CON DOS MARCAS RADIOPACAS</v>
          </cell>
          <cell r="G4207" t="str">
            <v>C/U</v>
          </cell>
        </row>
        <row r="4208">
          <cell r="E4208">
            <v>7100077</v>
          </cell>
          <cell r="F4208" t="str">
            <v>CATETER CON BALON DE DILATACION SEMICOMPLACIENTE, DE INTERCAMBIO RAPIDO, 4.0 mm X 20 mm, LONGITUD DE CATETER 120 - 140 cm, COMPATIBLE CON GUIA 0.014", CON PRESIÓN DE RUPTURA MAYOR O IGUAL A 14 ATM, CON DOS MARCAS RADIOPACAS</v>
          </cell>
          <cell r="G4208" t="str">
            <v>C/U</v>
          </cell>
        </row>
        <row r="4209">
          <cell r="E4209">
            <v>7100079</v>
          </cell>
          <cell r="F4209" t="str">
            <v>CATETER DIAGNOSTICO AMPLATZ, DERECHO, CURVA 1.0, DIAMETRO 6 FRENCH, LONGITUD DE 100 - 110 cm, COMPATIBLE CON GUIA 0.038", QUE SOPORTE PRESION MAYOR O IGUAL A 1110 PSI, CON RADIOPACIDAD</v>
          </cell>
          <cell r="G4209" t="str">
            <v>C/U</v>
          </cell>
        </row>
        <row r="4210">
          <cell r="E4210">
            <v>7100080</v>
          </cell>
          <cell r="F4210" t="str">
            <v>CATETER DIAGNOSTICO AMPLATZ, DERECHO, CURVA 2.0, DIAMETRO 6 FRENCH, LONGITUD DE 100 - 110 cm, COMPATIBLE CON GUIA 0.038", QUE SOPORTE PRESION MAYOR O IGUAL A 1110 PSI, CON RADIOPACIDAD</v>
          </cell>
          <cell r="G4210" t="str">
            <v>C/U</v>
          </cell>
        </row>
        <row r="4211">
          <cell r="E4211">
            <v>7100081</v>
          </cell>
          <cell r="F4211" t="str">
            <v>CATETER DIAGNOSTICO AMPLATZ, DERECHO, CURVA 3.0, DIAMETRO 6 FRENCH, LONGITUD DE 100 - 110 cm, COMPATIBLE CON GUIA 0.038", QUE SOPORTE PRESION MAYOR O IGUAL A 1110 PSI, CON RADIOPACIDAD</v>
          </cell>
          <cell r="G4211" t="str">
            <v>C/U</v>
          </cell>
        </row>
        <row r="4212">
          <cell r="E4212">
            <v>7100082</v>
          </cell>
          <cell r="F4212" t="str">
            <v>CATETER DIAGNOSTICO AMPLATZ, IZQUIERDO, CURVA 1.0, DIAMETRO 6 FRENCH, LONGITUD DE 100 - 110 cm, COMPATIBLE CON GUIA 0.038", QUE SOPORTE PRESION MAYOR O IGUAL A 1110 PSI, CON RADIOPACIDAD</v>
          </cell>
          <cell r="G4212" t="str">
            <v>C/U</v>
          </cell>
        </row>
        <row r="4213">
          <cell r="E4213">
            <v>7100083</v>
          </cell>
          <cell r="F4213" t="str">
            <v>CATETER DIAGNOSTICO AMPLATZ, IZQUIERDO, CURVA 2.0, DIAMETRO 6 FRENCH, LONGITUD DE 100 - 110 cm, COMPATIBLE CON GUIA 0.038", QUE SOPORTE PRESION MAYOR O IGUAL A 1110 PSI, CON RADIOPACIDAD</v>
          </cell>
          <cell r="G4213" t="str">
            <v>C/U</v>
          </cell>
        </row>
        <row r="4214">
          <cell r="E4214">
            <v>7100084</v>
          </cell>
          <cell r="F4214" t="str">
            <v>CATETER DIAGNOSTICO AMPLATZ, IZQUIERDO, CURVA 3.0, DIAMETRO 6 FRENCH, LONGITUD DE 100 - 110 cm, COMPATIBLE CON GUIA 0.038", QUE SOPORTE PRESION MAYOR O IGUAL A 1110 PSI, CON RADIOPACIDAD</v>
          </cell>
          <cell r="G4214" t="str">
            <v>C/U</v>
          </cell>
        </row>
        <row r="4215">
          <cell r="E4215">
            <v>7100085</v>
          </cell>
          <cell r="F4215" t="str">
            <v>CATETER DIAGNOSTICO JUDKINS, DERECHO, CURVA 3.5, DIAMETRO 6 FRENCH, LONGITUD DE 100 - 110 cm, COMPATIBLE CON GUIA 0.038", QUE SOPORTE PRESION MAYOR O IGUAL A 1110 PSI, CON RADIOPACIDAD</v>
          </cell>
          <cell r="G4215" t="str">
            <v>C/U</v>
          </cell>
        </row>
        <row r="4216">
          <cell r="E4216">
            <v>7100086</v>
          </cell>
          <cell r="F4216" t="str">
            <v>CATETER DIAGNOSTICO JUDKINS, DERECHO, CURVA 4.0, DIAMETRO 6 FRENCH, LONGITUD DE 100 - 110 cm, COMPATIBLE CON GUIA 0.038", QUE SOPORTE PRESION MAYOR O IGUAL A 1110 PSI, CON RADIOPACIDAD</v>
          </cell>
          <cell r="G4216" t="str">
            <v>C/U</v>
          </cell>
        </row>
        <row r="4217">
          <cell r="E4217">
            <v>7100087</v>
          </cell>
          <cell r="F4217" t="str">
            <v>CATETER DIAGNOSTICO JUDKINS, DERECHO, CURVA 5.0, DIAMETRO 6 FRENCH, LONGITUD DE 100 - 110 cm, COMPATIBLE CON GUIA 0.038", QUE SOPORTE PRESION MAYOR O IGUAL A 1110 PSI, CON RADIOPACIDAD</v>
          </cell>
          <cell r="G4217" t="str">
            <v>C/U</v>
          </cell>
        </row>
        <row r="4218">
          <cell r="E4218">
            <v>7100088</v>
          </cell>
          <cell r="F4218" t="str">
            <v>CATETER DIAGNOSTICO JUDKINS, IZQUIERDO, CURVA 3.5, DIAMETRO 6 FRENCH, LONGITUD DE 100 - 110 cm, COMPATIBLE CON GUIA 0.038", QUE SOPORTE PRESION MAYOR O IGUAL A 1110 PSI, CON RADIOPACIDAD</v>
          </cell>
          <cell r="G4218" t="str">
            <v>C/U</v>
          </cell>
        </row>
        <row r="4219">
          <cell r="E4219">
            <v>7100089</v>
          </cell>
          <cell r="F4219" t="str">
            <v>CATETER DIAGNOSTICO JUDKINS, IZQUIERDO, CURVA 4.0, DIAMETRO 6 FRENCH, LONGITUD DE 100 - 110 cm, COMPATIBLE CON GUIA 0.038", QUE SOPORTE PRESION MAYOR O IGUAL A 1110 PSI, CON RADIOPACIDAD</v>
          </cell>
          <cell r="G4219" t="str">
            <v>C/U</v>
          </cell>
        </row>
        <row r="4220">
          <cell r="E4220">
            <v>7100090</v>
          </cell>
          <cell r="F4220" t="str">
            <v>CATETER DIAGNOSTICO JUDKINS, IZQUIERDO, CURVA 4.5, DIAMETRO 6 FRENCH, LONGITUD DE 100 - 110 cm, COMPATIBLE CON GUIA 0.038", QUE SOPORTE PRESION MAYOR O IGUAL A 1110 PSI, CON RADIOPACIDAD</v>
          </cell>
          <cell r="G4220" t="str">
            <v>C/U</v>
          </cell>
        </row>
        <row r="4221">
          <cell r="E4221">
            <v>7100091</v>
          </cell>
          <cell r="F4221" t="str">
            <v>CATETER DIAGNOSTICO JUDKINS, IZQUIERDO, CURVA 5.0, DIAMETRO 6 FRENCH, LONGITUD DE 100 - 110 cm, COMPATIBLE CON GUIA 0.038", QUE SOPORTE PRESION MAYOR O IGUAL A 1110 PSI, CON RADIOPACIDAD</v>
          </cell>
          <cell r="G4221" t="str">
            <v>C/U</v>
          </cell>
        </row>
        <row r="4222">
          <cell r="E4222">
            <v>7100092</v>
          </cell>
          <cell r="F4222" t="str">
            <v>CATETER DIAGNOSTICO JUDKINS, IZQUIERDO, CURVA 6.0, DIAMETRO 6 FRENCH, LONGITUD DE 100 - 110 cm, COMPATIBLE CON GUIA 0.038", QUE SOPORTE PRESION MAYOR O IGUAL A 1110 PSI, CON RADIOPACIDAD</v>
          </cell>
          <cell r="G4222" t="str">
            <v>C/U</v>
          </cell>
        </row>
        <row r="4223">
          <cell r="E4223">
            <v>7100095</v>
          </cell>
          <cell r="F4223" t="str">
            <v>CATETER DE DIAGNOSTICO MAMARIA INTERNA IZQUIERDA, DIAMETRO 6 FRENCH, COMPATIBLE CON GUIA 0.038", QUE SOPORTE PRESION MAYOR O IGUAL A 1100 PSI, CON RADIOPACIDAD.</v>
          </cell>
          <cell r="G4223" t="str">
            <v>C/U</v>
          </cell>
        </row>
        <row r="4224">
          <cell r="E4224">
            <v>7100096</v>
          </cell>
          <cell r="F4224" t="str">
            <v xml:space="preserve">CATETER DE DIAGNOSTICO COBRA, DIAMETRO 6 FRENCH, LONGITUD DE 60 - 70 cm, COMPATIBLE CON GUIA 0.038", QUE SOPORTE PRESION MAYOR O IGUAL A 1100 PSI, CON RADIOPACIDAD. </v>
          </cell>
          <cell r="G4224" t="str">
            <v>C/U</v>
          </cell>
        </row>
        <row r="4225">
          <cell r="E4225">
            <v>7100098</v>
          </cell>
          <cell r="F4225" t="str">
            <v>CATETER DIAGNOSTICO TIPO COURNAND, PUNTA RECTA, COMPATIBLE CON GUIA 0.038", LONGITUD 100 - 110 CM, QUE SOPORTE PRESIÓN MAYOR O IGUAL A 1100 PSI</v>
          </cell>
          <cell r="G4225" t="str">
            <v>C/U</v>
          </cell>
        </row>
        <row r="4226">
          <cell r="E4226">
            <v>7100099</v>
          </cell>
          <cell r="F4226" t="str">
            <v>CATETER DIAGNOSTICO PARA PUENTE VENOSO DERECHO, DIAMETRO 6 FRENCH, COMPATIBLE CON GUIA 0.038", QUE SOPORTE PRESION MAYOR O IGUAL A 1100 PSI, CON RADIOPACIDAD</v>
          </cell>
          <cell r="G4226" t="str">
            <v>C/U</v>
          </cell>
        </row>
        <row r="4227">
          <cell r="E4227">
            <v>7100100</v>
          </cell>
          <cell r="F4227" t="str">
            <v>CATETER DIAGNOSTICO PARA PUENTE VENOSO IZQUIERDO, DIAMETRO 6 FRENCH, COMPATIBLE CON GUIA 0.038", QUE SOPORTE PRESION MAYOR O IGUAL A 1100 PSI, CON RADIOPACIDAD</v>
          </cell>
          <cell r="G4227" t="str">
            <v>C/U</v>
          </cell>
        </row>
        <row r="4228">
          <cell r="E4228">
            <v>7100101</v>
          </cell>
          <cell r="F4228" t="str">
            <v xml:space="preserve">CATETER DE DIAGNOSTICO CURVA TIPO KIMNY DE 6 FRENCH, LONGITUD DE 100 - 110 CM, COMPATIBLE CON GUIA 0.038", QUE SOPORTE PRESION MAYOR O IGUAL A 1100 PSI, CON RADIOPACIDAD </v>
          </cell>
          <cell r="G4228" t="str">
            <v>C/U</v>
          </cell>
        </row>
        <row r="4229">
          <cell r="E4229">
            <v>7100102</v>
          </cell>
          <cell r="F4229" t="str">
            <v xml:space="preserve">CATETER DE DIAGNOSTICO CURVA TIPO RADIAL DE 6 FRENCH, LONGITUD DE 100 - 110 CM, COMPATIBLE CON GUIA 0.038", QUE SOPORTE PRESION MAYOR O IGUAL A 1100 PSI, CON RADIOPACIDAD </v>
          </cell>
          <cell r="G4229" t="str">
            <v>C/U</v>
          </cell>
        </row>
        <row r="4230">
          <cell r="E4230">
            <v>7100103</v>
          </cell>
          <cell r="F4230" t="str">
            <v xml:space="preserve">CATETER DE DIAGNOSTICO TIPO V-TEC, DIAMETRO 6 FRENCH, LONGITUD DE 100 - 110 CM, COMPATIBLE CON GUIA 0.038", QUE SOPORTE PRESION MAYOR O IGUAL A 1100 PSI, CON RADIOPACIDAD </v>
          </cell>
          <cell r="G4230" t="str">
            <v>C/U</v>
          </cell>
        </row>
        <row r="4231">
          <cell r="E4231">
            <v>7100105</v>
          </cell>
          <cell r="F4231" t="str">
            <v>CATETER GUIA PARA ANGIOPLASTIA CORONARIA JUDKINS, DERECHO, CURVA 3.5,  DIAMETRO 6 FRENCH, DE 100 - 110 cm DE LONGITUD, CON DIAMETRO INTERNO IGUAL O MAYOR DE 0.070", CON PUNTA BLANDA ATRAUMATICA, RADIOPAC0</v>
          </cell>
          <cell r="G4231" t="str">
            <v>C/U</v>
          </cell>
        </row>
        <row r="4232">
          <cell r="E4232">
            <v>7100106</v>
          </cell>
          <cell r="F4232" t="str">
            <v>CATETER GUIA PARA ANGIOPLASTIA CORONARIA JUDKINS, DERECHO, CURVA 4.0,  DIAMETRO 6 FRENCH, DE 100 - 110 cm DE LONGITUD, CON DIAMETRO INTERNO IGUAL O MAYOR DE 0.070", CON PUNTA BLANDA ATRAUMATICA, RADIOPAC0</v>
          </cell>
          <cell r="G4232" t="str">
            <v>C/U</v>
          </cell>
        </row>
        <row r="4233">
          <cell r="E4233">
            <v>7100107</v>
          </cell>
          <cell r="F4233" t="str">
            <v>CATETER GUIA PARA ANGIOPLASTIA CORONARIA JUDKINS, DERECHO, CURVA 5.0,  DIAMETRO 6 FRENCH, DE 100 - 110 cm DE LONGITUD, CON DIAMETRO INTERNO IGUAL O MAYOR DE 0.070", CON PUNTA BLANDA ATRAUMATICA, RADIOPAC0</v>
          </cell>
          <cell r="G4233" t="str">
            <v>C/U</v>
          </cell>
        </row>
        <row r="4234">
          <cell r="E4234">
            <v>7100108</v>
          </cell>
          <cell r="F4234" t="str">
            <v>CATETER GUIA PARA ANGIOPLASTIA CORONARIA JUDKINS, IZQUIERDO, CURVA 3.5,  DIAMETRO 6 FRENCH, DE 100 - 110 cm DE LONGITUD, CON DIAMETRO INTERNO IGUAL O MAYOR DE 0.070", CON PUNTA BLANDA ATRAUMATICA, RADIOPAC0</v>
          </cell>
          <cell r="G4234" t="str">
            <v>C/U</v>
          </cell>
        </row>
        <row r="4235">
          <cell r="E4235">
            <v>7100109</v>
          </cell>
          <cell r="F4235" t="str">
            <v>CATETER GUIA PARA ANGIOPLASTIA CORONARIA JUDKINS, IZQUIERDO, CURVA 4.0,  DIAMETRO 6 FRENCH, DE 100 - 110 cm DE LONGITUD, CON DIAMETRO INTERNO IGUAL O MAYOR DE 0.070", CON PUNTA BLANDA ATRAUMATICA, RADIOPAC0</v>
          </cell>
          <cell r="G4235" t="str">
            <v>C/U</v>
          </cell>
        </row>
        <row r="4236">
          <cell r="E4236">
            <v>7100110</v>
          </cell>
          <cell r="F4236" t="str">
            <v>CATETER GUIA PARA ANGIOPLASTIA CORONARIA JUDKINS, IZQUIERDO, CURVA 4.5,  DIAMETRO 6 FRENCH, DE 100 - 110 cm DE LONGITUD, CON DIAMETRO INTERNO IGUAL O MAYOR DE 0.070", CON PUNTA BLANDA ATRAUMATICA, RADIOPAC0</v>
          </cell>
          <cell r="G4236" t="str">
            <v>C/U</v>
          </cell>
        </row>
        <row r="4237">
          <cell r="E4237">
            <v>7100111</v>
          </cell>
          <cell r="F4237" t="str">
            <v>CATETER GUIA PARA ANGIOPLASTIA CORONARIA JUDKINS, IZQUIERDO, CURVA 5.0,  DIAMETRO 6 FRENCH, DE 100 - 110 cm DE LONGITUD, CON DIAMETRO INTERNO IGUAL O MAYOR DE 0.070", CON PUNTA BLANDA ATRAUMATICA, RADIOPAC0</v>
          </cell>
          <cell r="G4237" t="str">
            <v>C/U</v>
          </cell>
        </row>
        <row r="4238">
          <cell r="E4238">
            <v>7100112</v>
          </cell>
          <cell r="F4238" t="str">
            <v>CATETER GUIA PARA ANGIOPLASTIA CORONARIA JUDKINS, DERECHO, CURVA 3.5,  DIAMETRO 7 FRENCH, DE 100 - 110 cm DE LONGITUD, CON DIAMETRO INTERNO IGUAL O MAYOR DE 0.070", CON PUNTA BLANDA ATRAUMATICA, RADIOPAC0</v>
          </cell>
          <cell r="G4238" t="str">
            <v>C/U</v>
          </cell>
        </row>
        <row r="4239">
          <cell r="E4239">
            <v>7100113</v>
          </cell>
          <cell r="F4239" t="str">
            <v>CATETER GUIA PARA ANGIOPLASTIA CORONARIA JUDKINS, DERECHO, CURVA 4.0,  DIAMETRO 7 FRENCH, DE 100 - 110 cm DE LONGITUD, CON DIAMETRO INTERNO IGUAL O MAYOR DE 0.070", CON PUNTA BLANDA ATRAUMATICA, RADIOPAC0</v>
          </cell>
          <cell r="G4239" t="str">
            <v>C/U</v>
          </cell>
        </row>
        <row r="4240">
          <cell r="E4240">
            <v>7100114</v>
          </cell>
          <cell r="F4240" t="str">
            <v>CATETER GUIA PARA ANGIOPLASTIA CORONARIA JUDKINS, DERECHO, CURVA 5.0,  DIAMETRO 7 FRENCH, DE 100 - 110 cm DE LONGITUD, CON DIAMETRO INTERNO IGUAL O MAYOR DE 0.070", CON PUNTA BLANDA ATRAUMATICA, RADIOPAC0</v>
          </cell>
          <cell r="G4240" t="str">
            <v>C/U</v>
          </cell>
        </row>
        <row r="4241">
          <cell r="E4241">
            <v>7100115</v>
          </cell>
          <cell r="F4241" t="str">
            <v>CATETER GUIA PARA ANGIOPLASTIA CORONARIA JUDKINS, IZQUIERDO, CURVA 3.5,  DIAMETRO 7 FRENCH, DE 100 - 110 cm DE LONGITUD, CON DIAMETRO INTERNO IGUAL O MAYOR DE 0.070", CON PUNTA BLANDA ATRAUMATICA, RADIOPAC0</v>
          </cell>
          <cell r="G4241" t="str">
            <v>C/U</v>
          </cell>
        </row>
        <row r="4242">
          <cell r="E4242">
            <v>7100116</v>
          </cell>
          <cell r="F4242" t="str">
            <v>CATETER GUIA PARA ANGIOPLASTIA CORONARIA JUDKINS, IZQUIERDO, CURVA 4.0,  DIAMETRO 7 FRENCH, DE 100 - 110 cm DE LONGITUD, CON DIAMETRO INTERNO IGUAL O MAYOR DE 0.070", CON PUNTA BLANDA ATRAUMATICA, RADIOPAC0</v>
          </cell>
          <cell r="G4242" t="str">
            <v>C/U</v>
          </cell>
        </row>
        <row r="4243">
          <cell r="E4243">
            <v>7100117</v>
          </cell>
          <cell r="F4243" t="str">
            <v>CATETER GUIA PARA ANGIOPLASTIA CORONARIA JUDKINS, IZQUIERDO, CURVA 4.5,  DIAMETRO 7 FRENCH, DE 100 - 110 cm DE LONGITUD, CON DIAMETRO INTERNO IGUAL O MAYOR DE 0.070", CON PUNTA BLANDA ATRAUMATICA, RADIOPAC0</v>
          </cell>
          <cell r="G4243" t="str">
            <v>C/U</v>
          </cell>
        </row>
        <row r="4244">
          <cell r="E4244">
            <v>7100118</v>
          </cell>
          <cell r="F4244" t="str">
            <v>CATETER GUIA PARA ANGIOPLASTIA CORONARIA JUDKINS, IZQUIERDO, CURVA 5.0,  DIAMETRO 7 FRENCH, DE 100 - 110 cm DE LONGITUD, CON DIAMETRO INTERNO IGUAL O MAYOR DE 0.070", CON PUNTA BLANDA ATRAUMATICA, RADIOPAC0</v>
          </cell>
          <cell r="G4244" t="str">
            <v>C/U</v>
          </cell>
        </row>
        <row r="4245">
          <cell r="E4245">
            <v>7100119</v>
          </cell>
          <cell r="F4245" t="str">
            <v>CATETER GUIA PARA ANGIOPLASTIA CORONARIA AMPLATZ, DERECHO, CURVA 1.0,  DIAMETRO 6 FRENCH, DE 100 - 110 cm DE LONGITUD, CON DIAMETRO INTERNO IGUAL O MAYOR DE 0.070", CON PUNTA BLANDA ATRAUMATICA, RADIOPAC0</v>
          </cell>
          <cell r="G4245" t="str">
            <v>C/U</v>
          </cell>
        </row>
        <row r="4246">
          <cell r="E4246">
            <v>7100120</v>
          </cell>
          <cell r="F4246" t="str">
            <v>CATETER GUIA PARA ANGIOPLASTIA CORONARIA AMPLATZ, DERECHO, CURVA 2.0,  DIAMETRO 6 FRENCH, DE 100 - 110 cm DE LONGITUD, CON DIAMETRO INTERNO IGUAL O MAYOR DE 0.070", CON PUNTA BLANDA ATRAUMATICA, RADIOPAC0</v>
          </cell>
          <cell r="G4246" t="str">
            <v>C/U</v>
          </cell>
        </row>
        <row r="4247">
          <cell r="E4247">
            <v>7100121</v>
          </cell>
          <cell r="F4247" t="str">
            <v>CATETER GUIA PARA ANGIOPLASTIA CORONARIA AMPLATZ, IZQUIERDO, CURVA 1.0,  DIAMETRO 6 FRENCH, DE 100 - 110 cm DE LONGITUD, CON DIAMETRO INTERNO IGUAL O MAYOR DE 0.070", CON PUNTA BLANDA ATRAUMATICA, RADIOPAC0</v>
          </cell>
          <cell r="G4247" t="str">
            <v>C/U</v>
          </cell>
        </row>
        <row r="4248">
          <cell r="E4248">
            <v>7100122</v>
          </cell>
          <cell r="F4248" t="str">
            <v>CATETER GUIA PARA ANGIOPLASTIA CORONARIA AMPLATZ, IZQUIERDO, CURVA 2.0,  DIAMETRO 6 FRENCH, DE 100 - 110 cm DE LONGITUD, CON DIAMETRO INTERNO IGUAL O MAYOR DE 0.070", CON PUNTA BLANDA ATRAUMATICA, RADIOPAC0</v>
          </cell>
          <cell r="G4248" t="str">
            <v>C/U</v>
          </cell>
        </row>
        <row r="4249">
          <cell r="E4249">
            <v>7100123</v>
          </cell>
          <cell r="F4249" t="str">
            <v>CATETER GUIA PARA ANGIOPLASTIA CORONARIA AMPLATZ, IZQUIERDO, CURVA 3.0,  DIAMETRO 6 FRENCH, DE 100 - 110 cm DE LONGITUD, CON DIAMETRO INTERNO IGUAL O MAYOR DE 0.070", CON PUNTA BLANDA ATRAUMATICA, RADIOPAC0</v>
          </cell>
          <cell r="G4249" t="str">
            <v>C/U</v>
          </cell>
        </row>
        <row r="4250">
          <cell r="E4250">
            <v>7100124</v>
          </cell>
          <cell r="F4250" t="str">
            <v>CATETER GUIA PARA ANGIOPLASTIA CORONARIA AMPLATZ, DERECHO, CURVA 1.0,  DIAMETRO 7 FRENCH, DE 100 - 110 cm DE LONGITUD, CON DIAMETRO INTERNO IGUAL O MAYOR DE 0.070", CON PUNTA BLANDA ATRAUMATICA, RADIOPAC0</v>
          </cell>
          <cell r="G4250" t="str">
            <v>C/U</v>
          </cell>
        </row>
        <row r="4251">
          <cell r="E4251">
            <v>7100125</v>
          </cell>
          <cell r="F4251" t="str">
            <v>CATETER GUIA PARA ANGIOPLASTIA CORONARIA AMPLATZ, DERECHO, CURVA 2.0,  DIAMETRO 7 FRENCH, DE 100 - 110 cm DE LONGITUD, CON DIAMETRO INTERNO IGUAL O MAYOR DE 0.070", CON PUNTA BLANDA ATRAUMATICA, RADIOPAC0</v>
          </cell>
          <cell r="G4251" t="str">
            <v>C/U</v>
          </cell>
        </row>
        <row r="4252">
          <cell r="E4252">
            <v>7100126</v>
          </cell>
          <cell r="F4252" t="str">
            <v>CATETER GUIA PARA ANGIOPLASTIA CORONARIA AMPLATZ, IZQUIERDO, CURVA 1.0,  DIAMETRO 7 FRENCH, DE 100 - 110 cm DE LONGITUD, CON DIAMETRO INTERNO IGUAL O MAYOR DE 0.070", CON PUNTA BLANDA ATRAUMATICA, RADIOPAC0</v>
          </cell>
          <cell r="G4252" t="str">
            <v>C/U</v>
          </cell>
        </row>
        <row r="4253">
          <cell r="E4253">
            <v>7100127</v>
          </cell>
          <cell r="F4253" t="str">
            <v>CATETER GUIA PARA ANGIOPLASTIA CORONARIA AMPLATZ, IZQUIERDO, CURVA 2.0,  DIAMETRO 7 FRENCH, DE 100 - 110 cm DE LONGITUD, CON DIAMETRO INTERNO IGUAL O MAYOR DE 0.070", CON PUNTA BLANDA ATRAUMATICA, RADIOPAC0</v>
          </cell>
          <cell r="G4253" t="str">
            <v>C/U</v>
          </cell>
        </row>
        <row r="4254">
          <cell r="E4254">
            <v>7100128</v>
          </cell>
          <cell r="F4254" t="str">
            <v>CATETER GUIA PARA ANGIOPLASTIA CORONARIA AMPLATZ, IZQUIERDO, CURVA 3.0,  DIAMETRO 7 FRENCH, DE 100 - 110 cm DE LONGITUD, CON DIAMETRO INTERNO IGUAL O MAYOR DE 0.070", CON PUNTA BLANDA ATRAUMATICA, RADIOPAC0</v>
          </cell>
          <cell r="G4254" t="str">
            <v>C/U</v>
          </cell>
        </row>
        <row r="4255">
          <cell r="E4255">
            <v>7100129</v>
          </cell>
          <cell r="F4255" t="str">
            <v>CATETER GUIA PARA ANGIOPLASTIA CORONARIA MULTIPROPOSITO, CURVA 1.0,  DIAMETRO 6 FRENCH, DE 100 - 110 cm DE LONGITUD, CON DIAMETRO INTERNO IGUAL O MAYOR DE 0.070',' CON PUNTA BLANDA ATRAUMATICA, RADIOPAC0</v>
          </cell>
          <cell r="G4255" t="str">
            <v>C/U</v>
          </cell>
        </row>
        <row r="4256">
          <cell r="E4256">
            <v>7100130</v>
          </cell>
          <cell r="F4256" t="str">
            <v>CATETER GUIA PARA ANGIOPLASTIA CORONARIA MULTIPROPOSITO, CURVA 2.0,  DIAMETRO 6 FRENCH, DE 100 - 110 cm DE LONGITUD, CON DIAMETRO INTERNO IGUAL O MAYOR DE 0.070',' CON PUNTA BLANDA ATRAUMATICA, RADIOPAC0</v>
          </cell>
          <cell r="G4256" t="str">
            <v>C/U</v>
          </cell>
        </row>
        <row r="4257">
          <cell r="E4257">
            <v>7100131</v>
          </cell>
          <cell r="F4257" t="str">
            <v>CATETER GUIA PARA ANGIOPLASTIA CORONARIA MULTIPROPOSITO, CURVA 3.5,  DIAMETRO 6 FRENCH, DE 100 - 110 cm DE LONGITUD, CON DIAMETRO INTERNO IGUAL O MAYOR DE 0.070',' CON PUNTA BLANDA ATRAUMATICA, RADIOPAC0</v>
          </cell>
          <cell r="G4257" t="str">
            <v>C/U</v>
          </cell>
        </row>
        <row r="4258">
          <cell r="E4258">
            <v>7100132</v>
          </cell>
          <cell r="F4258" t="str">
            <v>CATETER GUIA PARA ANGIOPLASTIA CORONARIA MULTIPROPOSITO, CURVA 1.0,  DIAMETRO 7 FRENCH, DE 100 - 110 cm DE LONGITUD, CON DIAMETRO INTERNO IGUAL O MAYOR DE 0.070',' CON PUNTA BLANDA ATRAUMATICA, RADIOPAC0</v>
          </cell>
          <cell r="G4258" t="str">
            <v>C/U</v>
          </cell>
        </row>
        <row r="4259">
          <cell r="E4259">
            <v>7100133</v>
          </cell>
          <cell r="F4259" t="str">
            <v>CATETER GUIA PARA ANGIOPLASTIA CORONARIA MULTIPROPOSITO, CURVA 2.0,  DIAMETRO 7 FRENCH, DE 100 - 110 cm DE LONGITUD, CON DIAMETRO INTERNO IGUAL O MAYOR DE 0.070',' CON PUNTA BLANDA ATRAUMATICA, RADIOPAC0</v>
          </cell>
          <cell r="G4259" t="str">
            <v>C/U</v>
          </cell>
        </row>
        <row r="4260">
          <cell r="E4260">
            <v>7100134</v>
          </cell>
          <cell r="F4260" t="str">
            <v>CATETER GUIA PARA ANGIOPLASTIA CORONARIA MULTIPROPOSITO, CURVA 3.5,  DIAMETRO 7 FRENCH, DE 100 - 110 cm DE LONGITUD, CON DIAMETRO INTERNO IGUAL O MAYOR DE 0.070',' CON PUNTA BLANDA ATRAUMATICA, RADIOPAC0</v>
          </cell>
          <cell r="G4260" t="str">
            <v>C/U</v>
          </cell>
        </row>
        <row r="4261">
          <cell r="E4261">
            <v>7100135</v>
          </cell>
          <cell r="F4261" t="str">
            <v>CATETER GUIA TIPO VODA PARA ANGIOPLASTIA CORONARIA, CURVA 3.0,  DIAMETRO 6 FRENCH, LONGITUD DE 100 - 110 cm, DIAMETRO INTERNO MAYOR 0.070'', PUNTA BLANDA ATRAUMATICA</v>
          </cell>
          <cell r="G4261" t="str">
            <v>C/U</v>
          </cell>
        </row>
        <row r="4262">
          <cell r="E4262">
            <v>7100136</v>
          </cell>
          <cell r="F4262" t="str">
            <v>CATETER GUIA TIPO VODA PARA ANGIOPLASTIA CORONARIA, CURVA 3.5,  DIAMETRO 6 FRENCH, LONGITUD DE 100 - 110 cm, DIAMETRO INTERNO MAYOR 0.070'', PUNTA BLANDA ATRAUMATICA</v>
          </cell>
          <cell r="G4262" t="str">
            <v>C/U</v>
          </cell>
        </row>
        <row r="4263">
          <cell r="E4263">
            <v>7100137</v>
          </cell>
          <cell r="F4263" t="str">
            <v>CATETER GUIA TIPO VODA PARA ANGIOPLASTIA CORONARIA, CURVA 4.0,  DIAMETRO 6 FRENCH, LONGITUD DE 100 - 110 cm, DIAMETRO INTERNO MAYOR 0.070'', PUNTA BLANDA ATRAUMATICA</v>
          </cell>
          <cell r="G4263" t="str">
            <v>C/U</v>
          </cell>
        </row>
        <row r="4264">
          <cell r="E4264">
            <v>7100138</v>
          </cell>
          <cell r="F4264" t="str">
            <v>CATETER GUIA TIPO VODA PARA ANGIOPLASTIA CORONARIA, CURVA 3.0,  DIAMETRO 7 FRENCH, LONGITUD DE 100 - 110 cm, DIAMETRO INTERNO MAYOR 0.070'', PUNTA BLANDA ATRAUMATICA</v>
          </cell>
          <cell r="G4264" t="str">
            <v>C/U</v>
          </cell>
        </row>
        <row r="4265">
          <cell r="E4265">
            <v>7100139</v>
          </cell>
          <cell r="F4265" t="str">
            <v>CATETER GUIA TIPO VODA PARA ANGIOPLASTIA CORONARIA, CURVA 3.5,  DIAMETRO 7 FRENCH, LONGITUD DE 100 - 110 cm, DIAMETRO INTERNO MAYOR 0.070'', PUNTA BLANDA ATRAUMATICA</v>
          </cell>
          <cell r="G4265" t="str">
            <v>C/U</v>
          </cell>
        </row>
        <row r="4266">
          <cell r="E4266">
            <v>7100140</v>
          </cell>
          <cell r="F4266" t="str">
            <v>CATETER GUIA TIPO VODA PARA ANGIOPLASTIA CORONARIA, CURVA 4.0,  DIAMETRO 7 FRENCH, LONGITUD DE 100 - 110 cm, DIAMETRO INTERNO MAYOR 0.070'', PUNTA BLANDA ATRAUMATICA</v>
          </cell>
          <cell r="G4266" t="str">
            <v>C/U</v>
          </cell>
        </row>
        <row r="4267">
          <cell r="E4267">
            <v>7100141</v>
          </cell>
          <cell r="F4267" t="str">
            <v>CATETER GUIA PARA MAMARIA INTERNA, DIAMETRO 6 FRENCH, LONGITUD DE 100 - 110 cm, DIAMETRO INTERNO MAYOR 0.070'', PUNTA BLANDA ATRAUMATICA</v>
          </cell>
          <cell r="G4267" t="str">
            <v>C/U</v>
          </cell>
        </row>
        <row r="4268">
          <cell r="E4268">
            <v>7100142</v>
          </cell>
          <cell r="F4268" t="str">
            <v>CATETER GUIA PARA MAMARIA INTERNA, DIAMETRO 7 FRENCH, LONGITUD DE 100 - 110 cm, DIAMETRO INTERNO MAYOR 0.070'', PUNTA BLANDA ATRAUMATICA</v>
          </cell>
          <cell r="G4268" t="str">
            <v>C/U</v>
          </cell>
        </row>
        <row r="4269">
          <cell r="E4269">
            <v>7100143</v>
          </cell>
          <cell r="F4269" t="str">
            <v>CATETER GUIA PARA PUENTE VENOSO DERECHO, DIAMETRO 6 FRENCH, LONGITUD DE 100 - 110 cm, DIAMETRO INTERNO MAYOR 0.070'', PUNTA BLANDA ATRAUMATICA</v>
          </cell>
          <cell r="G4269" t="str">
            <v>C/U</v>
          </cell>
        </row>
        <row r="4270">
          <cell r="E4270">
            <v>7100144</v>
          </cell>
          <cell r="F4270" t="str">
            <v>CATETER GUIA PARA PUENTE VENOSO IZQUIERDO, DIAMETRO 6 FRENCH, LONGITUD DE 100 - 110 cm, DIAMETRO INTERNO MAYOR 0.070'', PUNTA BLANDA ATRAUMATICA</v>
          </cell>
          <cell r="G4270" t="str">
            <v>C/U</v>
          </cell>
        </row>
        <row r="4271">
          <cell r="E4271">
            <v>7100145</v>
          </cell>
          <cell r="F4271" t="str">
            <v>CATETER GUIA PARA PUENTE VENOSO DERECHO, DIAMETRO 7 FRENCH, LONGITUD DE 100 - 110 cm, DIAMETRO INTERNO MAYOR 0.070'', PUNTA BLANDA ATRAUMATICA</v>
          </cell>
          <cell r="G4271" t="str">
            <v>C/U</v>
          </cell>
        </row>
        <row r="4272">
          <cell r="E4272">
            <v>7100146</v>
          </cell>
          <cell r="F4272" t="str">
            <v>CATETER GUIA PARA PUENTE VENOSO IZQUIERDO, DIAMETRO 7 FRENCH, LONGITUD DE 100 - 110 cm, DIAMETRO INTERNO MAYOR 0.070'', PUNTA BLANDA ATRAUMATICA</v>
          </cell>
          <cell r="G4272" t="str">
            <v>C/U</v>
          </cell>
        </row>
        <row r="4273">
          <cell r="E4273">
            <v>7100190</v>
          </cell>
          <cell r="F4273" t="str">
            <v>CATETER CON BALON DE DILATACION SEMICOMPLACIENTE, DE INTERCAMBIO RAPIDO, 2.5 mm X 30 mm, LONGITUD DE CATETER 120 - 140 cm, COMPATIBLE CON GUIA 0.014", CON PRESIÓN DE RUPTURA MAYOR O IGUAL A 14 ATM, CON DOS MARCAS RADIOPACAS</v>
          </cell>
          <cell r="G4273" t="str">
            <v>UN</v>
          </cell>
        </row>
        <row r="4274">
          <cell r="E4274">
            <v>7100191</v>
          </cell>
          <cell r="F4274" t="str">
            <v>CATETER CON BALON DE DILATACION SEMICOMPLACIENTE, DE INTERCAMBIO RAPIDO, 3.0 mm X 30 mm, LONGITUD DE CATETER 120 - 140 cm, COMPATIBLE CON GUIA 0.014", CON PRESIÓN DE RUPTURA MAYOR O IGUAL A 14 ATM, CON DOS MARCAS RADIOPACAS</v>
          </cell>
          <cell r="G4274" t="str">
            <v>UN</v>
          </cell>
        </row>
        <row r="4275">
          <cell r="E4275">
            <v>7100192</v>
          </cell>
          <cell r="F4275" t="str">
            <v>CATETER CON BALON DE DILATACION SEMICOMPLACIENTE, DE INTERCAMBIO RAPIDO, 4.0 mm X 30 mm, LONGITUD DE CATETER 120 - 140 cm, COMPATIBLE CON GUIA 0.014", CON PRESIÓN DE RUPTURA MAYOR O IGUAL A 14 ATM, CON DOS MARCAS RADIOPACAS</v>
          </cell>
          <cell r="G4275" t="str">
            <v>UN</v>
          </cell>
        </row>
        <row r="4276">
          <cell r="E4276">
            <v>7100193</v>
          </cell>
          <cell r="F4276" t="str">
            <v>CATETER DE DIAGNOSTICO COBRA, CURVA 1, DIAMETRO6FRENCH, LONGITUD DE60- 70 cm, COMPATIBLE CON GUIA 0.038", QUE SOPORTE PRESION MAYOR O IGUAL A 1100 PSI, CON RADIOPACIDAD.</v>
          </cell>
          <cell r="G4276" t="str">
            <v>UN</v>
          </cell>
        </row>
        <row r="4277">
          <cell r="E4277">
            <v>7100194</v>
          </cell>
          <cell r="F4277" t="str">
            <v>CATETER DIAGNOSTICO CURVA COLA DE COCHINO, DIAMETRO 6 FRENCH, LONGITUD DE 100 - 110 cm, COMPATIBLE CON GUIA 0.038", QUE SOPORTE PRESION MAYOR O IGUAL A 1100 PSI CON RADIOPACIDAD</v>
          </cell>
          <cell r="G4277" t="str">
            <v>UN</v>
          </cell>
        </row>
        <row r="4278">
          <cell r="E4278">
            <v>7100195</v>
          </cell>
          <cell r="F4278" t="str">
            <v>CATETER DIAGNOSTICO DE PLATINO CUBIERTO DE IRIDIO, DE6FRENCH DEDIAMETRO, ENTRE 105 - 120 CMS DE LONGITUD, DUODECAPOLAR, CON ESPACIOENTRE POLO Y POLO DE 2-8-2 MM, DEFECTABLE, CURVA PRIMARIA TIPOTRICUSPIDE, CON/SIN COLA DE 20 MM, CON SUS CONECTORES   TIPO R</v>
          </cell>
          <cell r="G4278" t="str">
            <v>UN</v>
          </cell>
        </row>
        <row r="4279">
          <cell r="E4279">
            <v>7100196</v>
          </cell>
          <cell r="F4279" t="str">
            <v>CATETER DIAGNOSTICO DE PLATINO CUBIERTO DE IRIDIO, DE6FRENCH DEDIAMETRO, ENTRE 105 - 120 CMS DE LONGITUD, TETRAPOLAR, CON ESPACIO ENTREPOLOY POLO DE 5 MM, PREFORMADO, PUNTA ATRAUMATICA, CON CURVA PRIMARIATIPOCOURNARD, CON ESTABILIDAD PROLONGADA A TEMPERAT</v>
          </cell>
          <cell r="G4279" t="str">
            <v>UN</v>
          </cell>
        </row>
        <row r="4280">
          <cell r="E4280">
            <v>7100197</v>
          </cell>
          <cell r="F4280" t="str">
            <v>CATETER DIAGNOSTICO DE PLATINO CUBIERTO DE IRIDIO, DE6FRENCH DEDIAMETRO, ENTRE 105 - 120 CMS DE LONGITUD, TETRAPOLAR, CON ESPACIO ENTREPOLOY POLO DE 5 MM, PREFORMADO, PUNTA ATRAUMATICA, CON CURVA PRIMARIATIPOJOSEPHSON, CON ESTABILIDAD PROLONGADA A TEMPERA</v>
          </cell>
          <cell r="G4280" t="str">
            <v>UN</v>
          </cell>
        </row>
        <row r="4281">
          <cell r="E4281">
            <v>7100198</v>
          </cell>
          <cell r="F4281" t="str">
            <v>CATETER DIAGNOSTICO DE PLATINO CUBIERTO DE IRIDIO, DE7FRENCH DEDIAMETRO, ENTRE 105- 120 CMS DE LONGITUD, DECAPOLAR, CON ESPACIO ENTREPOLOY POLO DE 4-6 MM, DEFECTABLE, PREFORMADO, CON CURVA PRIMARIA TIPOLASSO, RADIO/DIAMETRO DE 12-15 MM, CON SU CONECTOR TI</v>
          </cell>
          <cell r="G4281" t="str">
            <v>UN</v>
          </cell>
        </row>
        <row r="4282">
          <cell r="E4282">
            <v>7100199</v>
          </cell>
          <cell r="F4282" t="str">
            <v>CATETER DIAGNOSTICO DE PLATINO, DE6FRENCH DE DIAMETRO, ENTRE 105 - 120CMS DE LONGITUD, DECAPOLAR, CON ESPACIO ENTRE POLO Y POLO DE 2-5 MM,DEFECTABLE, CON CURVA PRIMARIA DE 270º, CON SU CONECTOR TIPO REDEL</v>
          </cell>
          <cell r="G4282" t="str">
            <v>UN</v>
          </cell>
        </row>
        <row r="4283">
          <cell r="E4283">
            <v>7100200</v>
          </cell>
          <cell r="F4283" t="str">
            <v>CATETER DIAGNOSTICO DE PLATINO, DE7FRENCH DE DIAMETRO, ENTRE 105 - 120CMS DE LONGITUD, DUODECAPOLAR, CON ESPACIO ENTRE POLO Y POLO DE 2 MM,DEFECTABLE, CON CURVA PRIMARIA TIPO BIDERECCIONAL Y SEGURO/LLAVE,RADIO/DIAMETRO MEDIANO, CON SU CONECTOR QUICK TO PI</v>
          </cell>
          <cell r="G4283" t="str">
            <v>UN</v>
          </cell>
        </row>
        <row r="4284">
          <cell r="E4284">
            <v>7100201</v>
          </cell>
          <cell r="F4284" t="str">
            <v>CATETER DIAGNOSTICO DE PLATINO, DE7FRENCH DE DIAMETRO, ENTRE 105 - 120CMS DE LONGITUD, DUODECAPOLAR, CON ESPACIO ENTRE POLO Y POLO DE 2 MM,DEFECTABLE, CON CURVA PRIMARIA TIPO BIDIRECCIONAL, Y  SEGURO/LLAVE DECURVA. RADIO/DIAMETRO 56 MM: GRANDE, CON SU CON</v>
          </cell>
          <cell r="G4284" t="str">
            <v>UN</v>
          </cell>
        </row>
        <row r="4285">
          <cell r="E4285">
            <v>7100202</v>
          </cell>
          <cell r="F4285" t="str">
            <v>CATETER DIAGNOSTICO DE PLATINO, DE7FRENCH DE DIAMETRO, ENTRE 105 - 120CMS DE LONGITUD, DUODECAPOLAR, CON ESPACIO ENTRE POLO Y POLO DE 2-13-2MM, DEFECTABLE, PREFORMADO, CON CURVA PRIMARIA TIPO TRICUSPIDE, CONSUSCONECTORES TIPO REDEL</v>
          </cell>
          <cell r="G4285" t="str">
            <v>UN</v>
          </cell>
        </row>
        <row r="4286">
          <cell r="E4286">
            <v>7100203</v>
          </cell>
          <cell r="F4286" t="str">
            <v>CATETER DIAGNOSTICO DE PLATINO, DE7FRENCH DE DIAMETRO, ENTRE 105-120CMS DE LONGITUD, BIPOLAR, CON ESPACIO ENTRE POLO Y POLO DE 2-5 MM,DEFECTABLE, CON CURVA PRIMARIA BIDIRECCIONAL ASIMETRICA, PUNTAATRAUMATICA, CON LUMEN PARA INYECTAR MEDIO DE CONTRASTE Y V</v>
          </cell>
          <cell r="G4286" t="str">
            <v>UN</v>
          </cell>
        </row>
        <row r="4287">
          <cell r="E4287">
            <v>7100204</v>
          </cell>
          <cell r="F4287" t="str">
            <v>CATETER DIAGNOSTICO MULTIPROPOSITO, CURVA 1.0,  DIAMETRO6FRENCH, LONGITUD TOTAL DE 100-110 cm, COMPATIBLE CON GUIA 0.038", QUE SOPORTE PRESION MAYOR O IGUAL A 1100 PSI, CON RADIOPACIDAD.</v>
          </cell>
          <cell r="G4287" t="str">
            <v>UN</v>
          </cell>
        </row>
        <row r="4288">
          <cell r="E4288">
            <v>7100205</v>
          </cell>
          <cell r="F4288" t="str">
            <v>CATETER DIAGNOSTICO MULTIPROPOSITO, CURVA 2.0,  DIAMETRO6FRENCH, LONGITUD TOTAL DE 100-110 cm, COMPATIBLE CON GUIA 0.038", QUE SOPORTE PRESION MAYOR O IGUAL A 1100 PSI, CON RADIOPACIDAD.</v>
          </cell>
          <cell r="G4288" t="str">
            <v>UN</v>
          </cell>
        </row>
        <row r="4289">
          <cell r="E4289">
            <v>7100206</v>
          </cell>
          <cell r="F4289" t="str">
            <v>CATETER TERAPEUTICO DE ORO-PLATINO IRIDIO, DE7FRENCH DE DIAMETRO,ENTRE 105 - 120 CMS DE LONGITUD, TETRAPOLAR, CON SEPARACION ENTRE POLO YPOLO DE 2-5-2 MMS, IRRIGADO, DEFECTABLE, CON RADIO/DIAMETRO 38, ALCANCE60, CON SU CONECTOR TIPO REDEL MAS CABLE ADAPTA</v>
          </cell>
          <cell r="G4289" t="str">
            <v>UN</v>
          </cell>
        </row>
        <row r="4290">
          <cell r="E4290">
            <v>7100207</v>
          </cell>
          <cell r="F4290" t="str">
            <v>CATETER TERAPEUTICO DE ORO-PLATINO IRIDIO, DE7FRENCH DE DIAMETRO,ENTRE 105 - 120 CMS DE LONGITUD, TETRAPOLAR, CON SEPARACION ENTRE POLO YPOLO DE 2-5-2 MMS, IRRIGADO, DEFECTABLE, RADIO/DIAMETRO 26, ALCANCE 45,CON SU CONECTOR MAS CABLE ADAPTADOR PARA GENERA</v>
          </cell>
          <cell r="G4290" t="str">
            <v>UN</v>
          </cell>
        </row>
        <row r="4291">
          <cell r="E4291">
            <v>7100208</v>
          </cell>
          <cell r="F4291" t="str">
            <v>CATETER TERAPEUTICO DE ORO-PLATINO IRIDIO, DE7FRENCH DE DIAMETRO,ENTRE 105 - 120 CMS DE LONGITUD, TETRAPOLAR, CON SEPARACION ENTRE POLO YPOLO DE 2-5-2 MMS, IRRIGADO, DEFECTABLE, RADIO/DIAMETRO 30, ALCANCE 51,CON SU CONECTOR MAS CABLE ADAPTADOR PARA GENERA</v>
          </cell>
          <cell r="G4291" t="str">
            <v>UN</v>
          </cell>
        </row>
        <row r="4292">
          <cell r="E4292">
            <v>7100209</v>
          </cell>
          <cell r="F4292" t="str">
            <v>CATETER TERAPEUTICO DE PLATINO, DE7FRENCH DE DIAMETRO, ENTRE 105 - 120CMS DE LONGITUD, TETRAPOLAR, CON SEPARACION ENTRE POLO Y POLODE 2-5-2MM, DEFECTABLE, CON CURVA PRIMARIA DE 270º , CON PUNTA DE 4 MM, CONMUESCA PARA MAPEO EN ANILLO VALVULAR, CON SU CONE</v>
          </cell>
          <cell r="G4292" t="str">
            <v>UN</v>
          </cell>
        </row>
        <row r="4293">
          <cell r="E4293">
            <v>7100210</v>
          </cell>
          <cell r="F4293" t="str">
            <v>CATETER TERAPEUTICO DE PLATINO, DE7FRENCH DE DIAMETRO, ENTRE 105 - 120CMS DE LONGITUD, TETRAPOLAR, CON SEPARACION ENTRE POLO Y POLODE 2-5-2MM, DEFECTABLE, CON CURVA PRIMARIA TIPO POSTEROSEPTAL Y PARASEPTAL,CONPUNTA DE 4 MM, CON/SIN MUESCA PARA MAPEO EN AN</v>
          </cell>
          <cell r="G4293" t="str">
            <v>UN</v>
          </cell>
        </row>
        <row r="4294">
          <cell r="E4294">
            <v>7100211</v>
          </cell>
          <cell r="F4294" t="str">
            <v>CATETER TERAPEUTICO DE PLATINO, DE7FRENCH DE DIAMETRO, ENTRE 105 - 120CMS DE LONGITUD, TETRAPOLAR, CON SEPARACION ENTRE POLO Y POLODE 2-5-2MMS, DEFECTABLE, CURVA PRIMARIA TIPO MULTICURVA, CURVA SECUNDARIA YROTADOR QUE PERMITE DEFLEXION LATERAL, SEGURO O L</v>
          </cell>
          <cell r="G4294" t="str">
            <v>UN</v>
          </cell>
        </row>
        <row r="4295">
          <cell r="E4295">
            <v>7100212</v>
          </cell>
          <cell r="F4295" t="str">
            <v>CATETER TERAPEUTICO DE PLATINO, DE7FRENCH DE DIAMETRO, ENTRE 105 - 120CMS DE LONGITUD, TETRAPOLAR, CON SEPARACION ENTRE POLO Y POLODE 2-5-2MMS, IRRIGADO, CON PUNTA DE 3.5 MMS,  ALCANCE/RADIO 10.2 CM DEFECTABLE,CON SU CONECTOR  TIPO REDEL MAS CABLE ADAPTAD</v>
          </cell>
          <cell r="G4295" t="str">
            <v>UN</v>
          </cell>
        </row>
        <row r="4296">
          <cell r="E4296">
            <v>7100213</v>
          </cell>
          <cell r="F4296" t="str">
            <v xml:space="preserve">CATETER TERAPEUTICO DE PLATINO, DE7FRENCH DE DIAMETRO, ENTRE 105 - 120CMS DE LONGITUD, TETRAPOLAR, CON SEPARACION ENTRE POLO Y POLODE 2-5-2MMS, IRRIGADO, CON PUNTA DE 3.5 MMS, ALCANCE/RADIO 7.6CM  DEFECTABLE,CON SU CONECTOR TIPO REDEL MÁS CABLE ADAPTADOR </v>
          </cell>
          <cell r="G4296" t="str">
            <v>UN</v>
          </cell>
        </row>
        <row r="4297">
          <cell r="E4297">
            <v>7100214</v>
          </cell>
          <cell r="F4297" t="str">
            <v xml:space="preserve">CATETER TERAPEUTICO DE PLATINO, DE7FRENCH DE DIAMETRO, ENTRE 105-120CMS DE LONGITUD, TETRAPOLAR, CON SEPARACION ENTRE POLO Y POLO DE 2-5-2MMS, IRRIGADO, CON PUNTA DE 3.5 MM, ALCANCE/RADIO 6.4 CM  DEFLECTABLE,CON SU CONECTOR TIPO REDEL MAS CABLE ADAPTADOR </v>
          </cell>
          <cell r="G4297" t="str">
            <v>UN</v>
          </cell>
        </row>
        <row r="4298">
          <cell r="E4298">
            <v>7100215</v>
          </cell>
          <cell r="F4298" t="str">
            <v>CATETER TERAPEUTICO DE PLATINO, DE7FRENCH DE DIAMETRO, ENTRE 115 - 120CMS DE LONGITUD, TETRAPOLAR, CON SEPARACION ENTRE POLO Y POLODE 2-5 MM,DEFECTABLE, CON PUNTA DE 4 MM, CON CURVA PRIMARIA BIDIRECCIONALASIMETRICA, CON  RADIO/DIAMETRO 17/25, SEGURO O LLA</v>
          </cell>
          <cell r="G4298" t="str">
            <v>UN</v>
          </cell>
        </row>
        <row r="4299">
          <cell r="E4299">
            <v>7100216</v>
          </cell>
          <cell r="F4299" t="str">
            <v>DESCARTABLE PLASTICO PARA SUERO, PARA IRRIGACION A ALTA PRESION</v>
          </cell>
          <cell r="G4299" t="str">
            <v>UN</v>
          </cell>
        </row>
        <row r="4300">
          <cell r="E4300">
            <v>7100217</v>
          </cell>
          <cell r="F4300" t="str">
            <v>DOMUS PARA TRANSDUCTOR DE PRESION INVASIVA COMPATIBLE CON EQUIPO DECINEANGIOGRAFIA DE USO INSTITUCIONAL</v>
          </cell>
          <cell r="G4300" t="str">
            <v>UN</v>
          </cell>
        </row>
        <row r="4301">
          <cell r="E4301">
            <v>7100218</v>
          </cell>
          <cell r="F4301" t="str">
            <v>EXTENSOR CORTO PARA JERINGA ANGIOGRAFICA, DE 25 - 35 cm, QUE SOPORTE PRESIÓN DE 1200 PSI, CON SISTEMA LUER LOCK EXTREMOS MACHO Y HEMBRA, ESTERIL</v>
          </cell>
          <cell r="G4301" t="str">
            <v>UN</v>
          </cell>
        </row>
        <row r="4302">
          <cell r="E4302">
            <v>7100219</v>
          </cell>
          <cell r="F4302" t="str">
            <v>GUIA ANGIOGRAFICA CON RECUBRIMIENTO HIDROFILICO, CON NUCLEO DE NITINOL,CON DIAMETRO 0.035", DE 170-185 cm DE LONGITUD, PUNTA ANGULADA MENOROIGUAL A 3 cm DE LONGITUD, RADIOPACA</v>
          </cell>
          <cell r="G4302" t="str">
            <v>UN</v>
          </cell>
        </row>
        <row r="4303">
          <cell r="E4303">
            <v>7100220</v>
          </cell>
          <cell r="F4303" t="str">
            <v>GUIA ANGIOGRAFICA CON RECUBRIMIENTO HIDROFILICO, CON NUCLEO DE NITINOL,CON DIAMETRO 0.035", DE 170-185 cm DE LONGITUD, PUNTA RECTA MENOR OIGUAL A 3 cm DE LONGITUD, RADIOPACA</v>
          </cell>
          <cell r="G4303" t="str">
            <v>UN</v>
          </cell>
        </row>
        <row r="4304">
          <cell r="E4304">
            <v>7100221</v>
          </cell>
          <cell r="F4304" t="str">
            <v>GUIA ANGIOGRAFICA CON RECUBRIMIENTO HIDROFILICO, CON NUCLEO DE NITINOL,CON DIAMETRO 0.035",DE 260 - 300 cm DE LONGITUD, PUNTA ANGULADA MENOR OIGUAL A 3cm DE LONGITUD, RADIOPACA</v>
          </cell>
          <cell r="G4304" t="str">
            <v>UN</v>
          </cell>
        </row>
        <row r="4305">
          <cell r="E4305">
            <v>7100222</v>
          </cell>
          <cell r="F4305" t="str">
            <v>GUIA ANGIOGRAFICA CON RECUBRIMIENTO HIDROFILICO, CON NUCLEO DE NITINOL,CON DIAMETRO 0.035",DE 260 - 300 cm DE LONGITUD, PUNTA RECTA MENOR OIGUAL A 3cm DE LONGITUD, RADIOPACA</v>
          </cell>
          <cell r="G4305" t="str">
            <v>UN</v>
          </cell>
        </row>
        <row r="4306">
          <cell r="E4306">
            <v>7100223</v>
          </cell>
          <cell r="F4306" t="str">
            <v>GUIA FILAMENTO PARA ANGIOPLASTIA CORONARIA, EXTRA SOPORTE,  DE 0.014", LONGITUD DE 170 -185 cm, ALMA FIJA, CON PUNTA RECTA</v>
          </cell>
          <cell r="G4306" t="str">
            <v>UN</v>
          </cell>
        </row>
        <row r="4307">
          <cell r="E4307">
            <v>7100224</v>
          </cell>
          <cell r="F4307" t="str">
            <v>GUIA FILAMENTO PARA ANGIOPLASTIA CORONARIA, INTERMEDIA,  DE 0.014", LONGITUD DE 170 -185 cm, ALMA FIJA, CON PUNTA RECTA, CON RADIOPACIDAD</v>
          </cell>
          <cell r="G4307" t="str">
            <v>UN</v>
          </cell>
        </row>
        <row r="4308">
          <cell r="E4308">
            <v>7100225</v>
          </cell>
          <cell r="F4308" t="str">
            <v>GUIA FILAMENTO PARA ANGIOPLASTIA, INTERMEDIA,  DE 0.014", LONGITUD DE260 - 300 cm, ALMA FIJA, CON PUNTA RECTA, CON RADIOPACIDAD</v>
          </cell>
          <cell r="G4308" t="str">
            <v>UN</v>
          </cell>
        </row>
        <row r="4309">
          <cell r="E4309">
            <v>7100226</v>
          </cell>
          <cell r="F4309" t="str">
            <v>INSUFLADOR PARA ANGIOPLASTIA. DISPOSITIVO PARA INFLADO, CON CAPACIDADPARA DAR CON EXACTITUD PRESIONES DE 0 A 30 atm DE PRESION, QUE INCLUYAVALVULA DE ALTA PRESION, EXTENSOR Y LLAVE DE 3 VIAS</v>
          </cell>
          <cell r="G4309" t="str">
            <v>UN</v>
          </cell>
        </row>
        <row r="4310">
          <cell r="E4310">
            <v>7100227</v>
          </cell>
          <cell r="F4310" t="str">
            <v>INTRODUCTOR VASCULAR DIAMETRO 5 FRENCH, CON RECUBRIMIENTO HIDROFILICO,VALVULA HEMOSTATICA FIJA,  DE 10 A 15 cm. DE LONGITUD, QUE INCLUYA GUIA0.035" A 0.038" Y AGUJA PARA PUNCION ARTERIAL</v>
          </cell>
          <cell r="G4310" t="str">
            <v>UN</v>
          </cell>
        </row>
        <row r="4311">
          <cell r="E4311">
            <v>7100228</v>
          </cell>
          <cell r="F4311" t="str">
            <v>INTRODUCTOR VASCULAR DIAMETRO 6 FRENCH, CON RECUBRIMIENTO HIDROFILICO,VALVULA HEMOSTATICA FIJA,  DE 20 A 25 cm. DE LONGITUD, QUE INCLUYA GUIA0.035" A 0.038" Y AGUJAPARA PUNCION ARTERIAL</v>
          </cell>
          <cell r="G4311" t="str">
            <v>UN</v>
          </cell>
        </row>
        <row r="4312">
          <cell r="E4312">
            <v>7100229</v>
          </cell>
          <cell r="F4312" t="str">
            <v>INTRODUCTOR VASCULAR DIAMETRO 6 FRENCH, CON RECUBRIMIENTO HIDROFILICO,VALVULA HEMOSTATICA FIJA,  DE 10 A 15 cm. DE LONGITUD, QUE INCLUYA GUIA0.035" A 0.038" Y AGUJA PARA PUNCION ARTERIAL</v>
          </cell>
          <cell r="G4312" t="str">
            <v>UN</v>
          </cell>
        </row>
        <row r="4313">
          <cell r="E4313">
            <v>7100230</v>
          </cell>
          <cell r="F4313" t="str">
            <v>INTRODUCTOR VASCULAR DIAMETRO 7 FRENCH, CON RECUBRIMIENT O HIDROFILICO,VALVULA HEMOSTATICA FIJA,  DE 10 A 15 cm. DE LONGITUD, QUE INCLUYA GUIA0.035" A 0.038" Y AGUJA PARA PUNCION ARTERIAL</v>
          </cell>
          <cell r="G4313" t="str">
            <v>UN</v>
          </cell>
        </row>
        <row r="4314">
          <cell r="E4314">
            <v>7100231</v>
          </cell>
          <cell r="F4314" t="str">
            <v>INTRODUCTOR VASCULAR DIAMETRO 8 FRENCH, CON RECUBRIMIENTO HIDROFILICO,VALVULA HEMOSTATICA FIJA,  DE 10 A 15 cm. DE LONGITUD, QUE INCLUYA GUIA0.035" A 0.038" Y AGUJA PARA PUNCION ARTERIAL</v>
          </cell>
          <cell r="G4314" t="str">
            <v>UN</v>
          </cell>
        </row>
        <row r="4315">
          <cell r="E4315">
            <v>7100232</v>
          </cell>
          <cell r="F4315" t="str">
            <v>INTRODUCTOR VASCULAR DIAMETRO 9 FRENCH, CON RECUBRIMIENTO HIDROFILICO,VALVULA HEMOSTATICA FIJA,  DE 10 A 15 cm. DE LONGITUD, QUE INCLUYA GUIA0.035" A 0.038" Y AGUJA PARA PUNCION ARTERIAL</v>
          </cell>
          <cell r="G4315" t="str">
            <v>UN</v>
          </cell>
        </row>
        <row r="4316">
          <cell r="E4316">
            <v>7100233</v>
          </cell>
          <cell r="F4316" t="str">
            <v>INTRODUCTOR VASCULAR DIAMETRO 8 FRENCH, CON RECUBRIMIENTO HIDROFILICO,VALVULA HEMOSTATICA FIJA,  DE 10 A 15 cm. DE LONGITUD, QUE INCLUYA GUIA0.035" A 0.038" Y AGUJA PARA PUNCION ARTERIAL</v>
          </cell>
          <cell r="G4316" t="str">
            <v>UN</v>
          </cell>
        </row>
        <row r="4317">
          <cell r="E4317">
            <v>7100234</v>
          </cell>
          <cell r="F4317" t="str">
            <v>SISTEMA DE PROTECCION DISTAL DE EMBOLOS , MONORIEL , CON GUIA DE O.014" Y ABERTURA DEL ASA  ENTRE 3 Y6mm, LONGITUD DE TRABAJO DE 180 - 195 CMS, QUE INCLUYA CATETER DE RECUPERACION</v>
          </cell>
          <cell r="G4317" t="str">
            <v>UN</v>
          </cell>
        </row>
        <row r="4318">
          <cell r="E4318">
            <v>7100235</v>
          </cell>
          <cell r="F4318" t="str">
            <v>VÁLVULA DE 1 VIA QUE SOPORTE PRESIONES ARRIBA DE 1000 PSI</v>
          </cell>
          <cell r="G4318" t="str">
            <v>UN</v>
          </cell>
        </row>
        <row r="4319">
          <cell r="E4319">
            <v>7100236</v>
          </cell>
          <cell r="F4319" t="str">
            <v>VÁLVULA DE 3 VIAS QUE SOPORTE PRESIONES ARRIBA DE 1000 PSI</v>
          </cell>
          <cell r="G4319" t="str">
            <v>UN</v>
          </cell>
        </row>
        <row r="4320">
          <cell r="E4320">
            <v>7100237</v>
          </cell>
          <cell r="F4320" t="str">
            <v>VALVULA EN "Y" HEMOSTATICA DE ALTO FLUJO, QUE INCLUYA UN INTRODUCTOR DE FILAMENTO GUIA Y UN ROTOR</v>
          </cell>
          <cell r="G4320" t="str">
            <v>UN</v>
          </cell>
        </row>
        <row r="4321">
          <cell r="E4321">
            <v>7100240</v>
          </cell>
          <cell r="F4321" t="str">
            <v>DISPOSITIVO PARA COMPRESION DE ARTERIA RADIAL</v>
          </cell>
          <cell r="G4321" t="str">
            <v>UN</v>
          </cell>
        </row>
        <row r="4322">
          <cell r="E4322">
            <v>7101140</v>
          </cell>
          <cell r="F4322" t="str">
            <v>SISTEMA DE ASPIRACION DE EMBOLOS Y TROMBOS, MONORIEL, COMPATIBLECONCATETER GUIA6FRENCH, DIAMETRO INTERNO MAYOR O IGUAL A 0.070", CONGUIADE 0.014", CON MARCADOR DISTAL RADIOPACO, DIAMETRO INTERNO PARAASPIRADOMAYOR O IGUAL A 0.042", PUNTA ATRAUMATICA Y LONG</v>
          </cell>
          <cell r="G4322" t="str">
            <v>UN</v>
          </cell>
        </row>
        <row r="4323">
          <cell r="E4323">
            <v>7101150</v>
          </cell>
          <cell r="F4323" t="str">
            <v>CATETER CON BALON DE DILATACION, SEMI COMPLACIENTE, BALON DE 6.0 mm DEDIAMETRO X 40 mm DE LONGITUD, CON PRESIÓN DE RUPTURA MAYOR O IGUAL A 14ATM, CON MARCAS RADIOPACAS, CATETER ENTRE 80 A 120 cm DE LONGITUD TOTAL,COMPATIBLE CON GUIA 0.035", COMPATIBLE CON</v>
          </cell>
          <cell r="G4323" t="str">
            <v>UN</v>
          </cell>
        </row>
        <row r="4324">
          <cell r="E4324">
            <v>7101151</v>
          </cell>
          <cell r="F4324" t="str">
            <v xml:space="preserve">CATETER CON BALON DE DILATACION SEMI COMPLACIENTE, BALON DE 5.0 mm DEDIAMETRO X 40 mm DE LONGITUD, CON PRESIÓN DE RUPTURA MAYOR O IGUAL A 14ATM, CON MARCAS RADIOPACAS, CATETER ENTRE 80 A 120 cm DE LONGITUD TOTAL,COMPATIBLE CON GUIA 0.035", COMPATIBLE CON </v>
          </cell>
          <cell r="G4324" t="str">
            <v>UN</v>
          </cell>
        </row>
        <row r="4325">
          <cell r="E4325">
            <v>7101152</v>
          </cell>
          <cell r="F4325" t="str">
            <v>CATETER CON BALON DE DILATACION, SEMI COMPLACIENTE, BALON DE 7.0 mm DEDIAMETRO X 40 mm DE LONGITUD, CON PRESIÓN DE RUPTURA MAYOR O IGUAL A 14ATM, CON MARCAS RADIOPACAS, CATETER ENTRE 80 A 120 cm DE LONGITUD TOTAL,COMPATIBLE CON GUIA 0.035", COMPATIBLE CON</v>
          </cell>
          <cell r="G4325" t="str">
            <v>UN</v>
          </cell>
        </row>
        <row r="4326">
          <cell r="E4326">
            <v>7101153</v>
          </cell>
          <cell r="F4326" t="str">
            <v>CATETER CON BALON DE DILATACION, SEMI COMPLACIENTE, BALON DE 8.0 mm DEDIAMETRO X 50 mm DE LONGITUD, CON PRESIÓN DE RUPTURA MAYOR O IGUAL A 14ATM, CON MARCAS RADIOPACAS, CATETER ENTRE 80 A 120 cm DE LONGITUD TOTAL,COMPATIBLE CON GUIA 0.035", COMPATIBLE CON</v>
          </cell>
          <cell r="G4326" t="str">
            <v>UN</v>
          </cell>
        </row>
        <row r="4327">
          <cell r="E4327">
            <v>7101154</v>
          </cell>
          <cell r="F4327" t="str">
            <v>CATETER CON BALON DE DILATACION PARA ANGIOPLASTIA, SEMI COMPLACIENTE,BALON DE 15.0 mm DE DIAMETRO X 60 mm DE LONGITUD, CON PRESIÓN DE RUPTURAMAYOR O IGUAL A 14 ATM, CON MARCAS RADIOPACAS, CATETER ENTRE 80 A 100 cmDE LONGITUD TOTAL, COMPATIBLE CON GUIA 0.0</v>
          </cell>
          <cell r="G4327" t="str">
            <v>UN</v>
          </cell>
        </row>
        <row r="4328">
          <cell r="E4328">
            <v>7101155</v>
          </cell>
          <cell r="F4328" t="str">
            <v>CATÉTER ANGIOGRAFICO DE ALTO FLUJO, DIAMETRO 5 FRENCH,  QUE ACEPTE GUIA0.038", LONGITUD ENTRE 40 Y 65 CM (TIPO BEACON TIP)</v>
          </cell>
          <cell r="G4328" t="str">
            <v>UN</v>
          </cell>
        </row>
        <row r="4329">
          <cell r="E4329">
            <v>7101156</v>
          </cell>
          <cell r="F4329" t="str">
            <v>CATETER CON BALON DE DILATACION PARA CRIOANGIOPLASTIA, BALON DE 3.0 mmDE DIAMETRO X 60 mm DE LONGITUD, CON MARCAS RADIOPACAS, CATETER ENTRE80A 100 cm DE LONGITUD TOTAL, COMPATIBLE CON GUIA 0.014", COMPATIBLE CONINTRODUCTOR DE 5 FRENCH</v>
          </cell>
          <cell r="G4329" t="str">
            <v>UN</v>
          </cell>
        </row>
        <row r="4330">
          <cell r="E4330">
            <v>7101157</v>
          </cell>
          <cell r="F4330" t="str">
            <v>CATETER CON BALON DE DILATACION PARA CRIOANGIOPLASTIA, BALON DE 5.0 mmDE DIAMETRO X 60 mm DE LONGITUD, CON MARCAS RADIOPACAS, CATETER ENTRE80A 100 cm DE LONGITUD TOTAL, COMPATIBLE CON GUIA 0.035", COMPATIBLE CONINTRODUCTOR DE 5 O 6 FRENCH</v>
          </cell>
          <cell r="G4330" t="str">
            <v>UN</v>
          </cell>
        </row>
        <row r="4331">
          <cell r="E4331">
            <v>7101158</v>
          </cell>
          <cell r="F4331" t="str">
            <v>CATETER CON BALON DE DILATACION PARA CRIOANGIOPLASTIA, BALON DE 7.0 mmDE DIAMETRO X 60 mm DE LONGITUD, CON MARCAS RADIOPACAS, CATETER ENTRE80A 100 cm DE LONGITUD TOTAL, COMPATIBLE CON GUIA 0.035", COMPATIBLE CONINTRODUCTOR DE 6 O 7 FRENCH</v>
          </cell>
          <cell r="G4331" t="str">
            <v>UN</v>
          </cell>
        </row>
        <row r="4332">
          <cell r="E4332">
            <v>7101159</v>
          </cell>
          <cell r="F4332" t="str">
            <v>CATÉTER PARA OCLUSION CRONICA TOTAL, DIAMETRO 6 FRENCH, LONGITUD ENTRE90 A 100 CM, TIPO FRONTRUNNER Ó OUTBACK</v>
          </cell>
          <cell r="G4332" t="str">
            <v>UN</v>
          </cell>
        </row>
        <row r="4333">
          <cell r="E4333">
            <v>7101160</v>
          </cell>
          <cell r="F4333" t="str">
            <v>CATETER BALON PARA PREDILATACION DE CAROTIDAS, NO COMPLACIENTE, DEDIAMETROS DE 1.5 A7 MM Y LARGOS DE 1.5 A 3 CM, LONGITUD DEL CATETER 140A 160 CM</v>
          </cell>
          <cell r="G4333" t="str">
            <v>UN</v>
          </cell>
        </row>
        <row r="4334">
          <cell r="E4334">
            <v>7101161</v>
          </cell>
          <cell r="F4334" t="str">
            <v>CATETER CON BALON DE DILATACION, NO COMPLACIENTE, BALON DE 3.0 mm DEDIAMETRO X 100 mm DE LONGITUD, CATETER DE 80 A 140 cm DE LONGITUD,COMPATIBLE CON GUIA 0.014", CON PRESIÓN DE RUPTURA MAYOR O IGUAL A 14ATM, CON MARCAS RADIOPACAS</v>
          </cell>
          <cell r="G4334" t="str">
            <v>UN</v>
          </cell>
        </row>
        <row r="4335">
          <cell r="E4335">
            <v>7101162</v>
          </cell>
          <cell r="F4335" t="str">
            <v>CATETER CON BALON DE DILATACION, NO COMPLACIENTE, DE INTERCAMBIO RAPIDO,BALON DE 3.0 mm DE DIAMETRO X 40 mm DE LONGITUD, CATETER DE 80 A 140 cmDE LONGITUD, COMPATIBLE CON GUIA 0.014", CON PRESIÓN DE RUPTURA MAYOR OIGUAL A 14 ATM, CON MARCAS RADIOPACAS</v>
          </cell>
          <cell r="G4335" t="str">
            <v>UN</v>
          </cell>
        </row>
        <row r="4336">
          <cell r="E4336">
            <v>7101163</v>
          </cell>
          <cell r="F4336" t="str">
            <v>CATETER CON BALON DE DILATACION, NO COMPLACIENTE, DE INTERCAMBIO RAPIDO,BALON DE 3.0 mm DE DIAMETRO X 60 mm DE LONGITUD, CATETER DE 80 A 140 cmDE LONGITUD, COMPATIBLE CON GUIA 0.014", CON PRESIÓN DE RUPTURA MAYOR OIGUAL A 14 ATM, CON MARCAS RADIOPACAS</v>
          </cell>
          <cell r="G4336" t="str">
            <v>UN</v>
          </cell>
        </row>
        <row r="4337">
          <cell r="E4337">
            <v>7101164</v>
          </cell>
          <cell r="F4337" t="str">
            <v>CATETER CON BALON DE DILATACION, NO COMPLACIENTE, DE INTERCAMBIO RAPIDO,BALON DE 4.0 mm DE DIAMETRO X 40 mm DE LONGITUD, CATETER DE 80 A 140 cmDE LONGITUD, COMPATIBLE CON GUIA 0.014" A 0.035", CON PRESIÓN DE RUPTURAMAYOR O IGUAL A 14 ATM, CON MARCAS RADIO</v>
          </cell>
          <cell r="G4337" t="str">
            <v>UN</v>
          </cell>
        </row>
        <row r="4338">
          <cell r="E4338">
            <v>7101165</v>
          </cell>
          <cell r="F4338" t="str">
            <v>CATETER CON BALON DE DILATACION, NO COMPLACIENTE, BALON DE 14.0 mm DEDIAMETRO X 60 mm DE LONGITUD, CATETER DE 80 A 140 cm DE LONGITUD,COMPATIBLE CON GUIA 0.014" A 0.035", CON PRESIÓN DE RUPTURA MAYOR OIGUAL A 14 ATM, CON MARCAS RADIOPACAS</v>
          </cell>
          <cell r="G4338" t="str">
            <v>UN</v>
          </cell>
        </row>
        <row r="4339">
          <cell r="E4339">
            <v>7101166</v>
          </cell>
          <cell r="F4339" t="str">
            <v>CATETER CON CUBIERTA HIDROFILICA, DIAMETRO 4 FRENCH, LONGITUD DE 100 - 120 cm, PUNTA CURVA</v>
          </cell>
          <cell r="G4339" t="str">
            <v>UN</v>
          </cell>
        </row>
        <row r="4340">
          <cell r="E4340">
            <v>7101167</v>
          </cell>
          <cell r="F4340" t="str">
            <v>CATETER CON CUBIERTA HIDROFILICA, DIAMETRO 4 FRENCH, LONGITUD DE 100 - 120 cm, PUNTA RECTA</v>
          </cell>
          <cell r="G4340" t="str">
            <v>UN</v>
          </cell>
        </row>
        <row r="4341">
          <cell r="E4341">
            <v>7101168</v>
          </cell>
          <cell r="F4341" t="str">
            <v>CATETER DIAGNOSTICO CURVA COLA DE COCHINO, DIAMETRO 5 FRENCH, LONGITUDDE 100 - 110 cm, QUE MIDA SEGMENTOS DE 1 A 20 CM, COMPATIBLE CON GUIA0.038", QUE SOPORTE PRESION MAYOR O IGUAL A 1100 PSI CON RADIOPACIDAD</v>
          </cell>
          <cell r="G4341" t="str">
            <v>UN</v>
          </cell>
        </row>
        <row r="4342">
          <cell r="E4342">
            <v>7101169</v>
          </cell>
          <cell r="F4342" t="str">
            <v>CATETER DIAGNOSTICO CURVA COLA DE COCHINO, DIAMETRO6FRENCH, LONGITUDDE 100 - 110 cm, QUE MIDA SEGMENTOS DE 1 A 20 CM, COMPATIBLE CON GUIA0.038", QUE SOPORTE PRESION MAYOR O IGUAL A 1100 PSI CON RADIOPACIDAD</v>
          </cell>
          <cell r="G4342" t="str">
            <v>UN</v>
          </cell>
        </row>
        <row r="4343">
          <cell r="E4343">
            <v>7101170</v>
          </cell>
          <cell r="F4343" t="str">
            <v>CATETER EXTRACTOR DE EMBOLOS Y TROMBOS, CON BALON, ADAPTADOR LUER-LOCK,CON MANDRIL, RADIOPACO, GRADUADO, 80 A 100 CM DE LARGO,  DIAMETRO 3FRENCH</v>
          </cell>
          <cell r="G4343" t="str">
            <v>UN</v>
          </cell>
        </row>
        <row r="4344">
          <cell r="E4344">
            <v>7101171</v>
          </cell>
          <cell r="F4344" t="str">
            <v>CATETER EXTRACTOR DE EMBOLOS Y TROMBOS, CON BALON, ADAPTADOR LUER-LOCK,CON MANDRIL, RADIOPACO, GRADUADO, 80 A 100 CM DE LARGO, DIAMETRO 5FRENCH</v>
          </cell>
          <cell r="G4344" t="str">
            <v>UN</v>
          </cell>
        </row>
        <row r="4345">
          <cell r="E4345">
            <v>7101172</v>
          </cell>
          <cell r="F4345" t="str">
            <v>CATETER EXTRACTOR DE EMBOLOS Y TROMBOS, CON BALON, ADAPTADOR LUER-LOCK,CON MANDRIL, RADIOPACO, GRADUADO, 80 A 100 CM DE LARGO,  DIAMETRO 4FRENCH</v>
          </cell>
          <cell r="G4345" t="str">
            <v>UN</v>
          </cell>
        </row>
        <row r="4346">
          <cell r="E4346">
            <v>7101173</v>
          </cell>
          <cell r="F4346" t="str">
            <v>CATETER GUIA PARA ANGIOPLASTIA PERIFERICA, DIAMETRO 8 FRENCH, TIPOCROSSOVER</v>
          </cell>
          <cell r="G4346" t="str">
            <v>UN</v>
          </cell>
        </row>
        <row r="4347">
          <cell r="E4347">
            <v>7101174</v>
          </cell>
          <cell r="F4347" t="str">
            <v>CATETER GUIA TIPO CROSSOVER CON CUBIERTA INTERNADE PTFE, DIAMETRO 9 FRENCH Y LONGITUD APROXIMADADE 55 CMS</v>
          </cell>
          <cell r="G4347" t="str">
            <v>UN</v>
          </cell>
        </row>
        <row r="4348">
          <cell r="E4348">
            <v>7101175</v>
          </cell>
          <cell r="F4348" t="str">
            <v>CATETER HEADHUNTER, DIAMETRO6FRENCH, CURVA 1, COMPATIBLE CON GUIA 0.038", LONGITUD DE 100 - 110 CM, SOPORTE PRESIÓN MAYOR O IGUALA 1100 PSI, CON RADIOPACIDAD.</v>
          </cell>
          <cell r="G4348" t="str">
            <v>UN</v>
          </cell>
        </row>
        <row r="4349">
          <cell r="E4349">
            <v>7101176</v>
          </cell>
          <cell r="F4349" t="str">
            <v>CATETER HEADHUNTER, DIAMETRO6FRENCH, CURVA 3, COMPATIBLE CON GUIA 0.038", LONGITUD DE 100 - 110 CM, SOPORTE PRESIÓN MAYOR O IGUALA 1100 PSI, CON RADIOPACIDAD.</v>
          </cell>
          <cell r="G4349" t="str">
            <v>UN</v>
          </cell>
        </row>
        <row r="4350">
          <cell r="E4350">
            <v>7101177</v>
          </cell>
          <cell r="F4350" t="str">
            <v>CATETER NEWTON,  DIAMETRO6FRENCH, CURVA 3 COMPATIBLE CON GUIA 0.0382,QUE SOPORTE PRESION HASTA 1100 PSI CON RADIOPACIDAD.</v>
          </cell>
          <cell r="G4350" t="str">
            <v>UN</v>
          </cell>
        </row>
        <row r="4351">
          <cell r="E4351">
            <v>7101178</v>
          </cell>
          <cell r="F4351" t="str">
            <v>CATETER NEWTON, DIAMETRO6FRENCH, CURVA 2 COMPATIBLE CON GUIA 0.038", QUE SOPORTE PRESION HASTA 1100 PSI CON RADIOPACIDAD.</v>
          </cell>
          <cell r="G4351" t="str">
            <v>UN</v>
          </cell>
        </row>
        <row r="4352">
          <cell r="E4352">
            <v>7101179</v>
          </cell>
          <cell r="F4352" t="str">
            <v>CATÉTER PARA CATETERIZACION ENDOLUMINAL DE ANEURISMA AORTICO ABDOMINAL,DIAMETRO 5.0 FRENCH, LONGITUD ENTRE 64 A 66 CM, COMPATIBLE CON GUIA0.035" (TIPO VANSCHIE 4)</v>
          </cell>
          <cell r="G4352" t="str">
            <v>UN</v>
          </cell>
        </row>
        <row r="4353">
          <cell r="E4353">
            <v>7101180</v>
          </cell>
          <cell r="F4353" t="str">
            <v>CATÉTER PARA CATETERIZACION ENDOLUMINAL DE ANEURISMA AORTICO ABDOMINAL,DIAMETRO 5.0 FRENCH, LONGITUD ENTRE 64 A 66 CM, COMPATIBLE CON GUIA0.035" (TIPO VANSCHIE 5)</v>
          </cell>
          <cell r="G4353" t="str">
            <v>UN</v>
          </cell>
        </row>
        <row r="4354">
          <cell r="E4354">
            <v>7101181</v>
          </cell>
          <cell r="F4354" t="str">
            <v>CATETER PARA USO PERMANENTE EN HEMODIALISIS DE DOBLE LUMEN, DIAMETRO 15A 15.5 FRENCH, CON RETEN DE DACRON (TELFA) ENTRE 24 A 28 CM DE LA PUNTA,QUE INCLUYA: AGUJA INTRODUCTORA, GUIA METALICA CON PUNTA EN "J",DILATADOR, TUNELIZADOR Y TAPONES</v>
          </cell>
          <cell r="G4354" t="str">
            <v>UN</v>
          </cell>
        </row>
        <row r="4355">
          <cell r="E4355">
            <v>7101182</v>
          </cell>
          <cell r="F4355" t="str">
            <v>CATETER PARA USO PERMANENTE EN HEMODIALISIS DE DOBLE LUMEN, DIAMETRO 15A 15.5 FRENCH, CON RETEN DE DACRON (TELFA) ENTRE 31 A 35 CM DE LA PUNTA,QUE INCLUYA: AGUJA INTRODUCTORA, GUIA METALICA CON PUNTA EN "J",DILATADOR,  TUNELIZADOR Y TAPONES</v>
          </cell>
          <cell r="G4355" t="str">
            <v>UN</v>
          </cell>
        </row>
        <row r="4356">
          <cell r="E4356">
            <v>7101183</v>
          </cell>
          <cell r="F4356" t="str">
            <v>CATETER PORTADOR 8 FRENCH, DIAMETRO INTERNO MINIMO 0.080" A 0.085",ANGULO ENTRE 40 A 45°,  LONGITUD DE CATETER ENTRE 85 A 95 CM</v>
          </cell>
          <cell r="G4356" t="str">
            <v>UN</v>
          </cell>
        </row>
        <row r="4357">
          <cell r="E4357">
            <v>7101184</v>
          </cell>
          <cell r="F4357" t="str">
            <v>CATETER RENAL DOBLE CURVA, DIAMETRO 6 FRENCH, COMPATIBLE CON GUIA0.038",QUE SOPORTE PRESION MAYOR O IGUAL A 1100 PSI CON RADIOPACIDAD.</v>
          </cell>
          <cell r="G4357" t="str">
            <v>UN</v>
          </cell>
        </row>
        <row r="4358">
          <cell r="E4358">
            <v>7101185</v>
          </cell>
          <cell r="F4358" t="str">
            <v>CATETER SIMMONS, DIAMETRO EXTERNO 6 FRENCH, CURVA 2, COMPATIBLE CON GUIA0.038", LONGITUD DE CATETER ENTRE 100 A 110 CM, QUE SOPORTE PRESIÓNMAYOR O IGUAL A 1100 PSI, RADIOPACO</v>
          </cell>
          <cell r="G4358" t="str">
            <v>UN</v>
          </cell>
        </row>
        <row r="4359">
          <cell r="E4359">
            <v>7101186</v>
          </cell>
          <cell r="F4359" t="str">
            <v>CATETER SIMMONS, DIAMETRO EXTERNO 6 FRENCH, CURVA 3, COMPATIBLE CON GUIA0.038", LONGITUD DE CATETER ENTRE 100 A 110 CM, QUE SOPORTE PRESIÓNMAYOR O IGUAL A 1100 PSI, RADIOPACO</v>
          </cell>
          <cell r="G4359" t="str">
            <v>UN</v>
          </cell>
        </row>
        <row r="4360">
          <cell r="E4360">
            <v>7101187</v>
          </cell>
          <cell r="F4360" t="str">
            <v>CINTA GRADUADA RADIOPACA DE 0-30 CM. APROX. ADHERIBLE</v>
          </cell>
          <cell r="G4360" t="str">
            <v>UN</v>
          </cell>
        </row>
        <row r="4361">
          <cell r="E4361">
            <v>7101188</v>
          </cell>
          <cell r="F4361" t="str">
            <v>COIL DE PLATINO, RECUBIERTO CON FIBRAS PARA OCLUSION VASCULARPERIFERICA,6A 10 MM X 14 A 18 CM EXTENDIDO, DE 4.5 A 7.4 VUELTAS, QUEINCLUYACATETER INTRODUCTOR</v>
          </cell>
          <cell r="G4361" t="str">
            <v>UN</v>
          </cell>
        </row>
        <row r="4362">
          <cell r="E4362">
            <v>7101189</v>
          </cell>
          <cell r="F4362" t="str">
            <v>COIL RECUBIERTO CON FIBRAS PARA OCLUSION VASCULAR PERIFERICA, 3 mm X 5 -7cm, QUE INCLUYA CATETER INTRODUCTOR</v>
          </cell>
          <cell r="G4362" t="str">
            <v>UN</v>
          </cell>
        </row>
        <row r="4363">
          <cell r="E4363">
            <v>7101190</v>
          </cell>
          <cell r="F4363" t="str">
            <v>COIL RECUBIERTO CON FIBRAS PARA OCLUSION VASCULAR PERIFERICA, 4 mm X 5 -7cm, QUE INCLUYA CATETER INTRODUCTOR</v>
          </cell>
          <cell r="G4363" t="str">
            <v>UN</v>
          </cell>
        </row>
        <row r="4364">
          <cell r="E4364">
            <v>7101191</v>
          </cell>
          <cell r="F4364" t="str">
            <v>COIL RECUBIERTO CON FIBRAS PARA OCLUSION VASCULAR PERIFERICA, 5 mm X 5 -7cm, QUE INCLUYA CATETER INTRODUCTOR</v>
          </cell>
          <cell r="G4364" t="str">
            <v>UN</v>
          </cell>
        </row>
        <row r="4365">
          <cell r="E4365">
            <v>7101192</v>
          </cell>
          <cell r="F4365" t="str">
            <v>ENDOPROTESIS AORTICA ABDOMINAL BIFURCADA, MEDIDAS SEGÚN ESTUDIOS DEPACIENTE, DEBERA INCLUIR PARA SU COLOCACION: ENDOPROTESIS, INTRODUCTORES, GUIAS METALICAS, BALONES Y ASESORIA PARA SU COLOCACION</v>
          </cell>
          <cell r="G4365" t="str">
            <v>SET</v>
          </cell>
        </row>
        <row r="4366">
          <cell r="E4366">
            <v>7101193</v>
          </cell>
          <cell r="F4366" t="str">
            <v>ENDOPROTESIS AORTICA RECTA, MEDIDAS SEGÚN ESTUDIOS DE PACIENTE, DEBERAINCLUIR PARA SU COLOCACION: ENDOPROTESIS, INTRODUCTORES, GUIASMETALICAS, BALONES Y ASESORIA PARA SU COLOCACION</v>
          </cell>
          <cell r="G4366" t="str">
            <v>SET</v>
          </cell>
        </row>
        <row r="4367">
          <cell r="E4367">
            <v>7101194</v>
          </cell>
          <cell r="F4367" t="str">
            <v>FILTRO DE VENA CAVA, PERMANENTE. PARA COLOCACION POR VIA YUGULAR O FEMORAL</v>
          </cell>
          <cell r="G4367" t="str">
            <v>UN</v>
          </cell>
        </row>
        <row r="4368">
          <cell r="E4368">
            <v>7101195</v>
          </cell>
          <cell r="F4368" t="str">
            <v>FILTRO DE VENA CAVA, TEMPORAL. PARA COLOCACION POR VIA YUGULAR O FEMORAL</v>
          </cell>
          <cell r="G4368" t="str">
            <v>UN</v>
          </cell>
        </row>
        <row r="4369">
          <cell r="E4369">
            <v>7101196</v>
          </cell>
          <cell r="F4369" t="str">
            <v>GASA QUIRURGICA SIMPLE NO ESTERIL, 20 X 24 HILOS XPULGADA CUADRADA, 8PLIEGOS MINIMO, DE 8-10 CM X 8-10 CM</v>
          </cell>
          <cell r="G4369" t="str">
            <v>UN</v>
          </cell>
        </row>
        <row r="4370">
          <cell r="E4370">
            <v>7101197</v>
          </cell>
          <cell r="F4370" t="str">
            <v>GUIA  METALICA CON CUBIERTA HIDROFILICA DE 0.018" Y 300 cm LONGITUD APROXIMADA  Y 8 cm DE DISMINUCION</v>
          </cell>
          <cell r="G4370" t="str">
            <v>UN</v>
          </cell>
        </row>
        <row r="4371">
          <cell r="E4371">
            <v>7101198</v>
          </cell>
          <cell r="F4371" t="str">
            <v>GUIA # 25 CON ALMA MOVIL , CON PUNTA EN J DE 125 CM, (± 5 cms.) C/U</v>
          </cell>
          <cell r="G4371" t="str">
            <v>UN</v>
          </cell>
        </row>
        <row r="4372">
          <cell r="E4372">
            <v>7101199</v>
          </cell>
          <cell r="F4372" t="str">
            <v>GUIA # 35 CON ALMA MOVIL  PUNTA EN J DE 145 CM, (± 5 CMS.) C/U</v>
          </cell>
          <cell r="G4372" t="str">
            <v>UN</v>
          </cell>
        </row>
        <row r="4373">
          <cell r="E4373">
            <v>7101200</v>
          </cell>
          <cell r="F4373" t="str">
            <v>GUIA DE INFUSION 0.035", 12 cm LONGINTUD DE INFUSOR Y 145 cm APROXIMADO LARGO TOTAL.</v>
          </cell>
          <cell r="G4373" t="str">
            <v>UN</v>
          </cell>
        </row>
        <row r="4374">
          <cell r="E4374">
            <v>7101201</v>
          </cell>
          <cell r="F4374" t="str">
            <v>LAZO ENDOVASCULAR PARA RECUPERACION DE CUERPO EXTRAÑO DE 15 MM X 90 -120CMS</v>
          </cell>
          <cell r="G4374" t="str">
            <v>UN</v>
          </cell>
        </row>
        <row r="4375">
          <cell r="E4375">
            <v>7101202</v>
          </cell>
          <cell r="F4375" t="str">
            <v>MICROCATETER HIDROFILICO MALLADO, RECTO, DIAMETRO 2.8 FRENCH, LONGITUD100 - 130 CM. QUE INCLUYA GUIA DE 0.021" O COMPATIBLE</v>
          </cell>
          <cell r="G4375" t="str">
            <v>UN</v>
          </cell>
        </row>
        <row r="4376">
          <cell r="E4376">
            <v>7101203</v>
          </cell>
          <cell r="F4376" t="str">
            <v>MICROPARTICULAS CALIBRADAS DE POLIVINIL-ALCOHOL (PVA) PARA EMBOLIZACIONENDOVASCULAR PERIFERICA, TAMAÑO 250 - 500 µ (MICRAS). FRASCO O PRECARGADE 2 ML ± 1</v>
          </cell>
          <cell r="G4376" t="str">
            <v>FRA</v>
          </cell>
        </row>
        <row r="4377">
          <cell r="E4377">
            <v>7101204</v>
          </cell>
          <cell r="F4377" t="str">
            <v>PROTESIS ENDOVASCULAR RECUBIERTA DE 10 mm X 70 mm DE LONGITUD</v>
          </cell>
          <cell r="G4377" t="str">
            <v>UN</v>
          </cell>
        </row>
        <row r="4378">
          <cell r="E4378">
            <v>7101205</v>
          </cell>
          <cell r="F4378" t="str">
            <v>PROTESIS ENDOVASCULAR RECUBIERTA DE 8 mm X 60 mm</v>
          </cell>
          <cell r="G4378" t="str">
            <v>UN</v>
          </cell>
        </row>
        <row r="4379">
          <cell r="E4379">
            <v>7101206</v>
          </cell>
          <cell r="F4379" t="str">
            <v>PROTESIS ENDOVASCULAR RECUBIERTA DE 9 mm X 50 mm DE LONGITUD</v>
          </cell>
          <cell r="G4379" t="str">
            <v>UN</v>
          </cell>
        </row>
        <row r="4380">
          <cell r="E4380">
            <v>7101207</v>
          </cell>
          <cell r="F4380" t="str">
            <v>PROTESIS METALICA AUTO EXPANDIBLE, DE 10 mm x 80 mm DE LONGITUD, CON GUIA DE 0.035", LONGITUD DE 80 - 100 cm</v>
          </cell>
          <cell r="G4380" t="str">
            <v>UN</v>
          </cell>
        </row>
        <row r="4381">
          <cell r="E4381">
            <v>7101208</v>
          </cell>
          <cell r="F4381" t="str">
            <v>PROTESIS METALICA AUTO EXPANDIBLE, DE6mm x 40 mm DE LONGITUD, CON GUIA DE 0.035", LONGITUD DE 80 - 100 cm</v>
          </cell>
          <cell r="G4381" t="str">
            <v>UN</v>
          </cell>
        </row>
        <row r="4382">
          <cell r="E4382">
            <v>7101209</v>
          </cell>
          <cell r="F4382" t="str">
            <v>PROTESIS METALICA AUTOEXPANDIBLE DE 7.0 X 40 MM,COMPATIBLE CON GUIA 0.035", LONGITUD TOTAL DE CATETER DE 80 A 120 CM</v>
          </cell>
          <cell r="G4382" t="str">
            <v>UN</v>
          </cell>
        </row>
        <row r="4383">
          <cell r="E4383">
            <v>7101210</v>
          </cell>
          <cell r="F4383" t="str">
            <v>PROTESIS METALICA AUTOEXPANDIBLE, SISTEMA DE LIBERACION EN UN SOLO PASO,DIAMETRO 8 MM, LONGITUD DE6- 10 CM</v>
          </cell>
          <cell r="G4383" t="str">
            <v>UN</v>
          </cell>
        </row>
        <row r="4384">
          <cell r="E4384">
            <v>7101211</v>
          </cell>
          <cell r="F4384" t="str">
            <v>RECUPERADOR INTRAVASCULAR DE CUERPO EXTRAÑO TIPO AMPLATZ DE 10 mm.. SET</v>
          </cell>
          <cell r="G4384" t="str">
            <v>UN</v>
          </cell>
        </row>
        <row r="4385">
          <cell r="E4385">
            <v>7101212</v>
          </cell>
          <cell r="F4385" t="str">
            <v>RECUPERADOR INTRAVASCULAR DE CUERPO EXTRAÑO TIPO AMPLATZ DE 5 mm.. SET</v>
          </cell>
          <cell r="G4385" t="str">
            <v>UN</v>
          </cell>
        </row>
        <row r="4386">
          <cell r="E4386">
            <v>7101213</v>
          </cell>
          <cell r="F4386" t="str">
            <v>SISTEMA DE ASPIRACION DE EMBOLOS Y TROMBOS, MONORIEL, COMPATIBLE CONCATETER GUIA6FRENCH, DIAMETRO INTERNO MAYOR O IGUAL A 0.070", CON GUIADE 0.014", CON MARCADOR DISTAL RADIOPACO, DIAMETRO INTERNO PARA ASPIRADOMAYOR O IGUAL A 0.042", PUNTA ATRAUMATICA Y L</v>
          </cell>
          <cell r="G4386" t="str">
            <v>UN</v>
          </cell>
        </row>
        <row r="4387">
          <cell r="E4387">
            <v>7101214</v>
          </cell>
          <cell r="F4387" t="str">
            <v>SISTEMA DE CIERRE VASCULAR PARA PUNCION ARTERIAL, QUE INCLUYA COLAGENO YSUTURA, DIAMETRO6FRENCH</v>
          </cell>
          <cell r="G4387" t="str">
            <v>UN</v>
          </cell>
        </row>
        <row r="4388">
          <cell r="E4388">
            <v>7101215</v>
          </cell>
          <cell r="F4388" t="str">
            <v>SISTEMA DE CIERRE VASCULAR PARA PUNCION ARTERIAL, QUE INCLUYA COLAGENO YSUTURA, DIAMETRO 8 FRENCH</v>
          </cell>
          <cell r="G4388" t="str">
            <v>UN</v>
          </cell>
        </row>
        <row r="4389">
          <cell r="E4389">
            <v>7101216</v>
          </cell>
          <cell r="F4389" t="str">
            <v>SISTEMA STENS RENAL DE INTERCAMBIO RAPIDO (MONORIEL) DE BAJO PERFIL MONTADO SOBRE BALON SEMICOMPLACIENTE CON GUIA DE 0.018" Y LONGITUD DE TRABAJO DE 90 cm, CON REQUERIMIENTOS DE MAYOR FUERZA RADIAL PARA OSTIUMDE ARTERIAS RENALES.</v>
          </cell>
          <cell r="G4389" t="str">
            <v>UN</v>
          </cell>
        </row>
        <row r="4390">
          <cell r="E4390">
            <v>7101217</v>
          </cell>
          <cell r="F4390" t="str">
            <v>STENT AUTOEXPANDIBLE, LARGO 80 cm APROXIMADO, DIAMETRO 5 X 40 mm, DE7FRENCH, GUIA DE 0.035", CON MARCADORES RADIOPACOS</v>
          </cell>
          <cell r="G4390" t="str">
            <v>UN</v>
          </cell>
        </row>
        <row r="4391">
          <cell r="E4391">
            <v>7101218</v>
          </cell>
          <cell r="F4391" t="str">
            <v>STENT CAROTIDEO DE ACERO INOXIDABLE, AUTOEXPANDIBLE Y REPOSICIONABLE HASTA EL 80% DE DIAMETROS DESDE6A 10 MM Y LARGO DE 30 A 50 MM</v>
          </cell>
          <cell r="G4391" t="str">
            <v>UN</v>
          </cell>
        </row>
        <row r="4392">
          <cell r="E4392">
            <v>7101219</v>
          </cell>
          <cell r="F4392" t="str">
            <v>STENT PERIFERICO DE ACERO INOXIDABLE EXPANDIBLE POR BALON 5MM. X 14MMCOMPATIBLE CON GUIA 0.018" PRESION NOMINAL 12 ATM.</v>
          </cell>
          <cell r="G4392" t="str">
            <v>UN</v>
          </cell>
        </row>
        <row r="4393">
          <cell r="E4393">
            <v>7102050</v>
          </cell>
          <cell r="F4393" t="str">
            <v>ADHESIVO TISULAR COMPUESTO DE EMBUCRILATO DE 0.5 gr. PARA EMBOLIZACIONDE MALFORMACIONES ARTERIOVENOSAS. AMPOLLA OVIAL DE 5 ML</v>
          </cell>
          <cell r="G4393" t="str">
            <v>UN</v>
          </cell>
        </row>
        <row r="4394">
          <cell r="E4394">
            <v>7102051</v>
          </cell>
          <cell r="F4394" t="str">
            <v>ASA DE RECUPERACIÓN DE COILS INTRACEREBRAL.</v>
          </cell>
          <cell r="G4394" t="str">
            <v>UN</v>
          </cell>
        </row>
        <row r="4395">
          <cell r="E4395">
            <v>7102052</v>
          </cell>
          <cell r="F4395" t="str">
            <v>BALÓN PARA TECNICA DE REMODELING  DE DIÁMETRO 4 MM X 20 MM DE LARGO  MONTADO EN MICROCATETER DE 2.8 FR. DE DIÁMETRO X 150 CMS DE LARGO, PARA ANEURISMAS CEREBRALES</v>
          </cell>
          <cell r="G4395" t="str">
            <v>UN</v>
          </cell>
        </row>
        <row r="4396">
          <cell r="E4396">
            <v>7102053</v>
          </cell>
          <cell r="F4396" t="str">
            <v>BOLSA DE PRESION PORTA SUERO PARA IRRIGACION A ALTA PRESION</v>
          </cell>
          <cell r="G4396" t="str">
            <v>UN</v>
          </cell>
        </row>
        <row r="4397">
          <cell r="E4397">
            <v>7102054</v>
          </cell>
          <cell r="F4397" t="str">
            <v>CATETER DIAGNOSTICO TIPO BERN  O VERTEBRAL, HIDROFILICO, DIAMETROEXTERNO 4 FRENCH, LONGITUD DE CATETER ENTRE 95 A 105 CM</v>
          </cell>
          <cell r="G4397" t="str">
            <v>UN</v>
          </cell>
        </row>
        <row r="4398">
          <cell r="E4398">
            <v>7102055</v>
          </cell>
          <cell r="F4398" t="str">
            <v>CATÉTER PARA ANGIOGRAFÍA DIAGNOSTICA CEREBRAL, CON RECUBRIMIENTOHIDROFILICO, DIAMETRO 5 FRENCH, LONGITUD DE 90 - 110 cm, CON ÁNGULODISTAL DE 40 A 45°</v>
          </cell>
          <cell r="G4398" t="str">
            <v>UN</v>
          </cell>
        </row>
        <row r="4399">
          <cell r="E4399">
            <v>7102056</v>
          </cell>
          <cell r="F4399" t="str">
            <v>CATÉTER PARA ANGIOGRAFÍA DIAGNOSTICA CEREBRAL, CON RECUBRIMIENTOHIDROFILICO, DIAMETRO 5 FRENCH, LONGITUD DE 90 - 110 cm, CON CURVADISTAL TIPO SIM 1</v>
          </cell>
          <cell r="G4399" t="str">
            <v>UN</v>
          </cell>
        </row>
        <row r="4400">
          <cell r="E4400">
            <v>7102057</v>
          </cell>
          <cell r="F4400" t="str">
            <v>CATÉTER PARA ANGIOGRAFÍA DIAGNOSTICA CEREBRAL, CON RECUBRIMIENTOHIDROFILICO, DIAMETRO 5 FRENCH, LONGITUD DE 90 - 110 cm, CON CURVADISTAL TIPO SIM 2</v>
          </cell>
          <cell r="G4400" t="str">
            <v>UN</v>
          </cell>
        </row>
        <row r="4401">
          <cell r="E4401">
            <v>7102058</v>
          </cell>
          <cell r="F4401" t="str">
            <v>CATETER PORTADOR 6 FRENCH, DIAMETRO INTERNO MINIMO 0.060" A 0.065",ANGULO ENTRE 40 A 45°,  LONGITUD DE CATETER ENTRE 85 A 95 CM</v>
          </cell>
          <cell r="G4401" t="str">
            <v>UN</v>
          </cell>
        </row>
        <row r="4402">
          <cell r="E4402">
            <v>7102059</v>
          </cell>
          <cell r="F4402" t="str">
            <v>CATETER PORTADOR 5 FRENCH, DIAMETRO INTERNO MINIMO 0.050" A 0.055",ANGULO ENTRE 40 A 45°,  LONGITUD DE CATETER ENTRE 85 A 95 CM</v>
          </cell>
          <cell r="G4402" t="str">
            <v>UN</v>
          </cell>
        </row>
        <row r="4403">
          <cell r="E4403">
            <v>7102060</v>
          </cell>
          <cell r="F4403" t="str">
            <v>COIL DESNUDO DE PLATINO, EN ESPIRAL, EN TALLA DESDE 2 MM. HASTA 30 MM.DE DIAMETRO Y DE LONGITUD DESDE 1 CM. HASTA 50 CM.</v>
          </cell>
          <cell r="G4403" t="str">
            <v>UN</v>
          </cell>
        </row>
        <row r="4404">
          <cell r="E4404">
            <v>7102061</v>
          </cell>
          <cell r="F4404" t="str">
            <v>COIL DESNUDO DE PLATINO, EN TRES DIMENSIONES, EN TALLA DESDE 2 MM HASTA30 MM DE DIAMETRO Y DE LONGITUD DESDE 1 CM. HASTA 50 CM.</v>
          </cell>
          <cell r="G4404" t="str">
            <v>UN</v>
          </cell>
        </row>
        <row r="4405">
          <cell r="E4405">
            <v>7102062</v>
          </cell>
          <cell r="F4405" t="str">
            <v>COIL DESNUDO DE PLATINO, MULTIDIRECCIONAL, EN TALLA DESDE 2 MM HASTA 30MM DE DIAMETRO Y DE LONGITUD DESDE 1 CM. HASTA 50 CM.</v>
          </cell>
          <cell r="G4405" t="str">
            <v>UN</v>
          </cell>
        </row>
        <row r="4406">
          <cell r="E4406">
            <v>7102063</v>
          </cell>
          <cell r="F4406" t="str">
            <v>GUIA ANGIOGRAFICA CON RECUBRIMIENTO HIDROFILICO, NUCLEO DE NITINOL, CONDIAMETRO 0.012", ENTRE 195 A 205 CM DE LONGITUD, ANGULO RECTO</v>
          </cell>
          <cell r="G4406" t="str">
            <v>UN</v>
          </cell>
        </row>
        <row r="4407">
          <cell r="E4407">
            <v>7102064</v>
          </cell>
          <cell r="F4407" t="str">
            <v>GUIA ANGIOGRAFICA CON RECUBRIMIENTO HIDROFILICO, NUCLEO DE NITINOL, CONDIAMETRO 0.012", ENTRE 195 A 205 CM DE LONGITUD, DOBLE ANGULO</v>
          </cell>
          <cell r="G4407" t="str">
            <v>UN</v>
          </cell>
        </row>
        <row r="4408">
          <cell r="E4408">
            <v>7102065</v>
          </cell>
          <cell r="F4408" t="str">
            <v>JERINGA DE 1 CC DE ALTA PRESIÓN</v>
          </cell>
          <cell r="G4408" t="str">
            <v>UN</v>
          </cell>
        </row>
        <row r="4409">
          <cell r="E4409">
            <v>7102066</v>
          </cell>
          <cell r="F4409" t="str">
            <v>MECANISMO LIBERADOR DE COILS</v>
          </cell>
          <cell r="G4409" t="str">
            <v>UN</v>
          </cell>
        </row>
        <row r="4410">
          <cell r="E4410">
            <v>7102067</v>
          </cell>
          <cell r="F4410" t="str">
            <v>MEDIO DE CONTRASTE A BASE DE ESTERES ETILICOS DE ACIDOS GRASOS YODADOS,PARA COMBINAR CON EMBUCRILATO PARA EMBOLIZACION DE MALFORMACIONESARTERIOVENOSAS. AMPOLLA O VIAL DE 10 ML</v>
          </cell>
          <cell r="G4410" t="str">
            <v>UN</v>
          </cell>
        </row>
        <row r="4411">
          <cell r="E4411">
            <v>7102068</v>
          </cell>
          <cell r="F4411" t="str">
            <v>MICRO CATETER DE 1.7 A 1.8 FRENCH DE DIAMETRO EXTERNO, DIAMETRO INTERNO DE 0.165" -  0.017" CON 2 MARCAS RADIPACAS, LONGITUD DE 150- 155 cm, PUNTA FORMABLE, COMPATIBLE CON COIL</v>
          </cell>
          <cell r="G4411" t="str">
            <v>UN</v>
          </cell>
        </row>
        <row r="4412">
          <cell r="E4412">
            <v>7102069</v>
          </cell>
          <cell r="F4412" t="str">
            <v>MICRO CATETER DE FLUJO, HIDROFILICO, DIAMETRO INTERNO DE 1.5 FRENCH, LONGITUD DE 160 - 170 cm,  CON MARCA RADIO-OPACA DISTAL, PUNTAFORMABLE</v>
          </cell>
          <cell r="G4412" t="str">
            <v>UN</v>
          </cell>
        </row>
        <row r="4413">
          <cell r="E4413">
            <v>7102070</v>
          </cell>
          <cell r="F4413" t="str">
            <v>MICRO GUIA CON RECUBRIMIENTO HIDROFILICO, CON DIAMETRO 0.010", DE 200- 205 CM DE LONGITUD,  PUNTA FLOPPY</v>
          </cell>
          <cell r="G4413" t="str">
            <v>UN</v>
          </cell>
        </row>
        <row r="4414">
          <cell r="E4414">
            <v>7102071</v>
          </cell>
          <cell r="F4414" t="str">
            <v>MICRO GUIA CON RECUBRIMIENTO HIDROFILICO, CON DIAMETRO 0.010", DE 200- 205 CM DE LONGITUD,  PUNTA FORMABLE</v>
          </cell>
          <cell r="G4414" t="str">
            <v>UN</v>
          </cell>
        </row>
        <row r="4415">
          <cell r="E4415">
            <v>7102072</v>
          </cell>
          <cell r="F4415" t="str">
            <v>MICRO GUIA CON RECUBRIMIENTO HIDROFILICO, CON DIAMETRO 0.014", DE 290- 300 CM DE LONGITUD,  PUNTA FORMABLE</v>
          </cell>
          <cell r="G4415" t="str">
            <v>UN</v>
          </cell>
        </row>
        <row r="4416">
          <cell r="E4416">
            <v>7102073</v>
          </cell>
          <cell r="F4416" t="str">
            <v>MICRO GUÍA CON RECUBRIMIENTO HIDROFÍLICO, CON DIÁMETRO DE 0.008", ENTRE200 A 205 CM DE LONGITUD, PUNTA FORMABLE</v>
          </cell>
          <cell r="G4416" t="str">
            <v>UN</v>
          </cell>
        </row>
        <row r="4417">
          <cell r="E4417">
            <v>7102074</v>
          </cell>
          <cell r="F4417" t="str">
            <v>MICRO GUÍA CON RECUBRIMIENTO HIDROFÍLICO, DIÁMETRO DE 0.008", ENTRE 200A 205 CM DE LONGITUD, PUNTA FLOPPY</v>
          </cell>
          <cell r="G4417" t="str">
            <v>UN</v>
          </cell>
        </row>
        <row r="4418">
          <cell r="E4418">
            <v>7102075</v>
          </cell>
          <cell r="F4418" t="str">
            <v>VALVULA HEMOSTATICA EN "Y" CON MECANISMO PUSH-PULL</v>
          </cell>
          <cell r="G4418" t="str">
            <v>UN</v>
          </cell>
        </row>
        <row r="4419">
          <cell r="E4419">
            <v>7110030</v>
          </cell>
          <cell r="F4419" t="str">
            <v>AGUJA DE PNEUMOPERITONEO TIPO VERESS DE 120 MM DE LARGO</v>
          </cell>
          <cell r="G4419" t="str">
            <v>UN</v>
          </cell>
        </row>
        <row r="4420">
          <cell r="E4420">
            <v>7110031</v>
          </cell>
          <cell r="F4420" t="str">
            <v>APLICADOR AUTOMATICO DE CLIP, DESCARTABLE, DE 10 mm DE DIAMETRO,30 A 35 CM DE LARGO , CON CABEZA GIRATORIA 360 GRADOS, QUE INCLUYA 20 CLIPSM-L, DE TITANIO.</v>
          </cell>
          <cell r="G4420" t="str">
            <v>UN</v>
          </cell>
        </row>
        <row r="4421">
          <cell r="E4421">
            <v>7110032</v>
          </cell>
          <cell r="F4421" t="str">
            <v>APLICADOR AUTOMATICO DE CLIP, DESCARTABLE, DE 5 mm DE DIAMETRO, 30 A 35 CM DE LARGO , CON CABEZA GIRATORIA 360 GRADOS, QUE INCLUYA 20 CLIPSM-L, DE TITANIO.</v>
          </cell>
          <cell r="G4421" t="str">
            <v>UN</v>
          </cell>
        </row>
        <row r="4422">
          <cell r="E4422">
            <v>7110033</v>
          </cell>
          <cell r="F4422" t="str">
            <v>CLIPS DE TITANIO M - L,  (6 - 12 CLIPS POR DISPENSADOR)</v>
          </cell>
          <cell r="G4422" t="str">
            <v>UN</v>
          </cell>
        </row>
        <row r="4423">
          <cell r="E4423">
            <v>7110034</v>
          </cell>
          <cell r="F4423" t="str">
            <v>PINZA DE COAGULACION BIPOLAR DE 5 MM DE DIÁMETRO,25 A 35 CM DE LARGOCON CABLE DE CONECCION A ELECTROCAUTERIO</v>
          </cell>
          <cell r="G4423" t="str">
            <v>UN</v>
          </cell>
        </row>
        <row r="4424">
          <cell r="E4424">
            <v>7110035</v>
          </cell>
          <cell r="F4424" t="str">
            <v>SET DE TROCAR DE 33 mm CON CANULA Y CAMISA OBTURADOR DILATANTE, VARILLA DE INTERCAMBIO, CANULA EXTRACTORA DE ESPECIMENES Y REDUCTORES DE 10- 12 mm Y 5 mm</v>
          </cell>
          <cell r="G4424" t="str">
            <v>UN</v>
          </cell>
        </row>
        <row r="4425">
          <cell r="E4425">
            <v>7110036</v>
          </cell>
          <cell r="F4425" t="str">
            <v>TROCAR DE 10 MM DE DIAMETRO Y 70 A 100 MM DE LARGO CON BALON TRANSPARENTE Y OVALADO</v>
          </cell>
          <cell r="G4425" t="str">
            <v>UN</v>
          </cell>
        </row>
        <row r="4426">
          <cell r="E4426">
            <v>7110037</v>
          </cell>
          <cell r="F4426" t="str">
            <v>TROCAR DE 10 MM DE DIAMETRO Y 70 A 100 MM DE LARGO CON REDUCTOR DE 10A 5 MM</v>
          </cell>
          <cell r="G4426" t="str">
            <v>UN</v>
          </cell>
        </row>
        <row r="4427">
          <cell r="E4427">
            <v>7110038</v>
          </cell>
          <cell r="F4427" t="str">
            <v>TROCAR DE 12 MM DE DIAMETRO Y 70 A 100 MM DE LARGO CON REDUCTOR DE 12A 5 MM</v>
          </cell>
          <cell r="G4427" t="str">
            <v>UN</v>
          </cell>
        </row>
        <row r="4428">
          <cell r="E4428">
            <v>7110039</v>
          </cell>
          <cell r="F4428" t="str">
            <v>TROCAR DE 15 A 18 mm DE DIÁMETRO Y 70 A 100 mm DE LARGO CON REDUCTOR DE 15 - 18 mm A 10 mm, QUE INCLUYA VARILLA DE INTERCAMBIO.</v>
          </cell>
          <cell r="G4428" t="str">
            <v>UN</v>
          </cell>
        </row>
        <row r="4429">
          <cell r="E4429">
            <v>7110040</v>
          </cell>
          <cell r="F4429" t="str">
            <v>TROCAR DE 5 MM DE DIAMETRO Y 70 A 100 MM DE LARGO</v>
          </cell>
          <cell r="G4429" t="str">
            <v>UN</v>
          </cell>
        </row>
        <row r="4430">
          <cell r="E4430">
            <v>7110041</v>
          </cell>
          <cell r="F4430" t="str">
            <v>TROCAR DESCARTABLE PARA CIRUGIA LAPAROSCOPICA, DE 130 - 150 mm DE LARGO, 10 - 12 mm DE DIAMETRO</v>
          </cell>
          <cell r="G4430" t="str">
            <v>UN</v>
          </cell>
        </row>
        <row r="4431">
          <cell r="E4431">
            <v>7110042</v>
          </cell>
          <cell r="F4431" t="str">
            <v>TROCAR DESCARTABLE PARA CIRUGIA LAPAROSCOPICA, DE 130 - 150 mm DE LARGO, DE 5 mm DE DIAMETRO</v>
          </cell>
          <cell r="G4431" t="str">
            <v>UN</v>
          </cell>
        </row>
        <row r="4432">
          <cell r="E4432">
            <v>7110043</v>
          </cell>
          <cell r="F4432" t="str">
            <v>TROCAR PARA TORAX DE 10 - 12 MM DE DIAMETRO</v>
          </cell>
          <cell r="G4432" t="str">
            <v>UN</v>
          </cell>
        </row>
        <row r="4433">
          <cell r="E4433">
            <v>7110044</v>
          </cell>
          <cell r="F4433" t="str">
            <v>TROCAR PARA TORAX DE 15 MM DE DIAMETRO</v>
          </cell>
          <cell r="G4433" t="str">
            <v>UN</v>
          </cell>
        </row>
        <row r="4434">
          <cell r="E4434">
            <v>7110045</v>
          </cell>
          <cell r="F4434" t="str">
            <v>TROCAR PARA TORAX DE 20 MM DE DIAMETRO</v>
          </cell>
          <cell r="G4434" t="str">
            <v>UN</v>
          </cell>
        </row>
        <row r="4435">
          <cell r="E4435">
            <v>7110046</v>
          </cell>
          <cell r="F4435" t="str">
            <v>TROCAR PARA TORAX DE 5 -6MM DE DIAMETRO</v>
          </cell>
          <cell r="G4435" t="str">
            <v>UN</v>
          </cell>
        </row>
        <row r="4436">
          <cell r="E4436">
            <v>7111048</v>
          </cell>
          <cell r="F4436" t="str">
            <v>PINZA EXTRACTORA CON SEGURO, VASTAGO DE 30 - 35 CM. DE LARGO Y 5 MM DE DIAMETRO, GIRATORIO 360 GRADOS</v>
          </cell>
          <cell r="G4436" t="str">
            <v>UN</v>
          </cell>
        </row>
        <row r="4437">
          <cell r="E4437">
            <v>7111081</v>
          </cell>
          <cell r="F4437" t="str">
            <v>ADAPTADOR PARA INSTRUMENTAL ULTRASONICO DE 5 MM DE DIAMETRO</v>
          </cell>
          <cell r="G4437" t="str">
            <v>UN</v>
          </cell>
        </row>
        <row r="4438">
          <cell r="E4438">
            <v>7111082</v>
          </cell>
          <cell r="F4438" t="str">
            <v>APLICADOR REUSABLE DE CLIPS M-L, DE 10 MM DE DIÁMETRO, 30 -  35 CM DELARGO, CABEZA GIRATORIA 360 GRADOS.</v>
          </cell>
          <cell r="G4438" t="str">
            <v>UN</v>
          </cell>
        </row>
        <row r="4439">
          <cell r="E4439">
            <v>7111083</v>
          </cell>
          <cell r="F4439" t="str">
            <v>APLICADORES DE ANILLOS DE 5 - 10 mm Y 27-38  cm DE LONGITUD.</v>
          </cell>
          <cell r="G4439" t="str">
            <v>UN</v>
          </cell>
        </row>
        <row r="4440">
          <cell r="E4440">
            <v>7111084</v>
          </cell>
          <cell r="F4440" t="str">
            <v>BAJA NUDOS METÁLICO DE 5 MM DE DIÁMETRO Y 30 - 35 CM DE LARGO</v>
          </cell>
          <cell r="G4440" t="str">
            <v>UN</v>
          </cell>
        </row>
        <row r="4441">
          <cell r="E4441">
            <v>7111085</v>
          </cell>
          <cell r="F4441" t="str">
            <v>CABLE DE ALTA FRECUENCIA, MONOPOLAR, PARA PINZA LAPAROSCOPICA, CON SURESPECTIVO CONECTOR</v>
          </cell>
          <cell r="G4441" t="str">
            <v>UN</v>
          </cell>
        </row>
        <row r="4442">
          <cell r="E4442">
            <v>7111086</v>
          </cell>
          <cell r="F4442" t="str">
            <v>CANASTILLA PARA EXTRACCION DE CALCULOS DE VIA BILIAR DE 70 CM LONGITUD,2.2 MM DIAMETRO,4 ALAMBRES DE MONOFILAMENTO,20 - 40 MM LARGODE CANASTILLA Y CON MANGO ERGONOMICO.</v>
          </cell>
          <cell r="G4442" t="str">
            <v>UN</v>
          </cell>
        </row>
        <row r="4443">
          <cell r="E4443">
            <v>7111087</v>
          </cell>
          <cell r="F4443" t="str">
            <v>CANULA ARTROSCOPICA ENTRE 4 - 5 mm DE DIAMETRO,  CON CONECTOR LUER Y OBTURADOR</v>
          </cell>
          <cell r="G4443" t="str">
            <v>UN</v>
          </cell>
        </row>
        <row r="4444">
          <cell r="E4444">
            <v>7111088</v>
          </cell>
          <cell r="F4444" t="str">
            <v>CANULA ARTROSCOPICA ENTRE 8 - 10 mm DE DIAMETRO,  CON CONECTOR LUER YOBTURADOR</v>
          </cell>
          <cell r="G4444" t="str">
            <v>UN</v>
          </cell>
        </row>
        <row r="4445">
          <cell r="E4445">
            <v>7111089</v>
          </cell>
          <cell r="F4445" t="str">
            <v>CUCHILLA CURVA ESPATULADA ULTRASONICO DE 5 MM DE DIAMETRO Y 30 - 35 CM DE LARGO</v>
          </cell>
          <cell r="G4445" t="str">
            <v>UN</v>
          </cell>
        </row>
        <row r="4446">
          <cell r="E4446">
            <v>7111090</v>
          </cell>
          <cell r="F4446" t="str">
            <v>DISECTOR  PARA UNION ESOFAGO-GASTRICA REUSABLE, CON PUNTA ANGULABLE, 5 mm DE DIAMETRO, 30 A- 35 CM DE LARGO.</v>
          </cell>
          <cell r="G4446" t="str">
            <v>UN</v>
          </cell>
        </row>
        <row r="4447">
          <cell r="E4447">
            <v>7111091</v>
          </cell>
          <cell r="F4447" t="str">
            <v>GANCHO CROCHETE PARA ARTROSCOPIA DE HOMBRO</v>
          </cell>
          <cell r="G4447" t="str">
            <v>UN</v>
          </cell>
        </row>
        <row r="4448">
          <cell r="E4448">
            <v>7111092</v>
          </cell>
          <cell r="F4448" t="str">
            <v>GANCHO EN "L" PARA COAGULACION, REUTILIZABLE, CON ADAPTADOR PARACONECTAR CABLE DE ELECTROCAUTERIO MONOPOLAR, DE 5 MM DE DIÁMETRO, 30 -35 CMDE LARGO</v>
          </cell>
          <cell r="G4448" t="str">
            <v>UN</v>
          </cell>
        </row>
        <row r="4449">
          <cell r="E4449">
            <v>7111093</v>
          </cell>
          <cell r="F4449" t="str">
            <v>INSTRUMENTOS PARA DISECCION ENDOSCOPICA DE VENA SAFENA QUE INCLUYA: DISECTOR SUBCUTICULAR, RETRACTOR SUBCUTICULAR Y DISECTOR DE VASOS. SET</v>
          </cell>
          <cell r="G4449" t="str">
            <v>UN</v>
          </cell>
        </row>
        <row r="4450">
          <cell r="E4450">
            <v>7111094</v>
          </cell>
          <cell r="F4450" t="str">
            <v>INTRUMENTO DE  SUCCION-IRRIGACION, REUTILIZABLE, QUE INCLUYA: VALVULASINDEPENDIENTES DE  BOTON, CANULAS INTERCAMBIABLES DE 5 Y 10 MM DEDIAMETROPOR 30 -35 CM LARGO</v>
          </cell>
          <cell r="G4450" t="str">
            <v>UN</v>
          </cell>
        </row>
        <row r="4451">
          <cell r="E4451">
            <v>7111095</v>
          </cell>
          <cell r="F4451" t="str">
            <v>LENTE DE 0 GRADOS, 10 MM. DE DIAMETRO, 300 - 350 MM DE LONGITUD,PANTALLA COMPLETA, DE ALTA DEFINICION, CON ADAPTADORES PARA DIVERSOSCABLES DE FUENTE DE LUZ</v>
          </cell>
          <cell r="G4451" t="str">
            <v>UN</v>
          </cell>
        </row>
        <row r="4452">
          <cell r="E4452">
            <v>7111096</v>
          </cell>
          <cell r="F4452" t="str">
            <v>LENTE DE 0 GRADOS, 4 MM. DE DIAMETRO, PARA CIRUGIA ENDOSCOPICA DEOTORRINOLARINGOLOGIA, 170 - 200 MM DE LONGITUD, PANTALLA COMPLETA,ALTADEFINICION, CON ADAPTADORES PARA DIVERSOS CABLES DE FUENTE DE LUZ</v>
          </cell>
          <cell r="G4452" t="str">
            <v>UN</v>
          </cell>
        </row>
        <row r="4453">
          <cell r="E4453">
            <v>7111097</v>
          </cell>
          <cell r="F4453" t="str">
            <v>LENTE DE 0 GRADOS, 4 MM. DE DIAMETRO, PARA CISTOSCOPIA, 300 - 350 MM DELONGITUD, PANTALLA COMPLETA, CON ADAPTADORES PARA DIVERSOS CABLES DEFUENTE DE LUZ</v>
          </cell>
          <cell r="G4453" t="str">
            <v>UN</v>
          </cell>
        </row>
        <row r="4454">
          <cell r="E4454">
            <v>7111098</v>
          </cell>
          <cell r="F4454" t="str">
            <v>LENTE DE 0 GRADOS, 5 MM. DE DIAMETRO, 300 - 350 MM DE LONGITUD, PANTALLACOMPLETA, DE ALTA DEFINICION, CON ADAPTADORES PARA DIVERSOSCABLES DEFUENTE DE LUZ</v>
          </cell>
          <cell r="G4454" t="str">
            <v>UN</v>
          </cell>
        </row>
        <row r="4455">
          <cell r="E4455">
            <v>7111099</v>
          </cell>
          <cell r="F4455" t="str">
            <v>LENTE DE 30 GRADOS, 10 MM. DE DIAMETRO, 300 - 350 MM DE LONGITUD,PANTALLA COMPLETA, CON ADAPTADORES PARA DIVERSOS CABLES DE FUENTE DE LUZ</v>
          </cell>
          <cell r="G4455" t="str">
            <v>UN</v>
          </cell>
        </row>
        <row r="4456">
          <cell r="E4456">
            <v>7111100</v>
          </cell>
          <cell r="F4456" t="str">
            <v>LENTE DE 30 GRADOS, 4 MM. DE DIAMETRO, PARA CIRUGIA ENDOSCOPICA DEOTORRINOLARINGOLOGIA, 170 - 200 MM DE LONGITUD, PANTALLA COMPLETA, ALTADEFINICION, CON ADAPTADORES PARA DIVERSOS CABLES DE FUENTE DE LUZ</v>
          </cell>
          <cell r="G4456" t="str">
            <v>UN</v>
          </cell>
        </row>
        <row r="4457">
          <cell r="E4457">
            <v>7111101</v>
          </cell>
          <cell r="F4457" t="str">
            <v>LENTE DE 30 GRADOS, 4 MM. DE DIAMETRO, PARA CISTOSCOPIA, 300 - 350 MMDELONGITUD, PANTALLA COMPLETA, CON ADAPTADORES PARA DIVERSOS CABLES DEFUENTE DE LUZ</v>
          </cell>
          <cell r="G4457" t="str">
            <v>UN</v>
          </cell>
        </row>
        <row r="4458">
          <cell r="E4458">
            <v>7111102</v>
          </cell>
          <cell r="F4458" t="str">
            <v>LENTE DE 30 GRADOS, 5 MM. DE DIAMETRO, 300 - 350 MM DE LONGITUD, PANTALLA COMPLETA, CON ADAPTADORES PARA DIVERSOS CABLES DE FUENTE DE LUZ</v>
          </cell>
          <cell r="G4458" t="str">
            <v>UN</v>
          </cell>
        </row>
        <row r="4459">
          <cell r="E4459">
            <v>7111103</v>
          </cell>
          <cell r="F4459" t="str">
            <v>LENTE DE 30°, DIAMETRO 4 MM, LONGITUD 22-24 CM, PARA ARTROSCOPIA</v>
          </cell>
          <cell r="G4459" t="str">
            <v>UN</v>
          </cell>
        </row>
        <row r="4460">
          <cell r="E4460">
            <v>7111104</v>
          </cell>
          <cell r="F4460" t="str">
            <v>LLAVE PARA FIJAR INSTRUMENTOS ULTRASONICOS A TRANSDUCTOR</v>
          </cell>
          <cell r="G4460" t="str">
            <v>UN</v>
          </cell>
        </row>
        <row r="4461">
          <cell r="E4461">
            <v>7111105</v>
          </cell>
          <cell r="F4461" t="str">
            <v>PASADOR DE NUDOS EN HOMBRO (KNOT PUSHER)</v>
          </cell>
          <cell r="G4461" t="str">
            <v>UN</v>
          </cell>
        </row>
        <row r="4462">
          <cell r="E4462">
            <v>7111106</v>
          </cell>
          <cell r="F4462" t="str">
            <v>PINZA ARTROSCOPICA DE 45° ANGULO A LA DERECHA, ENTRE 3.0 - 3.5 mm DE DIAMETRO</v>
          </cell>
          <cell r="G4462" t="str">
            <v>UN</v>
          </cell>
        </row>
        <row r="4463">
          <cell r="E4463">
            <v>7111107</v>
          </cell>
          <cell r="F4463" t="str">
            <v>PINZA ARTROSCOPICA DE 45° ANGULO A LA IZQUIERDA, ENTRE 3.0 - 3.5 mm DE DIAMETRO</v>
          </cell>
          <cell r="G4463" t="str">
            <v>UN</v>
          </cell>
        </row>
        <row r="4464">
          <cell r="E4464">
            <v>7111108</v>
          </cell>
          <cell r="F4464" t="str">
            <v>PINZA ARTROSCOPICA PARA MANIPULAR SUTURAS DE HOMBRO TIPO CANGREJO</v>
          </cell>
          <cell r="G4464" t="str">
            <v>UN</v>
          </cell>
        </row>
        <row r="4465">
          <cell r="E4465">
            <v>7111109</v>
          </cell>
          <cell r="F4465" t="str">
            <v>PINZA ARTROSCOPICA RECTA, ENTRE 2.5 - 3.0 mm DE DIAMETRO</v>
          </cell>
          <cell r="G4465" t="str">
            <v>UN</v>
          </cell>
        </row>
        <row r="4466">
          <cell r="E4466">
            <v>7111110</v>
          </cell>
          <cell r="F4466" t="str">
            <v>PINZA ARTROSCOPICA RECTA, ENTRE 3.0 - 3.5 mm DE DIAMETRO</v>
          </cell>
          <cell r="G4466" t="str">
            <v>UN</v>
          </cell>
        </row>
        <row r="4467">
          <cell r="E4467">
            <v>7111111</v>
          </cell>
          <cell r="F4467" t="str">
            <v>PINZA ARTROSCOPICA TIPO CASPARI</v>
          </cell>
          <cell r="G4467" t="str">
            <v>UN</v>
          </cell>
        </row>
        <row r="4468">
          <cell r="E4468">
            <v>7111112</v>
          </cell>
          <cell r="F4468" t="str">
            <v>PINZA BABCOCK CON SEGURO, 10 MM DE DIAMETRO Y 30 - 35 CM DE LARGO, GIRATORIA 360 GRADOS</v>
          </cell>
          <cell r="G4468" t="str">
            <v>UN</v>
          </cell>
        </row>
        <row r="4469">
          <cell r="E4469">
            <v>7111113</v>
          </cell>
          <cell r="F4469" t="str">
            <v>PINZA BABCOCK CON SEGURO, 5 MM DE DIÁMETRO Y 30 - 35 CM DE LARGO, GIRATORIA 360 GRADOS</v>
          </cell>
          <cell r="G4469" t="str">
            <v>UN</v>
          </cell>
        </row>
        <row r="4470">
          <cell r="E4470">
            <v>7111114</v>
          </cell>
          <cell r="F4470" t="str">
            <v>PINZA BABCOCK, REUSABLE, CON SEGURO, 10 mm DE DIAMETRO Y 42 - 45 cm DE LARGO, GIRATORIA 360°</v>
          </cell>
          <cell r="G4470" t="str">
            <v>UN</v>
          </cell>
        </row>
        <row r="4471">
          <cell r="E4471">
            <v>7111115</v>
          </cell>
          <cell r="F4471" t="str">
            <v>PINZA DE AGARRE RECTA CON DIENTES ATRAUMATICOS, CON SEGURO, VASTAGO DE 25 - 28 CM DE LARGO Y 5 MM DE DIAMETRO, GIRATORIO 360 GRADOS.</v>
          </cell>
          <cell r="G4471" t="str">
            <v>UN</v>
          </cell>
        </row>
        <row r="4472">
          <cell r="E4472">
            <v>7111116</v>
          </cell>
          <cell r="F4472" t="str">
            <v>PINZA DE AGARRE RECTA CON DIENTES ATRAUMATICOS, CON SEGURO, VASTAGO DE 30 - 35 CM DE LARGO Y 5 MM DE DIAMETRO, GIRATORIO 360 GRADOS.</v>
          </cell>
          <cell r="G4472" t="str">
            <v>UN</v>
          </cell>
        </row>
        <row r="4473">
          <cell r="E4473">
            <v>7111117</v>
          </cell>
          <cell r="F4473" t="str">
            <v>PINZA DE AGARRE REUTILIZABLE DE 5 mm, PUNTA ROMA ATRAUMATICA, MANGO ROTATIVO DE 360°, 35 - 45 cm DE LONGITUD</v>
          </cell>
          <cell r="G4473" t="str">
            <v>UN</v>
          </cell>
        </row>
        <row r="4474">
          <cell r="E4474">
            <v>7111118</v>
          </cell>
          <cell r="F4474" t="str">
            <v>PINZA DE AGARRE Y BIOPSIA PARA USO EN HISTEROSCOPIO DIAGNOSTICO,SEMIRIGIDA, DIAMETRO 5 CHARR, LONGITUD DE 37 A 40 CM</v>
          </cell>
          <cell r="G4474" t="str">
            <v>UN</v>
          </cell>
        </row>
        <row r="4475">
          <cell r="E4475">
            <v>7111119</v>
          </cell>
          <cell r="F4475" t="str">
            <v>PINZA DE COAGULACION BIPOLAR DE 5 MM DE DIAMETRO, 25 A 35 CM DE LARGOCON CABLE DE CONECCION A ELECTROCAUTERIO.</v>
          </cell>
          <cell r="G4475" t="str">
            <v>UN</v>
          </cell>
        </row>
        <row r="4476">
          <cell r="E4476">
            <v>7111120</v>
          </cell>
          <cell r="F4476" t="str">
            <v>PINZA DE DISECCION CURVA, TIPO MARYLAND, CON DIENTES ATRAUMATICOS, ADAPTADOR PARA CONECTAR CABLE DE ELECTROCAUTERIO MONOPOLAR, VASTAGO DE 42 - 45 cm DE LARGO Y 5 MM DE DIÁMETRO, GIRATORIO 360°</v>
          </cell>
          <cell r="G4476" t="str">
            <v>UN</v>
          </cell>
        </row>
        <row r="4477">
          <cell r="E4477">
            <v>7111121</v>
          </cell>
          <cell r="F4477" t="str">
            <v>PINZA DISECTORA CURVA CON ADAPTADOR PARA CONECTAR CABLE DE ELECTROCAUTERIO MONOPOLAR, VASTAGO DE 30 - 35 CM. DE LARGO Y 5 MM DE DIÁMETRO, GIRATORIO 360°</v>
          </cell>
          <cell r="G4477" t="str">
            <v>UN</v>
          </cell>
        </row>
        <row r="4478">
          <cell r="E4478">
            <v>7111122</v>
          </cell>
          <cell r="F4478" t="str">
            <v>PINZA EXTRACTORA, REUTILIZABLE, CON SEGURO, VASTAGO DE 30 - 35 CM. DELARGO Y 10 MM DE DIAMETRO, GIRATORIO 360 GRADOS</v>
          </cell>
          <cell r="G4478" t="str">
            <v>UN</v>
          </cell>
        </row>
        <row r="4479">
          <cell r="E4479">
            <v>7111123</v>
          </cell>
          <cell r="F4479" t="str">
            <v>PINZA LAPAROSCOPICA TIPO TENACULO, REUTILIZABLE, CON SEGURO, VASTAGO DE30 - 35 CM. DE LARGO Y 10 MM DE DIAMETRO, GIRATORIO 360 GRADOS</v>
          </cell>
          <cell r="G4479" t="str">
            <v>UN</v>
          </cell>
        </row>
        <row r="4480">
          <cell r="E4480">
            <v>7111124</v>
          </cell>
          <cell r="F4480" t="str">
            <v>PINZA PARA BIOPSIA TIPO CUCHARA CON DIENTE, VASTAGO DE 30 - 35 CM DE LARGO Y 5 MM DE DIAMETRO, GIRATORIO 360 GRADOS.</v>
          </cell>
          <cell r="G4480" t="str">
            <v>UN</v>
          </cell>
        </row>
        <row r="4481">
          <cell r="E4481">
            <v>7111125</v>
          </cell>
          <cell r="F4481" t="str">
            <v>PINZA PARA BIOPSIA TIPO CUCHARA SIN DIENTE, VASTAGO DE 30 - 35 CM DE LARGO Y 5 MM DE DIAMETRO, GIRATORIO 360 GRADOS.</v>
          </cell>
          <cell r="G4481" t="str">
            <v>UN</v>
          </cell>
        </row>
        <row r="4482">
          <cell r="E4482">
            <v>7111126</v>
          </cell>
          <cell r="F4482" t="str">
            <v>PINZA PARA PULMON DUVAL CON SEGURO, GIRATORIA 360 GRADOS, 25 - 28 CM DE LARGO Y 10-12 MM DE DIAMETRO</v>
          </cell>
          <cell r="G4482" t="str">
            <v>UN</v>
          </cell>
        </row>
        <row r="4483">
          <cell r="E4483">
            <v>7111127</v>
          </cell>
          <cell r="F4483" t="str">
            <v>PINZA PARA PULMON GLASSSMAN CON SEGURO, GIRATORIA 360 GRADOS, 25 - 28CM DE LARGO Y 10-12 MM DE DIAMETRO.</v>
          </cell>
          <cell r="G4483" t="str">
            <v>UN</v>
          </cell>
        </row>
        <row r="4484">
          <cell r="E4484">
            <v>7111128</v>
          </cell>
          <cell r="F4484" t="str">
            <v>PINZA TIPO GRASPER, MANDIBULA ATRAUMATICA DE 22 - 24 mm DE LONGITUD, REUSABLE, CON SEGURO, VASTAGO DE 42 - 45 cm DE LARGO, 5 mm DE DIAMETRO, GIRATORIO 360°</v>
          </cell>
          <cell r="G4484" t="str">
            <v>UN</v>
          </cell>
        </row>
        <row r="4485">
          <cell r="E4485">
            <v>7111129</v>
          </cell>
          <cell r="F4485" t="str">
            <v>PINZA TIPO GRASPER, MANDIBULA ATRAUMATICA DE 38 - 40 mm DE LONGITUD, REUSABLE, CON SEGURO, VASTAGO DE 42 - 45 cm DE LARGO, 5 mm DE DIAMETRO, GIRATORIO 360°</v>
          </cell>
          <cell r="G4485" t="str">
            <v>UN</v>
          </cell>
        </row>
        <row r="4486">
          <cell r="E4486">
            <v>7111130</v>
          </cell>
          <cell r="F4486" t="str">
            <v>PINZA TIPO GRASPER, MANDIBULA CON ORIFICIOS, APLANADA, REUSABLE, CON SEGURO, VASTAGO DE 42 - 45 cm DE LARGO, 5 mm DE DIAMETRO, GIRATORIO 360°</v>
          </cell>
          <cell r="G4486" t="str">
            <v>UN</v>
          </cell>
        </row>
        <row r="4487">
          <cell r="E4487">
            <v>7111131</v>
          </cell>
          <cell r="F4487" t="str">
            <v>PORTA AGUJAS LAPAROSCOPICO, REUSABLE, TIPO CASTRO VIEJO, MANDIBULAS CON CURVA HACIA LA DERECHA, VASTAGO DE 32 - 35 cm DE LONGITUD, 5 mm DE DIAMETRO</v>
          </cell>
          <cell r="G4487" t="str">
            <v>UN</v>
          </cell>
        </row>
        <row r="4488">
          <cell r="E4488">
            <v>7111132</v>
          </cell>
          <cell r="F4488" t="str">
            <v>PORTA AGUJAS LAPAROSCOPICO, REUSABLE, TIPO CASTRO VIEJO, MANDIBULAS CON CURVA HACIA LA IZQUIERDA, VASTAGO DE 32 - 35 cm DE LONGITUD, 5 mm DE DIAMETRO</v>
          </cell>
          <cell r="G4488" t="str">
            <v>UN</v>
          </cell>
        </row>
        <row r="4489">
          <cell r="E4489">
            <v>7111133</v>
          </cell>
          <cell r="F4489" t="str">
            <v>PORTA AGUJAS PUNTA RECTA DE LAPAROSCOPICO REUSABLE, VASTAGO DE 32 - 35 CM DE LARGO, 5 mm DE DIAMETRO, MANGO PALMAR</v>
          </cell>
          <cell r="G4489" t="str">
            <v>UN</v>
          </cell>
        </row>
        <row r="4490">
          <cell r="E4490">
            <v>7111134</v>
          </cell>
          <cell r="F4490" t="str">
            <v>RETRACTOR LAPAROSCOPICO, DE HIGADO, DE CINCO HOJAS, DE 10 MM DIAMETRO, 30 -  35 CM DE LARGO</v>
          </cell>
          <cell r="G4490" t="str">
            <v>UN</v>
          </cell>
        </row>
        <row r="4491">
          <cell r="E4491">
            <v>7111135</v>
          </cell>
          <cell r="F4491" t="str">
            <v>SEPARADOR HEPATICO PARA USO LAPAROSCOPICO, REUSABLE, DE 5 -7 mm DEDIAMETRO, CON UNA RAMA CURVA O DISPOSITIVO QUE CURVE EL EXTREMO DISTALEN FORMA DE GANCHO</v>
          </cell>
          <cell r="G4491" t="str">
            <v>UN</v>
          </cell>
        </row>
        <row r="4492">
          <cell r="E4492">
            <v>7111136</v>
          </cell>
          <cell r="F4492" t="str">
            <v>TIJERA ARTROSCOPICA RECTA CON PUNTA DE GANCHO, ENTRE 3.0 - 3.5 mm DE DIAMETRO</v>
          </cell>
          <cell r="G4492" t="str">
            <v>UN</v>
          </cell>
        </row>
        <row r="4493">
          <cell r="E4493">
            <v>7111137</v>
          </cell>
          <cell r="F4493" t="str">
            <v>TIJERA CURVA CON ADAPTADOR PARA CONECTAR CABLE DE ELECTROCAUTERIO MONOPOLAR, VASTAGO DE 25 - 28 CM DE LARGO Y 5 mm DE DIÁMETRO, GIRATORIO 360 GRADOS.</v>
          </cell>
          <cell r="G4493" t="str">
            <v>UN</v>
          </cell>
        </row>
        <row r="4494">
          <cell r="E4494">
            <v>7111138</v>
          </cell>
          <cell r="F4494" t="str">
            <v>TIJERA CURVA MONOPOLAR, VÁSTAGO DE 30 - 36 CM DE LARGO Y 5 MM DE DIÁMETRO,GIRATORIO 360 GRADOS.</v>
          </cell>
          <cell r="G4494" t="str">
            <v>UN</v>
          </cell>
        </row>
        <row r="4495">
          <cell r="E4495">
            <v>7111139</v>
          </cell>
          <cell r="F4495" t="str">
            <v>TIJERA CURVA TIPO METZENBAUM, REUSABLE,  VASTAGO DE 42 - 45 cm DE LARGO Y 5 mm DE DIÁMETRO, GIRATORIO 360°</v>
          </cell>
          <cell r="G4495" t="str">
            <v>UN</v>
          </cell>
        </row>
        <row r="4496">
          <cell r="E4496">
            <v>7111140</v>
          </cell>
          <cell r="F4496" t="str">
            <v>TIJERA SEMIRIGIDA ROMA PARA HISTEROSCOPIA, UNILATERAL, DIAMETRO 5 CHARR,LONGITUD DE 37 A 40 CM</v>
          </cell>
          <cell r="G4496" t="str">
            <v>UN</v>
          </cell>
        </row>
        <row r="4497">
          <cell r="E4497">
            <v>7111141</v>
          </cell>
          <cell r="F4497" t="str">
            <v>TIJERA ULTRASONICA DE 5 MM DE DIAMETRO Y 30 - 35 CM DE LARGO PARA BISTURI ARMONICO</v>
          </cell>
          <cell r="G4497" t="str">
            <v>UN</v>
          </cell>
        </row>
        <row r="4498">
          <cell r="E4498">
            <v>7111142</v>
          </cell>
          <cell r="F4498" t="str">
            <v>TRANSDUCTOR ACUSTICO (PIEZA DE MANO) PARA BISTURI ARMONICO</v>
          </cell>
          <cell r="G4498" t="str">
            <v>UN</v>
          </cell>
        </row>
        <row r="4499">
          <cell r="E4499">
            <v>7112060</v>
          </cell>
          <cell r="F4499" t="str">
            <v>BANDA GÁSTRICA AJUSTABLE  DE BAJA PRESION CON TUBO CONECTOR, PUERTO DE INYECCION. PARA CIRUGIA DE OBESIDAD MORBIDA.. SET</v>
          </cell>
          <cell r="G4499" t="str">
            <v>SET</v>
          </cell>
        </row>
        <row r="4500">
          <cell r="E4500">
            <v>7112061</v>
          </cell>
          <cell r="F4500" t="str">
            <v>BOLSA PARA RECUPERAR ESPECIMEN DE  10 - 13 CM DE DIAMETRO Y 15 - 25 CM DE ALTO, CON INTRODUCTOR  LAPAROSCOPICO DE 15 MM DE DIÁMETRO</v>
          </cell>
          <cell r="G4500" t="str">
            <v>UN</v>
          </cell>
        </row>
        <row r="4501">
          <cell r="E4501">
            <v>7112062</v>
          </cell>
          <cell r="F4501" t="str">
            <v>BOLSA PARA RECUPERAR ESPECIMEN DE 6- 10 CM DE DIAMETRO Y 10   15 CMDEALTO, CON INTRODUCTOR  LAPAROSCOPICO DE 10 MM DE DIÁMETRO</v>
          </cell>
          <cell r="G4501" t="str">
            <v>UN</v>
          </cell>
        </row>
        <row r="4502">
          <cell r="E4502">
            <v>7112063</v>
          </cell>
          <cell r="F4502" t="str">
            <v>CABLE DE FIBRA OPTICA P/LAPAROSCOPIO QUE ADAPTE AFUENTE DE LUZ M-STRYKER</v>
          </cell>
          <cell r="G4502" t="str">
            <v>UN</v>
          </cell>
        </row>
        <row r="4503">
          <cell r="E4503">
            <v>7112064</v>
          </cell>
          <cell r="F4503" t="str">
            <v>CABLE DE FIBRA OPTICA PARA RESECTOSCOPIO</v>
          </cell>
          <cell r="G4503" t="str">
            <v>UN</v>
          </cell>
        </row>
        <row r="4504">
          <cell r="E4504">
            <v>7112065</v>
          </cell>
          <cell r="F4504" t="str">
            <v>CATETER PARA COLANGIOGRAFIA LAPAROSCOPICA CON INTRODUCTOR DE 5 MM DE DIAMETRO Y GUIA MALEABLE.</v>
          </cell>
          <cell r="G4504" t="str">
            <v>UN</v>
          </cell>
        </row>
        <row r="4505">
          <cell r="E4505">
            <v>7112066</v>
          </cell>
          <cell r="F4505" t="str">
            <v>CEPILLO PARA LIMPIEZA DE TROCARES DE 10 MM DE DIAMETRO</v>
          </cell>
          <cell r="G4505" t="str">
            <v>UN</v>
          </cell>
        </row>
        <row r="4506">
          <cell r="E4506">
            <v>7112067</v>
          </cell>
          <cell r="F4506" t="str">
            <v>CEPILLO PARA LIMPIEZA DE TROCARES DE 12 MM. DE DIAMETRO.</v>
          </cell>
          <cell r="G4506" t="str">
            <v>UN</v>
          </cell>
        </row>
        <row r="4507">
          <cell r="E4507">
            <v>7112068</v>
          </cell>
          <cell r="F4507" t="str">
            <v>CEPILLO PARA LIMPIEZA DE TROCARES DE 5 MM DE DIAMETRO</v>
          </cell>
          <cell r="G4507" t="str">
            <v>UN</v>
          </cell>
        </row>
        <row r="4508">
          <cell r="E4508">
            <v>7112069</v>
          </cell>
          <cell r="F4508" t="str">
            <v>DETERGENTE ENZIMATICO PARA LIMPIEZA DE INSTRUMENTAL ENDOSCOPICO</v>
          </cell>
          <cell r="G4508" t="str">
            <v>UN</v>
          </cell>
        </row>
        <row r="4509">
          <cell r="E4509">
            <v>7112070</v>
          </cell>
          <cell r="F4509" t="str">
            <v>MALLA DE POLIPROPILENE DE 6" X 6" (15 X 15 CMS)</v>
          </cell>
          <cell r="G4509" t="str">
            <v>UN</v>
          </cell>
        </row>
        <row r="4510">
          <cell r="E4510">
            <v>7112071</v>
          </cell>
          <cell r="F4510" t="str">
            <v>MALLA DE POLITETRAFLUORETILENO EXPANDIDO DE 15 X 19 CM</v>
          </cell>
          <cell r="G4510" t="str">
            <v>UN</v>
          </cell>
        </row>
        <row r="4511">
          <cell r="E4511">
            <v>7112072</v>
          </cell>
          <cell r="F4511" t="str">
            <v>MALLA PROTESICA PARA EL REPARO DE HERNIAS ABDOMINALES CON DOS CAPAS, UNACON PROTECCION PARA LAS VISCERAS INTRA ABDOMINALES Y OTRA PARA CONTACTOY FIJACION A PARED ABDOMINAL DE 12 A 15 CM X 15 A 25 CM</v>
          </cell>
          <cell r="G4511" t="str">
            <v>UN</v>
          </cell>
        </row>
        <row r="4512">
          <cell r="E4512">
            <v>7112073</v>
          </cell>
          <cell r="F4512" t="str">
            <v>MALLA PROTESICA PARA EL REPARO DE HERNIAS ABDOMINALES CON DOS CAPAS, UNACON PROTECCION PARA LAS VISCERAS INTRA ABDOMINALES Y OTRA PARA CONTACTOY FIJACION A PARED ABDOMINAL DE 20 A 30 CM X 25 A 35 CM</v>
          </cell>
          <cell r="G4512" t="str">
            <v>UN</v>
          </cell>
        </row>
        <row r="4513">
          <cell r="E4513">
            <v>7112074</v>
          </cell>
          <cell r="F4513" t="str">
            <v>NUDO PRE-ELABORADO, PARA CIRUGIA LAPAROSCOPICA, DE SUTURA   ABSORBIBLE 2/0, 50 -  55 CM DE HEBRA, CON INTRODUCTOR DE 5 MM DE DIAMETRO</v>
          </cell>
          <cell r="G4513" t="str">
            <v>UN</v>
          </cell>
        </row>
        <row r="4514">
          <cell r="E4514">
            <v>7112075</v>
          </cell>
          <cell r="F4514" t="str">
            <v>NUDO PRE-ELABORADO, PARA CIRUGIA LAPAROSCOPICA, DE SUTURA NO ABSORBIBLE 2/0, 50 -  55 CM DE HEBRA, CON INTRODUCTOR DE 5 MM DE DIAMETRO</v>
          </cell>
          <cell r="G4514" t="str">
            <v>UN</v>
          </cell>
        </row>
        <row r="4515">
          <cell r="E4515">
            <v>7112076</v>
          </cell>
          <cell r="F4515" t="str">
            <v>TUBO PARA INSUFLADOR DE CO2, CON FILTRO, ADAPTABLE A INSUFLADOR PARA CIRUGIA LAPAROSCOPICA, MARCA Y MODELO INSTITUCIONAL</v>
          </cell>
          <cell r="G4515" t="str">
            <v>UN</v>
          </cell>
        </row>
        <row r="4516">
          <cell r="E4516">
            <v>7991896</v>
          </cell>
          <cell r="F4516" t="str">
            <v>ELEVADOR DE RAIZ TIPO WHITE # 342 INOXIDABLE.</v>
          </cell>
          <cell r="G4516" t="str">
            <v>ELIM LIST OFICIAL</v>
          </cell>
        </row>
        <row r="4517">
          <cell r="E4517">
            <v>7991897</v>
          </cell>
          <cell r="F4517" t="str">
            <v xml:space="preserve"> Cincel recto</v>
          </cell>
          <cell r="G4517" t="str">
            <v>ELIM LIST OFICIAL</v>
          </cell>
        </row>
        <row r="4518">
          <cell r="E4518">
            <v>7991898</v>
          </cell>
          <cell r="F4518" t="str">
            <v xml:space="preserve">CURETA UNIVERSAL Nº5   1 ANUAL </v>
          </cell>
          <cell r="G4518" t="str">
            <v>ELIM LIST OFICIAL</v>
          </cell>
        </row>
        <row r="4519">
          <cell r="E4519">
            <v>7991899</v>
          </cell>
          <cell r="F4519" t="str">
            <v>CURETA CORTANTE GRANDE 1</v>
          </cell>
          <cell r="G4519" t="str">
            <v>ELIM LIST OFICIAL</v>
          </cell>
        </row>
        <row r="4520">
          <cell r="E4520">
            <v>7991900</v>
          </cell>
          <cell r="F4520" t="str">
            <v>Forceps de extracciòn N- 1 Inoxidable C/U</v>
          </cell>
          <cell r="G4520" t="str">
            <v>ELIM LIST OFICIAL</v>
          </cell>
        </row>
        <row r="4521">
          <cell r="E4521">
            <v>7991901</v>
          </cell>
          <cell r="F4521" t="str">
            <v xml:space="preserve"> Forceps de extracción Nº 203</v>
          </cell>
          <cell r="G4521" t="str">
            <v>ELIM LIST OFICIAL</v>
          </cell>
        </row>
        <row r="4522">
          <cell r="E4522">
            <v>7991902</v>
          </cell>
          <cell r="F4522" t="str">
            <v>Martillo quirurgico para uso odontològico C/U</v>
          </cell>
          <cell r="G4522" t="str">
            <v>ELIM LIST OFICIAL</v>
          </cell>
        </row>
        <row r="4523">
          <cell r="E4523">
            <v>7991903</v>
          </cell>
          <cell r="F4523" t="str">
            <v>261055 Pinza Gubia LUER  de 15 cm Instrumental años anteriores</v>
          </cell>
          <cell r="G4523" t="str">
            <v>ELIM LIST OFICIAL</v>
          </cell>
        </row>
        <row r="4524">
          <cell r="E4524">
            <v>7991904</v>
          </cell>
          <cell r="F4524" t="str">
            <v>PINZA GUBIA ZAUFAL RECTA 1 ANUAL</v>
          </cell>
          <cell r="G4524" t="str">
            <v>ELIM LIST OFICIAL</v>
          </cell>
        </row>
        <row r="4525">
          <cell r="E4525">
            <v>7991905</v>
          </cell>
          <cell r="F4525" t="str">
            <v>Tijera para retirar puntos de sutura</v>
          </cell>
          <cell r="G4525" t="str">
            <v>ELIM LIST OFICIAL</v>
          </cell>
        </row>
        <row r="4526">
          <cell r="E4526">
            <v>7991906</v>
          </cell>
          <cell r="F4526" t="str">
            <v>3  (2  NUEVOS, 1 EN USO) Separador senn miller punta cortante 16 cms</v>
          </cell>
          <cell r="G4526" t="str">
            <v>ELIM LIST OFICIAL</v>
          </cell>
        </row>
        <row r="4527">
          <cell r="E4527">
            <v>7991907</v>
          </cell>
          <cell r="F4527" t="str">
            <v>2  (NUEVOS)  Retractor de menton, tipo Obwergeser" 15.5 cms</v>
          </cell>
          <cell r="G4527" t="str">
            <v>ELIM LIST OFICIAL</v>
          </cell>
        </row>
        <row r="4528">
          <cell r="E4528">
            <v>7991908</v>
          </cell>
          <cell r="F4528" t="str">
            <v>Elevador de raiz, tipo Hieidbrink derecho</v>
          </cell>
          <cell r="G4528" t="str">
            <v>ELIM LIST OFICIAL</v>
          </cell>
        </row>
        <row r="4529">
          <cell r="E4529">
            <v>7991909</v>
          </cell>
          <cell r="F4529" t="str">
            <v>Elevador de raiz, tipo Hieidbrink  izquierdo</v>
          </cell>
          <cell r="G4529" t="str">
            <v>ELIM LIST OFICIAL</v>
          </cell>
        </row>
        <row r="4530">
          <cell r="E4530">
            <v>7991910</v>
          </cell>
          <cell r="F4530" t="str">
            <v>3  (2 NUEVAS, 1 EN USO) Epacador de gasa o algodón cortante liso</v>
          </cell>
          <cell r="G4530" t="str">
            <v>ELIM LIST OFICIAL</v>
          </cell>
        </row>
        <row r="4531">
          <cell r="E4531">
            <v>7991911</v>
          </cell>
          <cell r="F4531" t="str">
            <v>Cincel para hueso "Gardner"</v>
          </cell>
          <cell r="G4531" t="str">
            <v>ELIM LIST OFICIAL</v>
          </cell>
        </row>
        <row r="4532">
          <cell r="E4532">
            <v>7991912</v>
          </cell>
          <cell r="F4532" t="str">
            <v>MINIPLACAS DE 16 HOLE BATCH O SIMILAR.</v>
          </cell>
          <cell r="G4532" t="str">
            <v>ELIM LIST OFICIAL</v>
          </cell>
        </row>
        <row r="4533">
          <cell r="E4533">
            <v>7991913</v>
          </cell>
          <cell r="F4533" t="str">
            <v>PORTA AGUJAS MEDIANO</v>
          </cell>
          <cell r="G4533" t="str">
            <v>ELIM LIST OFICIAL</v>
          </cell>
        </row>
        <row r="4534">
          <cell r="E4534">
            <v>7991914</v>
          </cell>
          <cell r="F4534" t="str">
            <v>SEPARADOR DE TEJIDOS HARTMAN</v>
          </cell>
          <cell r="G4534" t="str">
            <v>ELIM LIST OFICIAL</v>
          </cell>
        </row>
        <row r="4535">
          <cell r="E4535">
            <v>7991915</v>
          </cell>
          <cell r="F4535" t="str">
            <v>Espaciador o condensador de gutapercha</v>
          </cell>
          <cell r="G4535" t="str">
            <v>ELIM LIST OFICIAL</v>
          </cell>
        </row>
        <row r="4536">
          <cell r="E4536">
            <v>7991916</v>
          </cell>
          <cell r="F4536" t="str">
            <v>*ELIMINADO: ESPACIADOR O CONDENSADOR DE GUTAPERCHA # 3 (ACDO. # 2004.0443.MZO.)</v>
          </cell>
          <cell r="G4536" t="str">
            <v>ELIM LIST OFICIAL</v>
          </cell>
        </row>
        <row r="4537">
          <cell r="E4537">
            <v>7991917</v>
          </cell>
          <cell r="F4537" t="str">
            <v>ENSANCHADOR PARA CONTRANGULO DE BAJA VELOCIDAD    (DEL 1 AL 6).</v>
          </cell>
          <cell r="G4537" t="str">
            <v>ELIM LIST OFICIAL</v>
          </cell>
        </row>
        <row r="4538">
          <cell r="E4538">
            <v>7991925</v>
          </cell>
          <cell r="F4538" t="str">
            <v>1   Vasija de acero inoxidable con tapadera de presion (NUEVA)</v>
          </cell>
          <cell r="G4538" t="str">
            <v>ELIM LIST OFICIAL</v>
          </cell>
        </row>
        <row r="4539">
          <cell r="E4539">
            <v>7991927</v>
          </cell>
          <cell r="F4539" t="str">
            <v>7  Dispensadores de acero inoxidable para cepillo (2 NUEVAS, 5 EN USO)</v>
          </cell>
          <cell r="G4539" t="str">
            <v>ELIM LIST OFICIAL</v>
          </cell>
        </row>
        <row r="4540">
          <cell r="E4540">
            <v>7991938</v>
          </cell>
          <cell r="F4540" t="str">
            <v>CODIGO ACTUAL 707126</v>
          </cell>
          <cell r="G4540" t="str">
            <v>ELIM LIST OFICIAL</v>
          </cell>
        </row>
        <row r="4541">
          <cell r="E4541">
            <v>7991946</v>
          </cell>
          <cell r="F4541" t="str">
            <v>INSTRUMENTOS PARA DRENAJE DE LA CAVIDAD PLEURAL</v>
          </cell>
          <cell r="G4541" t="str">
            <v>ELIM LIST OFICIAL</v>
          </cell>
        </row>
        <row r="4542">
          <cell r="E4542">
            <v>7991953</v>
          </cell>
          <cell r="F4542" t="str">
            <v>CODIGO ACTUAL 707095</v>
          </cell>
          <cell r="G4542" t="str">
            <v>ELIM LIST OFICIAL</v>
          </cell>
        </row>
        <row r="4543">
          <cell r="E4543">
            <v>120701014</v>
          </cell>
          <cell r="F4543" t="str">
            <v>CLAVO ENDOMEDULAR BLOQUEADO</v>
          </cell>
          <cell r="G4543" t="str">
            <v>ELIM LIST OFICIAL</v>
          </cell>
        </row>
        <row r="4544">
          <cell r="E4544">
            <v>121005037</v>
          </cell>
          <cell r="F4544" t="str">
            <v>CILINDRO DE GAS CALIBRACION, NIVEL BAJO, CO2 5%, 12% O2, BALANCE N2</v>
          </cell>
          <cell r="G4544" t="str">
            <v>C/U</v>
          </cell>
        </row>
        <row r="4545">
          <cell r="E4545">
            <v>121005038</v>
          </cell>
          <cell r="F4545" t="str">
            <v xml:space="preserve">CILINDRO DE GAS DE CALIBRACION, NIVEL ALTO, CO2 0.266 %, He 9.26% </v>
          </cell>
          <cell r="G4545" t="str">
            <v>C/U</v>
          </cell>
        </row>
        <row r="4546">
          <cell r="E4546">
            <v>121005039</v>
          </cell>
          <cell r="F4546" t="str">
            <v>CILINDRO DE GAS DE CALIBRACION, NIVEL MEDIO, TIPO E. P. O2 21%, BALANCE N2</v>
          </cell>
          <cell r="G4546" t="str">
            <v>C/U</v>
          </cell>
        </row>
      </sheetData>
      <sheetData sheetId="2"/>
    </sheetDataSet>
  </externalBook>
</externalLink>
</file>

<file path=xl/tables/table1.xml><?xml version="1.0" encoding="utf-8"?>
<table xmlns="http://schemas.openxmlformats.org/spreadsheetml/2006/main" id="1" name="ListadoOficial2023" displayName="ListadoOficial2023" ref="A1:I8055" totalsRowShown="0" headerRowDxfId="10" dataDxfId="9" headerRowCellStyle="Normal 5" dataCellStyle="Normal 5">
  <autoFilter ref="A1:I8055"/>
  <sortState ref="A2:G21632">
    <sortCondition ref="A2"/>
  </sortState>
  <tableColumns count="9">
    <tableColumn id="1" name="Codigo " dataDxfId="8" dataCellStyle="Normal 5"/>
    <tableColumn id="2" name="DESCRIPICION" dataDxfId="7" dataCellStyle="Normal 5"/>
    <tableColumn id="3" name="Codigo Antiguo" dataDxfId="6" dataCellStyle="Normal 5"/>
    <tableColumn id="4" name="Estatus Mat" dataDxfId="5" dataCellStyle="Normal 5"/>
    <tableColumn id="5" name="Unidad Medida" dataDxfId="4" dataCellStyle="Normal 5"/>
    <tableColumn id="6" name="Descripcion EstatusMaterial" dataDxfId="3" dataCellStyle="Normal 5">
      <calculatedColumnFormula>VLOOKUP(ListadoOficial2023[[#This Row],[Codigo ]],CuadroBasicoGral,3,FALSE)</calculatedColumnFormula>
    </tableColumn>
    <tableColumn id="7" name="Precio" dataDxfId="2" dataCellStyle="Normal 5">
      <calculatedColumnFormula>VLOOKUP(ListadoOficial2023[[#This Row],[Codigo ]],PRODUCTO!B5:E2390,3,FALSE)</calculatedColumnFormula>
    </tableColumn>
    <tableColumn id="9" name="Planificado2025" dataDxfId="1" dataCellStyle="Normal 5"/>
    <tableColumn id="10" name="Planificado2026" dataDxfId="0" dataCellStyle="Normal 5"/>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AB34"/>
  <sheetViews>
    <sheetView showZeros="0" tabSelected="1" zoomScale="85" zoomScaleNormal="85" workbookViewId="0">
      <pane xSplit="3" ySplit="2" topLeftCell="E3" activePane="bottomRight" state="frozen"/>
      <selection sqref="A1:AC1"/>
      <selection pane="topRight" sqref="A1:AC1"/>
      <selection pane="bottomLeft" sqref="A1:AC1"/>
      <selection pane="bottomRight" activeCell="J9" sqref="J9"/>
    </sheetView>
  </sheetViews>
  <sheetFormatPr baseColWidth="10" defaultRowHeight="12.75"/>
  <cols>
    <col min="1" max="1" width="3.140625" customWidth="1"/>
    <col min="2" max="2" width="17.42578125" customWidth="1"/>
    <col min="3" max="3" width="54.140625" bestFit="1" customWidth="1"/>
    <col min="5" max="5" width="14.7109375" customWidth="1"/>
    <col min="6" max="6" width="14.140625" customWidth="1"/>
    <col min="7" max="7" width="20" customWidth="1"/>
    <col min="10" max="10" width="39.42578125" customWidth="1"/>
    <col min="11" max="11" width="13.140625" bestFit="1" customWidth="1"/>
    <col min="12" max="12" width="14.42578125" bestFit="1" customWidth="1"/>
  </cols>
  <sheetData>
    <row r="1" spans="1:28" s="8" customFormat="1" ht="37.5" customHeight="1" thickBot="1">
      <c r="A1" s="7"/>
      <c r="B1" s="117" t="s">
        <v>87</v>
      </c>
      <c r="C1" s="135" t="s">
        <v>88</v>
      </c>
      <c r="D1" s="165" t="s">
        <v>89</v>
      </c>
      <c r="E1" s="118" t="s">
        <v>90</v>
      </c>
      <c r="F1" s="119" t="s">
        <v>91</v>
      </c>
      <c r="G1" s="157"/>
      <c r="H1" s="179" t="s">
        <v>2270</v>
      </c>
      <c r="I1" s="179"/>
      <c r="J1" s="172">
        <v>46219</v>
      </c>
      <c r="K1" s="122"/>
      <c r="U1" s="81" t="s">
        <v>2263</v>
      </c>
      <c r="V1" s="82" t="s">
        <v>2264</v>
      </c>
      <c r="W1" s="82" t="s">
        <v>2265</v>
      </c>
      <c r="X1" s="82" t="s">
        <v>2266</v>
      </c>
      <c r="Y1" s="76"/>
      <c r="Z1" s="77"/>
      <c r="AA1" s="77"/>
      <c r="AB1" s="78"/>
    </row>
    <row r="2" spans="1:28" s="8" customFormat="1" ht="24.95" customHeight="1" thickTop="1" thickBot="1">
      <c r="A2" s="7">
        <f t="shared" ref="A2:A19" si="0">ROW(B1)</f>
        <v>1</v>
      </c>
      <c r="B2" s="134">
        <v>910100338</v>
      </c>
      <c r="C2" s="166" t="str">
        <f>IFERROR(INDEX(ListadoOficial2023[],MATCH(B2,ListadoOficial2023[[Codigo ]],0),2),"")</f>
        <v>PILA DE 1.5 VOLTIOS TIPO "AA" DE ALTA DURACION</v>
      </c>
      <c r="D2" s="167" t="str">
        <f>IFERROR(INDEX(ListadoOficial2023[],MATCH(B2,ListadoOficial2023[[Codigo ]],0),5),"")</f>
        <v>UN</v>
      </c>
      <c r="E2" s="143">
        <v>4</v>
      </c>
      <c r="F2" s="120">
        <v>0</v>
      </c>
      <c r="G2" s="158"/>
      <c r="H2" s="173" t="s">
        <v>2279</v>
      </c>
      <c r="I2" s="174"/>
      <c r="J2" s="159" t="s">
        <v>58</v>
      </c>
      <c r="K2" s="123">
        <f>IFERROR(VLOOKUP(J2,'C.COST'!A2:B44,2,FALSE),"")</f>
        <v>538214</v>
      </c>
      <c r="U2" s="138">
        <v>1</v>
      </c>
      <c r="V2" s="139" t="s">
        <v>8626</v>
      </c>
      <c r="W2" s="140"/>
      <c r="X2" s="140"/>
      <c r="Y2" s="140" t="s">
        <v>2335</v>
      </c>
      <c r="Z2" s="151" t="s">
        <v>2275</v>
      </c>
      <c r="AA2" s="79"/>
      <c r="AB2" s="80"/>
    </row>
    <row r="3" spans="1:28" s="8" customFormat="1" ht="24.95" customHeight="1" thickTop="1" thickBot="1">
      <c r="A3" s="7">
        <f t="shared" si="0"/>
        <v>2</v>
      </c>
      <c r="B3" s="136">
        <v>910200085</v>
      </c>
      <c r="C3" s="166" t="str">
        <f>IFERROR(INDEX(ListadoOficial2023[],MATCH(B3,ListadoOficial2023[[Codigo ]],0),2),"")</f>
        <v>PAPEL DE BOBINA PARA CANAPE 16" DE ANCHO POR 525 MTS DE LARGO APROXIMADAMENTE</v>
      </c>
      <c r="D3" s="168" t="str">
        <f>IFERROR(INDEX(ListadoOficial2023[],MATCH(B3,ListadoOficial2023[[Codigo ]],0),5),"")</f>
        <v>C/U</v>
      </c>
      <c r="E3" s="143">
        <v>4</v>
      </c>
      <c r="F3" s="120">
        <v>4</v>
      </c>
      <c r="G3" s="158"/>
      <c r="H3" s="124"/>
      <c r="I3" s="124"/>
      <c r="J3" s="124"/>
      <c r="K3" s="127"/>
      <c r="U3" s="138">
        <v>2</v>
      </c>
      <c r="V3" s="139" t="s">
        <v>2271</v>
      </c>
      <c r="W3" s="140"/>
      <c r="X3" s="140"/>
      <c r="Y3" s="140" t="s">
        <v>3083</v>
      </c>
      <c r="Z3" s="151" t="s">
        <v>2274</v>
      </c>
      <c r="AA3" s="73"/>
      <c r="AB3" s="74"/>
    </row>
    <row r="4" spans="1:28" s="8" customFormat="1" ht="24.95" customHeight="1" thickTop="1" thickBot="1">
      <c r="A4" s="7">
        <f t="shared" si="0"/>
        <v>3</v>
      </c>
      <c r="B4" s="136">
        <v>130200063</v>
      </c>
      <c r="C4" s="166" t="str">
        <f>IFERROR(INDEX(ListadoOficial2023[],MATCH(B4,ListadoOficial2023[[Codigo ]],0),2),"")</f>
        <v>VALE DE CONSUMO. FORM.PROV.70003.,BLOCK</v>
      </c>
      <c r="D4" s="168" t="str">
        <f>IFERROR(INDEX(ListadoOficial2023[],MATCH(B4,ListadoOficial2023[[Codigo ]],0),5),"")</f>
        <v>BLO</v>
      </c>
      <c r="E4" s="143">
        <v>3</v>
      </c>
      <c r="F4" s="120">
        <v>0</v>
      </c>
      <c r="G4" s="158"/>
      <c r="H4" s="175" t="s">
        <v>2280</v>
      </c>
      <c r="I4" s="176"/>
      <c r="J4" s="152" t="s">
        <v>8626</v>
      </c>
      <c r="K4" s="128"/>
      <c r="U4" s="138">
        <v>3</v>
      </c>
      <c r="V4" s="139" t="s">
        <v>13</v>
      </c>
      <c r="W4" s="140"/>
      <c r="X4" s="140"/>
      <c r="Y4" s="140"/>
      <c r="Z4" s="151" t="s">
        <v>2273</v>
      </c>
      <c r="AA4" s="73"/>
      <c r="AB4" s="74"/>
    </row>
    <row r="5" spans="1:28" s="8" customFormat="1" ht="24.95" customHeight="1" thickTop="1" thickBot="1">
      <c r="A5" s="7">
        <f t="shared" si="0"/>
        <v>4</v>
      </c>
      <c r="B5" s="136">
        <v>910100375</v>
      </c>
      <c r="C5" s="166" t="str">
        <f>IFERROR(INDEX(ListadoOficial2023[],MATCH(B5,ListadoOficial2023[[Codigo ]],0),2),"")</f>
        <v>ROLLO DE TIRRO DE 3/4 DE PULGADA DE ANCHO.</v>
      </c>
      <c r="D5" s="168" t="str">
        <f>IFERROR(INDEX(ListadoOficial2023[],MATCH(B5,ListadoOficial2023[[Codigo ]],0),5),"")</f>
        <v>ROL</v>
      </c>
      <c r="E5" s="143">
        <v>2</v>
      </c>
      <c r="F5" s="120">
        <v>0</v>
      </c>
      <c r="G5" s="158"/>
      <c r="H5" s="124"/>
      <c r="I5" s="124"/>
      <c r="J5" s="124"/>
      <c r="K5" s="128"/>
      <c r="U5" s="138">
        <v>4</v>
      </c>
      <c r="V5" s="139" t="s">
        <v>15</v>
      </c>
      <c r="W5" s="140"/>
      <c r="X5" s="140"/>
      <c r="Y5" s="140"/>
      <c r="Z5" s="151" t="s">
        <v>2272</v>
      </c>
      <c r="AA5" s="73"/>
      <c r="AB5" s="74"/>
    </row>
    <row r="6" spans="1:28" s="8" customFormat="1" ht="24.95" customHeight="1" thickTop="1" thickBot="1">
      <c r="A6" s="7">
        <v>5</v>
      </c>
      <c r="B6" s="136">
        <v>910100305</v>
      </c>
      <c r="C6" s="166" t="str">
        <f>IFERROR(INDEX(ListadoOficial2023[],MATCH(B6,ListadoOficial2023[[Codigo ]],0),2),"")</f>
        <v>GRAPAS DE MEDIDA STANDARD</v>
      </c>
      <c r="D6" s="168" t="str">
        <f>IFERROR(INDEX(ListadoOficial2023[],MATCH(B6,ListadoOficial2023[[Codigo ]],0),5),"")</f>
        <v>CA</v>
      </c>
      <c r="E6" s="143">
        <v>2</v>
      </c>
      <c r="F6" s="120">
        <v>2</v>
      </c>
      <c r="G6" s="158"/>
      <c r="H6" s="173" t="s">
        <v>2281</v>
      </c>
      <c r="I6" s="174"/>
      <c r="J6" s="153" t="s">
        <v>3083</v>
      </c>
      <c r="K6" s="128"/>
      <c r="U6" s="138">
        <v>35</v>
      </c>
      <c r="V6" s="139" t="s">
        <v>20</v>
      </c>
      <c r="W6" s="140"/>
      <c r="X6" s="140"/>
      <c r="Y6" s="140"/>
      <c r="Z6" s="151" t="s">
        <v>2306</v>
      </c>
      <c r="AA6" s="73"/>
      <c r="AB6" s="74"/>
    </row>
    <row r="7" spans="1:28" s="8" customFormat="1" ht="24.95" customHeight="1" thickTop="1" thickBot="1">
      <c r="A7" s="7">
        <f t="shared" si="0"/>
        <v>6</v>
      </c>
      <c r="B7" s="136" t="s">
        <v>2218</v>
      </c>
      <c r="C7" s="166" t="str">
        <f>IFERROR(INDEX(ListadoOficial2023[],MATCH(B7,ListadoOficial2023[[Codigo ]],0),2),"")</f>
        <v>********************ULTIMA LINEA  ****************************</v>
      </c>
      <c r="D7" s="168">
        <f>IFERROR(INDEX(ListadoOficial2023[],MATCH(B7,ListadoOficial2023[[Codigo ]],0),5),"")</f>
        <v>0</v>
      </c>
      <c r="E7" s="143"/>
      <c r="F7" s="120"/>
      <c r="G7" s="158"/>
      <c r="H7" s="125" t="s">
        <v>2253</v>
      </c>
      <c r="I7" s="125"/>
      <c r="J7" s="146"/>
      <c r="K7" s="129"/>
      <c r="U7" s="138">
        <v>35</v>
      </c>
      <c r="V7" s="139" t="s">
        <v>23</v>
      </c>
      <c r="W7" s="140"/>
      <c r="X7" s="140"/>
      <c r="Y7" s="140"/>
      <c r="Z7" s="151" t="s">
        <v>3084</v>
      </c>
      <c r="AA7" s="73"/>
      <c r="AB7" s="74"/>
    </row>
    <row r="8" spans="1:28" s="8" customFormat="1" ht="24.95" customHeight="1" thickTop="1" thickBot="1">
      <c r="A8" s="7">
        <f t="shared" si="0"/>
        <v>7</v>
      </c>
      <c r="B8" s="136"/>
      <c r="C8" s="166" t="str">
        <f>IFERROR(INDEX(ListadoOficial2023[],MATCH(B8,ListadoOficial2023[[Codigo ]],0),2),"")</f>
        <v/>
      </c>
      <c r="D8" s="168" t="str">
        <f>IFERROR(INDEX(ListadoOficial2023[],MATCH(B8,ListadoOficial2023[[Codigo ]],0),5),"")</f>
        <v/>
      </c>
      <c r="E8" s="143"/>
      <c r="F8" s="120"/>
      <c r="G8" s="156"/>
      <c r="H8" s="177" t="s">
        <v>2269</v>
      </c>
      <c r="I8" s="178"/>
      <c r="J8" s="145" t="s">
        <v>8627</v>
      </c>
      <c r="K8" s="126"/>
      <c r="U8" s="138">
        <v>7</v>
      </c>
      <c r="V8" s="139" t="s">
        <v>2300</v>
      </c>
      <c r="W8" s="140"/>
      <c r="X8" s="140"/>
      <c r="Y8" s="140"/>
      <c r="Z8" s="151"/>
      <c r="AA8" s="73"/>
      <c r="AB8" s="74"/>
    </row>
    <row r="9" spans="1:28" s="8" customFormat="1" ht="24.95" customHeight="1" thickTop="1" thickBot="1">
      <c r="A9" s="7">
        <f t="shared" si="0"/>
        <v>8</v>
      </c>
      <c r="B9" s="136"/>
      <c r="C9" s="166" t="str">
        <f>IFERROR(INDEX(ListadoOficial2023[],MATCH(B9,ListadoOficial2023[[Codigo ]],0),2),"")</f>
        <v/>
      </c>
      <c r="D9" s="168" t="str">
        <f>IFERROR(INDEX(ListadoOficial2023[],MATCH(B9,ListadoOficial2023[[Codigo ]],0),5),"")</f>
        <v/>
      </c>
      <c r="E9" s="143"/>
      <c r="F9" s="120"/>
      <c r="G9" s="156"/>
      <c r="H9" s="130" t="s">
        <v>2276</v>
      </c>
      <c r="I9" s="131"/>
      <c r="J9" s="144" t="s">
        <v>2275</v>
      </c>
      <c r="K9" s="126"/>
      <c r="U9" s="138">
        <v>8</v>
      </c>
      <c r="V9" s="139" t="s">
        <v>30</v>
      </c>
      <c r="W9" s="140"/>
      <c r="X9" s="140"/>
      <c r="Y9" s="140"/>
      <c r="Z9" s="73"/>
      <c r="AA9" s="73"/>
      <c r="AB9" s="74"/>
    </row>
    <row r="10" spans="1:28" s="8" customFormat="1" ht="24.95" customHeight="1" thickTop="1" thickBot="1">
      <c r="A10" s="7">
        <f t="shared" si="0"/>
        <v>9</v>
      </c>
      <c r="B10" s="136"/>
      <c r="C10" s="166" t="str">
        <f>IFERROR(INDEX(ListadoOficial2023[],MATCH(B10,ListadoOficial2023[[Codigo ]],0),2),"")</f>
        <v/>
      </c>
      <c r="D10" s="168" t="str">
        <f>IFERROR(INDEX(ListadoOficial2023[],MATCH(B10,ListadoOficial2023[[Codigo ]],0),5),"")</f>
        <v/>
      </c>
      <c r="E10" s="143"/>
      <c r="F10" s="120"/>
      <c r="G10" s="156"/>
      <c r="H10" s="154" t="s">
        <v>2278</v>
      </c>
      <c r="I10" s="155"/>
      <c r="J10" s="155"/>
      <c r="K10" s="155"/>
      <c r="U10" s="138">
        <v>9</v>
      </c>
      <c r="V10" s="139" t="s">
        <v>2284</v>
      </c>
      <c r="W10" s="140"/>
      <c r="X10" s="140"/>
      <c r="Y10" s="140"/>
      <c r="Z10" s="73"/>
      <c r="AA10" s="73"/>
      <c r="AB10" s="74"/>
    </row>
    <row r="11" spans="1:28" s="8" customFormat="1" ht="24.95" customHeight="1" thickTop="1" thickBot="1">
      <c r="A11" s="7">
        <f t="shared" si="0"/>
        <v>10</v>
      </c>
      <c r="B11" s="136"/>
      <c r="C11" s="166" t="str">
        <f>IFERROR(INDEX(ListadoOficial2023[],MATCH(B11,ListadoOficial2023[[Codigo ]],0),2),"")</f>
        <v/>
      </c>
      <c r="D11" s="168" t="str">
        <f>IFERROR(INDEX(ListadoOficial2023[],MATCH(B11,ListadoOficial2023[[Codigo ]],0),5),"")</f>
        <v/>
      </c>
      <c r="E11" s="143"/>
      <c r="F11" s="120"/>
      <c r="G11" s="156"/>
      <c r="U11" s="138">
        <v>10</v>
      </c>
      <c r="V11" s="139" t="s">
        <v>36</v>
      </c>
      <c r="W11" s="140"/>
      <c r="X11" s="140"/>
      <c r="Y11" s="140"/>
      <c r="Z11" s="73"/>
      <c r="AA11" s="73"/>
      <c r="AB11" s="74"/>
    </row>
    <row r="12" spans="1:28" s="8" customFormat="1" ht="24.95" customHeight="1" thickTop="1" thickBot="1">
      <c r="A12" s="7">
        <f t="shared" si="0"/>
        <v>11</v>
      </c>
      <c r="B12" s="136"/>
      <c r="C12" s="166" t="str">
        <f>IFERROR(INDEX(ListadoOficial2023[],MATCH(B12,ListadoOficial2023[[Codigo ]],0),2),"")</f>
        <v/>
      </c>
      <c r="D12" s="168" t="str">
        <f>IFERROR(INDEX(ListadoOficial2023[],MATCH(B12,ListadoOficial2023[[Codigo ]],0),5),"")</f>
        <v/>
      </c>
      <c r="E12" s="143"/>
      <c r="F12" s="120"/>
      <c r="U12" s="138">
        <v>11</v>
      </c>
      <c r="V12" s="139" t="s">
        <v>2287</v>
      </c>
      <c r="W12" s="140"/>
      <c r="X12" s="140"/>
      <c r="Y12" s="140"/>
      <c r="Z12" s="73"/>
      <c r="AA12" s="73"/>
      <c r="AB12" s="74"/>
    </row>
    <row r="13" spans="1:28" s="8" customFormat="1" ht="24.95" customHeight="1" thickTop="1" thickBot="1">
      <c r="A13" s="7">
        <f t="shared" si="0"/>
        <v>12</v>
      </c>
      <c r="B13" s="136"/>
      <c r="C13" s="166" t="str">
        <f>IFERROR(INDEX(ListadoOficial2023[],MATCH(B13,ListadoOficial2023[[Codigo ]],0),2),"")</f>
        <v/>
      </c>
      <c r="D13" s="168" t="str">
        <f>IFERROR(INDEX(ListadoOficial2023[],MATCH(B13,ListadoOficial2023[[Codigo ]],0),5),"")</f>
        <v/>
      </c>
      <c r="E13" s="143"/>
      <c r="F13" s="120"/>
      <c r="U13" s="141">
        <v>12</v>
      </c>
      <c r="V13" s="139" t="s">
        <v>3080</v>
      </c>
      <c r="W13" s="140"/>
      <c r="X13" s="140"/>
      <c r="Y13" s="140"/>
      <c r="Z13" s="73"/>
      <c r="AA13" s="73"/>
      <c r="AB13" s="74"/>
    </row>
    <row r="14" spans="1:28" s="8" customFormat="1" ht="24.95" customHeight="1" thickTop="1" thickBot="1">
      <c r="A14" s="7">
        <f>ROW(B13)</f>
        <v>13</v>
      </c>
      <c r="B14" s="134"/>
      <c r="C14" s="166" t="str">
        <f>IFERROR(INDEX(ListadoOficial2023[],MATCH(B14,ListadoOficial2023[[Codigo ]],0),2),"")</f>
        <v/>
      </c>
      <c r="D14" s="168" t="str">
        <f>IFERROR(INDEX(ListadoOficial2023[],MATCH(B14,ListadoOficial2023[[Codigo ]],0),5),"")</f>
        <v/>
      </c>
      <c r="E14" s="143"/>
      <c r="F14" s="120"/>
      <c r="U14" s="138">
        <v>13</v>
      </c>
      <c r="V14" s="139" t="s">
        <v>46</v>
      </c>
      <c r="W14" s="140"/>
      <c r="X14" s="140"/>
      <c r="Y14" s="140"/>
      <c r="Z14" s="73"/>
      <c r="AA14" s="73"/>
      <c r="AB14" s="74"/>
    </row>
    <row r="15" spans="1:28" s="8" customFormat="1" ht="24.95" customHeight="1" thickTop="1" thickBot="1">
      <c r="A15" s="7">
        <f t="shared" si="0"/>
        <v>14</v>
      </c>
      <c r="B15" s="134"/>
      <c r="C15" s="166" t="str">
        <f>IFERROR(INDEX(ListadoOficial2023[],MATCH(B15,ListadoOficial2023[[Codigo ]],0),2),"")</f>
        <v/>
      </c>
      <c r="D15" s="168" t="str">
        <f>IFERROR(INDEX(ListadoOficial2023[],MATCH(B15,ListadoOficial2023[[Codigo ]],0),5),"")</f>
        <v/>
      </c>
      <c r="E15" s="143"/>
      <c r="F15" s="120"/>
      <c r="U15" s="138">
        <v>14</v>
      </c>
      <c r="V15" s="139" t="s">
        <v>49</v>
      </c>
      <c r="W15" s="140"/>
      <c r="X15" s="140"/>
      <c r="Y15" s="140"/>
      <c r="Z15" s="73"/>
      <c r="AA15" s="73"/>
      <c r="AB15" s="74"/>
    </row>
    <row r="16" spans="1:28" s="8" customFormat="1" ht="24.95" customHeight="1" thickTop="1" thickBot="1">
      <c r="A16" s="7">
        <f t="shared" si="0"/>
        <v>15</v>
      </c>
      <c r="B16" s="134"/>
      <c r="C16" s="166" t="str">
        <f>IFERROR(INDEX(ListadoOficial2023[],MATCH(B16,ListadoOficial2023[[Codigo ]],0),2),"")</f>
        <v/>
      </c>
      <c r="D16" s="168" t="str">
        <f>IFERROR(INDEX(ListadoOficial2023[],MATCH(B16,ListadoOficial2023[[Codigo ]],0),5),"")</f>
        <v/>
      </c>
      <c r="E16" s="143"/>
      <c r="F16" s="120"/>
      <c r="U16" s="138">
        <v>35</v>
      </c>
      <c r="V16" s="139" t="s">
        <v>2267</v>
      </c>
      <c r="W16" s="140"/>
      <c r="X16" s="140"/>
      <c r="Y16" s="140"/>
      <c r="Z16" s="73"/>
      <c r="AA16" s="73"/>
      <c r="AB16" s="74"/>
    </row>
    <row r="17" spans="1:28" s="8" customFormat="1" ht="24.95" customHeight="1" thickTop="1" thickBot="1">
      <c r="A17" s="7">
        <f t="shared" si="0"/>
        <v>16</v>
      </c>
      <c r="B17" s="134"/>
      <c r="C17" s="166" t="str">
        <f>IFERROR(INDEX(ListadoOficial2023[],MATCH(B17,ListadoOficial2023[[Codigo ]],0),2),"")</f>
        <v/>
      </c>
      <c r="D17" s="168" t="str">
        <f>IFERROR(INDEX(ListadoOficial2023[],MATCH(B17,ListadoOficial2023[[Codigo ]],0),5),"")</f>
        <v/>
      </c>
      <c r="E17" s="143"/>
      <c r="F17" s="120"/>
      <c r="U17" s="138">
        <v>16</v>
      </c>
      <c r="V17" s="139" t="s">
        <v>55</v>
      </c>
      <c r="W17" s="140"/>
      <c r="X17" s="140"/>
      <c r="Y17" s="140"/>
      <c r="Z17" s="73"/>
      <c r="AA17" s="73"/>
      <c r="AB17" s="74"/>
    </row>
    <row r="18" spans="1:28" s="8" customFormat="1" ht="24.95" customHeight="1" thickTop="1" thickBot="1">
      <c r="A18" s="7">
        <f t="shared" si="0"/>
        <v>17</v>
      </c>
      <c r="B18" s="134"/>
      <c r="C18" s="166" t="str">
        <f>IFERROR(INDEX(ListadoOficial2023[],MATCH(B18,ListadoOficial2023[[Codigo ]],0),2),"")</f>
        <v/>
      </c>
      <c r="D18" s="168" t="str">
        <f>IFERROR(INDEX(ListadoOficial2023[],MATCH(B18,ListadoOficial2023[[Codigo ]],0),5),"")</f>
        <v/>
      </c>
      <c r="E18" s="143"/>
      <c r="F18" s="120"/>
      <c r="U18" s="138">
        <v>17</v>
      </c>
      <c r="V18" s="139" t="s">
        <v>2277</v>
      </c>
      <c r="W18" s="140"/>
      <c r="X18" s="140"/>
      <c r="Y18" s="140"/>
      <c r="Z18" s="73"/>
      <c r="AA18" s="73"/>
      <c r="AB18" s="74"/>
    </row>
    <row r="19" spans="1:28" s="8" customFormat="1" ht="24.95" customHeight="1" thickTop="1" thickBot="1">
      <c r="A19" s="7">
        <f t="shared" si="0"/>
        <v>18</v>
      </c>
      <c r="B19" s="134"/>
      <c r="C19" s="166" t="str">
        <f>IFERROR(INDEX(ListadoOficial2023[],MATCH(B19,ListadoOficial2023[[Codigo ]],0),2),"")</f>
        <v/>
      </c>
      <c r="D19" s="169" t="str">
        <f>IFERROR(INDEX(ListadoOficial2023[],MATCH(B19,ListadoOficial2023[[Codigo ]],0),5),"")</f>
        <v/>
      </c>
      <c r="E19" s="143"/>
      <c r="F19" s="120"/>
      <c r="U19" s="138">
        <v>18</v>
      </c>
      <c r="V19" s="139" t="s">
        <v>2282</v>
      </c>
      <c r="W19" s="140"/>
      <c r="X19" s="140"/>
      <c r="Y19" s="140"/>
      <c r="Z19" s="73"/>
      <c r="AA19" s="73"/>
      <c r="AB19" s="74"/>
    </row>
    <row r="20" spans="1:28" s="8" customFormat="1" ht="24.95" customHeight="1" thickTop="1" thickBot="1">
      <c r="A20" s="8">
        <v>19</v>
      </c>
      <c r="B20" s="134"/>
      <c r="C20" s="166" t="str">
        <f>IFERROR(INDEX(ListadoOficial2023[],MATCH(B20,ListadoOficial2023[[Codigo ]],0),2),"")</f>
        <v/>
      </c>
      <c r="D20" s="170" t="str">
        <f>IFERROR(INDEX(ListadoOficial2023[],MATCH(B20,ListadoOficial2023[[Codigo ]],0),5),"")</f>
        <v/>
      </c>
      <c r="E20" s="143"/>
      <c r="F20" s="120"/>
      <c r="U20" s="138">
        <v>19</v>
      </c>
      <c r="V20" s="139" t="s">
        <v>64</v>
      </c>
      <c r="W20" s="140"/>
      <c r="X20" s="140"/>
      <c r="Y20" s="140"/>
      <c r="Z20" s="73"/>
      <c r="AA20" s="73"/>
      <c r="AB20" s="74"/>
    </row>
    <row r="21" spans="1:28" s="8" customFormat="1" ht="24.95" customHeight="1" thickTop="1" thickBot="1">
      <c r="A21" s="7">
        <f>ROW(B20)</f>
        <v>20</v>
      </c>
      <c r="B21" s="134"/>
      <c r="C21" s="166" t="str">
        <f>IFERROR(INDEX(ListadoOficial2023[],MATCH(B21,ListadoOficial2023[[Codigo ]],0),2),"")</f>
        <v/>
      </c>
      <c r="D21" s="168" t="str">
        <f>IFERROR(INDEX(ListadoOficial2023[],MATCH(B21,ListadoOficial2023[[Codigo ]],0),5),"")</f>
        <v/>
      </c>
      <c r="E21" s="143"/>
      <c r="F21" s="120"/>
      <c r="U21" s="138">
        <v>35</v>
      </c>
      <c r="V21" s="139" t="s">
        <v>68</v>
      </c>
      <c r="W21" s="140"/>
      <c r="X21" s="140"/>
      <c r="Y21" s="140"/>
      <c r="Z21" s="73"/>
      <c r="AA21" s="73"/>
      <c r="AB21" s="74"/>
    </row>
    <row r="22" spans="1:28" s="8" customFormat="1" ht="24.95" customHeight="1" thickTop="1" thickBot="1">
      <c r="A22" s="99">
        <f>ROW(B21)</f>
        <v>21</v>
      </c>
      <c r="B22" s="134"/>
      <c r="C22" s="166" t="str">
        <f>IFERROR(INDEX(ListadoOficial2023[],MATCH(B22,ListadoOficial2023[[Codigo ]],0),2),"")</f>
        <v/>
      </c>
      <c r="D22" s="171" t="str">
        <f>IFERROR(INDEX(ListadoOficial2023[],MATCH(B22,ListadoOficial2023[[Codigo ]],0),5),"")</f>
        <v/>
      </c>
      <c r="E22" s="143"/>
      <c r="F22" s="121"/>
      <c r="U22" s="138">
        <v>35</v>
      </c>
      <c r="V22" s="139" t="s">
        <v>70</v>
      </c>
      <c r="W22" s="140"/>
      <c r="X22" s="140"/>
      <c r="Y22" s="140"/>
      <c r="Z22" s="73"/>
      <c r="AA22" s="73"/>
      <c r="AB22" s="74"/>
    </row>
    <row r="23" spans="1:28" ht="14.25" thickTop="1" thickBot="1">
      <c r="A23" s="106"/>
      <c r="B23" s="103"/>
      <c r="C23" s="137"/>
      <c r="D23" s="137"/>
      <c r="E23" s="100"/>
      <c r="F23" s="101"/>
      <c r="U23" s="138">
        <v>19</v>
      </c>
      <c r="V23" s="139" t="s">
        <v>85</v>
      </c>
      <c r="W23" s="142"/>
      <c r="X23" s="142"/>
      <c r="Y23" s="142"/>
    </row>
    <row r="24" spans="1:28" ht="13.5" thickBot="1">
      <c r="A24" s="102"/>
      <c r="B24" s="103"/>
      <c r="C24" s="103"/>
      <c r="D24" s="103"/>
      <c r="E24" s="103">
        <v>1</v>
      </c>
      <c r="F24" s="104"/>
      <c r="U24" s="138">
        <v>20</v>
      </c>
      <c r="V24" s="139" t="s">
        <v>2283</v>
      </c>
      <c r="W24" s="142"/>
      <c r="X24" s="142"/>
      <c r="Y24" s="142"/>
    </row>
    <row r="25" spans="1:28">
      <c r="U25" s="138">
        <v>21</v>
      </c>
      <c r="V25" s="139" t="s">
        <v>2285</v>
      </c>
      <c r="W25" s="142"/>
      <c r="X25" s="142"/>
      <c r="Y25" s="142"/>
    </row>
    <row r="26" spans="1:28">
      <c r="U26" s="138">
        <v>22</v>
      </c>
      <c r="V26" s="139" t="s">
        <v>2286</v>
      </c>
      <c r="W26" s="142"/>
      <c r="X26" s="142"/>
      <c r="Y26" s="142"/>
    </row>
    <row r="27" spans="1:28">
      <c r="U27" s="138">
        <v>23</v>
      </c>
      <c r="V27" s="139" t="s">
        <v>2298</v>
      </c>
      <c r="W27" s="142"/>
      <c r="X27" s="142"/>
      <c r="Y27" s="142"/>
    </row>
    <row r="28" spans="1:28">
      <c r="U28" s="138">
        <v>24</v>
      </c>
      <c r="V28" s="139" t="s">
        <v>2299</v>
      </c>
      <c r="W28" s="142"/>
      <c r="X28" s="142"/>
      <c r="Y28" s="142"/>
    </row>
    <row r="29" spans="1:28">
      <c r="U29" s="138">
        <v>25</v>
      </c>
      <c r="V29" s="139" t="s">
        <v>2310</v>
      </c>
      <c r="W29" s="142"/>
      <c r="X29" s="142"/>
      <c r="Y29" s="142"/>
    </row>
    <row r="30" spans="1:28">
      <c r="U30" s="138">
        <v>26</v>
      </c>
      <c r="V30" s="139" t="s">
        <v>2314</v>
      </c>
      <c r="W30" s="142"/>
      <c r="X30" s="142"/>
      <c r="Y30" s="142"/>
    </row>
    <row r="31" spans="1:28">
      <c r="U31" s="138">
        <v>27</v>
      </c>
      <c r="V31" s="139" t="s">
        <v>2315</v>
      </c>
      <c r="W31" s="142"/>
      <c r="X31" s="142"/>
      <c r="Y31" s="142"/>
    </row>
    <row r="32" spans="1:28">
      <c r="U32" s="138">
        <v>28</v>
      </c>
      <c r="V32" s="139" t="s">
        <v>2316</v>
      </c>
      <c r="W32" s="142"/>
      <c r="X32" s="142"/>
      <c r="Y32" s="142"/>
    </row>
    <row r="33" spans="21:25">
      <c r="U33" s="138">
        <v>29</v>
      </c>
      <c r="V33" s="139" t="s">
        <v>2317</v>
      </c>
      <c r="W33" s="142"/>
      <c r="X33" s="142"/>
      <c r="Y33" s="142"/>
    </row>
    <row r="34" spans="21:25">
      <c r="U34" s="138">
        <v>30</v>
      </c>
      <c r="V34" s="139" t="s">
        <v>2318</v>
      </c>
      <c r="W34" s="142"/>
      <c r="X34" s="142"/>
      <c r="Y34" s="142"/>
    </row>
  </sheetData>
  <sheetProtection algorithmName="SHA-512" hashValue="kFK0yI+zXMYswItBnd0wEeT+C2xMD+QYHMUmduTWtYLPhLnWEJHT8k5DZVzYdZAdChSXHg71+n80NgIicT95sA==" saltValue="AamwVaIWwyYrFb5ZmONhnw==" spinCount="100000" sheet="1" sort="0" autoFilter="0"/>
  <sortState ref="B2:B22">
    <sortCondition ref="B2"/>
  </sortState>
  <mergeCells count="5">
    <mergeCell ref="H2:I2"/>
    <mergeCell ref="H4:I4"/>
    <mergeCell ref="H6:I6"/>
    <mergeCell ref="H8:I8"/>
    <mergeCell ref="H1:I1"/>
  </mergeCells>
  <dataValidations count="8">
    <dataValidation type="list" allowBlank="1" showInputMessage="1" showErrorMessage="1" sqref="J6">
      <formula1>$Y$2:$Y$3</formula1>
    </dataValidation>
    <dataValidation type="list" allowBlank="1" showInputMessage="1" showErrorMessage="1" sqref="J4">
      <formula1>$V$2:$V$34</formula1>
    </dataValidation>
    <dataValidation type="custom" allowBlank="1" showInputMessage="1" showErrorMessage="1" errorTitle="ERROR  !!!!CODIGO DUPLICADO!!!!!" error="POR FAVOR !!!!!   VERIFIQUE  !!!!!! ESTE CODIGO SE HA DUPLICADO LA REQUISICION NO PERMITE VALORES REPETIDOS._x000a_!!!!!MUCHAS GRACIAS!!!!" sqref="B2:B22">
      <formula1>COUNTIF($B$2:$B$22,B2)&lt;=1</formula1>
    </dataValidation>
    <dataValidation type="list" allowBlank="1" showInputMessage="1" showErrorMessage="1" promptTitle="TIPO ALMACEN" prompt="Agregar el almacen a solicitar" sqref="J9">
      <formula1>$Z$2:$Z$8</formula1>
    </dataValidation>
    <dataValidation type="date" allowBlank="1" showInputMessage="1" showErrorMessage="1" errorTitle="FECHA" error="EL FORMATO DE FECHA NO ES CORRECTO" sqref="J1">
      <formula1>44562</formula1>
      <formula2>47118</formula2>
    </dataValidation>
    <dataValidation type="custom" allowBlank="1" showInputMessage="1" showErrorMessage="1" errorTitle="ERROR" sqref="L12">
      <formula1>"FALSO"</formula1>
    </dataValidation>
    <dataValidation type="custom" showInputMessage="1" showErrorMessage="1" errorTitle="xxxxx" error="xxxxx" sqref="N3">
      <formula1>N2&lt;&gt;""</formula1>
    </dataValidation>
    <dataValidation type="custom" showInputMessage="1" showErrorMessage="1" errorTitle="yyyyyy" error="yyyyy" sqref="L4">
      <formula1>J2&lt;&gt;""</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'C.COST'!$A$2:$A$36</xm:f>
          </x14:formula1>
          <xm:sqref>J2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indexed="42"/>
    <pageSetUpPr fitToPage="1"/>
  </sheetPr>
  <dimension ref="A1:BN53"/>
  <sheetViews>
    <sheetView showGridLines="0" topLeftCell="A28" zoomScaleNormal="100" workbookViewId="0">
      <selection activeCell="E23" sqref="E23:Q23"/>
    </sheetView>
  </sheetViews>
  <sheetFormatPr baseColWidth="10" defaultRowHeight="12.75"/>
  <cols>
    <col min="1" max="2" width="2.28515625" style="18" customWidth="1"/>
    <col min="3" max="3" width="8.140625" style="18" customWidth="1"/>
    <col min="4" max="4" width="4.28515625" style="18" customWidth="1"/>
    <col min="5" max="5" width="5.7109375" style="18" customWidth="1"/>
    <col min="6" max="11" width="3.28515625" style="18" customWidth="1"/>
    <col min="12" max="12" width="2.5703125" style="18" customWidth="1"/>
    <col min="13" max="13" width="2.42578125" style="18" customWidth="1"/>
    <col min="14" max="15" width="2.7109375" style="18" customWidth="1"/>
    <col min="16" max="16" width="2.42578125" style="18" customWidth="1"/>
    <col min="17" max="17" width="2.85546875" style="18" customWidth="1"/>
    <col min="18" max="18" width="3.28515625" style="18" customWidth="1"/>
    <col min="19" max="19" width="2.28515625" style="18" customWidth="1"/>
    <col min="20" max="20" width="1.5703125" style="18" customWidth="1"/>
    <col min="21" max="21" width="3.28515625" style="18" customWidth="1"/>
    <col min="22" max="22" width="5.85546875" style="18" customWidth="1"/>
    <col min="23" max="29" width="3.28515625" style="18" customWidth="1"/>
    <col min="30" max="30" width="0" style="18" hidden="1" customWidth="1"/>
    <col min="31" max="31" width="15.7109375" style="18" customWidth="1"/>
    <col min="32" max="16384" width="11.42578125" style="18"/>
  </cols>
  <sheetData>
    <row r="1" spans="1:66">
      <c r="A1" s="180" t="s">
        <v>92</v>
      </c>
      <c r="B1" s="180"/>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E1" s="19" t="s">
        <v>2077</v>
      </c>
    </row>
    <row r="2" spans="1:66">
      <c r="A2" s="180" t="s">
        <v>2221</v>
      </c>
      <c r="B2" s="180"/>
      <c r="C2" s="180"/>
      <c r="D2" s="180"/>
      <c r="E2" s="180"/>
      <c r="F2" s="180"/>
      <c r="G2" s="180"/>
      <c r="H2" s="180"/>
      <c r="I2" s="180"/>
      <c r="J2" s="180"/>
      <c r="K2" s="180"/>
      <c r="L2" s="180"/>
      <c r="M2" s="180"/>
      <c r="N2" s="180"/>
      <c r="O2" s="180"/>
      <c r="P2" s="180"/>
      <c r="Q2" s="180"/>
      <c r="R2" s="180"/>
      <c r="S2" s="180"/>
      <c r="T2" s="180"/>
      <c r="U2" s="180"/>
      <c r="V2" s="180"/>
      <c r="W2" s="180"/>
      <c r="X2" s="180"/>
      <c r="Y2" s="180"/>
      <c r="Z2" s="180"/>
      <c r="AA2" s="180"/>
      <c r="AB2" s="180"/>
      <c r="AC2" s="180"/>
      <c r="AE2" s="19" t="s">
        <v>2078</v>
      </c>
    </row>
    <row r="3" spans="1:66" ht="8.25" customHeight="1" thickBot="1">
      <c r="E3" s="20"/>
      <c r="V3" s="181" t="s">
        <v>8625</v>
      </c>
      <c r="W3" s="181"/>
      <c r="X3" s="181"/>
      <c r="Y3" s="181"/>
      <c r="Z3" s="181"/>
      <c r="AA3" s="181"/>
      <c r="AB3" s="181"/>
      <c r="AC3" s="181"/>
      <c r="AE3" s="19"/>
    </row>
    <row r="4" spans="1:66" ht="19.5">
      <c r="A4" s="21">
        <v>1</v>
      </c>
      <c r="B4" s="22"/>
      <c r="C4" s="22" t="s">
        <v>2222</v>
      </c>
      <c r="D4" s="22"/>
      <c r="E4" s="22"/>
      <c r="F4" s="22"/>
      <c r="G4" s="22"/>
      <c r="H4" s="22"/>
      <c r="I4" s="22"/>
      <c r="J4" s="22"/>
      <c r="K4" s="23"/>
      <c r="L4" s="24">
        <v>2</v>
      </c>
      <c r="M4" s="182" t="s">
        <v>2223</v>
      </c>
      <c r="N4" s="182"/>
      <c r="O4" s="182"/>
      <c r="P4" s="182"/>
      <c r="Q4" s="183"/>
      <c r="R4" s="25">
        <v>3</v>
      </c>
      <c r="S4" s="22" t="s">
        <v>2224</v>
      </c>
      <c r="T4" s="22"/>
      <c r="U4" s="22"/>
      <c r="V4" s="22"/>
      <c r="W4" s="184" t="str">
        <f>PEDIDO!J8</f>
        <v>47-07-2026-Papel</v>
      </c>
      <c r="X4" s="185"/>
      <c r="Y4" s="185"/>
      <c r="Z4" s="185"/>
      <c r="AA4" s="185"/>
      <c r="AB4" s="185"/>
      <c r="AC4" s="186"/>
      <c r="AE4" s="19"/>
    </row>
    <row r="5" spans="1:66" ht="12.75" customHeight="1">
      <c r="A5" s="26"/>
      <c r="B5" s="27"/>
      <c r="C5" s="27"/>
      <c r="D5" s="27"/>
      <c r="E5" s="27"/>
      <c r="F5" s="27"/>
      <c r="G5" s="27"/>
      <c r="H5" s="27"/>
      <c r="I5" s="27"/>
      <c r="J5" s="27"/>
      <c r="K5" s="28"/>
      <c r="L5" s="187" t="s">
        <v>2225</v>
      </c>
      <c r="M5" s="188"/>
      <c r="N5" s="188" t="s">
        <v>2226</v>
      </c>
      <c r="O5" s="188"/>
      <c r="P5" s="188" t="s">
        <v>2227</v>
      </c>
      <c r="Q5" s="188"/>
      <c r="R5" s="189" t="str">
        <f>PEDIDO!$J$2</f>
        <v>MEDICINA GENERAL</v>
      </c>
      <c r="S5" s="190"/>
      <c r="T5" s="190"/>
      <c r="U5" s="190"/>
      <c r="V5" s="190"/>
      <c r="W5" s="190"/>
      <c r="X5" s="190"/>
      <c r="Y5" s="190"/>
      <c r="Z5" s="190"/>
      <c r="AA5" s="190"/>
      <c r="AB5" s="190"/>
      <c r="AC5" s="191"/>
    </row>
    <row r="6" spans="1:66" ht="13.5" customHeight="1" thickBot="1">
      <c r="A6" s="195" t="s">
        <v>93</v>
      </c>
      <c r="B6" s="196"/>
      <c r="C6" s="196"/>
      <c r="D6" s="196"/>
      <c r="E6" s="196"/>
      <c r="F6" s="196"/>
      <c r="G6" s="196"/>
      <c r="H6" s="196"/>
      <c r="I6" s="196"/>
      <c r="J6" s="196"/>
      <c r="K6" s="197"/>
      <c r="L6" s="201">
        <f>PEDIDO!J1</f>
        <v>46219</v>
      </c>
      <c r="M6" s="202"/>
      <c r="N6" s="202"/>
      <c r="O6" s="202"/>
      <c r="P6" s="202"/>
      <c r="Q6" s="203"/>
      <c r="R6" s="189"/>
      <c r="S6" s="190"/>
      <c r="T6" s="190"/>
      <c r="U6" s="190"/>
      <c r="V6" s="190"/>
      <c r="W6" s="190"/>
      <c r="X6" s="190"/>
      <c r="Y6" s="190"/>
      <c r="Z6" s="190"/>
      <c r="AA6" s="190"/>
      <c r="AB6" s="190"/>
      <c r="AC6" s="191"/>
    </row>
    <row r="7" spans="1:66" ht="13.5" customHeight="1" thickBot="1">
      <c r="A7" s="198"/>
      <c r="B7" s="199"/>
      <c r="C7" s="199"/>
      <c r="D7" s="199"/>
      <c r="E7" s="199"/>
      <c r="F7" s="199"/>
      <c r="G7" s="199"/>
      <c r="H7" s="199"/>
      <c r="I7" s="199"/>
      <c r="J7" s="199"/>
      <c r="K7" s="200"/>
      <c r="L7" s="204"/>
      <c r="M7" s="205"/>
      <c r="N7" s="205"/>
      <c r="O7" s="205"/>
      <c r="P7" s="205"/>
      <c r="Q7" s="206"/>
      <c r="R7" s="192"/>
      <c r="S7" s="193"/>
      <c r="T7" s="193"/>
      <c r="U7" s="193"/>
      <c r="V7" s="193"/>
      <c r="W7" s="193"/>
      <c r="X7" s="193"/>
      <c r="Y7" s="193"/>
      <c r="Z7" s="193"/>
      <c r="AA7" s="193"/>
      <c r="AB7" s="193"/>
      <c r="AC7" s="194"/>
      <c r="BM7" s="29">
        <v>3</v>
      </c>
      <c r="BN7" s="18">
        <f>COUNTIF(BM7:BM27," &gt; 0")</f>
        <v>0</v>
      </c>
    </row>
    <row r="8" spans="1:66" ht="3.95" customHeight="1" thickBot="1">
      <c r="BM8" s="30" t="s">
        <v>2228</v>
      </c>
    </row>
    <row r="9" spans="1:66" ht="12.75" customHeight="1">
      <c r="A9" s="31">
        <v>4</v>
      </c>
      <c r="B9" s="32"/>
      <c r="C9" s="33"/>
      <c r="D9" s="33"/>
      <c r="E9" s="33"/>
      <c r="F9" s="33"/>
      <c r="G9" s="33"/>
      <c r="H9" s="33"/>
      <c r="I9" s="33"/>
      <c r="J9" s="33"/>
      <c r="K9" s="33"/>
      <c r="L9" s="33"/>
      <c r="M9" s="33"/>
      <c r="N9" s="33"/>
      <c r="O9" s="33"/>
      <c r="P9" s="207" t="s">
        <v>2229</v>
      </c>
      <c r="Q9" s="207"/>
      <c r="R9" s="207"/>
      <c r="S9" s="207"/>
      <c r="T9" s="207"/>
      <c r="U9" s="209" t="s">
        <v>2230</v>
      </c>
      <c r="V9" s="33"/>
      <c r="W9" s="211"/>
      <c r="X9" s="211"/>
      <c r="Y9" s="211"/>
      <c r="Z9" s="211"/>
      <c r="AA9" s="211"/>
      <c r="AB9" s="211"/>
      <c r="AC9" s="212"/>
      <c r="BM9" s="30">
        <f t="shared" ref="BM9:BM27" si="0">Z20</f>
        <v>0</v>
      </c>
    </row>
    <row r="10" spans="1:66" ht="12.75" customHeight="1">
      <c r="A10" s="34"/>
      <c r="B10" s="35"/>
      <c r="C10" s="36"/>
      <c r="D10" s="36"/>
      <c r="E10" s="36"/>
      <c r="F10" s="36"/>
      <c r="G10" s="36"/>
      <c r="H10" s="36"/>
      <c r="I10" s="36"/>
      <c r="J10" s="36"/>
      <c r="K10" s="36"/>
      <c r="L10" s="36"/>
      <c r="M10" s="36"/>
      <c r="N10" s="36"/>
      <c r="O10" s="36"/>
      <c r="P10" s="208"/>
      <c r="Q10" s="208"/>
      <c r="R10" s="208"/>
      <c r="S10" s="208"/>
      <c r="T10" s="208"/>
      <c r="U10" s="210"/>
      <c r="V10" s="36"/>
      <c r="W10" s="213"/>
      <c r="X10" s="213"/>
      <c r="Y10" s="213"/>
      <c r="Z10" s="213"/>
      <c r="AA10" s="213"/>
      <c r="AB10" s="213"/>
      <c r="AC10" s="214"/>
      <c r="BM10" s="30">
        <f t="shared" si="0"/>
        <v>0</v>
      </c>
    </row>
    <row r="11" spans="1:66">
      <c r="A11" s="215" t="s">
        <v>2231</v>
      </c>
      <c r="B11" s="216"/>
      <c r="C11" s="37" t="s">
        <v>2232</v>
      </c>
      <c r="D11" s="217" t="s">
        <v>14</v>
      </c>
      <c r="E11" s="216"/>
      <c r="F11" s="217" t="s">
        <v>2233</v>
      </c>
      <c r="G11" s="218"/>
      <c r="H11" s="218"/>
      <c r="I11" s="218"/>
      <c r="J11" s="218"/>
      <c r="K11" s="218"/>
      <c r="L11" s="216"/>
      <c r="M11" s="217" t="s">
        <v>2234</v>
      </c>
      <c r="N11" s="218"/>
      <c r="O11" s="218"/>
      <c r="P11" s="216"/>
      <c r="Q11" s="217" t="s">
        <v>2227</v>
      </c>
      <c r="R11" s="218"/>
      <c r="S11" s="218"/>
      <c r="T11" s="216"/>
      <c r="U11" s="217" t="s">
        <v>2226</v>
      </c>
      <c r="V11" s="216"/>
      <c r="W11" s="217" t="s">
        <v>2235</v>
      </c>
      <c r="X11" s="218"/>
      <c r="Y11" s="218"/>
      <c r="Z11" s="218"/>
      <c r="AA11" s="218"/>
      <c r="AB11" s="218"/>
      <c r="AC11" s="219"/>
      <c r="BM11" s="30">
        <f t="shared" si="0"/>
        <v>2</v>
      </c>
    </row>
    <row r="12" spans="1:66" ht="12.75" customHeight="1">
      <c r="A12" s="220" t="s">
        <v>2236</v>
      </c>
      <c r="B12" s="221"/>
      <c r="C12" s="38" t="s">
        <v>2237</v>
      </c>
      <c r="D12" s="222" t="s">
        <v>2238</v>
      </c>
      <c r="E12" s="223"/>
      <c r="F12" s="224">
        <f>PEDIDO!K2</f>
        <v>538214</v>
      </c>
      <c r="G12" s="225"/>
      <c r="H12" s="225"/>
      <c r="I12" s="225"/>
      <c r="J12" s="225"/>
      <c r="K12" s="225"/>
      <c r="L12" s="226"/>
      <c r="M12" s="222" t="s">
        <v>2239</v>
      </c>
      <c r="N12" s="230"/>
      <c r="O12" s="230"/>
      <c r="P12" s="223"/>
      <c r="Q12" s="222" t="s">
        <v>2240</v>
      </c>
      <c r="R12" s="230"/>
      <c r="S12" s="230"/>
      <c r="T12" s="223"/>
      <c r="U12" s="222" t="s">
        <v>2241</v>
      </c>
      <c r="V12" s="223"/>
      <c r="W12" s="222" t="s">
        <v>2242</v>
      </c>
      <c r="X12" s="230"/>
      <c r="Y12" s="230"/>
      <c r="Z12" s="230"/>
      <c r="AA12" s="230"/>
      <c r="AB12" s="230"/>
      <c r="AC12" s="231"/>
      <c r="BM12" s="30" t="str">
        <f t="shared" si="0"/>
        <v/>
      </c>
    </row>
    <row r="13" spans="1:66" ht="12.75" customHeight="1">
      <c r="A13" s="232"/>
      <c r="B13" s="233"/>
      <c r="C13" s="238">
        <v>201</v>
      </c>
      <c r="D13" s="234" t="str">
        <f>PEDIDO!J9</f>
        <v>U200</v>
      </c>
      <c r="E13" s="235"/>
      <c r="F13" s="224"/>
      <c r="G13" s="225"/>
      <c r="H13" s="225"/>
      <c r="I13" s="225"/>
      <c r="J13" s="225"/>
      <c r="K13" s="225"/>
      <c r="L13" s="226"/>
      <c r="M13" s="40"/>
      <c r="N13" s="41"/>
      <c r="O13" s="41"/>
      <c r="P13" s="42"/>
      <c r="Q13" s="40"/>
      <c r="R13" s="41"/>
      <c r="S13" s="41"/>
      <c r="T13" s="42"/>
      <c r="U13" s="40"/>
      <c r="V13" s="42"/>
      <c r="W13" s="40" t="s">
        <v>2243</v>
      </c>
      <c r="X13" s="41"/>
      <c r="Y13" s="41"/>
      <c r="Z13" s="41" t="s">
        <v>2244</v>
      </c>
      <c r="AA13" s="41"/>
      <c r="AB13" s="41"/>
      <c r="AC13" s="43"/>
      <c r="BM13" s="30" t="str">
        <f t="shared" si="0"/>
        <v/>
      </c>
    </row>
    <row r="14" spans="1:66" ht="18.75" customHeight="1" thickBot="1">
      <c r="A14" s="232"/>
      <c r="B14" s="233"/>
      <c r="C14" s="239"/>
      <c r="D14" s="236"/>
      <c r="E14" s="237"/>
      <c r="F14" s="227"/>
      <c r="G14" s="228"/>
      <c r="H14" s="228"/>
      <c r="I14" s="228"/>
      <c r="J14" s="228"/>
      <c r="K14" s="228"/>
      <c r="L14" s="229"/>
      <c r="M14" s="39"/>
      <c r="N14" s="39"/>
      <c r="O14" s="39"/>
      <c r="P14" s="42"/>
      <c r="Q14" s="256">
        <f>YEAR(L6)</f>
        <v>2026</v>
      </c>
      <c r="R14" s="257"/>
      <c r="S14" s="257"/>
      <c r="T14" s="258"/>
      <c r="U14" s="259">
        <f>MONTH(L6)</f>
        <v>7</v>
      </c>
      <c r="V14" s="260"/>
      <c r="W14" s="44"/>
      <c r="X14" s="261">
        <f>IF(COUNTIF($Z$18:$Z$38,"&gt;0"),COUNTIF($Z$18:$Z$38,"&gt;0"),"")</f>
        <v>2</v>
      </c>
      <c r="Y14" s="262"/>
      <c r="Z14" s="39"/>
      <c r="AA14" s="261">
        <f>IF(COUNTIF($Z$18:$Z$38,"=0"),COUNTIF($Z$18:$Z$38,"=0"),"")</f>
        <v>3</v>
      </c>
      <c r="AB14" s="262"/>
      <c r="AC14" s="43"/>
      <c r="BM14" s="30" t="str">
        <f t="shared" si="0"/>
        <v/>
      </c>
    </row>
    <row r="15" spans="1:66" ht="3.95" customHeight="1" thickBot="1">
      <c r="A15" s="45"/>
      <c r="B15" s="45"/>
      <c r="C15" s="45"/>
      <c r="D15" s="45"/>
      <c r="E15" s="45"/>
      <c r="F15" s="45" t="s">
        <v>2245</v>
      </c>
      <c r="G15" s="45"/>
      <c r="H15" s="45"/>
      <c r="I15" s="45"/>
      <c r="J15" s="45"/>
      <c r="K15" s="45"/>
      <c r="L15" s="45"/>
      <c r="M15" s="45"/>
      <c r="N15" s="45"/>
      <c r="O15" s="45"/>
      <c r="P15" s="45"/>
      <c r="Q15" s="45"/>
      <c r="R15" s="45"/>
      <c r="S15" s="45"/>
      <c r="T15" s="45"/>
      <c r="U15" s="45"/>
      <c r="V15" s="45"/>
      <c r="W15" s="45"/>
      <c r="X15" s="45"/>
      <c r="Y15" s="45"/>
      <c r="Z15" s="45"/>
      <c r="AA15" s="45"/>
      <c r="AB15" s="45"/>
      <c r="AC15" s="45"/>
      <c r="BM15" s="30" t="str">
        <f t="shared" si="0"/>
        <v/>
      </c>
    </row>
    <row r="16" spans="1:66" ht="14.1" customHeight="1">
      <c r="A16" s="263">
        <v>5</v>
      </c>
      <c r="B16" s="223"/>
      <c r="C16" s="222">
        <v>6</v>
      </c>
      <c r="D16" s="223"/>
      <c r="E16" s="46">
        <v>7</v>
      </c>
      <c r="F16" s="264" t="s">
        <v>88</v>
      </c>
      <c r="G16" s="264"/>
      <c r="H16" s="264"/>
      <c r="I16" s="264"/>
      <c r="J16" s="264"/>
      <c r="K16" s="264"/>
      <c r="L16" s="264"/>
      <c r="M16" s="264"/>
      <c r="N16" s="264"/>
      <c r="O16" s="264"/>
      <c r="P16" s="264"/>
      <c r="Q16" s="265"/>
      <c r="R16" s="46">
        <v>8</v>
      </c>
      <c r="S16" s="47" t="s">
        <v>2246</v>
      </c>
      <c r="T16" s="47"/>
      <c r="U16" s="48"/>
      <c r="V16" s="49">
        <v>9</v>
      </c>
      <c r="W16" s="47" t="s">
        <v>2247</v>
      </c>
      <c r="X16" s="50"/>
      <c r="Y16" s="51"/>
      <c r="Z16" s="46">
        <v>10</v>
      </c>
      <c r="AA16" s="52" t="s">
        <v>2247</v>
      </c>
      <c r="AB16" s="50"/>
      <c r="AC16" s="53"/>
      <c r="BM16" s="30" t="str">
        <f t="shared" si="0"/>
        <v/>
      </c>
    </row>
    <row r="17" spans="1:65" ht="14.1" customHeight="1">
      <c r="A17" s="268" t="s">
        <v>2248</v>
      </c>
      <c r="B17" s="267"/>
      <c r="C17" s="269" t="s">
        <v>2249</v>
      </c>
      <c r="D17" s="267"/>
      <c r="E17" s="54"/>
      <c r="F17" s="266"/>
      <c r="G17" s="266"/>
      <c r="H17" s="266"/>
      <c r="I17" s="266"/>
      <c r="J17" s="266"/>
      <c r="K17" s="266"/>
      <c r="L17" s="266"/>
      <c r="M17" s="266"/>
      <c r="N17" s="266"/>
      <c r="O17" s="266"/>
      <c r="P17" s="266"/>
      <c r="Q17" s="267"/>
      <c r="R17" s="54"/>
      <c r="S17" s="55" t="s">
        <v>2250</v>
      </c>
      <c r="T17" s="55"/>
      <c r="U17" s="56"/>
      <c r="V17" s="57"/>
      <c r="W17" s="55" t="s">
        <v>2251</v>
      </c>
      <c r="X17" s="54"/>
      <c r="Y17" s="58"/>
      <c r="Z17" s="54"/>
      <c r="AA17" s="59" t="s">
        <v>2252</v>
      </c>
      <c r="AB17" s="54"/>
      <c r="AC17" s="60"/>
      <c r="BM17" s="30" t="str">
        <f t="shared" si="0"/>
        <v/>
      </c>
    </row>
    <row r="18" spans="1:65" ht="18" customHeight="1">
      <c r="A18" s="240">
        <v>1</v>
      </c>
      <c r="B18" s="241"/>
      <c r="C18" s="242">
        <f>IF(PEDIDO!B2&gt;0,PEDIDO!B2,"")</f>
        <v>910100338</v>
      </c>
      <c r="D18" s="243"/>
      <c r="E18" s="244" t="str">
        <f>IFERROR(INDEX(ListadoOficial2023[],MATCH(C18,ListadoOficial2023[[Codigo ]],0),2),"")</f>
        <v>PILA DE 1.5 VOLTIOS TIPO "AA" DE ALTA DURACION</v>
      </c>
      <c r="F18" s="245"/>
      <c r="G18" s="245"/>
      <c r="H18" s="245"/>
      <c r="I18" s="245"/>
      <c r="J18" s="245"/>
      <c r="K18" s="245"/>
      <c r="L18" s="245"/>
      <c r="M18" s="245"/>
      <c r="N18" s="245"/>
      <c r="O18" s="245"/>
      <c r="P18" s="245"/>
      <c r="Q18" s="246"/>
      <c r="R18" s="247" t="str">
        <f>IFERROR(INDEX(ListadoOficial2023[],MATCH(C18,ListadoOficial2023[[Codigo ]],0),5),"")</f>
        <v>UN</v>
      </c>
      <c r="S18" s="248"/>
      <c r="T18" s="248"/>
      <c r="U18" s="249"/>
      <c r="V18" s="250">
        <f>IF(PEDIDO!E2&gt;0,PEDIDO!E2,"")</f>
        <v>4</v>
      </c>
      <c r="W18" s="251"/>
      <c r="X18" s="251"/>
      <c r="Y18" s="252"/>
      <c r="Z18" s="253">
        <f>IF(PEDIDO!F2&lt;&gt;"",PEDIDO!F2,"")</f>
        <v>0</v>
      </c>
      <c r="AA18" s="254"/>
      <c r="AB18" s="254"/>
      <c r="AC18" s="255"/>
      <c r="AE18" s="132"/>
      <c r="BM18" s="30" t="str">
        <f t="shared" si="0"/>
        <v/>
      </c>
    </row>
    <row r="19" spans="1:65" ht="18" customHeight="1">
      <c r="A19" s="240">
        <v>2</v>
      </c>
      <c r="B19" s="241"/>
      <c r="C19" s="242">
        <f>IF(PEDIDO!B3&gt;0,PEDIDO!B3,"")</f>
        <v>910200085</v>
      </c>
      <c r="D19" s="243"/>
      <c r="E19" s="244" t="str">
        <f>IFERROR(INDEX(ListadoOficial2023[],MATCH(C19,ListadoOficial2023[[Codigo ]],0),2),"")</f>
        <v>PAPEL DE BOBINA PARA CANAPE 16" DE ANCHO POR 525 MTS DE LARGO APROXIMADAMENTE</v>
      </c>
      <c r="F19" s="245"/>
      <c r="G19" s="245"/>
      <c r="H19" s="245"/>
      <c r="I19" s="245"/>
      <c r="J19" s="245"/>
      <c r="K19" s="245"/>
      <c r="L19" s="245"/>
      <c r="M19" s="245"/>
      <c r="N19" s="245"/>
      <c r="O19" s="245"/>
      <c r="P19" s="245"/>
      <c r="Q19" s="246"/>
      <c r="R19" s="247" t="str">
        <f>IFERROR(INDEX(ListadoOficial2023[],MATCH(C19,ListadoOficial2023[[Codigo ]],0),5),"")</f>
        <v>C/U</v>
      </c>
      <c r="S19" s="248"/>
      <c r="T19" s="248"/>
      <c r="U19" s="249"/>
      <c r="V19" s="250">
        <f>IF(PEDIDO!E3&gt;0,PEDIDO!E3,"")</f>
        <v>4</v>
      </c>
      <c r="W19" s="251"/>
      <c r="X19" s="251"/>
      <c r="Y19" s="252"/>
      <c r="Z19" s="253">
        <f>IF(PEDIDO!F3&lt;&gt;"",PEDIDO!F3,"")</f>
        <v>4</v>
      </c>
      <c r="AA19" s="254"/>
      <c r="AB19" s="254"/>
      <c r="AC19" s="255"/>
      <c r="AE19" s="132"/>
      <c r="BM19" s="30" t="str">
        <f t="shared" si="0"/>
        <v/>
      </c>
    </row>
    <row r="20" spans="1:65" ht="18" customHeight="1">
      <c r="A20" s="240">
        <v>3</v>
      </c>
      <c r="B20" s="241"/>
      <c r="C20" s="242">
        <f>IF(PEDIDO!B4&gt;0,PEDIDO!B4,"")</f>
        <v>130200063</v>
      </c>
      <c r="D20" s="243"/>
      <c r="E20" s="244" t="str">
        <f>IFERROR(INDEX(ListadoOficial2023[],MATCH(C20,ListadoOficial2023[[Codigo ]],0),2),"")</f>
        <v>VALE DE CONSUMO. FORM.PROV.70003.,BLOCK</v>
      </c>
      <c r="F20" s="245"/>
      <c r="G20" s="245"/>
      <c r="H20" s="245"/>
      <c r="I20" s="245"/>
      <c r="J20" s="245"/>
      <c r="K20" s="245"/>
      <c r="L20" s="245"/>
      <c r="M20" s="245"/>
      <c r="N20" s="245"/>
      <c r="O20" s="245"/>
      <c r="P20" s="245"/>
      <c r="Q20" s="246"/>
      <c r="R20" s="247" t="str">
        <f>IFERROR(INDEX(ListadoOficial2023[],MATCH(C20,ListadoOficial2023[[Codigo ]],0),5),"")</f>
        <v>BLO</v>
      </c>
      <c r="S20" s="248"/>
      <c r="T20" s="248"/>
      <c r="U20" s="249"/>
      <c r="V20" s="250">
        <f>IF(PEDIDO!E4&gt;0,PEDIDO!E4,"")</f>
        <v>3</v>
      </c>
      <c r="W20" s="251"/>
      <c r="X20" s="251"/>
      <c r="Y20" s="252"/>
      <c r="Z20" s="253">
        <f>IF(PEDIDO!F4&lt;&gt;"",PEDIDO!F4,"")</f>
        <v>0</v>
      </c>
      <c r="AA20" s="254"/>
      <c r="AB20" s="254"/>
      <c r="AC20" s="255"/>
      <c r="AE20" s="132"/>
      <c r="BM20" s="30" t="str">
        <f t="shared" si="0"/>
        <v/>
      </c>
    </row>
    <row r="21" spans="1:65" ht="18" customHeight="1">
      <c r="A21" s="240">
        <v>4</v>
      </c>
      <c r="B21" s="241"/>
      <c r="C21" s="242">
        <f>IF(PEDIDO!B5&gt;0,PEDIDO!B5,"")</f>
        <v>910100375</v>
      </c>
      <c r="D21" s="243"/>
      <c r="E21" s="244" t="str">
        <f>IFERROR(INDEX(ListadoOficial2023[],MATCH(C21,ListadoOficial2023[[Codigo ]],0),2),"")</f>
        <v>ROLLO DE TIRRO DE 3/4 DE PULGADA DE ANCHO.</v>
      </c>
      <c r="F21" s="245"/>
      <c r="G21" s="245"/>
      <c r="H21" s="245"/>
      <c r="I21" s="245"/>
      <c r="J21" s="245"/>
      <c r="K21" s="245"/>
      <c r="L21" s="245"/>
      <c r="M21" s="245"/>
      <c r="N21" s="245"/>
      <c r="O21" s="245"/>
      <c r="P21" s="245"/>
      <c r="Q21" s="246"/>
      <c r="R21" s="247" t="str">
        <f>IFERROR(INDEX(ListadoOficial2023[],MATCH(C21,ListadoOficial2023[[Codigo ]],0),5),"")</f>
        <v>ROL</v>
      </c>
      <c r="S21" s="248"/>
      <c r="T21" s="248"/>
      <c r="U21" s="249"/>
      <c r="V21" s="250">
        <f>IF(PEDIDO!E5&gt;0,PEDIDO!E5,"")</f>
        <v>2</v>
      </c>
      <c r="W21" s="251"/>
      <c r="X21" s="251"/>
      <c r="Y21" s="252"/>
      <c r="Z21" s="253">
        <f>IF(PEDIDO!F5&lt;&gt;"",PEDIDO!F5,"")</f>
        <v>0</v>
      </c>
      <c r="AA21" s="254"/>
      <c r="AB21" s="254"/>
      <c r="AC21" s="255"/>
      <c r="AE21" s="132"/>
      <c r="BM21" s="30" t="str">
        <f t="shared" si="0"/>
        <v/>
      </c>
    </row>
    <row r="22" spans="1:65" ht="18" customHeight="1">
      <c r="A22" s="240">
        <v>5</v>
      </c>
      <c r="B22" s="241"/>
      <c r="C22" s="242">
        <f>IF(PEDIDO!B6&gt;0,PEDIDO!B6,"")</f>
        <v>910100305</v>
      </c>
      <c r="D22" s="243"/>
      <c r="E22" s="244" t="str">
        <f>IFERROR(INDEX(ListadoOficial2023[],MATCH(C22,ListadoOficial2023[[Codigo ]],0),2),"")</f>
        <v>GRAPAS DE MEDIDA STANDARD</v>
      </c>
      <c r="F22" s="245"/>
      <c r="G22" s="245"/>
      <c r="H22" s="245"/>
      <c r="I22" s="245"/>
      <c r="J22" s="245"/>
      <c r="K22" s="245"/>
      <c r="L22" s="245"/>
      <c r="M22" s="245"/>
      <c r="N22" s="245"/>
      <c r="O22" s="245"/>
      <c r="P22" s="245"/>
      <c r="Q22" s="246"/>
      <c r="R22" s="247" t="str">
        <f>IFERROR(INDEX(ListadoOficial2023[],MATCH(C22,ListadoOficial2023[[Codigo ]],0),5),"")</f>
        <v>CA</v>
      </c>
      <c r="S22" s="248"/>
      <c r="T22" s="248"/>
      <c r="U22" s="249"/>
      <c r="V22" s="250">
        <f>IF(PEDIDO!E6&gt;0,PEDIDO!E6,"")</f>
        <v>2</v>
      </c>
      <c r="W22" s="251"/>
      <c r="X22" s="251"/>
      <c r="Y22" s="252"/>
      <c r="Z22" s="253">
        <f>IF(PEDIDO!F6&lt;&gt;"",PEDIDO!F6,"")</f>
        <v>2</v>
      </c>
      <c r="AA22" s="254"/>
      <c r="AB22" s="254"/>
      <c r="AC22" s="255"/>
      <c r="AE22" s="132"/>
      <c r="BM22" s="30" t="str">
        <f t="shared" si="0"/>
        <v/>
      </c>
    </row>
    <row r="23" spans="1:65" ht="18" customHeight="1">
      <c r="A23" s="240">
        <v>6</v>
      </c>
      <c r="B23" s="241"/>
      <c r="C23" s="242" t="str">
        <f>IF(PEDIDO!B7&gt;0,PEDIDO!B7,"")</f>
        <v>U</v>
      </c>
      <c r="D23" s="243"/>
      <c r="E23" s="299" t="str">
        <f>IFERROR(INDEX(ListadoOficial2023[],MATCH(C23,ListadoOficial2023[[Codigo ]],0),2),"")</f>
        <v>********************ULTIMA LINEA  ****************************</v>
      </c>
      <c r="F23" s="300"/>
      <c r="G23" s="300"/>
      <c r="H23" s="300"/>
      <c r="I23" s="300"/>
      <c r="J23" s="300"/>
      <c r="K23" s="300"/>
      <c r="L23" s="300"/>
      <c r="M23" s="300"/>
      <c r="N23" s="300"/>
      <c r="O23" s="300"/>
      <c r="P23" s="300"/>
      <c r="Q23" s="301"/>
      <c r="R23" s="247">
        <f>IFERROR(INDEX(ListadoOficial2023[],MATCH(C23,ListadoOficial2023[[Codigo ]],0),5),"")</f>
        <v>0</v>
      </c>
      <c r="S23" s="248"/>
      <c r="T23" s="248"/>
      <c r="U23" s="249"/>
      <c r="V23" s="250" t="str">
        <f>IF(PEDIDO!E7&gt;0,PEDIDO!E7,"")</f>
        <v/>
      </c>
      <c r="W23" s="251"/>
      <c r="X23" s="251"/>
      <c r="Y23" s="252"/>
      <c r="Z23" s="253" t="str">
        <f>IF(PEDIDO!F7&lt;&gt;"",PEDIDO!F7,"")</f>
        <v/>
      </c>
      <c r="AA23" s="254"/>
      <c r="AB23" s="254"/>
      <c r="AC23" s="255"/>
      <c r="AE23" s="132"/>
      <c r="BM23" s="30" t="str">
        <f t="shared" si="0"/>
        <v/>
      </c>
    </row>
    <row r="24" spans="1:65" ht="18" customHeight="1">
      <c r="A24" s="240">
        <v>7</v>
      </c>
      <c r="B24" s="241"/>
      <c r="C24" s="242" t="str">
        <f>IF(PEDIDO!B8&gt;0,PEDIDO!B8,"")</f>
        <v/>
      </c>
      <c r="D24" s="243"/>
      <c r="E24" s="244" t="str">
        <f>IFERROR(INDEX(ListadoOficial2023[],MATCH(C24,ListadoOficial2023[[Codigo ]],0),2),"")</f>
        <v/>
      </c>
      <c r="F24" s="245"/>
      <c r="G24" s="245"/>
      <c r="H24" s="245"/>
      <c r="I24" s="245"/>
      <c r="J24" s="245"/>
      <c r="K24" s="245"/>
      <c r="L24" s="245"/>
      <c r="M24" s="245"/>
      <c r="N24" s="245"/>
      <c r="O24" s="245"/>
      <c r="P24" s="245"/>
      <c r="Q24" s="246"/>
      <c r="R24" s="247" t="str">
        <f>IFERROR(INDEX(ListadoOficial2023[],MATCH(C24,ListadoOficial2023[[Codigo ]],0),5),"")</f>
        <v/>
      </c>
      <c r="S24" s="248"/>
      <c r="T24" s="248"/>
      <c r="U24" s="249"/>
      <c r="V24" s="250" t="str">
        <f>IF(PEDIDO!E8&gt;0,PEDIDO!E8,"")</f>
        <v/>
      </c>
      <c r="W24" s="251"/>
      <c r="X24" s="251"/>
      <c r="Y24" s="252"/>
      <c r="Z24" s="253" t="str">
        <f>IF(PEDIDO!F8&lt;&gt;"",PEDIDO!F8,"")</f>
        <v/>
      </c>
      <c r="AA24" s="254"/>
      <c r="AB24" s="254"/>
      <c r="AC24" s="255"/>
      <c r="AE24" s="132"/>
      <c r="BM24" s="30" t="str">
        <f t="shared" si="0"/>
        <v/>
      </c>
    </row>
    <row r="25" spans="1:65" ht="18" customHeight="1">
      <c r="A25" s="240">
        <v>8</v>
      </c>
      <c r="B25" s="241"/>
      <c r="C25" s="242" t="str">
        <f>IF(PEDIDO!B9&gt;0,PEDIDO!B9,"")</f>
        <v/>
      </c>
      <c r="D25" s="243"/>
      <c r="E25" s="244" t="str">
        <f>IFERROR(INDEX(ListadoOficial2023[],MATCH(C25,ListadoOficial2023[[Codigo ]],0),2),"")</f>
        <v/>
      </c>
      <c r="F25" s="245"/>
      <c r="G25" s="245"/>
      <c r="H25" s="245"/>
      <c r="I25" s="245"/>
      <c r="J25" s="245"/>
      <c r="K25" s="245"/>
      <c r="L25" s="245"/>
      <c r="M25" s="245"/>
      <c r="N25" s="245"/>
      <c r="O25" s="245"/>
      <c r="P25" s="245"/>
      <c r="Q25" s="246"/>
      <c r="R25" s="247" t="str">
        <f>IFERROR(INDEX(ListadoOficial2023[],MATCH(C25,ListadoOficial2023[[Codigo ]],0),5),"")</f>
        <v/>
      </c>
      <c r="S25" s="248"/>
      <c r="T25" s="248"/>
      <c r="U25" s="249"/>
      <c r="V25" s="250" t="str">
        <f>IF(PEDIDO!E9&gt;0,PEDIDO!E9,"")</f>
        <v/>
      </c>
      <c r="W25" s="251"/>
      <c r="X25" s="251"/>
      <c r="Y25" s="252"/>
      <c r="Z25" s="253" t="str">
        <f>IF(PEDIDO!F9&lt;&gt;"",PEDIDO!F9,"")</f>
        <v/>
      </c>
      <c r="AA25" s="254"/>
      <c r="AB25" s="254"/>
      <c r="AC25" s="255"/>
      <c r="AE25" s="132"/>
      <c r="BM25" s="30" t="str">
        <f t="shared" si="0"/>
        <v/>
      </c>
    </row>
    <row r="26" spans="1:65" ht="18" customHeight="1">
      <c r="A26" s="240">
        <v>9</v>
      </c>
      <c r="B26" s="241"/>
      <c r="C26" s="242" t="str">
        <f>IF(PEDIDO!B10&gt;0,PEDIDO!B10,"")</f>
        <v/>
      </c>
      <c r="D26" s="243"/>
      <c r="E26" s="244" t="str">
        <f>IFERROR(INDEX(ListadoOficial2023[],MATCH(C26,ListadoOficial2023[[Codigo ]],0),2),"")</f>
        <v/>
      </c>
      <c r="F26" s="245"/>
      <c r="G26" s="245"/>
      <c r="H26" s="245"/>
      <c r="I26" s="245"/>
      <c r="J26" s="245"/>
      <c r="K26" s="245"/>
      <c r="L26" s="245"/>
      <c r="M26" s="245"/>
      <c r="N26" s="245"/>
      <c r="O26" s="245"/>
      <c r="P26" s="245"/>
      <c r="Q26" s="246"/>
      <c r="R26" s="247" t="str">
        <f>IFERROR(INDEX(ListadoOficial2023[],MATCH(C26,ListadoOficial2023[[Codigo ]],0),5),"")</f>
        <v/>
      </c>
      <c r="S26" s="248"/>
      <c r="T26" s="248"/>
      <c r="U26" s="249"/>
      <c r="V26" s="250" t="str">
        <f>IF(PEDIDO!E10&gt;0,PEDIDO!E10,"")</f>
        <v/>
      </c>
      <c r="W26" s="251"/>
      <c r="X26" s="251"/>
      <c r="Y26" s="252"/>
      <c r="Z26" s="253" t="str">
        <f>IF(PEDIDO!F10&lt;&gt;"",PEDIDO!F10,"")</f>
        <v/>
      </c>
      <c r="AA26" s="254"/>
      <c r="AB26" s="254"/>
      <c r="AC26" s="255"/>
      <c r="AE26" s="132"/>
      <c r="BM26" s="30" t="str">
        <f t="shared" si="0"/>
        <v/>
      </c>
    </row>
    <row r="27" spans="1:65" ht="18" customHeight="1" thickBot="1">
      <c r="A27" s="270">
        <v>10</v>
      </c>
      <c r="B27" s="271"/>
      <c r="C27" s="242" t="str">
        <f>IF(PEDIDO!B11&gt;0,PEDIDO!B11,"")</f>
        <v/>
      </c>
      <c r="D27" s="243"/>
      <c r="E27" s="244" t="str">
        <f>IFERROR(INDEX(ListadoOficial2023[],MATCH(C27,ListadoOficial2023[[Codigo ]],0),2),"")</f>
        <v/>
      </c>
      <c r="F27" s="245"/>
      <c r="G27" s="245"/>
      <c r="H27" s="245"/>
      <c r="I27" s="245"/>
      <c r="J27" s="245"/>
      <c r="K27" s="245"/>
      <c r="L27" s="245"/>
      <c r="M27" s="245"/>
      <c r="N27" s="245"/>
      <c r="O27" s="245"/>
      <c r="P27" s="245"/>
      <c r="Q27" s="246"/>
      <c r="R27" s="247" t="str">
        <f>IFERROR(INDEX(ListadoOficial2023[],MATCH(C27,ListadoOficial2023[[Codigo ]],0),5),"")</f>
        <v/>
      </c>
      <c r="S27" s="248"/>
      <c r="T27" s="248"/>
      <c r="U27" s="249"/>
      <c r="V27" s="250" t="str">
        <f>IF(PEDIDO!E11&gt;0,PEDIDO!E11,"")</f>
        <v/>
      </c>
      <c r="W27" s="251"/>
      <c r="X27" s="251"/>
      <c r="Y27" s="252"/>
      <c r="Z27" s="253" t="str">
        <f>IF(PEDIDO!F11&lt;&gt;"",PEDIDO!F11,"")</f>
        <v/>
      </c>
      <c r="AA27" s="254"/>
      <c r="AB27" s="254"/>
      <c r="AC27" s="255"/>
      <c r="AE27" s="132"/>
      <c r="BM27" s="61" t="str">
        <f t="shared" si="0"/>
        <v/>
      </c>
    </row>
    <row r="28" spans="1:65" ht="18" customHeight="1">
      <c r="A28" s="240">
        <v>11</v>
      </c>
      <c r="B28" s="241"/>
      <c r="C28" s="242" t="str">
        <f>IF(PEDIDO!B12&gt;0,PEDIDO!B12,"")</f>
        <v/>
      </c>
      <c r="D28" s="243"/>
      <c r="E28" s="244" t="str">
        <f>IFERROR(INDEX(ListadoOficial2023[],MATCH(C28,ListadoOficial2023[[Codigo ]],0),2),"")</f>
        <v/>
      </c>
      <c r="F28" s="245"/>
      <c r="G28" s="245"/>
      <c r="H28" s="245"/>
      <c r="I28" s="245"/>
      <c r="J28" s="245"/>
      <c r="K28" s="245"/>
      <c r="L28" s="245"/>
      <c r="M28" s="245"/>
      <c r="N28" s="245"/>
      <c r="O28" s="245"/>
      <c r="P28" s="245"/>
      <c r="Q28" s="246"/>
      <c r="R28" s="247" t="str">
        <f>IFERROR(INDEX(ListadoOficial2023[],MATCH(C28,ListadoOficial2023[[Codigo ]],0),5),"")</f>
        <v/>
      </c>
      <c r="S28" s="248"/>
      <c r="T28" s="248"/>
      <c r="U28" s="249"/>
      <c r="V28" s="250" t="str">
        <f>IF(PEDIDO!E12&gt;0,PEDIDO!E12,"")</f>
        <v/>
      </c>
      <c r="W28" s="251"/>
      <c r="X28" s="251"/>
      <c r="Y28" s="252"/>
      <c r="Z28" s="253" t="str">
        <f>IF(PEDIDO!F12&lt;&gt;"",PEDIDO!F12,"")</f>
        <v/>
      </c>
      <c r="AA28" s="254"/>
      <c r="AB28" s="254"/>
      <c r="AC28" s="255"/>
      <c r="AE28" s="132"/>
    </row>
    <row r="29" spans="1:65" ht="18" customHeight="1">
      <c r="A29" s="240">
        <v>12</v>
      </c>
      <c r="B29" s="241"/>
      <c r="C29" s="242" t="str">
        <f>IF(PEDIDO!B13&gt;0,PEDIDO!B13,"")</f>
        <v/>
      </c>
      <c r="D29" s="243"/>
      <c r="E29" s="244" t="str">
        <f>IFERROR(INDEX(ListadoOficial2023[],MATCH(C29,ListadoOficial2023[[Codigo ]],0),2),"")</f>
        <v/>
      </c>
      <c r="F29" s="245"/>
      <c r="G29" s="245"/>
      <c r="H29" s="245"/>
      <c r="I29" s="245"/>
      <c r="J29" s="245"/>
      <c r="K29" s="245"/>
      <c r="L29" s="245"/>
      <c r="M29" s="245"/>
      <c r="N29" s="245"/>
      <c r="O29" s="245"/>
      <c r="P29" s="245"/>
      <c r="Q29" s="246"/>
      <c r="R29" s="247" t="str">
        <f>IFERROR(INDEX(ListadoOficial2023[],MATCH(C29,ListadoOficial2023[[Codigo ]],0),5),"")</f>
        <v/>
      </c>
      <c r="S29" s="248"/>
      <c r="T29" s="248"/>
      <c r="U29" s="249"/>
      <c r="V29" s="250" t="str">
        <f>IF(PEDIDO!E13&gt;0,PEDIDO!E13,"")</f>
        <v/>
      </c>
      <c r="W29" s="251"/>
      <c r="X29" s="251"/>
      <c r="Y29" s="252"/>
      <c r="Z29" s="253" t="str">
        <f>IF(PEDIDO!F13&lt;&gt;"",PEDIDO!F13,"")</f>
        <v/>
      </c>
      <c r="AA29" s="254"/>
      <c r="AB29" s="254"/>
      <c r="AC29" s="255"/>
      <c r="AE29" s="132"/>
    </row>
    <row r="30" spans="1:65" ht="18" customHeight="1">
      <c r="A30" s="240">
        <v>13</v>
      </c>
      <c r="B30" s="241"/>
      <c r="C30" s="242" t="str">
        <f>IF(PEDIDO!B14&gt;0,PEDIDO!B14,"")</f>
        <v/>
      </c>
      <c r="D30" s="243"/>
      <c r="E30" s="244" t="str">
        <f>IFERROR(INDEX(ListadoOficial2023[],MATCH(C30,ListadoOficial2023[[Codigo ]],0),2),"")</f>
        <v/>
      </c>
      <c r="F30" s="245"/>
      <c r="G30" s="245"/>
      <c r="H30" s="245"/>
      <c r="I30" s="245"/>
      <c r="J30" s="245"/>
      <c r="K30" s="245"/>
      <c r="L30" s="245"/>
      <c r="M30" s="245"/>
      <c r="N30" s="245"/>
      <c r="O30" s="245"/>
      <c r="P30" s="245"/>
      <c r="Q30" s="246"/>
      <c r="R30" s="247" t="str">
        <f>IFERROR(INDEX(ListadoOficial2023[],MATCH(C30,ListadoOficial2023[[Codigo ]],0),5),"")</f>
        <v/>
      </c>
      <c r="S30" s="248"/>
      <c r="T30" s="248"/>
      <c r="U30" s="249"/>
      <c r="V30" s="250" t="str">
        <f>IF(PEDIDO!E14&gt;0,PEDIDO!E14,"")</f>
        <v/>
      </c>
      <c r="W30" s="251"/>
      <c r="X30" s="251"/>
      <c r="Y30" s="252"/>
      <c r="Z30" s="253" t="str">
        <f>IF(PEDIDO!F14&lt;&gt;"",PEDIDO!F14,"")</f>
        <v/>
      </c>
      <c r="AA30" s="254"/>
      <c r="AB30" s="254"/>
      <c r="AC30" s="255"/>
      <c r="AE30" s="132"/>
    </row>
    <row r="31" spans="1:65" ht="18" customHeight="1">
      <c r="A31" s="240">
        <v>14</v>
      </c>
      <c r="B31" s="241"/>
      <c r="C31" s="242" t="str">
        <f>IF(PEDIDO!B15&gt;0,PEDIDO!B15,"")</f>
        <v/>
      </c>
      <c r="D31" s="243"/>
      <c r="E31" s="244" t="str">
        <f>IFERROR(INDEX(ListadoOficial2023[],MATCH(C31,ListadoOficial2023[[Codigo ]],0),2),"")</f>
        <v/>
      </c>
      <c r="F31" s="245"/>
      <c r="G31" s="245"/>
      <c r="H31" s="245"/>
      <c r="I31" s="245"/>
      <c r="J31" s="245"/>
      <c r="K31" s="245"/>
      <c r="L31" s="245"/>
      <c r="M31" s="245"/>
      <c r="N31" s="245"/>
      <c r="O31" s="245"/>
      <c r="P31" s="245"/>
      <c r="Q31" s="246"/>
      <c r="R31" s="247" t="str">
        <f>IFERROR(INDEX(ListadoOficial2023[],MATCH(C31,ListadoOficial2023[[Codigo ]],0),5),"")</f>
        <v/>
      </c>
      <c r="S31" s="248"/>
      <c r="T31" s="248"/>
      <c r="U31" s="249"/>
      <c r="V31" s="250" t="str">
        <f>IF(PEDIDO!E15&gt;0,PEDIDO!E15,"")</f>
        <v/>
      </c>
      <c r="W31" s="251"/>
      <c r="X31" s="251"/>
      <c r="Y31" s="252"/>
      <c r="Z31" s="253" t="str">
        <f>IF(PEDIDO!F15&lt;&gt;"",PEDIDO!F15,"")</f>
        <v/>
      </c>
      <c r="AA31" s="254"/>
      <c r="AB31" s="254"/>
      <c r="AC31" s="255"/>
      <c r="AE31" s="132"/>
    </row>
    <row r="32" spans="1:65" ht="18" customHeight="1">
      <c r="A32" s="240">
        <v>15</v>
      </c>
      <c r="B32" s="241"/>
      <c r="C32" s="242" t="str">
        <f>IF(PEDIDO!B16&gt;0,PEDIDO!B16,"")</f>
        <v/>
      </c>
      <c r="D32" s="243"/>
      <c r="E32" s="244" t="str">
        <f>IFERROR(INDEX(ListadoOficial2023[],MATCH(C32,ListadoOficial2023[[Codigo ]],0),2),"")</f>
        <v/>
      </c>
      <c r="F32" s="245"/>
      <c r="G32" s="245"/>
      <c r="H32" s="245"/>
      <c r="I32" s="245"/>
      <c r="J32" s="245"/>
      <c r="K32" s="245"/>
      <c r="L32" s="245"/>
      <c r="M32" s="245"/>
      <c r="N32" s="245"/>
      <c r="O32" s="245"/>
      <c r="P32" s="245"/>
      <c r="Q32" s="246"/>
      <c r="R32" s="247" t="str">
        <f>IFERROR(INDEX(ListadoOficial2023[],MATCH(C32,ListadoOficial2023[[Codigo ]],0),5),"")</f>
        <v/>
      </c>
      <c r="S32" s="248"/>
      <c r="T32" s="248"/>
      <c r="U32" s="249"/>
      <c r="V32" s="250" t="str">
        <f>IF(PEDIDO!E16&gt;0,PEDIDO!E16,"")</f>
        <v/>
      </c>
      <c r="W32" s="251"/>
      <c r="X32" s="251"/>
      <c r="Y32" s="252"/>
      <c r="Z32" s="253" t="str">
        <f>IF(PEDIDO!F16&lt;&gt;"",PEDIDO!F16,"")</f>
        <v/>
      </c>
      <c r="AA32" s="254"/>
      <c r="AB32" s="254"/>
      <c r="AC32" s="255"/>
      <c r="AE32" s="132"/>
    </row>
    <row r="33" spans="1:31" ht="18" customHeight="1">
      <c r="A33" s="240">
        <v>16</v>
      </c>
      <c r="B33" s="241"/>
      <c r="C33" s="242" t="str">
        <f>IF(PEDIDO!B17&gt;0,PEDIDO!B17,"")</f>
        <v/>
      </c>
      <c r="D33" s="243"/>
      <c r="E33" s="244" t="str">
        <f>IFERROR(INDEX(ListadoOficial2023[],MATCH(C33,ListadoOficial2023[[Codigo ]],0),2),"")</f>
        <v/>
      </c>
      <c r="F33" s="245"/>
      <c r="G33" s="245"/>
      <c r="H33" s="245"/>
      <c r="I33" s="245"/>
      <c r="J33" s="245"/>
      <c r="K33" s="245"/>
      <c r="L33" s="245"/>
      <c r="M33" s="245"/>
      <c r="N33" s="245"/>
      <c r="O33" s="245"/>
      <c r="P33" s="245"/>
      <c r="Q33" s="246"/>
      <c r="R33" s="247" t="str">
        <f>IFERROR(INDEX(ListadoOficial2023[],MATCH(C33,ListadoOficial2023[[Codigo ]],0),5),"")</f>
        <v/>
      </c>
      <c r="S33" s="248"/>
      <c r="T33" s="248"/>
      <c r="U33" s="249"/>
      <c r="V33" s="250" t="str">
        <f>IF(PEDIDO!E17&gt;0,PEDIDO!E17,"")</f>
        <v/>
      </c>
      <c r="W33" s="251"/>
      <c r="X33" s="251"/>
      <c r="Y33" s="252"/>
      <c r="Z33" s="253" t="str">
        <f>IF(PEDIDO!F17&lt;&gt;"",PEDIDO!F17,"")</f>
        <v/>
      </c>
      <c r="AA33" s="254"/>
      <c r="AB33" s="254"/>
      <c r="AC33" s="255"/>
      <c r="AE33" s="132"/>
    </row>
    <row r="34" spans="1:31" ht="18" customHeight="1">
      <c r="A34" s="240">
        <v>17</v>
      </c>
      <c r="B34" s="241"/>
      <c r="C34" s="242" t="str">
        <f>IF(PEDIDO!B18&gt;0,PEDIDO!B18,"")</f>
        <v/>
      </c>
      <c r="D34" s="243"/>
      <c r="E34" s="244" t="str">
        <f>IFERROR(INDEX(ListadoOficial2023[],MATCH(C34,ListadoOficial2023[[Codigo ]],0),2),"")</f>
        <v/>
      </c>
      <c r="F34" s="245"/>
      <c r="G34" s="245"/>
      <c r="H34" s="245"/>
      <c r="I34" s="245"/>
      <c r="J34" s="245"/>
      <c r="K34" s="245"/>
      <c r="L34" s="245"/>
      <c r="M34" s="245"/>
      <c r="N34" s="245"/>
      <c r="O34" s="245"/>
      <c r="P34" s="245"/>
      <c r="Q34" s="246"/>
      <c r="R34" s="247" t="str">
        <f>IFERROR(INDEX(ListadoOficial2023[],MATCH(C34,ListadoOficial2023[[Codigo ]],0),5),"")</f>
        <v/>
      </c>
      <c r="S34" s="248"/>
      <c r="T34" s="248"/>
      <c r="U34" s="249"/>
      <c r="V34" s="250" t="str">
        <f>IF(PEDIDO!E18&gt;0,PEDIDO!E18,"")</f>
        <v/>
      </c>
      <c r="W34" s="251"/>
      <c r="X34" s="251"/>
      <c r="Y34" s="252"/>
      <c r="Z34" s="253" t="str">
        <f>IF(PEDIDO!F18&lt;&gt;"",PEDIDO!F18,"")</f>
        <v/>
      </c>
      <c r="AA34" s="254"/>
      <c r="AB34" s="254"/>
      <c r="AC34" s="255"/>
      <c r="AE34" s="132"/>
    </row>
    <row r="35" spans="1:31" ht="18" customHeight="1">
      <c r="A35" s="240">
        <v>18</v>
      </c>
      <c r="B35" s="241"/>
      <c r="C35" s="242" t="str">
        <f>IF(PEDIDO!B19&gt;0,PEDIDO!B19,"")</f>
        <v/>
      </c>
      <c r="D35" s="243"/>
      <c r="E35" s="244" t="str">
        <f>IFERROR(INDEX(ListadoOficial2023[],MATCH(C35,ListadoOficial2023[[Codigo ]],0),2),"")</f>
        <v/>
      </c>
      <c r="F35" s="245"/>
      <c r="G35" s="245"/>
      <c r="H35" s="245"/>
      <c r="I35" s="245"/>
      <c r="J35" s="245"/>
      <c r="K35" s="245"/>
      <c r="L35" s="245"/>
      <c r="M35" s="245"/>
      <c r="N35" s="245"/>
      <c r="O35" s="245"/>
      <c r="P35" s="245"/>
      <c r="Q35" s="246"/>
      <c r="R35" s="247" t="str">
        <f>IFERROR(INDEX(ListadoOficial2023[],MATCH(C35,ListadoOficial2023[[Codigo ]],0),5),"")</f>
        <v/>
      </c>
      <c r="S35" s="248"/>
      <c r="T35" s="248"/>
      <c r="U35" s="249"/>
      <c r="V35" s="250" t="str">
        <f>IF(PEDIDO!E19&gt;0,PEDIDO!E19,"")</f>
        <v/>
      </c>
      <c r="W35" s="251"/>
      <c r="X35" s="251"/>
      <c r="Y35" s="252"/>
      <c r="Z35" s="253" t="str">
        <f>IF(PEDIDO!F19&lt;&gt;"",PEDIDO!F19,"")</f>
        <v/>
      </c>
      <c r="AA35" s="254"/>
      <c r="AB35" s="254"/>
      <c r="AC35" s="255"/>
      <c r="AE35" s="132"/>
    </row>
    <row r="36" spans="1:31" ht="18" customHeight="1">
      <c r="A36" s="240">
        <v>19</v>
      </c>
      <c r="B36" s="241"/>
      <c r="C36" s="242" t="str">
        <f>IF(PEDIDO!B20&gt;0,PEDIDO!B20,"")</f>
        <v/>
      </c>
      <c r="D36" s="243"/>
      <c r="E36" s="244" t="str">
        <f>IFERROR(INDEX(ListadoOficial2023[],MATCH(C36,ListadoOficial2023[[Codigo ]],0),2),"")</f>
        <v/>
      </c>
      <c r="F36" s="245"/>
      <c r="G36" s="245"/>
      <c r="H36" s="245"/>
      <c r="I36" s="245"/>
      <c r="J36" s="245"/>
      <c r="K36" s="245"/>
      <c r="L36" s="245"/>
      <c r="M36" s="245"/>
      <c r="N36" s="245"/>
      <c r="O36" s="245"/>
      <c r="P36" s="245"/>
      <c r="Q36" s="246"/>
      <c r="R36" s="247" t="str">
        <f>IFERROR(INDEX(ListadoOficial2023[],MATCH(C36,ListadoOficial2023[[Codigo ]],0),5),"")</f>
        <v/>
      </c>
      <c r="S36" s="248"/>
      <c r="T36" s="248"/>
      <c r="U36" s="249"/>
      <c r="V36" s="250" t="str">
        <f>IF(PEDIDO!E20&gt;0,PEDIDO!E20,"")</f>
        <v/>
      </c>
      <c r="W36" s="251"/>
      <c r="X36" s="251"/>
      <c r="Y36" s="252"/>
      <c r="Z36" s="253" t="str">
        <f>IF(PEDIDO!F20&lt;&gt;"",PEDIDO!F20,"")</f>
        <v/>
      </c>
      <c r="AA36" s="254"/>
      <c r="AB36" s="254"/>
      <c r="AC36" s="255"/>
      <c r="AE36" s="132"/>
    </row>
    <row r="37" spans="1:31" ht="18" customHeight="1">
      <c r="A37" s="240">
        <v>20</v>
      </c>
      <c r="B37" s="241"/>
      <c r="C37" s="242" t="str">
        <f>IF(PEDIDO!B21&gt;0,PEDIDO!B21,"")</f>
        <v/>
      </c>
      <c r="D37" s="243"/>
      <c r="E37" s="244" t="str">
        <f>IFERROR(INDEX(ListadoOficial2023[],MATCH(C37,ListadoOficial2023[[Codigo ]],0),2),"")</f>
        <v/>
      </c>
      <c r="F37" s="245"/>
      <c r="G37" s="245"/>
      <c r="H37" s="245"/>
      <c r="I37" s="245"/>
      <c r="J37" s="245"/>
      <c r="K37" s="245"/>
      <c r="L37" s="245"/>
      <c r="M37" s="245"/>
      <c r="N37" s="245"/>
      <c r="O37" s="245"/>
      <c r="P37" s="245"/>
      <c r="Q37" s="246"/>
      <c r="R37" s="247" t="str">
        <f>IFERROR(INDEX(ListadoOficial2023[],MATCH(C37,ListadoOficial2023[[Codigo ]],0),5),"")</f>
        <v/>
      </c>
      <c r="S37" s="248"/>
      <c r="T37" s="248"/>
      <c r="U37" s="249"/>
      <c r="V37" s="250" t="str">
        <f>IF(PEDIDO!E21&gt;0,PEDIDO!E21,"")</f>
        <v/>
      </c>
      <c r="W37" s="251"/>
      <c r="X37" s="251"/>
      <c r="Y37" s="252"/>
      <c r="Z37" s="253" t="str">
        <f>IF(PEDIDO!F21&lt;&gt;"",PEDIDO!F21,"")</f>
        <v/>
      </c>
      <c r="AA37" s="254"/>
      <c r="AB37" s="254"/>
      <c r="AC37" s="255"/>
      <c r="AE37" s="132"/>
    </row>
    <row r="38" spans="1:31" ht="18" customHeight="1" thickBot="1">
      <c r="A38" s="240">
        <v>21</v>
      </c>
      <c r="B38" s="241"/>
      <c r="C38" s="242" t="str">
        <f>IF(PEDIDO!B22&gt;0,PEDIDO!B22,"")</f>
        <v/>
      </c>
      <c r="D38" s="243"/>
      <c r="E38" s="244" t="str">
        <f>IFERROR(INDEX(ListadoOficial2023[],MATCH(C38,ListadoOficial2023[[Codigo ]],0),2),"")</f>
        <v/>
      </c>
      <c r="F38" s="245"/>
      <c r="G38" s="245"/>
      <c r="H38" s="245"/>
      <c r="I38" s="245"/>
      <c r="J38" s="245"/>
      <c r="K38" s="245"/>
      <c r="L38" s="245"/>
      <c r="M38" s="245"/>
      <c r="N38" s="245"/>
      <c r="O38" s="245"/>
      <c r="P38" s="245"/>
      <c r="Q38" s="246"/>
      <c r="R38" s="247" t="str">
        <f>IFERROR(INDEX(ListadoOficial2023[],MATCH(C38,ListadoOficial2023[[Codigo ]],0),5),"")</f>
        <v/>
      </c>
      <c r="S38" s="248"/>
      <c r="T38" s="248"/>
      <c r="U38" s="249"/>
      <c r="V38" s="250" t="str">
        <f>IF(PEDIDO!E22&gt;0,PEDIDO!E22,"")</f>
        <v/>
      </c>
      <c r="W38" s="251"/>
      <c r="X38" s="251"/>
      <c r="Y38" s="252"/>
      <c r="Z38" s="253" t="str">
        <f>IF(PEDIDO!F22&lt;&gt;"",PEDIDO!F22,"")</f>
        <v/>
      </c>
      <c r="AA38" s="254"/>
      <c r="AB38" s="254"/>
      <c r="AC38" s="255"/>
    </row>
    <row r="39" spans="1:31" ht="19.5" customHeight="1" thickBot="1">
      <c r="A39" s="272"/>
      <c r="B39" s="273"/>
      <c r="C39" s="273"/>
      <c r="D39" s="273"/>
      <c r="E39" s="160" t="s">
        <v>3087</v>
      </c>
      <c r="F39" s="62"/>
      <c r="G39" s="274">
        <f>PEDIDO!J7</f>
        <v>0</v>
      </c>
      <c r="H39" s="274"/>
      <c r="I39" s="274"/>
      <c r="J39" s="274"/>
      <c r="K39" s="274"/>
      <c r="L39" s="274"/>
      <c r="M39" s="274"/>
      <c r="N39" s="274"/>
      <c r="O39" s="274"/>
      <c r="P39" s="274"/>
      <c r="Q39" s="274"/>
      <c r="R39" s="147"/>
      <c r="S39" s="148"/>
      <c r="T39" s="148"/>
      <c r="U39" s="148"/>
      <c r="V39" s="148"/>
      <c r="W39" s="148"/>
      <c r="X39" s="148"/>
      <c r="Y39" s="148"/>
      <c r="Z39" s="148"/>
      <c r="AA39" s="148"/>
      <c r="AB39" s="148"/>
      <c r="AC39" s="149"/>
    </row>
    <row r="40" spans="1:31" ht="3.95" customHeight="1" thickBot="1">
      <c r="G40" s="275"/>
      <c r="H40" s="275"/>
      <c r="I40" s="275"/>
      <c r="J40" s="275"/>
      <c r="K40" s="275"/>
      <c r="L40" s="275"/>
      <c r="M40" s="275"/>
      <c r="N40" s="275"/>
      <c r="O40" s="275"/>
      <c r="P40" s="275"/>
      <c r="Q40" s="275"/>
    </row>
    <row r="41" spans="1:31">
      <c r="A41" s="63" t="s">
        <v>2254</v>
      </c>
      <c r="B41" s="22"/>
      <c r="C41" s="22"/>
      <c r="D41" s="22"/>
      <c r="E41" s="22"/>
      <c r="F41" s="22"/>
      <c r="G41" s="23"/>
      <c r="H41" s="22" t="s">
        <v>2255</v>
      </c>
      <c r="I41" s="22"/>
      <c r="J41" s="22"/>
      <c r="K41" s="22"/>
      <c r="L41" s="22"/>
      <c r="M41" s="22"/>
      <c r="N41" s="22"/>
      <c r="O41" s="22"/>
      <c r="P41" s="22"/>
      <c r="Q41" s="22"/>
      <c r="R41" s="23"/>
      <c r="S41" s="22" t="s">
        <v>2256</v>
      </c>
      <c r="T41" s="22"/>
      <c r="U41" s="22"/>
      <c r="V41" s="22"/>
      <c r="W41" s="22"/>
      <c r="X41" s="22"/>
      <c r="Y41" s="22"/>
      <c r="Z41" s="22"/>
      <c r="AA41" s="22"/>
      <c r="AB41" s="22"/>
      <c r="AC41" s="64"/>
    </row>
    <row r="42" spans="1:31">
      <c r="A42" s="278" t="str">
        <f>PEDIDO!J4</f>
        <v>Licda. Delia Alvarez</v>
      </c>
      <c r="B42" s="279"/>
      <c r="C42" s="279"/>
      <c r="D42" s="279"/>
      <c r="E42" s="279"/>
      <c r="F42" s="279"/>
      <c r="G42" s="280"/>
      <c r="H42" s="281" t="str">
        <f>PEDIDO!J6</f>
        <v>Licdo. CARLOS UMAÑA</v>
      </c>
      <c r="I42" s="279"/>
      <c r="J42" s="279"/>
      <c r="K42" s="279"/>
      <c r="L42" s="279"/>
      <c r="M42" s="279"/>
      <c r="N42" s="279"/>
      <c r="O42" s="279"/>
      <c r="P42" s="279"/>
      <c r="Q42" s="279"/>
      <c r="R42" s="280"/>
      <c r="S42" s="282"/>
      <c r="T42" s="283"/>
      <c r="U42" s="283"/>
      <c r="V42" s="283"/>
      <c r="W42" s="283"/>
      <c r="X42" s="283"/>
      <c r="Y42" s="283"/>
      <c r="Z42" s="283"/>
      <c r="AA42" s="283"/>
      <c r="AB42" s="283"/>
      <c r="AC42" s="284"/>
    </row>
    <row r="43" spans="1:31">
      <c r="A43" s="65"/>
      <c r="B43" s="50"/>
      <c r="C43" s="276" t="s">
        <v>2257</v>
      </c>
      <c r="D43" s="276"/>
      <c r="E43" s="276"/>
      <c r="F43" s="276"/>
      <c r="G43" s="51"/>
      <c r="H43" s="50"/>
      <c r="I43" s="50"/>
      <c r="J43" s="50"/>
      <c r="K43" s="276" t="s">
        <v>2257</v>
      </c>
      <c r="L43" s="276"/>
      <c r="M43" s="276"/>
      <c r="N43" s="276"/>
      <c r="O43" s="276"/>
      <c r="P43" s="276"/>
      <c r="Q43" s="276"/>
      <c r="R43" s="51"/>
      <c r="S43" s="50"/>
      <c r="T43" s="50"/>
      <c r="U43" s="50"/>
      <c r="V43" s="276" t="s">
        <v>2257</v>
      </c>
      <c r="W43" s="276"/>
      <c r="X43" s="276"/>
      <c r="Y43" s="276"/>
      <c r="Z43" s="276"/>
      <c r="AA43" s="276"/>
      <c r="AB43" s="276"/>
      <c r="AC43" s="53"/>
    </row>
    <row r="44" spans="1:31">
      <c r="A44" s="65"/>
      <c r="B44" s="50"/>
      <c r="C44" s="54"/>
      <c r="D44" s="54"/>
      <c r="E44" s="54"/>
      <c r="F44" s="54"/>
      <c r="G44" s="51"/>
      <c r="H44" s="50"/>
      <c r="I44" s="50"/>
      <c r="J44" s="50"/>
      <c r="K44" s="54"/>
      <c r="L44" s="54"/>
      <c r="M44" s="54"/>
      <c r="N44" s="54"/>
      <c r="O44" s="54"/>
      <c r="P44" s="54"/>
      <c r="Q44" s="54"/>
      <c r="R44" s="51"/>
      <c r="S44" s="50"/>
      <c r="T44" s="50"/>
      <c r="U44" s="50"/>
      <c r="V44" s="54"/>
      <c r="W44" s="54"/>
      <c r="X44" s="54"/>
      <c r="Y44" s="54"/>
      <c r="Z44" s="54"/>
      <c r="AA44" s="54"/>
      <c r="AB44" s="54"/>
      <c r="AC44" s="53"/>
    </row>
    <row r="45" spans="1:31">
      <c r="A45" s="66"/>
      <c r="B45" s="54"/>
      <c r="C45" s="277" t="s">
        <v>2258</v>
      </c>
      <c r="D45" s="277"/>
      <c r="E45" s="277"/>
      <c r="F45" s="277"/>
      <c r="G45" s="58"/>
      <c r="H45" s="54"/>
      <c r="I45" s="54"/>
      <c r="J45" s="54"/>
      <c r="K45" s="277" t="s">
        <v>2258</v>
      </c>
      <c r="L45" s="277"/>
      <c r="M45" s="277"/>
      <c r="N45" s="277"/>
      <c r="O45" s="277"/>
      <c r="P45" s="277"/>
      <c r="Q45" s="277"/>
      <c r="R45" s="58"/>
      <c r="S45" s="54"/>
      <c r="T45" s="54"/>
      <c r="U45" s="54"/>
      <c r="V45" s="277" t="s">
        <v>2258</v>
      </c>
      <c r="W45" s="277"/>
      <c r="X45" s="277"/>
      <c r="Y45" s="277"/>
      <c r="Z45" s="277"/>
      <c r="AA45" s="277"/>
      <c r="AB45" s="277"/>
      <c r="AC45" s="60"/>
    </row>
    <row r="46" spans="1:31">
      <c r="A46" s="65" t="s">
        <v>2259</v>
      </c>
      <c r="B46" s="50"/>
      <c r="C46" s="50"/>
      <c r="D46" s="50"/>
      <c r="E46" s="50"/>
      <c r="F46" s="50"/>
      <c r="G46" s="51"/>
      <c r="H46" s="50" t="s">
        <v>2260</v>
      </c>
      <c r="I46" s="50"/>
      <c r="J46" s="50"/>
      <c r="K46" s="50"/>
      <c r="L46" s="50"/>
      <c r="M46" s="50"/>
      <c r="N46" s="50"/>
      <c r="O46" s="50"/>
      <c r="P46" s="50"/>
      <c r="Q46" s="50"/>
      <c r="R46" s="51"/>
      <c r="S46" s="288" t="s">
        <v>2261</v>
      </c>
      <c r="T46" s="276"/>
      <c r="U46" s="276"/>
      <c r="V46" s="276"/>
      <c r="W46" s="276"/>
      <c r="X46" s="276"/>
      <c r="Y46" s="276"/>
      <c r="Z46" s="276"/>
      <c r="AA46" s="276"/>
      <c r="AB46" s="276"/>
      <c r="AC46" s="289"/>
    </row>
    <row r="47" spans="1:31">
      <c r="A47" s="290"/>
      <c r="B47" s="283"/>
      <c r="C47" s="283"/>
      <c r="D47" s="283"/>
      <c r="E47" s="283"/>
      <c r="F47" s="283"/>
      <c r="G47" s="291"/>
      <c r="H47" s="222"/>
      <c r="I47" s="230"/>
      <c r="J47" s="230"/>
      <c r="K47" s="230"/>
      <c r="L47" s="230"/>
      <c r="M47" s="230"/>
      <c r="N47" s="230"/>
      <c r="O47" s="230"/>
      <c r="P47" s="230"/>
      <c r="Q47" s="230"/>
      <c r="R47" s="223"/>
      <c r="S47" s="50"/>
      <c r="T47" s="50"/>
      <c r="U47" s="50"/>
      <c r="V47" s="50"/>
      <c r="W47" s="50"/>
      <c r="X47" s="50"/>
      <c r="Y47" s="50"/>
      <c r="Z47" s="50"/>
      <c r="AA47" s="50"/>
      <c r="AB47" s="50"/>
      <c r="AC47" s="53"/>
    </row>
    <row r="48" spans="1:31">
      <c r="A48" s="65"/>
      <c r="B48" s="50"/>
      <c r="C48" s="276" t="s">
        <v>2257</v>
      </c>
      <c r="D48" s="276"/>
      <c r="E48" s="276"/>
      <c r="F48" s="276"/>
      <c r="G48" s="51"/>
      <c r="H48" s="50"/>
      <c r="I48" s="50"/>
      <c r="J48" s="50"/>
      <c r="K48" s="276" t="s">
        <v>2257</v>
      </c>
      <c r="L48" s="276"/>
      <c r="M48" s="276"/>
      <c r="N48" s="276"/>
      <c r="O48" s="276"/>
      <c r="P48" s="276"/>
      <c r="Q48" s="276"/>
      <c r="R48" s="51"/>
      <c r="S48" s="50"/>
      <c r="T48" s="50"/>
      <c r="U48" s="50"/>
      <c r="V48" s="50"/>
      <c r="W48" s="50"/>
      <c r="X48" s="50"/>
      <c r="Y48" s="50"/>
      <c r="Z48" s="50"/>
      <c r="AA48" s="50"/>
      <c r="AB48" s="50"/>
      <c r="AC48" s="53"/>
    </row>
    <row r="49" spans="1:29">
      <c r="A49" s="65"/>
      <c r="B49" s="50"/>
      <c r="C49" s="54"/>
      <c r="D49" s="54"/>
      <c r="E49" s="54"/>
      <c r="F49" s="54"/>
      <c r="G49" s="51"/>
      <c r="H49" s="50"/>
      <c r="I49" s="50"/>
      <c r="J49" s="50"/>
      <c r="K49" s="54"/>
      <c r="L49" s="54"/>
      <c r="M49" s="54"/>
      <c r="N49" s="54"/>
      <c r="O49" s="54"/>
      <c r="P49" s="54"/>
      <c r="Q49" s="54"/>
      <c r="R49" s="51"/>
      <c r="S49" s="292" t="s">
        <v>2262</v>
      </c>
      <c r="T49" s="286"/>
      <c r="U49" s="286"/>
      <c r="V49" s="286"/>
      <c r="W49" s="286"/>
      <c r="X49" s="293">
        <f>G39</f>
        <v>0</v>
      </c>
      <c r="Y49" s="294"/>
      <c r="Z49" s="294"/>
      <c r="AA49" s="294"/>
      <c r="AB49" s="294"/>
      <c r="AC49" s="295"/>
    </row>
    <row r="50" spans="1:29" ht="14.25" thickBot="1">
      <c r="A50" s="67"/>
      <c r="B50" s="68"/>
      <c r="C50" s="285" t="s">
        <v>2258</v>
      </c>
      <c r="D50" s="285"/>
      <c r="E50" s="285"/>
      <c r="F50" s="285"/>
      <c r="G50" s="69"/>
      <c r="H50" s="68"/>
      <c r="I50" s="68"/>
      <c r="J50" s="68"/>
      <c r="K50" s="285" t="s">
        <v>2258</v>
      </c>
      <c r="L50" s="285"/>
      <c r="M50" s="285"/>
      <c r="N50" s="285"/>
      <c r="O50" s="285"/>
      <c r="P50" s="285"/>
      <c r="Q50" s="285"/>
      <c r="R50" s="69"/>
      <c r="S50" s="133" t="s">
        <v>3082</v>
      </c>
      <c r="T50" s="70"/>
      <c r="U50" s="70"/>
      <c r="V50" s="70"/>
      <c r="W50" s="68"/>
      <c r="X50" s="68"/>
      <c r="Y50" s="68"/>
      <c r="Z50" s="68"/>
      <c r="AA50" s="68"/>
      <c r="AB50" s="68"/>
      <c r="AC50" s="71"/>
    </row>
    <row r="51" spans="1:29" ht="15.75">
      <c r="A51" s="150" t="s">
        <v>3086</v>
      </c>
      <c r="B51" s="50"/>
      <c r="C51" s="72"/>
      <c r="D51" s="296">
        <f>PEDIDO!J7</f>
        <v>0</v>
      </c>
      <c r="E51" s="297"/>
      <c r="F51" s="297"/>
      <c r="G51" s="297"/>
      <c r="H51" s="297"/>
      <c r="I51" s="297"/>
      <c r="J51" s="297"/>
      <c r="K51" s="297"/>
      <c r="L51" s="297"/>
      <c r="M51" s="297"/>
      <c r="N51" s="297"/>
      <c r="O51" s="297"/>
      <c r="P51" s="297"/>
      <c r="Q51" s="297"/>
      <c r="R51" s="297"/>
      <c r="S51" s="297"/>
      <c r="T51" s="297"/>
      <c r="U51" s="297"/>
      <c r="V51" s="297"/>
      <c r="W51" s="297"/>
      <c r="X51" s="297"/>
      <c r="Y51" s="297"/>
      <c r="Z51" s="297"/>
      <c r="AA51" s="297"/>
      <c r="AB51" s="297"/>
      <c r="AC51" s="297"/>
    </row>
    <row r="52" spans="1:29">
      <c r="A52" s="50"/>
      <c r="B52" s="50"/>
      <c r="C52" s="50"/>
      <c r="D52" s="50"/>
      <c r="E52" s="50"/>
      <c r="F52" s="50"/>
      <c r="G52" s="50"/>
      <c r="H52" s="50"/>
      <c r="I52" s="50"/>
      <c r="J52" s="50"/>
      <c r="K52" s="50"/>
      <c r="L52" s="50"/>
      <c r="M52" s="50"/>
      <c r="N52" s="50"/>
      <c r="O52" s="50"/>
      <c r="P52" s="50"/>
      <c r="Q52" s="286"/>
      <c r="R52" s="286"/>
      <c r="S52" s="286"/>
      <c r="T52" s="286"/>
      <c r="U52" s="286"/>
      <c r="V52" s="287"/>
      <c r="W52" s="287"/>
      <c r="X52" s="287"/>
      <c r="Y52" s="287"/>
      <c r="Z52" s="287"/>
      <c r="AA52" s="287"/>
      <c r="AB52" s="287"/>
      <c r="AC52" s="287"/>
    </row>
    <row r="53" spans="1:29">
      <c r="A53" s="18" t="s">
        <v>3085</v>
      </c>
    </row>
  </sheetData>
  <sheetProtection algorithmName="SHA-512" hashValue="Hf1FPc8nDwYAIn2swJ1xtWXF0yYgSvA9PQ4D51HRdSZr/svwGiJZhRJLr6Ih+HJtX5qjoBptisNOBu1b+9R7Sw==" saltValue="UKfkT83CNNGO7r8m6LgjRA==" spinCount="100000" sheet="1" objects="1" scenarios="1"/>
  <protectedRanges>
    <protectedRange password="CDEC" sqref="R7 A6:Q7 R5 X6:AC7 W7 S6:V7" name="Rango3"/>
    <protectedRange password="CDB2" sqref="C18:D38" name="Rango1"/>
    <protectedRange password="C9E3" sqref="V18:Y38" name="Rango2"/>
  </protectedRanges>
  <dataConsolidate/>
  <mergeCells count="189">
    <mergeCell ref="C50:F50"/>
    <mergeCell ref="K50:Q50"/>
    <mergeCell ref="Q52:U52"/>
    <mergeCell ref="V52:AC52"/>
    <mergeCell ref="S46:AC46"/>
    <mergeCell ref="A47:G47"/>
    <mergeCell ref="H47:R47"/>
    <mergeCell ref="C48:F48"/>
    <mergeCell ref="K48:Q48"/>
    <mergeCell ref="S49:W49"/>
    <mergeCell ref="X49:AC49"/>
    <mergeCell ref="D51:AC51"/>
    <mergeCell ref="C43:F43"/>
    <mergeCell ref="K43:Q43"/>
    <mergeCell ref="V43:AB43"/>
    <mergeCell ref="C45:F45"/>
    <mergeCell ref="K45:Q45"/>
    <mergeCell ref="V45:AB45"/>
    <mergeCell ref="A42:G42"/>
    <mergeCell ref="H42:R42"/>
    <mergeCell ref="S42:AC42"/>
    <mergeCell ref="A39:D39"/>
    <mergeCell ref="A38:B38"/>
    <mergeCell ref="C38:D38"/>
    <mergeCell ref="E38:Q38"/>
    <mergeCell ref="R38:U38"/>
    <mergeCell ref="V38:Y38"/>
    <mergeCell ref="Z38:AC38"/>
    <mergeCell ref="A37:B37"/>
    <mergeCell ref="C37:D37"/>
    <mergeCell ref="E37:Q37"/>
    <mergeCell ref="R37:U37"/>
    <mergeCell ref="V37:Y37"/>
    <mergeCell ref="Z37:AC37"/>
    <mergeCell ref="G39:Q40"/>
    <mergeCell ref="A36:B36"/>
    <mergeCell ref="C36:D36"/>
    <mergeCell ref="E36:Q36"/>
    <mergeCell ref="R36:U36"/>
    <mergeCell ref="V36:Y36"/>
    <mergeCell ref="Z36:AC36"/>
    <mergeCell ref="A35:B35"/>
    <mergeCell ref="C35:D35"/>
    <mergeCell ref="E35:Q35"/>
    <mergeCell ref="R35:U35"/>
    <mergeCell ref="V35:Y35"/>
    <mergeCell ref="Z35:AC35"/>
    <mergeCell ref="A34:B34"/>
    <mergeCell ref="C34:D34"/>
    <mergeCell ref="E34:Q34"/>
    <mergeCell ref="R34:U34"/>
    <mergeCell ref="V34:Y34"/>
    <mergeCell ref="Z34:AC34"/>
    <mergeCell ref="A33:B33"/>
    <mergeCell ref="C33:D33"/>
    <mergeCell ref="E33:Q33"/>
    <mergeCell ref="R33:U33"/>
    <mergeCell ref="V33:Y33"/>
    <mergeCell ref="Z33:AC33"/>
    <mergeCell ref="A32:B32"/>
    <mergeCell ref="C32:D32"/>
    <mergeCell ref="E32:Q32"/>
    <mergeCell ref="R32:U32"/>
    <mergeCell ref="V32:Y32"/>
    <mergeCell ref="Z32:AC32"/>
    <mergeCell ref="A31:B31"/>
    <mergeCell ref="C31:D31"/>
    <mergeCell ref="E31:Q31"/>
    <mergeCell ref="R31:U31"/>
    <mergeCell ref="V31:Y31"/>
    <mergeCell ref="Z31:AC31"/>
    <mergeCell ref="A30:B30"/>
    <mergeCell ref="C30:D30"/>
    <mergeCell ref="E30:Q30"/>
    <mergeCell ref="R30:U30"/>
    <mergeCell ref="V30:Y30"/>
    <mergeCell ref="Z30:AC30"/>
    <mergeCell ref="A29:B29"/>
    <mergeCell ref="C29:D29"/>
    <mergeCell ref="E29:Q29"/>
    <mergeCell ref="R29:U29"/>
    <mergeCell ref="V29:Y29"/>
    <mergeCell ref="Z29:AC29"/>
    <mergeCell ref="A28:B28"/>
    <mergeCell ref="C28:D28"/>
    <mergeCell ref="E28:Q28"/>
    <mergeCell ref="R28:U28"/>
    <mergeCell ref="V28:Y28"/>
    <mergeCell ref="Z28:AC28"/>
    <mergeCell ref="A27:B27"/>
    <mergeCell ref="C27:D27"/>
    <mergeCell ref="E27:Q27"/>
    <mergeCell ref="R27:U27"/>
    <mergeCell ref="V27:Y27"/>
    <mergeCell ref="Z27:AC27"/>
    <mergeCell ref="A26:B26"/>
    <mergeCell ref="C26:D26"/>
    <mergeCell ref="E26:Q26"/>
    <mergeCell ref="R26:U26"/>
    <mergeCell ref="V26:Y26"/>
    <mergeCell ref="Z26:AC26"/>
    <mergeCell ref="A25:B25"/>
    <mergeCell ref="C25:D25"/>
    <mergeCell ref="E25:Q25"/>
    <mergeCell ref="R25:U25"/>
    <mergeCell ref="V25:Y25"/>
    <mergeCell ref="Z25:AC25"/>
    <mergeCell ref="A24:B24"/>
    <mergeCell ref="C24:D24"/>
    <mergeCell ref="E24:Q24"/>
    <mergeCell ref="R24:U24"/>
    <mergeCell ref="V24:Y24"/>
    <mergeCell ref="Z24:AC24"/>
    <mergeCell ref="A23:B23"/>
    <mergeCell ref="C23:D23"/>
    <mergeCell ref="E23:Q23"/>
    <mergeCell ref="R23:U23"/>
    <mergeCell ref="V23:Y23"/>
    <mergeCell ref="Z23:AC23"/>
    <mergeCell ref="A22:B22"/>
    <mergeCell ref="C22:D22"/>
    <mergeCell ref="E22:Q22"/>
    <mergeCell ref="R22:U22"/>
    <mergeCell ref="V22:Y22"/>
    <mergeCell ref="Z22:AC22"/>
    <mergeCell ref="A21:B21"/>
    <mergeCell ref="C21:D21"/>
    <mergeCell ref="E21:Q21"/>
    <mergeCell ref="R21:U21"/>
    <mergeCell ref="V21:Y21"/>
    <mergeCell ref="Z21:AC21"/>
    <mergeCell ref="A20:B20"/>
    <mergeCell ref="C20:D20"/>
    <mergeCell ref="E20:Q20"/>
    <mergeCell ref="R20:U20"/>
    <mergeCell ref="V20:Y20"/>
    <mergeCell ref="Z20:AC20"/>
    <mergeCell ref="A19:B19"/>
    <mergeCell ref="C19:D19"/>
    <mergeCell ref="E19:Q19"/>
    <mergeCell ref="R19:U19"/>
    <mergeCell ref="V19:Y19"/>
    <mergeCell ref="Z19:AC19"/>
    <mergeCell ref="A18:B18"/>
    <mergeCell ref="C18:D18"/>
    <mergeCell ref="E18:Q18"/>
    <mergeCell ref="R18:U18"/>
    <mergeCell ref="V18:Y18"/>
    <mergeCell ref="Z18:AC18"/>
    <mergeCell ref="Q14:T14"/>
    <mergeCell ref="U14:V14"/>
    <mergeCell ref="X14:Y14"/>
    <mergeCell ref="AA14:AB14"/>
    <mergeCell ref="A16:B16"/>
    <mergeCell ref="C16:D16"/>
    <mergeCell ref="F16:Q17"/>
    <mergeCell ref="A17:B17"/>
    <mergeCell ref="C17:D17"/>
    <mergeCell ref="A12:B12"/>
    <mergeCell ref="D12:E12"/>
    <mergeCell ref="F12:L14"/>
    <mergeCell ref="M12:P12"/>
    <mergeCell ref="Q12:T12"/>
    <mergeCell ref="U12:V12"/>
    <mergeCell ref="W12:AC12"/>
    <mergeCell ref="A13:B14"/>
    <mergeCell ref="D13:E14"/>
    <mergeCell ref="C13:C14"/>
    <mergeCell ref="P9:T10"/>
    <mergeCell ref="U9:U10"/>
    <mergeCell ref="W9:AC10"/>
    <mergeCell ref="A11:B11"/>
    <mergeCell ref="D11:E11"/>
    <mergeCell ref="F11:L11"/>
    <mergeCell ref="M11:P11"/>
    <mergeCell ref="Q11:T11"/>
    <mergeCell ref="U11:V11"/>
    <mergeCell ref="W11:AC11"/>
    <mergeCell ref="A1:AC1"/>
    <mergeCell ref="A2:AC2"/>
    <mergeCell ref="V3:AC3"/>
    <mergeCell ref="M4:Q4"/>
    <mergeCell ref="W4:AC4"/>
    <mergeCell ref="L5:M5"/>
    <mergeCell ref="N5:O5"/>
    <mergeCell ref="P5:Q5"/>
    <mergeCell ref="R5:AC7"/>
    <mergeCell ref="A6:K7"/>
    <mergeCell ref="L6:Q7"/>
  </mergeCells>
  <conditionalFormatting sqref="E18:Q38">
    <cfRule type="cellIs" dxfId="13" priority="4" stopIfTrue="1" operator="equal">
      <formula>$AE$1</formula>
    </cfRule>
  </conditionalFormatting>
  <conditionalFormatting sqref="R18:U38">
    <cfRule type="cellIs" dxfId="12" priority="5" stopIfTrue="1" operator="equal">
      <formula>$AE$2</formula>
    </cfRule>
  </conditionalFormatting>
  <conditionalFormatting sqref="Z18:Z38">
    <cfRule type="cellIs" dxfId="11" priority="1" operator="between">
      <formula>1</formula>
      <formula>8000000</formula>
    </cfRule>
  </conditionalFormatting>
  <dataValidations count="1">
    <dataValidation type="custom" errorStyle="warning" allowBlank="1" showInputMessage="1" showErrorMessage="1" errorTitle="¡¡¡¡¡¡¡    ERROR EN CODIGO   ¡¡¡" error="HA DIGITADO INCORRECTAMENTE EL CODIGO EN CUESTION._x000a__x000a_FAVOR VERIFIQUE LO SIGUIENTE:_x000a_1- QUE EL CODIGO NO ESTE REPETIDO_x000a_2- ESTA FUERA DEL LISTADO OFICIAL DE ALMACEN._x000a__x000a_ LLAMAR A ALMACEN  EXT. 1157-3118 P/  ACTUALIZACION " sqref="C18:C38">
      <formula1>AND(COUNTIF($C$18:$D$38,C18)=1,OR(AND(C18&gt;=90000000,C18&lt;=190101010),AND(C18&gt;=2004000,C18&lt;=2107000),AND(C18&gt;=3500100,C18&lt;=3990124),AND(C18&gt;=4000000,C18&lt;=4990240),AND(C18&gt;=6000000,C18&lt;=6999999),AND(C18&gt;=7010000,C18&lt;=7999999)))</formula1>
    </dataValidation>
  </dataValidations>
  <pageMargins left="0.35433070866141736" right="0.35433070866141736" top="0.82677165354330717" bottom="0.74803149606299213" header="0" footer="0"/>
  <pageSetup paperSize="9" scale="96" orientation="portrait" horizontalDpi="4294967294" verticalDpi="4294967294"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indexed="34"/>
  </sheetPr>
  <dimension ref="A1:E2979"/>
  <sheetViews>
    <sheetView showGridLines="0" workbookViewId="0">
      <pane ySplit="4" topLeftCell="A2893" activePane="bottomLeft" state="frozen"/>
      <selection sqref="A1:AC1"/>
      <selection pane="bottomLeft" activeCell="D2980" sqref="D2980"/>
    </sheetView>
  </sheetViews>
  <sheetFormatPr baseColWidth="10" defaultRowHeight="12.75"/>
  <cols>
    <col min="3" max="3" width="44.28515625" customWidth="1"/>
    <col min="4" max="4" width="15.5703125" customWidth="1"/>
  </cols>
  <sheetData>
    <row r="1" spans="1:5" ht="14.25">
      <c r="A1" s="298" t="s">
        <v>92</v>
      </c>
      <c r="B1" s="298"/>
      <c r="C1" s="298"/>
      <c r="D1" s="298"/>
    </row>
    <row r="2" spans="1:5" ht="14.25">
      <c r="A2" s="298" t="s">
        <v>93</v>
      </c>
      <c r="B2" s="298"/>
      <c r="C2" s="298"/>
      <c r="D2" s="298"/>
    </row>
    <row r="3" spans="1:5" ht="14.25">
      <c r="A3" s="298" t="s">
        <v>94</v>
      </c>
      <c r="B3" s="298"/>
      <c r="C3" s="298"/>
      <c r="D3" s="298"/>
    </row>
    <row r="4" spans="1:5" s="10" customFormat="1" ht="25.5">
      <c r="A4" s="9" t="s">
        <v>95</v>
      </c>
      <c r="B4" s="9" t="s">
        <v>96</v>
      </c>
      <c r="C4" s="9" t="s">
        <v>97</v>
      </c>
      <c r="D4" s="9" t="s">
        <v>89</v>
      </c>
      <c r="E4" s="10" t="s">
        <v>14</v>
      </c>
    </row>
    <row r="5" spans="1:5">
      <c r="A5" s="11"/>
      <c r="B5" s="12">
        <v>2004002</v>
      </c>
      <c r="C5" s="11" t="s">
        <v>98</v>
      </c>
      <c r="D5" s="11" t="s">
        <v>99</v>
      </c>
      <c r="E5" t="s">
        <v>2272</v>
      </c>
    </row>
    <row r="6" spans="1:5">
      <c r="A6" s="11"/>
      <c r="B6" s="12">
        <v>2006005</v>
      </c>
      <c r="C6" s="11" t="s">
        <v>100</v>
      </c>
      <c r="D6" s="11" t="s">
        <v>99</v>
      </c>
      <c r="E6" t="s">
        <v>2272</v>
      </c>
    </row>
    <row r="7" spans="1:5">
      <c r="A7" s="11"/>
      <c r="B7" s="12">
        <v>2006024</v>
      </c>
      <c r="C7" s="11" t="s">
        <v>101</v>
      </c>
      <c r="D7" s="11" t="s">
        <v>102</v>
      </c>
      <c r="E7" t="s">
        <v>2272</v>
      </c>
    </row>
    <row r="8" spans="1:5">
      <c r="A8" s="11"/>
      <c r="B8" s="12">
        <v>2006025</v>
      </c>
      <c r="C8" s="11" t="s">
        <v>103</v>
      </c>
      <c r="D8" s="11" t="s">
        <v>102</v>
      </c>
      <c r="E8" t="s">
        <v>2272</v>
      </c>
    </row>
    <row r="9" spans="1:5">
      <c r="A9" s="11"/>
      <c r="B9" s="12">
        <v>2006030</v>
      </c>
      <c r="C9" s="11" t="s">
        <v>104</v>
      </c>
      <c r="D9" s="11" t="s">
        <v>102</v>
      </c>
      <c r="E9" t="s">
        <v>2272</v>
      </c>
    </row>
    <row r="10" spans="1:5">
      <c r="A10" s="11"/>
      <c r="B10" s="12">
        <v>2006031</v>
      </c>
      <c r="C10" s="11" t="s">
        <v>105</v>
      </c>
      <c r="D10" s="11" t="s">
        <v>102</v>
      </c>
      <c r="E10" t="s">
        <v>2272</v>
      </c>
    </row>
    <row r="11" spans="1:5">
      <c r="A11" s="11"/>
      <c r="B11" s="12">
        <v>2006032</v>
      </c>
      <c r="C11" s="11" t="s">
        <v>106</v>
      </c>
      <c r="D11" s="11" t="s">
        <v>107</v>
      </c>
      <c r="E11" t="s">
        <v>2272</v>
      </c>
    </row>
    <row r="12" spans="1:5">
      <c r="A12" s="11"/>
      <c r="B12" s="12">
        <v>2006036</v>
      </c>
      <c r="C12" s="11" t="s">
        <v>108</v>
      </c>
      <c r="D12" s="11" t="s">
        <v>109</v>
      </c>
      <c r="E12" t="s">
        <v>2272</v>
      </c>
    </row>
    <row r="13" spans="1:5">
      <c r="A13" s="11"/>
      <c r="B13" s="12">
        <v>2006038</v>
      </c>
      <c r="C13" s="11" t="s">
        <v>110</v>
      </c>
      <c r="D13" s="11" t="s">
        <v>109</v>
      </c>
      <c r="E13" t="s">
        <v>2272</v>
      </c>
    </row>
    <row r="14" spans="1:5">
      <c r="A14" s="11"/>
      <c r="B14" s="12">
        <v>2006088</v>
      </c>
      <c r="C14" s="11" t="s">
        <v>111</v>
      </c>
      <c r="D14" s="11" t="s">
        <v>112</v>
      </c>
      <c r="E14" t="s">
        <v>2272</v>
      </c>
    </row>
    <row r="15" spans="1:5">
      <c r="A15" s="11"/>
      <c r="B15" s="12">
        <v>2006132</v>
      </c>
      <c r="C15" s="11" t="s">
        <v>113</v>
      </c>
      <c r="D15" s="11" t="s">
        <v>112</v>
      </c>
      <c r="E15" t="s">
        <v>2272</v>
      </c>
    </row>
    <row r="16" spans="1:5">
      <c r="A16" s="11"/>
      <c r="B16" s="12">
        <v>2006133</v>
      </c>
      <c r="C16" s="11" t="s">
        <v>114</v>
      </c>
      <c r="D16" s="11" t="s">
        <v>102</v>
      </c>
      <c r="E16" t="s">
        <v>2272</v>
      </c>
    </row>
    <row r="17" spans="1:5">
      <c r="A17" s="11"/>
      <c r="B17" s="12">
        <v>2007006</v>
      </c>
      <c r="C17" s="11" t="s">
        <v>115</v>
      </c>
      <c r="D17" s="11" t="s">
        <v>99</v>
      </c>
      <c r="E17" t="s">
        <v>2272</v>
      </c>
    </row>
    <row r="18" spans="1:5">
      <c r="A18" s="11"/>
      <c r="B18" s="12">
        <v>2007007</v>
      </c>
      <c r="C18" s="11" t="s">
        <v>116</v>
      </c>
      <c r="D18" s="11" t="s">
        <v>99</v>
      </c>
      <c r="E18" t="s">
        <v>2272</v>
      </c>
    </row>
    <row r="19" spans="1:5">
      <c r="A19" s="11"/>
      <c r="B19" s="12">
        <v>2007008</v>
      </c>
      <c r="C19" s="11" t="s">
        <v>117</v>
      </c>
      <c r="D19" s="11" t="s">
        <v>99</v>
      </c>
      <c r="E19" t="s">
        <v>2272</v>
      </c>
    </row>
    <row r="20" spans="1:5">
      <c r="A20" s="11"/>
      <c r="B20" s="12">
        <v>2100006</v>
      </c>
      <c r="C20" s="11" t="s">
        <v>118</v>
      </c>
      <c r="D20" s="11" t="s">
        <v>102</v>
      </c>
      <c r="E20" t="s">
        <v>2272</v>
      </c>
    </row>
    <row r="21" spans="1:5">
      <c r="A21" s="11"/>
      <c r="B21" s="12">
        <v>2100008</v>
      </c>
      <c r="C21" s="11" t="s">
        <v>119</v>
      </c>
      <c r="D21" s="11" t="s">
        <v>102</v>
      </c>
      <c r="E21" t="s">
        <v>2272</v>
      </c>
    </row>
    <row r="22" spans="1:5">
      <c r="A22" s="11"/>
      <c r="B22" s="12">
        <v>2100011</v>
      </c>
      <c r="C22" s="11" t="s">
        <v>120</v>
      </c>
      <c r="D22" s="11" t="s">
        <v>102</v>
      </c>
      <c r="E22" t="s">
        <v>2272</v>
      </c>
    </row>
    <row r="23" spans="1:5">
      <c r="A23" s="11"/>
      <c r="B23" s="12">
        <v>2100014</v>
      </c>
      <c r="C23" s="11" t="s">
        <v>121</v>
      </c>
      <c r="D23" s="11" t="s">
        <v>102</v>
      </c>
      <c r="E23" t="s">
        <v>2272</v>
      </c>
    </row>
    <row r="24" spans="1:5">
      <c r="A24" s="11"/>
      <c r="B24" s="12">
        <v>2100015</v>
      </c>
      <c r="C24" s="11" t="s">
        <v>122</v>
      </c>
      <c r="D24" s="11" t="s">
        <v>102</v>
      </c>
      <c r="E24" t="s">
        <v>2272</v>
      </c>
    </row>
    <row r="25" spans="1:5">
      <c r="A25" s="11"/>
      <c r="B25" s="12">
        <v>2100047</v>
      </c>
      <c r="C25" s="11" t="s">
        <v>123</v>
      </c>
      <c r="D25" s="11" t="s">
        <v>109</v>
      </c>
      <c r="E25" t="s">
        <v>2272</v>
      </c>
    </row>
    <row r="26" spans="1:5">
      <c r="A26" s="11"/>
      <c r="B26" s="12">
        <v>2101005</v>
      </c>
      <c r="C26" s="11" t="s">
        <v>124</v>
      </c>
      <c r="D26" s="11" t="s">
        <v>102</v>
      </c>
      <c r="E26" t="s">
        <v>2272</v>
      </c>
    </row>
    <row r="27" spans="1:5">
      <c r="A27" s="11"/>
      <c r="B27" s="12">
        <v>2102001</v>
      </c>
      <c r="C27" s="11" t="s">
        <v>125</v>
      </c>
      <c r="D27" s="11" t="s">
        <v>126</v>
      </c>
      <c r="E27" t="s">
        <v>2272</v>
      </c>
    </row>
    <row r="28" spans="1:5">
      <c r="A28" s="11"/>
      <c r="B28" s="12">
        <v>2102002</v>
      </c>
      <c r="C28" s="11" t="s">
        <v>127</v>
      </c>
      <c r="D28" s="11" t="s">
        <v>126</v>
      </c>
      <c r="E28" t="s">
        <v>2272</v>
      </c>
    </row>
    <row r="29" spans="1:5">
      <c r="A29" s="11"/>
      <c r="B29" s="12">
        <v>2102003</v>
      </c>
      <c r="C29" s="11" t="s">
        <v>128</v>
      </c>
      <c r="D29" s="11" t="s">
        <v>126</v>
      </c>
      <c r="E29" t="s">
        <v>2272</v>
      </c>
    </row>
    <row r="30" spans="1:5">
      <c r="A30" s="11"/>
      <c r="B30" s="12">
        <v>2102004</v>
      </c>
      <c r="C30" s="11" t="s">
        <v>129</v>
      </c>
      <c r="D30" s="11" t="s">
        <v>126</v>
      </c>
      <c r="E30" t="s">
        <v>2272</v>
      </c>
    </row>
    <row r="31" spans="1:5">
      <c r="A31" s="11"/>
      <c r="B31" s="12">
        <v>2102005</v>
      </c>
      <c r="C31" s="11" t="s">
        <v>130</v>
      </c>
      <c r="D31" s="11" t="s">
        <v>126</v>
      </c>
      <c r="E31" t="s">
        <v>2272</v>
      </c>
    </row>
    <row r="32" spans="1:5">
      <c r="A32" s="11"/>
      <c r="B32" s="12">
        <v>2102006</v>
      </c>
      <c r="C32" s="11" t="s">
        <v>131</v>
      </c>
      <c r="D32" s="11" t="s">
        <v>126</v>
      </c>
      <c r="E32" t="s">
        <v>2272</v>
      </c>
    </row>
    <row r="33" spans="1:5">
      <c r="A33" s="11"/>
      <c r="B33" s="12">
        <v>2102007</v>
      </c>
      <c r="C33" s="11" t="s">
        <v>132</v>
      </c>
      <c r="D33" s="11" t="s">
        <v>126</v>
      </c>
      <c r="E33" t="s">
        <v>2272</v>
      </c>
    </row>
    <row r="34" spans="1:5">
      <c r="A34" s="11"/>
      <c r="B34" s="12">
        <v>2102008</v>
      </c>
      <c r="C34" s="11" t="s">
        <v>133</v>
      </c>
      <c r="D34" s="11" t="s">
        <v>126</v>
      </c>
      <c r="E34" t="s">
        <v>2272</v>
      </c>
    </row>
    <row r="35" spans="1:5">
      <c r="A35" s="11"/>
      <c r="B35" s="12">
        <v>2102010</v>
      </c>
      <c r="C35" s="11" t="s">
        <v>134</v>
      </c>
      <c r="D35" s="11" t="s">
        <v>126</v>
      </c>
      <c r="E35" t="s">
        <v>2272</v>
      </c>
    </row>
    <row r="36" spans="1:5">
      <c r="A36" s="11"/>
      <c r="B36" s="12">
        <v>2102012</v>
      </c>
      <c r="C36" s="11" t="s">
        <v>135</v>
      </c>
      <c r="D36" s="11" t="s">
        <v>126</v>
      </c>
      <c r="E36" t="s">
        <v>2272</v>
      </c>
    </row>
    <row r="37" spans="1:5">
      <c r="A37" s="11"/>
      <c r="B37" s="12">
        <v>2102014</v>
      </c>
      <c r="C37" s="11" t="s">
        <v>136</v>
      </c>
      <c r="D37" s="11" t="s">
        <v>126</v>
      </c>
      <c r="E37" t="s">
        <v>2272</v>
      </c>
    </row>
    <row r="38" spans="1:5">
      <c r="A38" s="11"/>
      <c r="B38" s="12">
        <v>2102016</v>
      </c>
      <c r="C38" s="11" t="s">
        <v>137</v>
      </c>
      <c r="D38" s="11" t="s">
        <v>126</v>
      </c>
      <c r="E38" t="s">
        <v>2272</v>
      </c>
    </row>
    <row r="39" spans="1:5">
      <c r="A39" s="11"/>
      <c r="B39" s="12">
        <v>2102020</v>
      </c>
      <c r="C39" s="11" t="s">
        <v>138</v>
      </c>
      <c r="D39" s="11" t="s">
        <v>126</v>
      </c>
      <c r="E39" t="s">
        <v>2272</v>
      </c>
    </row>
    <row r="40" spans="1:5">
      <c r="A40" s="11"/>
      <c r="B40" s="12">
        <v>2102021</v>
      </c>
      <c r="C40" s="11" t="s">
        <v>139</v>
      </c>
      <c r="D40" s="11" t="s">
        <v>126</v>
      </c>
      <c r="E40" t="s">
        <v>2272</v>
      </c>
    </row>
    <row r="41" spans="1:5">
      <c r="A41" s="11"/>
      <c r="B41" s="12">
        <v>2102024</v>
      </c>
      <c r="C41" s="11" t="s">
        <v>140</v>
      </c>
      <c r="D41" s="11" t="s">
        <v>126</v>
      </c>
      <c r="E41" t="s">
        <v>2272</v>
      </c>
    </row>
    <row r="42" spans="1:5">
      <c r="A42" s="11"/>
      <c r="B42" s="12">
        <v>2102025</v>
      </c>
      <c r="C42" s="11" t="s">
        <v>141</v>
      </c>
      <c r="D42" s="11" t="s">
        <v>126</v>
      </c>
      <c r="E42" t="s">
        <v>2272</v>
      </c>
    </row>
    <row r="43" spans="1:5">
      <c r="A43" s="11"/>
      <c r="B43" s="12">
        <v>2102029</v>
      </c>
      <c r="C43" s="11" t="s">
        <v>142</v>
      </c>
      <c r="D43" s="11" t="s">
        <v>102</v>
      </c>
      <c r="E43" t="s">
        <v>2272</v>
      </c>
    </row>
    <row r="44" spans="1:5">
      <c r="A44" s="11"/>
      <c r="B44" s="12">
        <v>2102030</v>
      </c>
      <c r="C44" s="11" t="s">
        <v>143</v>
      </c>
      <c r="D44" s="11" t="s">
        <v>126</v>
      </c>
      <c r="E44" t="s">
        <v>2272</v>
      </c>
    </row>
    <row r="45" spans="1:5">
      <c r="A45" s="11"/>
      <c r="B45" s="12">
        <v>2102032</v>
      </c>
      <c r="C45" s="11" t="s">
        <v>144</v>
      </c>
      <c r="D45" s="11" t="s">
        <v>126</v>
      </c>
      <c r="E45" t="s">
        <v>2272</v>
      </c>
    </row>
    <row r="46" spans="1:5">
      <c r="A46" s="11"/>
      <c r="B46" s="12">
        <v>2102033</v>
      </c>
      <c r="C46" s="11" t="s">
        <v>145</v>
      </c>
      <c r="D46" s="11" t="s">
        <v>146</v>
      </c>
      <c r="E46" t="s">
        <v>2272</v>
      </c>
    </row>
    <row r="47" spans="1:5">
      <c r="A47" s="11"/>
      <c r="B47" s="12">
        <v>2102035</v>
      </c>
      <c r="C47" s="11" t="s">
        <v>147</v>
      </c>
      <c r="D47" s="11" t="s">
        <v>146</v>
      </c>
      <c r="E47" t="s">
        <v>2272</v>
      </c>
    </row>
    <row r="48" spans="1:5">
      <c r="A48" s="11"/>
      <c r="B48" s="12">
        <v>2102036</v>
      </c>
      <c r="C48" s="11" t="s">
        <v>148</v>
      </c>
      <c r="D48" s="11" t="s">
        <v>146</v>
      </c>
      <c r="E48" t="s">
        <v>2272</v>
      </c>
    </row>
    <row r="49" spans="1:5">
      <c r="A49" s="11"/>
      <c r="B49" s="12">
        <v>2102038</v>
      </c>
      <c r="C49" s="11" t="s">
        <v>149</v>
      </c>
      <c r="D49" s="11" t="s">
        <v>146</v>
      </c>
      <c r="E49" t="s">
        <v>2272</v>
      </c>
    </row>
    <row r="50" spans="1:5">
      <c r="A50" s="11"/>
      <c r="B50" s="12">
        <v>2102041</v>
      </c>
      <c r="C50" s="11" t="s">
        <v>150</v>
      </c>
      <c r="D50" s="11" t="s">
        <v>146</v>
      </c>
      <c r="E50" t="s">
        <v>2272</v>
      </c>
    </row>
    <row r="51" spans="1:5">
      <c r="A51" s="11"/>
      <c r="B51" s="12">
        <v>2102042</v>
      </c>
      <c r="C51" s="11" t="s">
        <v>151</v>
      </c>
      <c r="D51" s="11" t="s">
        <v>152</v>
      </c>
      <c r="E51" t="s">
        <v>2272</v>
      </c>
    </row>
    <row r="52" spans="1:5">
      <c r="A52" s="11"/>
      <c r="B52" s="12">
        <v>2102045</v>
      </c>
      <c r="C52" s="11" t="s">
        <v>153</v>
      </c>
      <c r="D52" s="11" t="s">
        <v>146</v>
      </c>
      <c r="E52" t="s">
        <v>2272</v>
      </c>
    </row>
    <row r="53" spans="1:5">
      <c r="A53" s="11"/>
      <c r="B53" s="12">
        <v>2102046</v>
      </c>
      <c r="C53" s="11" t="s">
        <v>154</v>
      </c>
      <c r="D53" s="11" t="s">
        <v>146</v>
      </c>
      <c r="E53" t="s">
        <v>2272</v>
      </c>
    </row>
    <row r="54" spans="1:5">
      <c r="A54" s="11"/>
      <c r="B54" s="12">
        <v>2102047</v>
      </c>
      <c r="C54" s="11" t="s">
        <v>155</v>
      </c>
      <c r="D54" s="11" t="s">
        <v>146</v>
      </c>
      <c r="E54" t="s">
        <v>2272</v>
      </c>
    </row>
    <row r="55" spans="1:5">
      <c r="A55" s="11"/>
      <c r="B55" s="12">
        <v>2102048</v>
      </c>
      <c r="C55" s="11" t="s">
        <v>156</v>
      </c>
      <c r="D55" s="11" t="s">
        <v>146</v>
      </c>
      <c r="E55" t="s">
        <v>2272</v>
      </c>
    </row>
    <row r="56" spans="1:5">
      <c r="A56" s="11"/>
      <c r="B56" s="12">
        <v>2102049</v>
      </c>
      <c r="C56" s="11" t="s">
        <v>157</v>
      </c>
      <c r="D56" s="11" t="s">
        <v>146</v>
      </c>
      <c r="E56" t="s">
        <v>2272</v>
      </c>
    </row>
    <row r="57" spans="1:5">
      <c r="A57" s="11"/>
      <c r="B57" s="12">
        <v>2102051</v>
      </c>
      <c r="C57" s="11" t="s">
        <v>158</v>
      </c>
      <c r="D57" s="11" t="s">
        <v>146</v>
      </c>
      <c r="E57" t="s">
        <v>2272</v>
      </c>
    </row>
    <row r="58" spans="1:5">
      <c r="A58" s="11"/>
      <c r="B58" s="12">
        <v>2102052</v>
      </c>
      <c r="C58" s="11" t="s">
        <v>159</v>
      </c>
      <c r="D58" s="11" t="s">
        <v>146</v>
      </c>
      <c r="E58" t="s">
        <v>2272</v>
      </c>
    </row>
    <row r="59" spans="1:5">
      <c r="A59" s="11"/>
      <c r="B59" s="12">
        <v>2102053</v>
      </c>
      <c r="C59" s="11" t="s">
        <v>160</v>
      </c>
      <c r="D59" s="11" t="s">
        <v>146</v>
      </c>
      <c r="E59" t="s">
        <v>2272</v>
      </c>
    </row>
    <row r="60" spans="1:5">
      <c r="A60" s="11"/>
      <c r="B60" s="12">
        <v>2102054</v>
      </c>
      <c r="C60" s="11" t="s">
        <v>161</v>
      </c>
      <c r="D60" s="11" t="s">
        <v>146</v>
      </c>
      <c r="E60" t="s">
        <v>2272</v>
      </c>
    </row>
    <row r="61" spans="1:5">
      <c r="A61" s="11"/>
      <c r="B61" s="12">
        <v>2102055</v>
      </c>
      <c r="C61" s="11" t="s">
        <v>162</v>
      </c>
      <c r="D61" s="11" t="s">
        <v>163</v>
      </c>
      <c r="E61" t="s">
        <v>2272</v>
      </c>
    </row>
    <row r="62" spans="1:5">
      <c r="A62" s="11"/>
      <c r="B62" s="12">
        <v>2102059</v>
      </c>
      <c r="C62" s="11" t="s">
        <v>164</v>
      </c>
      <c r="D62" s="11" t="s">
        <v>126</v>
      </c>
      <c r="E62" t="s">
        <v>2272</v>
      </c>
    </row>
    <row r="63" spans="1:5">
      <c r="A63" s="11"/>
      <c r="B63" s="12">
        <v>2102060</v>
      </c>
      <c r="C63" s="11" t="s">
        <v>165</v>
      </c>
      <c r="D63" s="11" t="s">
        <v>126</v>
      </c>
      <c r="E63" t="s">
        <v>2272</v>
      </c>
    </row>
    <row r="64" spans="1:5">
      <c r="A64" s="11"/>
      <c r="B64" s="12">
        <v>2102061</v>
      </c>
      <c r="C64" s="11" t="s">
        <v>166</v>
      </c>
      <c r="D64" s="11" t="s">
        <v>126</v>
      </c>
      <c r="E64" t="s">
        <v>2272</v>
      </c>
    </row>
    <row r="65" spans="1:5">
      <c r="A65" s="11"/>
      <c r="B65" s="12">
        <v>2102062</v>
      </c>
      <c r="C65" s="11" t="s">
        <v>167</v>
      </c>
      <c r="D65" s="11" t="s">
        <v>126</v>
      </c>
      <c r="E65" t="s">
        <v>2272</v>
      </c>
    </row>
    <row r="66" spans="1:5">
      <c r="A66" s="11"/>
      <c r="B66" s="12">
        <v>2102063</v>
      </c>
      <c r="C66" s="11" t="s">
        <v>168</v>
      </c>
      <c r="D66" s="11" t="s">
        <v>126</v>
      </c>
      <c r="E66" t="s">
        <v>2272</v>
      </c>
    </row>
    <row r="67" spans="1:5">
      <c r="A67" s="11"/>
      <c r="B67" s="12">
        <v>2102065</v>
      </c>
      <c r="C67" s="11" t="s">
        <v>169</v>
      </c>
      <c r="D67" s="11" t="s">
        <v>126</v>
      </c>
      <c r="E67" t="s">
        <v>2272</v>
      </c>
    </row>
    <row r="68" spans="1:5">
      <c r="A68" s="11"/>
      <c r="B68" s="12">
        <v>2102068</v>
      </c>
      <c r="C68" s="11" t="s">
        <v>170</v>
      </c>
      <c r="D68" s="11" t="s">
        <v>146</v>
      </c>
      <c r="E68" t="s">
        <v>2272</v>
      </c>
    </row>
    <row r="69" spans="1:5">
      <c r="A69" s="11"/>
      <c r="B69" s="12">
        <v>2102077</v>
      </c>
      <c r="C69" s="11" t="s">
        <v>171</v>
      </c>
      <c r="D69" s="11" t="s">
        <v>146</v>
      </c>
      <c r="E69" t="s">
        <v>2272</v>
      </c>
    </row>
    <row r="70" spans="1:5">
      <c r="A70" s="11"/>
      <c r="B70" s="12">
        <v>2102079</v>
      </c>
      <c r="C70" s="11" t="s">
        <v>172</v>
      </c>
      <c r="D70" s="11" t="s">
        <v>163</v>
      </c>
      <c r="E70" t="s">
        <v>2272</v>
      </c>
    </row>
    <row r="71" spans="1:5">
      <c r="A71" s="11"/>
      <c r="B71" s="12">
        <v>2102080</v>
      </c>
      <c r="C71" s="11" t="s">
        <v>173</v>
      </c>
      <c r="D71" s="11" t="s">
        <v>99</v>
      </c>
      <c r="E71" t="s">
        <v>2272</v>
      </c>
    </row>
    <row r="72" spans="1:5">
      <c r="A72" s="11"/>
      <c r="B72" s="12">
        <v>2102083</v>
      </c>
      <c r="C72" s="11" t="s">
        <v>174</v>
      </c>
      <c r="D72" s="11" t="s">
        <v>109</v>
      </c>
      <c r="E72" t="s">
        <v>2272</v>
      </c>
    </row>
    <row r="73" spans="1:5">
      <c r="A73" s="11"/>
      <c r="B73" s="12">
        <v>2102085</v>
      </c>
      <c r="C73" s="11" t="s">
        <v>175</v>
      </c>
      <c r="D73" s="11" t="s">
        <v>99</v>
      </c>
      <c r="E73" t="s">
        <v>2272</v>
      </c>
    </row>
    <row r="74" spans="1:5">
      <c r="A74" s="11"/>
      <c r="B74" s="12">
        <v>2102087</v>
      </c>
      <c r="C74" s="11" t="s">
        <v>176</v>
      </c>
      <c r="D74" s="11" t="s">
        <v>146</v>
      </c>
      <c r="E74" t="s">
        <v>2272</v>
      </c>
    </row>
    <row r="75" spans="1:5">
      <c r="A75" s="11"/>
      <c r="B75" s="12">
        <v>2102089</v>
      </c>
      <c r="C75" s="11" t="s">
        <v>177</v>
      </c>
      <c r="D75" s="11" t="s">
        <v>126</v>
      </c>
      <c r="E75" t="s">
        <v>2272</v>
      </c>
    </row>
    <row r="76" spans="1:5">
      <c r="A76" s="11"/>
      <c r="B76" s="12">
        <v>2102091</v>
      </c>
      <c r="C76" s="11" t="s">
        <v>178</v>
      </c>
      <c r="D76" s="11" t="s">
        <v>126</v>
      </c>
      <c r="E76" t="s">
        <v>2272</v>
      </c>
    </row>
    <row r="77" spans="1:5">
      <c r="A77" s="11"/>
      <c r="B77" s="12">
        <v>2102092</v>
      </c>
      <c r="C77" s="11" t="s">
        <v>179</v>
      </c>
      <c r="D77" s="11" t="s">
        <v>126</v>
      </c>
      <c r="E77" t="s">
        <v>2272</v>
      </c>
    </row>
    <row r="78" spans="1:5">
      <c r="A78" s="11"/>
      <c r="B78" s="12">
        <v>2102096</v>
      </c>
      <c r="C78" s="11" t="s">
        <v>180</v>
      </c>
      <c r="D78" s="11" t="s">
        <v>102</v>
      </c>
      <c r="E78" t="s">
        <v>2272</v>
      </c>
    </row>
    <row r="79" spans="1:5">
      <c r="A79" s="11"/>
      <c r="B79" s="12">
        <v>2102111</v>
      </c>
      <c r="C79" s="11" t="s">
        <v>181</v>
      </c>
      <c r="D79" s="11" t="s">
        <v>99</v>
      </c>
      <c r="E79" t="s">
        <v>2272</v>
      </c>
    </row>
    <row r="80" spans="1:5">
      <c r="A80" s="11"/>
      <c r="B80" s="12">
        <v>2102113</v>
      </c>
      <c r="C80" s="11" t="s">
        <v>182</v>
      </c>
      <c r="D80" s="11" t="s">
        <v>99</v>
      </c>
      <c r="E80" t="s">
        <v>2272</v>
      </c>
    </row>
    <row r="81" spans="1:5">
      <c r="A81" s="11"/>
      <c r="B81" s="12">
        <v>2102117</v>
      </c>
      <c r="C81" s="11" t="s">
        <v>183</v>
      </c>
      <c r="D81" s="11" t="s">
        <v>102</v>
      </c>
      <c r="E81" t="s">
        <v>2272</v>
      </c>
    </row>
    <row r="82" spans="1:5">
      <c r="A82" s="11"/>
      <c r="B82" s="12">
        <v>2102118</v>
      </c>
      <c r="C82" s="11" t="s">
        <v>184</v>
      </c>
      <c r="D82" s="11" t="s">
        <v>102</v>
      </c>
      <c r="E82" t="s">
        <v>2272</v>
      </c>
    </row>
    <row r="83" spans="1:5">
      <c r="A83" s="11"/>
      <c r="B83" s="12">
        <v>2102119</v>
      </c>
      <c r="C83" s="11" t="s">
        <v>185</v>
      </c>
      <c r="D83" s="11" t="s">
        <v>126</v>
      </c>
      <c r="E83" t="s">
        <v>2272</v>
      </c>
    </row>
    <row r="84" spans="1:5">
      <c r="A84" s="11"/>
      <c r="B84" s="12">
        <v>2102120</v>
      </c>
      <c r="C84" s="11" t="s">
        <v>186</v>
      </c>
      <c r="D84" s="11" t="s">
        <v>126</v>
      </c>
      <c r="E84" t="s">
        <v>2272</v>
      </c>
    </row>
    <row r="85" spans="1:5">
      <c r="A85" s="11"/>
      <c r="B85" s="12">
        <v>2102123</v>
      </c>
      <c r="C85" s="11" t="s">
        <v>187</v>
      </c>
      <c r="D85" s="11" t="s">
        <v>188</v>
      </c>
      <c r="E85" t="s">
        <v>2272</v>
      </c>
    </row>
    <row r="86" spans="1:5">
      <c r="A86" s="11"/>
      <c r="B86" s="12">
        <v>2106025</v>
      </c>
      <c r="C86" s="11" t="s">
        <v>189</v>
      </c>
      <c r="D86" s="11" t="s">
        <v>99</v>
      </c>
      <c r="E86" t="s">
        <v>2272</v>
      </c>
    </row>
    <row r="87" spans="1:5">
      <c r="A87" s="11">
        <v>3500000</v>
      </c>
      <c r="B87" s="12">
        <v>3500121</v>
      </c>
      <c r="C87" s="11" t="s">
        <v>190</v>
      </c>
      <c r="D87" s="11" t="s">
        <v>102</v>
      </c>
      <c r="E87" t="s">
        <v>2272</v>
      </c>
    </row>
    <row r="88" spans="1:5">
      <c r="A88" s="11">
        <v>3500001</v>
      </c>
      <c r="B88" s="12">
        <v>3500122</v>
      </c>
      <c r="C88" s="11" t="s">
        <v>191</v>
      </c>
      <c r="D88" s="11" t="s">
        <v>102</v>
      </c>
      <c r="E88" t="s">
        <v>2272</v>
      </c>
    </row>
    <row r="89" spans="1:5">
      <c r="A89" s="11">
        <v>3500002</v>
      </c>
      <c r="B89" s="12">
        <v>3500123</v>
      </c>
      <c r="C89" s="11" t="s">
        <v>192</v>
      </c>
      <c r="D89" s="11" t="s">
        <v>102</v>
      </c>
      <c r="E89" t="s">
        <v>2272</v>
      </c>
    </row>
    <row r="90" spans="1:5">
      <c r="A90" s="11">
        <v>3500003</v>
      </c>
      <c r="B90" s="12">
        <v>3500124</v>
      </c>
      <c r="C90" s="11" t="s">
        <v>193</v>
      </c>
      <c r="D90" s="11" t="s">
        <v>102</v>
      </c>
      <c r="E90" t="s">
        <v>2272</v>
      </c>
    </row>
    <row r="91" spans="1:5">
      <c r="A91" s="11">
        <v>3500004</v>
      </c>
      <c r="B91" s="12">
        <v>3500125</v>
      </c>
      <c r="C91" s="11" t="s">
        <v>194</v>
      </c>
      <c r="D91" s="11" t="s">
        <v>195</v>
      </c>
      <c r="E91" t="s">
        <v>2272</v>
      </c>
    </row>
    <row r="92" spans="1:5">
      <c r="A92" s="11">
        <v>3500005</v>
      </c>
      <c r="B92" s="12">
        <v>3500126</v>
      </c>
      <c r="C92" s="11" t="s">
        <v>196</v>
      </c>
      <c r="D92" s="11" t="s">
        <v>102</v>
      </c>
      <c r="E92" t="s">
        <v>2272</v>
      </c>
    </row>
    <row r="93" spans="1:5">
      <c r="A93" s="11">
        <v>3500006</v>
      </c>
      <c r="B93" s="12">
        <v>3500127</v>
      </c>
      <c r="C93" s="11" t="s">
        <v>197</v>
      </c>
      <c r="D93" s="11" t="s">
        <v>102</v>
      </c>
      <c r="E93" t="s">
        <v>2272</v>
      </c>
    </row>
    <row r="94" spans="1:5">
      <c r="A94" s="11">
        <v>3500007</v>
      </c>
      <c r="B94" s="12">
        <v>3500128</v>
      </c>
      <c r="C94" s="11" t="s">
        <v>198</v>
      </c>
      <c r="D94" s="11" t="s">
        <v>199</v>
      </c>
      <c r="E94" t="s">
        <v>2272</v>
      </c>
    </row>
    <row r="95" spans="1:5">
      <c r="A95" s="11">
        <v>3500008</v>
      </c>
      <c r="B95" s="12">
        <v>3500129</v>
      </c>
      <c r="C95" s="11" t="s">
        <v>200</v>
      </c>
      <c r="D95" s="11" t="s">
        <v>201</v>
      </c>
      <c r="E95" t="s">
        <v>2272</v>
      </c>
    </row>
    <row r="96" spans="1:5">
      <c r="A96" s="11">
        <v>3500009</v>
      </c>
      <c r="B96" s="12">
        <v>3500130</v>
      </c>
      <c r="C96" s="11" t="s">
        <v>202</v>
      </c>
      <c r="D96" s="11" t="s">
        <v>102</v>
      </c>
      <c r="E96" t="s">
        <v>2272</v>
      </c>
    </row>
    <row r="97" spans="1:5">
      <c r="A97" s="11">
        <v>3500010</v>
      </c>
      <c r="B97" s="12">
        <v>3500131</v>
      </c>
      <c r="C97" s="11" t="s">
        <v>203</v>
      </c>
      <c r="D97" s="11" t="s">
        <v>102</v>
      </c>
      <c r="E97" t="s">
        <v>2272</v>
      </c>
    </row>
    <row r="98" spans="1:5">
      <c r="A98" s="11">
        <v>3500011</v>
      </c>
      <c r="B98" s="12">
        <v>3500132</v>
      </c>
      <c r="C98" s="11" t="s">
        <v>204</v>
      </c>
      <c r="D98" s="11" t="s">
        <v>102</v>
      </c>
      <c r="E98" t="s">
        <v>2272</v>
      </c>
    </row>
    <row r="99" spans="1:5">
      <c r="A99" s="11"/>
      <c r="B99" s="11">
        <v>3500012</v>
      </c>
      <c r="C99" s="11" t="s">
        <v>205</v>
      </c>
      <c r="D99" s="11" t="s">
        <v>102</v>
      </c>
      <c r="E99" t="s">
        <v>2272</v>
      </c>
    </row>
    <row r="100" spans="1:5">
      <c r="A100" s="11">
        <v>3500013</v>
      </c>
      <c r="B100" s="12">
        <v>3500133</v>
      </c>
      <c r="C100" s="11" t="s">
        <v>206</v>
      </c>
      <c r="D100" s="11" t="s">
        <v>102</v>
      </c>
      <c r="E100" t="s">
        <v>2272</v>
      </c>
    </row>
    <row r="101" spans="1:5">
      <c r="A101" s="11">
        <v>3500014</v>
      </c>
      <c r="B101" s="12">
        <v>3500134</v>
      </c>
      <c r="C101" s="11" t="s">
        <v>207</v>
      </c>
      <c r="D101" s="11" t="s">
        <v>102</v>
      </c>
      <c r="E101" t="s">
        <v>2272</v>
      </c>
    </row>
    <row r="102" spans="1:5">
      <c r="A102" s="11">
        <v>3500015</v>
      </c>
      <c r="B102" s="12">
        <v>3500135</v>
      </c>
      <c r="C102" s="11" t="s">
        <v>208</v>
      </c>
      <c r="D102" s="11" t="s">
        <v>102</v>
      </c>
      <c r="E102" t="s">
        <v>2272</v>
      </c>
    </row>
    <row r="103" spans="1:5">
      <c r="A103" s="11">
        <v>3500016</v>
      </c>
      <c r="B103" s="12">
        <v>3500136</v>
      </c>
      <c r="C103" s="11" t="s">
        <v>209</v>
      </c>
      <c r="D103" s="11" t="s">
        <v>102</v>
      </c>
      <c r="E103" t="s">
        <v>2272</v>
      </c>
    </row>
    <row r="104" spans="1:5">
      <c r="A104" s="11">
        <v>3500017</v>
      </c>
      <c r="B104" s="12">
        <v>3500137</v>
      </c>
      <c r="C104" s="11" t="s">
        <v>210</v>
      </c>
      <c r="D104" s="11" t="s">
        <v>102</v>
      </c>
      <c r="E104" t="s">
        <v>2272</v>
      </c>
    </row>
    <row r="105" spans="1:5">
      <c r="A105" s="11"/>
      <c r="B105" s="11">
        <v>3500018</v>
      </c>
      <c r="C105" s="11" t="s">
        <v>211</v>
      </c>
      <c r="D105" s="11" t="s">
        <v>102</v>
      </c>
      <c r="E105" t="s">
        <v>2272</v>
      </c>
    </row>
    <row r="106" spans="1:5">
      <c r="A106" s="11">
        <v>3500019</v>
      </c>
      <c r="B106" s="12">
        <v>3500138</v>
      </c>
      <c r="C106" s="11" t="s">
        <v>212</v>
      </c>
      <c r="D106" s="11" t="s">
        <v>213</v>
      </c>
      <c r="E106" t="s">
        <v>2272</v>
      </c>
    </row>
    <row r="107" spans="1:5">
      <c r="A107" s="11">
        <v>2320030</v>
      </c>
      <c r="B107" s="11">
        <v>3500020</v>
      </c>
      <c r="C107" s="11" t="s">
        <v>214</v>
      </c>
      <c r="D107" s="11" t="s">
        <v>102</v>
      </c>
      <c r="E107" t="s">
        <v>2272</v>
      </c>
    </row>
    <row r="108" spans="1:5">
      <c r="A108" s="11">
        <v>3500021</v>
      </c>
      <c r="B108" s="12">
        <v>3500139</v>
      </c>
      <c r="C108" s="11" t="s">
        <v>215</v>
      </c>
      <c r="D108" s="11" t="s">
        <v>102</v>
      </c>
      <c r="E108" t="s">
        <v>2272</v>
      </c>
    </row>
    <row r="109" spans="1:5">
      <c r="A109" s="11">
        <v>3500022</v>
      </c>
      <c r="B109" s="12">
        <v>3500140</v>
      </c>
      <c r="C109" s="11" t="s">
        <v>216</v>
      </c>
      <c r="D109" s="11" t="s">
        <v>102</v>
      </c>
      <c r="E109" t="s">
        <v>2272</v>
      </c>
    </row>
    <row r="110" spans="1:5">
      <c r="A110" s="11">
        <v>3500023</v>
      </c>
      <c r="B110" s="12">
        <v>3500141</v>
      </c>
      <c r="C110" s="11" t="s">
        <v>217</v>
      </c>
      <c r="D110" s="11" t="s">
        <v>102</v>
      </c>
      <c r="E110" t="s">
        <v>2272</v>
      </c>
    </row>
    <row r="111" spans="1:5">
      <c r="A111" s="11">
        <v>3500024</v>
      </c>
      <c r="B111" s="12">
        <v>3500142</v>
      </c>
      <c r="C111" s="11" t="s">
        <v>218</v>
      </c>
      <c r="D111" s="11" t="s">
        <v>102</v>
      </c>
      <c r="E111" t="s">
        <v>2272</v>
      </c>
    </row>
    <row r="112" spans="1:5">
      <c r="A112" s="11">
        <v>3500025</v>
      </c>
      <c r="B112" s="12">
        <v>3500143</v>
      </c>
      <c r="C112" s="11" t="s">
        <v>219</v>
      </c>
      <c r="D112" s="11" t="s">
        <v>220</v>
      </c>
      <c r="E112" t="s">
        <v>2272</v>
      </c>
    </row>
    <row r="113" spans="1:5">
      <c r="A113" s="11">
        <v>3500026</v>
      </c>
      <c r="B113" s="12">
        <v>3500144</v>
      </c>
      <c r="C113" s="11" t="s">
        <v>221</v>
      </c>
      <c r="D113" s="11" t="s">
        <v>102</v>
      </c>
      <c r="E113" t="s">
        <v>2272</v>
      </c>
    </row>
    <row r="114" spans="1:5">
      <c r="A114" s="11"/>
      <c r="B114" s="11">
        <v>3500027</v>
      </c>
      <c r="C114" s="11" t="s">
        <v>222</v>
      </c>
      <c r="D114" s="11" t="s">
        <v>102</v>
      </c>
      <c r="E114" t="s">
        <v>2272</v>
      </c>
    </row>
    <row r="115" spans="1:5">
      <c r="A115" s="11">
        <v>3500028</v>
      </c>
      <c r="B115" s="12">
        <v>3500145</v>
      </c>
      <c r="C115" s="11" t="s">
        <v>223</v>
      </c>
      <c r="D115" s="11" t="s">
        <v>102</v>
      </c>
      <c r="E115" t="s">
        <v>2272</v>
      </c>
    </row>
    <row r="116" spans="1:5">
      <c r="A116" s="11">
        <v>3500029</v>
      </c>
      <c r="B116" s="12">
        <v>3500146</v>
      </c>
      <c r="C116" s="11" t="s">
        <v>224</v>
      </c>
      <c r="D116" s="11" t="s">
        <v>102</v>
      </c>
      <c r="E116" t="s">
        <v>2272</v>
      </c>
    </row>
    <row r="117" spans="1:5">
      <c r="A117" s="11">
        <v>3500030</v>
      </c>
      <c r="B117" s="12">
        <v>3500147</v>
      </c>
      <c r="C117" s="11" t="s">
        <v>225</v>
      </c>
      <c r="D117" s="11" t="s">
        <v>102</v>
      </c>
      <c r="E117" t="s">
        <v>2272</v>
      </c>
    </row>
    <row r="118" spans="1:5">
      <c r="A118" s="11">
        <v>3500031</v>
      </c>
      <c r="B118" s="12">
        <v>3500211</v>
      </c>
      <c r="C118" s="11" t="s">
        <v>226</v>
      </c>
      <c r="D118" s="11" t="s">
        <v>102</v>
      </c>
      <c r="E118" t="s">
        <v>2272</v>
      </c>
    </row>
    <row r="119" spans="1:5">
      <c r="A119" s="11"/>
      <c r="B119" s="11">
        <v>3500032</v>
      </c>
      <c r="C119" s="11" t="s">
        <v>227</v>
      </c>
      <c r="D119" s="11" t="s">
        <v>102</v>
      </c>
      <c r="E119" t="s">
        <v>2272</v>
      </c>
    </row>
    <row r="120" spans="1:5">
      <c r="A120" s="11">
        <v>3500033</v>
      </c>
      <c r="B120" s="12">
        <v>3500149</v>
      </c>
      <c r="C120" s="11" t="s">
        <v>228</v>
      </c>
      <c r="D120" s="11" t="s">
        <v>102</v>
      </c>
      <c r="E120" t="s">
        <v>2272</v>
      </c>
    </row>
    <row r="121" spans="1:5">
      <c r="A121" s="11">
        <v>3500034</v>
      </c>
      <c r="B121" s="12">
        <v>3500150</v>
      </c>
      <c r="C121" s="11" t="s">
        <v>229</v>
      </c>
      <c r="D121" s="11" t="s">
        <v>102</v>
      </c>
      <c r="E121" t="s">
        <v>2272</v>
      </c>
    </row>
    <row r="122" spans="1:5">
      <c r="A122" s="11"/>
      <c r="B122" s="11">
        <v>3500035</v>
      </c>
      <c r="C122" s="11" t="s">
        <v>230</v>
      </c>
      <c r="D122" s="11" t="s">
        <v>102</v>
      </c>
      <c r="E122" t="s">
        <v>2272</v>
      </c>
    </row>
    <row r="123" spans="1:5">
      <c r="A123" s="11">
        <v>3500036</v>
      </c>
      <c r="B123" s="12">
        <v>3500151</v>
      </c>
      <c r="C123" s="11" t="s">
        <v>231</v>
      </c>
      <c r="D123" s="11" t="s">
        <v>102</v>
      </c>
      <c r="E123" t="s">
        <v>2272</v>
      </c>
    </row>
    <row r="124" spans="1:5">
      <c r="A124" s="11">
        <v>3500037</v>
      </c>
      <c r="B124" s="12">
        <v>3500152</v>
      </c>
      <c r="C124" s="11" t="s">
        <v>232</v>
      </c>
      <c r="D124" s="11" t="s">
        <v>102</v>
      </c>
      <c r="E124" t="s">
        <v>2272</v>
      </c>
    </row>
    <row r="125" spans="1:5">
      <c r="A125" s="11">
        <v>3500038</v>
      </c>
      <c r="B125" s="12">
        <v>3500153</v>
      </c>
      <c r="C125" s="11" t="s">
        <v>233</v>
      </c>
      <c r="D125" s="11" t="s">
        <v>102</v>
      </c>
      <c r="E125" t="s">
        <v>2272</v>
      </c>
    </row>
    <row r="126" spans="1:5">
      <c r="A126" s="11">
        <v>3500039</v>
      </c>
      <c r="B126" s="12">
        <v>3500154</v>
      </c>
      <c r="C126" s="11" t="s">
        <v>234</v>
      </c>
      <c r="D126" s="11" t="s">
        <v>102</v>
      </c>
      <c r="E126" t="s">
        <v>2272</v>
      </c>
    </row>
    <row r="127" spans="1:5">
      <c r="A127" s="11">
        <v>3500040</v>
      </c>
      <c r="B127" s="12">
        <v>3500155</v>
      </c>
      <c r="C127" s="11" t="s">
        <v>235</v>
      </c>
      <c r="D127" s="11" t="s">
        <v>102</v>
      </c>
      <c r="E127" t="s">
        <v>2272</v>
      </c>
    </row>
    <row r="128" spans="1:5">
      <c r="A128" s="11">
        <v>3500041</v>
      </c>
      <c r="B128" s="12">
        <v>3500156</v>
      </c>
      <c r="C128" s="11" t="s">
        <v>236</v>
      </c>
      <c r="D128" s="11" t="s">
        <v>102</v>
      </c>
      <c r="E128" t="s">
        <v>2272</v>
      </c>
    </row>
    <row r="129" spans="1:5">
      <c r="A129" s="11">
        <v>3500042</v>
      </c>
      <c r="B129" s="12">
        <v>3500157</v>
      </c>
      <c r="C129" s="11" t="s">
        <v>237</v>
      </c>
      <c r="D129" s="11" t="s">
        <v>102</v>
      </c>
      <c r="E129" t="s">
        <v>2272</v>
      </c>
    </row>
    <row r="130" spans="1:5">
      <c r="A130" s="11">
        <v>3500043</v>
      </c>
      <c r="B130" s="12">
        <v>3500158</v>
      </c>
      <c r="C130" s="11" t="s">
        <v>238</v>
      </c>
      <c r="D130" s="11" t="s">
        <v>102</v>
      </c>
      <c r="E130" t="s">
        <v>2272</v>
      </c>
    </row>
    <row r="131" spans="1:5">
      <c r="A131" s="11">
        <v>3500044</v>
      </c>
      <c r="B131" s="12">
        <v>3500159</v>
      </c>
      <c r="C131" s="11" t="s">
        <v>239</v>
      </c>
      <c r="D131" s="11" t="s">
        <v>102</v>
      </c>
      <c r="E131" t="s">
        <v>2272</v>
      </c>
    </row>
    <row r="132" spans="1:5">
      <c r="A132" s="11">
        <v>3500045</v>
      </c>
      <c r="B132" s="12">
        <v>3500160</v>
      </c>
      <c r="C132" s="11" t="s">
        <v>240</v>
      </c>
      <c r="D132" s="11" t="s">
        <v>102</v>
      </c>
      <c r="E132" t="s">
        <v>2272</v>
      </c>
    </row>
    <row r="133" spans="1:5">
      <c r="A133" s="11">
        <v>3500046</v>
      </c>
      <c r="B133" s="12">
        <v>3500161</v>
      </c>
      <c r="C133" s="11" t="s">
        <v>241</v>
      </c>
      <c r="D133" s="11" t="s">
        <v>102</v>
      </c>
      <c r="E133" t="s">
        <v>2272</v>
      </c>
    </row>
    <row r="134" spans="1:5">
      <c r="A134" s="11">
        <v>3500047</v>
      </c>
      <c r="B134" s="12">
        <v>3500162</v>
      </c>
      <c r="C134" s="11" t="s">
        <v>242</v>
      </c>
      <c r="D134" s="11" t="s">
        <v>102</v>
      </c>
      <c r="E134" t="s">
        <v>2272</v>
      </c>
    </row>
    <row r="135" spans="1:5">
      <c r="A135" s="11">
        <v>3500048</v>
      </c>
      <c r="B135" s="12">
        <v>3500163</v>
      </c>
      <c r="C135" s="11" t="s">
        <v>243</v>
      </c>
      <c r="D135" s="11" t="s">
        <v>102</v>
      </c>
      <c r="E135" t="s">
        <v>2272</v>
      </c>
    </row>
    <row r="136" spans="1:5">
      <c r="A136" s="11">
        <v>3500049</v>
      </c>
      <c r="B136" s="12">
        <v>3500164</v>
      </c>
      <c r="C136" s="11" t="s">
        <v>244</v>
      </c>
      <c r="D136" s="11" t="s">
        <v>102</v>
      </c>
      <c r="E136" t="s">
        <v>2272</v>
      </c>
    </row>
    <row r="137" spans="1:5">
      <c r="A137" s="11">
        <v>3500050</v>
      </c>
      <c r="B137" s="12">
        <v>3500165</v>
      </c>
      <c r="C137" s="11" t="s">
        <v>245</v>
      </c>
      <c r="D137" s="11" t="s">
        <v>102</v>
      </c>
      <c r="E137" t="s">
        <v>2272</v>
      </c>
    </row>
    <row r="138" spans="1:5">
      <c r="A138" s="11">
        <v>3500051</v>
      </c>
      <c r="B138" s="12">
        <v>3500166</v>
      </c>
      <c r="C138" s="11" t="s">
        <v>246</v>
      </c>
      <c r="D138" s="11" t="s">
        <v>102</v>
      </c>
      <c r="E138" t="s">
        <v>2272</v>
      </c>
    </row>
    <row r="139" spans="1:5">
      <c r="A139" s="11">
        <v>3500052</v>
      </c>
      <c r="B139" s="12">
        <v>3500167</v>
      </c>
      <c r="C139" s="11" t="s">
        <v>247</v>
      </c>
      <c r="D139" s="11" t="s">
        <v>102</v>
      </c>
      <c r="E139" t="s">
        <v>2272</v>
      </c>
    </row>
    <row r="140" spans="1:5">
      <c r="A140" s="11">
        <v>3500053</v>
      </c>
      <c r="B140" s="12">
        <v>3500168</v>
      </c>
      <c r="C140" s="11" t="s">
        <v>248</v>
      </c>
      <c r="D140" s="11" t="s">
        <v>102</v>
      </c>
      <c r="E140" t="s">
        <v>2272</v>
      </c>
    </row>
    <row r="141" spans="1:5">
      <c r="A141" s="11">
        <v>3500054</v>
      </c>
      <c r="B141" s="12">
        <v>3500169</v>
      </c>
      <c r="C141" s="11" t="s">
        <v>249</v>
      </c>
      <c r="D141" s="11" t="s">
        <v>102</v>
      </c>
      <c r="E141" t="s">
        <v>2272</v>
      </c>
    </row>
    <row r="142" spans="1:5">
      <c r="A142" s="11">
        <v>3500055</v>
      </c>
      <c r="B142" s="12">
        <v>3500170</v>
      </c>
      <c r="C142" s="11" t="s">
        <v>250</v>
      </c>
      <c r="D142" s="11" t="s">
        <v>102</v>
      </c>
      <c r="E142" t="s">
        <v>2272</v>
      </c>
    </row>
    <row r="143" spans="1:5">
      <c r="A143" s="11">
        <v>3500056</v>
      </c>
      <c r="B143" s="12">
        <v>3500171</v>
      </c>
      <c r="C143" s="11" t="s">
        <v>251</v>
      </c>
      <c r="D143" s="11" t="s">
        <v>102</v>
      </c>
      <c r="E143" t="s">
        <v>2272</v>
      </c>
    </row>
    <row r="144" spans="1:5">
      <c r="A144" s="11">
        <v>3500057</v>
      </c>
      <c r="B144" s="12">
        <v>3500172</v>
      </c>
      <c r="C144" s="11" t="s">
        <v>252</v>
      </c>
      <c r="D144" s="11" t="s">
        <v>102</v>
      </c>
      <c r="E144" t="s">
        <v>2272</v>
      </c>
    </row>
    <row r="145" spans="1:5">
      <c r="A145" s="11">
        <v>3500058</v>
      </c>
      <c r="B145" s="12">
        <v>3500173</v>
      </c>
      <c r="C145" s="11" t="s">
        <v>253</v>
      </c>
      <c r="D145" s="11" t="s">
        <v>102</v>
      </c>
      <c r="E145" t="s">
        <v>2272</v>
      </c>
    </row>
    <row r="146" spans="1:5">
      <c r="A146" s="11"/>
      <c r="B146" s="11">
        <v>3500059</v>
      </c>
      <c r="C146" s="11" t="s">
        <v>254</v>
      </c>
      <c r="D146" s="11" t="s">
        <v>102</v>
      </c>
      <c r="E146" t="s">
        <v>2272</v>
      </c>
    </row>
    <row r="147" spans="1:5">
      <c r="A147" s="11"/>
      <c r="B147" s="11">
        <v>3500060</v>
      </c>
      <c r="C147" s="11" t="s">
        <v>255</v>
      </c>
      <c r="D147" s="11" t="s">
        <v>102</v>
      </c>
      <c r="E147" t="s">
        <v>2272</v>
      </c>
    </row>
    <row r="148" spans="1:5">
      <c r="A148" s="11"/>
      <c r="B148" s="11">
        <v>3500061</v>
      </c>
      <c r="C148" s="11" t="s">
        <v>256</v>
      </c>
      <c r="D148" s="11" t="s">
        <v>102</v>
      </c>
      <c r="E148" t="s">
        <v>2272</v>
      </c>
    </row>
    <row r="149" spans="1:5">
      <c r="A149" s="11"/>
      <c r="B149" s="11">
        <v>3500062</v>
      </c>
      <c r="C149" s="11" t="s">
        <v>257</v>
      </c>
      <c r="D149" s="11" t="s">
        <v>102</v>
      </c>
      <c r="E149" t="s">
        <v>2272</v>
      </c>
    </row>
    <row r="150" spans="1:5">
      <c r="A150" s="11"/>
      <c r="B150" s="11">
        <v>3500063</v>
      </c>
      <c r="C150" s="11" t="s">
        <v>258</v>
      </c>
      <c r="D150" s="11" t="s">
        <v>102</v>
      </c>
      <c r="E150" t="s">
        <v>2272</v>
      </c>
    </row>
    <row r="151" spans="1:5">
      <c r="A151" s="11"/>
      <c r="B151" s="11">
        <v>3500064</v>
      </c>
      <c r="C151" s="11" t="s">
        <v>259</v>
      </c>
      <c r="D151" s="11" t="s">
        <v>102</v>
      </c>
      <c r="E151" t="s">
        <v>2272</v>
      </c>
    </row>
    <row r="152" spans="1:5">
      <c r="A152" s="11">
        <v>3500065</v>
      </c>
      <c r="B152" s="12">
        <v>3500174</v>
      </c>
      <c r="C152" s="11" t="s">
        <v>260</v>
      </c>
      <c r="D152" s="11" t="s">
        <v>102</v>
      </c>
      <c r="E152" t="s">
        <v>2272</v>
      </c>
    </row>
    <row r="153" spans="1:5">
      <c r="A153" s="11">
        <v>3500066</v>
      </c>
      <c r="B153" s="12">
        <v>3500175</v>
      </c>
      <c r="C153" s="11" t="s">
        <v>261</v>
      </c>
      <c r="D153" s="11" t="s">
        <v>102</v>
      </c>
      <c r="E153" t="s">
        <v>2272</v>
      </c>
    </row>
    <row r="154" spans="1:5">
      <c r="A154" s="11">
        <v>3500067</v>
      </c>
      <c r="B154" s="12">
        <v>3500176</v>
      </c>
      <c r="C154" s="11" t="s">
        <v>262</v>
      </c>
      <c r="D154" s="11" t="s">
        <v>102</v>
      </c>
      <c r="E154" t="s">
        <v>2272</v>
      </c>
    </row>
    <row r="155" spans="1:5">
      <c r="A155" s="11">
        <v>3500068</v>
      </c>
      <c r="B155" s="12">
        <v>3500177</v>
      </c>
      <c r="C155" s="11" t="s">
        <v>263</v>
      </c>
      <c r="D155" s="11" t="s">
        <v>102</v>
      </c>
      <c r="E155" t="s">
        <v>2272</v>
      </c>
    </row>
    <row r="156" spans="1:5">
      <c r="A156" s="11"/>
      <c r="B156" s="11">
        <v>3500069</v>
      </c>
      <c r="C156" s="11" t="s">
        <v>264</v>
      </c>
      <c r="D156" s="11" t="s">
        <v>102</v>
      </c>
      <c r="E156" t="s">
        <v>2272</v>
      </c>
    </row>
    <row r="157" spans="1:5">
      <c r="A157" s="11">
        <v>3500070</v>
      </c>
      <c r="B157" s="12">
        <v>3500178</v>
      </c>
      <c r="C157" s="11" t="s">
        <v>265</v>
      </c>
      <c r="D157" s="11" t="s">
        <v>102</v>
      </c>
      <c r="E157" t="s">
        <v>2272</v>
      </c>
    </row>
    <row r="158" spans="1:5">
      <c r="A158" s="11">
        <v>3500071</v>
      </c>
      <c r="B158" s="12">
        <v>3500179</v>
      </c>
      <c r="C158" s="11" t="s">
        <v>266</v>
      </c>
      <c r="D158" s="11" t="s">
        <v>102</v>
      </c>
      <c r="E158" t="s">
        <v>2272</v>
      </c>
    </row>
    <row r="159" spans="1:5">
      <c r="A159" s="11">
        <v>3500072</v>
      </c>
      <c r="B159" s="12">
        <v>3500180</v>
      </c>
      <c r="C159" s="11" t="s">
        <v>267</v>
      </c>
      <c r="D159" s="11" t="s">
        <v>102</v>
      </c>
      <c r="E159" t="s">
        <v>2272</v>
      </c>
    </row>
    <row r="160" spans="1:5">
      <c r="A160" s="11">
        <v>3500073</v>
      </c>
      <c r="B160" s="12">
        <v>3500181</v>
      </c>
      <c r="C160" s="11" t="s">
        <v>268</v>
      </c>
      <c r="D160" s="11" t="s">
        <v>102</v>
      </c>
      <c r="E160" t="s">
        <v>2272</v>
      </c>
    </row>
    <row r="161" spans="1:5">
      <c r="A161" s="11">
        <v>3500074</v>
      </c>
      <c r="B161" s="12">
        <v>3500182</v>
      </c>
      <c r="C161" s="11" t="s">
        <v>269</v>
      </c>
      <c r="D161" s="11" t="s">
        <v>102</v>
      </c>
      <c r="E161" t="s">
        <v>2272</v>
      </c>
    </row>
    <row r="162" spans="1:5">
      <c r="A162" s="11">
        <v>3500075</v>
      </c>
      <c r="B162" s="12">
        <v>3500183</v>
      </c>
      <c r="C162" s="11" t="s">
        <v>270</v>
      </c>
      <c r="D162" s="11" t="s">
        <v>102</v>
      </c>
      <c r="E162" t="s">
        <v>2272</v>
      </c>
    </row>
    <row r="163" spans="1:5">
      <c r="A163" s="11">
        <v>3500076</v>
      </c>
      <c r="B163" s="12">
        <v>3500184</v>
      </c>
      <c r="C163" s="11" t="s">
        <v>271</v>
      </c>
      <c r="D163" s="11" t="s">
        <v>102</v>
      </c>
      <c r="E163" t="s">
        <v>2272</v>
      </c>
    </row>
    <row r="164" spans="1:5">
      <c r="A164" s="11">
        <v>3500077</v>
      </c>
      <c r="B164" s="12">
        <v>3500185</v>
      </c>
      <c r="C164" s="11" t="s">
        <v>272</v>
      </c>
      <c r="D164" s="11" t="s">
        <v>102</v>
      </c>
      <c r="E164" t="s">
        <v>2272</v>
      </c>
    </row>
    <row r="165" spans="1:5">
      <c r="A165" s="11">
        <v>3500078</v>
      </c>
      <c r="B165" s="12">
        <v>3500186</v>
      </c>
      <c r="C165" s="11" t="s">
        <v>273</v>
      </c>
      <c r="D165" s="11" t="s">
        <v>102</v>
      </c>
      <c r="E165" t="s">
        <v>2272</v>
      </c>
    </row>
    <row r="166" spans="1:5">
      <c r="A166" s="11">
        <v>3500079</v>
      </c>
      <c r="B166" s="12">
        <v>3500187</v>
      </c>
      <c r="C166" s="11" t="s">
        <v>274</v>
      </c>
      <c r="D166" s="11" t="s">
        <v>102</v>
      </c>
      <c r="E166" t="s">
        <v>2272</v>
      </c>
    </row>
    <row r="167" spans="1:5">
      <c r="A167" s="11">
        <v>3500080</v>
      </c>
      <c r="B167" s="12">
        <v>3500188</v>
      </c>
      <c r="C167" s="11" t="s">
        <v>275</v>
      </c>
      <c r="D167" s="11" t="s">
        <v>102</v>
      </c>
      <c r="E167" t="s">
        <v>2272</v>
      </c>
    </row>
    <row r="168" spans="1:5">
      <c r="A168" s="11">
        <v>3500081</v>
      </c>
      <c r="B168" s="12">
        <v>3500189</v>
      </c>
      <c r="C168" s="11" t="s">
        <v>276</v>
      </c>
      <c r="D168" s="11" t="s">
        <v>102</v>
      </c>
      <c r="E168" t="s">
        <v>2272</v>
      </c>
    </row>
    <row r="169" spans="1:5">
      <c r="A169" s="11">
        <v>3500082</v>
      </c>
      <c r="B169" s="12">
        <v>3500190</v>
      </c>
      <c r="C169" s="11" t="s">
        <v>277</v>
      </c>
      <c r="D169" s="11" t="s">
        <v>102</v>
      </c>
      <c r="E169" t="s">
        <v>2272</v>
      </c>
    </row>
    <row r="170" spans="1:5">
      <c r="A170" s="11">
        <v>3500083</v>
      </c>
      <c r="B170" s="12">
        <v>3500191</v>
      </c>
      <c r="C170" s="11" t="s">
        <v>278</v>
      </c>
      <c r="D170" s="11" t="s">
        <v>102</v>
      </c>
      <c r="E170" t="s">
        <v>2272</v>
      </c>
    </row>
    <row r="171" spans="1:5">
      <c r="A171" s="11">
        <v>3500084</v>
      </c>
      <c r="B171" s="12">
        <v>3500192</v>
      </c>
      <c r="C171" s="11" t="s">
        <v>279</v>
      </c>
      <c r="D171" s="11" t="s">
        <v>102</v>
      </c>
      <c r="E171" t="s">
        <v>2272</v>
      </c>
    </row>
    <row r="172" spans="1:5">
      <c r="A172" s="11">
        <v>3500085</v>
      </c>
      <c r="B172" s="12">
        <v>3500193</v>
      </c>
      <c r="C172" s="11" t="s">
        <v>280</v>
      </c>
      <c r="D172" s="11" t="s">
        <v>281</v>
      </c>
      <c r="E172" t="s">
        <v>2272</v>
      </c>
    </row>
    <row r="173" spans="1:5">
      <c r="A173" s="11"/>
      <c r="B173" s="11">
        <v>3500086</v>
      </c>
      <c r="C173" s="11" t="s">
        <v>282</v>
      </c>
      <c r="D173" s="11" t="s">
        <v>281</v>
      </c>
      <c r="E173" t="s">
        <v>2272</v>
      </c>
    </row>
    <row r="174" spans="1:5">
      <c r="A174" s="11">
        <v>3500090</v>
      </c>
      <c r="B174" s="12">
        <v>3500194</v>
      </c>
      <c r="C174" s="11" t="s">
        <v>283</v>
      </c>
      <c r="D174" s="11" t="s">
        <v>284</v>
      </c>
      <c r="E174" t="s">
        <v>2272</v>
      </c>
    </row>
    <row r="175" spans="1:5">
      <c r="A175" s="11">
        <v>3501000</v>
      </c>
      <c r="B175" s="12">
        <v>3501102</v>
      </c>
      <c r="C175" s="11" t="s">
        <v>285</v>
      </c>
      <c r="D175" s="11" t="s">
        <v>102</v>
      </c>
      <c r="E175" t="s">
        <v>2272</v>
      </c>
    </row>
    <row r="176" spans="1:5">
      <c r="A176" s="11">
        <v>3501001</v>
      </c>
      <c r="B176" s="12">
        <v>3501103</v>
      </c>
      <c r="C176" s="11" t="s">
        <v>286</v>
      </c>
      <c r="D176" s="11" t="s">
        <v>102</v>
      </c>
      <c r="E176" t="s">
        <v>2272</v>
      </c>
    </row>
    <row r="177" spans="1:5">
      <c r="A177" s="11">
        <v>3501002</v>
      </c>
      <c r="B177" s="12">
        <v>3501104</v>
      </c>
      <c r="C177" s="11" t="s">
        <v>287</v>
      </c>
      <c r="D177" s="11" t="s">
        <v>102</v>
      </c>
      <c r="E177" t="s">
        <v>2272</v>
      </c>
    </row>
    <row r="178" spans="1:5">
      <c r="A178" s="11">
        <v>3501003</v>
      </c>
      <c r="B178" s="12">
        <v>3501105</v>
      </c>
      <c r="C178" s="11" t="s">
        <v>288</v>
      </c>
      <c r="D178" s="11" t="s">
        <v>102</v>
      </c>
      <c r="E178" t="s">
        <v>2272</v>
      </c>
    </row>
    <row r="179" spans="1:5">
      <c r="A179" s="11">
        <v>3501004</v>
      </c>
      <c r="B179" s="12">
        <v>3501106</v>
      </c>
      <c r="C179" s="11" t="s">
        <v>289</v>
      </c>
      <c r="D179" s="11" t="s">
        <v>102</v>
      </c>
      <c r="E179" t="s">
        <v>2272</v>
      </c>
    </row>
    <row r="180" spans="1:5">
      <c r="A180" s="11">
        <v>3501005</v>
      </c>
      <c r="B180" s="12">
        <v>3501107</v>
      </c>
      <c r="C180" s="11" t="s">
        <v>290</v>
      </c>
      <c r="D180" s="11" t="s">
        <v>102</v>
      </c>
      <c r="E180" t="s">
        <v>2272</v>
      </c>
    </row>
    <row r="181" spans="1:5">
      <c r="A181" s="11">
        <v>3501006</v>
      </c>
      <c r="B181" s="12">
        <v>3501108</v>
      </c>
      <c r="C181" s="11" t="s">
        <v>291</v>
      </c>
      <c r="D181" s="11" t="s">
        <v>102</v>
      </c>
      <c r="E181" t="s">
        <v>2272</v>
      </c>
    </row>
    <row r="182" spans="1:5">
      <c r="A182" s="11">
        <v>3501007</v>
      </c>
      <c r="B182" s="12">
        <v>3501109</v>
      </c>
      <c r="C182" s="11" t="s">
        <v>292</v>
      </c>
      <c r="D182" s="11" t="s">
        <v>102</v>
      </c>
      <c r="E182" t="s">
        <v>2272</v>
      </c>
    </row>
    <row r="183" spans="1:5">
      <c r="A183" s="11">
        <v>3501008</v>
      </c>
      <c r="B183" s="12">
        <v>3501110</v>
      </c>
      <c r="C183" s="11" t="s">
        <v>293</v>
      </c>
      <c r="D183" s="11" t="s">
        <v>102</v>
      </c>
      <c r="E183" t="s">
        <v>2272</v>
      </c>
    </row>
    <row r="184" spans="1:5">
      <c r="A184" s="11">
        <v>3501009</v>
      </c>
      <c r="B184" s="12">
        <v>3501111</v>
      </c>
      <c r="C184" s="11" t="s">
        <v>294</v>
      </c>
      <c r="D184" s="11" t="s">
        <v>102</v>
      </c>
      <c r="E184" t="s">
        <v>2272</v>
      </c>
    </row>
    <row r="185" spans="1:5">
      <c r="A185" s="11">
        <v>3501010</v>
      </c>
      <c r="B185" s="12">
        <v>3501112</v>
      </c>
      <c r="C185" s="11" t="s">
        <v>295</v>
      </c>
      <c r="D185" s="11" t="s">
        <v>102</v>
      </c>
      <c r="E185" t="s">
        <v>2272</v>
      </c>
    </row>
    <row r="186" spans="1:5">
      <c r="A186" s="11">
        <v>3501011</v>
      </c>
      <c r="B186" s="12">
        <v>3501113</v>
      </c>
      <c r="C186" s="11" t="s">
        <v>296</v>
      </c>
      <c r="D186" s="11" t="s">
        <v>102</v>
      </c>
      <c r="E186" t="s">
        <v>2272</v>
      </c>
    </row>
    <row r="187" spans="1:5">
      <c r="A187" s="11">
        <v>3501012</v>
      </c>
      <c r="B187" s="12">
        <v>3501114</v>
      </c>
      <c r="C187" s="11" t="s">
        <v>297</v>
      </c>
      <c r="D187" s="11" t="s">
        <v>102</v>
      </c>
      <c r="E187" t="s">
        <v>2272</v>
      </c>
    </row>
    <row r="188" spans="1:5">
      <c r="A188" s="11">
        <v>3501013</v>
      </c>
      <c r="B188" s="12">
        <v>3501115</v>
      </c>
      <c r="C188" s="11" t="s">
        <v>298</v>
      </c>
      <c r="D188" s="11" t="s">
        <v>102</v>
      </c>
      <c r="E188" t="s">
        <v>2272</v>
      </c>
    </row>
    <row r="189" spans="1:5">
      <c r="A189" s="11">
        <v>3501014</v>
      </c>
      <c r="B189" s="12">
        <v>3501116</v>
      </c>
      <c r="C189" s="11" t="s">
        <v>299</v>
      </c>
      <c r="D189" s="11" t="s">
        <v>102</v>
      </c>
      <c r="E189" t="s">
        <v>2272</v>
      </c>
    </row>
    <row r="190" spans="1:5">
      <c r="A190" s="11"/>
      <c r="B190" s="11">
        <v>3501015</v>
      </c>
      <c r="C190" s="11" t="s">
        <v>300</v>
      </c>
      <c r="D190" s="11" t="s">
        <v>102</v>
      </c>
      <c r="E190" t="s">
        <v>2272</v>
      </c>
    </row>
    <row r="191" spans="1:5">
      <c r="A191" s="11">
        <v>3501016</v>
      </c>
      <c r="B191" s="12">
        <v>3501117</v>
      </c>
      <c r="C191" s="11" t="s">
        <v>301</v>
      </c>
      <c r="D191" s="11" t="s">
        <v>102</v>
      </c>
      <c r="E191" t="s">
        <v>2272</v>
      </c>
    </row>
    <row r="192" spans="1:5">
      <c r="A192" s="11">
        <v>3501017</v>
      </c>
      <c r="B192" s="12">
        <v>3501118</v>
      </c>
      <c r="C192" s="11" t="s">
        <v>302</v>
      </c>
      <c r="D192" s="11" t="s">
        <v>102</v>
      </c>
      <c r="E192" t="s">
        <v>2272</v>
      </c>
    </row>
    <row r="193" spans="1:5">
      <c r="A193" s="11"/>
      <c r="B193" s="11">
        <v>3501018</v>
      </c>
      <c r="C193" s="11" t="s">
        <v>303</v>
      </c>
      <c r="D193" s="11" t="s">
        <v>102</v>
      </c>
      <c r="E193" t="s">
        <v>2272</v>
      </c>
    </row>
    <row r="194" spans="1:5">
      <c r="A194" s="11"/>
      <c r="B194" s="11">
        <v>3501019</v>
      </c>
      <c r="C194" s="11" t="s">
        <v>304</v>
      </c>
      <c r="D194" s="11" t="s">
        <v>102</v>
      </c>
      <c r="E194" t="s">
        <v>2272</v>
      </c>
    </row>
    <row r="195" spans="1:5">
      <c r="A195" s="11"/>
      <c r="B195" s="11">
        <v>3501020</v>
      </c>
      <c r="C195" s="11" t="s">
        <v>305</v>
      </c>
      <c r="D195" s="11" t="s">
        <v>102</v>
      </c>
      <c r="E195" t="s">
        <v>2272</v>
      </c>
    </row>
    <row r="196" spans="1:5">
      <c r="A196" s="11"/>
      <c r="B196" s="11">
        <v>3501021</v>
      </c>
      <c r="C196" s="11" t="s">
        <v>306</v>
      </c>
      <c r="D196" s="11" t="s">
        <v>102</v>
      </c>
      <c r="E196" t="s">
        <v>2272</v>
      </c>
    </row>
    <row r="197" spans="1:5">
      <c r="A197" s="11"/>
      <c r="B197" s="11">
        <v>3501022</v>
      </c>
      <c r="C197" s="11" t="s">
        <v>307</v>
      </c>
      <c r="D197" s="11" t="s">
        <v>102</v>
      </c>
      <c r="E197" t="s">
        <v>2272</v>
      </c>
    </row>
    <row r="198" spans="1:5">
      <c r="A198" s="11"/>
      <c r="B198" s="11">
        <v>3501023</v>
      </c>
      <c r="C198" s="11" t="s">
        <v>308</v>
      </c>
      <c r="D198" s="11" t="s">
        <v>102</v>
      </c>
      <c r="E198" t="s">
        <v>2272</v>
      </c>
    </row>
    <row r="199" spans="1:5">
      <c r="A199" s="11"/>
      <c r="B199" s="11">
        <v>3501024</v>
      </c>
      <c r="C199" s="11" t="s">
        <v>309</v>
      </c>
      <c r="D199" s="11" t="s">
        <v>102</v>
      </c>
      <c r="E199" t="s">
        <v>2272</v>
      </c>
    </row>
    <row r="200" spans="1:5">
      <c r="A200" s="11"/>
      <c r="B200" s="11">
        <v>3501025</v>
      </c>
      <c r="C200" s="11" t="s">
        <v>310</v>
      </c>
      <c r="D200" s="11" t="s">
        <v>102</v>
      </c>
      <c r="E200" t="s">
        <v>2272</v>
      </c>
    </row>
    <row r="201" spans="1:5">
      <c r="A201" s="11"/>
      <c r="B201" s="11">
        <v>3501026</v>
      </c>
      <c r="C201" s="11" t="s">
        <v>311</v>
      </c>
      <c r="D201" s="11" t="s">
        <v>102</v>
      </c>
      <c r="E201" t="s">
        <v>2272</v>
      </c>
    </row>
    <row r="202" spans="1:5">
      <c r="A202" s="11"/>
      <c r="B202" s="11">
        <v>3501027</v>
      </c>
      <c r="C202" s="11" t="s">
        <v>312</v>
      </c>
      <c r="D202" s="11" t="s">
        <v>102</v>
      </c>
      <c r="E202" t="s">
        <v>2272</v>
      </c>
    </row>
    <row r="203" spans="1:5">
      <c r="A203" s="11"/>
      <c r="B203" s="11">
        <v>3501028</v>
      </c>
      <c r="C203" s="11" t="s">
        <v>313</v>
      </c>
      <c r="D203" s="11" t="s">
        <v>102</v>
      </c>
      <c r="E203" t="s">
        <v>2272</v>
      </c>
    </row>
    <row r="204" spans="1:5">
      <c r="A204" s="11">
        <v>3501029</v>
      </c>
      <c r="B204" s="12">
        <v>3501119</v>
      </c>
      <c r="C204" s="11" t="s">
        <v>314</v>
      </c>
      <c r="D204" s="11" t="s">
        <v>102</v>
      </c>
      <c r="E204" t="s">
        <v>2272</v>
      </c>
    </row>
    <row r="205" spans="1:5">
      <c r="A205" s="11">
        <v>3501030</v>
      </c>
      <c r="B205" s="12">
        <v>3501120</v>
      </c>
      <c r="C205" s="11" t="s">
        <v>315</v>
      </c>
      <c r="D205" s="11" t="s">
        <v>102</v>
      </c>
      <c r="E205" t="s">
        <v>2272</v>
      </c>
    </row>
    <row r="206" spans="1:5">
      <c r="A206" s="11">
        <v>3501031</v>
      </c>
      <c r="B206" s="12">
        <v>3501121</v>
      </c>
      <c r="C206" s="11" t="s">
        <v>316</v>
      </c>
      <c r="D206" s="11" t="s">
        <v>102</v>
      </c>
      <c r="E206" t="s">
        <v>2272</v>
      </c>
    </row>
    <row r="207" spans="1:5">
      <c r="A207" s="11">
        <v>3501032</v>
      </c>
      <c r="B207" s="12">
        <v>3501122</v>
      </c>
      <c r="C207" s="11" t="s">
        <v>317</v>
      </c>
      <c r="D207" s="11" t="s">
        <v>102</v>
      </c>
      <c r="E207" t="s">
        <v>2272</v>
      </c>
    </row>
    <row r="208" spans="1:5">
      <c r="A208" s="11">
        <v>3501033</v>
      </c>
      <c r="B208" s="12">
        <v>3501123</v>
      </c>
      <c r="C208" s="11" t="s">
        <v>318</v>
      </c>
      <c r="D208" s="11" t="s">
        <v>102</v>
      </c>
      <c r="E208" t="s">
        <v>2272</v>
      </c>
    </row>
    <row r="209" spans="1:5">
      <c r="A209" s="11">
        <v>3501034</v>
      </c>
      <c r="B209" s="12">
        <v>3501124</v>
      </c>
      <c r="C209" s="11" t="s">
        <v>319</v>
      </c>
      <c r="D209" s="11" t="s">
        <v>102</v>
      </c>
      <c r="E209" t="s">
        <v>2272</v>
      </c>
    </row>
    <row r="210" spans="1:5">
      <c r="A210" s="11">
        <v>3501035</v>
      </c>
      <c r="B210" s="12">
        <v>3501125</v>
      </c>
      <c r="C210" s="11" t="s">
        <v>320</v>
      </c>
      <c r="D210" s="11" t="s">
        <v>102</v>
      </c>
      <c r="E210" t="s">
        <v>2272</v>
      </c>
    </row>
    <row r="211" spans="1:5">
      <c r="A211" s="11">
        <v>3501036</v>
      </c>
      <c r="B211" s="12">
        <v>3501126</v>
      </c>
      <c r="C211" s="11" t="s">
        <v>321</v>
      </c>
      <c r="D211" s="11" t="s">
        <v>102</v>
      </c>
      <c r="E211" t="s">
        <v>2272</v>
      </c>
    </row>
    <row r="212" spans="1:5">
      <c r="A212" s="11">
        <v>3501037</v>
      </c>
      <c r="B212" s="12">
        <v>3501127</v>
      </c>
      <c r="C212" s="11" t="s">
        <v>322</v>
      </c>
      <c r="D212" s="11" t="s">
        <v>102</v>
      </c>
      <c r="E212" t="s">
        <v>2272</v>
      </c>
    </row>
    <row r="213" spans="1:5">
      <c r="A213" s="11">
        <v>3501038</v>
      </c>
      <c r="B213" s="12">
        <v>3501128</v>
      </c>
      <c r="C213" s="11" t="s">
        <v>323</v>
      </c>
      <c r="D213" s="11" t="s">
        <v>102</v>
      </c>
      <c r="E213" t="s">
        <v>2272</v>
      </c>
    </row>
    <row r="214" spans="1:5">
      <c r="A214" s="11">
        <v>3501039</v>
      </c>
      <c r="B214" s="12">
        <v>3501129</v>
      </c>
      <c r="C214" s="11" t="s">
        <v>324</v>
      </c>
      <c r="D214" s="11" t="s">
        <v>102</v>
      </c>
      <c r="E214" t="s">
        <v>2272</v>
      </c>
    </row>
    <row r="215" spans="1:5">
      <c r="A215" s="11">
        <v>3501040</v>
      </c>
      <c r="B215" s="12">
        <v>3501130</v>
      </c>
      <c r="C215" s="11" t="s">
        <v>325</v>
      </c>
      <c r="D215" s="11" t="s">
        <v>102</v>
      </c>
      <c r="E215" t="s">
        <v>2272</v>
      </c>
    </row>
    <row r="216" spans="1:5">
      <c r="A216" s="11"/>
      <c r="B216" s="11">
        <v>3501041</v>
      </c>
      <c r="C216" s="11" t="s">
        <v>326</v>
      </c>
      <c r="D216" s="11" t="s">
        <v>102</v>
      </c>
      <c r="E216" t="s">
        <v>2272</v>
      </c>
    </row>
    <row r="217" spans="1:5">
      <c r="A217" s="11">
        <v>3501042</v>
      </c>
      <c r="B217" s="12">
        <v>3501131</v>
      </c>
      <c r="C217" s="11" t="s">
        <v>327</v>
      </c>
      <c r="D217" s="11" t="s">
        <v>102</v>
      </c>
      <c r="E217" t="s">
        <v>2272</v>
      </c>
    </row>
    <row r="218" spans="1:5">
      <c r="A218" s="11">
        <v>3501043</v>
      </c>
      <c r="B218" s="12">
        <v>3501132</v>
      </c>
      <c r="C218" s="11" t="s">
        <v>328</v>
      </c>
      <c r="D218" s="11" t="s">
        <v>102</v>
      </c>
      <c r="E218" t="s">
        <v>2272</v>
      </c>
    </row>
    <row r="219" spans="1:5">
      <c r="A219" s="11">
        <v>3501044</v>
      </c>
      <c r="B219" s="12">
        <v>3501133</v>
      </c>
      <c r="C219" s="11" t="s">
        <v>329</v>
      </c>
      <c r="D219" s="11" t="s">
        <v>102</v>
      </c>
      <c r="E219" t="s">
        <v>2272</v>
      </c>
    </row>
    <row r="220" spans="1:5">
      <c r="A220" s="11">
        <v>3501045</v>
      </c>
      <c r="B220" s="12">
        <v>3501134</v>
      </c>
      <c r="C220" s="11" t="s">
        <v>330</v>
      </c>
      <c r="D220" s="11" t="s">
        <v>102</v>
      </c>
      <c r="E220" t="s">
        <v>2272</v>
      </c>
    </row>
    <row r="221" spans="1:5">
      <c r="A221" s="11">
        <v>3501046</v>
      </c>
      <c r="B221" s="12">
        <v>3501135</v>
      </c>
      <c r="C221" s="11" t="s">
        <v>331</v>
      </c>
      <c r="D221" s="11" t="s">
        <v>102</v>
      </c>
      <c r="E221" t="s">
        <v>2272</v>
      </c>
    </row>
    <row r="222" spans="1:5">
      <c r="A222" s="11">
        <v>3501047</v>
      </c>
      <c r="B222" s="12">
        <v>3501136</v>
      </c>
      <c r="C222" s="11" t="s">
        <v>332</v>
      </c>
      <c r="D222" s="11" t="s">
        <v>102</v>
      </c>
      <c r="E222" t="s">
        <v>2272</v>
      </c>
    </row>
    <row r="223" spans="1:5">
      <c r="A223" s="11"/>
      <c r="B223" s="11">
        <v>3501048</v>
      </c>
      <c r="C223" s="11" t="s">
        <v>333</v>
      </c>
      <c r="D223" s="11" t="s">
        <v>102</v>
      </c>
      <c r="E223" t="s">
        <v>2272</v>
      </c>
    </row>
    <row r="224" spans="1:5">
      <c r="A224" s="11"/>
      <c r="B224" s="11">
        <v>3501049</v>
      </c>
      <c r="C224" s="11" t="s">
        <v>334</v>
      </c>
      <c r="D224" s="11" t="s">
        <v>102</v>
      </c>
      <c r="E224" t="s">
        <v>2272</v>
      </c>
    </row>
    <row r="225" spans="1:5">
      <c r="A225" s="11"/>
      <c r="B225" s="11">
        <v>3501050</v>
      </c>
      <c r="C225" s="11" t="s">
        <v>335</v>
      </c>
      <c r="D225" s="11" t="s">
        <v>102</v>
      </c>
      <c r="E225" t="s">
        <v>2272</v>
      </c>
    </row>
    <row r="226" spans="1:5">
      <c r="A226" s="11">
        <v>3501051</v>
      </c>
      <c r="B226" s="12">
        <v>3501137</v>
      </c>
      <c r="C226" s="11" t="s">
        <v>336</v>
      </c>
      <c r="D226" s="11" t="s">
        <v>102</v>
      </c>
      <c r="E226" t="s">
        <v>2272</v>
      </c>
    </row>
    <row r="227" spans="1:5">
      <c r="A227" s="11">
        <v>3501052</v>
      </c>
      <c r="B227" s="12">
        <v>3501138</v>
      </c>
      <c r="C227" s="11" t="s">
        <v>337</v>
      </c>
      <c r="D227" s="11" t="s">
        <v>102</v>
      </c>
      <c r="E227" t="s">
        <v>2272</v>
      </c>
    </row>
    <row r="228" spans="1:5">
      <c r="A228" s="11">
        <v>3501053</v>
      </c>
      <c r="B228" s="12">
        <v>3501139</v>
      </c>
      <c r="C228" s="11" t="s">
        <v>338</v>
      </c>
      <c r="D228" s="11" t="s">
        <v>102</v>
      </c>
      <c r="E228" t="s">
        <v>2272</v>
      </c>
    </row>
    <row r="229" spans="1:5">
      <c r="A229" s="11">
        <v>3501054</v>
      </c>
      <c r="B229" s="12">
        <v>3501140</v>
      </c>
      <c r="C229" s="11" t="s">
        <v>339</v>
      </c>
      <c r="D229" s="11" t="s">
        <v>102</v>
      </c>
      <c r="E229" t="s">
        <v>2272</v>
      </c>
    </row>
    <row r="230" spans="1:5">
      <c r="A230" s="11">
        <v>3501055</v>
      </c>
      <c r="B230" s="12">
        <v>3501141</v>
      </c>
      <c r="C230" s="11" t="s">
        <v>340</v>
      </c>
      <c r="D230" s="11" t="s">
        <v>102</v>
      </c>
      <c r="E230" t="s">
        <v>2272</v>
      </c>
    </row>
    <row r="231" spans="1:5">
      <c r="A231" s="11">
        <v>3501056</v>
      </c>
      <c r="B231" s="12">
        <v>3501142</v>
      </c>
      <c r="C231" s="11" t="s">
        <v>341</v>
      </c>
      <c r="D231" s="11" t="s">
        <v>102</v>
      </c>
      <c r="E231" t="s">
        <v>2272</v>
      </c>
    </row>
    <row r="232" spans="1:5">
      <c r="A232" s="11">
        <v>3501057</v>
      </c>
      <c r="B232" s="12">
        <v>3501143</v>
      </c>
      <c r="C232" s="11" t="s">
        <v>342</v>
      </c>
      <c r="D232" s="11" t="s">
        <v>102</v>
      </c>
      <c r="E232" t="s">
        <v>2272</v>
      </c>
    </row>
    <row r="233" spans="1:5">
      <c r="A233" s="11">
        <v>3501058</v>
      </c>
      <c r="B233" s="12">
        <v>3501144</v>
      </c>
      <c r="C233" s="11" t="s">
        <v>343</v>
      </c>
      <c r="D233" s="11" t="s">
        <v>102</v>
      </c>
      <c r="E233" t="s">
        <v>2272</v>
      </c>
    </row>
    <row r="234" spans="1:5">
      <c r="A234" s="11"/>
      <c r="B234" s="11">
        <v>3501059</v>
      </c>
      <c r="C234" s="11" t="s">
        <v>344</v>
      </c>
      <c r="D234" s="11" t="s">
        <v>102</v>
      </c>
      <c r="E234" t="s">
        <v>2272</v>
      </c>
    </row>
    <row r="235" spans="1:5">
      <c r="A235" s="11">
        <v>3501060</v>
      </c>
      <c r="B235" s="12">
        <v>3501145</v>
      </c>
      <c r="C235" s="11" t="s">
        <v>345</v>
      </c>
      <c r="D235" s="11" t="s">
        <v>102</v>
      </c>
      <c r="E235" t="s">
        <v>2272</v>
      </c>
    </row>
    <row r="236" spans="1:5">
      <c r="A236" s="11">
        <v>3501061</v>
      </c>
      <c r="B236" s="12">
        <v>3501146</v>
      </c>
      <c r="C236" s="11" t="s">
        <v>346</v>
      </c>
      <c r="D236" s="11" t="s">
        <v>102</v>
      </c>
      <c r="E236" t="s">
        <v>2272</v>
      </c>
    </row>
    <row r="237" spans="1:5">
      <c r="A237" s="11"/>
      <c r="B237" s="11">
        <v>3501062</v>
      </c>
      <c r="C237" s="11" t="s">
        <v>347</v>
      </c>
      <c r="D237" s="11" t="s">
        <v>102</v>
      </c>
      <c r="E237" t="s">
        <v>2272</v>
      </c>
    </row>
    <row r="238" spans="1:5">
      <c r="A238" s="11"/>
      <c r="B238" s="11">
        <v>3501063</v>
      </c>
      <c r="C238" s="11" t="s">
        <v>348</v>
      </c>
      <c r="D238" s="11" t="s">
        <v>102</v>
      </c>
      <c r="E238" t="s">
        <v>2272</v>
      </c>
    </row>
    <row r="239" spans="1:5">
      <c r="A239" s="11">
        <v>3501064</v>
      </c>
      <c r="B239" s="12">
        <v>3501147</v>
      </c>
      <c r="C239" s="11" t="s">
        <v>349</v>
      </c>
      <c r="D239" s="11" t="s">
        <v>102</v>
      </c>
      <c r="E239" t="s">
        <v>2272</v>
      </c>
    </row>
    <row r="240" spans="1:5">
      <c r="A240" s="11"/>
      <c r="B240" s="11">
        <v>3501065</v>
      </c>
      <c r="C240" s="11" t="s">
        <v>350</v>
      </c>
      <c r="D240" s="11" t="s">
        <v>102</v>
      </c>
      <c r="E240" t="s">
        <v>2272</v>
      </c>
    </row>
    <row r="241" spans="1:5">
      <c r="A241" s="11">
        <v>3501066</v>
      </c>
      <c r="B241" s="12">
        <v>3501148</v>
      </c>
      <c r="C241" s="11" t="s">
        <v>351</v>
      </c>
      <c r="D241" s="11" t="s">
        <v>102</v>
      </c>
      <c r="E241" t="s">
        <v>2272</v>
      </c>
    </row>
    <row r="242" spans="1:5">
      <c r="A242" s="11"/>
      <c r="B242" s="11">
        <v>3501067</v>
      </c>
      <c r="C242" s="11" t="s">
        <v>352</v>
      </c>
      <c r="D242" s="11" t="s">
        <v>102</v>
      </c>
      <c r="E242" t="s">
        <v>2272</v>
      </c>
    </row>
    <row r="243" spans="1:5">
      <c r="A243" s="11"/>
      <c r="B243" s="12">
        <v>3500195</v>
      </c>
      <c r="C243" s="12" t="s">
        <v>353</v>
      </c>
      <c r="D243" s="11" t="s">
        <v>102</v>
      </c>
      <c r="E243" t="s">
        <v>2272</v>
      </c>
    </row>
    <row r="244" spans="1:5">
      <c r="A244" s="11"/>
      <c r="B244" s="12">
        <v>3500196</v>
      </c>
      <c r="C244" s="12" t="s">
        <v>354</v>
      </c>
      <c r="D244" s="11" t="s">
        <v>102</v>
      </c>
      <c r="E244" t="s">
        <v>2272</v>
      </c>
    </row>
    <row r="245" spans="1:5">
      <c r="A245" s="11"/>
      <c r="B245" s="12">
        <v>3500197</v>
      </c>
      <c r="C245" s="12" t="s">
        <v>355</v>
      </c>
      <c r="D245" s="11" t="s">
        <v>102</v>
      </c>
      <c r="E245" t="s">
        <v>2272</v>
      </c>
    </row>
    <row r="246" spans="1:5">
      <c r="A246" s="11"/>
      <c r="B246" s="12">
        <v>3500198</v>
      </c>
      <c r="C246" s="12" t="s">
        <v>356</v>
      </c>
      <c r="D246" s="11" t="s">
        <v>102</v>
      </c>
      <c r="E246" t="s">
        <v>2272</v>
      </c>
    </row>
    <row r="247" spans="1:5">
      <c r="A247" s="11"/>
      <c r="B247" s="12">
        <v>3500199</v>
      </c>
      <c r="C247" s="12" t="s">
        <v>357</v>
      </c>
      <c r="D247" s="11" t="s">
        <v>102</v>
      </c>
      <c r="E247" t="s">
        <v>2272</v>
      </c>
    </row>
    <row r="248" spans="1:5">
      <c r="A248" s="11"/>
      <c r="B248" s="12">
        <v>3500200</v>
      </c>
      <c r="C248" s="12" t="s">
        <v>358</v>
      </c>
      <c r="D248" s="11" t="s">
        <v>102</v>
      </c>
      <c r="E248" t="s">
        <v>2272</v>
      </c>
    </row>
    <row r="249" spans="1:5">
      <c r="A249" s="11"/>
      <c r="B249" s="12">
        <v>3500201</v>
      </c>
      <c r="C249" s="12" t="s">
        <v>359</v>
      </c>
      <c r="D249" s="11" t="s">
        <v>102</v>
      </c>
      <c r="E249" t="s">
        <v>2272</v>
      </c>
    </row>
    <row r="250" spans="1:5">
      <c r="A250" s="11"/>
      <c r="B250" s="12">
        <v>3500202</v>
      </c>
      <c r="C250" s="12" t="s">
        <v>360</v>
      </c>
      <c r="D250" s="11" t="s">
        <v>102</v>
      </c>
      <c r="E250" t="s">
        <v>2272</v>
      </c>
    </row>
    <row r="251" spans="1:5">
      <c r="A251" s="11"/>
      <c r="B251" s="12">
        <v>3500203</v>
      </c>
      <c r="C251" s="12" t="s">
        <v>361</v>
      </c>
      <c r="D251" s="11" t="s">
        <v>102</v>
      </c>
      <c r="E251" t="s">
        <v>2272</v>
      </c>
    </row>
    <row r="252" spans="1:5">
      <c r="A252" s="11"/>
      <c r="B252" s="12">
        <v>3501162</v>
      </c>
      <c r="C252" s="12" t="s">
        <v>362</v>
      </c>
      <c r="D252" s="11" t="s">
        <v>102</v>
      </c>
      <c r="E252" t="s">
        <v>2272</v>
      </c>
    </row>
    <row r="253" spans="1:5">
      <c r="A253" s="11"/>
      <c r="B253" s="12">
        <v>3501163</v>
      </c>
      <c r="C253" s="12" t="s">
        <v>363</v>
      </c>
      <c r="D253" s="11" t="s">
        <v>102</v>
      </c>
      <c r="E253" t="s">
        <v>2272</v>
      </c>
    </row>
    <row r="254" spans="1:5">
      <c r="A254" s="11"/>
      <c r="B254" s="12">
        <v>3700025</v>
      </c>
      <c r="C254" s="12" t="s">
        <v>364</v>
      </c>
      <c r="D254" s="11" t="s">
        <v>102</v>
      </c>
      <c r="E254" t="s">
        <v>2272</v>
      </c>
    </row>
    <row r="255" spans="1:5">
      <c r="A255" s="11">
        <v>3501068</v>
      </c>
      <c r="B255" s="12">
        <v>3501149</v>
      </c>
      <c r="C255" s="11" t="s">
        <v>365</v>
      </c>
      <c r="D255" s="11" t="s">
        <v>102</v>
      </c>
      <c r="E255" t="s">
        <v>2272</v>
      </c>
    </row>
    <row r="256" spans="1:5">
      <c r="A256" s="11">
        <v>3501069</v>
      </c>
      <c r="B256" s="12">
        <v>3501150</v>
      </c>
      <c r="C256" s="11" t="s">
        <v>366</v>
      </c>
      <c r="D256" s="11" t="s">
        <v>102</v>
      </c>
      <c r="E256" t="s">
        <v>2272</v>
      </c>
    </row>
    <row r="257" spans="1:5">
      <c r="A257" s="11">
        <v>3501070</v>
      </c>
      <c r="B257" s="12">
        <v>3501151</v>
      </c>
      <c r="C257" s="11" t="s">
        <v>367</v>
      </c>
      <c r="D257" s="11" t="s">
        <v>102</v>
      </c>
      <c r="E257" t="s">
        <v>2272</v>
      </c>
    </row>
    <row r="258" spans="1:5">
      <c r="A258" s="11"/>
      <c r="B258" s="11">
        <v>3501071</v>
      </c>
      <c r="C258" s="11" t="s">
        <v>368</v>
      </c>
      <c r="D258" s="11" t="s">
        <v>102</v>
      </c>
      <c r="E258" t="s">
        <v>2272</v>
      </c>
    </row>
    <row r="259" spans="1:5">
      <c r="A259" s="11">
        <v>3501072</v>
      </c>
      <c r="B259" s="12">
        <v>3501152</v>
      </c>
      <c r="C259" s="11" t="s">
        <v>369</v>
      </c>
      <c r="D259" s="11" t="s">
        <v>102</v>
      </c>
      <c r="E259" t="s">
        <v>2272</v>
      </c>
    </row>
    <row r="260" spans="1:5">
      <c r="A260" s="11">
        <v>3501073</v>
      </c>
      <c r="B260" s="12">
        <v>3501153</v>
      </c>
      <c r="C260" s="11" t="s">
        <v>370</v>
      </c>
      <c r="D260" s="11" t="s">
        <v>102</v>
      </c>
      <c r="E260" t="s">
        <v>2272</v>
      </c>
    </row>
    <row r="261" spans="1:5">
      <c r="A261" s="11">
        <v>3501074</v>
      </c>
      <c r="B261" s="12">
        <v>3501154</v>
      </c>
      <c r="C261" s="11" t="s">
        <v>371</v>
      </c>
      <c r="D261" s="11" t="s">
        <v>102</v>
      </c>
      <c r="E261" t="s">
        <v>2272</v>
      </c>
    </row>
    <row r="262" spans="1:5">
      <c r="A262" s="11">
        <v>3501075</v>
      </c>
      <c r="B262" s="12">
        <v>3501155</v>
      </c>
      <c r="C262" s="11" t="s">
        <v>372</v>
      </c>
      <c r="D262" s="11" t="s">
        <v>102</v>
      </c>
      <c r="E262" t="s">
        <v>2272</v>
      </c>
    </row>
    <row r="263" spans="1:5">
      <c r="A263" s="11">
        <v>3501076</v>
      </c>
      <c r="B263" s="12">
        <v>3501156</v>
      </c>
      <c r="C263" s="11" t="s">
        <v>373</v>
      </c>
      <c r="D263" s="11" t="s">
        <v>102</v>
      </c>
      <c r="E263" t="s">
        <v>2272</v>
      </c>
    </row>
    <row r="264" spans="1:5">
      <c r="A264" s="11">
        <v>3501077</v>
      </c>
      <c r="B264" s="12">
        <v>3501157</v>
      </c>
      <c r="C264" s="11" t="s">
        <v>374</v>
      </c>
      <c r="D264" s="11" t="s">
        <v>102</v>
      </c>
      <c r="E264" t="s">
        <v>2272</v>
      </c>
    </row>
    <row r="265" spans="1:5">
      <c r="A265" s="11">
        <v>3501078</v>
      </c>
      <c r="B265" s="12">
        <v>3501158</v>
      </c>
      <c r="C265" s="11" t="s">
        <v>375</v>
      </c>
      <c r="D265" s="11" t="s">
        <v>102</v>
      </c>
      <c r="E265" t="s">
        <v>2272</v>
      </c>
    </row>
    <row r="266" spans="1:5">
      <c r="A266" s="11">
        <v>3501079</v>
      </c>
      <c r="B266" s="12">
        <v>3501159</v>
      </c>
      <c r="C266" s="11" t="s">
        <v>376</v>
      </c>
      <c r="D266" s="11" t="s">
        <v>102</v>
      </c>
      <c r="E266" t="s">
        <v>2272</v>
      </c>
    </row>
    <row r="267" spans="1:5">
      <c r="A267" s="11">
        <v>3501080</v>
      </c>
      <c r="B267" s="12">
        <v>3501160</v>
      </c>
      <c r="C267" s="11" t="s">
        <v>377</v>
      </c>
      <c r="D267" s="11" t="s">
        <v>102</v>
      </c>
      <c r="E267" t="s">
        <v>2272</v>
      </c>
    </row>
    <row r="268" spans="1:5">
      <c r="A268" s="11">
        <v>3501081</v>
      </c>
      <c r="B268" s="12">
        <v>3501161</v>
      </c>
      <c r="C268" s="11" t="s">
        <v>378</v>
      </c>
      <c r="D268" s="11" t="s">
        <v>281</v>
      </c>
      <c r="E268" t="s">
        <v>2272</v>
      </c>
    </row>
    <row r="269" spans="1:5">
      <c r="A269" s="11">
        <v>3600000</v>
      </c>
      <c r="B269" s="12">
        <v>3600090</v>
      </c>
      <c r="C269" s="11" t="s">
        <v>379</v>
      </c>
      <c r="D269" s="11" t="s">
        <v>102</v>
      </c>
      <c r="E269" t="s">
        <v>2272</v>
      </c>
    </row>
    <row r="270" spans="1:5">
      <c r="A270" s="11"/>
      <c r="B270" s="11">
        <v>3600001</v>
      </c>
      <c r="C270" s="11" t="s">
        <v>380</v>
      </c>
      <c r="D270" s="11" t="s">
        <v>102</v>
      </c>
      <c r="E270" t="s">
        <v>2272</v>
      </c>
    </row>
    <row r="271" spans="1:5">
      <c r="A271" s="11">
        <v>3600002</v>
      </c>
      <c r="B271" s="12">
        <v>3600091</v>
      </c>
      <c r="C271" s="11" t="s">
        <v>381</v>
      </c>
      <c r="D271" s="11" t="s">
        <v>102</v>
      </c>
      <c r="E271" t="s">
        <v>2272</v>
      </c>
    </row>
    <row r="272" spans="1:5">
      <c r="A272" s="11">
        <v>3600003</v>
      </c>
      <c r="B272" s="12">
        <v>3600092</v>
      </c>
      <c r="C272" s="11" t="s">
        <v>382</v>
      </c>
      <c r="D272" s="11" t="s">
        <v>102</v>
      </c>
      <c r="E272" t="s">
        <v>2272</v>
      </c>
    </row>
    <row r="273" spans="1:5">
      <c r="A273" s="11">
        <v>3600004</v>
      </c>
      <c r="B273" s="12">
        <v>3600093</v>
      </c>
      <c r="C273" s="11" t="s">
        <v>383</v>
      </c>
      <c r="D273" s="11" t="s">
        <v>102</v>
      </c>
      <c r="E273" t="s">
        <v>2272</v>
      </c>
    </row>
    <row r="274" spans="1:5">
      <c r="A274" s="11">
        <v>3600005</v>
      </c>
      <c r="B274" s="12">
        <v>3600094</v>
      </c>
      <c r="C274" s="11" t="s">
        <v>384</v>
      </c>
      <c r="D274" s="11" t="s">
        <v>102</v>
      </c>
      <c r="E274" t="s">
        <v>2272</v>
      </c>
    </row>
    <row r="275" spans="1:5">
      <c r="A275" s="11">
        <v>3600006</v>
      </c>
      <c r="B275" s="12">
        <v>3600095</v>
      </c>
      <c r="C275" s="11" t="s">
        <v>385</v>
      </c>
      <c r="D275" s="11" t="s">
        <v>102</v>
      </c>
      <c r="E275" t="s">
        <v>2272</v>
      </c>
    </row>
    <row r="276" spans="1:5">
      <c r="A276" s="11">
        <v>3600007</v>
      </c>
      <c r="B276" s="12">
        <v>3600096</v>
      </c>
      <c r="C276" s="11" t="s">
        <v>386</v>
      </c>
      <c r="D276" s="11" t="s">
        <v>102</v>
      </c>
      <c r="E276" t="s">
        <v>2272</v>
      </c>
    </row>
    <row r="277" spans="1:5">
      <c r="A277" s="11">
        <v>3600008</v>
      </c>
      <c r="B277" s="12">
        <v>3600097</v>
      </c>
      <c r="C277" s="11" t="s">
        <v>387</v>
      </c>
      <c r="D277" s="11" t="s">
        <v>102</v>
      </c>
      <c r="E277" t="s">
        <v>2272</v>
      </c>
    </row>
    <row r="278" spans="1:5">
      <c r="A278" s="11">
        <v>3600009</v>
      </c>
      <c r="B278" s="12">
        <v>3600098</v>
      </c>
      <c r="C278" s="11" t="s">
        <v>388</v>
      </c>
      <c r="D278" s="11" t="s">
        <v>102</v>
      </c>
      <c r="E278" t="s">
        <v>2272</v>
      </c>
    </row>
    <row r="279" spans="1:5">
      <c r="A279" s="11">
        <v>3600010</v>
      </c>
      <c r="B279" s="12">
        <v>3600099</v>
      </c>
      <c r="C279" s="11" t="s">
        <v>389</v>
      </c>
      <c r="D279" s="11" t="s">
        <v>102</v>
      </c>
      <c r="E279" t="s">
        <v>2272</v>
      </c>
    </row>
    <row r="280" spans="1:5">
      <c r="A280" s="11"/>
      <c r="B280" s="11">
        <v>3600011</v>
      </c>
      <c r="C280" s="11" t="s">
        <v>390</v>
      </c>
      <c r="D280" s="11" t="s">
        <v>102</v>
      </c>
      <c r="E280" t="s">
        <v>2272</v>
      </c>
    </row>
    <row r="281" spans="1:5">
      <c r="A281" s="11">
        <v>3600012</v>
      </c>
      <c r="B281" s="12">
        <v>3600101</v>
      </c>
      <c r="C281" s="11" t="s">
        <v>391</v>
      </c>
      <c r="D281" s="11" t="s">
        <v>102</v>
      </c>
      <c r="E281" t="s">
        <v>2272</v>
      </c>
    </row>
    <row r="282" spans="1:5">
      <c r="A282" s="11">
        <v>3600013</v>
      </c>
      <c r="B282" s="12">
        <v>3600102</v>
      </c>
      <c r="C282" s="11" t="s">
        <v>392</v>
      </c>
      <c r="D282" s="11" t="s">
        <v>102</v>
      </c>
      <c r="E282" t="s">
        <v>2272</v>
      </c>
    </row>
    <row r="283" spans="1:5">
      <c r="A283" s="11">
        <v>3600014</v>
      </c>
      <c r="B283" s="12">
        <v>3600103</v>
      </c>
      <c r="C283" s="11" t="s">
        <v>393</v>
      </c>
      <c r="D283" s="11" t="s">
        <v>102</v>
      </c>
      <c r="E283" t="s">
        <v>2272</v>
      </c>
    </row>
    <row r="284" spans="1:5">
      <c r="A284" s="11">
        <v>3600015</v>
      </c>
      <c r="B284" s="12">
        <v>3600104</v>
      </c>
      <c r="C284" s="11" t="s">
        <v>394</v>
      </c>
      <c r="D284" s="11" t="s">
        <v>102</v>
      </c>
      <c r="E284" t="s">
        <v>2272</v>
      </c>
    </row>
    <row r="285" spans="1:5">
      <c r="A285" s="11">
        <v>3600016</v>
      </c>
      <c r="B285" s="12">
        <v>3600105</v>
      </c>
      <c r="C285" s="11" t="s">
        <v>395</v>
      </c>
      <c r="D285" s="11" t="s">
        <v>102</v>
      </c>
      <c r="E285" t="s">
        <v>2272</v>
      </c>
    </row>
    <row r="286" spans="1:5">
      <c r="A286" s="11">
        <v>3600017</v>
      </c>
      <c r="B286" s="12">
        <v>3600106</v>
      </c>
      <c r="C286" s="11" t="s">
        <v>396</v>
      </c>
      <c r="D286" s="11" t="s">
        <v>102</v>
      </c>
      <c r="E286" t="s">
        <v>2272</v>
      </c>
    </row>
    <row r="287" spans="1:5">
      <c r="A287" s="11">
        <v>3600018</v>
      </c>
      <c r="B287" s="12">
        <v>3600107</v>
      </c>
      <c r="C287" s="11" t="s">
        <v>397</v>
      </c>
      <c r="D287" s="11" t="s">
        <v>102</v>
      </c>
      <c r="E287" t="s">
        <v>2272</v>
      </c>
    </row>
    <row r="288" spans="1:5">
      <c r="A288" s="11">
        <v>3600019</v>
      </c>
      <c r="B288" s="12">
        <v>3600108</v>
      </c>
      <c r="C288" s="11" t="s">
        <v>398</v>
      </c>
      <c r="D288" s="11" t="s">
        <v>102</v>
      </c>
      <c r="E288" t="s">
        <v>2272</v>
      </c>
    </row>
    <row r="289" spans="1:5">
      <c r="A289" s="11">
        <v>3600020</v>
      </c>
      <c r="B289" s="12">
        <v>3600109</v>
      </c>
      <c r="C289" s="11" t="s">
        <v>399</v>
      </c>
      <c r="D289" s="11" t="s">
        <v>102</v>
      </c>
      <c r="E289" t="s">
        <v>2272</v>
      </c>
    </row>
    <row r="290" spans="1:5">
      <c r="A290" s="11">
        <v>3600021</v>
      </c>
      <c r="B290" s="12">
        <v>3600110</v>
      </c>
      <c r="C290" s="11" t="s">
        <v>400</v>
      </c>
      <c r="D290" s="11" t="s">
        <v>102</v>
      </c>
      <c r="E290" t="s">
        <v>2272</v>
      </c>
    </row>
    <row r="291" spans="1:5">
      <c r="A291" s="11">
        <v>3600022</v>
      </c>
      <c r="B291" s="12">
        <v>3600111</v>
      </c>
      <c r="C291" s="11" t="s">
        <v>401</v>
      </c>
      <c r="D291" s="11" t="s">
        <v>102</v>
      </c>
      <c r="E291" t="s">
        <v>2272</v>
      </c>
    </row>
    <row r="292" spans="1:5">
      <c r="A292" s="11">
        <v>3600023</v>
      </c>
      <c r="B292" s="12">
        <v>3600112</v>
      </c>
      <c r="C292" s="11" t="s">
        <v>402</v>
      </c>
      <c r="D292" s="11" t="s">
        <v>102</v>
      </c>
      <c r="E292" t="s">
        <v>2272</v>
      </c>
    </row>
    <row r="293" spans="1:5">
      <c r="A293" s="11">
        <v>3600024</v>
      </c>
      <c r="B293" s="12">
        <v>3600113</v>
      </c>
      <c r="C293" s="11" t="s">
        <v>403</v>
      </c>
      <c r="D293" s="11" t="s">
        <v>102</v>
      </c>
      <c r="E293" t="s">
        <v>2272</v>
      </c>
    </row>
    <row r="294" spans="1:5">
      <c r="A294" s="11"/>
      <c r="B294" s="11">
        <v>3600025</v>
      </c>
      <c r="C294" s="11" t="s">
        <v>404</v>
      </c>
      <c r="D294" s="11" t="s">
        <v>102</v>
      </c>
      <c r="E294" t="s">
        <v>2272</v>
      </c>
    </row>
    <row r="295" spans="1:5">
      <c r="A295" s="11">
        <v>3600026</v>
      </c>
      <c r="B295" s="12">
        <v>3600114</v>
      </c>
      <c r="C295" s="11" t="s">
        <v>405</v>
      </c>
      <c r="D295" s="11" t="s">
        <v>102</v>
      </c>
      <c r="E295" t="s">
        <v>2272</v>
      </c>
    </row>
    <row r="296" spans="1:5">
      <c r="A296" s="11">
        <v>3600027</v>
      </c>
      <c r="B296" s="12">
        <v>3600115</v>
      </c>
      <c r="C296" s="11" t="s">
        <v>406</v>
      </c>
      <c r="D296" s="11" t="s">
        <v>102</v>
      </c>
      <c r="E296" t="s">
        <v>2272</v>
      </c>
    </row>
    <row r="297" spans="1:5">
      <c r="A297" s="11">
        <v>3600028</v>
      </c>
      <c r="B297" s="12">
        <v>3600116</v>
      </c>
      <c r="C297" s="11" t="s">
        <v>407</v>
      </c>
      <c r="D297" s="11" t="s">
        <v>102</v>
      </c>
      <c r="E297" t="s">
        <v>2272</v>
      </c>
    </row>
    <row r="298" spans="1:5">
      <c r="A298" s="11">
        <v>3600029</v>
      </c>
      <c r="B298" s="12">
        <v>3600117</v>
      </c>
      <c r="C298" s="11" t="s">
        <v>408</v>
      </c>
      <c r="D298" s="11" t="s">
        <v>102</v>
      </c>
      <c r="E298" t="s">
        <v>2272</v>
      </c>
    </row>
    <row r="299" spans="1:5">
      <c r="A299" s="11">
        <v>3600030</v>
      </c>
      <c r="B299" s="12">
        <v>3600118</v>
      </c>
      <c r="C299" s="11" t="s">
        <v>409</v>
      </c>
      <c r="D299" s="11" t="s">
        <v>102</v>
      </c>
      <c r="E299" t="s">
        <v>2272</v>
      </c>
    </row>
    <row r="300" spans="1:5">
      <c r="A300" s="11">
        <v>3600031</v>
      </c>
      <c r="B300" s="12">
        <v>3600119</v>
      </c>
      <c r="C300" s="11" t="s">
        <v>410</v>
      </c>
      <c r="D300" s="11" t="s">
        <v>102</v>
      </c>
      <c r="E300" t="s">
        <v>2272</v>
      </c>
    </row>
    <row r="301" spans="1:5">
      <c r="A301" s="11">
        <v>3600032</v>
      </c>
      <c r="B301" s="12">
        <v>3600120</v>
      </c>
      <c r="C301" s="11" t="s">
        <v>411</v>
      </c>
      <c r="D301" s="11" t="s">
        <v>102</v>
      </c>
      <c r="E301" t="s">
        <v>2272</v>
      </c>
    </row>
    <row r="302" spans="1:5">
      <c r="A302" s="11">
        <v>3600033</v>
      </c>
      <c r="B302" s="12">
        <v>3600121</v>
      </c>
      <c r="C302" s="11" t="s">
        <v>412</v>
      </c>
      <c r="D302" s="11" t="s">
        <v>102</v>
      </c>
      <c r="E302" t="s">
        <v>2272</v>
      </c>
    </row>
    <row r="303" spans="1:5">
      <c r="A303" s="11">
        <v>3600034</v>
      </c>
      <c r="B303" s="12">
        <v>3600122</v>
      </c>
      <c r="C303" s="11" t="s">
        <v>413</v>
      </c>
      <c r="D303" s="11" t="s">
        <v>102</v>
      </c>
      <c r="E303" t="s">
        <v>2272</v>
      </c>
    </row>
    <row r="304" spans="1:5">
      <c r="A304" s="11">
        <v>3600035</v>
      </c>
      <c r="B304" s="12">
        <v>3600123</v>
      </c>
      <c r="C304" s="11" t="s">
        <v>414</v>
      </c>
      <c r="D304" s="11" t="s">
        <v>102</v>
      </c>
      <c r="E304" t="s">
        <v>2272</v>
      </c>
    </row>
    <row r="305" spans="1:5">
      <c r="A305" s="11"/>
      <c r="B305" s="11">
        <v>3600036</v>
      </c>
      <c r="C305" s="11" t="s">
        <v>415</v>
      </c>
      <c r="D305" s="11" t="s">
        <v>102</v>
      </c>
      <c r="E305" t="s">
        <v>2272</v>
      </c>
    </row>
    <row r="306" spans="1:5">
      <c r="A306" s="11">
        <v>3600037</v>
      </c>
      <c r="B306" s="12">
        <v>3600124</v>
      </c>
      <c r="C306" s="11" t="s">
        <v>416</v>
      </c>
      <c r="D306" s="11" t="s">
        <v>102</v>
      </c>
      <c r="E306" t="s">
        <v>2272</v>
      </c>
    </row>
    <row r="307" spans="1:5">
      <c r="A307" s="11">
        <v>3600038</v>
      </c>
      <c r="B307" s="12">
        <v>3600125</v>
      </c>
      <c r="C307" s="11" t="s">
        <v>417</v>
      </c>
      <c r="D307" s="11" t="s">
        <v>102</v>
      </c>
      <c r="E307" t="s">
        <v>2272</v>
      </c>
    </row>
    <row r="308" spans="1:5">
      <c r="A308" s="11"/>
      <c r="B308" s="11">
        <v>3600039</v>
      </c>
      <c r="C308" s="11" t="s">
        <v>418</v>
      </c>
      <c r="D308" s="11" t="s">
        <v>102</v>
      </c>
      <c r="E308" t="s">
        <v>2272</v>
      </c>
    </row>
    <row r="309" spans="1:5">
      <c r="A309" s="11"/>
      <c r="B309" s="11">
        <v>3600040</v>
      </c>
      <c r="C309" s="11" t="s">
        <v>419</v>
      </c>
      <c r="D309" s="11" t="s">
        <v>102</v>
      </c>
      <c r="E309" t="s">
        <v>2272</v>
      </c>
    </row>
    <row r="310" spans="1:5">
      <c r="A310" s="11">
        <v>3600041</v>
      </c>
      <c r="B310" s="12">
        <v>3600126</v>
      </c>
      <c r="C310" s="11" t="s">
        <v>420</v>
      </c>
      <c r="D310" s="11" t="s">
        <v>102</v>
      </c>
      <c r="E310" t="s">
        <v>2272</v>
      </c>
    </row>
    <row r="311" spans="1:5">
      <c r="A311" s="11">
        <v>3600042</v>
      </c>
      <c r="B311" s="12">
        <v>3600127</v>
      </c>
      <c r="C311" s="11" t="s">
        <v>421</v>
      </c>
      <c r="D311" s="11" t="s">
        <v>102</v>
      </c>
      <c r="E311" t="s">
        <v>2272</v>
      </c>
    </row>
    <row r="312" spans="1:5">
      <c r="A312" s="11">
        <v>3600043</v>
      </c>
      <c r="B312" s="12">
        <v>3600128</v>
      </c>
      <c r="C312" s="11" t="s">
        <v>422</v>
      </c>
      <c r="D312" s="11" t="s">
        <v>102</v>
      </c>
      <c r="E312" t="s">
        <v>2272</v>
      </c>
    </row>
    <row r="313" spans="1:5">
      <c r="A313" s="11">
        <v>3600044</v>
      </c>
      <c r="B313" s="12">
        <v>3600129</v>
      </c>
      <c r="C313" s="11" t="s">
        <v>423</v>
      </c>
      <c r="D313" s="11" t="s">
        <v>102</v>
      </c>
      <c r="E313" t="s">
        <v>2272</v>
      </c>
    </row>
    <row r="314" spans="1:5">
      <c r="A314" s="11">
        <v>3600045</v>
      </c>
      <c r="B314" s="12">
        <v>3600130</v>
      </c>
      <c r="C314" s="11" t="s">
        <v>424</v>
      </c>
      <c r="D314" s="11" t="s">
        <v>102</v>
      </c>
      <c r="E314" t="s">
        <v>2272</v>
      </c>
    </row>
    <row r="315" spans="1:5">
      <c r="A315" s="11">
        <v>3600046</v>
      </c>
      <c r="B315" s="12">
        <v>3600131</v>
      </c>
      <c r="C315" s="11" t="s">
        <v>425</v>
      </c>
      <c r="D315" s="11" t="s">
        <v>102</v>
      </c>
      <c r="E315" t="s">
        <v>2272</v>
      </c>
    </row>
    <row r="316" spans="1:5">
      <c r="A316" s="11">
        <v>3600047</v>
      </c>
      <c r="B316" s="12">
        <v>3600132</v>
      </c>
      <c r="C316" s="11" t="s">
        <v>426</v>
      </c>
      <c r="D316" s="11" t="s">
        <v>102</v>
      </c>
      <c r="E316" t="s">
        <v>2272</v>
      </c>
    </row>
    <row r="317" spans="1:5">
      <c r="A317" s="11">
        <v>3600048</v>
      </c>
      <c r="B317" s="12">
        <v>3600133</v>
      </c>
      <c r="C317" s="11" t="s">
        <v>427</v>
      </c>
      <c r="D317" s="11" t="s">
        <v>195</v>
      </c>
      <c r="E317" t="s">
        <v>2272</v>
      </c>
    </row>
    <row r="318" spans="1:5">
      <c r="A318" s="11">
        <v>3600049</v>
      </c>
      <c r="B318" s="12">
        <v>3600134</v>
      </c>
      <c r="C318" s="11" t="s">
        <v>428</v>
      </c>
      <c r="D318" s="11" t="s">
        <v>102</v>
      </c>
      <c r="E318" t="s">
        <v>2272</v>
      </c>
    </row>
    <row r="319" spans="1:5">
      <c r="A319" s="11">
        <v>3600050</v>
      </c>
      <c r="B319" s="12">
        <v>3600135</v>
      </c>
      <c r="C319" s="11" t="s">
        <v>429</v>
      </c>
      <c r="D319" s="11" t="s">
        <v>102</v>
      </c>
      <c r="E319" t="s">
        <v>2272</v>
      </c>
    </row>
    <row r="320" spans="1:5">
      <c r="A320" s="11">
        <v>3600051</v>
      </c>
      <c r="B320" s="12">
        <v>3600136</v>
      </c>
      <c r="C320" s="11" t="s">
        <v>430</v>
      </c>
      <c r="D320" s="11" t="s">
        <v>102</v>
      </c>
      <c r="E320" t="s">
        <v>2272</v>
      </c>
    </row>
    <row r="321" spans="1:5">
      <c r="A321" s="11">
        <v>3600052</v>
      </c>
      <c r="B321" s="12">
        <v>3600137</v>
      </c>
      <c r="C321" s="11" t="s">
        <v>431</v>
      </c>
      <c r="D321" s="11" t="s">
        <v>102</v>
      </c>
      <c r="E321" t="s">
        <v>2272</v>
      </c>
    </row>
    <row r="322" spans="1:5">
      <c r="A322" s="11">
        <v>3600053</v>
      </c>
      <c r="B322" s="12">
        <v>3600138</v>
      </c>
      <c r="C322" s="11" t="s">
        <v>432</v>
      </c>
      <c r="D322" s="11" t="s">
        <v>102</v>
      </c>
      <c r="E322" t="s">
        <v>2272</v>
      </c>
    </row>
    <row r="323" spans="1:5">
      <c r="A323" s="11">
        <v>3600054</v>
      </c>
      <c r="B323" s="12">
        <v>3600139</v>
      </c>
      <c r="C323" s="11" t="s">
        <v>433</v>
      </c>
      <c r="D323" s="11" t="s">
        <v>102</v>
      </c>
      <c r="E323" t="s">
        <v>2272</v>
      </c>
    </row>
    <row r="324" spans="1:5">
      <c r="A324" s="11">
        <v>3600055</v>
      </c>
      <c r="B324" s="12">
        <v>3600140</v>
      </c>
      <c r="C324" s="11" t="s">
        <v>434</v>
      </c>
      <c r="D324" s="11" t="s">
        <v>102</v>
      </c>
      <c r="E324" t="s">
        <v>2272</v>
      </c>
    </row>
    <row r="325" spans="1:5">
      <c r="A325" s="11">
        <v>3600056</v>
      </c>
      <c r="B325" s="12">
        <v>3600141</v>
      </c>
      <c r="C325" s="11" t="s">
        <v>435</v>
      </c>
      <c r="D325" s="11" t="s">
        <v>102</v>
      </c>
      <c r="E325" t="s">
        <v>2272</v>
      </c>
    </row>
    <row r="326" spans="1:5">
      <c r="A326" s="11">
        <v>3600057</v>
      </c>
      <c r="B326" s="12">
        <v>3600142</v>
      </c>
      <c r="C326" s="11" t="s">
        <v>436</v>
      </c>
      <c r="D326" s="11" t="s">
        <v>102</v>
      </c>
      <c r="E326" t="s">
        <v>2272</v>
      </c>
    </row>
    <row r="327" spans="1:5">
      <c r="A327" s="11">
        <v>3600058</v>
      </c>
      <c r="B327" s="12">
        <v>3600143</v>
      </c>
      <c r="C327" s="11" t="s">
        <v>437</v>
      </c>
      <c r="D327" s="11" t="s">
        <v>102</v>
      </c>
      <c r="E327" t="s">
        <v>2272</v>
      </c>
    </row>
    <row r="328" spans="1:5">
      <c r="A328" s="11"/>
      <c r="B328" s="11">
        <v>3600059</v>
      </c>
      <c r="C328" s="11" t="s">
        <v>438</v>
      </c>
      <c r="D328" s="11" t="s">
        <v>102</v>
      </c>
      <c r="E328" t="s">
        <v>2272</v>
      </c>
    </row>
    <row r="329" spans="1:5">
      <c r="A329" s="11"/>
      <c r="B329" s="11">
        <v>3600060</v>
      </c>
      <c r="C329" s="11" t="s">
        <v>439</v>
      </c>
      <c r="D329" s="11" t="s">
        <v>102</v>
      </c>
      <c r="E329" t="s">
        <v>2272</v>
      </c>
    </row>
    <row r="330" spans="1:5">
      <c r="A330" s="11">
        <v>3600061</v>
      </c>
      <c r="B330" s="12">
        <v>3600144</v>
      </c>
      <c r="C330" s="11" t="s">
        <v>440</v>
      </c>
      <c r="D330" s="11" t="s">
        <v>102</v>
      </c>
      <c r="E330" t="s">
        <v>2272</v>
      </c>
    </row>
    <row r="331" spans="1:5">
      <c r="A331" s="11">
        <v>3600062</v>
      </c>
      <c r="B331" s="12">
        <v>3600145</v>
      </c>
      <c r="C331" s="11" t="s">
        <v>441</v>
      </c>
      <c r="D331" s="11" t="s">
        <v>102</v>
      </c>
      <c r="E331" t="s">
        <v>2272</v>
      </c>
    </row>
    <row r="332" spans="1:5">
      <c r="A332" s="11"/>
      <c r="B332" s="11">
        <v>3600063</v>
      </c>
      <c r="C332" s="11" t="s">
        <v>442</v>
      </c>
      <c r="D332" s="11" t="s">
        <v>102</v>
      </c>
      <c r="E332" t="s">
        <v>2272</v>
      </c>
    </row>
    <row r="333" spans="1:5">
      <c r="A333" s="11">
        <v>3600064</v>
      </c>
      <c r="B333" s="12">
        <v>3600146</v>
      </c>
      <c r="C333" s="11" t="s">
        <v>443</v>
      </c>
      <c r="D333" s="11" t="s">
        <v>102</v>
      </c>
      <c r="E333" t="s">
        <v>2272</v>
      </c>
    </row>
    <row r="334" spans="1:5">
      <c r="A334" s="11">
        <v>3600065</v>
      </c>
      <c r="B334" s="12">
        <v>3600147</v>
      </c>
      <c r="C334" s="11" t="s">
        <v>444</v>
      </c>
      <c r="D334" s="11" t="s">
        <v>102</v>
      </c>
      <c r="E334" t="s">
        <v>2272</v>
      </c>
    </row>
    <row r="335" spans="1:5">
      <c r="A335" s="11">
        <v>3600066</v>
      </c>
      <c r="B335" s="12">
        <v>3600148</v>
      </c>
      <c r="C335" s="11" t="s">
        <v>445</v>
      </c>
      <c r="D335" s="11" t="s">
        <v>102</v>
      </c>
      <c r="E335" t="s">
        <v>2272</v>
      </c>
    </row>
    <row r="336" spans="1:5">
      <c r="A336" s="11">
        <v>3600067</v>
      </c>
      <c r="B336" s="12">
        <v>3600149</v>
      </c>
      <c r="C336" s="11" t="s">
        <v>446</v>
      </c>
      <c r="D336" s="11" t="s">
        <v>102</v>
      </c>
      <c r="E336" t="s">
        <v>2272</v>
      </c>
    </row>
    <row r="337" spans="1:5">
      <c r="A337" s="11">
        <v>3600068</v>
      </c>
      <c r="B337" s="12">
        <v>3600150</v>
      </c>
      <c r="C337" s="11" t="s">
        <v>447</v>
      </c>
      <c r="D337" s="11" t="s">
        <v>102</v>
      </c>
      <c r="E337" t="s">
        <v>2272</v>
      </c>
    </row>
    <row r="338" spans="1:5">
      <c r="A338" s="11">
        <v>3600069</v>
      </c>
      <c r="B338" s="12">
        <v>3600151</v>
      </c>
      <c r="C338" s="11" t="s">
        <v>448</v>
      </c>
      <c r="D338" s="11" t="s">
        <v>102</v>
      </c>
      <c r="E338" t="s">
        <v>2272</v>
      </c>
    </row>
    <row r="339" spans="1:5">
      <c r="A339" s="11">
        <v>3600070</v>
      </c>
      <c r="B339" s="12">
        <v>3600152</v>
      </c>
      <c r="C339" s="11" t="s">
        <v>449</v>
      </c>
      <c r="D339" s="11" t="s">
        <v>102</v>
      </c>
      <c r="E339" t="s">
        <v>2272</v>
      </c>
    </row>
    <row r="340" spans="1:5">
      <c r="A340" s="11">
        <v>3700000</v>
      </c>
      <c r="B340" s="12">
        <v>3700020</v>
      </c>
      <c r="C340" s="11" t="s">
        <v>450</v>
      </c>
      <c r="D340" s="11" t="s">
        <v>102</v>
      </c>
      <c r="E340" t="s">
        <v>2272</v>
      </c>
    </row>
    <row r="341" spans="1:5">
      <c r="A341" s="11">
        <v>3700001</v>
      </c>
      <c r="B341" s="12">
        <v>3700021</v>
      </c>
      <c r="C341" s="11" t="s">
        <v>451</v>
      </c>
      <c r="D341" s="11" t="s">
        <v>102</v>
      </c>
      <c r="E341" t="s">
        <v>2272</v>
      </c>
    </row>
    <row r="342" spans="1:5">
      <c r="A342" s="11">
        <v>3700002</v>
      </c>
      <c r="B342" s="12">
        <v>3700022</v>
      </c>
      <c r="C342" s="11" t="s">
        <v>452</v>
      </c>
      <c r="D342" s="11" t="s">
        <v>102</v>
      </c>
      <c r="E342" t="s">
        <v>2272</v>
      </c>
    </row>
    <row r="343" spans="1:5">
      <c r="A343" s="11">
        <v>3700003</v>
      </c>
      <c r="B343" s="12">
        <v>3700023</v>
      </c>
      <c r="C343" s="11" t="s">
        <v>453</v>
      </c>
      <c r="D343" s="11" t="s">
        <v>102</v>
      </c>
      <c r="E343" t="s">
        <v>2272</v>
      </c>
    </row>
    <row r="344" spans="1:5">
      <c r="A344" s="11">
        <v>3700004</v>
      </c>
      <c r="B344" s="12">
        <v>3700024</v>
      </c>
      <c r="C344" s="11" t="s">
        <v>454</v>
      </c>
      <c r="D344" s="11" t="s">
        <v>102</v>
      </c>
      <c r="E344" t="s">
        <v>2272</v>
      </c>
    </row>
    <row r="345" spans="1:5">
      <c r="A345" s="11">
        <v>3701000</v>
      </c>
      <c r="B345" s="12">
        <v>3701040</v>
      </c>
      <c r="C345" s="11" t="s">
        <v>455</v>
      </c>
      <c r="D345" s="11" t="s">
        <v>102</v>
      </c>
      <c r="E345" t="s">
        <v>2272</v>
      </c>
    </row>
    <row r="346" spans="1:5">
      <c r="A346" s="11">
        <v>3701001</v>
      </c>
      <c r="B346" s="12">
        <v>3701041</v>
      </c>
      <c r="C346" s="11" t="s">
        <v>456</v>
      </c>
      <c r="D346" s="11" t="s">
        <v>102</v>
      </c>
      <c r="E346" t="s">
        <v>2272</v>
      </c>
    </row>
    <row r="347" spans="1:5">
      <c r="A347" s="11">
        <v>3701002</v>
      </c>
      <c r="B347" s="12">
        <v>3701042</v>
      </c>
      <c r="C347" s="11" t="s">
        <v>457</v>
      </c>
      <c r="D347" s="11" t="s">
        <v>102</v>
      </c>
      <c r="E347" t="s">
        <v>2272</v>
      </c>
    </row>
    <row r="348" spans="1:5">
      <c r="A348" s="11">
        <v>3701003</v>
      </c>
      <c r="B348" s="12">
        <v>3701043</v>
      </c>
      <c r="C348" s="11" t="s">
        <v>458</v>
      </c>
      <c r="D348" s="11" t="s">
        <v>102</v>
      </c>
      <c r="E348" t="s">
        <v>2272</v>
      </c>
    </row>
    <row r="349" spans="1:5">
      <c r="A349" s="11">
        <v>3701004</v>
      </c>
      <c r="B349" s="12">
        <v>3701044</v>
      </c>
      <c r="C349" s="11" t="s">
        <v>459</v>
      </c>
      <c r="D349" s="11" t="s">
        <v>102</v>
      </c>
      <c r="E349" t="s">
        <v>2272</v>
      </c>
    </row>
    <row r="350" spans="1:5">
      <c r="A350" s="11"/>
      <c r="B350" s="11">
        <v>3701005</v>
      </c>
      <c r="C350" s="11" t="s">
        <v>460</v>
      </c>
      <c r="D350" s="11" t="s">
        <v>102</v>
      </c>
      <c r="E350" t="s">
        <v>2272</v>
      </c>
    </row>
    <row r="351" spans="1:5">
      <c r="A351" s="11"/>
      <c r="B351" s="11">
        <v>3701006</v>
      </c>
      <c r="C351" s="11" t="s">
        <v>461</v>
      </c>
      <c r="D351" s="11" t="s">
        <v>102</v>
      </c>
      <c r="E351" t="s">
        <v>2272</v>
      </c>
    </row>
    <row r="352" spans="1:5">
      <c r="A352" s="11"/>
      <c r="B352" s="11">
        <v>3701007</v>
      </c>
      <c r="C352" s="11" t="s">
        <v>462</v>
      </c>
      <c r="D352" s="11" t="s">
        <v>102</v>
      </c>
      <c r="E352" t="s">
        <v>2272</v>
      </c>
    </row>
    <row r="353" spans="1:5">
      <c r="A353" s="11"/>
      <c r="B353" s="11">
        <v>3701008</v>
      </c>
      <c r="C353" s="11" t="s">
        <v>463</v>
      </c>
      <c r="D353" s="11" t="s">
        <v>102</v>
      </c>
      <c r="E353" t="s">
        <v>2272</v>
      </c>
    </row>
    <row r="354" spans="1:5">
      <c r="A354" s="11">
        <v>3701009</v>
      </c>
      <c r="B354" s="12">
        <v>3701045</v>
      </c>
      <c r="C354" s="11" t="s">
        <v>464</v>
      </c>
      <c r="D354" s="11" t="s">
        <v>102</v>
      </c>
      <c r="E354" t="s">
        <v>2272</v>
      </c>
    </row>
    <row r="355" spans="1:5">
      <c r="A355" s="11">
        <v>3701010</v>
      </c>
      <c r="B355" s="12">
        <v>3701046</v>
      </c>
      <c r="C355" s="11" t="s">
        <v>465</v>
      </c>
      <c r="D355" s="11" t="s">
        <v>102</v>
      </c>
      <c r="E355" t="s">
        <v>2272</v>
      </c>
    </row>
    <row r="356" spans="1:5">
      <c r="A356" s="11">
        <v>3701011</v>
      </c>
      <c r="B356" s="12">
        <v>3701047</v>
      </c>
      <c r="C356" s="11" t="s">
        <v>466</v>
      </c>
      <c r="D356" s="11" t="s">
        <v>102</v>
      </c>
      <c r="E356" t="s">
        <v>2272</v>
      </c>
    </row>
    <row r="357" spans="1:5">
      <c r="A357" s="11"/>
      <c r="B357" s="11">
        <v>3701012</v>
      </c>
      <c r="C357" s="11" t="s">
        <v>467</v>
      </c>
      <c r="D357" s="11" t="s">
        <v>102</v>
      </c>
      <c r="E357" t="s">
        <v>2272</v>
      </c>
    </row>
    <row r="358" spans="1:5">
      <c r="A358" s="11">
        <v>3701013</v>
      </c>
      <c r="B358" s="12">
        <v>3701048</v>
      </c>
      <c r="C358" s="11" t="s">
        <v>468</v>
      </c>
      <c r="D358" s="11" t="s">
        <v>102</v>
      </c>
      <c r="E358" t="s">
        <v>2272</v>
      </c>
    </row>
    <row r="359" spans="1:5">
      <c r="A359" s="11">
        <v>3701014</v>
      </c>
      <c r="B359" s="12">
        <v>3701049</v>
      </c>
      <c r="C359" s="11" t="s">
        <v>469</v>
      </c>
      <c r="D359" s="11" t="s">
        <v>102</v>
      </c>
      <c r="E359" t="s">
        <v>2272</v>
      </c>
    </row>
    <row r="360" spans="1:5">
      <c r="A360" s="11">
        <v>3701015</v>
      </c>
      <c r="B360" s="12">
        <v>3701050</v>
      </c>
      <c r="C360" s="11" t="s">
        <v>470</v>
      </c>
      <c r="D360" s="11" t="s">
        <v>102</v>
      </c>
      <c r="E360" t="s">
        <v>2272</v>
      </c>
    </row>
    <row r="361" spans="1:5">
      <c r="A361" s="11">
        <v>3701016</v>
      </c>
      <c r="B361" s="12">
        <v>3701051</v>
      </c>
      <c r="C361" s="11" t="s">
        <v>471</v>
      </c>
      <c r="D361" s="11" t="s">
        <v>102</v>
      </c>
      <c r="E361" t="s">
        <v>2272</v>
      </c>
    </row>
    <row r="362" spans="1:5">
      <c r="A362" s="11">
        <v>3701017</v>
      </c>
      <c r="B362" s="12">
        <v>3701052</v>
      </c>
      <c r="C362" s="11" t="s">
        <v>472</v>
      </c>
      <c r="D362" s="11" t="s">
        <v>102</v>
      </c>
      <c r="E362" t="s">
        <v>2272</v>
      </c>
    </row>
    <row r="363" spans="1:5">
      <c r="A363" s="11">
        <v>3701018</v>
      </c>
      <c r="B363" s="12">
        <v>3701053</v>
      </c>
      <c r="C363" s="11" t="s">
        <v>473</v>
      </c>
      <c r="D363" s="11" t="s">
        <v>102</v>
      </c>
      <c r="E363" t="s">
        <v>2272</v>
      </c>
    </row>
    <row r="364" spans="1:5">
      <c r="A364" s="11"/>
      <c r="B364" s="11">
        <v>3701019</v>
      </c>
      <c r="C364" s="11" t="s">
        <v>474</v>
      </c>
      <c r="D364" s="11" t="s">
        <v>102</v>
      </c>
      <c r="E364" t="s">
        <v>2272</v>
      </c>
    </row>
    <row r="365" spans="1:5">
      <c r="A365" s="11">
        <v>3701020</v>
      </c>
      <c r="B365" s="12">
        <v>3701054</v>
      </c>
      <c r="C365" s="11" t="s">
        <v>475</v>
      </c>
      <c r="D365" s="11" t="s">
        <v>102</v>
      </c>
      <c r="E365" t="s">
        <v>2272</v>
      </c>
    </row>
    <row r="366" spans="1:5">
      <c r="A366" s="11"/>
      <c r="B366" s="11">
        <v>3701021</v>
      </c>
      <c r="C366" s="11" t="s">
        <v>476</v>
      </c>
      <c r="D366" s="11" t="s">
        <v>102</v>
      </c>
      <c r="E366" t="s">
        <v>2272</v>
      </c>
    </row>
    <row r="367" spans="1:5">
      <c r="A367" s="11"/>
      <c r="B367" s="11">
        <v>3701022</v>
      </c>
      <c r="C367" s="11" t="s">
        <v>477</v>
      </c>
      <c r="D367" s="11" t="s">
        <v>102</v>
      </c>
      <c r="E367" t="s">
        <v>2272</v>
      </c>
    </row>
    <row r="368" spans="1:5">
      <c r="A368" s="11"/>
      <c r="B368" s="11">
        <v>3701023</v>
      </c>
      <c r="C368" s="11" t="s">
        <v>478</v>
      </c>
      <c r="D368" s="11" t="s">
        <v>102</v>
      </c>
      <c r="E368" t="s">
        <v>2272</v>
      </c>
    </row>
    <row r="369" spans="1:5">
      <c r="A369" s="11"/>
      <c r="B369" s="11">
        <v>3701024</v>
      </c>
      <c r="C369" s="11" t="s">
        <v>479</v>
      </c>
      <c r="D369" s="11" t="s">
        <v>102</v>
      </c>
      <c r="E369" t="s">
        <v>2272</v>
      </c>
    </row>
    <row r="370" spans="1:5">
      <c r="A370" s="11"/>
      <c r="B370" s="11">
        <v>3701025</v>
      </c>
      <c r="C370" s="11" t="s">
        <v>480</v>
      </c>
      <c r="D370" s="11" t="s">
        <v>102</v>
      </c>
      <c r="E370" t="s">
        <v>2272</v>
      </c>
    </row>
    <row r="371" spans="1:5">
      <c r="A371" s="11">
        <v>3701026</v>
      </c>
      <c r="B371" s="12">
        <v>3701055</v>
      </c>
      <c r="C371" s="11" t="s">
        <v>481</v>
      </c>
      <c r="D371" s="11" t="s">
        <v>102</v>
      </c>
      <c r="E371" t="s">
        <v>2272</v>
      </c>
    </row>
    <row r="372" spans="1:5">
      <c r="A372" s="11"/>
      <c r="B372" s="11">
        <v>3701027</v>
      </c>
      <c r="C372" s="11" t="s">
        <v>482</v>
      </c>
      <c r="D372" s="11" t="s">
        <v>102</v>
      </c>
      <c r="E372" t="s">
        <v>2272</v>
      </c>
    </row>
    <row r="373" spans="1:5">
      <c r="A373" s="11">
        <v>3701028</v>
      </c>
      <c r="B373" s="12">
        <v>3701056</v>
      </c>
      <c r="C373" s="11" t="s">
        <v>483</v>
      </c>
      <c r="D373" s="11" t="s">
        <v>102</v>
      </c>
      <c r="E373" t="s">
        <v>2272</v>
      </c>
    </row>
    <row r="374" spans="1:5">
      <c r="A374" s="11">
        <v>3701029</v>
      </c>
      <c r="B374" s="12">
        <v>3701057</v>
      </c>
      <c r="C374" s="11" t="s">
        <v>484</v>
      </c>
      <c r="D374" s="11" t="s">
        <v>102</v>
      </c>
      <c r="E374" t="s">
        <v>2272</v>
      </c>
    </row>
    <row r="375" spans="1:5">
      <c r="A375" s="11">
        <v>3701030</v>
      </c>
      <c r="B375" s="12">
        <v>3701058</v>
      </c>
      <c r="C375" s="11" t="s">
        <v>485</v>
      </c>
      <c r="D375" s="11" t="s">
        <v>102</v>
      </c>
      <c r="E375" t="s">
        <v>2272</v>
      </c>
    </row>
    <row r="376" spans="1:5">
      <c r="A376" s="11">
        <v>3701031</v>
      </c>
      <c r="B376" s="12">
        <v>3701059</v>
      </c>
      <c r="C376" s="11" t="s">
        <v>486</v>
      </c>
      <c r="D376" s="11" t="s">
        <v>102</v>
      </c>
      <c r="E376" t="s">
        <v>2272</v>
      </c>
    </row>
    <row r="377" spans="1:5">
      <c r="A377" s="11">
        <v>3800000</v>
      </c>
      <c r="B377" s="12">
        <v>3800020</v>
      </c>
      <c r="C377" s="11" t="s">
        <v>487</v>
      </c>
      <c r="D377" s="11" t="s">
        <v>488</v>
      </c>
      <c r="E377" t="s">
        <v>2272</v>
      </c>
    </row>
    <row r="378" spans="1:5">
      <c r="A378" s="11">
        <v>3800001</v>
      </c>
      <c r="B378" s="12">
        <v>3800021</v>
      </c>
      <c r="C378" s="11" t="s">
        <v>489</v>
      </c>
      <c r="D378" s="11" t="s">
        <v>102</v>
      </c>
      <c r="E378" t="s">
        <v>2272</v>
      </c>
    </row>
    <row r="379" spans="1:5">
      <c r="A379" s="11"/>
      <c r="B379" s="11">
        <v>3800002</v>
      </c>
      <c r="C379" s="11" t="s">
        <v>490</v>
      </c>
      <c r="D379" s="11" t="s">
        <v>102</v>
      </c>
      <c r="E379" t="s">
        <v>2272</v>
      </c>
    </row>
    <row r="380" spans="1:5">
      <c r="A380" s="11">
        <v>3800003</v>
      </c>
      <c r="B380" s="12">
        <v>3800022</v>
      </c>
      <c r="C380" s="11" t="s">
        <v>491</v>
      </c>
      <c r="D380" s="11" t="s">
        <v>201</v>
      </c>
      <c r="E380" t="s">
        <v>2272</v>
      </c>
    </row>
    <row r="381" spans="1:5">
      <c r="A381" s="11">
        <v>3800004</v>
      </c>
      <c r="B381" s="12">
        <v>3800023</v>
      </c>
      <c r="C381" s="11" t="s">
        <v>492</v>
      </c>
      <c r="D381" s="11" t="s">
        <v>493</v>
      </c>
      <c r="E381" t="s">
        <v>2272</v>
      </c>
    </row>
    <row r="382" spans="1:5">
      <c r="A382" s="11">
        <v>3800005</v>
      </c>
      <c r="B382" s="12">
        <v>3800024</v>
      </c>
      <c r="C382" s="11" t="s">
        <v>494</v>
      </c>
      <c r="D382" s="11" t="s">
        <v>201</v>
      </c>
      <c r="E382" t="s">
        <v>2272</v>
      </c>
    </row>
    <row r="383" spans="1:5">
      <c r="A383" s="11"/>
      <c r="B383" s="11">
        <v>3800006</v>
      </c>
      <c r="C383" s="11" t="s">
        <v>495</v>
      </c>
      <c r="D383" s="11" t="s">
        <v>102</v>
      </c>
      <c r="E383" t="s">
        <v>2272</v>
      </c>
    </row>
    <row r="384" spans="1:5">
      <c r="A384" s="11"/>
      <c r="B384" s="11">
        <v>3800007</v>
      </c>
      <c r="C384" s="11" t="s">
        <v>496</v>
      </c>
      <c r="D384" s="11" t="s">
        <v>102</v>
      </c>
      <c r="E384" t="s">
        <v>2272</v>
      </c>
    </row>
    <row r="385" spans="1:5">
      <c r="A385" s="11"/>
      <c r="B385" s="11">
        <v>3800008</v>
      </c>
      <c r="C385" s="11" t="s">
        <v>497</v>
      </c>
      <c r="D385" s="11" t="s">
        <v>102</v>
      </c>
      <c r="E385" t="s">
        <v>2272</v>
      </c>
    </row>
    <row r="386" spans="1:5">
      <c r="A386" s="11">
        <v>3800009</v>
      </c>
      <c r="B386" s="12">
        <v>3800025</v>
      </c>
      <c r="C386" s="11" t="s">
        <v>498</v>
      </c>
      <c r="D386" s="11" t="s">
        <v>102</v>
      </c>
      <c r="E386" t="s">
        <v>2272</v>
      </c>
    </row>
    <row r="387" spans="1:5">
      <c r="A387" s="11">
        <v>3800010</v>
      </c>
      <c r="B387" s="12">
        <v>3800026</v>
      </c>
      <c r="C387" s="11" t="s">
        <v>499</v>
      </c>
      <c r="D387" s="11" t="s">
        <v>102</v>
      </c>
      <c r="E387" t="s">
        <v>2272</v>
      </c>
    </row>
    <row r="388" spans="1:5">
      <c r="A388" s="11"/>
      <c r="B388" s="11">
        <v>3800011</v>
      </c>
      <c r="C388" s="11" t="s">
        <v>500</v>
      </c>
      <c r="D388" s="11" t="s">
        <v>102</v>
      </c>
      <c r="E388" t="s">
        <v>2272</v>
      </c>
    </row>
    <row r="389" spans="1:5">
      <c r="A389" s="11"/>
      <c r="B389" s="11">
        <v>3800012</v>
      </c>
      <c r="C389" s="11" t="s">
        <v>501</v>
      </c>
      <c r="D389" s="11" t="s">
        <v>102</v>
      </c>
      <c r="E389" t="s">
        <v>2272</v>
      </c>
    </row>
    <row r="390" spans="1:5">
      <c r="A390" s="11">
        <v>3800013</v>
      </c>
      <c r="B390" s="12">
        <v>3800027</v>
      </c>
      <c r="C390" s="11" t="s">
        <v>502</v>
      </c>
      <c r="D390" s="11" t="s">
        <v>102</v>
      </c>
      <c r="E390" t="s">
        <v>2272</v>
      </c>
    </row>
    <row r="391" spans="1:5">
      <c r="A391" s="11">
        <v>3800014</v>
      </c>
      <c r="B391" s="12">
        <v>3800028</v>
      </c>
      <c r="C391" s="11" t="s">
        <v>503</v>
      </c>
      <c r="D391" s="11" t="s">
        <v>102</v>
      </c>
      <c r="E391" t="s">
        <v>2272</v>
      </c>
    </row>
    <row r="392" spans="1:5">
      <c r="A392" s="11">
        <v>3800015</v>
      </c>
      <c r="B392" s="12">
        <v>3800029</v>
      </c>
      <c r="C392" s="11" t="s">
        <v>504</v>
      </c>
      <c r="D392" s="11" t="s">
        <v>102</v>
      </c>
      <c r="E392" t="s">
        <v>2272</v>
      </c>
    </row>
    <row r="393" spans="1:5">
      <c r="A393" s="11"/>
      <c r="B393" s="11">
        <v>3990124</v>
      </c>
      <c r="C393" s="11" t="s">
        <v>505</v>
      </c>
      <c r="D393" s="11" t="s">
        <v>506</v>
      </c>
      <c r="E393" t="s">
        <v>2272</v>
      </c>
    </row>
    <row r="394" spans="1:5">
      <c r="A394" s="11">
        <v>4000000</v>
      </c>
      <c r="B394" s="11">
        <v>4005061</v>
      </c>
      <c r="C394" s="11" t="s">
        <v>507</v>
      </c>
      <c r="D394" s="11" t="s">
        <v>102</v>
      </c>
      <c r="E394" t="s">
        <v>2273</v>
      </c>
    </row>
    <row r="395" spans="1:5">
      <c r="A395" s="11"/>
      <c r="B395" s="11">
        <v>4000001</v>
      </c>
      <c r="C395" s="11" t="s">
        <v>508</v>
      </c>
      <c r="D395" s="11" t="s">
        <v>102</v>
      </c>
      <c r="E395" t="s">
        <v>2273</v>
      </c>
    </row>
    <row r="396" spans="1:5">
      <c r="A396" s="11"/>
      <c r="B396" s="11">
        <v>4001000</v>
      </c>
      <c r="C396" s="11" t="s">
        <v>509</v>
      </c>
      <c r="D396" s="11" t="s">
        <v>510</v>
      </c>
      <c r="E396" t="s">
        <v>2273</v>
      </c>
    </row>
    <row r="397" spans="1:5">
      <c r="A397" s="11"/>
      <c r="B397" s="11">
        <v>4001001</v>
      </c>
      <c r="C397" s="11" t="s">
        <v>511</v>
      </c>
      <c r="D397" s="11" t="s">
        <v>512</v>
      </c>
      <c r="E397" t="s">
        <v>2273</v>
      </c>
    </row>
    <row r="398" spans="1:5">
      <c r="A398" s="11">
        <v>4001002</v>
      </c>
      <c r="B398" s="12">
        <v>4001021</v>
      </c>
      <c r="C398" s="11" t="s">
        <v>513</v>
      </c>
      <c r="D398" s="11" t="s">
        <v>102</v>
      </c>
      <c r="E398" t="s">
        <v>2273</v>
      </c>
    </row>
    <row r="399" spans="1:5">
      <c r="A399" s="11">
        <v>4002000</v>
      </c>
      <c r="B399" s="12">
        <v>4002060</v>
      </c>
      <c r="C399" s="11" t="s">
        <v>514</v>
      </c>
      <c r="D399" s="11" t="s">
        <v>102</v>
      </c>
      <c r="E399" t="s">
        <v>2273</v>
      </c>
    </row>
    <row r="400" spans="1:5">
      <c r="A400" s="11">
        <v>4002001</v>
      </c>
      <c r="B400" s="12">
        <v>4002061</v>
      </c>
      <c r="C400" s="11" t="s">
        <v>515</v>
      </c>
      <c r="D400" s="11" t="s">
        <v>516</v>
      </c>
      <c r="E400" t="s">
        <v>2273</v>
      </c>
    </row>
    <row r="401" spans="1:5">
      <c r="A401" s="11">
        <v>4002002</v>
      </c>
      <c r="B401" s="12">
        <v>4002062</v>
      </c>
      <c r="C401" s="11" t="s">
        <v>517</v>
      </c>
      <c r="D401" s="11" t="s">
        <v>516</v>
      </c>
      <c r="E401" t="s">
        <v>2273</v>
      </c>
    </row>
    <row r="402" spans="1:5">
      <c r="A402" s="11">
        <v>4002003</v>
      </c>
      <c r="B402" s="12">
        <v>4002063</v>
      </c>
      <c r="C402" s="11" t="s">
        <v>518</v>
      </c>
      <c r="D402" s="11" t="s">
        <v>519</v>
      </c>
      <c r="E402" t="s">
        <v>2273</v>
      </c>
    </row>
    <row r="403" spans="1:5">
      <c r="A403" s="11">
        <v>4002004</v>
      </c>
      <c r="B403" s="12">
        <v>4002064</v>
      </c>
      <c r="C403" s="11" t="s">
        <v>520</v>
      </c>
      <c r="D403" s="11" t="s">
        <v>488</v>
      </c>
      <c r="E403" t="s">
        <v>2273</v>
      </c>
    </row>
    <row r="404" spans="1:5">
      <c r="A404" s="11">
        <v>4002005</v>
      </c>
      <c r="B404" s="12">
        <v>4002065</v>
      </c>
      <c r="C404" s="11" t="s">
        <v>521</v>
      </c>
      <c r="D404" s="11" t="s">
        <v>102</v>
      </c>
      <c r="E404" t="s">
        <v>2273</v>
      </c>
    </row>
    <row r="405" spans="1:5">
      <c r="A405" s="11">
        <v>4002006</v>
      </c>
      <c r="B405" s="12">
        <v>4002066</v>
      </c>
      <c r="C405" s="11" t="s">
        <v>522</v>
      </c>
      <c r="D405" s="11" t="s">
        <v>523</v>
      </c>
      <c r="E405" t="s">
        <v>2273</v>
      </c>
    </row>
    <row r="406" spans="1:5">
      <c r="A406" s="11">
        <v>4002007</v>
      </c>
      <c r="B406" s="12">
        <v>4002007</v>
      </c>
      <c r="C406" s="11" t="s">
        <v>524</v>
      </c>
      <c r="D406" s="11" t="s">
        <v>102</v>
      </c>
      <c r="E406" t="s">
        <v>2273</v>
      </c>
    </row>
    <row r="407" spans="1:5">
      <c r="A407" s="11">
        <v>4002008</v>
      </c>
      <c r="B407" s="12">
        <v>4002067</v>
      </c>
      <c r="C407" s="11" t="s">
        <v>525</v>
      </c>
      <c r="D407" s="11" t="s">
        <v>102</v>
      </c>
      <c r="E407" t="s">
        <v>2273</v>
      </c>
    </row>
    <row r="408" spans="1:5">
      <c r="A408" s="11">
        <v>4002009</v>
      </c>
      <c r="B408" s="12">
        <v>4002009</v>
      </c>
      <c r="C408" s="11" t="s">
        <v>526</v>
      </c>
      <c r="D408" s="11" t="s">
        <v>102</v>
      </c>
      <c r="E408" t="s">
        <v>2273</v>
      </c>
    </row>
    <row r="409" spans="1:5">
      <c r="A409" s="11">
        <v>4002010</v>
      </c>
      <c r="B409" s="12">
        <v>4002010</v>
      </c>
      <c r="C409" s="11" t="s">
        <v>527</v>
      </c>
      <c r="D409" s="11" t="s">
        <v>102</v>
      </c>
      <c r="E409" t="s">
        <v>2273</v>
      </c>
    </row>
    <row r="410" spans="1:5">
      <c r="A410" s="11">
        <v>4002011</v>
      </c>
      <c r="B410" s="12">
        <v>4002011</v>
      </c>
      <c r="C410" s="11" t="s">
        <v>528</v>
      </c>
      <c r="D410" s="11" t="s">
        <v>102</v>
      </c>
      <c r="E410" t="s">
        <v>2273</v>
      </c>
    </row>
    <row r="411" spans="1:5">
      <c r="A411" s="11">
        <v>4002012</v>
      </c>
      <c r="B411" s="12">
        <v>4002068</v>
      </c>
      <c r="C411" s="11" t="s">
        <v>529</v>
      </c>
      <c r="D411" s="11" t="s">
        <v>102</v>
      </c>
      <c r="E411" t="s">
        <v>2273</v>
      </c>
    </row>
    <row r="412" spans="1:5">
      <c r="A412" s="11">
        <v>4002013</v>
      </c>
      <c r="B412" s="12">
        <v>4002069</v>
      </c>
      <c r="C412" s="11" t="s">
        <v>530</v>
      </c>
      <c r="D412" s="11" t="s">
        <v>102</v>
      </c>
      <c r="E412" t="s">
        <v>2273</v>
      </c>
    </row>
    <row r="413" spans="1:5">
      <c r="A413" s="11"/>
      <c r="B413" s="11">
        <v>4002014</v>
      </c>
      <c r="C413" s="11" t="s">
        <v>531</v>
      </c>
      <c r="D413" s="11" t="s">
        <v>102</v>
      </c>
      <c r="E413" t="s">
        <v>2273</v>
      </c>
    </row>
    <row r="414" spans="1:5">
      <c r="A414" s="11"/>
      <c r="B414" s="11">
        <v>4002015</v>
      </c>
      <c r="C414" s="11" t="s">
        <v>532</v>
      </c>
      <c r="D414" s="11" t="s">
        <v>102</v>
      </c>
      <c r="E414" t="s">
        <v>2273</v>
      </c>
    </row>
    <row r="415" spans="1:5">
      <c r="A415" s="11">
        <v>4002016</v>
      </c>
      <c r="B415" s="12">
        <v>4002070</v>
      </c>
      <c r="C415" s="11" t="s">
        <v>533</v>
      </c>
      <c r="D415" s="11" t="s">
        <v>516</v>
      </c>
      <c r="E415" t="s">
        <v>2273</v>
      </c>
    </row>
    <row r="416" spans="1:5">
      <c r="A416" s="11">
        <v>4002017</v>
      </c>
      <c r="B416" s="12">
        <v>4002071</v>
      </c>
      <c r="C416" s="11" t="s">
        <v>534</v>
      </c>
      <c r="D416" s="11" t="s">
        <v>523</v>
      </c>
      <c r="E416" t="s">
        <v>2273</v>
      </c>
    </row>
    <row r="417" spans="1:5">
      <c r="A417" s="11">
        <v>4002018</v>
      </c>
      <c r="B417" s="12">
        <v>4002072</v>
      </c>
      <c r="C417" s="11" t="s">
        <v>535</v>
      </c>
      <c r="D417" s="11" t="s">
        <v>516</v>
      </c>
      <c r="E417" t="s">
        <v>2273</v>
      </c>
    </row>
    <row r="418" spans="1:5">
      <c r="A418" s="11">
        <v>4002019</v>
      </c>
      <c r="B418" s="12">
        <v>4002073</v>
      </c>
      <c r="C418" s="11" t="s">
        <v>536</v>
      </c>
      <c r="D418" s="11" t="s">
        <v>516</v>
      </c>
      <c r="E418" t="s">
        <v>2273</v>
      </c>
    </row>
    <row r="419" spans="1:5">
      <c r="A419" s="11">
        <v>4002020</v>
      </c>
      <c r="B419" s="12">
        <v>4002074</v>
      </c>
      <c r="C419" s="11" t="s">
        <v>537</v>
      </c>
      <c r="D419" s="11" t="s">
        <v>523</v>
      </c>
      <c r="E419" t="s">
        <v>2273</v>
      </c>
    </row>
    <row r="420" spans="1:5">
      <c r="A420" s="11">
        <v>4002021</v>
      </c>
      <c r="B420" s="12">
        <v>4002075</v>
      </c>
      <c r="C420" s="11" t="s">
        <v>538</v>
      </c>
      <c r="D420" s="11" t="s">
        <v>523</v>
      </c>
      <c r="E420" t="s">
        <v>2273</v>
      </c>
    </row>
    <row r="421" spans="1:5">
      <c r="A421" s="11">
        <v>4002022</v>
      </c>
      <c r="B421" s="12">
        <v>4002076</v>
      </c>
      <c r="C421" s="11" t="s">
        <v>539</v>
      </c>
      <c r="D421" s="11" t="s">
        <v>523</v>
      </c>
      <c r="E421" t="s">
        <v>2273</v>
      </c>
    </row>
    <row r="422" spans="1:5">
      <c r="A422" s="11">
        <v>4002023</v>
      </c>
      <c r="B422" s="12">
        <v>4002077</v>
      </c>
      <c r="C422" s="11" t="s">
        <v>540</v>
      </c>
      <c r="D422" s="11" t="s">
        <v>523</v>
      </c>
      <c r="E422" t="s">
        <v>2273</v>
      </c>
    </row>
    <row r="423" spans="1:5">
      <c r="A423" s="11">
        <v>4002024</v>
      </c>
      <c r="B423" s="12">
        <v>4002078</v>
      </c>
      <c r="C423" s="11" t="s">
        <v>541</v>
      </c>
      <c r="D423" s="11" t="s">
        <v>516</v>
      </c>
      <c r="E423" t="s">
        <v>2273</v>
      </c>
    </row>
    <row r="424" spans="1:5">
      <c r="A424" s="11">
        <v>4002025</v>
      </c>
      <c r="B424" s="12">
        <v>4002079</v>
      </c>
      <c r="C424" s="11" t="s">
        <v>542</v>
      </c>
      <c r="D424" s="11" t="s">
        <v>543</v>
      </c>
      <c r="E424" t="s">
        <v>2273</v>
      </c>
    </row>
    <row r="425" spans="1:5">
      <c r="A425" s="11">
        <v>4002026</v>
      </c>
      <c r="B425" s="12">
        <v>4002080</v>
      </c>
      <c r="C425" s="11" t="s">
        <v>544</v>
      </c>
      <c r="D425" s="11" t="s">
        <v>543</v>
      </c>
      <c r="E425" t="s">
        <v>2273</v>
      </c>
    </row>
    <row r="426" spans="1:5">
      <c r="A426" s="11">
        <v>4002027</v>
      </c>
      <c r="B426" s="12">
        <v>4002081</v>
      </c>
      <c r="C426" s="11" t="s">
        <v>545</v>
      </c>
      <c r="D426" s="11" t="s">
        <v>543</v>
      </c>
      <c r="E426" t="s">
        <v>2273</v>
      </c>
    </row>
    <row r="427" spans="1:5">
      <c r="A427" s="11">
        <v>4002028</v>
      </c>
      <c r="B427" s="12">
        <v>4002082</v>
      </c>
      <c r="C427" s="11" t="s">
        <v>546</v>
      </c>
      <c r="D427" s="11" t="s">
        <v>547</v>
      </c>
      <c r="E427" t="s">
        <v>2273</v>
      </c>
    </row>
    <row r="428" spans="1:5">
      <c r="A428" s="11">
        <v>4002029</v>
      </c>
      <c r="B428" s="12">
        <v>4002083</v>
      </c>
      <c r="C428" s="11" t="s">
        <v>548</v>
      </c>
      <c r="D428" s="11" t="s">
        <v>102</v>
      </c>
      <c r="E428" t="s">
        <v>2273</v>
      </c>
    </row>
    <row r="429" spans="1:5">
      <c r="A429" s="11">
        <v>4002030</v>
      </c>
      <c r="B429" s="12">
        <v>4002084</v>
      </c>
      <c r="C429" s="11" t="s">
        <v>549</v>
      </c>
      <c r="D429" s="11" t="s">
        <v>543</v>
      </c>
      <c r="E429" t="s">
        <v>2273</v>
      </c>
    </row>
    <row r="430" spans="1:5">
      <c r="A430" s="11">
        <v>4002031</v>
      </c>
      <c r="B430" s="12">
        <v>4002085</v>
      </c>
      <c r="C430" s="11" t="s">
        <v>550</v>
      </c>
      <c r="D430" s="11" t="s">
        <v>543</v>
      </c>
      <c r="E430" t="s">
        <v>2273</v>
      </c>
    </row>
    <row r="431" spans="1:5">
      <c r="A431" s="11">
        <v>4002032</v>
      </c>
      <c r="B431" s="12">
        <v>4002086</v>
      </c>
      <c r="C431" s="11" t="s">
        <v>551</v>
      </c>
      <c r="D431" s="11" t="s">
        <v>543</v>
      </c>
      <c r="E431" t="s">
        <v>2273</v>
      </c>
    </row>
    <row r="432" spans="1:5">
      <c r="A432" s="11">
        <v>4002033</v>
      </c>
      <c r="B432" s="12">
        <v>4002087</v>
      </c>
      <c r="C432" s="11" t="s">
        <v>552</v>
      </c>
      <c r="D432" s="11" t="s">
        <v>512</v>
      </c>
      <c r="E432" t="s">
        <v>2273</v>
      </c>
    </row>
    <row r="433" spans="1:5">
      <c r="A433" s="11">
        <v>4002034</v>
      </c>
      <c r="B433" s="12">
        <v>4002088</v>
      </c>
      <c r="C433" s="11" t="s">
        <v>553</v>
      </c>
      <c r="D433" s="11" t="s">
        <v>523</v>
      </c>
      <c r="E433" t="s">
        <v>2273</v>
      </c>
    </row>
    <row r="434" spans="1:5">
      <c r="A434" s="11">
        <v>4002035</v>
      </c>
      <c r="B434" s="12">
        <v>4002089</v>
      </c>
      <c r="C434" s="11" t="s">
        <v>554</v>
      </c>
      <c r="D434" s="11" t="s">
        <v>523</v>
      </c>
      <c r="E434" t="s">
        <v>2273</v>
      </c>
    </row>
    <row r="435" spans="1:5">
      <c r="A435" s="11">
        <v>4002036</v>
      </c>
      <c r="B435" s="12">
        <v>4002090</v>
      </c>
      <c r="C435" s="11" t="s">
        <v>555</v>
      </c>
      <c r="D435" s="11" t="s">
        <v>543</v>
      </c>
      <c r="E435" t="s">
        <v>2273</v>
      </c>
    </row>
    <row r="436" spans="1:5">
      <c r="A436" s="11">
        <v>4002037</v>
      </c>
      <c r="B436" s="12">
        <v>4002091</v>
      </c>
      <c r="C436" s="11" t="s">
        <v>556</v>
      </c>
      <c r="D436" s="11" t="s">
        <v>543</v>
      </c>
      <c r="E436" t="s">
        <v>2273</v>
      </c>
    </row>
    <row r="437" spans="1:5">
      <c r="A437" s="11">
        <v>4003000</v>
      </c>
      <c r="B437" s="12">
        <v>4003040</v>
      </c>
      <c r="C437" s="11" t="s">
        <v>557</v>
      </c>
      <c r="D437" s="11" t="s">
        <v>516</v>
      </c>
      <c r="E437" t="s">
        <v>2273</v>
      </c>
    </row>
    <row r="438" spans="1:5">
      <c r="A438" s="11">
        <v>4003001</v>
      </c>
      <c r="B438" s="12">
        <v>4003041</v>
      </c>
      <c r="C438" s="11" t="s">
        <v>558</v>
      </c>
      <c r="D438" s="11" t="s">
        <v>102</v>
      </c>
      <c r="E438" t="s">
        <v>2273</v>
      </c>
    </row>
    <row r="439" spans="1:5">
      <c r="A439" s="11">
        <v>4003002</v>
      </c>
      <c r="B439" s="12">
        <v>4003042</v>
      </c>
      <c r="C439" s="11" t="s">
        <v>559</v>
      </c>
      <c r="D439" s="11" t="s">
        <v>201</v>
      </c>
      <c r="E439" t="s">
        <v>2273</v>
      </c>
    </row>
    <row r="440" spans="1:5">
      <c r="A440" s="11">
        <v>4003003</v>
      </c>
      <c r="B440" s="12">
        <v>4003043</v>
      </c>
      <c r="C440" s="11" t="s">
        <v>560</v>
      </c>
      <c r="D440" s="11" t="s">
        <v>201</v>
      </c>
      <c r="E440" t="s">
        <v>2273</v>
      </c>
    </row>
    <row r="441" spans="1:5">
      <c r="A441" s="11">
        <v>4003004</v>
      </c>
      <c r="B441" s="12">
        <v>4003044</v>
      </c>
      <c r="C441" s="11" t="s">
        <v>558</v>
      </c>
      <c r="D441" s="11" t="s">
        <v>102</v>
      </c>
      <c r="E441" t="s">
        <v>2273</v>
      </c>
    </row>
    <row r="442" spans="1:5">
      <c r="A442" s="11">
        <v>4003005</v>
      </c>
      <c r="B442" s="12">
        <v>4003005</v>
      </c>
      <c r="C442" s="11" t="s">
        <v>561</v>
      </c>
      <c r="D442" s="11" t="s">
        <v>562</v>
      </c>
      <c r="E442" t="s">
        <v>2273</v>
      </c>
    </row>
    <row r="443" spans="1:5">
      <c r="A443" s="11">
        <v>4003006</v>
      </c>
      <c r="B443" s="12">
        <v>4003006</v>
      </c>
      <c r="C443" s="11" t="s">
        <v>563</v>
      </c>
      <c r="D443" s="11" t="s">
        <v>562</v>
      </c>
      <c r="E443" t="s">
        <v>2273</v>
      </c>
    </row>
    <row r="444" spans="1:5">
      <c r="A444" s="11">
        <v>4003007</v>
      </c>
      <c r="B444" s="12">
        <v>4003007</v>
      </c>
      <c r="C444" s="11" t="s">
        <v>564</v>
      </c>
      <c r="D444" s="11" t="s">
        <v>562</v>
      </c>
      <c r="E444" t="s">
        <v>2273</v>
      </c>
    </row>
    <row r="445" spans="1:5">
      <c r="A445" s="11">
        <v>4003008</v>
      </c>
      <c r="B445" s="12">
        <v>4003008</v>
      </c>
      <c r="C445" s="11" t="s">
        <v>565</v>
      </c>
      <c r="D445" s="11" t="s">
        <v>562</v>
      </c>
      <c r="E445" t="s">
        <v>2273</v>
      </c>
    </row>
    <row r="446" spans="1:5">
      <c r="A446" s="11">
        <v>4003009</v>
      </c>
      <c r="B446" s="12">
        <v>4003009</v>
      </c>
      <c r="C446" s="11" t="s">
        <v>566</v>
      </c>
      <c r="D446" s="11" t="s">
        <v>562</v>
      </c>
      <c r="E446" t="s">
        <v>2273</v>
      </c>
    </row>
    <row r="447" spans="1:5">
      <c r="A447" s="11">
        <v>4003010</v>
      </c>
      <c r="B447" s="12">
        <v>4003010</v>
      </c>
      <c r="C447" s="11" t="s">
        <v>567</v>
      </c>
      <c r="D447" s="11" t="s">
        <v>562</v>
      </c>
      <c r="E447" t="s">
        <v>2273</v>
      </c>
    </row>
    <row r="448" spans="1:5">
      <c r="A448" s="11">
        <v>4004000</v>
      </c>
      <c r="B448" s="12">
        <v>4004000</v>
      </c>
      <c r="C448" s="11" t="s">
        <v>568</v>
      </c>
      <c r="D448" s="11" t="s">
        <v>102</v>
      </c>
      <c r="E448" t="s">
        <v>2273</v>
      </c>
    </row>
    <row r="449" spans="1:5">
      <c r="A449" s="11">
        <v>4004001</v>
      </c>
      <c r="B449" s="12">
        <v>4004010</v>
      </c>
      <c r="C449" s="11" t="s">
        <v>569</v>
      </c>
      <c r="D449" s="11" t="s">
        <v>516</v>
      </c>
      <c r="E449" t="s">
        <v>2273</v>
      </c>
    </row>
    <row r="450" spans="1:5">
      <c r="A450" s="11">
        <v>4005000</v>
      </c>
      <c r="B450" s="12">
        <v>4005070</v>
      </c>
      <c r="C450" s="11" t="s">
        <v>570</v>
      </c>
      <c r="D450" s="11" t="s">
        <v>102</v>
      </c>
      <c r="E450" t="s">
        <v>2273</v>
      </c>
    </row>
    <row r="451" spans="1:5">
      <c r="A451" s="11">
        <v>4005001</v>
      </c>
      <c r="B451" s="12">
        <v>4005071</v>
      </c>
      <c r="C451" s="11" t="s">
        <v>571</v>
      </c>
      <c r="D451" s="11" t="s">
        <v>102</v>
      </c>
      <c r="E451" t="s">
        <v>2273</v>
      </c>
    </row>
    <row r="452" spans="1:5">
      <c r="A452" s="11">
        <v>4005002</v>
      </c>
      <c r="B452" s="12">
        <v>4005072</v>
      </c>
      <c r="C452" s="11" t="s">
        <v>572</v>
      </c>
      <c r="D452" s="11" t="s">
        <v>102</v>
      </c>
      <c r="E452" t="s">
        <v>2273</v>
      </c>
    </row>
    <row r="453" spans="1:5">
      <c r="A453" s="11">
        <v>4005003</v>
      </c>
      <c r="B453" s="12">
        <v>4005073</v>
      </c>
      <c r="C453" s="11" t="s">
        <v>573</v>
      </c>
      <c r="D453" s="11" t="s">
        <v>102</v>
      </c>
      <c r="E453" t="s">
        <v>2273</v>
      </c>
    </row>
    <row r="454" spans="1:5">
      <c r="A454" s="11">
        <v>4005004</v>
      </c>
      <c r="B454" s="12">
        <v>4005074</v>
      </c>
      <c r="C454" s="11" t="s">
        <v>574</v>
      </c>
      <c r="D454" s="11" t="s">
        <v>102</v>
      </c>
      <c r="E454" t="s">
        <v>2273</v>
      </c>
    </row>
    <row r="455" spans="1:5">
      <c r="A455" s="11">
        <v>4005005</v>
      </c>
      <c r="B455" s="12">
        <v>4005075</v>
      </c>
      <c r="C455" s="11" t="s">
        <v>575</v>
      </c>
      <c r="D455" s="11" t="s">
        <v>102</v>
      </c>
      <c r="E455" t="s">
        <v>2273</v>
      </c>
    </row>
    <row r="456" spans="1:5">
      <c r="A456" s="11">
        <v>4005006</v>
      </c>
      <c r="B456" s="12">
        <v>4005076</v>
      </c>
      <c r="C456" s="11" t="s">
        <v>576</v>
      </c>
      <c r="D456" s="11" t="s">
        <v>102</v>
      </c>
      <c r="E456" t="s">
        <v>2273</v>
      </c>
    </row>
    <row r="457" spans="1:5">
      <c r="A457" s="11">
        <v>4005007</v>
      </c>
      <c r="B457" s="12">
        <v>4201049</v>
      </c>
      <c r="C457" s="11" t="s">
        <v>577</v>
      </c>
      <c r="D457" s="11" t="s">
        <v>102</v>
      </c>
      <c r="E457" t="s">
        <v>2273</v>
      </c>
    </row>
    <row r="458" spans="1:5">
      <c r="A458" s="11">
        <v>4005008</v>
      </c>
      <c r="B458" s="12">
        <v>4005077</v>
      </c>
      <c r="C458" s="11" t="s">
        <v>578</v>
      </c>
      <c r="D458" s="11" t="s">
        <v>102</v>
      </c>
      <c r="E458" t="s">
        <v>2273</v>
      </c>
    </row>
    <row r="459" spans="1:5">
      <c r="A459" s="11">
        <v>4005009</v>
      </c>
      <c r="B459" s="12">
        <v>4005078</v>
      </c>
      <c r="C459" s="11" t="s">
        <v>579</v>
      </c>
      <c r="D459" s="11" t="s">
        <v>516</v>
      </c>
      <c r="E459" t="s">
        <v>2273</v>
      </c>
    </row>
    <row r="460" spans="1:5">
      <c r="A460" s="11">
        <v>4005010</v>
      </c>
      <c r="B460" s="12">
        <v>4005079</v>
      </c>
      <c r="C460" s="11" t="s">
        <v>580</v>
      </c>
      <c r="D460" s="11" t="s">
        <v>488</v>
      </c>
      <c r="E460" t="s">
        <v>2273</v>
      </c>
    </row>
    <row r="461" spans="1:5">
      <c r="A461" s="11">
        <v>4005011</v>
      </c>
      <c r="B461" s="12">
        <v>4005080</v>
      </c>
      <c r="C461" s="11" t="s">
        <v>581</v>
      </c>
      <c r="D461" s="11" t="s">
        <v>488</v>
      </c>
      <c r="E461" t="s">
        <v>2273</v>
      </c>
    </row>
    <row r="462" spans="1:5">
      <c r="A462" s="11">
        <v>4005012</v>
      </c>
      <c r="B462" s="12">
        <v>4005081</v>
      </c>
      <c r="C462" s="11" t="s">
        <v>582</v>
      </c>
      <c r="D462" s="11" t="s">
        <v>102</v>
      </c>
      <c r="E462" t="s">
        <v>2273</v>
      </c>
    </row>
    <row r="463" spans="1:5">
      <c r="A463" s="11">
        <v>4005013</v>
      </c>
      <c r="B463" s="12">
        <v>4005082</v>
      </c>
      <c r="C463" s="11" t="s">
        <v>583</v>
      </c>
      <c r="D463" s="11" t="s">
        <v>102</v>
      </c>
      <c r="E463" t="s">
        <v>2273</v>
      </c>
    </row>
    <row r="464" spans="1:5">
      <c r="A464" s="11">
        <v>4005014</v>
      </c>
      <c r="B464" s="12">
        <v>4005083</v>
      </c>
      <c r="C464" s="11" t="s">
        <v>584</v>
      </c>
      <c r="D464" s="11" t="s">
        <v>102</v>
      </c>
      <c r="E464" t="s">
        <v>2273</v>
      </c>
    </row>
    <row r="465" spans="1:5">
      <c r="A465" s="11">
        <v>4005015</v>
      </c>
      <c r="B465" s="12">
        <v>4005084</v>
      </c>
      <c r="C465" s="11" t="s">
        <v>585</v>
      </c>
      <c r="D465" s="11" t="s">
        <v>102</v>
      </c>
      <c r="E465" t="s">
        <v>2273</v>
      </c>
    </row>
    <row r="466" spans="1:5">
      <c r="A466" s="11">
        <v>4005016</v>
      </c>
      <c r="B466" s="12">
        <v>4005085</v>
      </c>
      <c r="C466" s="11" t="s">
        <v>586</v>
      </c>
      <c r="D466" s="11" t="s">
        <v>102</v>
      </c>
      <c r="E466" t="s">
        <v>2273</v>
      </c>
    </row>
    <row r="467" spans="1:5">
      <c r="A467" s="11">
        <v>4005017</v>
      </c>
      <c r="B467" s="12">
        <v>4005086</v>
      </c>
      <c r="C467" s="11" t="s">
        <v>587</v>
      </c>
      <c r="D467" s="11" t="s">
        <v>201</v>
      </c>
      <c r="E467" t="s">
        <v>2273</v>
      </c>
    </row>
    <row r="468" spans="1:5">
      <c r="A468" s="11">
        <v>4005018</v>
      </c>
      <c r="B468" s="12">
        <v>4005087</v>
      </c>
      <c r="C468" s="11" t="s">
        <v>588</v>
      </c>
      <c r="D468" s="11" t="s">
        <v>102</v>
      </c>
      <c r="E468" t="s">
        <v>2273</v>
      </c>
    </row>
    <row r="469" spans="1:5">
      <c r="A469" s="11">
        <v>4005019</v>
      </c>
      <c r="B469" s="12">
        <v>4005088</v>
      </c>
      <c r="C469" s="11" t="s">
        <v>589</v>
      </c>
      <c r="D469" s="11" t="s">
        <v>102</v>
      </c>
      <c r="E469" t="s">
        <v>2273</v>
      </c>
    </row>
    <row r="470" spans="1:5">
      <c r="A470" s="11">
        <v>4005020</v>
      </c>
      <c r="B470" s="12">
        <v>4005089</v>
      </c>
      <c r="C470" s="11" t="s">
        <v>590</v>
      </c>
      <c r="D470" s="11" t="s">
        <v>102</v>
      </c>
      <c r="E470" t="s">
        <v>2273</v>
      </c>
    </row>
    <row r="471" spans="1:5">
      <c r="A471" s="11">
        <v>4005021</v>
      </c>
      <c r="B471" s="12">
        <v>4005090</v>
      </c>
      <c r="C471" s="11" t="s">
        <v>591</v>
      </c>
      <c r="D471" s="11" t="s">
        <v>102</v>
      </c>
      <c r="E471" t="s">
        <v>2273</v>
      </c>
    </row>
    <row r="472" spans="1:5">
      <c r="A472" s="11">
        <v>4005022</v>
      </c>
      <c r="B472" s="12">
        <v>4005091</v>
      </c>
      <c r="C472" s="11" t="s">
        <v>592</v>
      </c>
      <c r="D472" s="11" t="s">
        <v>593</v>
      </c>
      <c r="E472" t="s">
        <v>2273</v>
      </c>
    </row>
    <row r="473" spans="1:5">
      <c r="A473" s="11">
        <v>4005023</v>
      </c>
      <c r="B473" s="12">
        <v>4005092</v>
      </c>
      <c r="C473" s="11" t="s">
        <v>594</v>
      </c>
      <c r="D473" s="11" t="s">
        <v>102</v>
      </c>
      <c r="E473" t="s">
        <v>2273</v>
      </c>
    </row>
    <row r="474" spans="1:5">
      <c r="A474" s="11">
        <v>4005024</v>
      </c>
      <c r="B474" s="12">
        <v>4005093</v>
      </c>
      <c r="C474" s="11" t="s">
        <v>595</v>
      </c>
      <c r="D474" s="11" t="s">
        <v>547</v>
      </c>
      <c r="E474" t="s">
        <v>2273</v>
      </c>
    </row>
    <row r="475" spans="1:5">
      <c r="A475" s="11">
        <v>4005025</v>
      </c>
      <c r="B475" s="12">
        <v>4005094</v>
      </c>
      <c r="C475" s="11" t="s">
        <v>596</v>
      </c>
      <c r="D475" s="11" t="s">
        <v>102</v>
      </c>
      <c r="E475" t="s">
        <v>2273</v>
      </c>
    </row>
    <row r="476" spans="1:5">
      <c r="A476" s="11">
        <v>4005026</v>
      </c>
      <c r="B476" s="12">
        <v>4005095</v>
      </c>
      <c r="C476" s="11" t="s">
        <v>597</v>
      </c>
      <c r="D476" s="11" t="s">
        <v>102</v>
      </c>
      <c r="E476" t="s">
        <v>2273</v>
      </c>
    </row>
    <row r="477" spans="1:5">
      <c r="A477" s="11">
        <v>4005027</v>
      </c>
      <c r="B477" s="12">
        <v>4005096</v>
      </c>
      <c r="C477" s="11" t="s">
        <v>598</v>
      </c>
      <c r="D477" s="11" t="s">
        <v>102</v>
      </c>
      <c r="E477" t="s">
        <v>2273</v>
      </c>
    </row>
    <row r="478" spans="1:5">
      <c r="A478" s="11">
        <v>4005028</v>
      </c>
      <c r="B478" s="12">
        <v>4005097</v>
      </c>
      <c r="C478" s="11" t="s">
        <v>599</v>
      </c>
      <c r="D478" s="11" t="s">
        <v>102</v>
      </c>
      <c r="E478" t="s">
        <v>2273</v>
      </c>
    </row>
    <row r="479" spans="1:5">
      <c r="A479" s="11">
        <v>4005029</v>
      </c>
      <c r="B479" s="12">
        <v>4005098</v>
      </c>
      <c r="C479" s="11" t="s">
        <v>600</v>
      </c>
      <c r="D479" s="11" t="s">
        <v>102</v>
      </c>
      <c r="E479" t="s">
        <v>2273</v>
      </c>
    </row>
    <row r="480" spans="1:5">
      <c r="A480" s="11">
        <v>4005030</v>
      </c>
      <c r="B480" s="12">
        <v>4005099</v>
      </c>
      <c r="C480" s="11" t="s">
        <v>601</v>
      </c>
      <c r="D480" s="11" t="s">
        <v>102</v>
      </c>
      <c r="E480" t="s">
        <v>2273</v>
      </c>
    </row>
    <row r="481" spans="1:5">
      <c r="A481" s="11">
        <v>4005031</v>
      </c>
      <c r="B481" s="12">
        <v>4005100</v>
      </c>
      <c r="C481" s="11" t="s">
        <v>602</v>
      </c>
      <c r="D481" s="11" t="s">
        <v>102</v>
      </c>
      <c r="E481" t="s">
        <v>2273</v>
      </c>
    </row>
    <row r="482" spans="1:5">
      <c r="A482" s="11">
        <v>4005032</v>
      </c>
      <c r="B482" s="12">
        <v>4005101</v>
      </c>
      <c r="C482" s="11" t="s">
        <v>603</v>
      </c>
      <c r="D482" s="11" t="s">
        <v>102</v>
      </c>
      <c r="E482" t="s">
        <v>2273</v>
      </c>
    </row>
    <row r="483" spans="1:5">
      <c r="A483" s="11">
        <v>4005033</v>
      </c>
      <c r="B483" s="12">
        <v>4005102</v>
      </c>
      <c r="C483" s="11" t="s">
        <v>604</v>
      </c>
      <c r="D483" s="11" t="s">
        <v>102</v>
      </c>
      <c r="E483" t="s">
        <v>2273</v>
      </c>
    </row>
    <row r="484" spans="1:5">
      <c r="A484" s="11">
        <v>4005034</v>
      </c>
      <c r="B484" s="12">
        <v>4005103</v>
      </c>
      <c r="C484" s="11" t="s">
        <v>605</v>
      </c>
      <c r="D484" s="11" t="s">
        <v>102</v>
      </c>
      <c r="E484" t="s">
        <v>2273</v>
      </c>
    </row>
    <row r="485" spans="1:5">
      <c r="A485" s="11">
        <v>4005035</v>
      </c>
      <c r="B485" s="12">
        <v>4005104</v>
      </c>
      <c r="C485" s="11" t="s">
        <v>606</v>
      </c>
      <c r="D485" s="11" t="s">
        <v>102</v>
      </c>
      <c r="E485" t="s">
        <v>2273</v>
      </c>
    </row>
    <row r="486" spans="1:5">
      <c r="A486" s="11">
        <v>4005036</v>
      </c>
      <c r="B486" s="12">
        <v>4005105</v>
      </c>
      <c r="C486" s="11" t="s">
        <v>607</v>
      </c>
      <c r="D486" s="11" t="s">
        <v>102</v>
      </c>
      <c r="E486" t="s">
        <v>2273</v>
      </c>
    </row>
    <row r="487" spans="1:5">
      <c r="A487" s="11">
        <v>4005037</v>
      </c>
      <c r="B487" s="12">
        <v>4005106</v>
      </c>
      <c r="C487" s="11" t="s">
        <v>608</v>
      </c>
      <c r="D487" s="11" t="s">
        <v>102</v>
      </c>
      <c r="E487" t="s">
        <v>2273</v>
      </c>
    </row>
    <row r="488" spans="1:5">
      <c r="A488" s="11">
        <v>4005038</v>
      </c>
      <c r="B488" s="12">
        <v>4005107</v>
      </c>
      <c r="C488" s="11" t="s">
        <v>609</v>
      </c>
      <c r="D488" s="11" t="s">
        <v>102</v>
      </c>
      <c r="E488" t="s">
        <v>2273</v>
      </c>
    </row>
    <row r="489" spans="1:5">
      <c r="A489" s="11">
        <v>4005039</v>
      </c>
      <c r="B489" s="12">
        <v>4005108</v>
      </c>
      <c r="C489" s="11" t="s">
        <v>610</v>
      </c>
      <c r="D489" s="11" t="s">
        <v>102</v>
      </c>
      <c r="E489" t="s">
        <v>2273</v>
      </c>
    </row>
    <row r="490" spans="1:5">
      <c r="A490" s="11">
        <v>4005040</v>
      </c>
      <c r="B490" s="12">
        <v>4005109</v>
      </c>
      <c r="C490" s="11" t="s">
        <v>611</v>
      </c>
      <c r="D490" s="11" t="s">
        <v>102</v>
      </c>
      <c r="E490" t="s">
        <v>2273</v>
      </c>
    </row>
    <row r="491" spans="1:5">
      <c r="A491" s="11">
        <v>4005041</v>
      </c>
      <c r="B491" s="12">
        <v>4005110</v>
      </c>
      <c r="C491" s="11" t="s">
        <v>612</v>
      </c>
      <c r="D491" s="11" t="s">
        <v>488</v>
      </c>
      <c r="E491" t="s">
        <v>2273</v>
      </c>
    </row>
    <row r="492" spans="1:5">
      <c r="A492" s="11">
        <v>4005042</v>
      </c>
      <c r="B492" s="12">
        <v>4005111</v>
      </c>
      <c r="C492" s="11" t="s">
        <v>613</v>
      </c>
      <c r="D492" s="11" t="s">
        <v>102</v>
      </c>
      <c r="E492" t="s">
        <v>2273</v>
      </c>
    </row>
    <row r="493" spans="1:5">
      <c r="A493" s="11">
        <v>4005043</v>
      </c>
      <c r="B493" s="12">
        <v>4005112</v>
      </c>
      <c r="C493" s="11" t="s">
        <v>614</v>
      </c>
      <c r="D493" s="11" t="s">
        <v>102</v>
      </c>
      <c r="E493" t="s">
        <v>2273</v>
      </c>
    </row>
    <row r="494" spans="1:5">
      <c r="A494" s="11">
        <v>4005044</v>
      </c>
      <c r="B494" s="12">
        <v>4005113</v>
      </c>
      <c r="C494" s="11" t="s">
        <v>615</v>
      </c>
      <c r="D494" s="11" t="s">
        <v>102</v>
      </c>
      <c r="E494" t="s">
        <v>2273</v>
      </c>
    </row>
    <row r="495" spans="1:5">
      <c r="A495" s="11">
        <v>4005045</v>
      </c>
      <c r="B495" s="12">
        <v>4005114</v>
      </c>
      <c r="C495" s="11" t="s">
        <v>616</v>
      </c>
      <c r="D495" s="11" t="s">
        <v>102</v>
      </c>
      <c r="E495" t="s">
        <v>2273</v>
      </c>
    </row>
    <row r="496" spans="1:5">
      <c r="A496" s="11">
        <v>4005046</v>
      </c>
      <c r="B496" s="12">
        <v>4005115</v>
      </c>
      <c r="C496" s="11" t="s">
        <v>617</v>
      </c>
      <c r="D496" s="11" t="s">
        <v>102</v>
      </c>
      <c r="E496" t="s">
        <v>2273</v>
      </c>
    </row>
    <row r="497" spans="1:5">
      <c r="A497" s="11">
        <v>4005047</v>
      </c>
      <c r="B497" s="12">
        <v>4005116</v>
      </c>
      <c r="C497" s="11" t="s">
        <v>618</v>
      </c>
      <c r="D497" s="11" t="s">
        <v>102</v>
      </c>
      <c r="E497" t="s">
        <v>2273</v>
      </c>
    </row>
    <row r="498" spans="1:5">
      <c r="A498" s="11">
        <v>4005048</v>
      </c>
      <c r="B498" s="12">
        <v>4005117</v>
      </c>
      <c r="C498" s="11" t="s">
        <v>619</v>
      </c>
      <c r="D498" s="11" t="s">
        <v>102</v>
      </c>
      <c r="E498" t="s">
        <v>2273</v>
      </c>
    </row>
    <row r="499" spans="1:5">
      <c r="A499" s="11">
        <v>4005049</v>
      </c>
      <c r="B499" s="12">
        <v>4005118</v>
      </c>
      <c r="C499" s="11" t="s">
        <v>620</v>
      </c>
      <c r="D499" s="11" t="s">
        <v>102</v>
      </c>
      <c r="E499" t="s">
        <v>2273</v>
      </c>
    </row>
    <row r="500" spans="1:5">
      <c r="A500" s="11">
        <v>4005050</v>
      </c>
      <c r="B500" s="12">
        <v>4005119</v>
      </c>
      <c r="C500" s="11" t="s">
        <v>621</v>
      </c>
      <c r="D500" s="11" t="s">
        <v>102</v>
      </c>
      <c r="E500" t="s">
        <v>2273</v>
      </c>
    </row>
    <row r="501" spans="1:5">
      <c r="A501" s="11">
        <v>4005051</v>
      </c>
      <c r="B501" s="12">
        <v>4005120</v>
      </c>
      <c r="C501" s="11" t="s">
        <v>622</v>
      </c>
      <c r="D501" s="11" t="s">
        <v>102</v>
      </c>
      <c r="E501" t="s">
        <v>2273</v>
      </c>
    </row>
    <row r="502" spans="1:5">
      <c r="A502" s="11">
        <v>4005052</v>
      </c>
      <c r="B502" s="12">
        <v>4005121</v>
      </c>
      <c r="C502" s="11" t="s">
        <v>623</v>
      </c>
      <c r="D502" s="11" t="s">
        <v>102</v>
      </c>
      <c r="E502" t="s">
        <v>2273</v>
      </c>
    </row>
    <row r="503" spans="1:5">
      <c r="A503" s="11">
        <v>4005053</v>
      </c>
      <c r="B503" s="12">
        <v>4005122</v>
      </c>
      <c r="C503" s="11" t="s">
        <v>624</v>
      </c>
      <c r="D503" s="11" t="s">
        <v>102</v>
      </c>
      <c r="E503" t="s">
        <v>2273</v>
      </c>
    </row>
    <row r="504" spans="1:5">
      <c r="A504" s="11">
        <v>4005054</v>
      </c>
      <c r="B504" s="12">
        <v>4005123</v>
      </c>
      <c r="C504" s="11" t="s">
        <v>625</v>
      </c>
      <c r="D504" s="11" t="s">
        <v>523</v>
      </c>
      <c r="E504" t="s">
        <v>2273</v>
      </c>
    </row>
    <row r="505" spans="1:5">
      <c r="A505" s="11">
        <v>4005055</v>
      </c>
      <c r="B505" s="12">
        <v>4005124</v>
      </c>
      <c r="C505" s="11" t="s">
        <v>626</v>
      </c>
      <c r="D505" s="11" t="s">
        <v>102</v>
      </c>
      <c r="E505" t="s">
        <v>2273</v>
      </c>
    </row>
    <row r="506" spans="1:5">
      <c r="A506" s="11">
        <v>4005060</v>
      </c>
      <c r="B506" s="13">
        <v>4005125</v>
      </c>
      <c r="C506" s="11" t="s">
        <v>627</v>
      </c>
      <c r="D506" s="11" t="s">
        <v>102</v>
      </c>
      <c r="E506" t="s">
        <v>2273</v>
      </c>
    </row>
    <row r="507" spans="1:5">
      <c r="A507" s="11">
        <v>4100000</v>
      </c>
      <c r="B507" s="12">
        <v>4100010</v>
      </c>
      <c r="C507" s="11" t="s">
        <v>628</v>
      </c>
      <c r="D507" s="11" t="s">
        <v>102</v>
      </c>
      <c r="E507" t="s">
        <v>2273</v>
      </c>
    </row>
    <row r="508" spans="1:5">
      <c r="A508" s="11">
        <v>4100001</v>
      </c>
      <c r="B508" s="12">
        <v>4100011</v>
      </c>
      <c r="C508" s="11" t="s">
        <v>629</v>
      </c>
      <c r="D508" s="11" t="s">
        <v>102</v>
      </c>
      <c r="E508" t="s">
        <v>2273</v>
      </c>
    </row>
    <row r="509" spans="1:5">
      <c r="A509" s="11">
        <v>4100002</v>
      </c>
      <c r="B509" s="12">
        <v>4100012</v>
      </c>
      <c r="C509" s="11" t="s">
        <v>630</v>
      </c>
      <c r="D509" s="11" t="s">
        <v>102</v>
      </c>
      <c r="E509" t="s">
        <v>2273</v>
      </c>
    </row>
    <row r="510" spans="1:5">
      <c r="A510" s="11"/>
      <c r="B510" s="11">
        <v>4100003</v>
      </c>
      <c r="C510" s="11" t="s">
        <v>631</v>
      </c>
      <c r="D510" s="11" t="s">
        <v>102</v>
      </c>
      <c r="E510" t="s">
        <v>2273</v>
      </c>
    </row>
    <row r="511" spans="1:5">
      <c r="A511" s="11"/>
      <c r="B511" s="11">
        <v>4100004</v>
      </c>
      <c r="C511" s="11" t="s">
        <v>632</v>
      </c>
      <c r="D511" s="11" t="s">
        <v>102</v>
      </c>
      <c r="E511" t="s">
        <v>2273</v>
      </c>
    </row>
    <row r="512" spans="1:5">
      <c r="A512" s="11">
        <v>4101000</v>
      </c>
      <c r="B512" s="12">
        <v>4101020</v>
      </c>
      <c r="C512" s="11" t="s">
        <v>633</v>
      </c>
      <c r="D512" s="11" t="s">
        <v>102</v>
      </c>
      <c r="E512" t="s">
        <v>2273</v>
      </c>
    </row>
    <row r="513" spans="1:5">
      <c r="A513" s="11">
        <v>4101001</v>
      </c>
      <c r="B513" s="12">
        <v>4101021</v>
      </c>
      <c r="C513" s="11" t="s">
        <v>634</v>
      </c>
      <c r="D513" s="11" t="s">
        <v>102</v>
      </c>
      <c r="E513" t="s">
        <v>2273</v>
      </c>
    </row>
    <row r="514" spans="1:5">
      <c r="A514" s="11">
        <v>4101002</v>
      </c>
      <c r="B514" s="12">
        <v>4101022</v>
      </c>
      <c r="C514" s="11" t="s">
        <v>635</v>
      </c>
      <c r="D514" s="11" t="s">
        <v>102</v>
      </c>
      <c r="E514" t="s">
        <v>2273</v>
      </c>
    </row>
    <row r="515" spans="1:5">
      <c r="A515" s="11">
        <v>4101003</v>
      </c>
      <c r="B515" s="12">
        <v>4101023</v>
      </c>
      <c r="C515" s="11" t="s">
        <v>636</v>
      </c>
      <c r="D515" s="11" t="s">
        <v>102</v>
      </c>
      <c r="E515" t="s">
        <v>2273</v>
      </c>
    </row>
    <row r="516" spans="1:5">
      <c r="A516" s="11">
        <v>4101004</v>
      </c>
      <c r="B516" s="12">
        <v>4101024</v>
      </c>
      <c r="C516" s="11" t="s">
        <v>637</v>
      </c>
      <c r="D516" s="11" t="s">
        <v>102</v>
      </c>
      <c r="E516" t="s">
        <v>2273</v>
      </c>
    </row>
    <row r="517" spans="1:5">
      <c r="A517" s="11">
        <v>4101005</v>
      </c>
      <c r="B517" s="12">
        <v>4101025</v>
      </c>
      <c r="C517" s="11" t="s">
        <v>638</v>
      </c>
      <c r="D517" s="11" t="s">
        <v>102</v>
      </c>
      <c r="E517" t="s">
        <v>2273</v>
      </c>
    </row>
    <row r="518" spans="1:5">
      <c r="A518" s="11">
        <v>4101006</v>
      </c>
      <c r="B518" s="12">
        <v>4101026</v>
      </c>
      <c r="C518" s="11" t="s">
        <v>639</v>
      </c>
      <c r="D518" s="11" t="s">
        <v>102</v>
      </c>
      <c r="E518" t="s">
        <v>2273</v>
      </c>
    </row>
    <row r="519" spans="1:5">
      <c r="A519" s="11">
        <v>4101007</v>
      </c>
      <c r="B519" s="12">
        <v>4101027</v>
      </c>
      <c r="C519" s="11" t="s">
        <v>640</v>
      </c>
      <c r="D519" s="11" t="s">
        <v>102</v>
      </c>
      <c r="E519" t="s">
        <v>2273</v>
      </c>
    </row>
    <row r="520" spans="1:5">
      <c r="A520" s="11">
        <v>4101008</v>
      </c>
      <c r="B520" s="12">
        <v>4101028</v>
      </c>
      <c r="C520" s="11" t="s">
        <v>641</v>
      </c>
      <c r="D520" s="11" t="s">
        <v>102</v>
      </c>
      <c r="E520" t="s">
        <v>2273</v>
      </c>
    </row>
    <row r="521" spans="1:5">
      <c r="A521" s="11">
        <v>4101009</v>
      </c>
      <c r="B521" s="12">
        <v>4101029</v>
      </c>
      <c r="C521" s="11" t="s">
        <v>642</v>
      </c>
      <c r="D521" s="11" t="s">
        <v>102</v>
      </c>
      <c r="E521" t="s">
        <v>2273</v>
      </c>
    </row>
    <row r="522" spans="1:5">
      <c r="A522" s="11">
        <v>4101010</v>
      </c>
      <c r="B522" s="12">
        <v>4101030</v>
      </c>
      <c r="C522" s="11" t="s">
        <v>643</v>
      </c>
      <c r="D522" s="11" t="s">
        <v>102</v>
      </c>
      <c r="E522" t="s">
        <v>2273</v>
      </c>
    </row>
    <row r="523" spans="1:5">
      <c r="A523" s="11">
        <v>4101011</v>
      </c>
      <c r="B523" s="12">
        <v>4101031</v>
      </c>
      <c r="C523" s="11" t="s">
        <v>644</v>
      </c>
      <c r="D523" s="11" t="s">
        <v>102</v>
      </c>
      <c r="E523" t="s">
        <v>2273</v>
      </c>
    </row>
    <row r="524" spans="1:5">
      <c r="A524" s="11">
        <v>4101012</v>
      </c>
      <c r="B524" s="12">
        <v>4101032</v>
      </c>
      <c r="C524" s="11" t="s">
        <v>645</v>
      </c>
      <c r="D524" s="11" t="s">
        <v>102</v>
      </c>
      <c r="E524" t="s">
        <v>2273</v>
      </c>
    </row>
    <row r="525" spans="1:5">
      <c r="A525" s="11">
        <v>4101013</v>
      </c>
      <c r="B525" s="12">
        <v>4101033</v>
      </c>
      <c r="C525" s="11" t="s">
        <v>646</v>
      </c>
      <c r="D525" s="11" t="s">
        <v>102</v>
      </c>
      <c r="E525" t="s">
        <v>2273</v>
      </c>
    </row>
    <row r="526" spans="1:5">
      <c r="A526" s="11"/>
      <c r="B526" s="11">
        <v>4102000</v>
      </c>
      <c r="C526" s="11" t="s">
        <v>647</v>
      </c>
      <c r="D526" s="11" t="s">
        <v>102</v>
      </c>
      <c r="E526" t="s">
        <v>2273</v>
      </c>
    </row>
    <row r="527" spans="1:5">
      <c r="A527" s="11"/>
      <c r="B527" s="11">
        <v>4102001</v>
      </c>
      <c r="C527" s="11" t="s">
        <v>648</v>
      </c>
      <c r="D527" s="11" t="s">
        <v>102</v>
      </c>
      <c r="E527" t="s">
        <v>2273</v>
      </c>
    </row>
    <row r="528" spans="1:5">
      <c r="A528" s="11">
        <v>4102002</v>
      </c>
      <c r="B528" s="12">
        <v>4102010</v>
      </c>
      <c r="C528" s="11" t="s">
        <v>649</v>
      </c>
      <c r="D528" s="11" t="s">
        <v>102</v>
      </c>
      <c r="E528" t="s">
        <v>2273</v>
      </c>
    </row>
    <row r="529" spans="1:5">
      <c r="A529" s="11">
        <v>4102003</v>
      </c>
      <c r="B529" s="12">
        <v>4102011</v>
      </c>
      <c r="C529" s="11" t="s">
        <v>650</v>
      </c>
      <c r="D529" s="11" t="s">
        <v>512</v>
      </c>
      <c r="E529" t="s">
        <v>2273</v>
      </c>
    </row>
    <row r="530" spans="1:5">
      <c r="A530" s="11"/>
      <c r="B530" s="11">
        <v>4102004</v>
      </c>
      <c r="C530" s="11" t="s">
        <v>651</v>
      </c>
      <c r="D530" s="11" t="s">
        <v>102</v>
      </c>
      <c r="E530" t="s">
        <v>2273</v>
      </c>
    </row>
    <row r="531" spans="1:5">
      <c r="A531" s="11"/>
      <c r="B531" s="11">
        <v>4102005</v>
      </c>
      <c r="C531" s="11" t="s">
        <v>652</v>
      </c>
      <c r="D531" s="11" t="s">
        <v>102</v>
      </c>
      <c r="E531" t="s">
        <v>2273</v>
      </c>
    </row>
    <row r="532" spans="1:5">
      <c r="A532" s="11"/>
      <c r="B532" s="11">
        <v>4102006</v>
      </c>
      <c r="C532" s="11" t="s">
        <v>653</v>
      </c>
      <c r="D532" s="11" t="s">
        <v>102</v>
      </c>
      <c r="E532" t="s">
        <v>2273</v>
      </c>
    </row>
    <row r="533" spans="1:5">
      <c r="A533" s="11">
        <v>4102007</v>
      </c>
      <c r="B533" s="12">
        <v>4102012</v>
      </c>
      <c r="C533" s="11" t="s">
        <v>654</v>
      </c>
      <c r="D533" s="11" t="s">
        <v>102</v>
      </c>
      <c r="E533" t="s">
        <v>2273</v>
      </c>
    </row>
    <row r="534" spans="1:5">
      <c r="A534" s="11">
        <v>4102008</v>
      </c>
      <c r="B534" s="12">
        <v>4102013</v>
      </c>
      <c r="C534" s="11" t="s">
        <v>655</v>
      </c>
      <c r="D534" s="11" t="s">
        <v>102</v>
      </c>
      <c r="E534" t="s">
        <v>2273</v>
      </c>
    </row>
    <row r="535" spans="1:5">
      <c r="A535" s="11">
        <v>4103000</v>
      </c>
      <c r="B535" s="12">
        <v>4103020</v>
      </c>
      <c r="C535" s="11" t="s">
        <v>656</v>
      </c>
      <c r="D535" s="11" t="s">
        <v>102</v>
      </c>
      <c r="E535" t="s">
        <v>2273</v>
      </c>
    </row>
    <row r="536" spans="1:5">
      <c r="A536" s="11"/>
      <c r="B536" s="11">
        <v>4103001</v>
      </c>
      <c r="C536" s="11" t="s">
        <v>657</v>
      </c>
      <c r="D536" s="11" t="s">
        <v>516</v>
      </c>
      <c r="E536" t="s">
        <v>2273</v>
      </c>
    </row>
    <row r="537" spans="1:5">
      <c r="A537" s="11">
        <v>4103002</v>
      </c>
      <c r="B537" s="12">
        <v>4103021</v>
      </c>
      <c r="C537" s="11" t="s">
        <v>658</v>
      </c>
      <c r="D537" s="11" t="s">
        <v>102</v>
      </c>
      <c r="E537" t="s">
        <v>2273</v>
      </c>
    </row>
    <row r="538" spans="1:5">
      <c r="A538" s="11">
        <v>4103003</v>
      </c>
      <c r="B538" s="12">
        <v>4103022</v>
      </c>
      <c r="C538" s="11" t="s">
        <v>659</v>
      </c>
      <c r="D538" s="11" t="s">
        <v>102</v>
      </c>
      <c r="E538" t="s">
        <v>2273</v>
      </c>
    </row>
    <row r="539" spans="1:5">
      <c r="A539" s="11">
        <v>4103004</v>
      </c>
      <c r="B539" s="12">
        <v>4103023</v>
      </c>
      <c r="C539" s="11" t="s">
        <v>660</v>
      </c>
      <c r="D539" s="11" t="s">
        <v>102</v>
      </c>
      <c r="E539" t="s">
        <v>2273</v>
      </c>
    </row>
    <row r="540" spans="1:5">
      <c r="A540" s="11">
        <v>4103005</v>
      </c>
      <c r="B540" s="12">
        <v>4103024</v>
      </c>
      <c r="C540" s="11" t="s">
        <v>661</v>
      </c>
      <c r="D540" s="11" t="s">
        <v>102</v>
      </c>
      <c r="E540" t="s">
        <v>2273</v>
      </c>
    </row>
    <row r="541" spans="1:5">
      <c r="A541" s="11">
        <v>4103006</v>
      </c>
      <c r="B541" s="12">
        <v>4103025</v>
      </c>
      <c r="C541" s="11" t="s">
        <v>662</v>
      </c>
      <c r="D541" s="11" t="s">
        <v>102</v>
      </c>
      <c r="E541" t="s">
        <v>2273</v>
      </c>
    </row>
    <row r="542" spans="1:5">
      <c r="A542" s="11">
        <v>4103007</v>
      </c>
      <c r="B542" s="12">
        <v>4103026</v>
      </c>
      <c r="C542" s="11" t="s">
        <v>663</v>
      </c>
      <c r="D542" s="11" t="s">
        <v>102</v>
      </c>
      <c r="E542" t="s">
        <v>2273</v>
      </c>
    </row>
    <row r="543" spans="1:5">
      <c r="A543" s="11">
        <v>4103008</v>
      </c>
      <c r="B543" s="12">
        <v>4103027</v>
      </c>
      <c r="C543" s="11" t="s">
        <v>664</v>
      </c>
      <c r="D543" s="11" t="s">
        <v>102</v>
      </c>
      <c r="E543" t="s">
        <v>2273</v>
      </c>
    </row>
    <row r="544" spans="1:5">
      <c r="A544" s="11">
        <v>4103009</v>
      </c>
      <c r="B544" s="12">
        <v>4103028</v>
      </c>
      <c r="C544" s="11" t="s">
        <v>665</v>
      </c>
      <c r="D544" s="11" t="s">
        <v>102</v>
      </c>
      <c r="E544" t="s">
        <v>2273</v>
      </c>
    </row>
    <row r="545" spans="1:5">
      <c r="A545" s="11">
        <v>4104000</v>
      </c>
      <c r="B545" s="12">
        <v>4104090</v>
      </c>
      <c r="C545" s="11" t="s">
        <v>666</v>
      </c>
      <c r="D545" s="11" t="s">
        <v>102</v>
      </c>
      <c r="E545" t="s">
        <v>2273</v>
      </c>
    </row>
    <row r="546" spans="1:5">
      <c r="A546" s="11">
        <v>4104001</v>
      </c>
      <c r="B546" s="12">
        <v>4104091</v>
      </c>
      <c r="C546" s="11" t="s">
        <v>667</v>
      </c>
      <c r="D546" s="11" t="s">
        <v>102</v>
      </c>
      <c r="E546" t="s">
        <v>2273</v>
      </c>
    </row>
    <row r="547" spans="1:5">
      <c r="A547" s="11">
        <v>4104002</v>
      </c>
      <c r="B547" s="12">
        <v>4104092</v>
      </c>
      <c r="C547" s="11" t="s">
        <v>668</v>
      </c>
      <c r="D547" s="11" t="s">
        <v>102</v>
      </c>
      <c r="E547" t="s">
        <v>2273</v>
      </c>
    </row>
    <row r="548" spans="1:5">
      <c r="A548" s="11">
        <v>4104003</v>
      </c>
      <c r="B548" s="12">
        <v>4104093</v>
      </c>
      <c r="C548" s="11" t="s">
        <v>669</v>
      </c>
      <c r="D548" s="11" t="s">
        <v>102</v>
      </c>
      <c r="E548" t="s">
        <v>2273</v>
      </c>
    </row>
    <row r="549" spans="1:5">
      <c r="A549" s="11">
        <v>4104004</v>
      </c>
      <c r="B549" s="12">
        <v>4104094</v>
      </c>
      <c r="C549" s="11" t="s">
        <v>670</v>
      </c>
      <c r="D549" s="11" t="s">
        <v>102</v>
      </c>
      <c r="E549" t="s">
        <v>2273</v>
      </c>
    </row>
    <row r="550" spans="1:5">
      <c r="A550" s="11">
        <v>4104005</v>
      </c>
      <c r="B550" s="12">
        <v>4104095</v>
      </c>
      <c r="C550" s="11" t="s">
        <v>671</v>
      </c>
      <c r="D550" s="11" t="s">
        <v>102</v>
      </c>
      <c r="E550" t="s">
        <v>2273</v>
      </c>
    </row>
    <row r="551" spans="1:5">
      <c r="A551" s="11">
        <v>4104006</v>
      </c>
      <c r="B551" s="12">
        <v>4104096</v>
      </c>
      <c r="C551" s="11" t="s">
        <v>672</v>
      </c>
      <c r="D551" s="11" t="s">
        <v>102</v>
      </c>
      <c r="E551" t="s">
        <v>2273</v>
      </c>
    </row>
    <row r="552" spans="1:5">
      <c r="A552" s="11">
        <v>4104007</v>
      </c>
      <c r="B552" s="12">
        <v>4104097</v>
      </c>
      <c r="C552" s="11" t="s">
        <v>673</v>
      </c>
      <c r="D552" s="11" t="s">
        <v>102</v>
      </c>
      <c r="E552" t="s">
        <v>2273</v>
      </c>
    </row>
    <row r="553" spans="1:5">
      <c r="A553" s="11">
        <v>4104008</v>
      </c>
      <c r="B553" s="12">
        <v>4104098</v>
      </c>
      <c r="C553" s="11" t="s">
        <v>674</v>
      </c>
      <c r="D553" s="11" t="s">
        <v>102</v>
      </c>
      <c r="E553" t="s">
        <v>2273</v>
      </c>
    </row>
    <row r="554" spans="1:5">
      <c r="A554" s="11">
        <v>4104009</v>
      </c>
      <c r="B554" s="12">
        <v>4104099</v>
      </c>
      <c r="C554" s="11" t="s">
        <v>675</v>
      </c>
      <c r="D554" s="11" t="s">
        <v>102</v>
      </c>
      <c r="E554" t="s">
        <v>2273</v>
      </c>
    </row>
    <row r="555" spans="1:5">
      <c r="A555" s="11">
        <v>4104010</v>
      </c>
      <c r="B555" s="12">
        <v>4104100</v>
      </c>
      <c r="C555" s="11" t="s">
        <v>676</v>
      </c>
      <c r="D555" s="11" t="s">
        <v>102</v>
      </c>
      <c r="E555" t="s">
        <v>2273</v>
      </c>
    </row>
    <row r="556" spans="1:5">
      <c r="A556" s="11">
        <v>4104011</v>
      </c>
      <c r="B556" s="12">
        <v>4104101</v>
      </c>
      <c r="C556" s="11" t="s">
        <v>677</v>
      </c>
      <c r="D556" s="11" t="s">
        <v>102</v>
      </c>
      <c r="E556" t="s">
        <v>2273</v>
      </c>
    </row>
    <row r="557" spans="1:5">
      <c r="A557" s="11">
        <v>4104012</v>
      </c>
      <c r="B557" s="12">
        <v>4104102</v>
      </c>
      <c r="C557" s="11" t="s">
        <v>678</v>
      </c>
      <c r="D557" s="11" t="s">
        <v>102</v>
      </c>
      <c r="E557" t="s">
        <v>2273</v>
      </c>
    </row>
    <row r="558" spans="1:5">
      <c r="A558" s="11">
        <v>4104013</v>
      </c>
      <c r="B558" s="12">
        <v>4104103</v>
      </c>
      <c r="C558" s="11" t="s">
        <v>679</v>
      </c>
      <c r="D558" s="11" t="s">
        <v>102</v>
      </c>
      <c r="E558" t="s">
        <v>2273</v>
      </c>
    </row>
    <row r="559" spans="1:5">
      <c r="A559" s="11">
        <v>4104014</v>
      </c>
      <c r="B559" s="12">
        <v>4104104</v>
      </c>
      <c r="C559" s="11" t="s">
        <v>680</v>
      </c>
      <c r="D559" s="11" t="s">
        <v>102</v>
      </c>
      <c r="E559" t="s">
        <v>2273</v>
      </c>
    </row>
    <row r="560" spans="1:5">
      <c r="A560" s="11">
        <v>4104015</v>
      </c>
      <c r="B560" s="12">
        <v>4104105</v>
      </c>
      <c r="C560" s="11" t="s">
        <v>681</v>
      </c>
      <c r="D560" s="11" t="s">
        <v>102</v>
      </c>
      <c r="E560" t="s">
        <v>2273</v>
      </c>
    </row>
    <row r="561" spans="1:5">
      <c r="A561" s="11">
        <v>4104016</v>
      </c>
      <c r="B561" s="12">
        <v>4104106</v>
      </c>
      <c r="C561" s="11" t="s">
        <v>682</v>
      </c>
      <c r="D561" s="11" t="s">
        <v>102</v>
      </c>
      <c r="E561" t="s">
        <v>2273</v>
      </c>
    </row>
    <row r="562" spans="1:5">
      <c r="A562" s="11">
        <v>4104017</v>
      </c>
      <c r="B562" s="12">
        <v>4104107</v>
      </c>
      <c r="C562" s="11" t="s">
        <v>683</v>
      </c>
      <c r="D562" s="11" t="s">
        <v>102</v>
      </c>
      <c r="E562" t="s">
        <v>2273</v>
      </c>
    </row>
    <row r="563" spans="1:5">
      <c r="A563" s="11">
        <v>4104018</v>
      </c>
      <c r="B563" s="12">
        <v>4104108</v>
      </c>
      <c r="C563" s="11" t="s">
        <v>684</v>
      </c>
      <c r="D563" s="11" t="s">
        <v>102</v>
      </c>
      <c r="E563" t="s">
        <v>2273</v>
      </c>
    </row>
    <row r="564" spans="1:5">
      <c r="A564" s="11"/>
      <c r="B564" s="11">
        <v>4104019</v>
      </c>
      <c r="C564" s="11" t="s">
        <v>685</v>
      </c>
      <c r="D564" s="11" t="s">
        <v>102</v>
      </c>
      <c r="E564" t="s">
        <v>2273</v>
      </c>
    </row>
    <row r="565" spans="1:5">
      <c r="A565" s="11">
        <v>4104020</v>
      </c>
      <c r="B565" s="12">
        <v>4104109</v>
      </c>
      <c r="C565" s="11" t="s">
        <v>686</v>
      </c>
      <c r="D565" s="11" t="s">
        <v>102</v>
      </c>
      <c r="E565" t="s">
        <v>2273</v>
      </c>
    </row>
    <row r="566" spans="1:5">
      <c r="A566" s="11">
        <v>4104021</v>
      </c>
      <c r="B566" s="12">
        <v>4104110</v>
      </c>
      <c r="C566" s="11" t="s">
        <v>687</v>
      </c>
      <c r="D566" s="11" t="s">
        <v>102</v>
      </c>
      <c r="E566" t="s">
        <v>2273</v>
      </c>
    </row>
    <row r="567" spans="1:5">
      <c r="A567" s="11">
        <v>4104022</v>
      </c>
      <c r="B567" s="12">
        <v>4104111</v>
      </c>
      <c r="C567" s="11" t="s">
        <v>688</v>
      </c>
      <c r="D567" s="11" t="s">
        <v>102</v>
      </c>
      <c r="E567" t="s">
        <v>2273</v>
      </c>
    </row>
    <row r="568" spans="1:5">
      <c r="A568" s="11">
        <v>4104023</v>
      </c>
      <c r="B568" s="12">
        <v>4104112</v>
      </c>
      <c r="C568" s="11" t="s">
        <v>689</v>
      </c>
      <c r="D568" s="11" t="s">
        <v>102</v>
      </c>
      <c r="E568" t="s">
        <v>2273</v>
      </c>
    </row>
    <row r="569" spans="1:5">
      <c r="A569" s="11">
        <v>4104024</v>
      </c>
      <c r="B569" s="12">
        <v>4104113</v>
      </c>
      <c r="C569" s="11" t="s">
        <v>690</v>
      </c>
      <c r="D569" s="11" t="s">
        <v>102</v>
      </c>
      <c r="E569" t="s">
        <v>2273</v>
      </c>
    </row>
    <row r="570" spans="1:5">
      <c r="A570" s="11">
        <v>4104025</v>
      </c>
      <c r="B570" s="12">
        <v>4104114</v>
      </c>
      <c r="C570" s="11" t="s">
        <v>691</v>
      </c>
      <c r="D570" s="11" t="s">
        <v>102</v>
      </c>
      <c r="E570" t="s">
        <v>2273</v>
      </c>
    </row>
    <row r="571" spans="1:5">
      <c r="A571" s="11">
        <v>4104026</v>
      </c>
      <c r="B571" s="12">
        <v>4104115</v>
      </c>
      <c r="C571" s="11" t="s">
        <v>692</v>
      </c>
      <c r="D571" s="11" t="s">
        <v>102</v>
      </c>
      <c r="E571" t="s">
        <v>2273</v>
      </c>
    </row>
    <row r="572" spans="1:5">
      <c r="A572" s="11">
        <v>4104027</v>
      </c>
      <c r="B572" s="12">
        <v>4104116</v>
      </c>
      <c r="C572" s="11" t="s">
        <v>693</v>
      </c>
      <c r="D572" s="11" t="s">
        <v>102</v>
      </c>
      <c r="E572" t="s">
        <v>2273</v>
      </c>
    </row>
    <row r="573" spans="1:5">
      <c r="A573" s="11">
        <v>4104028</v>
      </c>
      <c r="B573" s="12">
        <v>4104117</v>
      </c>
      <c r="C573" s="11" t="s">
        <v>694</v>
      </c>
      <c r="D573" s="11" t="s">
        <v>102</v>
      </c>
      <c r="E573" t="s">
        <v>2273</v>
      </c>
    </row>
    <row r="574" spans="1:5">
      <c r="A574" s="11">
        <v>4104029</v>
      </c>
      <c r="B574" s="12">
        <v>4104118</v>
      </c>
      <c r="C574" s="11" t="s">
        <v>695</v>
      </c>
      <c r="D574" s="11" t="s">
        <v>102</v>
      </c>
      <c r="E574" t="s">
        <v>2273</v>
      </c>
    </row>
    <row r="575" spans="1:5">
      <c r="A575" s="11">
        <v>4104030</v>
      </c>
      <c r="B575" s="12">
        <v>4104119</v>
      </c>
      <c r="C575" s="11" t="s">
        <v>696</v>
      </c>
      <c r="D575" s="11" t="s">
        <v>102</v>
      </c>
      <c r="E575" t="s">
        <v>2273</v>
      </c>
    </row>
    <row r="576" spans="1:5">
      <c r="A576" s="11">
        <v>4104031</v>
      </c>
      <c r="B576" s="12">
        <v>4104120</v>
      </c>
      <c r="C576" s="11" t="s">
        <v>697</v>
      </c>
      <c r="D576" s="11" t="s">
        <v>102</v>
      </c>
      <c r="E576" t="s">
        <v>2273</v>
      </c>
    </row>
    <row r="577" spans="1:5">
      <c r="A577" s="11">
        <v>4104032</v>
      </c>
      <c r="B577" s="12">
        <v>4104121</v>
      </c>
      <c r="C577" s="11" t="s">
        <v>698</v>
      </c>
      <c r="D577" s="11" t="s">
        <v>102</v>
      </c>
      <c r="E577" t="s">
        <v>2273</v>
      </c>
    </row>
    <row r="578" spans="1:5">
      <c r="A578" s="11">
        <v>4104033</v>
      </c>
      <c r="B578" s="12">
        <v>4104122</v>
      </c>
      <c r="C578" s="11" t="s">
        <v>699</v>
      </c>
      <c r="D578" s="11" t="s">
        <v>102</v>
      </c>
      <c r="E578" t="s">
        <v>2273</v>
      </c>
    </row>
    <row r="579" spans="1:5">
      <c r="A579" s="11">
        <v>4104034</v>
      </c>
      <c r="B579" s="12">
        <v>4104123</v>
      </c>
      <c r="C579" s="11" t="s">
        <v>700</v>
      </c>
      <c r="D579" s="11" t="s">
        <v>102</v>
      </c>
      <c r="E579" t="s">
        <v>2273</v>
      </c>
    </row>
    <row r="580" spans="1:5">
      <c r="A580" s="11">
        <v>4104035</v>
      </c>
      <c r="B580" s="12">
        <v>4104124</v>
      </c>
      <c r="C580" s="11" t="s">
        <v>701</v>
      </c>
      <c r="D580" s="11" t="s">
        <v>102</v>
      </c>
      <c r="E580" t="s">
        <v>2273</v>
      </c>
    </row>
    <row r="581" spans="1:5">
      <c r="A581" s="11">
        <v>4104036</v>
      </c>
      <c r="B581" s="12">
        <v>4104125</v>
      </c>
      <c r="C581" s="11" t="s">
        <v>702</v>
      </c>
      <c r="D581" s="11" t="s">
        <v>102</v>
      </c>
      <c r="E581" t="s">
        <v>2273</v>
      </c>
    </row>
    <row r="582" spans="1:5">
      <c r="A582" s="11">
        <v>4104037</v>
      </c>
      <c r="B582" s="12">
        <v>4104126</v>
      </c>
      <c r="C582" s="11" t="s">
        <v>703</v>
      </c>
      <c r="D582" s="11" t="s">
        <v>102</v>
      </c>
      <c r="E582" t="s">
        <v>2273</v>
      </c>
    </row>
    <row r="583" spans="1:5">
      <c r="A583" s="11">
        <v>4104038</v>
      </c>
      <c r="B583" s="12">
        <v>4104127</v>
      </c>
      <c r="C583" s="11" t="s">
        <v>704</v>
      </c>
      <c r="D583" s="11" t="s">
        <v>102</v>
      </c>
      <c r="E583" t="s">
        <v>2273</v>
      </c>
    </row>
    <row r="584" spans="1:5">
      <c r="A584" s="11">
        <v>4104039</v>
      </c>
      <c r="B584" s="12">
        <v>4104128</v>
      </c>
      <c r="C584" s="11" t="s">
        <v>705</v>
      </c>
      <c r="D584" s="11" t="s">
        <v>102</v>
      </c>
      <c r="E584" t="s">
        <v>2273</v>
      </c>
    </row>
    <row r="585" spans="1:5">
      <c r="A585" s="11">
        <v>4104040</v>
      </c>
      <c r="B585" s="12">
        <v>4104129</v>
      </c>
      <c r="C585" s="11" t="s">
        <v>706</v>
      </c>
      <c r="D585" s="11" t="s">
        <v>102</v>
      </c>
      <c r="E585" t="s">
        <v>2273</v>
      </c>
    </row>
    <row r="586" spans="1:5">
      <c r="A586" s="11">
        <v>4104041</v>
      </c>
      <c r="B586" s="12">
        <v>4104130</v>
      </c>
      <c r="C586" s="11" t="s">
        <v>707</v>
      </c>
      <c r="D586" s="11" t="s">
        <v>102</v>
      </c>
      <c r="E586" t="s">
        <v>2273</v>
      </c>
    </row>
    <row r="587" spans="1:5">
      <c r="A587" s="11">
        <v>4104042</v>
      </c>
      <c r="B587" s="12">
        <v>4104131</v>
      </c>
      <c r="C587" s="11" t="s">
        <v>708</v>
      </c>
      <c r="D587" s="11" t="s">
        <v>102</v>
      </c>
      <c r="E587" t="s">
        <v>2273</v>
      </c>
    </row>
    <row r="588" spans="1:5">
      <c r="A588" s="11">
        <v>4104043</v>
      </c>
      <c r="B588" s="12">
        <v>4104132</v>
      </c>
      <c r="C588" s="11" t="s">
        <v>709</v>
      </c>
      <c r="D588" s="11" t="s">
        <v>102</v>
      </c>
      <c r="E588" t="s">
        <v>2273</v>
      </c>
    </row>
    <row r="589" spans="1:5">
      <c r="A589" s="11">
        <v>4104044</v>
      </c>
      <c r="B589" s="12">
        <v>4104133</v>
      </c>
      <c r="C589" s="11" t="s">
        <v>710</v>
      </c>
      <c r="D589" s="11" t="s">
        <v>102</v>
      </c>
      <c r="E589" t="s">
        <v>2273</v>
      </c>
    </row>
    <row r="590" spans="1:5">
      <c r="A590" s="11">
        <v>4104045</v>
      </c>
      <c r="B590" s="12">
        <v>4104134</v>
      </c>
      <c r="C590" s="11" t="s">
        <v>711</v>
      </c>
      <c r="D590" s="11" t="s">
        <v>102</v>
      </c>
      <c r="E590" t="s">
        <v>2273</v>
      </c>
    </row>
    <row r="591" spans="1:5">
      <c r="A591" s="11">
        <v>4104046</v>
      </c>
      <c r="B591" s="12">
        <v>4104135</v>
      </c>
      <c r="C591" s="11" t="s">
        <v>712</v>
      </c>
      <c r="D591" s="11" t="s">
        <v>102</v>
      </c>
      <c r="E591" t="s">
        <v>2273</v>
      </c>
    </row>
    <row r="592" spans="1:5">
      <c r="A592" s="11">
        <v>4104047</v>
      </c>
      <c r="B592" s="12">
        <v>4104136</v>
      </c>
      <c r="C592" s="11" t="s">
        <v>713</v>
      </c>
      <c r="D592" s="11" t="s">
        <v>102</v>
      </c>
      <c r="E592" t="s">
        <v>2273</v>
      </c>
    </row>
    <row r="593" spans="1:5">
      <c r="A593" s="11">
        <v>4104048</v>
      </c>
      <c r="B593" s="12">
        <v>4104137</v>
      </c>
      <c r="C593" s="11" t="s">
        <v>714</v>
      </c>
      <c r="D593" s="11" t="s">
        <v>102</v>
      </c>
      <c r="E593" t="s">
        <v>2273</v>
      </c>
    </row>
    <row r="594" spans="1:5">
      <c r="A594" s="11">
        <v>4104049</v>
      </c>
      <c r="B594" s="12">
        <v>4104138</v>
      </c>
      <c r="C594" s="11" t="s">
        <v>715</v>
      </c>
      <c r="D594" s="11" t="s">
        <v>102</v>
      </c>
      <c r="E594" t="s">
        <v>2273</v>
      </c>
    </row>
    <row r="595" spans="1:5">
      <c r="A595" s="11">
        <v>4104051</v>
      </c>
      <c r="B595" s="12">
        <v>4104140</v>
      </c>
      <c r="C595" s="11" t="s">
        <v>716</v>
      </c>
      <c r="D595" s="11" t="s">
        <v>102</v>
      </c>
      <c r="E595" t="s">
        <v>2273</v>
      </c>
    </row>
    <row r="596" spans="1:5">
      <c r="A596" s="11">
        <v>4104052</v>
      </c>
      <c r="B596" s="12">
        <v>4104141</v>
      </c>
      <c r="C596" s="11" t="s">
        <v>717</v>
      </c>
      <c r="D596" s="11" t="s">
        <v>102</v>
      </c>
      <c r="E596" t="s">
        <v>2273</v>
      </c>
    </row>
    <row r="597" spans="1:5">
      <c r="A597" s="11">
        <v>4104053</v>
      </c>
      <c r="B597" s="12">
        <v>4104142</v>
      </c>
      <c r="C597" s="11" t="s">
        <v>718</v>
      </c>
      <c r="D597" s="11" t="s">
        <v>102</v>
      </c>
      <c r="E597" t="s">
        <v>2273</v>
      </c>
    </row>
    <row r="598" spans="1:5">
      <c r="A598" s="11">
        <v>4104054</v>
      </c>
      <c r="B598" s="12">
        <v>4104143</v>
      </c>
      <c r="C598" s="11" t="s">
        <v>719</v>
      </c>
      <c r="D598" s="11" t="s">
        <v>102</v>
      </c>
      <c r="E598" t="s">
        <v>2273</v>
      </c>
    </row>
    <row r="599" spans="1:5">
      <c r="A599" s="11">
        <v>4104055</v>
      </c>
      <c r="B599" s="12">
        <v>4104144</v>
      </c>
      <c r="C599" s="11" t="s">
        <v>720</v>
      </c>
      <c r="D599" s="11" t="s">
        <v>102</v>
      </c>
      <c r="E599" t="s">
        <v>2273</v>
      </c>
    </row>
    <row r="600" spans="1:5">
      <c r="A600" s="11">
        <v>4104056</v>
      </c>
      <c r="B600" s="12">
        <v>4104145</v>
      </c>
      <c r="C600" s="11" t="s">
        <v>721</v>
      </c>
      <c r="D600" s="11" t="s">
        <v>102</v>
      </c>
      <c r="E600" t="s">
        <v>2273</v>
      </c>
    </row>
    <row r="601" spans="1:5">
      <c r="A601" s="11">
        <v>4104057</v>
      </c>
      <c r="B601" s="12">
        <v>4104146</v>
      </c>
      <c r="C601" s="11" t="s">
        <v>722</v>
      </c>
      <c r="D601" s="11" t="s">
        <v>102</v>
      </c>
      <c r="E601" t="s">
        <v>2273</v>
      </c>
    </row>
    <row r="602" spans="1:5">
      <c r="A602" s="11">
        <v>4104058</v>
      </c>
      <c r="B602" s="12">
        <v>4104147</v>
      </c>
      <c r="C602" s="11" t="s">
        <v>723</v>
      </c>
      <c r="D602" s="11" t="s">
        <v>102</v>
      </c>
      <c r="E602" t="s">
        <v>2273</v>
      </c>
    </row>
    <row r="603" spans="1:5">
      <c r="A603" s="11">
        <v>4104059</v>
      </c>
      <c r="B603" s="12">
        <v>4104148</v>
      </c>
      <c r="C603" s="11" t="s">
        <v>724</v>
      </c>
      <c r="D603" s="11" t="s">
        <v>102</v>
      </c>
      <c r="E603" t="s">
        <v>2273</v>
      </c>
    </row>
    <row r="604" spans="1:5">
      <c r="A604" s="11">
        <v>4104060</v>
      </c>
      <c r="B604" s="12">
        <v>4104149</v>
      </c>
      <c r="C604" s="11" t="s">
        <v>725</v>
      </c>
      <c r="D604" s="11" t="s">
        <v>102</v>
      </c>
      <c r="E604" t="s">
        <v>2273</v>
      </c>
    </row>
    <row r="605" spans="1:5">
      <c r="A605" s="11">
        <v>4104061</v>
      </c>
      <c r="B605" s="12">
        <v>4104150</v>
      </c>
      <c r="C605" s="11" t="s">
        <v>726</v>
      </c>
      <c r="D605" s="11" t="s">
        <v>102</v>
      </c>
      <c r="E605" t="s">
        <v>2273</v>
      </c>
    </row>
    <row r="606" spans="1:5">
      <c r="A606" s="11">
        <v>4104062</v>
      </c>
      <c r="B606" s="12">
        <v>4104151</v>
      </c>
      <c r="C606" s="11" t="s">
        <v>727</v>
      </c>
      <c r="D606" s="11" t="s">
        <v>102</v>
      </c>
      <c r="E606" t="s">
        <v>2273</v>
      </c>
    </row>
    <row r="607" spans="1:5">
      <c r="A607" s="11">
        <v>4104063</v>
      </c>
      <c r="B607" s="12">
        <v>4104152</v>
      </c>
      <c r="C607" s="11" t="s">
        <v>728</v>
      </c>
      <c r="D607" s="11" t="s">
        <v>102</v>
      </c>
      <c r="E607" t="s">
        <v>2273</v>
      </c>
    </row>
    <row r="608" spans="1:5">
      <c r="A608" s="11">
        <v>4104064</v>
      </c>
      <c r="B608" s="12">
        <v>4104153</v>
      </c>
      <c r="C608" s="11" t="s">
        <v>729</v>
      </c>
      <c r="D608" s="11" t="s">
        <v>102</v>
      </c>
      <c r="E608" t="s">
        <v>2273</v>
      </c>
    </row>
    <row r="609" spans="1:5">
      <c r="A609" s="11">
        <v>4104065</v>
      </c>
      <c r="B609" s="12">
        <v>4104154</v>
      </c>
      <c r="C609" s="11" t="s">
        <v>730</v>
      </c>
      <c r="D609" s="11" t="s">
        <v>102</v>
      </c>
      <c r="E609" t="s">
        <v>2273</v>
      </c>
    </row>
    <row r="610" spans="1:5">
      <c r="A610" s="11">
        <v>4104066</v>
      </c>
      <c r="B610" s="12">
        <v>4104155</v>
      </c>
      <c r="C610" s="11" t="s">
        <v>731</v>
      </c>
      <c r="D610" s="11" t="s">
        <v>102</v>
      </c>
      <c r="E610" t="s">
        <v>2273</v>
      </c>
    </row>
    <row r="611" spans="1:5">
      <c r="A611" s="11">
        <v>4104067</v>
      </c>
      <c r="B611" s="12">
        <v>4104156</v>
      </c>
      <c r="C611" s="11" t="s">
        <v>732</v>
      </c>
      <c r="D611" s="11" t="s">
        <v>102</v>
      </c>
      <c r="E611" t="s">
        <v>2273</v>
      </c>
    </row>
    <row r="612" spans="1:5">
      <c r="A612" s="11">
        <v>4104068</v>
      </c>
      <c r="B612" s="12">
        <v>4104157</v>
      </c>
      <c r="C612" s="11" t="s">
        <v>733</v>
      </c>
      <c r="D612" s="11" t="s">
        <v>102</v>
      </c>
      <c r="E612" t="s">
        <v>2273</v>
      </c>
    </row>
    <row r="613" spans="1:5">
      <c r="A613" s="11">
        <v>4104069</v>
      </c>
      <c r="B613" s="12">
        <v>4104158</v>
      </c>
      <c r="C613" s="11" t="s">
        <v>734</v>
      </c>
      <c r="D613" s="11" t="s">
        <v>102</v>
      </c>
      <c r="E613" t="s">
        <v>2273</v>
      </c>
    </row>
    <row r="614" spans="1:5">
      <c r="A614" s="11">
        <v>4104070</v>
      </c>
      <c r="B614" s="12">
        <v>4104159</v>
      </c>
      <c r="C614" s="11" t="s">
        <v>735</v>
      </c>
      <c r="D614" s="11" t="s">
        <v>102</v>
      </c>
      <c r="E614" t="s">
        <v>2273</v>
      </c>
    </row>
    <row r="615" spans="1:5">
      <c r="A615" s="11">
        <v>4104071</v>
      </c>
      <c r="B615" s="12">
        <v>4104160</v>
      </c>
      <c r="C615" s="11" t="s">
        <v>736</v>
      </c>
      <c r="D615" s="11" t="s">
        <v>102</v>
      </c>
      <c r="E615" t="s">
        <v>2273</v>
      </c>
    </row>
    <row r="616" spans="1:5">
      <c r="A616" s="11">
        <v>4104072</v>
      </c>
      <c r="B616" s="12">
        <v>4104161</v>
      </c>
      <c r="C616" s="11" t="s">
        <v>737</v>
      </c>
      <c r="D616" s="11" t="s">
        <v>102</v>
      </c>
      <c r="E616" t="s">
        <v>2273</v>
      </c>
    </row>
    <row r="617" spans="1:5">
      <c r="A617" s="11">
        <v>4104073</v>
      </c>
      <c r="B617" s="12">
        <v>4104162</v>
      </c>
      <c r="C617" s="11" t="s">
        <v>738</v>
      </c>
      <c r="D617" s="11" t="s">
        <v>102</v>
      </c>
      <c r="E617" t="s">
        <v>2273</v>
      </c>
    </row>
    <row r="618" spans="1:5">
      <c r="A618" s="11">
        <v>4104074</v>
      </c>
      <c r="B618" s="12">
        <v>4104163</v>
      </c>
      <c r="C618" s="11" t="s">
        <v>739</v>
      </c>
      <c r="D618" s="11" t="s">
        <v>102</v>
      </c>
      <c r="E618" t="s">
        <v>2273</v>
      </c>
    </row>
    <row r="619" spans="1:5">
      <c r="A619" s="11"/>
      <c r="B619" s="11">
        <v>4200000</v>
      </c>
      <c r="C619" s="11" t="s">
        <v>740</v>
      </c>
      <c r="D619" s="11" t="s">
        <v>543</v>
      </c>
      <c r="E619" t="s">
        <v>2273</v>
      </c>
    </row>
    <row r="620" spans="1:5">
      <c r="A620" s="11"/>
      <c r="B620" s="11">
        <v>4200001</v>
      </c>
      <c r="C620" s="11" t="s">
        <v>741</v>
      </c>
      <c r="D620" s="11" t="s">
        <v>102</v>
      </c>
      <c r="E620" t="s">
        <v>2273</v>
      </c>
    </row>
    <row r="621" spans="1:5">
      <c r="A621" s="11">
        <v>4201000</v>
      </c>
      <c r="B621" s="12">
        <v>4201030</v>
      </c>
      <c r="C621" s="11" t="s">
        <v>742</v>
      </c>
      <c r="D621" s="11" t="s">
        <v>102</v>
      </c>
      <c r="E621" t="s">
        <v>2273</v>
      </c>
    </row>
    <row r="622" spans="1:5">
      <c r="A622" s="11">
        <v>4201001</v>
      </c>
      <c r="B622" s="12">
        <v>4201031</v>
      </c>
      <c r="C622" s="11" t="s">
        <v>743</v>
      </c>
      <c r="D622" s="11" t="s">
        <v>102</v>
      </c>
      <c r="E622" t="s">
        <v>2273</v>
      </c>
    </row>
    <row r="623" spans="1:5">
      <c r="A623" s="11">
        <v>4201002</v>
      </c>
      <c r="B623" s="12">
        <v>4201032</v>
      </c>
      <c r="C623" s="11" t="s">
        <v>744</v>
      </c>
      <c r="D623" s="11" t="s">
        <v>102</v>
      </c>
      <c r="E623" t="s">
        <v>2273</v>
      </c>
    </row>
    <row r="624" spans="1:5">
      <c r="A624" s="11">
        <v>4201003</v>
      </c>
      <c r="B624" s="12">
        <v>4201033</v>
      </c>
      <c r="C624" s="11" t="s">
        <v>745</v>
      </c>
      <c r="D624" s="11" t="s">
        <v>102</v>
      </c>
      <c r="E624" t="s">
        <v>2273</v>
      </c>
    </row>
    <row r="625" spans="1:5">
      <c r="A625" s="11">
        <v>4201004</v>
      </c>
      <c r="B625" s="12">
        <v>4201034</v>
      </c>
      <c r="C625" s="11" t="s">
        <v>746</v>
      </c>
      <c r="D625" s="11" t="s">
        <v>102</v>
      </c>
      <c r="E625" t="s">
        <v>2273</v>
      </c>
    </row>
    <row r="626" spans="1:5">
      <c r="A626" s="11">
        <v>4201005</v>
      </c>
      <c r="B626" s="12">
        <v>4201035</v>
      </c>
      <c r="C626" s="11" t="s">
        <v>747</v>
      </c>
      <c r="D626" s="11" t="s">
        <v>102</v>
      </c>
      <c r="E626" t="s">
        <v>2273</v>
      </c>
    </row>
    <row r="627" spans="1:5">
      <c r="A627" s="11">
        <v>4201006</v>
      </c>
      <c r="B627" s="12">
        <v>4201036</v>
      </c>
      <c r="C627" s="11" t="s">
        <v>748</v>
      </c>
      <c r="D627" s="12" t="s">
        <v>749</v>
      </c>
      <c r="E627" t="s">
        <v>2273</v>
      </c>
    </row>
    <row r="628" spans="1:5">
      <c r="A628" s="11">
        <v>4201007</v>
      </c>
      <c r="B628" s="12">
        <v>4201037</v>
      </c>
      <c r="C628" s="11" t="s">
        <v>750</v>
      </c>
      <c r="D628" s="11" t="s">
        <v>102</v>
      </c>
      <c r="E628" t="s">
        <v>2273</v>
      </c>
    </row>
    <row r="629" spans="1:5">
      <c r="A629" s="11">
        <v>4201008</v>
      </c>
      <c r="B629" s="12">
        <v>4201038</v>
      </c>
      <c r="C629" s="11" t="s">
        <v>751</v>
      </c>
      <c r="D629" s="11" t="s">
        <v>102</v>
      </c>
      <c r="E629" t="s">
        <v>2273</v>
      </c>
    </row>
    <row r="630" spans="1:5">
      <c r="A630" s="11">
        <v>4201009</v>
      </c>
      <c r="B630" s="12">
        <v>4201039</v>
      </c>
      <c r="C630" s="11" t="s">
        <v>752</v>
      </c>
      <c r="D630" s="11" t="s">
        <v>102</v>
      </c>
      <c r="E630" t="s">
        <v>2273</v>
      </c>
    </row>
    <row r="631" spans="1:5">
      <c r="A631" s="11">
        <v>4201010</v>
      </c>
      <c r="B631" s="12">
        <v>4201040</v>
      </c>
      <c r="C631" s="11" t="s">
        <v>753</v>
      </c>
      <c r="D631" s="11" t="s">
        <v>102</v>
      </c>
      <c r="E631" t="s">
        <v>2273</v>
      </c>
    </row>
    <row r="632" spans="1:5">
      <c r="A632" s="11">
        <v>4201011</v>
      </c>
      <c r="B632" s="12">
        <v>4201041</v>
      </c>
      <c r="C632" s="11" t="s">
        <v>754</v>
      </c>
      <c r="D632" s="11" t="s">
        <v>755</v>
      </c>
      <c r="E632" t="s">
        <v>2273</v>
      </c>
    </row>
    <row r="633" spans="1:5">
      <c r="A633" s="11">
        <v>4201012</v>
      </c>
      <c r="B633" s="12">
        <v>4201042</v>
      </c>
      <c r="C633" s="11" t="s">
        <v>756</v>
      </c>
      <c r="D633" s="11" t="s">
        <v>102</v>
      </c>
      <c r="E633" t="s">
        <v>2273</v>
      </c>
    </row>
    <row r="634" spans="1:5">
      <c r="A634" s="11">
        <v>4201013</v>
      </c>
      <c r="B634" s="12">
        <v>4201043</v>
      </c>
      <c r="C634" s="11" t="s">
        <v>757</v>
      </c>
      <c r="D634" s="11" t="s">
        <v>102</v>
      </c>
      <c r="E634" t="s">
        <v>2273</v>
      </c>
    </row>
    <row r="635" spans="1:5">
      <c r="A635" s="11">
        <v>4201014</v>
      </c>
      <c r="B635" s="12">
        <v>4201044</v>
      </c>
      <c r="C635" s="11" t="s">
        <v>758</v>
      </c>
      <c r="D635" s="11" t="s">
        <v>102</v>
      </c>
      <c r="E635" t="s">
        <v>2273</v>
      </c>
    </row>
    <row r="636" spans="1:5">
      <c r="A636" s="11">
        <v>4201015</v>
      </c>
      <c r="B636" s="12">
        <v>4201045</v>
      </c>
      <c r="C636" s="11" t="s">
        <v>759</v>
      </c>
      <c r="D636" s="11" t="s">
        <v>102</v>
      </c>
      <c r="E636" t="s">
        <v>2273</v>
      </c>
    </row>
    <row r="637" spans="1:5">
      <c r="A637" s="11">
        <v>4201016</v>
      </c>
      <c r="B637" s="12">
        <v>4201046</v>
      </c>
      <c r="C637" s="11" t="s">
        <v>760</v>
      </c>
      <c r="D637" s="11" t="s">
        <v>102</v>
      </c>
      <c r="E637" t="s">
        <v>2273</v>
      </c>
    </row>
    <row r="638" spans="1:5">
      <c r="A638" s="11">
        <v>4201017</v>
      </c>
      <c r="B638" s="12">
        <v>4201047</v>
      </c>
      <c r="C638" s="11" t="s">
        <v>761</v>
      </c>
      <c r="D638" s="11" t="s">
        <v>102</v>
      </c>
      <c r="E638" t="s">
        <v>2273</v>
      </c>
    </row>
    <row r="639" spans="1:5">
      <c r="A639" s="11"/>
      <c r="B639" s="11">
        <v>4900000</v>
      </c>
      <c r="C639" s="11" t="s">
        <v>762</v>
      </c>
      <c r="D639" s="11" t="s">
        <v>220</v>
      </c>
      <c r="E639" t="s">
        <v>2273</v>
      </c>
    </row>
    <row r="640" spans="1:5">
      <c r="A640" s="11"/>
      <c r="B640" s="11">
        <v>4990238</v>
      </c>
      <c r="C640" s="11" t="s">
        <v>763</v>
      </c>
      <c r="D640" s="11" t="s">
        <v>102</v>
      </c>
      <c r="E640" t="s">
        <v>2273</v>
      </c>
    </row>
    <row r="641" spans="1:5">
      <c r="A641" s="11"/>
      <c r="B641" s="11">
        <v>4990240</v>
      </c>
      <c r="C641" s="11" t="s">
        <v>764</v>
      </c>
      <c r="D641" s="11" t="s">
        <v>284</v>
      </c>
      <c r="E641" t="s">
        <v>2273</v>
      </c>
    </row>
    <row r="642" spans="1:5">
      <c r="A642" s="11"/>
      <c r="B642" s="11">
        <v>6050016</v>
      </c>
      <c r="C642" s="11" t="s">
        <v>765</v>
      </c>
      <c r="D642" s="11" t="s">
        <v>102</v>
      </c>
      <c r="E642" t="s">
        <v>2274</v>
      </c>
    </row>
    <row r="643" spans="1:5">
      <c r="A643" s="11"/>
      <c r="B643" s="11">
        <v>6050070</v>
      </c>
      <c r="C643" s="11" t="s">
        <v>766</v>
      </c>
      <c r="D643" s="11" t="s">
        <v>102</v>
      </c>
      <c r="E643" t="s">
        <v>2274</v>
      </c>
    </row>
    <row r="644" spans="1:5">
      <c r="A644" s="11"/>
      <c r="B644" s="11">
        <v>6050083</v>
      </c>
      <c r="C644" s="11" t="s">
        <v>767</v>
      </c>
      <c r="D644" s="11" t="s">
        <v>102</v>
      </c>
      <c r="E644" t="s">
        <v>2274</v>
      </c>
    </row>
    <row r="645" spans="1:5">
      <c r="A645" s="11"/>
      <c r="B645" s="11">
        <v>6050087</v>
      </c>
      <c r="C645" s="11" t="s">
        <v>768</v>
      </c>
      <c r="D645" s="11" t="s">
        <v>102</v>
      </c>
      <c r="E645" t="s">
        <v>2274</v>
      </c>
    </row>
    <row r="646" spans="1:5">
      <c r="A646" s="11"/>
      <c r="B646" s="11">
        <v>6052009</v>
      </c>
      <c r="C646" s="11" t="s">
        <v>769</v>
      </c>
      <c r="D646" s="11" t="s">
        <v>102</v>
      </c>
      <c r="E646" t="s">
        <v>2274</v>
      </c>
    </row>
    <row r="647" spans="1:5">
      <c r="A647" s="11"/>
      <c r="B647" s="11">
        <v>6052017</v>
      </c>
      <c r="C647" s="11" t="s">
        <v>770</v>
      </c>
      <c r="D647" s="11" t="s">
        <v>102</v>
      </c>
      <c r="E647" t="s">
        <v>2274</v>
      </c>
    </row>
    <row r="648" spans="1:5">
      <c r="A648" s="11"/>
      <c r="B648" s="11">
        <v>6055006</v>
      </c>
      <c r="C648" s="11" t="s">
        <v>771</v>
      </c>
      <c r="D648" s="11" t="s">
        <v>102</v>
      </c>
      <c r="E648" t="s">
        <v>2274</v>
      </c>
    </row>
    <row r="649" spans="1:5">
      <c r="A649" s="11"/>
      <c r="B649" s="11">
        <v>6062013</v>
      </c>
      <c r="C649" s="11" t="s">
        <v>772</v>
      </c>
      <c r="D649" s="11" t="s">
        <v>102</v>
      </c>
      <c r="E649" t="s">
        <v>2274</v>
      </c>
    </row>
    <row r="650" spans="1:5">
      <c r="A650" s="11"/>
      <c r="B650" s="11">
        <v>6070001</v>
      </c>
      <c r="C650" s="11" t="s">
        <v>773</v>
      </c>
      <c r="D650" s="11" t="s">
        <v>102</v>
      </c>
      <c r="E650" t="s">
        <v>2274</v>
      </c>
    </row>
    <row r="651" spans="1:5">
      <c r="A651" s="11"/>
      <c r="B651" s="11">
        <v>6070004</v>
      </c>
      <c r="C651" s="11" t="s">
        <v>774</v>
      </c>
      <c r="D651" s="11" t="s">
        <v>102</v>
      </c>
      <c r="E651" t="s">
        <v>2274</v>
      </c>
    </row>
    <row r="652" spans="1:5">
      <c r="A652" s="11"/>
      <c r="B652" s="11">
        <v>6071021</v>
      </c>
      <c r="C652" s="11" t="s">
        <v>775</v>
      </c>
      <c r="D652" s="11" t="s">
        <v>102</v>
      </c>
      <c r="E652" t="s">
        <v>2274</v>
      </c>
    </row>
    <row r="653" spans="1:5">
      <c r="A653" s="11"/>
      <c r="B653" s="11">
        <v>6071022</v>
      </c>
      <c r="C653" s="11" t="s">
        <v>776</v>
      </c>
      <c r="D653" s="11" t="s">
        <v>102</v>
      </c>
      <c r="E653" t="s">
        <v>2274</v>
      </c>
    </row>
    <row r="654" spans="1:5">
      <c r="A654" s="11"/>
      <c r="B654" s="11">
        <v>6990550</v>
      </c>
      <c r="C654" s="11" t="s">
        <v>777</v>
      </c>
      <c r="D654" s="11" t="s">
        <v>102</v>
      </c>
      <c r="E654" t="s">
        <v>2274</v>
      </c>
    </row>
    <row r="655" spans="1:5">
      <c r="A655" s="11"/>
      <c r="B655" s="11">
        <v>6990551</v>
      </c>
      <c r="C655" s="11" t="s">
        <v>778</v>
      </c>
      <c r="D655" s="11" t="s">
        <v>102</v>
      </c>
      <c r="E655" t="s">
        <v>2274</v>
      </c>
    </row>
    <row r="656" spans="1:5">
      <c r="A656" s="11"/>
      <c r="B656" s="11">
        <v>6990576</v>
      </c>
      <c r="C656" s="11" t="s">
        <v>779</v>
      </c>
      <c r="D656" s="11" t="s">
        <v>102</v>
      </c>
      <c r="E656" t="s">
        <v>2274</v>
      </c>
    </row>
    <row r="657" spans="1:5">
      <c r="A657" s="11">
        <v>6990943</v>
      </c>
      <c r="B657" s="14">
        <v>7050047</v>
      </c>
      <c r="C657" s="11" t="s">
        <v>780</v>
      </c>
      <c r="D657" s="11" t="s">
        <v>781</v>
      </c>
      <c r="E657" t="s">
        <v>2274</v>
      </c>
    </row>
    <row r="658" spans="1:5">
      <c r="A658" s="11">
        <v>6990944</v>
      </c>
      <c r="B658" s="14">
        <v>7011104</v>
      </c>
      <c r="C658" s="11" t="s">
        <v>782</v>
      </c>
      <c r="D658" s="11" t="s">
        <v>102</v>
      </c>
      <c r="E658" t="s">
        <v>2274</v>
      </c>
    </row>
    <row r="659" spans="1:5">
      <c r="A659" s="11">
        <v>7010000</v>
      </c>
      <c r="B659" s="12">
        <v>7010091</v>
      </c>
      <c r="C659" s="11" t="s">
        <v>783</v>
      </c>
      <c r="D659" s="11" t="s">
        <v>102</v>
      </c>
      <c r="E659" t="s">
        <v>2274</v>
      </c>
    </row>
    <row r="660" spans="1:5">
      <c r="A660" s="11">
        <v>7010001</v>
      </c>
      <c r="B660" s="12">
        <v>7010092</v>
      </c>
      <c r="C660" s="11" t="s">
        <v>784</v>
      </c>
      <c r="D660" s="11" t="s">
        <v>102</v>
      </c>
      <c r="E660" t="s">
        <v>2274</v>
      </c>
    </row>
    <row r="661" spans="1:5">
      <c r="A661" s="11">
        <v>7010002</v>
      </c>
      <c r="B661" s="12">
        <v>7010093</v>
      </c>
      <c r="C661" s="11" t="s">
        <v>785</v>
      </c>
      <c r="D661" s="11" t="s">
        <v>102</v>
      </c>
      <c r="E661" t="s">
        <v>2274</v>
      </c>
    </row>
    <row r="662" spans="1:5">
      <c r="A662" s="11">
        <v>7010003</v>
      </c>
      <c r="B662" s="12">
        <v>7010094</v>
      </c>
      <c r="C662" s="11" t="s">
        <v>786</v>
      </c>
      <c r="D662" s="11" t="s">
        <v>102</v>
      </c>
      <c r="E662" t="s">
        <v>2274</v>
      </c>
    </row>
    <row r="663" spans="1:5">
      <c r="A663" s="11">
        <v>7010004</v>
      </c>
      <c r="B663" s="12">
        <v>7010095</v>
      </c>
      <c r="C663" s="11" t="s">
        <v>787</v>
      </c>
      <c r="D663" s="11" t="s">
        <v>102</v>
      </c>
      <c r="E663" t="s">
        <v>2274</v>
      </c>
    </row>
    <row r="664" spans="1:5">
      <c r="A664" s="11">
        <v>7010005</v>
      </c>
      <c r="B664" s="12">
        <v>7010096</v>
      </c>
      <c r="C664" s="11" t="s">
        <v>788</v>
      </c>
      <c r="D664" s="11" t="s">
        <v>102</v>
      </c>
      <c r="E664" t="s">
        <v>2274</v>
      </c>
    </row>
    <row r="665" spans="1:5">
      <c r="A665" s="11">
        <v>7010006</v>
      </c>
      <c r="B665" s="11">
        <v>7010105</v>
      </c>
      <c r="C665" s="11" t="s">
        <v>789</v>
      </c>
      <c r="D665" s="11" t="s">
        <v>102</v>
      </c>
      <c r="E665" t="s">
        <v>2274</v>
      </c>
    </row>
    <row r="666" spans="1:5">
      <c r="A666" s="11">
        <v>7010007</v>
      </c>
      <c r="B666" s="14">
        <v>7010109</v>
      </c>
      <c r="C666" s="11" t="s">
        <v>790</v>
      </c>
      <c r="D666" s="11" t="s">
        <v>102</v>
      </c>
      <c r="E666" t="s">
        <v>2274</v>
      </c>
    </row>
    <row r="667" spans="1:5">
      <c r="A667" s="11">
        <v>7010008</v>
      </c>
      <c r="B667" s="11">
        <v>7010110</v>
      </c>
      <c r="C667" s="11" t="s">
        <v>791</v>
      </c>
      <c r="D667" s="11" t="s">
        <v>102</v>
      </c>
      <c r="E667" t="s">
        <v>2274</v>
      </c>
    </row>
    <row r="668" spans="1:5">
      <c r="A668" s="11">
        <v>7010009</v>
      </c>
      <c r="B668" s="11">
        <v>7010111</v>
      </c>
      <c r="C668" s="11" t="s">
        <v>792</v>
      </c>
      <c r="D668" s="11" t="s">
        <v>102</v>
      </c>
      <c r="E668" t="s">
        <v>2274</v>
      </c>
    </row>
    <row r="669" spans="1:5">
      <c r="A669" s="11">
        <v>7010010</v>
      </c>
      <c r="B669" s="11">
        <v>7010112</v>
      </c>
      <c r="C669" s="11" t="s">
        <v>793</v>
      </c>
      <c r="D669" s="11" t="s">
        <v>102</v>
      </c>
      <c r="E669" t="s">
        <v>2274</v>
      </c>
    </row>
    <row r="670" spans="1:5">
      <c r="A670" s="11">
        <v>7010011</v>
      </c>
      <c r="B670" s="11">
        <v>7010113</v>
      </c>
      <c r="C670" s="11" t="s">
        <v>794</v>
      </c>
      <c r="D670" s="11" t="s">
        <v>102</v>
      </c>
      <c r="E670" t="s">
        <v>2274</v>
      </c>
    </row>
    <row r="671" spans="1:5">
      <c r="A671" s="11">
        <v>7010012</v>
      </c>
      <c r="B671" s="11">
        <v>7010114</v>
      </c>
      <c r="C671" s="11" t="s">
        <v>795</v>
      </c>
      <c r="D671" s="11" t="s">
        <v>102</v>
      </c>
      <c r="E671" t="s">
        <v>2274</v>
      </c>
    </row>
    <row r="672" spans="1:5">
      <c r="A672" s="11">
        <v>7010013</v>
      </c>
      <c r="B672" s="11">
        <v>7010125</v>
      </c>
      <c r="C672" s="11" t="s">
        <v>796</v>
      </c>
      <c r="D672" s="11" t="s">
        <v>102</v>
      </c>
      <c r="E672" t="s">
        <v>2274</v>
      </c>
    </row>
    <row r="673" spans="1:5">
      <c r="A673" s="11">
        <v>7010014</v>
      </c>
      <c r="B673" s="11">
        <v>7010126</v>
      </c>
      <c r="C673" s="11" t="s">
        <v>797</v>
      </c>
      <c r="D673" s="11" t="s">
        <v>102</v>
      </c>
      <c r="E673" t="s">
        <v>2274</v>
      </c>
    </row>
    <row r="674" spans="1:5">
      <c r="A674" s="11">
        <v>7010015</v>
      </c>
      <c r="B674" s="11">
        <v>7010127</v>
      </c>
      <c r="C674" s="11" t="s">
        <v>798</v>
      </c>
      <c r="D674" s="11" t="s">
        <v>102</v>
      </c>
      <c r="E674" t="s">
        <v>2274</v>
      </c>
    </row>
    <row r="675" spans="1:5">
      <c r="A675" s="11"/>
      <c r="B675" s="11">
        <v>7010016</v>
      </c>
      <c r="C675" s="11" t="s">
        <v>799</v>
      </c>
      <c r="D675" s="11" t="s">
        <v>102</v>
      </c>
      <c r="E675" t="s">
        <v>2274</v>
      </c>
    </row>
    <row r="676" spans="1:5">
      <c r="A676" s="11">
        <v>7010017</v>
      </c>
      <c r="B676" s="11">
        <v>7010097</v>
      </c>
      <c r="C676" s="11" t="s">
        <v>800</v>
      </c>
      <c r="D676" s="11" t="s">
        <v>516</v>
      </c>
      <c r="E676" t="s">
        <v>2274</v>
      </c>
    </row>
    <row r="677" spans="1:5">
      <c r="A677" s="11">
        <v>7010018</v>
      </c>
      <c r="B677" s="12">
        <v>7010098</v>
      </c>
      <c r="C677" s="11" t="s">
        <v>801</v>
      </c>
      <c r="D677" s="11" t="s">
        <v>102</v>
      </c>
      <c r="E677" t="s">
        <v>2274</v>
      </c>
    </row>
    <row r="678" spans="1:5">
      <c r="A678" s="11">
        <v>7010019</v>
      </c>
      <c r="B678" s="12">
        <v>7010099</v>
      </c>
      <c r="C678" s="11" t="s">
        <v>802</v>
      </c>
      <c r="D678" s="11" t="s">
        <v>102</v>
      </c>
      <c r="E678" t="s">
        <v>2274</v>
      </c>
    </row>
    <row r="679" spans="1:5">
      <c r="A679" s="11">
        <v>7010020</v>
      </c>
      <c r="B679" s="12">
        <v>7010100</v>
      </c>
      <c r="C679" s="11" t="s">
        <v>803</v>
      </c>
      <c r="D679" s="11" t="s">
        <v>102</v>
      </c>
      <c r="E679" t="s">
        <v>2274</v>
      </c>
    </row>
    <row r="680" spans="1:5">
      <c r="A680" s="11">
        <v>7010021</v>
      </c>
      <c r="B680" s="12">
        <v>7010101</v>
      </c>
      <c r="C680" s="11" t="s">
        <v>804</v>
      </c>
      <c r="D680" s="11" t="s">
        <v>102</v>
      </c>
      <c r="E680" t="s">
        <v>2274</v>
      </c>
    </row>
    <row r="681" spans="1:5">
      <c r="A681" s="11">
        <v>7010022</v>
      </c>
      <c r="B681" s="12">
        <v>7010102</v>
      </c>
      <c r="C681" s="11" t="s">
        <v>805</v>
      </c>
      <c r="D681" s="11" t="s">
        <v>102</v>
      </c>
      <c r="E681" t="s">
        <v>2274</v>
      </c>
    </row>
    <row r="682" spans="1:5">
      <c r="A682" s="11">
        <v>7010023</v>
      </c>
      <c r="B682" s="12">
        <v>7010103</v>
      </c>
      <c r="C682" s="11" t="s">
        <v>806</v>
      </c>
      <c r="D682" s="11" t="s">
        <v>102</v>
      </c>
      <c r="E682" t="s">
        <v>2274</v>
      </c>
    </row>
    <row r="683" spans="1:5">
      <c r="A683" s="11">
        <v>7010024</v>
      </c>
      <c r="B683" s="11">
        <v>7010104</v>
      </c>
      <c r="C683" s="11" t="s">
        <v>807</v>
      </c>
      <c r="D683" s="11" t="s">
        <v>102</v>
      </c>
      <c r="E683" t="s">
        <v>2274</v>
      </c>
    </row>
    <row r="684" spans="1:5">
      <c r="A684" s="11"/>
      <c r="B684" s="11">
        <v>7010025</v>
      </c>
      <c r="C684" s="11" t="s">
        <v>808</v>
      </c>
      <c r="D684" s="11" t="s">
        <v>102</v>
      </c>
      <c r="E684" t="s">
        <v>2274</v>
      </c>
    </row>
    <row r="685" spans="1:5">
      <c r="A685" s="11"/>
      <c r="B685" s="11">
        <v>7010026</v>
      </c>
      <c r="C685" s="11" t="s">
        <v>809</v>
      </c>
      <c r="D685" s="11" t="s">
        <v>102</v>
      </c>
      <c r="E685" t="s">
        <v>2274</v>
      </c>
    </row>
    <row r="686" spans="1:5">
      <c r="A686" s="11"/>
      <c r="B686" s="11">
        <v>7010027</v>
      </c>
      <c r="C686" s="11" t="s">
        <v>810</v>
      </c>
      <c r="D686" s="11" t="s">
        <v>102</v>
      </c>
      <c r="E686" t="s">
        <v>2274</v>
      </c>
    </row>
    <row r="687" spans="1:5">
      <c r="A687" s="11"/>
      <c r="B687" s="11">
        <v>7010028</v>
      </c>
      <c r="C687" s="11" t="s">
        <v>811</v>
      </c>
      <c r="D687" s="11" t="s">
        <v>102</v>
      </c>
      <c r="E687" t="s">
        <v>2274</v>
      </c>
    </row>
    <row r="688" spans="1:5">
      <c r="A688" s="11"/>
      <c r="B688" s="11">
        <v>7010029</v>
      </c>
      <c r="C688" s="11" t="s">
        <v>812</v>
      </c>
      <c r="D688" s="11" t="s">
        <v>102</v>
      </c>
      <c r="E688" t="s">
        <v>2274</v>
      </c>
    </row>
    <row r="689" spans="1:5">
      <c r="A689" s="11"/>
      <c r="B689" s="11">
        <v>7010030</v>
      </c>
      <c r="C689" s="11" t="s">
        <v>813</v>
      </c>
      <c r="D689" s="11" t="s">
        <v>102</v>
      </c>
      <c r="E689" t="s">
        <v>2274</v>
      </c>
    </row>
    <row r="690" spans="1:5">
      <c r="A690" s="11"/>
      <c r="B690" s="11">
        <v>7010031</v>
      </c>
      <c r="C690" s="11" t="s">
        <v>814</v>
      </c>
      <c r="D690" s="11" t="s">
        <v>102</v>
      </c>
      <c r="E690" t="s">
        <v>2274</v>
      </c>
    </row>
    <row r="691" spans="1:5">
      <c r="A691" s="11"/>
      <c r="B691" s="11">
        <v>7010032</v>
      </c>
      <c r="C691" s="11" t="s">
        <v>815</v>
      </c>
      <c r="D691" s="11" t="s">
        <v>102</v>
      </c>
      <c r="E691" t="s">
        <v>2274</v>
      </c>
    </row>
    <row r="692" spans="1:5">
      <c r="A692" s="11">
        <v>7010033</v>
      </c>
      <c r="B692" s="11">
        <v>7010133</v>
      </c>
      <c r="C692" s="11" t="s">
        <v>816</v>
      </c>
      <c r="D692" s="11" t="s">
        <v>102</v>
      </c>
      <c r="E692" t="s">
        <v>2274</v>
      </c>
    </row>
    <row r="693" spans="1:5">
      <c r="A693" s="11">
        <v>7010034</v>
      </c>
      <c r="B693" s="11">
        <v>7010134</v>
      </c>
      <c r="C693" s="11" t="s">
        <v>817</v>
      </c>
      <c r="D693" s="11" t="s">
        <v>102</v>
      </c>
      <c r="E693" t="s">
        <v>2274</v>
      </c>
    </row>
    <row r="694" spans="1:5">
      <c r="A694" s="11">
        <v>7010035</v>
      </c>
      <c r="B694" s="12">
        <v>7010135</v>
      </c>
      <c r="C694" s="11" t="s">
        <v>818</v>
      </c>
      <c r="D694" s="11" t="s">
        <v>102</v>
      </c>
      <c r="E694" t="s">
        <v>2274</v>
      </c>
    </row>
    <row r="695" spans="1:5">
      <c r="A695" s="11">
        <v>7010036</v>
      </c>
      <c r="B695" s="11">
        <v>7010136</v>
      </c>
      <c r="C695" s="11" t="s">
        <v>819</v>
      </c>
      <c r="D695" s="11" t="s">
        <v>102</v>
      </c>
      <c r="E695" t="s">
        <v>2274</v>
      </c>
    </row>
    <row r="696" spans="1:5">
      <c r="A696" s="11">
        <v>7010037</v>
      </c>
      <c r="B696" s="12">
        <v>7010137</v>
      </c>
      <c r="C696" s="11" t="s">
        <v>820</v>
      </c>
      <c r="D696" s="11" t="s">
        <v>102</v>
      </c>
      <c r="E696" t="s">
        <v>2274</v>
      </c>
    </row>
    <row r="697" spans="1:5">
      <c r="A697" s="11">
        <v>7010038</v>
      </c>
      <c r="B697" s="11">
        <v>7010138</v>
      </c>
      <c r="C697" s="11" t="s">
        <v>821</v>
      </c>
      <c r="D697" s="11" t="s">
        <v>102</v>
      </c>
      <c r="E697" t="s">
        <v>2274</v>
      </c>
    </row>
    <row r="698" spans="1:5">
      <c r="A698" s="11"/>
      <c r="B698" s="11">
        <v>7010039</v>
      </c>
      <c r="C698" s="11" t="s">
        <v>822</v>
      </c>
      <c r="D698" s="11" t="s">
        <v>102</v>
      </c>
      <c r="E698" t="s">
        <v>2274</v>
      </c>
    </row>
    <row r="699" spans="1:5">
      <c r="A699" s="11"/>
      <c r="B699" s="11">
        <v>7010040</v>
      </c>
      <c r="C699" s="11" t="s">
        <v>823</v>
      </c>
      <c r="D699" s="11" t="s">
        <v>102</v>
      </c>
      <c r="E699" t="s">
        <v>2274</v>
      </c>
    </row>
    <row r="700" spans="1:5">
      <c r="A700" s="11"/>
      <c r="B700" s="11">
        <v>7010041</v>
      </c>
      <c r="C700" s="11" t="s">
        <v>824</v>
      </c>
      <c r="D700" s="11" t="s">
        <v>102</v>
      </c>
      <c r="E700" t="s">
        <v>2274</v>
      </c>
    </row>
    <row r="701" spans="1:5">
      <c r="A701" s="11"/>
      <c r="B701" s="11">
        <v>7010042</v>
      </c>
      <c r="C701" s="11" t="s">
        <v>825</v>
      </c>
      <c r="D701" s="11" t="s">
        <v>516</v>
      </c>
      <c r="E701" t="s">
        <v>2274</v>
      </c>
    </row>
    <row r="702" spans="1:5">
      <c r="A702" s="11"/>
      <c r="B702" s="11">
        <v>7010043</v>
      </c>
      <c r="C702" s="11" t="s">
        <v>826</v>
      </c>
      <c r="D702" s="11" t="s">
        <v>102</v>
      </c>
      <c r="E702" t="s">
        <v>2274</v>
      </c>
    </row>
    <row r="703" spans="1:5">
      <c r="A703" s="11"/>
      <c r="B703" s="11">
        <v>7010044</v>
      </c>
      <c r="C703" s="11" t="s">
        <v>827</v>
      </c>
      <c r="D703" s="11" t="s">
        <v>102</v>
      </c>
      <c r="E703" t="s">
        <v>2274</v>
      </c>
    </row>
    <row r="704" spans="1:5">
      <c r="A704" s="11">
        <v>7010007</v>
      </c>
      <c r="B704" s="11">
        <v>7010109</v>
      </c>
      <c r="C704" s="11" t="s">
        <v>828</v>
      </c>
      <c r="D704" s="11" t="s">
        <v>102</v>
      </c>
      <c r="E704" t="s">
        <v>2274</v>
      </c>
    </row>
    <row r="705" spans="1:5">
      <c r="A705" s="11">
        <v>7011000</v>
      </c>
      <c r="B705" s="11">
        <v>7011071</v>
      </c>
      <c r="C705" s="11" t="s">
        <v>829</v>
      </c>
      <c r="D705" s="11" t="s">
        <v>102</v>
      </c>
      <c r="E705" t="s">
        <v>2274</v>
      </c>
    </row>
    <row r="706" spans="1:5">
      <c r="A706" s="11"/>
      <c r="B706" s="11">
        <v>7011001</v>
      </c>
      <c r="C706" s="11" t="s">
        <v>830</v>
      </c>
      <c r="D706" s="11" t="s">
        <v>102</v>
      </c>
      <c r="E706" t="s">
        <v>2274</v>
      </c>
    </row>
    <row r="707" spans="1:5">
      <c r="A707" s="11"/>
      <c r="B707" s="11">
        <v>7011002</v>
      </c>
      <c r="C707" s="11" t="s">
        <v>831</v>
      </c>
      <c r="D707" s="11" t="s">
        <v>102</v>
      </c>
      <c r="E707" t="s">
        <v>2274</v>
      </c>
    </row>
    <row r="708" spans="1:5">
      <c r="A708" s="11"/>
      <c r="B708" s="11">
        <v>7011003</v>
      </c>
      <c r="C708" s="11" t="s">
        <v>832</v>
      </c>
      <c r="D708" s="11" t="s">
        <v>102</v>
      </c>
      <c r="E708" t="s">
        <v>2274</v>
      </c>
    </row>
    <row r="709" spans="1:5">
      <c r="A709" s="11"/>
      <c r="B709" s="11">
        <v>7011004</v>
      </c>
      <c r="C709" s="11" t="s">
        <v>833</v>
      </c>
      <c r="D709" s="11" t="s">
        <v>102</v>
      </c>
      <c r="E709" t="s">
        <v>2274</v>
      </c>
    </row>
    <row r="710" spans="1:5">
      <c r="A710" s="11"/>
      <c r="B710" s="11">
        <v>7011005</v>
      </c>
      <c r="C710" s="11" t="s">
        <v>834</v>
      </c>
      <c r="D710" s="11" t="s">
        <v>102</v>
      </c>
      <c r="E710" t="s">
        <v>2274</v>
      </c>
    </row>
    <row r="711" spans="1:5">
      <c r="A711" s="11"/>
      <c r="B711" s="11">
        <v>7011006</v>
      </c>
      <c r="C711" s="11" t="s">
        <v>835</v>
      </c>
      <c r="D711" s="11" t="s">
        <v>102</v>
      </c>
      <c r="E711" t="s">
        <v>2274</v>
      </c>
    </row>
    <row r="712" spans="1:5">
      <c r="A712" s="11"/>
      <c r="B712" s="11">
        <v>7011007</v>
      </c>
      <c r="C712" s="11" t="s">
        <v>836</v>
      </c>
      <c r="D712" s="11" t="s">
        <v>102</v>
      </c>
      <c r="E712" t="s">
        <v>2274</v>
      </c>
    </row>
    <row r="713" spans="1:5">
      <c r="A713" s="11"/>
      <c r="B713" s="11">
        <v>7011008</v>
      </c>
      <c r="C713" s="11" t="s">
        <v>837</v>
      </c>
      <c r="D713" s="11" t="s">
        <v>102</v>
      </c>
      <c r="E713" t="s">
        <v>2274</v>
      </c>
    </row>
    <row r="714" spans="1:5">
      <c r="A714" s="11"/>
      <c r="B714" s="11">
        <v>7011009</v>
      </c>
      <c r="C714" s="11" t="s">
        <v>838</v>
      </c>
      <c r="D714" s="11" t="s">
        <v>102</v>
      </c>
      <c r="E714" t="s">
        <v>2274</v>
      </c>
    </row>
    <row r="715" spans="1:5">
      <c r="A715" s="11"/>
      <c r="B715" s="11">
        <v>7011010</v>
      </c>
      <c r="C715" s="11" t="s">
        <v>839</v>
      </c>
      <c r="D715" s="11" t="s">
        <v>516</v>
      </c>
      <c r="E715" t="s">
        <v>2274</v>
      </c>
    </row>
    <row r="716" spans="1:5">
      <c r="A716" s="11"/>
      <c r="B716" s="11">
        <v>7011011</v>
      </c>
      <c r="C716" s="11" t="s">
        <v>840</v>
      </c>
      <c r="D716" s="11" t="s">
        <v>102</v>
      </c>
      <c r="E716" t="s">
        <v>2274</v>
      </c>
    </row>
    <row r="717" spans="1:5">
      <c r="A717" s="11"/>
      <c r="B717" s="11">
        <v>7011012</v>
      </c>
      <c r="C717" s="11" t="s">
        <v>841</v>
      </c>
      <c r="D717" s="11" t="s">
        <v>102</v>
      </c>
      <c r="E717" t="s">
        <v>2274</v>
      </c>
    </row>
    <row r="718" spans="1:5">
      <c r="A718" s="11"/>
      <c r="B718" s="11">
        <v>7011013</v>
      </c>
      <c r="C718" s="11" t="s">
        <v>842</v>
      </c>
      <c r="D718" s="11" t="s">
        <v>102</v>
      </c>
      <c r="E718" t="s">
        <v>2274</v>
      </c>
    </row>
    <row r="719" spans="1:5">
      <c r="A719" s="11">
        <v>7011014</v>
      </c>
      <c r="B719" s="11">
        <v>7011079</v>
      </c>
      <c r="C719" s="11" t="s">
        <v>843</v>
      </c>
      <c r="D719" s="11" t="s">
        <v>102</v>
      </c>
      <c r="E719" t="s">
        <v>2274</v>
      </c>
    </row>
    <row r="720" spans="1:5">
      <c r="A720" s="11">
        <v>7011015</v>
      </c>
      <c r="B720" s="11">
        <v>7011080</v>
      </c>
      <c r="C720" s="11" t="s">
        <v>844</v>
      </c>
      <c r="D720" s="11" t="s">
        <v>102</v>
      </c>
      <c r="E720" t="s">
        <v>2274</v>
      </c>
    </row>
    <row r="721" spans="1:5">
      <c r="A721" s="11">
        <v>7011016</v>
      </c>
      <c r="B721" s="11">
        <v>7011081</v>
      </c>
      <c r="C721" s="11" t="s">
        <v>845</v>
      </c>
      <c r="D721" s="11" t="s">
        <v>102</v>
      </c>
      <c r="E721" t="s">
        <v>2274</v>
      </c>
    </row>
    <row r="722" spans="1:5">
      <c r="A722" s="11">
        <v>7011017</v>
      </c>
      <c r="B722" s="11">
        <v>7011083</v>
      </c>
      <c r="C722" s="11" t="s">
        <v>846</v>
      </c>
      <c r="D722" s="11" t="s">
        <v>516</v>
      </c>
      <c r="E722" t="s">
        <v>2274</v>
      </c>
    </row>
    <row r="723" spans="1:5">
      <c r="A723" s="11">
        <v>7011018</v>
      </c>
      <c r="B723" s="11">
        <v>7011082</v>
      </c>
      <c r="C723" s="11" t="s">
        <v>847</v>
      </c>
      <c r="D723" s="11" t="s">
        <v>102</v>
      </c>
      <c r="E723" t="s">
        <v>2274</v>
      </c>
    </row>
    <row r="724" spans="1:5">
      <c r="A724" s="11">
        <v>7011019</v>
      </c>
      <c r="B724" s="11">
        <v>7011106</v>
      </c>
      <c r="C724" s="11" t="s">
        <v>848</v>
      </c>
      <c r="D724" s="11" t="s">
        <v>102</v>
      </c>
      <c r="E724" t="s">
        <v>2274</v>
      </c>
    </row>
    <row r="725" spans="1:5">
      <c r="A725" s="11">
        <v>7011020</v>
      </c>
      <c r="B725" s="11">
        <v>7011111</v>
      </c>
      <c r="C725" s="11" t="s">
        <v>849</v>
      </c>
      <c r="D725" s="11" t="s">
        <v>102</v>
      </c>
      <c r="E725" t="s">
        <v>2274</v>
      </c>
    </row>
    <row r="726" spans="1:5">
      <c r="A726" s="11">
        <v>7011021</v>
      </c>
      <c r="B726" s="11">
        <v>7011112</v>
      </c>
      <c r="C726" s="11" t="s">
        <v>850</v>
      </c>
      <c r="D726" s="11" t="s">
        <v>102</v>
      </c>
      <c r="E726" t="s">
        <v>2274</v>
      </c>
    </row>
    <row r="727" spans="1:5">
      <c r="A727" s="11">
        <v>7011022</v>
      </c>
      <c r="B727" s="11">
        <v>7011101</v>
      </c>
      <c r="C727" s="11" t="s">
        <v>851</v>
      </c>
      <c r="D727" s="11" t="s">
        <v>102</v>
      </c>
      <c r="E727" t="s">
        <v>2274</v>
      </c>
    </row>
    <row r="728" spans="1:5">
      <c r="A728" s="11">
        <v>7011023</v>
      </c>
      <c r="B728" s="11">
        <v>7011103</v>
      </c>
      <c r="C728" s="11" t="s">
        <v>852</v>
      </c>
      <c r="D728" s="11" t="s">
        <v>102</v>
      </c>
      <c r="E728" t="s">
        <v>2274</v>
      </c>
    </row>
    <row r="729" spans="1:5">
      <c r="A729" s="11">
        <v>7011024</v>
      </c>
      <c r="B729" s="11">
        <v>7011099</v>
      </c>
      <c r="C729" s="11" t="s">
        <v>853</v>
      </c>
      <c r="D729" s="11" t="s">
        <v>102</v>
      </c>
      <c r="E729" t="s">
        <v>2274</v>
      </c>
    </row>
    <row r="730" spans="1:5">
      <c r="A730" s="11">
        <v>7011025</v>
      </c>
      <c r="B730" s="14">
        <v>7011100</v>
      </c>
      <c r="C730" s="11" t="s">
        <v>854</v>
      </c>
      <c r="D730" s="11" t="s">
        <v>102</v>
      </c>
      <c r="E730" t="s">
        <v>2274</v>
      </c>
    </row>
    <row r="731" spans="1:5">
      <c r="A731" s="11"/>
      <c r="B731" s="11">
        <v>7011026</v>
      </c>
      <c r="C731" s="11" t="s">
        <v>855</v>
      </c>
      <c r="D731" s="11" t="s">
        <v>102</v>
      </c>
      <c r="E731" t="s">
        <v>2274</v>
      </c>
    </row>
    <row r="732" spans="1:5">
      <c r="A732" s="11">
        <v>7011027</v>
      </c>
      <c r="B732" s="11">
        <v>7011098</v>
      </c>
      <c r="C732" s="11" t="s">
        <v>856</v>
      </c>
      <c r="D732" s="11" t="s">
        <v>102</v>
      </c>
      <c r="E732" t="s">
        <v>2274</v>
      </c>
    </row>
    <row r="733" spans="1:5">
      <c r="A733" s="11"/>
      <c r="B733" s="11">
        <v>7011028</v>
      </c>
      <c r="C733" s="11" t="s">
        <v>857</v>
      </c>
      <c r="D733" s="11" t="s">
        <v>102</v>
      </c>
      <c r="E733" t="s">
        <v>2274</v>
      </c>
    </row>
    <row r="734" spans="1:5">
      <c r="A734" s="11"/>
      <c r="B734" s="11">
        <v>7011029</v>
      </c>
      <c r="C734" s="11" t="s">
        <v>858</v>
      </c>
      <c r="D734" s="11" t="s">
        <v>102</v>
      </c>
      <c r="E734" t="s">
        <v>2274</v>
      </c>
    </row>
    <row r="735" spans="1:5">
      <c r="A735" s="11"/>
      <c r="B735" s="11">
        <v>7011030</v>
      </c>
      <c r="C735" s="11" t="s">
        <v>859</v>
      </c>
      <c r="D735" s="11" t="s">
        <v>102</v>
      </c>
      <c r="E735" t="s">
        <v>2274</v>
      </c>
    </row>
    <row r="736" spans="1:5">
      <c r="A736" s="11"/>
      <c r="B736" s="11">
        <v>7011031</v>
      </c>
      <c r="C736" s="11" t="s">
        <v>860</v>
      </c>
      <c r="D736" s="11" t="s">
        <v>102</v>
      </c>
      <c r="E736" t="s">
        <v>2274</v>
      </c>
    </row>
    <row r="737" spans="1:5">
      <c r="A737" s="11"/>
      <c r="B737" s="11">
        <v>7011032</v>
      </c>
      <c r="C737" s="11" t="s">
        <v>861</v>
      </c>
      <c r="D737" s="11" t="s">
        <v>102</v>
      </c>
      <c r="E737" t="s">
        <v>2274</v>
      </c>
    </row>
    <row r="738" spans="1:5">
      <c r="A738" s="11"/>
      <c r="B738" s="11">
        <v>7011033</v>
      </c>
      <c r="C738" s="11" t="s">
        <v>862</v>
      </c>
      <c r="D738" s="11" t="s">
        <v>102</v>
      </c>
      <c r="E738" t="s">
        <v>2274</v>
      </c>
    </row>
    <row r="739" spans="1:5">
      <c r="A739" s="11">
        <v>7011034</v>
      </c>
      <c r="B739" s="12">
        <v>7011091</v>
      </c>
      <c r="C739" s="11" t="s">
        <v>863</v>
      </c>
      <c r="D739" s="11" t="s">
        <v>102</v>
      </c>
      <c r="E739" t="s">
        <v>2274</v>
      </c>
    </row>
    <row r="740" spans="1:5">
      <c r="A740" s="11"/>
      <c r="B740" s="11">
        <v>7011035</v>
      </c>
      <c r="C740" s="11" t="s">
        <v>864</v>
      </c>
      <c r="D740" s="11" t="s">
        <v>102</v>
      </c>
      <c r="E740" t="s">
        <v>2274</v>
      </c>
    </row>
    <row r="741" spans="1:5">
      <c r="A741" s="11"/>
      <c r="B741" s="11">
        <v>7011036</v>
      </c>
      <c r="C741" s="11" t="s">
        <v>865</v>
      </c>
      <c r="D741" s="11" t="s">
        <v>102</v>
      </c>
      <c r="E741" t="s">
        <v>2274</v>
      </c>
    </row>
    <row r="742" spans="1:5">
      <c r="A742" s="11">
        <v>7011037</v>
      </c>
      <c r="B742" s="11">
        <v>7011096</v>
      </c>
      <c r="C742" s="11" t="s">
        <v>866</v>
      </c>
      <c r="D742" s="11" t="s">
        <v>516</v>
      </c>
      <c r="E742" t="s">
        <v>2274</v>
      </c>
    </row>
    <row r="743" spans="1:5">
      <c r="A743" s="11">
        <v>7011038</v>
      </c>
      <c r="B743" s="11">
        <v>7011115</v>
      </c>
      <c r="C743" s="11" t="s">
        <v>867</v>
      </c>
      <c r="D743" s="11" t="s">
        <v>102</v>
      </c>
      <c r="E743" t="s">
        <v>2274</v>
      </c>
    </row>
    <row r="744" spans="1:5">
      <c r="A744" s="11">
        <v>7011039</v>
      </c>
      <c r="B744" s="11">
        <v>7011116</v>
      </c>
      <c r="C744" s="11" t="s">
        <v>868</v>
      </c>
      <c r="D744" s="11" t="s">
        <v>516</v>
      </c>
      <c r="E744" t="s">
        <v>2274</v>
      </c>
    </row>
    <row r="745" spans="1:5">
      <c r="A745" s="11">
        <v>7011040</v>
      </c>
      <c r="B745" s="11">
        <v>7011117</v>
      </c>
      <c r="C745" s="11" t="s">
        <v>869</v>
      </c>
      <c r="D745" s="11" t="s">
        <v>516</v>
      </c>
      <c r="E745" t="s">
        <v>2274</v>
      </c>
    </row>
    <row r="746" spans="1:5">
      <c r="A746" s="11">
        <v>7011041</v>
      </c>
      <c r="B746" s="11">
        <v>7011121</v>
      </c>
      <c r="C746" s="11" t="s">
        <v>870</v>
      </c>
      <c r="D746" s="11" t="s">
        <v>102</v>
      </c>
      <c r="E746" t="s">
        <v>2274</v>
      </c>
    </row>
    <row r="747" spans="1:5">
      <c r="A747" s="11"/>
      <c r="B747" s="11">
        <v>7011042</v>
      </c>
      <c r="C747" s="11" t="s">
        <v>871</v>
      </c>
      <c r="D747" s="11" t="s">
        <v>872</v>
      </c>
      <c r="E747" t="s">
        <v>2274</v>
      </c>
    </row>
    <row r="748" spans="1:5">
      <c r="A748" s="11">
        <v>7011043</v>
      </c>
      <c r="B748" s="11">
        <v>7011122</v>
      </c>
      <c r="C748" s="11" t="s">
        <v>873</v>
      </c>
      <c r="D748" s="11" t="s">
        <v>102</v>
      </c>
      <c r="E748" t="s">
        <v>2274</v>
      </c>
    </row>
    <row r="749" spans="1:5">
      <c r="A749" s="11"/>
      <c r="B749" s="11">
        <v>7011044</v>
      </c>
      <c r="C749" s="11" t="s">
        <v>874</v>
      </c>
      <c r="D749" s="11" t="s">
        <v>102</v>
      </c>
      <c r="E749" t="s">
        <v>2274</v>
      </c>
    </row>
    <row r="750" spans="1:5">
      <c r="A750" s="11"/>
      <c r="B750" s="11">
        <v>7011045</v>
      </c>
      <c r="C750" s="11" t="s">
        <v>875</v>
      </c>
      <c r="D750" s="11" t="s">
        <v>102</v>
      </c>
      <c r="E750" t="s">
        <v>2274</v>
      </c>
    </row>
    <row r="751" spans="1:5">
      <c r="A751" s="11">
        <v>7011046</v>
      </c>
      <c r="B751" s="11">
        <v>7011113</v>
      </c>
      <c r="C751" s="11" t="s">
        <v>876</v>
      </c>
      <c r="D751" s="11" t="s">
        <v>102</v>
      </c>
      <c r="E751" t="s">
        <v>2274</v>
      </c>
    </row>
    <row r="752" spans="1:5">
      <c r="A752" s="11"/>
      <c r="B752" s="11">
        <v>7011091</v>
      </c>
      <c r="C752" s="11" t="s">
        <v>863</v>
      </c>
      <c r="D752" s="11" t="s">
        <v>102</v>
      </c>
      <c r="E752" t="s">
        <v>2274</v>
      </c>
    </row>
    <row r="753" spans="1:5">
      <c r="A753" s="11"/>
      <c r="B753" s="11">
        <v>7011101</v>
      </c>
      <c r="C753" s="11" t="s">
        <v>851</v>
      </c>
      <c r="D753" s="11" t="s">
        <v>102</v>
      </c>
      <c r="E753" t="s">
        <v>2274</v>
      </c>
    </row>
    <row r="754" spans="1:5">
      <c r="A754" s="11"/>
      <c r="B754" s="11">
        <v>7012000</v>
      </c>
      <c r="C754" s="11" t="s">
        <v>877</v>
      </c>
      <c r="D754" s="11" t="s">
        <v>102</v>
      </c>
      <c r="E754" t="s">
        <v>2274</v>
      </c>
    </row>
    <row r="755" spans="1:5">
      <c r="A755" s="11">
        <v>7012001</v>
      </c>
      <c r="B755" s="11">
        <v>7012095</v>
      </c>
      <c r="C755" s="11" t="s">
        <v>878</v>
      </c>
      <c r="D755" s="11" t="s">
        <v>102</v>
      </c>
      <c r="E755" t="s">
        <v>2274</v>
      </c>
    </row>
    <row r="756" spans="1:5">
      <c r="A756" s="11"/>
      <c r="B756" s="11">
        <v>7012002</v>
      </c>
      <c r="C756" s="11" t="s">
        <v>879</v>
      </c>
      <c r="D756" s="11" t="s">
        <v>102</v>
      </c>
      <c r="E756" t="s">
        <v>2274</v>
      </c>
    </row>
    <row r="757" spans="1:5">
      <c r="A757" s="11"/>
      <c r="B757" s="11">
        <v>7012003</v>
      </c>
      <c r="C757" s="11" t="s">
        <v>880</v>
      </c>
      <c r="D757" s="11" t="s">
        <v>102</v>
      </c>
      <c r="E757" t="s">
        <v>2274</v>
      </c>
    </row>
    <row r="758" spans="1:5">
      <c r="A758" s="11">
        <v>7012004</v>
      </c>
      <c r="B758" s="11">
        <v>7012098</v>
      </c>
      <c r="C758" s="11" t="s">
        <v>881</v>
      </c>
      <c r="D758" s="11" t="s">
        <v>102</v>
      </c>
      <c r="E758" t="s">
        <v>2274</v>
      </c>
    </row>
    <row r="759" spans="1:5">
      <c r="A759" s="11">
        <v>7012005</v>
      </c>
      <c r="B759" s="11">
        <v>7012099</v>
      </c>
      <c r="C759" s="11" t="s">
        <v>882</v>
      </c>
      <c r="D759" s="11" t="s">
        <v>102</v>
      </c>
      <c r="E759" t="s">
        <v>2274</v>
      </c>
    </row>
    <row r="760" spans="1:5">
      <c r="A760" s="11"/>
      <c r="B760" s="11">
        <v>7012006</v>
      </c>
      <c r="C760" s="11" t="s">
        <v>883</v>
      </c>
      <c r="D760" s="11" t="s">
        <v>102</v>
      </c>
      <c r="E760" t="s">
        <v>2274</v>
      </c>
    </row>
    <row r="761" spans="1:5">
      <c r="A761" s="11"/>
      <c r="B761" s="11">
        <v>7012007</v>
      </c>
      <c r="C761" s="11" t="s">
        <v>884</v>
      </c>
      <c r="D761" s="11" t="s">
        <v>102</v>
      </c>
      <c r="E761" t="s">
        <v>2274</v>
      </c>
    </row>
    <row r="762" spans="1:5">
      <c r="A762" s="11"/>
      <c r="B762" s="11">
        <v>7012008</v>
      </c>
      <c r="C762" s="11" t="s">
        <v>885</v>
      </c>
      <c r="D762" s="11" t="s">
        <v>102</v>
      </c>
      <c r="E762" t="s">
        <v>2274</v>
      </c>
    </row>
    <row r="763" spans="1:5">
      <c r="A763" s="11"/>
      <c r="B763" s="11">
        <v>7012009</v>
      </c>
      <c r="C763" s="11" t="s">
        <v>886</v>
      </c>
      <c r="D763" s="11" t="s">
        <v>102</v>
      </c>
      <c r="E763" t="s">
        <v>2274</v>
      </c>
    </row>
    <row r="764" spans="1:5">
      <c r="A764" s="11">
        <v>7012010</v>
      </c>
      <c r="B764" s="11">
        <v>7012104</v>
      </c>
      <c r="C764" s="11" t="s">
        <v>887</v>
      </c>
      <c r="D764" s="11" t="s">
        <v>102</v>
      </c>
      <c r="E764" t="s">
        <v>2274</v>
      </c>
    </row>
    <row r="765" spans="1:5">
      <c r="A765" s="11">
        <v>7012011</v>
      </c>
      <c r="B765" s="11">
        <v>7012090</v>
      </c>
      <c r="C765" s="11" t="s">
        <v>888</v>
      </c>
      <c r="D765" s="11" t="s">
        <v>102</v>
      </c>
      <c r="E765" t="s">
        <v>2274</v>
      </c>
    </row>
    <row r="766" spans="1:5">
      <c r="A766" s="11">
        <v>7012012</v>
      </c>
      <c r="B766" s="11">
        <v>7012091</v>
      </c>
      <c r="C766" s="11" t="s">
        <v>889</v>
      </c>
      <c r="D766" s="11" t="s">
        <v>102</v>
      </c>
      <c r="E766" t="s">
        <v>2274</v>
      </c>
    </row>
    <row r="767" spans="1:5">
      <c r="A767" s="11">
        <v>7012013</v>
      </c>
      <c r="B767" s="12">
        <v>7012093</v>
      </c>
      <c r="C767" s="11" t="s">
        <v>890</v>
      </c>
      <c r="D767" s="11" t="s">
        <v>516</v>
      </c>
      <c r="E767" t="s">
        <v>2274</v>
      </c>
    </row>
    <row r="768" spans="1:5">
      <c r="A768" s="11"/>
      <c r="B768" s="11">
        <v>7012014</v>
      </c>
      <c r="C768" s="11" t="s">
        <v>891</v>
      </c>
      <c r="D768" s="11" t="s">
        <v>102</v>
      </c>
      <c r="E768" t="s">
        <v>2274</v>
      </c>
    </row>
    <row r="769" spans="1:5">
      <c r="A769" s="11"/>
      <c r="B769" s="11">
        <v>7012015</v>
      </c>
      <c r="C769" s="11" t="s">
        <v>892</v>
      </c>
      <c r="D769" s="11" t="s">
        <v>516</v>
      </c>
      <c r="E769" t="s">
        <v>2274</v>
      </c>
    </row>
    <row r="770" spans="1:5">
      <c r="A770" s="11">
        <v>7012016</v>
      </c>
      <c r="B770" s="11">
        <v>7012107</v>
      </c>
      <c r="C770" s="11" t="s">
        <v>893</v>
      </c>
      <c r="D770" s="11" t="s">
        <v>102</v>
      </c>
      <c r="E770" t="s">
        <v>2274</v>
      </c>
    </row>
    <row r="771" spans="1:5">
      <c r="A771" s="11"/>
      <c r="B771" s="11">
        <v>7012017</v>
      </c>
      <c r="C771" s="11" t="s">
        <v>894</v>
      </c>
      <c r="D771" s="11" t="s">
        <v>102</v>
      </c>
      <c r="E771" t="s">
        <v>2274</v>
      </c>
    </row>
    <row r="772" spans="1:5">
      <c r="A772" s="11">
        <v>7012018</v>
      </c>
      <c r="B772" s="11">
        <v>7012111</v>
      </c>
      <c r="C772" s="11" t="s">
        <v>895</v>
      </c>
      <c r="D772" s="11" t="s">
        <v>516</v>
      </c>
      <c r="E772" t="s">
        <v>2274</v>
      </c>
    </row>
    <row r="773" spans="1:5">
      <c r="A773" s="11"/>
      <c r="B773" s="11">
        <v>7012019</v>
      </c>
      <c r="C773" s="11" t="s">
        <v>896</v>
      </c>
      <c r="D773" s="11" t="s">
        <v>102</v>
      </c>
      <c r="E773" t="s">
        <v>2274</v>
      </c>
    </row>
    <row r="774" spans="1:5">
      <c r="A774" s="11"/>
      <c r="B774" s="11">
        <v>7012020</v>
      </c>
      <c r="C774" s="11" t="s">
        <v>897</v>
      </c>
      <c r="D774" s="11" t="s">
        <v>102</v>
      </c>
      <c r="E774" t="s">
        <v>2274</v>
      </c>
    </row>
    <row r="775" spans="1:5">
      <c r="A775" s="11"/>
      <c r="B775" s="11">
        <v>7012021</v>
      </c>
      <c r="C775" s="11" t="s">
        <v>898</v>
      </c>
      <c r="D775" s="11" t="s">
        <v>102</v>
      </c>
      <c r="E775" t="s">
        <v>2274</v>
      </c>
    </row>
    <row r="776" spans="1:5">
      <c r="A776" s="11"/>
      <c r="B776" s="11">
        <v>7012022</v>
      </c>
      <c r="C776" s="11" t="s">
        <v>899</v>
      </c>
      <c r="D776" s="11" t="s">
        <v>102</v>
      </c>
      <c r="E776" t="s">
        <v>2274</v>
      </c>
    </row>
    <row r="777" spans="1:5">
      <c r="A777" s="11">
        <v>7012023</v>
      </c>
      <c r="B777" s="11">
        <v>7012127</v>
      </c>
      <c r="C777" s="11" t="s">
        <v>900</v>
      </c>
      <c r="D777" s="11" t="s">
        <v>102</v>
      </c>
      <c r="E777" t="s">
        <v>2274</v>
      </c>
    </row>
    <row r="778" spans="1:5">
      <c r="A778" s="11">
        <v>7012024</v>
      </c>
      <c r="B778" s="11">
        <v>7012128</v>
      </c>
      <c r="C778" s="11" t="s">
        <v>901</v>
      </c>
      <c r="D778" s="11" t="s">
        <v>102</v>
      </c>
      <c r="E778" t="s">
        <v>2274</v>
      </c>
    </row>
    <row r="779" spans="1:5">
      <c r="A779" s="11"/>
      <c r="B779" s="11">
        <v>7012025</v>
      </c>
      <c r="C779" s="11" t="s">
        <v>902</v>
      </c>
      <c r="D779" s="11" t="s">
        <v>102</v>
      </c>
      <c r="E779" t="s">
        <v>2274</v>
      </c>
    </row>
    <row r="780" spans="1:5">
      <c r="A780" s="11"/>
      <c r="B780" s="11">
        <v>7012026</v>
      </c>
      <c r="C780" s="11" t="s">
        <v>903</v>
      </c>
      <c r="D780" s="11" t="s">
        <v>102</v>
      </c>
      <c r="E780" t="s">
        <v>2274</v>
      </c>
    </row>
    <row r="781" spans="1:5">
      <c r="A781" s="11">
        <v>7012027</v>
      </c>
      <c r="B781" s="11">
        <v>7012132</v>
      </c>
      <c r="C781" s="11" t="s">
        <v>904</v>
      </c>
      <c r="D781" s="11" t="s">
        <v>102</v>
      </c>
      <c r="E781" t="s">
        <v>2274</v>
      </c>
    </row>
    <row r="782" spans="1:5">
      <c r="A782" s="11"/>
      <c r="B782" s="11">
        <v>7012028</v>
      </c>
      <c r="C782" s="11" t="s">
        <v>905</v>
      </c>
      <c r="D782" s="11" t="s">
        <v>102</v>
      </c>
      <c r="E782" t="s">
        <v>2274</v>
      </c>
    </row>
    <row r="783" spans="1:5">
      <c r="A783" s="11"/>
      <c r="B783" s="11">
        <v>7012029</v>
      </c>
      <c r="C783" s="11" t="s">
        <v>906</v>
      </c>
      <c r="D783" s="11" t="s">
        <v>102</v>
      </c>
      <c r="E783" t="s">
        <v>2274</v>
      </c>
    </row>
    <row r="784" spans="1:5">
      <c r="A784" s="11">
        <v>7012030</v>
      </c>
      <c r="B784" s="11">
        <v>7012135</v>
      </c>
      <c r="C784" s="11" t="s">
        <v>907</v>
      </c>
      <c r="D784" s="11" t="s">
        <v>102</v>
      </c>
      <c r="E784" t="s">
        <v>2274</v>
      </c>
    </row>
    <row r="785" spans="1:5">
      <c r="A785" s="11"/>
      <c r="B785" s="11">
        <v>7012031</v>
      </c>
      <c r="C785" s="11" t="s">
        <v>908</v>
      </c>
      <c r="D785" s="11" t="s">
        <v>102</v>
      </c>
      <c r="E785" t="s">
        <v>2274</v>
      </c>
    </row>
    <row r="786" spans="1:5">
      <c r="A786" s="11">
        <v>7012032</v>
      </c>
      <c r="B786" s="11">
        <v>7012137</v>
      </c>
      <c r="C786" s="11" t="s">
        <v>909</v>
      </c>
      <c r="D786" s="11" t="s">
        <v>102</v>
      </c>
      <c r="E786" t="s">
        <v>2274</v>
      </c>
    </row>
    <row r="787" spans="1:5">
      <c r="A787" s="11">
        <v>7012033</v>
      </c>
      <c r="B787" s="11">
        <v>7012138</v>
      </c>
      <c r="C787" s="11" t="s">
        <v>910</v>
      </c>
      <c r="D787" s="11" t="s">
        <v>102</v>
      </c>
      <c r="E787" t="s">
        <v>2274</v>
      </c>
    </row>
    <row r="788" spans="1:5">
      <c r="A788" s="11">
        <v>7012034</v>
      </c>
      <c r="B788" s="11">
        <v>7012139</v>
      </c>
      <c r="C788" s="11" t="s">
        <v>911</v>
      </c>
      <c r="D788" s="11" t="s">
        <v>102</v>
      </c>
      <c r="E788" t="s">
        <v>2274</v>
      </c>
    </row>
    <row r="789" spans="1:5">
      <c r="A789" s="11">
        <v>7012035</v>
      </c>
      <c r="B789" s="11">
        <v>7012140</v>
      </c>
      <c r="C789" s="11" t="s">
        <v>912</v>
      </c>
      <c r="D789" s="11" t="s">
        <v>102</v>
      </c>
      <c r="E789" t="s">
        <v>2274</v>
      </c>
    </row>
    <row r="790" spans="1:5">
      <c r="A790" s="11">
        <v>7012036</v>
      </c>
      <c r="B790" s="11">
        <v>7012141</v>
      </c>
      <c r="C790" s="11" t="s">
        <v>913</v>
      </c>
      <c r="D790" s="11" t="s">
        <v>102</v>
      </c>
      <c r="E790" t="s">
        <v>2274</v>
      </c>
    </row>
    <row r="791" spans="1:5">
      <c r="A791" s="11">
        <v>7012037</v>
      </c>
      <c r="B791" s="12">
        <v>7012142</v>
      </c>
      <c r="C791" s="11" t="s">
        <v>914</v>
      </c>
      <c r="D791" s="11" t="s">
        <v>102</v>
      </c>
      <c r="E791" t="s">
        <v>2274</v>
      </c>
    </row>
    <row r="792" spans="1:5">
      <c r="A792" s="11">
        <v>7012038</v>
      </c>
      <c r="B792" s="11">
        <v>7012143</v>
      </c>
      <c r="C792" s="11" t="s">
        <v>915</v>
      </c>
      <c r="D792" s="11" t="s">
        <v>102</v>
      </c>
      <c r="E792" t="s">
        <v>2274</v>
      </c>
    </row>
    <row r="793" spans="1:5">
      <c r="A793" s="11">
        <v>7012039</v>
      </c>
      <c r="B793" s="12">
        <v>7012144</v>
      </c>
      <c r="C793" s="11" t="s">
        <v>916</v>
      </c>
      <c r="D793" s="11" t="s">
        <v>102</v>
      </c>
      <c r="E793" t="s">
        <v>2274</v>
      </c>
    </row>
    <row r="794" spans="1:5">
      <c r="A794" s="11">
        <v>7012040</v>
      </c>
      <c r="B794" s="12">
        <v>7012145</v>
      </c>
      <c r="C794" s="11" t="s">
        <v>917</v>
      </c>
      <c r="D794" s="11" t="s">
        <v>102</v>
      </c>
      <c r="E794" t="s">
        <v>2274</v>
      </c>
    </row>
    <row r="795" spans="1:5">
      <c r="A795" s="11">
        <v>7012041</v>
      </c>
      <c r="B795" s="11">
        <v>7012146</v>
      </c>
      <c r="C795" s="11" t="s">
        <v>918</v>
      </c>
      <c r="D795" s="11" t="s">
        <v>102</v>
      </c>
      <c r="E795" t="s">
        <v>2274</v>
      </c>
    </row>
    <row r="796" spans="1:5">
      <c r="A796" s="11">
        <v>7012042</v>
      </c>
      <c r="B796" s="12">
        <v>7012147</v>
      </c>
      <c r="C796" s="11" t="s">
        <v>919</v>
      </c>
      <c r="D796" s="11" t="s">
        <v>102</v>
      </c>
      <c r="E796" t="s">
        <v>2274</v>
      </c>
    </row>
    <row r="797" spans="1:5">
      <c r="A797" s="11">
        <v>7012043</v>
      </c>
      <c r="B797" s="11">
        <v>7012148</v>
      </c>
      <c r="C797" s="11" t="s">
        <v>920</v>
      </c>
      <c r="D797" s="11" t="s">
        <v>102</v>
      </c>
      <c r="E797" t="s">
        <v>2274</v>
      </c>
    </row>
    <row r="798" spans="1:5">
      <c r="A798" s="11"/>
      <c r="B798" s="11">
        <v>7012044</v>
      </c>
      <c r="C798" s="11" t="s">
        <v>921</v>
      </c>
      <c r="D798" s="11" t="s">
        <v>102</v>
      </c>
      <c r="E798" t="s">
        <v>2274</v>
      </c>
    </row>
    <row r="799" spans="1:5">
      <c r="A799" s="11">
        <v>7012045</v>
      </c>
      <c r="B799" s="11">
        <v>7012153</v>
      </c>
      <c r="C799" s="11" t="s">
        <v>922</v>
      </c>
      <c r="D799" s="11" t="s">
        <v>102</v>
      </c>
      <c r="E799" t="s">
        <v>2274</v>
      </c>
    </row>
    <row r="800" spans="1:5">
      <c r="A800" s="11"/>
      <c r="B800" s="11">
        <v>7012046</v>
      </c>
      <c r="C800" s="11" t="s">
        <v>923</v>
      </c>
      <c r="D800" s="11" t="s">
        <v>102</v>
      </c>
      <c r="E800" t="s">
        <v>2274</v>
      </c>
    </row>
    <row r="801" spans="1:5">
      <c r="A801" s="11"/>
      <c r="B801" s="11">
        <v>7012047</v>
      </c>
      <c r="C801" s="11" t="s">
        <v>924</v>
      </c>
      <c r="D801" s="11" t="s">
        <v>102</v>
      </c>
      <c r="E801" t="s">
        <v>2274</v>
      </c>
    </row>
    <row r="802" spans="1:5">
      <c r="A802" s="11">
        <v>7012048</v>
      </c>
      <c r="B802" s="11">
        <v>7012157</v>
      </c>
      <c r="C802" s="11" t="s">
        <v>925</v>
      </c>
      <c r="D802" s="11" t="s">
        <v>102</v>
      </c>
      <c r="E802" t="s">
        <v>2274</v>
      </c>
    </row>
    <row r="803" spans="1:5">
      <c r="A803" s="11">
        <v>7012049</v>
      </c>
      <c r="B803" s="11">
        <v>7012160</v>
      </c>
      <c r="C803" s="11" t="s">
        <v>926</v>
      </c>
      <c r="D803" s="11" t="s">
        <v>102</v>
      </c>
      <c r="E803" t="s">
        <v>2274</v>
      </c>
    </row>
    <row r="804" spans="1:5">
      <c r="A804" s="11">
        <v>7012050</v>
      </c>
      <c r="B804" s="11">
        <v>7012161</v>
      </c>
      <c r="C804" s="11" t="s">
        <v>927</v>
      </c>
      <c r="D804" s="11" t="s">
        <v>102</v>
      </c>
      <c r="E804" t="s">
        <v>2274</v>
      </c>
    </row>
    <row r="805" spans="1:5">
      <c r="A805" s="11"/>
      <c r="B805" s="11">
        <v>7012051</v>
      </c>
      <c r="C805" s="11" t="s">
        <v>928</v>
      </c>
      <c r="D805" s="11" t="s">
        <v>102</v>
      </c>
      <c r="E805" t="s">
        <v>2274</v>
      </c>
    </row>
    <row r="806" spans="1:5">
      <c r="A806" s="11"/>
      <c r="B806" s="11">
        <v>7012052</v>
      </c>
      <c r="C806" s="11" t="s">
        <v>929</v>
      </c>
      <c r="D806" s="11" t="s">
        <v>102</v>
      </c>
      <c r="E806" t="s">
        <v>2274</v>
      </c>
    </row>
    <row r="807" spans="1:5">
      <c r="A807" s="11"/>
      <c r="B807" s="11">
        <v>7012053</v>
      </c>
      <c r="C807" s="11" t="s">
        <v>930</v>
      </c>
      <c r="D807" s="11" t="s">
        <v>102</v>
      </c>
      <c r="E807" t="s">
        <v>2274</v>
      </c>
    </row>
    <row r="808" spans="1:5">
      <c r="A808" s="11"/>
      <c r="B808" s="11">
        <v>7012054</v>
      </c>
      <c r="C808" s="11" t="s">
        <v>931</v>
      </c>
      <c r="D808" s="11" t="s">
        <v>102</v>
      </c>
      <c r="E808" t="s">
        <v>2274</v>
      </c>
    </row>
    <row r="809" spans="1:5">
      <c r="A809" s="11"/>
      <c r="B809" s="11">
        <v>7012055</v>
      </c>
      <c r="C809" s="11" t="s">
        <v>932</v>
      </c>
      <c r="D809" s="11" t="s">
        <v>102</v>
      </c>
      <c r="E809" t="s">
        <v>2274</v>
      </c>
    </row>
    <row r="810" spans="1:5">
      <c r="A810" s="11">
        <v>7012056</v>
      </c>
      <c r="B810" s="11">
        <v>7012167</v>
      </c>
      <c r="C810" s="11" t="s">
        <v>933</v>
      </c>
      <c r="D810" s="11" t="s">
        <v>102</v>
      </c>
      <c r="E810" t="s">
        <v>2274</v>
      </c>
    </row>
    <row r="811" spans="1:5">
      <c r="A811" s="11">
        <v>7012057</v>
      </c>
      <c r="B811" s="11">
        <v>7012168</v>
      </c>
      <c r="C811" s="11" t="s">
        <v>934</v>
      </c>
      <c r="D811" s="11" t="s">
        <v>102</v>
      </c>
      <c r="E811" t="s">
        <v>2274</v>
      </c>
    </row>
    <row r="812" spans="1:5">
      <c r="A812" s="11">
        <v>7012058</v>
      </c>
      <c r="B812" s="11">
        <v>7012169</v>
      </c>
      <c r="C812" s="11" t="s">
        <v>935</v>
      </c>
      <c r="D812" s="11" t="s">
        <v>102</v>
      </c>
      <c r="E812" t="s">
        <v>2274</v>
      </c>
    </row>
    <row r="813" spans="1:5">
      <c r="A813" s="11"/>
      <c r="B813" s="11">
        <v>7012059</v>
      </c>
      <c r="C813" s="11" t="s">
        <v>936</v>
      </c>
      <c r="D813" s="11" t="s">
        <v>102</v>
      </c>
      <c r="E813" t="s">
        <v>2274</v>
      </c>
    </row>
    <row r="814" spans="1:5">
      <c r="A814" s="11">
        <v>7012060</v>
      </c>
      <c r="B814" s="11">
        <v>7012126</v>
      </c>
      <c r="C814" s="11" t="s">
        <v>937</v>
      </c>
      <c r="D814" s="11" t="s">
        <v>102</v>
      </c>
      <c r="E814" t="s">
        <v>2274</v>
      </c>
    </row>
    <row r="815" spans="1:5">
      <c r="A815" s="11">
        <v>7012061</v>
      </c>
      <c r="B815" s="11">
        <v>7012129</v>
      </c>
      <c r="C815" s="11" t="s">
        <v>938</v>
      </c>
      <c r="D815" s="11" t="s">
        <v>102</v>
      </c>
      <c r="E815" t="s">
        <v>2274</v>
      </c>
    </row>
    <row r="816" spans="1:5">
      <c r="A816" s="11"/>
      <c r="B816" s="11">
        <v>7012062</v>
      </c>
      <c r="C816" s="11" t="s">
        <v>939</v>
      </c>
      <c r="D816" s="11" t="s">
        <v>102</v>
      </c>
      <c r="E816" t="s">
        <v>2274</v>
      </c>
    </row>
    <row r="817" spans="1:5">
      <c r="A817" s="11"/>
      <c r="B817" s="11">
        <v>7012063</v>
      </c>
      <c r="C817" s="11" t="s">
        <v>940</v>
      </c>
      <c r="D817" s="11" t="s">
        <v>102</v>
      </c>
      <c r="E817" t="s">
        <v>2274</v>
      </c>
    </row>
    <row r="818" spans="1:5">
      <c r="A818" s="11">
        <v>7012064</v>
      </c>
      <c r="B818" s="11">
        <v>7012152</v>
      </c>
      <c r="C818" s="11" t="s">
        <v>941</v>
      </c>
      <c r="D818" s="11" t="s">
        <v>102</v>
      </c>
      <c r="E818" t="s">
        <v>2274</v>
      </c>
    </row>
    <row r="819" spans="1:5">
      <c r="A819" s="11"/>
      <c r="B819" s="11">
        <v>7012065</v>
      </c>
      <c r="C819" s="11" t="s">
        <v>942</v>
      </c>
      <c r="D819" s="11" t="s">
        <v>102</v>
      </c>
      <c r="E819" t="s">
        <v>2274</v>
      </c>
    </row>
    <row r="820" spans="1:5">
      <c r="A820" s="11"/>
      <c r="B820" s="11">
        <v>7012066</v>
      </c>
      <c r="C820" s="11" t="s">
        <v>943</v>
      </c>
      <c r="D820" s="11" t="s">
        <v>102</v>
      </c>
      <c r="E820" t="s">
        <v>2274</v>
      </c>
    </row>
    <row r="821" spans="1:5">
      <c r="A821" s="11">
        <v>7013000</v>
      </c>
      <c r="B821" s="11">
        <v>7013078</v>
      </c>
      <c r="C821" s="11" t="s">
        <v>944</v>
      </c>
      <c r="D821" s="11" t="s">
        <v>102</v>
      </c>
      <c r="E821" t="s">
        <v>2274</v>
      </c>
    </row>
    <row r="822" spans="1:5">
      <c r="A822" s="11">
        <v>7013001</v>
      </c>
      <c r="B822" s="11">
        <v>7013076</v>
      </c>
      <c r="C822" s="11" t="s">
        <v>945</v>
      </c>
      <c r="D822" s="11" t="s">
        <v>102</v>
      </c>
      <c r="E822" t="s">
        <v>2274</v>
      </c>
    </row>
    <row r="823" spans="1:5">
      <c r="A823" s="11">
        <v>7013002</v>
      </c>
      <c r="B823" s="11">
        <v>7013077</v>
      </c>
      <c r="C823" s="11" t="s">
        <v>946</v>
      </c>
      <c r="D823" s="11" t="s">
        <v>102</v>
      </c>
      <c r="E823" t="s">
        <v>2274</v>
      </c>
    </row>
    <row r="824" spans="1:5">
      <c r="A824" s="11">
        <v>7013003</v>
      </c>
      <c r="B824" s="11">
        <v>7013073</v>
      </c>
      <c r="C824" s="11" t="s">
        <v>947</v>
      </c>
      <c r="D824" s="11" t="s">
        <v>102</v>
      </c>
      <c r="E824" t="s">
        <v>2274</v>
      </c>
    </row>
    <row r="825" spans="1:5">
      <c r="A825" s="11">
        <v>7013004</v>
      </c>
      <c r="B825" s="11">
        <v>7013074</v>
      </c>
      <c r="C825" s="11" t="s">
        <v>948</v>
      </c>
      <c r="D825" s="11" t="s">
        <v>102</v>
      </c>
      <c r="E825" t="s">
        <v>2274</v>
      </c>
    </row>
    <row r="826" spans="1:5">
      <c r="A826" s="11">
        <v>7013005</v>
      </c>
      <c r="B826" s="11">
        <v>7013075</v>
      </c>
      <c r="C826" s="11" t="s">
        <v>949</v>
      </c>
      <c r="D826" s="11" t="s">
        <v>102</v>
      </c>
      <c r="E826" t="s">
        <v>2274</v>
      </c>
    </row>
    <row r="827" spans="1:5">
      <c r="A827" s="11">
        <v>7013006</v>
      </c>
      <c r="B827" s="11">
        <v>7013083</v>
      </c>
      <c r="C827" s="11" t="s">
        <v>950</v>
      </c>
      <c r="D827" s="11" t="s">
        <v>102</v>
      </c>
      <c r="E827" t="s">
        <v>2274</v>
      </c>
    </row>
    <row r="828" spans="1:5">
      <c r="A828" s="11">
        <v>7013007</v>
      </c>
      <c r="B828" s="11">
        <v>7013084</v>
      </c>
      <c r="C828" s="11" t="s">
        <v>951</v>
      </c>
      <c r="D828" s="11" t="s">
        <v>102</v>
      </c>
      <c r="E828" t="s">
        <v>2274</v>
      </c>
    </row>
    <row r="829" spans="1:5">
      <c r="A829" s="11">
        <v>7013008</v>
      </c>
      <c r="B829" s="11">
        <v>7013081</v>
      </c>
      <c r="C829" s="11" t="s">
        <v>952</v>
      </c>
      <c r="D829" s="11" t="s">
        <v>102</v>
      </c>
      <c r="E829" t="s">
        <v>2274</v>
      </c>
    </row>
    <row r="830" spans="1:5">
      <c r="A830" s="11">
        <v>7013009</v>
      </c>
      <c r="B830" s="11">
        <v>7013082</v>
      </c>
      <c r="C830" s="11" t="s">
        <v>953</v>
      </c>
      <c r="D830" s="11" t="s">
        <v>102</v>
      </c>
      <c r="E830" t="s">
        <v>2274</v>
      </c>
    </row>
    <row r="831" spans="1:5">
      <c r="A831" s="11">
        <v>7013010</v>
      </c>
      <c r="B831" s="11">
        <v>7013088</v>
      </c>
      <c r="C831" s="11" t="s">
        <v>954</v>
      </c>
      <c r="D831" s="11" t="s">
        <v>955</v>
      </c>
      <c r="E831" t="s">
        <v>2274</v>
      </c>
    </row>
    <row r="832" spans="1:5">
      <c r="A832" s="11">
        <v>7013015</v>
      </c>
      <c r="B832" s="11">
        <v>7013089</v>
      </c>
      <c r="C832" s="11" t="s">
        <v>956</v>
      </c>
      <c r="D832" s="11" t="s">
        <v>562</v>
      </c>
      <c r="E832" t="s">
        <v>2274</v>
      </c>
    </row>
    <row r="833" spans="1:5">
      <c r="A833" s="11">
        <v>7013011</v>
      </c>
      <c r="B833" s="11">
        <v>7013101</v>
      </c>
      <c r="C833" s="11" t="s">
        <v>957</v>
      </c>
      <c r="D833" s="11" t="s">
        <v>102</v>
      </c>
      <c r="E833" t="s">
        <v>2274</v>
      </c>
    </row>
    <row r="834" spans="1:5">
      <c r="A834" s="11"/>
      <c r="B834" s="11">
        <v>7013012</v>
      </c>
      <c r="C834" s="11" t="s">
        <v>958</v>
      </c>
      <c r="D834" s="11" t="s">
        <v>493</v>
      </c>
      <c r="E834" t="s">
        <v>2274</v>
      </c>
    </row>
    <row r="835" spans="1:5">
      <c r="A835" s="11"/>
      <c r="B835" s="11">
        <v>7013013</v>
      </c>
      <c r="C835" s="11" t="s">
        <v>959</v>
      </c>
      <c r="D835" s="11" t="s">
        <v>562</v>
      </c>
      <c r="E835" t="s">
        <v>2274</v>
      </c>
    </row>
    <row r="836" spans="1:5">
      <c r="A836" s="11">
        <v>7013014</v>
      </c>
      <c r="B836" s="11">
        <v>7013090</v>
      </c>
      <c r="C836" s="11" t="s">
        <v>960</v>
      </c>
      <c r="D836" s="11" t="s">
        <v>562</v>
      </c>
      <c r="E836" t="s">
        <v>2274</v>
      </c>
    </row>
    <row r="837" spans="1:5">
      <c r="A837" s="11"/>
      <c r="B837" s="11">
        <v>7013016</v>
      </c>
      <c r="C837" s="11" t="s">
        <v>961</v>
      </c>
      <c r="D837" s="11" t="s">
        <v>201</v>
      </c>
      <c r="E837" t="s">
        <v>2274</v>
      </c>
    </row>
    <row r="838" spans="1:5">
      <c r="A838" s="11">
        <v>7013017</v>
      </c>
      <c r="B838" s="11">
        <v>7013096</v>
      </c>
      <c r="C838" s="11" t="s">
        <v>962</v>
      </c>
      <c r="D838" s="11" t="s">
        <v>201</v>
      </c>
      <c r="E838" t="s">
        <v>2274</v>
      </c>
    </row>
    <row r="839" spans="1:5">
      <c r="A839" s="11">
        <v>7013018</v>
      </c>
      <c r="B839" s="11">
        <v>7013097</v>
      </c>
      <c r="C839" s="11" t="s">
        <v>963</v>
      </c>
      <c r="D839" s="11" t="s">
        <v>201</v>
      </c>
      <c r="E839" t="s">
        <v>2274</v>
      </c>
    </row>
    <row r="840" spans="1:5">
      <c r="A840" s="11">
        <v>7013019</v>
      </c>
      <c r="B840" s="11">
        <v>7013098</v>
      </c>
      <c r="C840" s="11" t="s">
        <v>964</v>
      </c>
      <c r="D840" s="11" t="s">
        <v>201</v>
      </c>
      <c r="E840" t="s">
        <v>2274</v>
      </c>
    </row>
    <row r="841" spans="1:5">
      <c r="A841" s="11"/>
      <c r="B841" s="11">
        <v>7013020</v>
      </c>
      <c r="C841" s="11" t="s">
        <v>965</v>
      </c>
      <c r="D841" s="11" t="s">
        <v>543</v>
      </c>
      <c r="E841" t="s">
        <v>2274</v>
      </c>
    </row>
    <row r="842" spans="1:5">
      <c r="A842" s="11">
        <v>7013021</v>
      </c>
      <c r="B842" s="11">
        <v>7013087</v>
      </c>
      <c r="C842" s="11" t="s">
        <v>966</v>
      </c>
      <c r="D842" s="11" t="s">
        <v>543</v>
      </c>
      <c r="E842" t="s">
        <v>2274</v>
      </c>
    </row>
    <row r="843" spans="1:5">
      <c r="A843" s="11"/>
      <c r="B843" s="11">
        <v>7013022</v>
      </c>
      <c r="C843" s="11" t="s">
        <v>967</v>
      </c>
      <c r="D843" s="11" t="s">
        <v>516</v>
      </c>
      <c r="E843" t="s">
        <v>2274</v>
      </c>
    </row>
    <row r="844" spans="1:5">
      <c r="A844" s="11"/>
      <c r="B844" s="11">
        <v>7013023</v>
      </c>
      <c r="C844" s="11" t="s">
        <v>968</v>
      </c>
      <c r="D844" s="11" t="s">
        <v>969</v>
      </c>
      <c r="E844" t="s">
        <v>2274</v>
      </c>
    </row>
    <row r="845" spans="1:5">
      <c r="A845" s="11"/>
      <c r="B845" s="11">
        <v>7013024</v>
      </c>
      <c r="C845" s="11" t="s">
        <v>970</v>
      </c>
      <c r="D845" s="11" t="s">
        <v>543</v>
      </c>
      <c r="E845" t="s">
        <v>2274</v>
      </c>
    </row>
    <row r="846" spans="1:5">
      <c r="A846" s="11">
        <v>7013041</v>
      </c>
      <c r="B846" s="11">
        <v>7013106</v>
      </c>
      <c r="C846" s="11" t="s">
        <v>971</v>
      </c>
      <c r="D846" s="12" t="s">
        <v>99</v>
      </c>
      <c r="E846" t="s">
        <v>2274</v>
      </c>
    </row>
    <row r="847" spans="1:5">
      <c r="A847" s="11"/>
      <c r="B847" s="11">
        <v>7013042</v>
      </c>
      <c r="C847" s="11" t="s">
        <v>972</v>
      </c>
      <c r="D847" s="11" t="s">
        <v>493</v>
      </c>
      <c r="E847" t="s">
        <v>2274</v>
      </c>
    </row>
    <row r="848" spans="1:5">
      <c r="A848" s="11">
        <v>7013043</v>
      </c>
      <c r="B848" s="11">
        <v>7013079</v>
      </c>
      <c r="C848" s="11" t="s">
        <v>973</v>
      </c>
      <c r="D848" s="11" t="s">
        <v>974</v>
      </c>
      <c r="E848" t="s">
        <v>2274</v>
      </c>
    </row>
    <row r="849" spans="1:5">
      <c r="A849" s="11">
        <v>7013044</v>
      </c>
      <c r="B849" s="11">
        <v>7013094</v>
      </c>
      <c r="C849" s="11" t="s">
        <v>975</v>
      </c>
      <c r="D849" s="11" t="s">
        <v>974</v>
      </c>
      <c r="E849" t="s">
        <v>2274</v>
      </c>
    </row>
    <row r="850" spans="1:5">
      <c r="A850" s="11">
        <v>7013045</v>
      </c>
      <c r="B850" s="11">
        <v>7013093</v>
      </c>
      <c r="C850" s="11" t="s">
        <v>976</v>
      </c>
      <c r="D850" s="11" t="s">
        <v>974</v>
      </c>
      <c r="E850" t="s">
        <v>2274</v>
      </c>
    </row>
    <row r="851" spans="1:5">
      <c r="A851" s="11">
        <v>7013046</v>
      </c>
      <c r="B851" s="11">
        <v>7013092</v>
      </c>
      <c r="C851" s="11" t="s">
        <v>977</v>
      </c>
      <c r="D851" s="11" t="s">
        <v>488</v>
      </c>
      <c r="E851" t="s">
        <v>2274</v>
      </c>
    </row>
    <row r="852" spans="1:5">
      <c r="A852" s="15">
        <v>7013047</v>
      </c>
      <c r="B852" s="11">
        <v>7013071</v>
      </c>
      <c r="C852" s="11" t="s">
        <v>978</v>
      </c>
      <c r="D852" s="11" t="s">
        <v>102</v>
      </c>
      <c r="E852" t="s">
        <v>2274</v>
      </c>
    </row>
    <row r="853" spans="1:5">
      <c r="A853" s="11"/>
      <c r="B853" s="11">
        <v>7013077</v>
      </c>
      <c r="C853" s="11" t="s">
        <v>946</v>
      </c>
      <c r="D853" s="11" t="s">
        <v>102</v>
      </c>
      <c r="E853" t="s">
        <v>2274</v>
      </c>
    </row>
    <row r="854" spans="1:5">
      <c r="A854" s="11"/>
      <c r="B854" s="11">
        <v>7013110</v>
      </c>
      <c r="C854" s="11" t="s">
        <v>979</v>
      </c>
      <c r="D854" s="11" t="s">
        <v>99</v>
      </c>
      <c r="E854" t="s">
        <v>2274</v>
      </c>
    </row>
    <row r="855" spans="1:5">
      <c r="A855" s="11">
        <v>7014000</v>
      </c>
      <c r="B855" s="11">
        <v>7014091</v>
      </c>
      <c r="C855" s="11" t="s">
        <v>980</v>
      </c>
      <c r="D855" s="11" t="s">
        <v>102</v>
      </c>
      <c r="E855" t="s">
        <v>2274</v>
      </c>
    </row>
    <row r="856" spans="1:5">
      <c r="A856" s="11">
        <v>7014001</v>
      </c>
      <c r="B856" s="11">
        <v>7014092</v>
      </c>
      <c r="C856" s="11" t="s">
        <v>981</v>
      </c>
      <c r="D856" s="11" t="s">
        <v>102</v>
      </c>
      <c r="E856" t="s">
        <v>2274</v>
      </c>
    </row>
    <row r="857" spans="1:5">
      <c r="A857" s="11">
        <v>7014002</v>
      </c>
      <c r="B857" s="11">
        <v>7014093</v>
      </c>
      <c r="C857" s="11" t="s">
        <v>982</v>
      </c>
      <c r="D857" s="11" t="s">
        <v>102</v>
      </c>
      <c r="E857" t="s">
        <v>2274</v>
      </c>
    </row>
    <row r="858" spans="1:5">
      <c r="A858" s="11">
        <v>7014003</v>
      </c>
      <c r="B858" s="11">
        <v>7014096</v>
      </c>
      <c r="C858" s="11" t="s">
        <v>983</v>
      </c>
      <c r="D858" s="11" t="s">
        <v>102</v>
      </c>
      <c r="E858" t="s">
        <v>2274</v>
      </c>
    </row>
    <row r="859" spans="1:5">
      <c r="A859" s="11"/>
      <c r="B859" s="11">
        <v>7014004</v>
      </c>
      <c r="C859" s="11" t="s">
        <v>984</v>
      </c>
      <c r="D859" s="11" t="s">
        <v>102</v>
      </c>
      <c r="E859" t="s">
        <v>2274</v>
      </c>
    </row>
    <row r="860" spans="1:5">
      <c r="A860" s="11"/>
      <c r="B860" s="11">
        <v>7014005</v>
      </c>
      <c r="C860" s="11" t="s">
        <v>985</v>
      </c>
      <c r="D860" s="11" t="s">
        <v>102</v>
      </c>
      <c r="E860" t="s">
        <v>2274</v>
      </c>
    </row>
    <row r="861" spans="1:5">
      <c r="A861" s="11">
        <v>7014006</v>
      </c>
      <c r="B861" s="11">
        <v>7014099</v>
      </c>
      <c r="C861" s="11" t="s">
        <v>986</v>
      </c>
      <c r="D861" s="11" t="s">
        <v>102</v>
      </c>
      <c r="E861" t="s">
        <v>2274</v>
      </c>
    </row>
    <row r="862" spans="1:5">
      <c r="A862" s="11"/>
      <c r="B862" s="11">
        <v>7014007</v>
      </c>
      <c r="C862" s="11" t="s">
        <v>987</v>
      </c>
      <c r="D862" s="11" t="s">
        <v>102</v>
      </c>
      <c r="E862" t="s">
        <v>2274</v>
      </c>
    </row>
    <row r="863" spans="1:5">
      <c r="A863" s="11">
        <v>7014008</v>
      </c>
      <c r="B863" s="11">
        <v>7014117</v>
      </c>
      <c r="C863" s="11" t="s">
        <v>988</v>
      </c>
      <c r="D863" s="11" t="s">
        <v>102</v>
      </c>
      <c r="E863" t="s">
        <v>2274</v>
      </c>
    </row>
    <row r="864" spans="1:5">
      <c r="A864" s="11"/>
      <c r="B864" s="11">
        <v>7014009</v>
      </c>
      <c r="C864" s="11" t="s">
        <v>989</v>
      </c>
      <c r="D864" s="11" t="s">
        <v>516</v>
      </c>
      <c r="E864" t="s">
        <v>2274</v>
      </c>
    </row>
    <row r="865" spans="1:5">
      <c r="A865" s="11">
        <v>7014010</v>
      </c>
      <c r="B865" s="11">
        <v>7014142</v>
      </c>
      <c r="C865" s="11" t="s">
        <v>990</v>
      </c>
      <c r="D865" s="11" t="s">
        <v>102</v>
      </c>
      <c r="E865" t="s">
        <v>2274</v>
      </c>
    </row>
    <row r="866" spans="1:5">
      <c r="A866" s="11">
        <v>7014011</v>
      </c>
      <c r="B866" s="11">
        <v>7014125</v>
      </c>
      <c r="C866" s="11" t="s">
        <v>991</v>
      </c>
      <c r="D866" s="11" t="s">
        <v>102</v>
      </c>
      <c r="E866" t="s">
        <v>2274</v>
      </c>
    </row>
    <row r="867" spans="1:5">
      <c r="A867" s="11">
        <v>7014012</v>
      </c>
      <c r="B867" s="11">
        <v>7014090</v>
      </c>
      <c r="C867" s="11" t="s">
        <v>992</v>
      </c>
      <c r="D867" s="11" t="s">
        <v>102</v>
      </c>
      <c r="E867" t="s">
        <v>2274</v>
      </c>
    </row>
    <row r="868" spans="1:5">
      <c r="A868" s="11">
        <v>7014013</v>
      </c>
      <c r="B868" s="11">
        <v>7014100</v>
      </c>
      <c r="C868" s="11" t="s">
        <v>993</v>
      </c>
      <c r="D868" s="11" t="s">
        <v>102</v>
      </c>
      <c r="E868" t="s">
        <v>2274</v>
      </c>
    </row>
    <row r="869" spans="1:5">
      <c r="A869" s="11"/>
      <c r="B869" s="11">
        <v>7014014</v>
      </c>
      <c r="C869" s="11" t="s">
        <v>994</v>
      </c>
      <c r="D869" s="11" t="s">
        <v>102</v>
      </c>
      <c r="E869" t="s">
        <v>2274</v>
      </c>
    </row>
    <row r="870" spans="1:5">
      <c r="A870" s="11"/>
      <c r="B870" s="11">
        <v>7014015</v>
      </c>
      <c r="C870" s="11" t="s">
        <v>995</v>
      </c>
      <c r="D870" s="11" t="s">
        <v>102</v>
      </c>
      <c r="E870" t="s">
        <v>2274</v>
      </c>
    </row>
    <row r="871" spans="1:5">
      <c r="A871" s="11"/>
      <c r="B871" s="11">
        <v>7014016</v>
      </c>
      <c r="C871" s="11" t="s">
        <v>996</v>
      </c>
      <c r="D871" s="11" t="s">
        <v>102</v>
      </c>
      <c r="E871" t="s">
        <v>2274</v>
      </c>
    </row>
    <row r="872" spans="1:5">
      <c r="A872" s="11">
        <v>7014017</v>
      </c>
      <c r="B872" s="11">
        <v>7014105</v>
      </c>
      <c r="C872" s="11" t="s">
        <v>997</v>
      </c>
      <c r="D872" s="11" t="s">
        <v>998</v>
      </c>
      <c r="E872" t="s">
        <v>2274</v>
      </c>
    </row>
    <row r="873" spans="1:5">
      <c r="A873" s="11">
        <v>7014018</v>
      </c>
      <c r="B873" s="11">
        <v>7014106</v>
      </c>
      <c r="C873" s="11" t="s">
        <v>999</v>
      </c>
      <c r="D873" s="11" t="s">
        <v>998</v>
      </c>
      <c r="E873" t="s">
        <v>2274</v>
      </c>
    </row>
    <row r="874" spans="1:5">
      <c r="A874" s="11">
        <v>7014019</v>
      </c>
      <c r="B874" s="11">
        <v>7014107</v>
      </c>
      <c r="C874" s="11" t="s">
        <v>1000</v>
      </c>
      <c r="D874" s="11" t="s">
        <v>998</v>
      </c>
      <c r="E874" t="s">
        <v>2274</v>
      </c>
    </row>
    <row r="875" spans="1:5">
      <c r="A875" s="11">
        <v>7014020</v>
      </c>
      <c r="B875" s="11">
        <v>7014108</v>
      </c>
      <c r="C875" s="11" t="s">
        <v>1001</v>
      </c>
      <c r="D875" s="11" t="s">
        <v>998</v>
      </c>
      <c r="E875" t="s">
        <v>2274</v>
      </c>
    </row>
    <row r="876" spans="1:5">
      <c r="A876" s="11">
        <v>7014021</v>
      </c>
      <c r="B876" s="11">
        <v>7014109</v>
      </c>
      <c r="C876" s="11" t="s">
        <v>1002</v>
      </c>
      <c r="D876" s="11" t="s">
        <v>201</v>
      </c>
      <c r="E876" t="s">
        <v>2274</v>
      </c>
    </row>
    <row r="877" spans="1:5">
      <c r="A877" s="11">
        <v>7014022</v>
      </c>
      <c r="B877" s="11">
        <v>7014110</v>
      </c>
      <c r="C877" s="11" t="s">
        <v>1003</v>
      </c>
      <c r="D877" s="11" t="s">
        <v>201</v>
      </c>
      <c r="E877" t="s">
        <v>2274</v>
      </c>
    </row>
    <row r="878" spans="1:5">
      <c r="A878" s="11">
        <v>7014023</v>
      </c>
      <c r="B878" s="11">
        <v>7014111</v>
      </c>
      <c r="C878" s="11" t="s">
        <v>1004</v>
      </c>
      <c r="D878" s="11" t="s">
        <v>201</v>
      </c>
      <c r="E878" t="s">
        <v>2274</v>
      </c>
    </row>
    <row r="879" spans="1:5">
      <c r="A879" s="11">
        <v>7014024</v>
      </c>
      <c r="B879" s="11">
        <v>7014113</v>
      </c>
      <c r="C879" s="11" t="s">
        <v>1005</v>
      </c>
      <c r="D879" s="11" t="s">
        <v>201</v>
      </c>
      <c r="E879" t="s">
        <v>2274</v>
      </c>
    </row>
    <row r="880" spans="1:5">
      <c r="A880" s="11">
        <v>7014025</v>
      </c>
      <c r="B880" s="11">
        <v>7014118</v>
      </c>
      <c r="C880" s="11" t="s">
        <v>1006</v>
      </c>
      <c r="D880" s="11" t="s">
        <v>1007</v>
      </c>
      <c r="E880" t="s">
        <v>2274</v>
      </c>
    </row>
    <row r="881" spans="1:5">
      <c r="A881" s="11">
        <v>7014026</v>
      </c>
      <c r="B881" s="11">
        <v>7014136</v>
      </c>
      <c r="C881" s="11" t="s">
        <v>1008</v>
      </c>
      <c r="D881" s="11" t="s">
        <v>1009</v>
      </c>
      <c r="E881" t="s">
        <v>2274</v>
      </c>
    </row>
    <row r="882" spans="1:5">
      <c r="A882" s="11">
        <v>7014027</v>
      </c>
      <c r="B882" s="11">
        <v>7014137</v>
      </c>
      <c r="C882" s="11" t="s">
        <v>1010</v>
      </c>
      <c r="D882" s="11" t="s">
        <v>112</v>
      </c>
      <c r="E882" t="s">
        <v>2274</v>
      </c>
    </row>
    <row r="883" spans="1:5">
      <c r="A883" s="11">
        <v>7014028</v>
      </c>
      <c r="B883" s="11">
        <v>7014139</v>
      </c>
      <c r="C883" s="11" t="s">
        <v>1011</v>
      </c>
      <c r="D883" s="11" t="s">
        <v>102</v>
      </c>
      <c r="E883" t="s">
        <v>2274</v>
      </c>
    </row>
    <row r="884" spans="1:5">
      <c r="A884" s="11">
        <v>7014029</v>
      </c>
      <c r="B884" s="11">
        <v>7014140</v>
      </c>
      <c r="C884" s="11" t="s">
        <v>1012</v>
      </c>
      <c r="D884" s="11" t="s">
        <v>102</v>
      </c>
      <c r="E884" t="s">
        <v>2274</v>
      </c>
    </row>
    <row r="885" spans="1:5">
      <c r="A885" s="11">
        <v>7014030</v>
      </c>
      <c r="B885" s="11">
        <v>7014141</v>
      </c>
      <c r="C885" s="11" t="s">
        <v>1013</v>
      </c>
      <c r="D885" s="11" t="s">
        <v>102</v>
      </c>
      <c r="E885" t="s">
        <v>2274</v>
      </c>
    </row>
    <row r="886" spans="1:5">
      <c r="A886" s="11">
        <v>7014031</v>
      </c>
      <c r="B886" s="11">
        <v>7014126</v>
      </c>
      <c r="C886" s="11" t="s">
        <v>1014</v>
      </c>
      <c r="D886" s="11" t="s">
        <v>102</v>
      </c>
      <c r="E886" t="s">
        <v>2274</v>
      </c>
    </row>
    <row r="887" spans="1:5">
      <c r="A887" s="11">
        <v>7014032</v>
      </c>
      <c r="B887" s="11">
        <v>7014127</v>
      </c>
      <c r="C887" s="11" t="s">
        <v>1015</v>
      </c>
      <c r="D887" s="11" t="s">
        <v>102</v>
      </c>
      <c r="E887" t="s">
        <v>2274</v>
      </c>
    </row>
    <row r="888" spans="1:5">
      <c r="A888" s="11">
        <v>7014033</v>
      </c>
      <c r="B888" s="12">
        <v>7014128</v>
      </c>
      <c r="C888" s="11" t="s">
        <v>1016</v>
      </c>
      <c r="D888" s="11" t="s">
        <v>102</v>
      </c>
      <c r="E888" t="s">
        <v>2274</v>
      </c>
    </row>
    <row r="889" spans="1:5">
      <c r="A889" s="11">
        <v>7014034</v>
      </c>
      <c r="B889" s="11">
        <v>7014129</v>
      </c>
      <c r="C889" s="11" t="s">
        <v>1017</v>
      </c>
      <c r="D889" s="11" t="s">
        <v>102</v>
      </c>
      <c r="E889" t="s">
        <v>2274</v>
      </c>
    </row>
    <row r="890" spans="1:5">
      <c r="A890" s="11">
        <v>7014035</v>
      </c>
      <c r="B890" s="11">
        <v>7014130</v>
      </c>
      <c r="C890" s="11" t="s">
        <v>1018</v>
      </c>
      <c r="D890" s="11" t="s">
        <v>102</v>
      </c>
      <c r="E890" t="s">
        <v>2274</v>
      </c>
    </row>
    <row r="891" spans="1:5">
      <c r="A891" s="11"/>
      <c r="B891" s="11">
        <v>7014036</v>
      </c>
      <c r="C891" s="11" t="s">
        <v>1019</v>
      </c>
      <c r="D891" s="11" t="s">
        <v>102</v>
      </c>
      <c r="E891" t="s">
        <v>2274</v>
      </c>
    </row>
    <row r="892" spans="1:5">
      <c r="A892" s="11"/>
      <c r="B892" s="11">
        <v>7014037</v>
      </c>
      <c r="C892" s="11" t="s">
        <v>1020</v>
      </c>
      <c r="D892" s="11" t="s">
        <v>102</v>
      </c>
      <c r="E892" t="s">
        <v>2274</v>
      </c>
    </row>
    <row r="893" spans="1:5">
      <c r="A893" s="11"/>
      <c r="B893" s="11">
        <v>7014038</v>
      </c>
      <c r="C893" s="11" t="s">
        <v>1021</v>
      </c>
      <c r="D893" s="11" t="s">
        <v>102</v>
      </c>
      <c r="E893" t="s">
        <v>2274</v>
      </c>
    </row>
    <row r="894" spans="1:5">
      <c r="A894" s="11"/>
      <c r="B894" s="11">
        <v>7014039</v>
      </c>
      <c r="C894" s="11" t="s">
        <v>1022</v>
      </c>
      <c r="D894" s="11" t="s">
        <v>102</v>
      </c>
      <c r="E894" t="s">
        <v>2274</v>
      </c>
    </row>
    <row r="895" spans="1:5">
      <c r="A895" s="11"/>
      <c r="B895" s="11">
        <v>7014040</v>
      </c>
      <c r="C895" s="11" t="s">
        <v>1023</v>
      </c>
      <c r="D895" s="11" t="s">
        <v>102</v>
      </c>
      <c r="E895" t="s">
        <v>2274</v>
      </c>
    </row>
    <row r="896" spans="1:5">
      <c r="A896" s="11"/>
      <c r="B896" s="11">
        <v>7014041</v>
      </c>
      <c r="C896" s="11" t="s">
        <v>1024</v>
      </c>
      <c r="D896" s="11" t="s">
        <v>102</v>
      </c>
      <c r="E896" t="s">
        <v>2274</v>
      </c>
    </row>
    <row r="897" spans="1:5">
      <c r="A897" s="11"/>
      <c r="B897" s="11">
        <v>7014042</v>
      </c>
      <c r="C897" s="11" t="s">
        <v>1025</v>
      </c>
      <c r="D897" s="11" t="s">
        <v>102</v>
      </c>
      <c r="E897" t="s">
        <v>2274</v>
      </c>
    </row>
    <row r="898" spans="1:5">
      <c r="A898" s="11"/>
      <c r="B898" s="11">
        <v>7014043</v>
      </c>
      <c r="C898" s="11" t="s">
        <v>1026</v>
      </c>
      <c r="D898" s="11" t="s">
        <v>516</v>
      </c>
      <c r="E898" t="s">
        <v>2274</v>
      </c>
    </row>
    <row r="899" spans="1:5">
      <c r="A899" s="11"/>
      <c r="B899" s="11">
        <v>7014044</v>
      </c>
      <c r="C899" s="11" t="s">
        <v>1027</v>
      </c>
      <c r="D899" s="11" t="s">
        <v>516</v>
      </c>
      <c r="E899" t="s">
        <v>2274</v>
      </c>
    </row>
    <row r="900" spans="1:5">
      <c r="A900" s="11"/>
      <c r="B900" s="11">
        <v>7014045</v>
      </c>
      <c r="C900" s="11" t="s">
        <v>1028</v>
      </c>
      <c r="D900" s="11" t="s">
        <v>102</v>
      </c>
      <c r="E900" t="s">
        <v>2274</v>
      </c>
    </row>
    <row r="901" spans="1:5">
      <c r="A901" s="11"/>
      <c r="B901" s="11">
        <v>7015000</v>
      </c>
      <c r="C901" s="11" t="s">
        <v>1029</v>
      </c>
      <c r="D901" s="11" t="s">
        <v>102</v>
      </c>
      <c r="E901" t="s">
        <v>2274</v>
      </c>
    </row>
    <row r="902" spans="1:5">
      <c r="A902" s="11"/>
      <c r="B902" s="11">
        <v>7015001</v>
      </c>
      <c r="C902" s="11" t="s">
        <v>1030</v>
      </c>
      <c r="D902" s="11" t="s">
        <v>102</v>
      </c>
      <c r="E902" t="s">
        <v>2274</v>
      </c>
    </row>
    <row r="903" spans="1:5">
      <c r="A903" s="11"/>
      <c r="B903" s="11">
        <v>7015002</v>
      </c>
      <c r="C903" s="11" t="s">
        <v>1031</v>
      </c>
      <c r="D903" s="11" t="s">
        <v>102</v>
      </c>
      <c r="E903" t="s">
        <v>2274</v>
      </c>
    </row>
    <row r="904" spans="1:5">
      <c r="A904" s="11"/>
      <c r="B904" s="11">
        <v>7015003</v>
      </c>
      <c r="C904" s="11" t="s">
        <v>1032</v>
      </c>
      <c r="D904" s="11" t="s">
        <v>102</v>
      </c>
      <c r="E904" t="s">
        <v>2274</v>
      </c>
    </row>
    <row r="905" spans="1:5">
      <c r="A905" s="11"/>
      <c r="B905" s="11">
        <v>7015004</v>
      </c>
      <c r="C905" s="11" t="s">
        <v>1033</v>
      </c>
      <c r="D905" s="11" t="s">
        <v>102</v>
      </c>
      <c r="E905" t="s">
        <v>2274</v>
      </c>
    </row>
    <row r="906" spans="1:5">
      <c r="A906" s="11"/>
      <c r="B906" s="11">
        <v>7015005</v>
      </c>
      <c r="C906" s="11" t="s">
        <v>1034</v>
      </c>
      <c r="D906" s="11" t="s">
        <v>102</v>
      </c>
      <c r="E906" t="s">
        <v>2274</v>
      </c>
    </row>
    <row r="907" spans="1:5">
      <c r="A907" s="11"/>
      <c r="B907" s="11">
        <v>7015006</v>
      </c>
      <c r="C907" s="11" t="s">
        <v>1035</v>
      </c>
      <c r="D907" s="11" t="s">
        <v>102</v>
      </c>
      <c r="E907" t="s">
        <v>2274</v>
      </c>
    </row>
    <row r="908" spans="1:5">
      <c r="A908" s="11"/>
      <c r="B908" s="11">
        <v>7015007</v>
      </c>
      <c r="C908" s="11" t="s">
        <v>1036</v>
      </c>
      <c r="D908" s="11" t="s">
        <v>102</v>
      </c>
      <c r="E908" t="s">
        <v>2274</v>
      </c>
    </row>
    <row r="909" spans="1:5">
      <c r="A909" s="11"/>
      <c r="B909" s="11">
        <v>7015008</v>
      </c>
      <c r="C909" s="11" t="s">
        <v>1037</v>
      </c>
      <c r="D909" s="11" t="s">
        <v>102</v>
      </c>
      <c r="E909" t="s">
        <v>2274</v>
      </c>
    </row>
    <row r="910" spans="1:5">
      <c r="A910" s="11"/>
      <c r="B910" s="11">
        <v>7015009</v>
      </c>
      <c r="C910" s="11" t="s">
        <v>1038</v>
      </c>
      <c r="D910" s="11" t="s">
        <v>562</v>
      </c>
      <c r="E910" t="s">
        <v>2274</v>
      </c>
    </row>
    <row r="911" spans="1:5">
      <c r="A911" s="11">
        <v>7015010</v>
      </c>
      <c r="B911" s="11">
        <v>7015076</v>
      </c>
      <c r="C911" s="11" t="s">
        <v>1039</v>
      </c>
      <c r="D911" s="11" t="s">
        <v>102</v>
      </c>
      <c r="E911" t="s">
        <v>2274</v>
      </c>
    </row>
    <row r="912" spans="1:5">
      <c r="A912" s="11">
        <v>7015011</v>
      </c>
      <c r="B912" s="11">
        <v>7015082</v>
      </c>
      <c r="C912" s="11" t="s">
        <v>1040</v>
      </c>
      <c r="D912" s="11" t="s">
        <v>102</v>
      </c>
      <c r="E912" t="s">
        <v>2274</v>
      </c>
    </row>
    <row r="913" spans="1:5">
      <c r="A913" s="11"/>
      <c r="B913" s="11">
        <v>7015012</v>
      </c>
      <c r="C913" s="11" t="s">
        <v>1041</v>
      </c>
      <c r="D913" s="11" t="s">
        <v>102</v>
      </c>
      <c r="E913" t="s">
        <v>2274</v>
      </c>
    </row>
    <row r="914" spans="1:5">
      <c r="A914" s="11"/>
      <c r="B914" s="11">
        <v>7015013</v>
      </c>
      <c r="C914" s="11" t="s">
        <v>1042</v>
      </c>
      <c r="D914" s="11" t="s">
        <v>974</v>
      </c>
      <c r="E914" t="s">
        <v>2274</v>
      </c>
    </row>
    <row r="915" spans="1:5">
      <c r="A915" s="11">
        <v>7015014</v>
      </c>
      <c r="B915" s="11">
        <v>7015088</v>
      </c>
      <c r="C915" s="11" t="s">
        <v>1043</v>
      </c>
      <c r="D915" s="11" t="s">
        <v>146</v>
      </c>
      <c r="E915" t="s">
        <v>2274</v>
      </c>
    </row>
    <row r="916" spans="1:5">
      <c r="A916" s="11"/>
      <c r="B916" s="11">
        <v>7015015</v>
      </c>
      <c r="C916" s="11" t="s">
        <v>1044</v>
      </c>
      <c r="D916" s="11" t="s">
        <v>102</v>
      </c>
      <c r="E916" t="s">
        <v>2274</v>
      </c>
    </row>
    <row r="917" spans="1:5">
      <c r="A917" s="11">
        <v>7015016</v>
      </c>
      <c r="B917" s="11">
        <v>7015092</v>
      </c>
      <c r="C917" s="11" t="s">
        <v>1045</v>
      </c>
      <c r="D917" s="11" t="s">
        <v>516</v>
      </c>
      <c r="E917" t="s">
        <v>2274</v>
      </c>
    </row>
    <row r="918" spans="1:5">
      <c r="A918" s="11">
        <v>7015017</v>
      </c>
      <c r="B918" s="11">
        <v>7015105</v>
      </c>
      <c r="C918" s="11" t="s">
        <v>1046</v>
      </c>
      <c r="D918" s="11" t="s">
        <v>516</v>
      </c>
      <c r="E918" t="s">
        <v>2274</v>
      </c>
    </row>
    <row r="919" spans="1:5">
      <c r="A919" s="11">
        <v>7015018</v>
      </c>
      <c r="B919" s="11">
        <v>7015111</v>
      </c>
      <c r="C919" s="11" t="s">
        <v>1047</v>
      </c>
      <c r="D919" s="11" t="s">
        <v>102</v>
      </c>
      <c r="E919" t="s">
        <v>2274</v>
      </c>
    </row>
    <row r="920" spans="1:5">
      <c r="A920" s="11">
        <v>7015019</v>
      </c>
      <c r="B920" s="11">
        <v>7015107</v>
      </c>
      <c r="C920" s="11" t="s">
        <v>1048</v>
      </c>
      <c r="D920" s="11" t="s">
        <v>102</v>
      </c>
      <c r="E920" t="s">
        <v>2274</v>
      </c>
    </row>
    <row r="921" spans="1:5">
      <c r="A921" s="11">
        <v>7015020</v>
      </c>
      <c r="B921" s="11">
        <v>7015061</v>
      </c>
      <c r="C921" s="11" t="s">
        <v>1049</v>
      </c>
      <c r="D921" s="11" t="s">
        <v>102</v>
      </c>
      <c r="E921" t="s">
        <v>2274</v>
      </c>
    </row>
    <row r="922" spans="1:5">
      <c r="A922" s="11"/>
      <c r="B922" s="11">
        <v>7015021</v>
      </c>
      <c r="C922" s="11" t="s">
        <v>1050</v>
      </c>
      <c r="D922" s="11" t="s">
        <v>102</v>
      </c>
      <c r="E922" t="s">
        <v>2274</v>
      </c>
    </row>
    <row r="923" spans="1:5">
      <c r="A923" s="11">
        <v>7015022</v>
      </c>
      <c r="B923" s="11">
        <v>7015077</v>
      </c>
      <c r="C923" s="11" t="s">
        <v>1051</v>
      </c>
      <c r="D923" s="11" t="s">
        <v>102</v>
      </c>
      <c r="E923" t="s">
        <v>2274</v>
      </c>
    </row>
    <row r="924" spans="1:5">
      <c r="A924" s="11">
        <v>7015023</v>
      </c>
      <c r="B924" s="11">
        <v>7015084</v>
      </c>
      <c r="C924" s="11" t="s">
        <v>1052</v>
      </c>
      <c r="D924" s="11" t="s">
        <v>102</v>
      </c>
      <c r="E924" t="s">
        <v>2274</v>
      </c>
    </row>
    <row r="925" spans="1:5">
      <c r="A925" s="11"/>
      <c r="B925" s="11">
        <v>7015024</v>
      </c>
      <c r="C925" s="11" t="s">
        <v>1053</v>
      </c>
      <c r="D925" s="11" t="s">
        <v>102</v>
      </c>
      <c r="E925" t="s">
        <v>2274</v>
      </c>
    </row>
    <row r="926" spans="1:5">
      <c r="A926" s="11"/>
      <c r="B926" s="11">
        <v>7015025</v>
      </c>
      <c r="C926" s="11" t="s">
        <v>1054</v>
      </c>
      <c r="D926" s="11" t="s">
        <v>102</v>
      </c>
      <c r="E926" t="s">
        <v>2274</v>
      </c>
    </row>
    <row r="927" spans="1:5">
      <c r="A927" s="11"/>
      <c r="B927" s="11">
        <v>7015026</v>
      </c>
      <c r="C927" s="11" t="s">
        <v>1055</v>
      </c>
      <c r="D927" s="11" t="s">
        <v>284</v>
      </c>
      <c r="E927" t="s">
        <v>2274</v>
      </c>
    </row>
    <row r="928" spans="1:5">
      <c r="A928" s="11"/>
      <c r="B928" s="11">
        <v>7015027</v>
      </c>
      <c r="C928" s="11" t="s">
        <v>1056</v>
      </c>
      <c r="D928" s="11" t="s">
        <v>284</v>
      </c>
      <c r="E928" t="s">
        <v>2274</v>
      </c>
    </row>
    <row r="929" spans="1:5">
      <c r="A929" s="11"/>
      <c r="B929" s="11">
        <v>7015028</v>
      </c>
      <c r="C929" s="11" t="s">
        <v>1057</v>
      </c>
      <c r="D929" s="11" t="s">
        <v>284</v>
      </c>
      <c r="E929" t="s">
        <v>2274</v>
      </c>
    </row>
    <row r="930" spans="1:5">
      <c r="A930" s="11"/>
      <c r="B930" s="11">
        <v>7015040</v>
      </c>
      <c r="C930" s="11" t="s">
        <v>1058</v>
      </c>
      <c r="D930" s="11" t="s">
        <v>284</v>
      </c>
      <c r="E930" t="s">
        <v>2274</v>
      </c>
    </row>
    <row r="931" spans="1:5">
      <c r="A931" s="11">
        <v>7016000</v>
      </c>
      <c r="B931" s="11">
        <v>7016109</v>
      </c>
      <c r="C931" s="11" t="s">
        <v>1059</v>
      </c>
      <c r="D931" s="11" t="s">
        <v>102</v>
      </c>
      <c r="E931" t="s">
        <v>2274</v>
      </c>
    </row>
    <row r="932" spans="1:5">
      <c r="A932" s="11">
        <v>7016001</v>
      </c>
      <c r="B932" s="11">
        <v>7016110</v>
      </c>
      <c r="C932" s="11" t="s">
        <v>1060</v>
      </c>
      <c r="D932" s="11" t="s">
        <v>102</v>
      </c>
      <c r="E932" t="s">
        <v>2274</v>
      </c>
    </row>
    <row r="933" spans="1:5">
      <c r="A933" s="11">
        <v>7016002</v>
      </c>
      <c r="B933" s="11">
        <v>7016112</v>
      </c>
      <c r="C933" s="11" t="s">
        <v>1061</v>
      </c>
      <c r="D933" s="11" t="s">
        <v>102</v>
      </c>
      <c r="E933" t="s">
        <v>2274</v>
      </c>
    </row>
    <row r="934" spans="1:5">
      <c r="A934" s="11">
        <v>7016003</v>
      </c>
      <c r="B934" s="11">
        <v>7016113</v>
      </c>
      <c r="C934" s="11" t="s">
        <v>1062</v>
      </c>
      <c r="D934" s="11" t="s">
        <v>102</v>
      </c>
      <c r="E934" t="s">
        <v>2274</v>
      </c>
    </row>
    <row r="935" spans="1:5">
      <c r="A935" s="11"/>
      <c r="B935" s="11">
        <v>7016004</v>
      </c>
      <c r="C935" s="11" t="s">
        <v>1063</v>
      </c>
      <c r="D935" s="11" t="s">
        <v>102</v>
      </c>
      <c r="E935" t="s">
        <v>2274</v>
      </c>
    </row>
    <row r="936" spans="1:5">
      <c r="A936" s="11"/>
      <c r="B936" s="11">
        <v>7016005</v>
      </c>
      <c r="C936" s="11" t="s">
        <v>1064</v>
      </c>
      <c r="D936" s="11" t="s">
        <v>102</v>
      </c>
      <c r="E936" t="s">
        <v>2274</v>
      </c>
    </row>
    <row r="937" spans="1:5">
      <c r="A937" s="11">
        <v>7016006</v>
      </c>
      <c r="B937" s="11">
        <v>7016120</v>
      </c>
      <c r="C937" s="11" t="s">
        <v>1065</v>
      </c>
      <c r="D937" s="11" t="s">
        <v>969</v>
      </c>
      <c r="E937" t="s">
        <v>2274</v>
      </c>
    </row>
    <row r="938" spans="1:5">
      <c r="A938" s="11"/>
      <c r="B938" s="11">
        <v>7016007</v>
      </c>
      <c r="C938" s="11" t="s">
        <v>1066</v>
      </c>
      <c r="D938" s="11" t="s">
        <v>102</v>
      </c>
      <c r="E938" t="s">
        <v>2274</v>
      </c>
    </row>
    <row r="939" spans="1:5">
      <c r="A939" s="11">
        <v>7016008</v>
      </c>
      <c r="B939" s="11">
        <v>7016116</v>
      </c>
      <c r="C939" s="11" t="s">
        <v>1067</v>
      </c>
      <c r="D939" s="11" t="s">
        <v>102</v>
      </c>
      <c r="E939" t="s">
        <v>2274</v>
      </c>
    </row>
    <row r="940" spans="1:5">
      <c r="A940" s="11">
        <v>7016009</v>
      </c>
      <c r="B940" s="11">
        <v>7016122</v>
      </c>
      <c r="C940" s="11" t="s">
        <v>1068</v>
      </c>
      <c r="D940" s="11" t="s">
        <v>102</v>
      </c>
      <c r="E940" t="s">
        <v>2274</v>
      </c>
    </row>
    <row r="941" spans="1:5">
      <c r="A941" s="11">
        <v>7016010</v>
      </c>
      <c r="B941" s="11">
        <v>7016124</v>
      </c>
      <c r="C941" s="11" t="s">
        <v>1069</v>
      </c>
      <c r="D941" s="11" t="s">
        <v>102</v>
      </c>
      <c r="E941" t="s">
        <v>2274</v>
      </c>
    </row>
    <row r="942" spans="1:5">
      <c r="A942" s="11"/>
      <c r="B942" s="11">
        <v>7016011</v>
      </c>
      <c r="C942" s="11" t="s">
        <v>1070</v>
      </c>
      <c r="D942" s="11" t="s">
        <v>102</v>
      </c>
      <c r="E942" t="s">
        <v>2274</v>
      </c>
    </row>
    <row r="943" spans="1:5">
      <c r="A943" s="11">
        <v>7016012</v>
      </c>
      <c r="B943" s="11">
        <v>7016127</v>
      </c>
      <c r="C943" s="11" t="s">
        <v>1071</v>
      </c>
      <c r="D943" s="11" t="s">
        <v>488</v>
      </c>
      <c r="E943" t="s">
        <v>2274</v>
      </c>
    </row>
    <row r="944" spans="1:5">
      <c r="A944" s="11"/>
      <c r="B944" s="11">
        <v>7016013</v>
      </c>
      <c r="C944" s="11" t="s">
        <v>1072</v>
      </c>
      <c r="D944" s="11" t="s">
        <v>102</v>
      </c>
      <c r="E944" t="s">
        <v>2274</v>
      </c>
    </row>
    <row r="945" spans="1:5">
      <c r="A945" s="11">
        <v>7016014</v>
      </c>
      <c r="B945" s="11">
        <v>7016133</v>
      </c>
      <c r="C945" s="11" t="s">
        <v>1073</v>
      </c>
      <c r="D945" s="11" t="s">
        <v>102</v>
      </c>
      <c r="E945" t="s">
        <v>2274</v>
      </c>
    </row>
    <row r="946" spans="1:5">
      <c r="A946" s="11">
        <v>7016015</v>
      </c>
      <c r="B946" s="11">
        <v>7016134</v>
      </c>
      <c r="C946" s="11" t="s">
        <v>1074</v>
      </c>
      <c r="D946" s="11" t="s">
        <v>102</v>
      </c>
      <c r="E946" t="s">
        <v>2274</v>
      </c>
    </row>
    <row r="947" spans="1:5">
      <c r="A947" s="11">
        <v>7016016</v>
      </c>
      <c r="B947" s="11">
        <v>7016135</v>
      </c>
      <c r="C947" s="11" t="s">
        <v>1075</v>
      </c>
      <c r="D947" s="11" t="s">
        <v>102</v>
      </c>
      <c r="E947" t="s">
        <v>2274</v>
      </c>
    </row>
    <row r="948" spans="1:5">
      <c r="A948" s="11">
        <v>7016017</v>
      </c>
      <c r="B948" s="11">
        <v>7016136</v>
      </c>
      <c r="C948" s="11" t="s">
        <v>1076</v>
      </c>
      <c r="D948" s="11" t="s">
        <v>102</v>
      </c>
      <c r="E948" t="s">
        <v>2274</v>
      </c>
    </row>
    <row r="949" spans="1:5">
      <c r="A949" s="11">
        <v>7016018</v>
      </c>
      <c r="B949" s="11">
        <v>7016137</v>
      </c>
      <c r="C949" s="11" t="s">
        <v>1077</v>
      </c>
      <c r="D949" s="11" t="s">
        <v>102</v>
      </c>
      <c r="E949" t="s">
        <v>2274</v>
      </c>
    </row>
    <row r="950" spans="1:5">
      <c r="A950" s="11">
        <v>7016019</v>
      </c>
      <c r="B950" s="11">
        <v>7016138</v>
      </c>
      <c r="C950" s="11" t="s">
        <v>1078</v>
      </c>
      <c r="D950" s="11" t="s">
        <v>506</v>
      </c>
      <c r="E950" t="s">
        <v>2274</v>
      </c>
    </row>
    <row r="951" spans="1:5">
      <c r="A951" s="11">
        <v>7016020</v>
      </c>
      <c r="B951" s="11">
        <v>7016139</v>
      </c>
      <c r="C951" s="11" t="s">
        <v>1079</v>
      </c>
      <c r="D951" s="11" t="s">
        <v>506</v>
      </c>
      <c r="E951" t="s">
        <v>2274</v>
      </c>
    </row>
    <row r="952" spans="1:5">
      <c r="A952" s="11">
        <v>7016021</v>
      </c>
      <c r="B952" s="11">
        <v>7016140</v>
      </c>
      <c r="C952" s="11" t="s">
        <v>1080</v>
      </c>
      <c r="D952" s="11" t="s">
        <v>506</v>
      </c>
      <c r="E952" t="s">
        <v>2274</v>
      </c>
    </row>
    <row r="953" spans="1:5">
      <c r="A953" s="11">
        <v>7016022</v>
      </c>
      <c r="B953" s="11">
        <v>7016141</v>
      </c>
      <c r="C953" s="11" t="s">
        <v>1081</v>
      </c>
      <c r="D953" s="11" t="s">
        <v>506</v>
      </c>
      <c r="E953" t="s">
        <v>2274</v>
      </c>
    </row>
    <row r="954" spans="1:5">
      <c r="A954" s="11">
        <v>7016023</v>
      </c>
      <c r="B954" s="11">
        <v>7016142</v>
      </c>
      <c r="C954" s="11" t="s">
        <v>1082</v>
      </c>
      <c r="D954" s="11" t="s">
        <v>1083</v>
      </c>
      <c r="E954" t="s">
        <v>2274</v>
      </c>
    </row>
    <row r="955" spans="1:5">
      <c r="A955" s="11">
        <v>7016024</v>
      </c>
      <c r="B955" s="11">
        <v>70160143</v>
      </c>
      <c r="C955" s="11" t="s">
        <v>1084</v>
      </c>
      <c r="D955" s="11" t="s">
        <v>506</v>
      </c>
      <c r="E955" t="s">
        <v>2274</v>
      </c>
    </row>
    <row r="956" spans="1:5">
      <c r="A956" s="11">
        <v>7016025</v>
      </c>
      <c r="B956" s="11">
        <v>7016144</v>
      </c>
      <c r="C956" s="11" t="s">
        <v>1085</v>
      </c>
      <c r="D956" s="11" t="s">
        <v>102</v>
      </c>
      <c r="E956" t="s">
        <v>2274</v>
      </c>
    </row>
    <row r="957" spans="1:5">
      <c r="A957" s="11">
        <v>7016026</v>
      </c>
      <c r="B957" s="11">
        <v>7016145</v>
      </c>
      <c r="C957" s="11" t="s">
        <v>1086</v>
      </c>
      <c r="D957" s="11" t="s">
        <v>102</v>
      </c>
      <c r="E957" t="s">
        <v>2274</v>
      </c>
    </row>
    <row r="958" spans="1:5">
      <c r="A958" s="11">
        <v>7016027</v>
      </c>
      <c r="B958" s="14">
        <v>7016146</v>
      </c>
      <c r="C958" s="11" t="s">
        <v>1087</v>
      </c>
      <c r="D958" s="11" t="s">
        <v>1088</v>
      </c>
      <c r="E958" t="s">
        <v>2274</v>
      </c>
    </row>
    <row r="959" spans="1:5">
      <c r="A959" s="11">
        <v>7016028</v>
      </c>
      <c r="B959" s="11">
        <v>7016147</v>
      </c>
      <c r="C959" s="11" t="s">
        <v>1089</v>
      </c>
      <c r="D959" s="11" t="s">
        <v>102</v>
      </c>
      <c r="E959" t="s">
        <v>2274</v>
      </c>
    </row>
    <row r="960" spans="1:5">
      <c r="A960" s="11">
        <v>7016029</v>
      </c>
      <c r="B960" s="14">
        <v>7016149</v>
      </c>
      <c r="C960" s="11" t="s">
        <v>1090</v>
      </c>
      <c r="D960" s="11" t="s">
        <v>102</v>
      </c>
      <c r="E960" t="s">
        <v>2274</v>
      </c>
    </row>
    <row r="961" spans="1:5">
      <c r="A961" s="11">
        <v>7016030</v>
      </c>
      <c r="B961" s="11">
        <v>7016150</v>
      </c>
      <c r="C961" s="11" t="s">
        <v>1091</v>
      </c>
      <c r="D961" s="11" t="s">
        <v>102</v>
      </c>
      <c r="E961" t="s">
        <v>2274</v>
      </c>
    </row>
    <row r="962" spans="1:5">
      <c r="A962" s="11">
        <v>7016031</v>
      </c>
      <c r="B962" s="11">
        <v>7016154</v>
      </c>
      <c r="C962" s="11" t="s">
        <v>1092</v>
      </c>
      <c r="D962" s="11" t="s">
        <v>102</v>
      </c>
      <c r="E962" t="s">
        <v>2274</v>
      </c>
    </row>
    <row r="963" spans="1:5">
      <c r="A963" s="11">
        <v>7016032</v>
      </c>
      <c r="B963" s="11">
        <v>7016160</v>
      </c>
      <c r="C963" s="11" t="s">
        <v>1093</v>
      </c>
      <c r="D963" s="11" t="s">
        <v>516</v>
      </c>
      <c r="E963" t="s">
        <v>2274</v>
      </c>
    </row>
    <row r="964" spans="1:5">
      <c r="A964" s="11"/>
      <c r="B964" s="11">
        <v>7016033</v>
      </c>
      <c r="C964" s="11" t="s">
        <v>1094</v>
      </c>
      <c r="D964" s="11" t="s">
        <v>102</v>
      </c>
      <c r="E964" t="s">
        <v>2274</v>
      </c>
    </row>
    <row r="965" spans="1:5">
      <c r="A965" s="11">
        <v>7016034</v>
      </c>
      <c r="B965" s="11">
        <v>7016163</v>
      </c>
      <c r="C965" s="11" t="s">
        <v>1095</v>
      </c>
      <c r="D965" s="11" t="s">
        <v>102</v>
      </c>
      <c r="E965" t="s">
        <v>2274</v>
      </c>
    </row>
    <row r="966" spans="1:5">
      <c r="A966" s="11">
        <v>7016035</v>
      </c>
      <c r="B966" s="11">
        <v>7016164</v>
      </c>
      <c r="C966" s="11" t="s">
        <v>1096</v>
      </c>
      <c r="D966" s="11" t="s">
        <v>102</v>
      </c>
      <c r="E966" t="s">
        <v>2274</v>
      </c>
    </row>
    <row r="967" spans="1:5">
      <c r="A967" s="11">
        <v>7016036</v>
      </c>
      <c r="B967" s="11">
        <v>7016166</v>
      </c>
      <c r="C967" s="11" t="s">
        <v>1097</v>
      </c>
      <c r="D967" s="11" t="s">
        <v>102</v>
      </c>
      <c r="E967" t="s">
        <v>2274</v>
      </c>
    </row>
    <row r="968" spans="1:5">
      <c r="A968" s="11">
        <v>7016037</v>
      </c>
      <c r="B968" s="11">
        <v>7016168</v>
      </c>
      <c r="C968" s="11" t="s">
        <v>1098</v>
      </c>
      <c r="D968" s="11" t="s">
        <v>102</v>
      </c>
      <c r="E968" t="s">
        <v>2274</v>
      </c>
    </row>
    <row r="969" spans="1:5">
      <c r="A969" s="11">
        <v>7016038</v>
      </c>
      <c r="B969" s="11">
        <v>7016169</v>
      </c>
      <c r="C969" s="11" t="s">
        <v>1099</v>
      </c>
      <c r="D969" s="11" t="s">
        <v>102</v>
      </c>
      <c r="E969" t="s">
        <v>2274</v>
      </c>
    </row>
    <row r="970" spans="1:5">
      <c r="A970" s="11">
        <v>7016039</v>
      </c>
      <c r="B970" s="11">
        <v>7016170</v>
      </c>
      <c r="C970" s="11" t="s">
        <v>1100</v>
      </c>
      <c r="D970" s="11" t="s">
        <v>102</v>
      </c>
      <c r="E970" t="s">
        <v>2274</v>
      </c>
    </row>
    <row r="971" spans="1:5">
      <c r="A971" s="11">
        <v>7016040</v>
      </c>
      <c r="B971" s="11">
        <v>7016171</v>
      </c>
      <c r="C971" s="11" t="s">
        <v>1101</v>
      </c>
      <c r="D971" s="11" t="s">
        <v>201</v>
      </c>
      <c r="E971" t="s">
        <v>2274</v>
      </c>
    </row>
    <row r="972" spans="1:5">
      <c r="A972" s="11">
        <v>7016041</v>
      </c>
      <c r="B972" s="11">
        <v>7016172</v>
      </c>
      <c r="C972" s="11" t="s">
        <v>1102</v>
      </c>
      <c r="D972" s="11" t="s">
        <v>220</v>
      </c>
      <c r="E972" t="s">
        <v>2274</v>
      </c>
    </row>
    <row r="973" spans="1:5">
      <c r="A973" s="11">
        <v>7016042</v>
      </c>
      <c r="B973" s="11">
        <v>7016173</v>
      </c>
      <c r="C973" s="11" t="s">
        <v>1103</v>
      </c>
      <c r="D973" s="11" t="s">
        <v>220</v>
      </c>
      <c r="E973" t="s">
        <v>2274</v>
      </c>
    </row>
    <row r="974" spans="1:5">
      <c r="A974" s="11">
        <v>7016043</v>
      </c>
      <c r="B974" s="11">
        <v>7016175</v>
      </c>
      <c r="C974" s="11" t="s">
        <v>1104</v>
      </c>
      <c r="D974" s="11" t="s">
        <v>102</v>
      </c>
      <c r="E974" t="s">
        <v>2274</v>
      </c>
    </row>
    <row r="975" spans="1:5">
      <c r="A975" s="11">
        <v>7016044</v>
      </c>
      <c r="B975" s="11">
        <v>7016176</v>
      </c>
      <c r="C975" s="11" t="s">
        <v>1105</v>
      </c>
      <c r="D975" s="11" t="s">
        <v>102</v>
      </c>
      <c r="E975" t="s">
        <v>2274</v>
      </c>
    </row>
    <row r="976" spans="1:5">
      <c r="A976" s="11">
        <v>7016045</v>
      </c>
      <c r="B976" s="11">
        <v>7016177</v>
      </c>
      <c r="C976" s="11" t="s">
        <v>1106</v>
      </c>
      <c r="D976" s="11" t="s">
        <v>102</v>
      </c>
      <c r="E976" t="s">
        <v>2274</v>
      </c>
    </row>
    <row r="977" spans="1:5">
      <c r="A977" s="11">
        <v>7016046</v>
      </c>
      <c r="B977" s="14">
        <v>7016178</v>
      </c>
      <c r="C977" s="11" t="s">
        <v>1107</v>
      </c>
      <c r="D977" s="11" t="s">
        <v>102</v>
      </c>
      <c r="E977" t="s">
        <v>2274</v>
      </c>
    </row>
    <row r="978" spans="1:5">
      <c r="A978" s="11">
        <v>7016047</v>
      </c>
      <c r="B978" s="11">
        <v>7016114</v>
      </c>
      <c r="C978" s="11" t="s">
        <v>1108</v>
      </c>
      <c r="D978" s="11" t="s">
        <v>102</v>
      </c>
      <c r="E978" t="s">
        <v>2274</v>
      </c>
    </row>
    <row r="979" spans="1:5">
      <c r="A979" s="11">
        <v>7016048</v>
      </c>
      <c r="B979" s="11">
        <v>7016153</v>
      </c>
      <c r="C979" s="11" t="s">
        <v>1109</v>
      </c>
      <c r="D979" s="11" t="s">
        <v>102</v>
      </c>
      <c r="E979" t="s">
        <v>2274</v>
      </c>
    </row>
    <row r="980" spans="1:5">
      <c r="A980" s="11"/>
      <c r="B980" s="11">
        <v>7016049</v>
      </c>
      <c r="C980" s="11" t="s">
        <v>1110</v>
      </c>
      <c r="D980" s="11" t="s">
        <v>102</v>
      </c>
      <c r="E980" t="s">
        <v>2274</v>
      </c>
    </row>
    <row r="981" spans="1:5">
      <c r="A981" s="11"/>
      <c r="B981" s="11">
        <v>7016050</v>
      </c>
      <c r="C981" s="11" t="s">
        <v>1111</v>
      </c>
      <c r="D981" s="11" t="s">
        <v>102</v>
      </c>
      <c r="E981" t="s">
        <v>2274</v>
      </c>
    </row>
    <row r="982" spans="1:5">
      <c r="A982" s="11"/>
      <c r="B982" s="11">
        <v>7016051</v>
      </c>
      <c r="C982" s="11" t="s">
        <v>1112</v>
      </c>
      <c r="D982" s="11" t="s">
        <v>102</v>
      </c>
      <c r="E982" t="s">
        <v>2274</v>
      </c>
    </row>
    <row r="983" spans="1:5">
      <c r="A983" s="11">
        <v>7016052</v>
      </c>
      <c r="B983" s="11">
        <v>7016130</v>
      </c>
      <c r="C983" s="11" t="s">
        <v>1113</v>
      </c>
      <c r="D983" s="11" t="s">
        <v>102</v>
      </c>
      <c r="E983" t="s">
        <v>2274</v>
      </c>
    </row>
    <row r="984" spans="1:5">
      <c r="A984" s="11">
        <v>7016053</v>
      </c>
      <c r="B984" s="11">
        <v>7016132</v>
      </c>
      <c r="C984" s="11" t="s">
        <v>1114</v>
      </c>
      <c r="D984" s="11" t="s">
        <v>102</v>
      </c>
      <c r="E984" t="s">
        <v>2274</v>
      </c>
    </row>
    <row r="985" spans="1:5">
      <c r="A985" s="11"/>
      <c r="B985" s="11">
        <v>7016054</v>
      </c>
      <c r="C985" s="11" t="s">
        <v>1115</v>
      </c>
      <c r="D985" s="11" t="s">
        <v>974</v>
      </c>
      <c r="E985" t="s">
        <v>2274</v>
      </c>
    </row>
    <row r="986" spans="1:5">
      <c r="A986" s="11">
        <v>7016055</v>
      </c>
      <c r="B986" s="11">
        <v>7016155</v>
      </c>
      <c r="C986" s="11" t="s">
        <v>1116</v>
      </c>
      <c r="D986" s="11" t="s">
        <v>102</v>
      </c>
      <c r="E986" t="s">
        <v>2274</v>
      </c>
    </row>
    <row r="987" spans="1:5">
      <c r="A987" s="11">
        <v>7016056</v>
      </c>
      <c r="B987" s="11">
        <v>7016152</v>
      </c>
      <c r="C987" s="11" t="s">
        <v>1117</v>
      </c>
      <c r="D987" s="11" t="s">
        <v>102</v>
      </c>
      <c r="E987" t="s">
        <v>2274</v>
      </c>
    </row>
    <row r="988" spans="1:5">
      <c r="A988" s="11">
        <v>7016057</v>
      </c>
      <c r="B988" s="11">
        <v>7016119</v>
      </c>
      <c r="C988" s="11" t="s">
        <v>1118</v>
      </c>
      <c r="D988" s="11" t="s">
        <v>102</v>
      </c>
      <c r="E988" t="s">
        <v>2274</v>
      </c>
    </row>
    <row r="989" spans="1:5">
      <c r="A989" s="11"/>
      <c r="B989" s="11">
        <v>7016136</v>
      </c>
      <c r="C989" s="11" t="s">
        <v>1076</v>
      </c>
      <c r="D989" s="11" t="s">
        <v>102</v>
      </c>
      <c r="E989" t="s">
        <v>2274</v>
      </c>
    </row>
    <row r="990" spans="1:5">
      <c r="A990" s="11"/>
      <c r="B990" s="11">
        <v>7016137</v>
      </c>
      <c r="C990" s="11" t="s">
        <v>1077</v>
      </c>
      <c r="D990" s="11" t="s">
        <v>102</v>
      </c>
      <c r="E990" t="s">
        <v>2274</v>
      </c>
    </row>
    <row r="991" spans="1:5">
      <c r="A991" s="11"/>
      <c r="B991" s="11">
        <v>7016169</v>
      </c>
      <c r="C991" s="11" t="s">
        <v>1099</v>
      </c>
      <c r="D991" s="11" t="s">
        <v>102</v>
      </c>
      <c r="E991" t="s">
        <v>2274</v>
      </c>
    </row>
    <row r="992" spans="1:5">
      <c r="A992" s="11"/>
      <c r="B992" s="11">
        <v>7017000</v>
      </c>
      <c r="C992" s="11" t="s">
        <v>1119</v>
      </c>
      <c r="D992" s="11" t="s">
        <v>562</v>
      </c>
      <c r="E992" t="s">
        <v>2274</v>
      </c>
    </row>
    <row r="993" spans="1:5">
      <c r="A993" s="11">
        <v>7017001</v>
      </c>
      <c r="B993" s="14">
        <v>7017051</v>
      </c>
      <c r="C993" s="11" t="s">
        <v>1120</v>
      </c>
      <c r="D993" s="11" t="s">
        <v>201</v>
      </c>
      <c r="E993" t="s">
        <v>2274</v>
      </c>
    </row>
    <row r="994" spans="1:5">
      <c r="A994" s="11">
        <v>7017002</v>
      </c>
      <c r="B994" s="11">
        <v>7017052</v>
      </c>
      <c r="C994" s="11" t="s">
        <v>1121</v>
      </c>
      <c r="D994" s="11" t="s">
        <v>201</v>
      </c>
      <c r="E994" t="s">
        <v>2274</v>
      </c>
    </row>
    <row r="995" spans="1:5">
      <c r="A995" s="11"/>
      <c r="B995" s="11">
        <v>7017003</v>
      </c>
      <c r="C995" s="11" t="s">
        <v>1122</v>
      </c>
      <c r="D995" s="11" t="s">
        <v>201</v>
      </c>
      <c r="E995" t="s">
        <v>2274</v>
      </c>
    </row>
    <row r="996" spans="1:5">
      <c r="A996" s="11">
        <v>7017004</v>
      </c>
      <c r="B996" s="11">
        <v>7017054</v>
      </c>
      <c r="C996" s="11" t="s">
        <v>1123</v>
      </c>
      <c r="D996" s="11" t="s">
        <v>201</v>
      </c>
      <c r="E996" t="s">
        <v>2274</v>
      </c>
    </row>
    <row r="997" spans="1:5">
      <c r="A997" s="11">
        <v>7017005</v>
      </c>
      <c r="B997" s="11">
        <v>7017055</v>
      </c>
      <c r="C997" s="11" t="s">
        <v>1124</v>
      </c>
      <c r="D997" s="11" t="s">
        <v>1125</v>
      </c>
      <c r="E997" t="s">
        <v>2274</v>
      </c>
    </row>
    <row r="998" spans="1:5">
      <c r="A998" s="11"/>
      <c r="B998" s="11">
        <v>7017006</v>
      </c>
      <c r="C998" s="11" t="s">
        <v>1126</v>
      </c>
      <c r="D998" s="11" t="s">
        <v>201</v>
      </c>
      <c r="E998" t="s">
        <v>2274</v>
      </c>
    </row>
    <row r="999" spans="1:5">
      <c r="A999" s="11">
        <v>7017007</v>
      </c>
      <c r="B999" s="11">
        <v>7017057</v>
      </c>
      <c r="C999" s="11" t="s">
        <v>1127</v>
      </c>
      <c r="D999" s="11" t="s">
        <v>1125</v>
      </c>
      <c r="E999" t="s">
        <v>2274</v>
      </c>
    </row>
    <row r="1000" spans="1:5">
      <c r="A1000" s="11">
        <v>7017008</v>
      </c>
      <c r="B1000" s="11">
        <v>7017058</v>
      </c>
      <c r="C1000" s="11" t="s">
        <v>1128</v>
      </c>
      <c r="D1000" s="11" t="s">
        <v>562</v>
      </c>
      <c r="E1000" t="s">
        <v>2274</v>
      </c>
    </row>
    <row r="1001" spans="1:5">
      <c r="A1001" s="11"/>
      <c r="B1001" s="11">
        <v>7017009</v>
      </c>
      <c r="C1001" s="11" t="s">
        <v>1129</v>
      </c>
      <c r="D1001" s="11" t="s">
        <v>1130</v>
      </c>
      <c r="E1001" t="s">
        <v>2274</v>
      </c>
    </row>
    <row r="1002" spans="1:5">
      <c r="A1002" s="11">
        <v>7017010</v>
      </c>
      <c r="B1002" s="11">
        <v>7017060</v>
      </c>
      <c r="C1002" s="11" t="s">
        <v>1131</v>
      </c>
      <c r="D1002" s="11" t="s">
        <v>201</v>
      </c>
      <c r="E1002" t="s">
        <v>2274</v>
      </c>
    </row>
    <row r="1003" spans="1:5">
      <c r="A1003" s="11"/>
      <c r="B1003" s="11">
        <v>7017011</v>
      </c>
      <c r="C1003" s="11" t="s">
        <v>1132</v>
      </c>
      <c r="D1003" s="11" t="s">
        <v>102</v>
      </c>
      <c r="E1003" t="s">
        <v>2274</v>
      </c>
    </row>
    <row r="1004" spans="1:5">
      <c r="A1004" s="11"/>
      <c r="B1004" s="11">
        <v>7017012</v>
      </c>
      <c r="C1004" s="11" t="s">
        <v>1133</v>
      </c>
      <c r="D1004" s="11" t="s">
        <v>1125</v>
      </c>
      <c r="E1004" t="s">
        <v>2274</v>
      </c>
    </row>
    <row r="1005" spans="1:5">
      <c r="A1005" s="11"/>
      <c r="B1005" s="11">
        <v>7017013</v>
      </c>
      <c r="C1005" s="11" t="s">
        <v>1134</v>
      </c>
      <c r="D1005" s="11" t="s">
        <v>201</v>
      </c>
      <c r="E1005" t="s">
        <v>2274</v>
      </c>
    </row>
    <row r="1006" spans="1:5">
      <c r="A1006" s="11"/>
      <c r="B1006" s="11">
        <v>7017014</v>
      </c>
      <c r="C1006" s="11" t="s">
        <v>1135</v>
      </c>
      <c r="D1006" s="11" t="s">
        <v>1136</v>
      </c>
      <c r="E1006" t="s">
        <v>2274</v>
      </c>
    </row>
    <row r="1007" spans="1:5">
      <c r="A1007" s="11"/>
      <c r="B1007" s="11">
        <v>7017015</v>
      </c>
      <c r="C1007" s="11" t="s">
        <v>1137</v>
      </c>
      <c r="D1007" s="11" t="s">
        <v>1136</v>
      </c>
      <c r="E1007" t="s">
        <v>2274</v>
      </c>
    </row>
    <row r="1008" spans="1:5">
      <c r="A1008" s="11"/>
      <c r="B1008" s="11">
        <v>7017016</v>
      </c>
      <c r="C1008" s="11" t="s">
        <v>1138</v>
      </c>
      <c r="D1008" s="11" t="s">
        <v>562</v>
      </c>
      <c r="E1008" t="s">
        <v>2274</v>
      </c>
    </row>
    <row r="1009" spans="1:5">
      <c r="A1009" s="11"/>
      <c r="B1009" s="11">
        <v>7017017</v>
      </c>
      <c r="C1009" s="11" t="s">
        <v>1139</v>
      </c>
      <c r="D1009" s="11" t="s">
        <v>201</v>
      </c>
      <c r="E1009" t="s">
        <v>2274</v>
      </c>
    </row>
    <row r="1010" spans="1:5">
      <c r="A1010" s="11"/>
      <c r="B1010" s="11">
        <v>7017018</v>
      </c>
      <c r="C1010" s="11" t="s">
        <v>1140</v>
      </c>
      <c r="D1010" s="11" t="s">
        <v>1141</v>
      </c>
      <c r="E1010" t="s">
        <v>2274</v>
      </c>
    </row>
    <row r="1011" spans="1:5">
      <c r="A1011" s="11"/>
      <c r="B1011" s="11">
        <v>7017019</v>
      </c>
      <c r="C1011" s="11" t="s">
        <v>1142</v>
      </c>
      <c r="D1011" s="11" t="s">
        <v>201</v>
      </c>
      <c r="E1011" t="s">
        <v>2274</v>
      </c>
    </row>
    <row r="1012" spans="1:5">
      <c r="A1012" s="11"/>
      <c r="B1012" s="11">
        <v>7017020</v>
      </c>
      <c r="C1012" s="11" t="s">
        <v>1143</v>
      </c>
      <c r="D1012" s="11" t="s">
        <v>201</v>
      </c>
      <c r="E1012" t="s">
        <v>2274</v>
      </c>
    </row>
    <row r="1013" spans="1:5">
      <c r="A1013" s="11"/>
      <c r="B1013" s="11">
        <v>7017021</v>
      </c>
      <c r="C1013" s="11" t="s">
        <v>1144</v>
      </c>
      <c r="D1013" s="11" t="s">
        <v>201</v>
      </c>
      <c r="E1013" t="s">
        <v>2274</v>
      </c>
    </row>
    <row r="1014" spans="1:5">
      <c r="A1014" s="11"/>
      <c r="B1014" s="11">
        <v>7017022</v>
      </c>
      <c r="C1014" s="11" t="s">
        <v>1145</v>
      </c>
      <c r="D1014" s="11" t="s">
        <v>102</v>
      </c>
      <c r="E1014" t="s">
        <v>2274</v>
      </c>
    </row>
    <row r="1015" spans="1:5">
      <c r="A1015" s="11"/>
      <c r="B1015" s="11">
        <v>7017023</v>
      </c>
      <c r="C1015" s="11" t="s">
        <v>1146</v>
      </c>
      <c r="D1015" s="11" t="s">
        <v>102</v>
      </c>
      <c r="E1015" t="s">
        <v>2274</v>
      </c>
    </row>
    <row r="1016" spans="1:5">
      <c r="A1016" s="11"/>
      <c r="B1016" s="11">
        <v>7017024</v>
      </c>
      <c r="C1016" s="11" t="s">
        <v>1147</v>
      </c>
      <c r="D1016" s="11" t="s">
        <v>201</v>
      </c>
      <c r="E1016" t="s">
        <v>2274</v>
      </c>
    </row>
    <row r="1017" spans="1:5">
      <c r="A1017" s="11"/>
      <c r="B1017" s="11">
        <v>7017025</v>
      </c>
      <c r="C1017" s="11" t="s">
        <v>1148</v>
      </c>
      <c r="D1017" s="11" t="s">
        <v>102</v>
      </c>
      <c r="E1017" t="s">
        <v>2274</v>
      </c>
    </row>
    <row r="1018" spans="1:5">
      <c r="A1018" s="11">
        <v>7017026</v>
      </c>
      <c r="B1018" s="11">
        <v>7017064</v>
      </c>
      <c r="C1018" s="11" t="s">
        <v>1149</v>
      </c>
      <c r="D1018" s="11" t="s">
        <v>201</v>
      </c>
      <c r="E1018" t="s">
        <v>2274</v>
      </c>
    </row>
    <row r="1019" spans="1:5">
      <c r="A1019" s="11"/>
      <c r="B1019" s="11">
        <v>7017027</v>
      </c>
      <c r="C1019" s="11" t="s">
        <v>1150</v>
      </c>
      <c r="D1019" s="11" t="s">
        <v>102</v>
      </c>
      <c r="E1019" t="s">
        <v>2274</v>
      </c>
    </row>
    <row r="1020" spans="1:5">
      <c r="A1020" s="11"/>
      <c r="B1020" s="11">
        <v>7017028</v>
      </c>
      <c r="C1020" s="11" t="s">
        <v>1151</v>
      </c>
      <c r="D1020" s="11" t="s">
        <v>102</v>
      </c>
      <c r="E1020" t="s">
        <v>2274</v>
      </c>
    </row>
    <row r="1021" spans="1:5">
      <c r="A1021" s="11">
        <v>7018000</v>
      </c>
      <c r="B1021" s="11">
        <v>7018060</v>
      </c>
      <c r="C1021" s="11" t="s">
        <v>1152</v>
      </c>
      <c r="D1021" s="11" t="s">
        <v>102</v>
      </c>
      <c r="E1021" t="s">
        <v>2274</v>
      </c>
    </row>
    <row r="1022" spans="1:5">
      <c r="A1022" s="11"/>
      <c r="B1022" s="11">
        <v>7018001</v>
      </c>
      <c r="C1022" s="11" t="s">
        <v>1153</v>
      </c>
      <c r="D1022" s="11" t="s">
        <v>102</v>
      </c>
      <c r="E1022" t="s">
        <v>2274</v>
      </c>
    </row>
    <row r="1023" spans="1:5">
      <c r="A1023" s="11">
        <v>7018002</v>
      </c>
      <c r="B1023" s="11">
        <v>7018062</v>
      </c>
      <c r="C1023" s="11" t="s">
        <v>1154</v>
      </c>
      <c r="D1023" s="11" t="s">
        <v>102</v>
      </c>
      <c r="E1023" t="s">
        <v>2274</v>
      </c>
    </row>
    <row r="1024" spans="1:5">
      <c r="A1024" s="11">
        <v>7018003</v>
      </c>
      <c r="B1024" s="11">
        <v>7018063</v>
      </c>
      <c r="C1024" s="11" t="s">
        <v>1155</v>
      </c>
      <c r="D1024" s="11" t="s">
        <v>102</v>
      </c>
      <c r="E1024" t="s">
        <v>2274</v>
      </c>
    </row>
    <row r="1025" spans="1:5">
      <c r="A1025" s="11">
        <v>7018004</v>
      </c>
      <c r="B1025" s="11">
        <v>7018064</v>
      </c>
      <c r="C1025" s="11" t="s">
        <v>1156</v>
      </c>
      <c r="D1025" s="11" t="s">
        <v>102</v>
      </c>
      <c r="E1025" t="s">
        <v>2274</v>
      </c>
    </row>
    <row r="1026" spans="1:5">
      <c r="A1026" s="11">
        <v>7018005</v>
      </c>
      <c r="B1026" s="11">
        <v>7018066</v>
      </c>
      <c r="C1026" s="11" t="s">
        <v>1157</v>
      </c>
      <c r="D1026" s="11" t="s">
        <v>102</v>
      </c>
      <c r="E1026" t="s">
        <v>2274</v>
      </c>
    </row>
    <row r="1027" spans="1:5">
      <c r="A1027" s="11"/>
      <c r="B1027" s="11">
        <v>7018006</v>
      </c>
      <c r="C1027" s="11" t="s">
        <v>1158</v>
      </c>
      <c r="D1027" s="11" t="s">
        <v>102</v>
      </c>
      <c r="E1027" t="s">
        <v>2274</v>
      </c>
    </row>
    <row r="1028" spans="1:5">
      <c r="A1028" s="11"/>
      <c r="B1028" s="11">
        <v>7018007</v>
      </c>
      <c r="C1028" s="11" t="s">
        <v>1159</v>
      </c>
      <c r="D1028" s="11" t="s">
        <v>102</v>
      </c>
      <c r="E1028" t="s">
        <v>2274</v>
      </c>
    </row>
    <row r="1029" spans="1:5">
      <c r="A1029" s="11"/>
      <c r="B1029" s="11">
        <v>7018008</v>
      </c>
      <c r="C1029" s="11" t="s">
        <v>1160</v>
      </c>
      <c r="D1029" s="11" t="s">
        <v>102</v>
      </c>
      <c r="E1029" t="s">
        <v>2274</v>
      </c>
    </row>
    <row r="1030" spans="1:5">
      <c r="A1030" s="11">
        <v>7018009</v>
      </c>
      <c r="B1030" s="11">
        <v>7018069</v>
      </c>
      <c r="C1030" s="11" t="s">
        <v>1161</v>
      </c>
      <c r="D1030" s="11" t="s">
        <v>102</v>
      </c>
      <c r="E1030" t="s">
        <v>2274</v>
      </c>
    </row>
    <row r="1031" spans="1:5">
      <c r="A1031" s="11"/>
      <c r="B1031" s="11">
        <v>7018010</v>
      </c>
      <c r="C1031" s="11" t="s">
        <v>1162</v>
      </c>
      <c r="D1031" s="11" t="s">
        <v>102</v>
      </c>
      <c r="E1031" t="s">
        <v>2274</v>
      </c>
    </row>
    <row r="1032" spans="1:5">
      <c r="A1032" s="11">
        <v>7018011</v>
      </c>
      <c r="B1032" s="11">
        <v>7018071</v>
      </c>
      <c r="C1032" s="11" t="s">
        <v>1163</v>
      </c>
      <c r="D1032" s="11" t="s">
        <v>102</v>
      </c>
      <c r="E1032" t="s">
        <v>2274</v>
      </c>
    </row>
    <row r="1033" spans="1:5">
      <c r="A1033" s="11">
        <v>7018012</v>
      </c>
      <c r="B1033" s="11">
        <v>7018072</v>
      </c>
      <c r="C1033" s="11" t="s">
        <v>1164</v>
      </c>
      <c r="D1033" s="11" t="s">
        <v>102</v>
      </c>
      <c r="E1033" t="s">
        <v>2274</v>
      </c>
    </row>
    <row r="1034" spans="1:5">
      <c r="A1034" s="11"/>
      <c r="B1034" s="11">
        <v>7018013</v>
      </c>
      <c r="C1034" s="11" t="s">
        <v>1165</v>
      </c>
      <c r="D1034" s="11" t="s">
        <v>102</v>
      </c>
      <c r="E1034" t="s">
        <v>2274</v>
      </c>
    </row>
    <row r="1035" spans="1:5">
      <c r="A1035" s="11"/>
      <c r="B1035" s="11">
        <v>7018014</v>
      </c>
      <c r="C1035" s="11" t="s">
        <v>1166</v>
      </c>
      <c r="D1035" s="11" t="s">
        <v>102</v>
      </c>
      <c r="E1035" t="s">
        <v>2274</v>
      </c>
    </row>
    <row r="1036" spans="1:5">
      <c r="A1036" s="11"/>
      <c r="B1036" s="11">
        <v>7018015</v>
      </c>
      <c r="C1036" s="11" t="s">
        <v>1167</v>
      </c>
      <c r="D1036" s="11" t="s">
        <v>102</v>
      </c>
      <c r="E1036" t="s">
        <v>2274</v>
      </c>
    </row>
    <row r="1037" spans="1:5">
      <c r="A1037" s="11"/>
      <c r="B1037" s="11">
        <v>7018016</v>
      </c>
      <c r="C1037" s="11" t="s">
        <v>1168</v>
      </c>
      <c r="D1037" s="11" t="s">
        <v>102</v>
      </c>
      <c r="E1037" t="s">
        <v>2274</v>
      </c>
    </row>
    <row r="1038" spans="1:5">
      <c r="A1038" s="11"/>
      <c r="B1038" s="11">
        <v>7018017</v>
      </c>
      <c r="C1038" s="11" t="s">
        <v>1169</v>
      </c>
      <c r="D1038" s="11" t="s">
        <v>102</v>
      </c>
      <c r="E1038" t="s">
        <v>2274</v>
      </c>
    </row>
    <row r="1039" spans="1:5">
      <c r="A1039" s="11">
        <v>7018018</v>
      </c>
      <c r="B1039" s="11">
        <v>7018078</v>
      </c>
      <c r="C1039" s="11" t="s">
        <v>1170</v>
      </c>
      <c r="D1039" s="11" t="s">
        <v>102</v>
      </c>
      <c r="E1039" t="s">
        <v>2274</v>
      </c>
    </row>
    <row r="1040" spans="1:5">
      <c r="A1040" s="11">
        <v>7018019</v>
      </c>
      <c r="B1040" s="11">
        <v>7018081</v>
      </c>
      <c r="C1040" s="11" t="s">
        <v>1171</v>
      </c>
      <c r="D1040" s="11" t="s">
        <v>102</v>
      </c>
      <c r="E1040" t="s">
        <v>2274</v>
      </c>
    </row>
    <row r="1041" spans="1:5">
      <c r="A1041" s="11"/>
      <c r="B1041" s="11">
        <v>7018020</v>
      </c>
      <c r="C1041" s="11" t="s">
        <v>1172</v>
      </c>
      <c r="D1041" s="11" t="s">
        <v>102</v>
      </c>
      <c r="E1041" t="s">
        <v>2274</v>
      </c>
    </row>
    <row r="1042" spans="1:5">
      <c r="A1042" s="11">
        <v>7018021</v>
      </c>
      <c r="B1042" s="11">
        <v>7018083</v>
      </c>
      <c r="C1042" s="11" t="s">
        <v>1173</v>
      </c>
      <c r="D1042" s="11" t="s">
        <v>102</v>
      </c>
      <c r="E1042" t="s">
        <v>2274</v>
      </c>
    </row>
    <row r="1043" spans="1:5">
      <c r="A1043" s="11">
        <v>7018022</v>
      </c>
      <c r="B1043" s="11">
        <v>7018084</v>
      </c>
      <c r="C1043" s="11" t="s">
        <v>1174</v>
      </c>
      <c r="D1043" s="11" t="s">
        <v>102</v>
      </c>
      <c r="E1043" t="s">
        <v>2274</v>
      </c>
    </row>
    <row r="1044" spans="1:5">
      <c r="A1044" s="11"/>
      <c r="B1044" s="11">
        <v>7018023</v>
      </c>
      <c r="C1044" s="11" t="s">
        <v>1175</v>
      </c>
      <c r="D1044" s="11" t="s">
        <v>102</v>
      </c>
      <c r="E1044" t="s">
        <v>2274</v>
      </c>
    </row>
    <row r="1045" spans="1:5">
      <c r="A1045" s="11"/>
      <c r="B1045" s="11">
        <v>7018024</v>
      </c>
      <c r="C1045" s="11" t="s">
        <v>1176</v>
      </c>
      <c r="D1045" s="11" t="s">
        <v>102</v>
      </c>
      <c r="E1045" t="s">
        <v>2274</v>
      </c>
    </row>
    <row r="1046" spans="1:5">
      <c r="A1046" s="11">
        <v>7018025</v>
      </c>
      <c r="B1046" s="11">
        <v>7018087</v>
      </c>
      <c r="C1046" s="11" t="s">
        <v>1177</v>
      </c>
      <c r="D1046" s="11" t="s">
        <v>102</v>
      </c>
      <c r="E1046" t="s">
        <v>2274</v>
      </c>
    </row>
    <row r="1047" spans="1:5">
      <c r="A1047" s="11">
        <v>7018026</v>
      </c>
      <c r="B1047" s="11">
        <v>7018088</v>
      </c>
      <c r="C1047" s="11" t="s">
        <v>1178</v>
      </c>
      <c r="D1047" s="11" t="s">
        <v>102</v>
      </c>
      <c r="E1047" t="s">
        <v>2274</v>
      </c>
    </row>
    <row r="1048" spans="1:5">
      <c r="A1048" s="11"/>
      <c r="B1048" s="11">
        <v>7018027</v>
      </c>
      <c r="C1048" s="11" t="s">
        <v>1179</v>
      </c>
      <c r="D1048" s="11" t="s">
        <v>102</v>
      </c>
      <c r="E1048" t="s">
        <v>2274</v>
      </c>
    </row>
    <row r="1049" spans="1:5">
      <c r="A1049" s="11"/>
      <c r="B1049" s="11">
        <v>7018028</v>
      </c>
      <c r="C1049" s="11" t="s">
        <v>1180</v>
      </c>
      <c r="D1049" s="11" t="s">
        <v>102</v>
      </c>
      <c r="E1049" t="s">
        <v>2274</v>
      </c>
    </row>
    <row r="1050" spans="1:5">
      <c r="A1050" s="11">
        <v>7018029</v>
      </c>
      <c r="B1050" s="11">
        <v>7018092</v>
      </c>
      <c r="C1050" s="11" t="s">
        <v>1181</v>
      </c>
      <c r="D1050" s="11" t="s">
        <v>102</v>
      </c>
      <c r="E1050" t="s">
        <v>2274</v>
      </c>
    </row>
    <row r="1051" spans="1:5">
      <c r="A1051" s="11"/>
      <c r="B1051" s="11">
        <v>7018030</v>
      </c>
      <c r="C1051" s="11" t="s">
        <v>1182</v>
      </c>
      <c r="D1051" s="11" t="s">
        <v>102</v>
      </c>
      <c r="E1051" t="s">
        <v>2274</v>
      </c>
    </row>
    <row r="1052" spans="1:5">
      <c r="A1052" s="11"/>
      <c r="B1052" s="11">
        <v>7018031</v>
      </c>
      <c r="C1052" s="11" t="s">
        <v>1183</v>
      </c>
      <c r="D1052" s="11" t="s">
        <v>102</v>
      </c>
      <c r="E1052" t="s">
        <v>2274</v>
      </c>
    </row>
    <row r="1053" spans="1:5">
      <c r="A1053" s="11"/>
      <c r="B1053" s="11">
        <v>7018032</v>
      </c>
      <c r="C1053" s="11" t="s">
        <v>1184</v>
      </c>
      <c r="D1053" s="11" t="s">
        <v>102</v>
      </c>
      <c r="E1053" t="s">
        <v>2274</v>
      </c>
    </row>
    <row r="1054" spans="1:5">
      <c r="A1054" s="11"/>
      <c r="B1054" s="11">
        <v>7018033</v>
      </c>
      <c r="C1054" s="11" t="s">
        <v>1185</v>
      </c>
      <c r="D1054" s="11" t="s">
        <v>102</v>
      </c>
      <c r="E1054" t="s">
        <v>2274</v>
      </c>
    </row>
    <row r="1055" spans="1:5">
      <c r="A1055" s="11"/>
      <c r="B1055" s="11">
        <v>7018034</v>
      </c>
      <c r="C1055" s="11" t="s">
        <v>1186</v>
      </c>
      <c r="D1055" s="11" t="s">
        <v>102</v>
      </c>
      <c r="E1055" t="s">
        <v>2274</v>
      </c>
    </row>
    <row r="1056" spans="1:5">
      <c r="A1056" s="11"/>
      <c r="B1056" s="11">
        <v>7018035</v>
      </c>
      <c r="C1056" s="11" t="s">
        <v>1187</v>
      </c>
      <c r="D1056" s="11" t="s">
        <v>102</v>
      </c>
      <c r="E1056" t="s">
        <v>2274</v>
      </c>
    </row>
    <row r="1057" spans="1:5">
      <c r="A1057" s="11"/>
      <c r="B1057" s="11">
        <v>7018036</v>
      </c>
      <c r="C1057" s="11" t="s">
        <v>1188</v>
      </c>
      <c r="D1057" s="11" t="s">
        <v>102</v>
      </c>
      <c r="E1057" t="s">
        <v>2274</v>
      </c>
    </row>
    <row r="1058" spans="1:5">
      <c r="A1058" s="11"/>
      <c r="B1058" s="11">
        <v>7018037</v>
      </c>
      <c r="C1058" s="11" t="s">
        <v>1189</v>
      </c>
      <c r="D1058" s="11" t="s">
        <v>102</v>
      </c>
      <c r="E1058" t="s">
        <v>2274</v>
      </c>
    </row>
    <row r="1059" spans="1:5">
      <c r="A1059" s="11">
        <v>7020000</v>
      </c>
      <c r="B1059" s="11">
        <v>7020146</v>
      </c>
      <c r="C1059" s="11" t="s">
        <v>1190</v>
      </c>
      <c r="D1059" s="11" t="s">
        <v>102</v>
      </c>
      <c r="E1059" t="s">
        <v>2274</v>
      </c>
    </row>
    <row r="1060" spans="1:5">
      <c r="A1060" s="11">
        <v>7020001</v>
      </c>
      <c r="B1060" s="11">
        <v>7020172</v>
      </c>
      <c r="C1060" s="11" t="s">
        <v>1191</v>
      </c>
      <c r="D1060" s="11" t="s">
        <v>516</v>
      </c>
      <c r="E1060" t="s">
        <v>2274</v>
      </c>
    </row>
    <row r="1061" spans="1:5">
      <c r="A1061" s="11">
        <v>7020002</v>
      </c>
      <c r="B1061" s="11">
        <v>7020204</v>
      </c>
      <c r="C1061" s="11" t="s">
        <v>1192</v>
      </c>
      <c r="D1061" s="11" t="s">
        <v>1136</v>
      </c>
      <c r="E1061" t="s">
        <v>2274</v>
      </c>
    </row>
    <row r="1062" spans="1:5">
      <c r="A1062" s="11">
        <v>7020003</v>
      </c>
      <c r="B1062" s="11">
        <v>7020212</v>
      </c>
      <c r="C1062" s="11" t="s">
        <v>1193</v>
      </c>
      <c r="D1062" s="11" t="s">
        <v>974</v>
      </c>
      <c r="E1062" t="s">
        <v>2274</v>
      </c>
    </row>
    <row r="1063" spans="1:5">
      <c r="A1063" s="11">
        <v>7020004</v>
      </c>
      <c r="B1063" s="11">
        <v>7020211</v>
      </c>
      <c r="C1063" s="11" t="s">
        <v>1194</v>
      </c>
      <c r="D1063" s="11" t="s">
        <v>974</v>
      </c>
      <c r="E1063" t="s">
        <v>2274</v>
      </c>
    </row>
    <row r="1064" spans="1:5">
      <c r="A1064" s="11">
        <v>7020005</v>
      </c>
      <c r="B1064" s="11">
        <v>7020203</v>
      </c>
      <c r="C1064" s="11" t="s">
        <v>1195</v>
      </c>
      <c r="D1064" s="11" t="s">
        <v>1136</v>
      </c>
      <c r="E1064" t="s">
        <v>2274</v>
      </c>
    </row>
    <row r="1065" spans="1:5">
      <c r="A1065" s="11">
        <v>7020006</v>
      </c>
      <c r="B1065" s="11">
        <v>7020201</v>
      </c>
      <c r="C1065" s="11" t="s">
        <v>1196</v>
      </c>
      <c r="D1065" s="11" t="s">
        <v>102</v>
      </c>
      <c r="E1065" t="s">
        <v>2274</v>
      </c>
    </row>
    <row r="1066" spans="1:5">
      <c r="A1066" s="11">
        <v>7020007</v>
      </c>
      <c r="B1066" s="11">
        <v>7020175</v>
      </c>
      <c r="C1066" s="11" t="s">
        <v>1197</v>
      </c>
      <c r="D1066" s="11" t="s">
        <v>102</v>
      </c>
      <c r="E1066" t="s">
        <v>2274</v>
      </c>
    </row>
    <row r="1067" spans="1:5">
      <c r="A1067" s="11">
        <v>7020008</v>
      </c>
      <c r="B1067" s="11">
        <v>7020187</v>
      </c>
      <c r="C1067" s="11" t="s">
        <v>1198</v>
      </c>
      <c r="D1067" s="11" t="s">
        <v>99</v>
      </c>
      <c r="E1067" t="s">
        <v>2274</v>
      </c>
    </row>
    <row r="1068" spans="1:5">
      <c r="A1068" s="11">
        <v>7020009</v>
      </c>
      <c r="B1068" s="11">
        <v>7020210</v>
      </c>
      <c r="C1068" s="11" t="s">
        <v>1199</v>
      </c>
      <c r="D1068" s="11" t="s">
        <v>1200</v>
      </c>
      <c r="E1068" t="s">
        <v>2274</v>
      </c>
    </row>
    <row r="1069" spans="1:5">
      <c r="A1069" s="11">
        <v>7020010</v>
      </c>
      <c r="B1069" s="11">
        <v>7020188</v>
      </c>
      <c r="C1069" s="11" t="s">
        <v>1201</v>
      </c>
      <c r="D1069" s="11" t="s">
        <v>99</v>
      </c>
      <c r="E1069" t="s">
        <v>2274</v>
      </c>
    </row>
    <row r="1070" spans="1:5">
      <c r="A1070" s="11"/>
      <c r="B1070" s="11">
        <v>7020011</v>
      </c>
      <c r="C1070" s="11" t="s">
        <v>1202</v>
      </c>
      <c r="D1070" s="11" t="s">
        <v>99</v>
      </c>
      <c r="E1070" t="s">
        <v>2274</v>
      </c>
    </row>
    <row r="1071" spans="1:5">
      <c r="A1071" s="11">
        <v>7020012</v>
      </c>
      <c r="B1071" s="11">
        <v>7020191</v>
      </c>
      <c r="C1071" s="11" t="s">
        <v>1203</v>
      </c>
      <c r="D1071" s="11" t="s">
        <v>99</v>
      </c>
      <c r="E1071" t="s">
        <v>2274</v>
      </c>
    </row>
    <row r="1072" spans="1:5">
      <c r="A1072" s="11">
        <v>7020013</v>
      </c>
      <c r="B1072" s="11">
        <v>7020186</v>
      </c>
      <c r="C1072" s="11" t="s">
        <v>1204</v>
      </c>
      <c r="D1072" s="11" t="s">
        <v>102</v>
      </c>
      <c r="E1072" t="s">
        <v>2274</v>
      </c>
    </row>
    <row r="1073" spans="1:5">
      <c r="A1073" s="11">
        <v>7020014</v>
      </c>
      <c r="B1073" s="11">
        <v>7020202</v>
      </c>
      <c r="C1073" s="11" t="s">
        <v>1205</v>
      </c>
      <c r="D1073" s="11" t="s">
        <v>102</v>
      </c>
      <c r="E1073" t="s">
        <v>2274</v>
      </c>
    </row>
    <row r="1074" spans="1:5">
      <c r="A1074" s="11">
        <v>7020015</v>
      </c>
      <c r="B1074" s="11">
        <v>7020197</v>
      </c>
      <c r="C1074" s="11" t="s">
        <v>1206</v>
      </c>
      <c r="D1074" s="11" t="s">
        <v>102</v>
      </c>
      <c r="E1074" t="s">
        <v>2274</v>
      </c>
    </row>
    <row r="1075" spans="1:5">
      <c r="A1075" s="11">
        <v>7020016</v>
      </c>
      <c r="B1075" s="11">
        <v>7020198</v>
      </c>
      <c r="C1075" s="11" t="s">
        <v>1207</v>
      </c>
      <c r="D1075" s="11" t="s">
        <v>102</v>
      </c>
      <c r="E1075" t="s">
        <v>2274</v>
      </c>
    </row>
    <row r="1076" spans="1:5">
      <c r="A1076" s="11">
        <v>7020017</v>
      </c>
      <c r="B1076" s="11">
        <v>7020199</v>
      </c>
      <c r="C1076" s="11" t="s">
        <v>1208</v>
      </c>
      <c r="D1076" s="11" t="s">
        <v>102</v>
      </c>
      <c r="E1076" t="s">
        <v>2274</v>
      </c>
    </row>
    <row r="1077" spans="1:5">
      <c r="A1077" s="11">
        <v>7020018</v>
      </c>
      <c r="B1077" s="11">
        <v>7020200</v>
      </c>
      <c r="C1077" s="11" t="s">
        <v>1209</v>
      </c>
      <c r="D1077" s="11" t="s">
        <v>102</v>
      </c>
      <c r="E1077" t="s">
        <v>2274</v>
      </c>
    </row>
    <row r="1078" spans="1:5">
      <c r="A1078" s="11"/>
      <c r="B1078" s="11">
        <v>7020019</v>
      </c>
      <c r="C1078" s="11" t="s">
        <v>1210</v>
      </c>
      <c r="D1078" s="11" t="s">
        <v>102</v>
      </c>
      <c r="E1078" t="s">
        <v>2274</v>
      </c>
    </row>
    <row r="1079" spans="1:5">
      <c r="A1079" s="11">
        <v>7020020</v>
      </c>
      <c r="B1079" s="11">
        <v>7020171</v>
      </c>
      <c r="C1079" s="11" t="s">
        <v>1211</v>
      </c>
      <c r="D1079" s="11" t="s">
        <v>102</v>
      </c>
      <c r="E1079" t="s">
        <v>2274</v>
      </c>
    </row>
    <row r="1080" spans="1:5">
      <c r="A1080" s="11"/>
      <c r="B1080" s="11">
        <v>7020021</v>
      </c>
      <c r="C1080" s="11" t="s">
        <v>1212</v>
      </c>
      <c r="D1080" s="11" t="s">
        <v>102</v>
      </c>
      <c r="E1080" t="s">
        <v>2274</v>
      </c>
    </row>
    <row r="1081" spans="1:5">
      <c r="A1081" s="11"/>
      <c r="B1081" s="11">
        <v>7020022</v>
      </c>
      <c r="C1081" s="11" t="s">
        <v>1213</v>
      </c>
      <c r="D1081" s="11" t="s">
        <v>516</v>
      </c>
      <c r="E1081" t="s">
        <v>2274</v>
      </c>
    </row>
    <row r="1082" spans="1:5">
      <c r="A1082" s="11"/>
      <c r="B1082" s="11">
        <v>7020023</v>
      </c>
      <c r="C1082" s="11" t="s">
        <v>1214</v>
      </c>
      <c r="D1082" s="11" t="s">
        <v>102</v>
      </c>
      <c r="E1082" t="s">
        <v>2274</v>
      </c>
    </row>
    <row r="1083" spans="1:5">
      <c r="A1083" s="11">
        <v>7020024</v>
      </c>
      <c r="B1083" s="11">
        <v>7020141</v>
      </c>
      <c r="C1083" s="11" t="s">
        <v>1215</v>
      </c>
      <c r="D1083" s="11" t="s">
        <v>102</v>
      </c>
      <c r="E1083" t="s">
        <v>2274</v>
      </c>
    </row>
    <row r="1084" spans="1:5">
      <c r="A1084" s="11">
        <v>7020025</v>
      </c>
      <c r="B1084" s="11">
        <v>7020142</v>
      </c>
      <c r="C1084" s="11" t="s">
        <v>1216</v>
      </c>
      <c r="D1084" s="11" t="s">
        <v>102</v>
      </c>
      <c r="E1084" t="s">
        <v>2274</v>
      </c>
    </row>
    <row r="1085" spans="1:5">
      <c r="A1085" s="11">
        <v>7020026</v>
      </c>
      <c r="B1085" s="11">
        <v>7020143</v>
      </c>
      <c r="C1085" s="11" t="s">
        <v>1217</v>
      </c>
      <c r="D1085" s="11" t="s">
        <v>102</v>
      </c>
      <c r="E1085" t="s">
        <v>2274</v>
      </c>
    </row>
    <row r="1086" spans="1:5">
      <c r="A1086" s="11"/>
      <c r="B1086" s="11">
        <v>7020027</v>
      </c>
      <c r="C1086" s="11" t="s">
        <v>1218</v>
      </c>
      <c r="D1086" s="11" t="s">
        <v>102</v>
      </c>
      <c r="E1086" t="s">
        <v>2274</v>
      </c>
    </row>
    <row r="1087" spans="1:5">
      <c r="A1087" s="11"/>
      <c r="B1087" s="11">
        <v>7020028</v>
      </c>
      <c r="C1087" s="11" t="s">
        <v>1219</v>
      </c>
      <c r="D1087" s="11" t="s">
        <v>102</v>
      </c>
      <c r="E1087" t="s">
        <v>2274</v>
      </c>
    </row>
    <row r="1088" spans="1:5">
      <c r="A1088" s="11">
        <v>7020029</v>
      </c>
      <c r="B1088" s="11">
        <v>7020180</v>
      </c>
      <c r="C1088" s="11" t="s">
        <v>1220</v>
      </c>
      <c r="D1088" s="11" t="s">
        <v>102</v>
      </c>
      <c r="E1088" t="s">
        <v>2274</v>
      </c>
    </row>
    <row r="1089" spans="1:5">
      <c r="A1089" s="11"/>
      <c r="B1089" s="11">
        <v>7020030</v>
      </c>
      <c r="C1089" s="11" t="s">
        <v>1221</v>
      </c>
      <c r="D1089" s="11" t="s">
        <v>1136</v>
      </c>
      <c r="E1089" t="s">
        <v>2274</v>
      </c>
    </row>
    <row r="1090" spans="1:5">
      <c r="A1090" s="11">
        <v>7020031</v>
      </c>
      <c r="B1090" s="11">
        <v>7020190</v>
      </c>
      <c r="C1090" s="11" t="s">
        <v>1222</v>
      </c>
      <c r="D1090" s="11" t="s">
        <v>99</v>
      </c>
      <c r="E1090" t="s">
        <v>2274</v>
      </c>
    </row>
    <row r="1091" spans="1:5">
      <c r="A1091" s="11"/>
      <c r="B1091" s="11">
        <v>7020032</v>
      </c>
      <c r="C1091" s="11" t="s">
        <v>1223</v>
      </c>
      <c r="D1091" s="11" t="s">
        <v>102</v>
      </c>
      <c r="E1091" t="s">
        <v>2274</v>
      </c>
    </row>
    <row r="1092" spans="1:5">
      <c r="A1092" s="11"/>
      <c r="B1092" s="11">
        <v>7020033</v>
      </c>
      <c r="C1092" s="11" t="s">
        <v>1224</v>
      </c>
      <c r="D1092" s="11" t="s">
        <v>102</v>
      </c>
      <c r="E1092" t="s">
        <v>2274</v>
      </c>
    </row>
    <row r="1093" spans="1:5">
      <c r="A1093" s="11"/>
      <c r="B1093" s="11">
        <v>7020034</v>
      </c>
      <c r="C1093" s="11" t="s">
        <v>1225</v>
      </c>
      <c r="D1093" s="11" t="s">
        <v>102</v>
      </c>
      <c r="E1093" t="s">
        <v>2274</v>
      </c>
    </row>
    <row r="1094" spans="1:5">
      <c r="A1094" s="11">
        <v>7020035</v>
      </c>
      <c r="B1094" s="11">
        <v>7020166</v>
      </c>
      <c r="C1094" s="11" t="s">
        <v>1226</v>
      </c>
      <c r="D1094" s="11" t="s">
        <v>102</v>
      </c>
      <c r="E1094" t="s">
        <v>2274</v>
      </c>
    </row>
    <row r="1095" spans="1:5">
      <c r="A1095" s="11"/>
      <c r="B1095" s="11">
        <v>7020036</v>
      </c>
      <c r="C1095" s="11" t="s">
        <v>1227</v>
      </c>
      <c r="D1095" s="11" t="s">
        <v>102</v>
      </c>
      <c r="E1095" t="s">
        <v>2274</v>
      </c>
    </row>
    <row r="1096" spans="1:5">
      <c r="A1096" s="11">
        <v>7020037</v>
      </c>
      <c r="B1096" s="11">
        <v>7020205</v>
      </c>
      <c r="C1096" s="11" t="s">
        <v>1228</v>
      </c>
      <c r="D1096" s="11" t="s">
        <v>102</v>
      </c>
      <c r="E1096" t="s">
        <v>2274</v>
      </c>
    </row>
    <row r="1097" spans="1:5">
      <c r="A1097" s="11">
        <v>7020038</v>
      </c>
      <c r="B1097" s="11">
        <v>7020214</v>
      </c>
      <c r="C1097" s="11" t="s">
        <v>1229</v>
      </c>
      <c r="D1097" s="11" t="s">
        <v>102</v>
      </c>
      <c r="E1097" t="s">
        <v>2274</v>
      </c>
    </row>
    <row r="1098" spans="1:5">
      <c r="A1098" s="11">
        <v>7020039</v>
      </c>
      <c r="B1098" s="11">
        <v>7020215</v>
      </c>
      <c r="C1098" s="11" t="s">
        <v>1230</v>
      </c>
      <c r="D1098" s="11" t="s">
        <v>102</v>
      </c>
      <c r="E1098" t="s">
        <v>2274</v>
      </c>
    </row>
    <row r="1099" spans="1:5">
      <c r="A1099" s="11">
        <v>7020040</v>
      </c>
      <c r="B1099" s="14">
        <v>7020148</v>
      </c>
      <c r="C1099" s="11" t="s">
        <v>1231</v>
      </c>
      <c r="D1099" s="11" t="s">
        <v>102</v>
      </c>
      <c r="E1099" t="s">
        <v>2274</v>
      </c>
    </row>
    <row r="1100" spans="1:5">
      <c r="A1100" s="11">
        <v>7020041</v>
      </c>
      <c r="B1100" s="11">
        <v>7020149</v>
      </c>
      <c r="C1100" s="11" t="s">
        <v>1232</v>
      </c>
      <c r="D1100" s="11" t="s">
        <v>102</v>
      </c>
      <c r="E1100" t="s">
        <v>2274</v>
      </c>
    </row>
    <row r="1101" spans="1:5">
      <c r="A1101" s="11">
        <v>7020042</v>
      </c>
      <c r="B1101" s="11">
        <v>7020150</v>
      </c>
      <c r="C1101" s="11" t="s">
        <v>1233</v>
      </c>
      <c r="D1101" s="11" t="s">
        <v>102</v>
      </c>
      <c r="E1101" t="s">
        <v>2274</v>
      </c>
    </row>
    <row r="1102" spans="1:5">
      <c r="A1102" s="11">
        <v>7020043</v>
      </c>
      <c r="B1102" s="11">
        <v>7020151</v>
      </c>
      <c r="C1102" s="11" t="s">
        <v>1234</v>
      </c>
      <c r="D1102" s="11" t="s">
        <v>102</v>
      </c>
      <c r="E1102" t="s">
        <v>2274</v>
      </c>
    </row>
    <row r="1103" spans="1:5">
      <c r="A1103" s="11"/>
      <c r="B1103" s="11">
        <v>7020044</v>
      </c>
      <c r="C1103" s="11" t="s">
        <v>1235</v>
      </c>
      <c r="D1103" s="11" t="s">
        <v>102</v>
      </c>
      <c r="E1103" t="s">
        <v>2274</v>
      </c>
    </row>
    <row r="1104" spans="1:5">
      <c r="A1104" s="11"/>
      <c r="B1104" s="11">
        <v>7020045</v>
      </c>
      <c r="C1104" s="11" t="s">
        <v>1236</v>
      </c>
      <c r="D1104" s="11" t="s">
        <v>102</v>
      </c>
      <c r="E1104" t="s">
        <v>2274</v>
      </c>
    </row>
    <row r="1105" spans="1:5">
      <c r="A1105" s="11"/>
      <c r="B1105" s="11">
        <v>7020046</v>
      </c>
      <c r="C1105" s="11" t="s">
        <v>1237</v>
      </c>
      <c r="D1105" s="11" t="s">
        <v>102</v>
      </c>
      <c r="E1105" t="s">
        <v>2274</v>
      </c>
    </row>
    <row r="1106" spans="1:5">
      <c r="A1106" s="11"/>
      <c r="B1106" s="11">
        <v>7020047</v>
      </c>
      <c r="C1106" s="11" t="s">
        <v>1238</v>
      </c>
      <c r="D1106" s="11" t="s">
        <v>102</v>
      </c>
      <c r="E1106" t="s">
        <v>2274</v>
      </c>
    </row>
    <row r="1107" spans="1:5">
      <c r="A1107" s="11"/>
      <c r="B1107" s="11">
        <v>7020048</v>
      </c>
      <c r="C1107" s="11" t="s">
        <v>1239</v>
      </c>
      <c r="D1107" s="11" t="s">
        <v>102</v>
      </c>
      <c r="E1107" t="s">
        <v>2274</v>
      </c>
    </row>
    <row r="1108" spans="1:5">
      <c r="A1108" s="11"/>
      <c r="B1108" s="11">
        <v>7020049</v>
      </c>
      <c r="C1108" s="11" t="s">
        <v>1240</v>
      </c>
      <c r="D1108" s="11" t="s">
        <v>102</v>
      </c>
      <c r="E1108" t="s">
        <v>2274</v>
      </c>
    </row>
    <row r="1109" spans="1:5">
      <c r="A1109" s="11"/>
      <c r="B1109" s="11">
        <v>7020050</v>
      </c>
      <c r="C1109" s="11" t="s">
        <v>1241</v>
      </c>
      <c r="D1109" s="11" t="s">
        <v>506</v>
      </c>
      <c r="E1109" t="s">
        <v>2274</v>
      </c>
    </row>
    <row r="1110" spans="1:5">
      <c r="A1110" s="11"/>
      <c r="B1110" s="11">
        <v>7020051</v>
      </c>
      <c r="C1110" s="11" t="s">
        <v>1242</v>
      </c>
      <c r="D1110" s="11" t="s">
        <v>516</v>
      </c>
      <c r="E1110" t="s">
        <v>2274</v>
      </c>
    </row>
    <row r="1111" spans="1:5">
      <c r="A1111" s="11"/>
      <c r="B1111" s="11">
        <v>7020052</v>
      </c>
      <c r="C1111" s="11" t="s">
        <v>1243</v>
      </c>
      <c r="D1111" s="11" t="s">
        <v>102</v>
      </c>
      <c r="E1111" t="s">
        <v>2274</v>
      </c>
    </row>
    <row r="1112" spans="1:5">
      <c r="A1112" s="11">
        <v>7020053</v>
      </c>
      <c r="B1112" s="11">
        <v>7020156</v>
      </c>
      <c r="C1112" s="11" t="s">
        <v>1244</v>
      </c>
      <c r="D1112" s="11" t="s">
        <v>516</v>
      </c>
      <c r="E1112" t="s">
        <v>2274</v>
      </c>
    </row>
    <row r="1113" spans="1:5">
      <c r="A1113" s="11"/>
      <c r="B1113" s="11">
        <v>7020054</v>
      </c>
      <c r="C1113" s="11" t="s">
        <v>1245</v>
      </c>
      <c r="D1113" s="11" t="s">
        <v>102</v>
      </c>
      <c r="E1113" t="s">
        <v>2274</v>
      </c>
    </row>
    <row r="1114" spans="1:5">
      <c r="A1114" s="11"/>
      <c r="B1114" s="11">
        <v>7020055</v>
      </c>
      <c r="C1114" s="11" t="s">
        <v>1246</v>
      </c>
      <c r="D1114" s="11" t="s">
        <v>102</v>
      </c>
      <c r="E1114" t="s">
        <v>2274</v>
      </c>
    </row>
    <row r="1115" spans="1:5">
      <c r="A1115" s="11"/>
      <c r="B1115" s="11">
        <v>7020056</v>
      </c>
      <c r="C1115" s="11" t="s">
        <v>1247</v>
      </c>
      <c r="D1115" s="11" t="s">
        <v>102</v>
      </c>
      <c r="E1115" t="s">
        <v>2274</v>
      </c>
    </row>
    <row r="1116" spans="1:5">
      <c r="A1116" s="11"/>
      <c r="B1116" s="11">
        <v>7020057</v>
      </c>
      <c r="C1116" s="11" t="s">
        <v>1248</v>
      </c>
      <c r="D1116" s="11" t="s">
        <v>102</v>
      </c>
      <c r="E1116" t="s">
        <v>2274</v>
      </c>
    </row>
    <row r="1117" spans="1:5">
      <c r="A1117" s="11"/>
      <c r="B1117" s="11">
        <v>7020058</v>
      </c>
      <c r="C1117" s="11" t="s">
        <v>1249</v>
      </c>
      <c r="D1117" s="11" t="s">
        <v>102</v>
      </c>
      <c r="E1117" t="s">
        <v>2274</v>
      </c>
    </row>
    <row r="1118" spans="1:5">
      <c r="A1118" s="11"/>
      <c r="B1118" s="11">
        <v>7020059</v>
      </c>
      <c r="C1118" s="11" t="s">
        <v>1250</v>
      </c>
      <c r="D1118" s="11" t="s">
        <v>102</v>
      </c>
      <c r="E1118" t="s">
        <v>2274</v>
      </c>
    </row>
    <row r="1119" spans="1:5">
      <c r="A1119" s="11"/>
      <c r="B1119" s="11">
        <v>7020060</v>
      </c>
      <c r="C1119" s="11" t="s">
        <v>1251</v>
      </c>
      <c r="D1119" s="11" t="s">
        <v>974</v>
      </c>
      <c r="E1119" t="s">
        <v>2274</v>
      </c>
    </row>
    <row r="1120" spans="1:5">
      <c r="A1120" s="11"/>
      <c r="B1120" s="11">
        <v>7020061</v>
      </c>
      <c r="C1120" s="11" t="s">
        <v>1252</v>
      </c>
      <c r="D1120" s="11" t="s">
        <v>102</v>
      </c>
      <c r="E1120" t="s">
        <v>2274</v>
      </c>
    </row>
    <row r="1121" spans="1:5">
      <c r="A1121" s="11">
        <v>7020062</v>
      </c>
      <c r="B1121" s="11">
        <v>7020195</v>
      </c>
      <c r="C1121" s="11" t="s">
        <v>1253</v>
      </c>
      <c r="D1121" s="11" t="s">
        <v>1136</v>
      </c>
      <c r="E1121" t="s">
        <v>2274</v>
      </c>
    </row>
    <row r="1122" spans="1:5">
      <c r="A1122" s="11"/>
      <c r="B1122" s="11">
        <v>7020063</v>
      </c>
      <c r="C1122" s="11" t="s">
        <v>1254</v>
      </c>
      <c r="D1122" s="11" t="s">
        <v>1136</v>
      </c>
      <c r="E1122" t="s">
        <v>2274</v>
      </c>
    </row>
    <row r="1123" spans="1:5">
      <c r="A1123" s="11"/>
      <c r="B1123" s="11">
        <v>7022000</v>
      </c>
      <c r="C1123" s="11" t="s">
        <v>1255</v>
      </c>
      <c r="D1123" s="11" t="s">
        <v>102</v>
      </c>
      <c r="E1123" t="s">
        <v>2274</v>
      </c>
    </row>
    <row r="1124" spans="1:5">
      <c r="A1124" s="11"/>
      <c r="B1124" s="11">
        <v>7022001</v>
      </c>
      <c r="C1124" s="11" t="s">
        <v>1256</v>
      </c>
      <c r="D1124" s="11" t="s">
        <v>102</v>
      </c>
      <c r="E1124" t="s">
        <v>2274</v>
      </c>
    </row>
    <row r="1125" spans="1:5">
      <c r="A1125" s="11"/>
      <c r="B1125" s="11">
        <v>7022002</v>
      </c>
      <c r="C1125" s="11" t="s">
        <v>1257</v>
      </c>
      <c r="D1125" s="11" t="s">
        <v>102</v>
      </c>
      <c r="E1125" t="s">
        <v>2274</v>
      </c>
    </row>
    <row r="1126" spans="1:5">
      <c r="A1126" s="11"/>
      <c r="B1126" s="11">
        <v>7022003</v>
      </c>
      <c r="C1126" s="11" t="s">
        <v>1258</v>
      </c>
      <c r="D1126" s="11" t="s">
        <v>1259</v>
      </c>
      <c r="E1126" t="s">
        <v>2274</v>
      </c>
    </row>
    <row r="1127" spans="1:5">
      <c r="A1127" s="11"/>
      <c r="B1127" s="11">
        <v>7022004</v>
      </c>
      <c r="C1127" s="11" t="s">
        <v>1260</v>
      </c>
      <c r="D1127" s="11" t="s">
        <v>1259</v>
      </c>
      <c r="E1127" t="s">
        <v>2274</v>
      </c>
    </row>
    <row r="1128" spans="1:5">
      <c r="A1128" s="11">
        <v>7022005</v>
      </c>
      <c r="B1128" s="11">
        <v>7022066</v>
      </c>
      <c r="C1128" s="11" t="s">
        <v>1261</v>
      </c>
      <c r="D1128" s="11" t="s">
        <v>102</v>
      </c>
      <c r="E1128" t="s">
        <v>2274</v>
      </c>
    </row>
    <row r="1129" spans="1:5">
      <c r="A1129" s="11"/>
      <c r="B1129" s="11">
        <v>7022006</v>
      </c>
      <c r="C1129" s="11" t="s">
        <v>1262</v>
      </c>
      <c r="D1129" s="11" t="s">
        <v>102</v>
      </c>
      <c r="E1129" t="s">
        <v>2274</v>
      </c>
    </row>
    <row r="1130" spans="1:5">
      <c r="A1130" s="11"/>
      <c r="B1130" s="11">
        <v>7022007</v>
      </c>
      <c r="C1130" s="11" t="s">
        <v>1263</v>
      </c>
      <c r="D1130" s="11" t="s">
        <v>102</v>
      </c>
      <c r="E1130" t="s">
        <v>2274</v>
      </c>
    </row>
    <row r="1131" spans="1:5">
      <c r="A1131" s="11"/>
      <c r="B1131" s="11">
        <v>7022008</v>
      </c>
      <c r="C1131" s="11" t="s">
        <v>1264</v>
      </c>
      <c r="D1131" s="11" t="s">
        <v>102</v>
      </c>
      <c r="E1131" t="s">
        <v>2274</v>
      </c>
    </row>
    <row r="1132" spans="1:5">
      <c r="A1132" s="11"/>
      <c r="B1132" s="11">
        <v>7022009</v>
      </c>
      <c r="C1132" s="11" t="s">
        <v>1265</v>
      </c>
      <c r="D1132" s="11" t="s">
        <v>102</v>
      </c>
      <c r="E1132" t="s">
        <v>2274</v>
      </c>
    </row>
    <row r="1133" spans="1:5">
      <c r="A1133" s="11"/>
      <c r="B1133" s="11">
        <v>7022010</v>
      </c>
      <c r="C1133" s="11" t="s">
        <v>1266</v>
      </c>
      <c r="D1133" s="11" t="s">
        <v>872</v>
      </c>
      <c r="E1133" t="s">
        <v>2274</v>
      </c>
    </row>
    <row r="1134" spans="1:5">
      <c r="A1134" s="11"/>
      <c r="B1134" s="11">
        <v>7022011</v>
      </c>
      <c r="C1134" s="11" t="s">
        <v>1267</v>
      </c>
      <c r="D1134" s="11" t="s">
        <v>872</v>
      </c>
      <c r="E1134" t="s">
        <v>2274</v>
      </c>
    </row>
    <row r="1135" spans="1:5">
      <c r="A1135" s="11"/>
      <c r="B1135" s="11">
        <v>7022012</v>
      </c>
      <c r="C1135" s="11" t="s">
        <v>1268</v>
      </c>
      <c r="D1135" s="11" t="s">
        <v>102</v>
      </c>
      <c r="E1135" t="s">
        <v>2274</v>
      </c>
    </row>
    <row r="1136" spans="1:5">
      <c r="A1136" s="11"/>
      <c r="B1136" s="11">
        <v>7022013</v>
      </c>
      <c r="C1136" s="11" t="s">
        <v>1269</v>
      </c>
      <c r="D1136" s="11" t="s">
        <v>102</v>
      </c>
      <c r="E1136" t="s">
        <v>2274</v>
      </c>
    </row>
    <row r="1137" spans="1:5">
      <c r="A1137" s="11"/>
      <c r="B1137" s="11">
        <v>7022014</v>
      </c>
      <c r="C1137" s="11" t="s">
        <v>1270</v>
      </c>
      <c r="D1137" s="11" t="s">
        <v>102</v>
      </c>
      <c r="E1137" t="s">
        <v>2274</v>
      </c>
    </row>
    <row r="1138" spans="1:5">
      <c r="A1138" s="11">
        <v>7022015</v>
      </c>
      <c r="B1138" s="11">
        <v>7022061</v>
      </c>
      <c r="C1138" s="11" t="s">
        <v>1271</v>
      </c>
      <c r="D1138" s="11" t="s">
        <v>102</v>
      </c>
      <c r="E1138" t="s">
        <v>2274</v>
      </c>
    </row>
    <row r="1139" spans="1:5">
      <c r="A1139" s="11"/>
      <c r="B1139" s="11">
        <v>7022016</v>
      </c>
      <c r="C1139" s="11" t="s">
        <v>1272</v>
      </c>
      <c r="D1139" s="11" t="s">
        <v>102</v>
      </c>
      <c r="E1139" t="s">
        <v>2274</v>
      </c>
    </row>
    <row r="1140" spans="1:5">
      <c r="A1140" s="11"/>
      <c r="B1140" s="11">
        <v>7022017</v>
      </c>
      <c r="C1140" s="11" t="s">
        <v>1273</v>
      </c>
      <c r="D1140" s="11" t="s">
        <v>102</v>
      </c>
      <c r="E1140" t="s">
        <v>2274</v>
      </c>
    </row>
    <row r="1141" spans="1:5">
      <c r="A1141" s="11"/>
      <c r="B1141" s="11">
        <v>7022018</v>
      </c>
      <c r="C1141" s="11" t="s">
        <v>1274</v>
      </c>
      <c r="D1141" s="11" t="s">
        <v>1275</v>
      </c>
      <c r="E1141" t="s">
        <v>2274</v>
      </c>
    </row>
    <row r="1142" spans="1:5">
      <c r="A1142" s="11"/>
      <c r="B1142" s="11">
        <v>7030000</v>
      </c>
      <c r="C1142" s="11" t="s">
        <v>1276</v>
      </c>
      <c r="D1142" s="11" t="s">
        <v>102</v>
      </c>
      <c r="E1142" t="s">
        <v>2274</v>
      </c>
    </row>
    <row r="1143" spans="1:5">
      <c r="A1143" s="11"/>
      <c r="B1143" s="11">
        <v>7030001</v>
      </c>
      <c r="C1143" s="11" t="s">
        <v>1277</v>
      </c>
      <c r="D1143" s="11" t="s">
        <v>102</v>
      </c>
      <c r="E1143" t="s">
        <v>2274</v>
      </c>
    </row>
    <row r="1144" spans="1:5">
      <c r="A1144" s="11">
        <v>7030002</v>
      </c>
      <c r="B1144" s="11">
        <v>7030027</v>
      </c>
      <c r="C1144" s="11" t="s">
        <v>1278</v>
      </c>
      <c r="D1144" s="11" t="s">
        <v>1009</v>
      </c>
      <c r="E1144" t="s">
        <v>2274</v>
      </c>
    </row>
    <row r="1145" spans="1:5">
      <c r="A1145" s="11">
        <v>7030003</v>
      </c>
      <c r="B1145" s="11">
        <v>7030028</v>
      </c>
      <c r="C1145" s="11" t="s">
        <v>1279</v>
      </c>
      <c r="D1145" s="11" t="s">
        <v>1009</v>
      </c>
      <c r="E1145" t="s">
        <v>2274</v>
      </c>
    </row>
    <row r="1146" spans="1:5">
      <c r="A1146" s="11">
        <v>7030004</v>
      </c>
      <c r="B1146" s="11">
        <v>7030029</v>
      </c>
      <c r="C1146" s="11" t="s">
        <v>1280</v>
      </c>
      <c r="D1146" s="11" t="s">
        <v>102</v>
      </c>
      <c r="E1146" t="s">
        <v>2274</v>
      </c>
    </row>
    <row r="1147" spans="1:5">
      <c r="A1147" s="11">
        <v>7030005</v>
      </c>
      <c r="B1147" s="11">
        <v>7030030</v>
      </c>
      <c r="C1147" s="11" t="s">
        <v>1281</v>
      </c>
      <c r="D1147" s="11" t="s">
        <v>102</v>
      </c>
      <c r="E1147" t="s">
        <v>2274</v>
      </c>
    </row>
    <row r="1148" spans="1:5">
      <c r="A1148" s="11">
        <v>7030006</v>
      </c>
      <c r="B1148" s="11">
        <v>7030031</v>
      </c>
      <c r="C1148" s="11" t="s">
        <v>1282</v>
      </c>
      <c r="D1148" s="11" t="s">
        <v>102</v>
      </c>
      <c r="E1148" t="s">
        <v>2274</v>
      </c>
    </row>
    <row r="1149" spans="1:5">
      <c r="A1149" s="11">
        <v>7030007</v>
      </c>
      <c r="B1149" s="11">
        <v>7030035</v>
      </c>
      <c r="C1149" s="11" t="s">
        <v>1283</v>
      </c>
      <c r="D1149" s="11" t="s">
        <v>102</v>
      </c>
      <c r="E1149" t="s">
        <v>2274</v>
      </c>
    </row>
    <row r="1150" spans="1:5">
      <c r="A1150" s="11">
        <v>7030008</v>
      </c>
      <c r="B1150" s="11">
        <v>7030037</v>
      </c>
      <c r="C1150" s="11" t="s">
        <v>1284</v>
      </c>
      <c r="D1150" s="11" t="s">
        <v>102</v>
      </c>
      <c r="E1150" t="s">
        <v>2274</v>
      </c>
    </row>
    <row r="1151" spans="1:5">
      <c r="A1151" s="11">
        <v>7030009</v>
      </c>
      <c r="B1151" s="11">
        <v>7030041</v>
      </c>
      <c r="C1151" s="11" t="s">
        <v>1285</v>
      </c>
      <c r="D1151" s="11" t="s">
        <v>506</v>
      </c>
      <c r="E1151" t="s">
        <v>2274</v>
      </c>
    </row>
    <row r="1152" spans="1:5">
      <c r="A1152" s="11">
        <v>7030010</v>
      </c>
      <c r="B1152" s="11">
        <v>7030040</v>
      </c>
      <c r="C1152" s="11" t="s">
        <v>1286</v>
      </c>
      <c r="D1152" s="11" t="s">
        <v>506</v>
      </c>
      <c r="E1152" t="s">
        <v>2274</v>
      </c>
    </row>
    <row r="1153" spans="1:5">
      <c r="A1153" s="11">
        <v>7030011</v>
      </c>
      <c r="B1153" s="11">
        <v>7030039</v>
      </c>
      <c r="C1153" s="11" t="s">
        <v>1287</v>
      </c>
      <c r="D1153" s="11" t="s">
        <v>506</v>
      </c>
      <c r="E1153" t="s">
        <v>2274</v>
      </c>
    </row>
    <row r="1154" spans="1:5">
      <c r="A1154" s="11">
        <v>7030012</v>
      </c>
      <c r="B1154" s="11">
        <v>7030042</v>
      </c>
      <c r="C1154" s="11" t="s">
        <v>1288</v>
      </c>
      <c r="D1154" s="11" t="s">
        <v>506</v>
      </c>
      <c r="E1154" t="s">
        <v>2274</v>
      </c>
    </row>
    <row r="1155" spans="1:5">
      <c r="A1155" s="11">
        <v>7032004</v>
      </c>
      <c r="B1155" s="11">
        <v>7032065</v>
      </c>
      <c r="C1155" s="11" t="s">
        <v>1289</v>
      </c>
      <c r="D1155" s="11" t="s">
        <v>102</v>
      </c>
      <c r="E1155" t="s">
        <v>2274</v>
      </c>
    </row>
    <row r="1156" spans="1:5">
      <c r="A1156" s="11"/>
      <c r="B1156" s="11">
        <v>7032005</v>
      </c>
      <c r="C1156" s="11" t="s">
        <v>1290</v>
      </c>
      <c r="D1156" s="11" t="s">
        <v>102</v>
      </c>
      <c r="E1156" t="s">
        <v>2274</v>
      </c>
    </row>
    <row r="1157" spans="1:5">
      <c r="A1157" s="11"/>
      <c r="B1157" s="11">
        <v>7034017</v>
      </c>
      <c r="C1157" s="11" t="s">
        <v>1291</v>
      </c>
      <c r="D1157" s="11" t="s">
        <v>102</v>
      </c>
      <c r="E1157" t="s">
        <v>2274</v>
      </c>
    </row>
    <row r="1158" spans="1:5">
      <c r="A1158" s="11"/>
      <c r="B1158" s="11">
        <v>7034045</v>
      </c>
      <c r="C1158" s="11" t="s">
        <v>1292</v>
      </c>
      <c r="D1158" s="11" t="s">
        <v>102</v>
      </c>
      <c r="E1158" t="s">
        <v>2274</v>
      </c>
    </row>
    <row r="1159" spans="1:5">
      <c r="A1159" s="11"/>
      <c r="B1159" s="11">
        <v>7034046</v>
      </c>
      <c r="C1159" s="11" t="s">
        <v>1293</v>
      </c>
      <c r="D1159" s="11" t="s">
        <v>102</v>
      </c>
      <c r="E1159" t="s">
        <v>2274</v>
      </c>
    </row>
    <row r="1160" spans="1:5">
      <c r="A1160" s="11">
        <v>7035000</v>
      </c>
      <c r="B1160" s="11">
        <v>7034042</v>
      </c>
      <c r="C1160" s="11" t="s">
        <v>1294</v>
      </c>
      <c r="D1160" s="11" t="s">
        <v>506</v>
      </c>
      <c r="E1160" t="s">
        <v>2274</v>
      </c>
    </row>
    <row r="1161" spans="1:5">
      <c r="A1161" s="11">
        <v>7035001</v>
      </c>
      <c r="B1161" s="11">
        <v>7034043</v>
      </c>
      <c r="C1161" s="11" t="s">
        <v>1295</v>
      </c>
      <c r="D1161" s="11" t="s">
        <v>102</v>
      </c>
      <c r="E1161" t="s">
        <v>2274</v>
      </c>
    </row>
    <row r="1162" spans="1:5">
      <c r="A1162" s="11">
        <v>7035002</v>
      </c>
      <c r="B1162" s="11">
        <v>7034045</v>
      </c>
      <c r="C1162" s="11" t="s">
        <v>1292</v>
      </c>
      <c r="D1162" s="11" t="s">
        <v>102</v>
      </c>
      <c r="E1162" t="s">
        <v>2274</v>
      </c>
    </row>
    <row r="1163" spans="1:5">
      <c r="A1163" s="11"/>
      <c r="B1163" s="11">
        <v>7035003</v>
      </c>
      <c r="C1163" s="11" t="s">
        <v>1293</v>
      </c>
      <c r="D1163" s="11" t="s">
        <v>102</v>
      </c>
      <c r="E1163" t="s">
        <v>2274</v>
      </c>
    </row>
    <row r="1164" spans="1:5">
      <c r="A1164" s="11">
        <v>7035004</v>
      </c>
      <c r="B1164" s="11">
        <v>7034047</v>
      </c>
      <c r="C1164" s="11" t="s">
        <v>1296</v>
      </c>
      <c r="D1164" s="11" t="s">
        <v>102</v>
      </c>
      <c r="E1164" t="s">
        <v>2274</v>
      </c>
    </row>
    <row r="1165" spans="1:5">
      <c r="A1165" s="11">
        <v>7035005</v>
      </c>
      <c r="B1165" s="14">
        <v>7034050</v>
      </c>
      <c r="C1165" s="11" t="s">
        <v>1297</v>
      </c>
      <c r="D1165" s="11" t="s">
        <v>102</v>
      </c>
      <c r="E1165" t="s">
        <v>2274</v>
      </c>
    </row>
    <row r="1166" spans="1:5">
      <c r="A1166" s="11"/>
      <c r="B1166" s="11">
        <v>7035006</v>
      </c>
      <c r="C1166" s="11" t="s">
        <v>1298</v>
      </c>
      <c r="D1166" s="11" t="s">
        <v>102</v>
      </c>
      <c r="E1166" t="s">
        <v>2274</v>
      </c>
    </row>
    <row r="1167" spans="1:5">
      <c r="A1167" s="11"/>
      <c r="B1167" s="11">
        <v>7035007</v>
      </c>
      <c r="C1167" s="11" t="s">
        <v>1299</v>
      </c>
      <c r="D1167" s="11" t="s">
        <v>102</v>
      </c>
      <c r="E1167" t="s">
        <v>2274</v>
      </c>
    </row>
    <row r="1168" spans="1:5">
      <c r="A1168" s="11">
        <v>7035008</v>
      </c>
      <c r="B1168" s="11">
        <v>7034044</v>
      </c>
      <c r="C1168" s="11" t="s">
        <v>1300</v>
      </c>
      <c r="D1168" s="11" t="s">
        <v>102</v>
      </c>
      <c r="E1168" t="s">
        <v>2274</v>
      </c>
    </row>
    <row r="1169" spans="1:5">
      <c r="A1169" s="11"/>
      <c r="B1169" s="11">
        <v>7035009</v>
      </c>
      <c r="C1169" s="11" t="s">
        <v>1301</v>
      </c>
      <c r="D1169" s="11" t="s">
        <v>102</v>
      </c>
      <c r="E1169" t="s">
        <v>2274</v>
      </c>
    </row>
    <row r="1170" spans="1:5">
      <c r="A1170" s="11">
        <v>7035010</v>
      </c>
      <c r="B1170" s="11">
        <v>7034052</v>
      </c>
      <c r="C1170" s="11" t="s">
        <v>1302</v>
      </c>
      <c r="D1170" s="11" t="s">
        <v>102</v>
      </c>
      <c r="E1170" t="s">
        <v>2274</v>
      </c>
    </row>
    <row r="1171" spans="1:5">
      <c r="A1171" s="11">
        <v>7035011</v>
      </c>
      <c r="B1171" s="11">
        <v>7034054</v>
      </c>
      <c r="C1171" s="11" t="s">
        <v>1303</v>
      </c>
      <c r="D1171" s="11" t="s">
        <v>102</v>
      </c>
      <c r="E1171" t="s">
        <v>2274</v>
      </c>
    </row>
    <row r="1172" spans="1:5">
      <c r="A1172" s="11"/>
      <c r="B1172" s="11">
        <v>7036000</v>
      </c>
      <c r="C1172" s="11" t="s">
        <v>1304</v>
      </c>
      <c r="D1172" s="11" t="s">
        <v>543</v>
      </c>
      <c r="E1172" t="s">
        <v>2274</v>
      </c>
    </row>
    <row r="1173" spans="1:5">
      <c r="A1173" s="11"/>
      <c r="B1173" s="11">
        <v>7036001</v>
      </c>
      <c r="C1173" s="11" t="s">
        <v>1305</v>
      </c>
      <c r="D1173" s="11" t="s">
        <v>543</v>
      </c>
      <c r="E1173" t="s">
        <v>2274</v>
      </c>
    </row>
    <row r="1174" spans="1:5">
      <c r="A1174" s="11"/>
      <c r="B1174" s="11">
        <v>7036002</v>
      </c>
      <c r="C1174" s="11" t="s">
        <v>1306</v>
      </c>
      <c r="D1174" s="11" t="s">
        <v>102</v>
      </c>
      <c r="E1174" t="s">
        <v>2274</v>
      </c>
    </row>
    <row r="1175" spans="1:5">
      <c r="A1175" s="11"/>
      <c r="B1175" s="11">
        <v>7036003</v>
      </c>
      <c r="C1175" s="11" t="s">
        <v>1307</v>
      </c>
      <c r="D1175" s="11" t="s">
        <v>102</v>
      </c>
      <c r="E1175" t="s">
        <v>2274</v>
      </c>
    </row>
    <row r="1176" spans="1:5">
      <c r="A1176" s="11">
        <v>7036004</v>
      </c>
      <c r="B1176" s="11">
        <v>7038063</v>
      </c>
      <c r="C1176" s="11" t="s">
        <v>1308</v>
      </c>
      <c r="D1176" s="11" t="s">
        <v>102</v>
      </c>
      <c r="E1176" t="s">
        <v>2274</v>
      </c>
    </row>
    <row r="1177" spans="1:5">
      <c r="A1177" s="11"/>
      <c r="B1177" s="11">
        <v>7036005</v>
      </c>
      <c r="C1177" s="11" t="s">
        <v>1309</v>
      </c>
      <c r="D1177" s="11" t="s">
        <v>195</v>
      </c>
      <c r="E1177" t="s">
        <v>2274</v>
      </c>
    </row>
    <row r="1178" spans="1:5">
      <c r="A1178" s="11">
        <v>7036006</v>
      </c>
      <c r="B1178" s="11">
        <v>7038065</v>
      </c>
      <c r="C1178" s="11" t="s">
        <v>1310</v>
      </c>
      <c r="D1178" s="11" t="s">
        <v>102</v>
      </c>
      <c r="E1178" t="s">
        <v>2274</v>
      </c>
    </row>
    <row r="1179" spans="1:5">
      <c r="A1179" s="11">
        <v>7036007</v>
      </c>
      <c r="B1179" s="11">
        <v>7038066</v>
      </c>
      <c r="C1179" s="11" t="s">
        <v>1311</v>
      </c>
      <c r="D1179" s="11" t="s">
        <v>523</v>
      </c>
      <c r="E1179" t="s">
        <v>2274</v>
      </c>
    </row>
    <row r="1180" spans="1:5">
      <c r="A1180" s="11"/>
      <c r="B1180" s="11">
        <v>7036008</v>
      </c>
      <c r="C1180" s="11" t="s">
        <v>1312</v>
      </c>
      <c r="D1180" s="11" t="s">
        <v>102</v>
      </c>
      <c r="E1180" t="s">
        <v>2274</v>
      </c>
    </row>
    <row r="1181" spans="1:5">
      <c r="A1181" s="11"/>
      <c r="B1181" s="11">
        <v>7036009</v>
      </c>
      <c r="C1181" s="11" t="s">
        <v>1313</v>
      </c>
      <c r="D1181" s="11" t="s">
        <v>102</v>
      </c>
      <c r="E1181" t="s">
        <v>2274</v>
      </c>
    </row>
    <row r="1182" spans="1:5">
      <c r="A1182" s="11">
        <v>7036010</v>
      </c>
      <c r="B1182" s="11">
        <v>7038069</v>
      </c>
      <c r="C1182" s="11" t="s">
        <v>1314</v>
      </c>
      <c r="D1182" s="11" t="s">
        <v>102</v>
      </c>
      <c r="E1182" t="s">
        <v>2274</v>
      </c>
    </row>
    <row r="1183" spans="1:5">
      <c r="A1183" s="11"/>
      <c r="B1183" s="11">
        <v>7036011</v>
      </c>
      <c r="C1183" s="11" t="s">
        <v>1315</v>
      </c>
      <c r="D1183" s="11" t="s">
        <v>102</v>
      </c>
      <c r="E1183" t="s">
        <v>2274</v>
      </c>
    </row>
    <row r="1184" spans="1:5">
      <c r="A1184" s="11"/>
      <c r="B1184" s="11">
        <v>7036012</v>
      </c>
      <c r="C1184" s="11" t="s">
        <v>1316</v>
      </c>
      <c r="D1184" s="11" t="s">
        <v>102</v>
      </c>
      <c r="E1184" t="s">
        <v>2274</v>
      </c>
    </row>
    <row r="1185" spans="1:5">
      <c r="A1185" s="11"/>
      <c r="B1185" s="11">
        <v>7036013</v>
      </c>
      <c r="C1185" s="11" t="s">
        <v>1317</v>
      </c>
      <c r="D1185" s="11" t="s">
        <v>102</v>
      </c>
      <c r="E1185" t="s">
        <v>2274</v>
      </c>
    </row>
    <row r="1186" spans="1:5">
      <c r="A1186" s="11"/>
      <c r="B1186" s="11">
        <v>7036014</v>
      </c>
      <c r="C1186" s="11" t="s">
        <v>1318</v>
      </c>
      <c r="D1186" s="11" t="s">
        <v>102</v>
      </c>
      <c r="E1186" t="s">
        <v>2274</v>
      </c>
    </row>
    <row r="1187" spans="1:5">
      <c r="A1187" s="11">
        <v>7036015</v>
      </c>
      <c r="B1187" s="14">
        <v>7038081</v>
      </c>
      <c r="C1187" s="11" t="s">
        <v>1319</v>
      </c>
      <c r="D1187" s="11" t="s">
        <v>102</v>
      </c>
      <c r="E1187" t="s">
        <v>2274</v>
      </c>
    </row>
    <row r="1188" spans="1:5">
      <c r="A1188" s="11">
        <v>7036016</v>
      </c>
      <c r="B1188" s="14">
        <v>7038082</v>
      </c>
      <c r="C1188" s="11" t="s">
        <v>1320</v>
      </c>
      <c r="D1188" s="11" t="s">
        <v>102</v>
      </c>
      <c r="E1188" t="s">
        <v>2274</v>
      </c>
    </row>
    <row r="1189" spans="1:5">
      <c r="A1189" s="11">
        <v>7036017</v>
      </c>
      <c r="B1189" s="11">
        <v>7038083</v>
      </c>
      <c r="C1189" s="11" t="s">
        <v>1321</v>
      </c>
      <c r="D1189" s="11" t="s">
        <v>102</v>
      </c>
      <c r="E1189" t="s">
        <v>2274</v>
      </c>
    </row>
    <row r="1190" spans="1:5">
      <c r="A1190" s="11">
        <v>7036018</v>
      </c>
      <c r="B1190" s="11">
        <v>7038084</v>
      </c>
      <c r="C1190" s="11" t="s">
        <v>1322</v>
      </c>
      <c r="D1190" s="11" t="s">
        <v>102</v>
      </c>
      <c r="E1190" t="s">
        <v>2274</v>
      </c>
    </row>
    <row r="1191" spans="1:5">
      <c r="A1191" s="11">
        <v>7036019</v>
      </c>
      <c r="B1191" s="11">
        <v>7038085</v>
      </c>
      <c r="C1191" s="11" t="s">
        <v>1323</v>
      </c>
      <c r="D1191" s="11" t="s">
        <v>201</v>
      </c>
      <c r="E1191" t="s">
        <v>2274</v>
      </c>
    </row>
    <row r="1192" spans="1:5">
      <c r="A1192" s="11">
        <v>7036020</v>
      </c>
      <c r="B1192" s="11">
        <v>7038086</v>
      </c>
      <c r="C1192" s="11" t="s">
        <v>1324</v>
      </c>
      <c r="D1192" s="11" t="s">
        <v>201</v>
      </c>
      <c r="E1192" t="s">
        <v>2274</v>
      </c>
    </row>
    <row r="1193" spans="1:5">
      <c r="A1193" s="11">
        <v>7036021</v>
      </c>
      <c r="B1193" s="11">
        <v>7038088</v>
      </c>
      <c r="C1193" s="11" t="s">
        <v>1325</v>
      </c>
      <c r="D1193" s="11" t="s">
        <v>102</v>
      </c>
      <c r="E1193" t="s">
        <v>2274</v>
      </c>
    </row>
    <row r="1194" spans="1:5">
      <c r="A1194" s="11"/>
      <c r="B1194" s="11">
        <v>7036022</v>
      </c>
      <c r="C1194" s="11" t="s">
        <v>1326</v>
      </c>
      <c r="D1194" s="11" t="s">
        <v>102</v>
      </c>
      <c r="E1194" t="s">
        <v>2274</v>
      </c>
    </row>
    <row r="1195" spans="1:5">
      <c r="A1195" s="11"/>
      <c r="B1195" s="11">
        <v>7036023</v>
      </c>
      <c r="C1195" s="11" t="s">
        <v>1327</v>
      </c>
      <c r="D1195" s="11" t="s">
        <v>102</v>
      </c>
      <c r="E1195" t="s">
        <v>2274</v>
      </c>
    </row>
    <row r="1196" spans="1:5">
      <c r="A1196" s="11">
        <v>7036024</v>
      </c>
      <c r="B1196" s="11">
        <v>7038050</v>
      </c>
      <c r="C1196" s="11" t="s">
        <v>1328</v>
      </c>
      <c r="D1196" s="11" t="s">
        <v>102</v>
      </c>
      <c r="E1196" t="s">
        <v>2274</v>
      </c>
    </row>
    <row r="1197" spans="1:5">
      <c r="A1197" s="11">
        <v>7036025</v>
      </c>
      <c r="B1197" s="11">
        <v>7038058</v>
      </c>
      <c r="C1197" s="11" t="s">
        <v>1329</v>
      </c>
      <c r="D1197" s="11" t="s">
        <v>102</v>
      </c>
      <c r="E1197" t="s">
        <v>2274</v>
      </c>
    </row>
    <row r="1198" spans="1:5">
      <c r="A1198" s="11">
        <v>7036026</v>
      </c>
      <c r="B1198" s="11">
        <v>7038059</v>
      </c>
      <c r="C1198" s="11" t="s">
        <v>1330</v>
      </c>
      <c r="D1198" s="11" t="s">
        <v>102</v>
      </c>
      <c r="E1198" t="s">
        <v>2274</v>
      </c>
    </row>
    <row r="1199" spans="1:5">
      <c r="A1199" s="11"/>
      <c r="B1199" s="11">
        <v>7036027</v>
      </c>
      <c r="C1199" s="11" t="s">
        <v>1331</v>
      </c>
      <c r="D1199" s="11" t="s">
        <v>102</v>
      </c>
      <c r="E1199" t="s">
        <v>2274</v>
      </c>
    </row>
    <row r="1200" spans="1:5">
      <c r="A1200" s="11">
        <v>7036028</v>
      </c>
      <c r="B1200" s="11">
        <v>7038087</v>
      </c>
      <c r="C1200" s="11" t="s">
        <v>1332</v>
      </c>
      <c r="D1200" s="11" t="s">
        <v>102</v>
      </c>
      <c r="E1200" t="s">
        <v>2274</v>
      </c>
    </row>
    <row r="1201" spans="1:5">
      <c r="A1201" s="11">
        <v>7036029</v>
      </c>
      <c r="B1201" s="11">
        <v>7036133</v>
      </c>
      <c r="C1201" s="11" t="s">
        <v>1333</v>
      </c>
      <c r="D1201" s="11" t="s">
        <v>516</v>
      </c>
      <c r="E1201" t="s">
        <v>2274</v>
      </c>
    </row>
    <row r="1202" spans="1:5">
      <c r="A1202" s="11"/>
      <c r="B1202" s="11">
        <v>7036030</v>
      </c>
      <c r="C1202" s="11" t="s">
        <v>1334</v>
      </c>
      <c r="D1202" s="11" t="s">
        <v>102</v>
      </c>
      <c r="E1202" t="s">
        <v>2274</v>
      </c>
    </row>
    <row r="1203" spans="1:5">
      <c r="A1203" s="11"/>
      <c r="B1203" s="11">
        <v>7036031</v>
      </c>
      <c r="C1203" s="11" t="s">
        <v>1335</v>
      </c>
      <c r="D1203" s="11" t="s">
        <v>102</v>
      </c>
      <c r="E1203" t="s">
        <v>2274</v>
      </c>
    </row>
    <row r="1204" spans="1:5">
      <c r="A1204" s="11"/>
      <c r="B1204" s="11">
        <v>7036032</v>
      </c>
      <c r="C1204" s="11" t="s">
        <v>1336</v>
      </c>
      <c r="D1204" s="11" t="s">
        <v>102</v>
      </c>
      <c r="E1204" t="s">
        <v>2274</v>
      </c>
    </row>
    <row r="1205" spans="1:5">
      <c r="A1205" s="11">
        <v>7036033</v>
      </c>
      <c r="B1205" s="11">
        <v>7036130</v>
      </c>
      <c r="C1205" s="11" t="s">
        <v>1337</v>
      </c>
      <c r="D1205" s="11" t="s">
        <v>102</v>
      </c>
      <c r="E1205" t="s">
        <v>2274</v>
      </c>
    </row>
    <row r="1206" spans="1:5">
      <c r="A1206" s="11">
        <v>7037000</v>
      </c>
      <c r="B1206" s="11">
        <v>7036092</v>
      </c>
      <c r="C1206" s="11" t="s">
        <v>1338</v>
      </c>
      <c r="D1206" s="11" t="s">
        <v>1009</v>
      </c>
      <c r="E1206" t="s">
        <v>2274</v>
      </c>
    </row>
    <row r="1207" spans="1:5">
      <c r="A1207" s="11"/>
      <c r="B1207" s="11">
        <v>7037001</v>
      </c>
      <c r="C1207" s="11" t="s">
        <v>1339</v>
      </c>
      <c r="D1207" s="11" t="s">
        <v>1009</v>
      </c>
      <c r="E1207" t="s">
        <v>2274</v>
      </c>
    </row>
    <row r="1208" spans="1:5">
      <c r="A1208" s="11"/>
      <c r="B1208" s="11">
        <v>7037002</v>
      </c>
      <c r="C1208" s="11" t="s">
        <v>1340</v>
      </c>
      <c r="D1208" s="11" t="s">
        <v>1009</v>
      </c>
      <c r="E1208" t="s">
        <v>2274</v>
      </c>
    </row>
    <row r="1209" spans="1:5">
      <c r="A1209" s="11">
        <v>7037003</v>
      </c>
      <c r="B1209" s="11">
        <v>7036095</v>
      </c>
      <c r="C1209" s="11" t="s">
        <v>1341</v>
      </c>
      <c r="D1209" s="11" t="s">
        <v>1009</v>
      </c>
      <c r="E1209" t="s">
        <v>2274</v>
      </c>
    </row>
    <row r="1210" spans="1:5">
      <c r="A1210" s="11">
        <v>7037004</v>
      </c>
      <c r="B1210" s="11">
        <v>7036096</v>
      </c>
      <c r="C1210" s="11" t="s">
        <v>1342</v>
      </c>
      <c r="D1210" s="11" t="s">
        <v>1009</v>
      </c>
      <c r="E1210" t="s">
        <v>2274</v>
      </c>
    </row>
    <row r="1211" spans="1:5">
      <c r="A1211" s="11">
        <v>7037005</v>
      </c>
      <c r="B1211" s="11">
        <v>7036097</v>
      </c>
      <c r="C1211" s="11" t="s">
        <v>1343</v>
      </c>
      <c r="D1211" s="11" t="s">
        <v>1009</v>
      </c>
      <c r="E1211" t="s">
        <v>2274</v>
      </c>
    </row>
    <row r="1212" spans="1:5">
      <c r="A1212" s="11"/>
      <c r="B1212" s="11">
        <v>7037006</v>
      </c>
      <c r="C1212" s="11" t="s">
        <v>1344</v>
      </c>
      <c r="D1212" s="11" t="s">
        <v>1009</v>
      </c>
      <c r="E1212" t="s">
        <v>2274</v>
      </c>
    </row>
    <row r="1213" spans="1:5">
      <c r="A1213" s="11"/>
      <c r="B1213" s="11">
        <v>7037007</v>
      </c>
      <c r="C1213" s="11" t="s">
        <v>1345</v>
      </c>
      <c r="D1213" s="11" t="s">
        <v>1009</v>
      </c>
      <c r="E1213" t="s">
        <v>2274</v>
      </c>
    </row>
    <row r="1214" spans="1:5">
      <c r="A1214" s="11"/>
      <c r="B1214" s="11">
        <v>7037008</v>
      </c>
      <c r="C1214" s="11" t="s">
        <v>1346</v>
      </c>
      <c r="D1214" s="11" t="s">
        <v>1009</v>
      </c>
      <c r="E1214" t="s">
        <v>2274</v>
      </c>
    </row>
    <row r="1215" spans="1:5">
      <c r="A1215" s="11">
        <v>7037009</v>
      </c>
      <c r="B1215" s="11">
        <v>7036101</v>
      </c>
      <c r="C1215" s="11" t="s">
        <v>1347</v>
      </c>
      <c r="D1215" s="11" t="s">
        <v>1009</v>
      </c>
      <c r="E1215" t="s">
        <v>2274</v>
      </c>
    </row>
    <row r="1216" spans="1:5">
      <c r="A1216" s="11">
        <v>7037010</v>
      </c>
      <c r="B1216" s="11">
        <v>7036106</v>
      </c>
      <c r="C1216" s="11" t="s">
        <v>1348</v>
      </c>
      <c r="D1216" s="11" t="s">
        <v>1009</v>
      </c>
      <c r="E1216" t="s">
        <v>2274</v>
      </c>
    </row>
    <row r="1217" spans="1:5">
      <c r="A1217" s="11">
        <v>7037011</v>
      </c>
      <c r="B1217" s="11">
        <v>7036108</v>
      </c>
      <c r="C1217" s="11" t="s">
        <v>1349</v>
      </c>
      <c r="D1217" s="11" t="s">
        <v>102</v>
      </c>
      <c r="E1217" t="s">
        <v>2274</v>
      </c>
    </row>
    <row r="1218" spans="1:5">
      <c r="A1218" s="11"/>
      <c r="B1218" s="11">
        <v>7037012</v>
      </c>
      <c r="C1218" s="11" t="s">
        <v>1350</v>
      </c>
      <c r="D1218" s="11" t="s">
        <v>516</v>
      </c>
      <c r="E1218" t="s">
        <v>2274</v>
      </c>
    </row>
    <row r="1219" spans="1:5">
      <c r="A1219" s="11"/>
      <c r="B1219" s="11">
        <v>7037013</v>
      </c>
      <c r="C1219" s="11" t="s">
        <v>1351</v>
      </c>
      <c r="D1219" s="11" t="s">
        <v>516</v>
      </c>
      <c r="E1219" t="s">
        <v>2274</v>
      </c>
    </row>
    <row r="1220" spans="1:5">
      <c r="A1220" s="11"/>
      <c r="B1220" s="11">
        <v>7037014</v>
      </c>
      <c r="C1220" s="11" t="s">
        <v>1352</v>
      </c>
      <c r="D1220" s="11" t="s">
        <v>102</v>
      </c>
      <c r="E1220" t="s">
        <v>2274</v>
      </c>
    </row>
    <row r="1221" spans="1:5">
      <c r="A1221" s="11"/>
      <c r="B1221" s="11">
        <v>7037015</v>
      </c>
      <c r="C1221" s="11" t="s">
        <v>1353</v>
      </c>
      <c r="D1221" s="11" t="s">
        <v>102</v>
      </c>
      <c r="E1221" t="s">
        <v>2274</v>
      </c>
    </row>
    <row r="1222" spans="1:5">
      <c r="A1222" s="11">
        <v>7037016</v>
      </c>
      <c r="B1222" s="11">
        <v>7036124</v>
      </c>
      <c r="C1222" s="11" t="s">
        <v>1354</v>
      </c>
      <c r="D1222" s="11" t="s">
        <v>102</v>
      </c>
      <c r="E1222" t="s">
        <v>2274</v>
      </c>
    </row>
    <row r="1223" spans="1:5">
      <c r="A1223" s="11">
        <v>7037017</v>
      </c>
      <c r="B1223" s="11">
        <v>7036123</v>
      </c>
      <c r="C1223" s="11" t="s">
        <v>1355</v>
      </c>
      <c r="D1223" s="11" t="s">
        <v>102</v>
      </c>
      <c r="E1223" t="s">
        <v>2274</v>
      </c>
    </row>
    <row r="1224" spans="1:5">
      <c r="A1224" s="11">
        <v>7037018</v>
      </c>
      <c r="B1224" s="11">
        <v>7036122</v>
      </c>
      <c r="C1224" s="11" t="s">
        <v>1356</v>
      </c>
      <c r="D1224" s="11" t="s">
        <v>102</v>
      </c>
      <c r="E1224" t="s">
        <v>2274</v>
      </c>
    </row>
    <row r="1225" spans="1:5">
      <c r="A1225" s="11">
        <v>7037019</v>
      </c>
      <c r="B1225" s="14">
        <v>7036125</v>
      </c>
      <c r="C1225" s="11" t="s">
        <v>1357</v>
      </c>
      <c r="D1225" s="11" t="s">
        <v>102</v>
      </c>
      <c r="E1225" t="s">
        <v>2274</v>
      </c>
    </row>
    <row r="1226" spans="1:5">
      <c r="A1226" s="11">
        <v>7037020</v>
      </c>
      <c r="B1226" s="14">
        <v>7036126</v>
      </c>
      <c r="C1226" s="11" t="s">
        <v>1358</v>
      </c>
      <c r="D1226" s="11" t="s">
        <v>102</v>
      </c>
      <c r="E1226" t="s">
        <v>2274</v>
      </c>
    </row>
    <row r="1227" spans="1:5">
      <c r="A1227" s="11">
        <v>7037021</v>
      </c>
      <c r="B1227" s="11">
        <v>7036129</v>
      </c>
      <c r="C1227" s="11" t="s">
        <v>1359</v>
      </c>
      <c r="D1227" s="11" t="s">
        <v>102</v>
      </c>
      <c r="E1227" t="s">
        <v>2274</v>
      </c>
    </row>
    <row r="1228" spans="1:5">
      <c r="A1228" s="11">
        <v>7037022</v>
      </c>
      <c r="B1228" s="11">
        <v>7036128</v>
      </c>
      <c r="C1228" s="11" t="s">
        <v>1360</v>
      </c>
      <c r="D1228" s="11" t="s">
        <v>102</v>
      </c>
      <c r="E1228" t="s">
        <v>2274</v>
      </c>
    </row>
    <row r="1229" spans="1:5">
      <c r="A1229" s="11">
        <v>7037023</v>
      </c>
      <c r="B1229" s="11">
        <v>7036127</v>
      </c>
      <c r="C1229" s="11" t="s">
        <v>1361</v>
      </c>
      <c r="D1229" s="11" t="s">
        <v>102</v>
      </c>
      <c r="E1229" t="s">
        <v>2274</v>
      </c>
    </row>
    <row r="1230" spans="1:5">
      <c r="A1230" s="11">
        <v>7037024</v>
      </c>
      <c r="B1230" s="11">
        <v>7036135</v>
      </c>
      <c r="C1230" s="11" t="s">
        <v>1362</v>
      </c>
      <c r="D1230" s="11" t="s">
        <v>102</v>
      </c>
      <c r="E1230" t="s">
        <v>2274</v>
      </c>
    </row>
    <row r="1231" spans="1:5">
      <c r="A1231" s="11">
        <v>7037025</v>
      </c>
      <c r="B1231" s="11">
        <v>7036136</v>
      </c>
      <c r="C1231" s="11" t="s">
        <v>1363</v>
      </c>
      <c r="D1231" s="11" t="s">
        <v>102</v>
      </c>
      <c r="E1231" t="s">
        <v>2274</v>
      </c>
    </row>
    <row r="1232" spans="1:5">
      <c r="A1232" s="11">
        <v>7037026</v>
      </c>
      <c r="B1232" s="11">
        <v>7036137</v>
      </c>
      <c r="C1232" s="11" t="s">
        <v>1364</v>
      </c>
      <c r="D1232" s="11" t="s">
        <v>102</v>
      </c>
      <c r="E1232" t="s">
        <v>2274</v>
      </c>
    </row>
    <row r="1233" spans="1:5">
      <c r="A1233" s="11">
        <v>7037027</v>
      </c>
      <c r="B1233" s="11">
        <v>7036119</v>
      </c>
      <c r="C1233" s="11" t="s">
        <v>1365</v>
      </c>
      <c r="D1233" s="11" t="s">
        <v>102</v>
      </c>
      <c r="E1233" t="s">
        <v>2274</v>
      </c>
    </row>
    <row r="1234" spans="1:5">
      <c r="A1234" s="11">
        <v>7037028</v>
      </c>
      <c r="B1234" s="11">
        <v>7036139</v>
      </c>
      <c r="C1234" s="11" t="s">
        <v>1366</v>
      </c>
      <c r="D1234" s="11" t="s">
        <v>102</v>
      </c>
      <c r="E1234" t="s">
        <v>2274</v>
      </c>
    </row>
    <row r="1235" spans="1:5">
      <c r="A1235" s="11">
        <v>7037029</v>
      </c>
      <c r="B1235" s="11">
        <v>7036138</v>
      </c>
      <c r="C1235" s="11" t="s">
        <v>1367</v>
      </c>
      <c r="D1235" s="11" t="s">
        <v>102</v>
      </c>
      <c r="E1235" t="s">
        <v>2274</v>
      </c>
    </row>
    <row r="1236" spans="1:5">
      <c r="A1236" s="11"/>
      <c r="B1236" s="11">
        <v>7037030</v>
      </c>
      <c r="C1236" s="11" t="s">
        <v>1368</v>
      </c>
      <c r="D1236" s="11" t="s">
        <v>102</v>
      </c>
      <c r="E1236" t="s">
        <v>2274</v>
      </c>
    </row>
    <row r="1237" spans="1:5">
      <c r="A1237" s="11">
        <v>7037031</v>
      </c>
      <c r="B1237" s="11">
        <v>7036141</v>
      </c>
      <c r="C1237" s="11" t="s">
        <v>1369</v>
      </c>
      <c r="D1237" s="11" t="s">
        <v>102</v>
      </c>
      <c r="E1237" t="s">
        <v>2274</v>
      </c>
    </row>
    <row r="1238" spans="1:5">
      <c r="A1238" s="11"/>
      <c r="B1238" s="11">
        <v>7042017</v>
      </c>
      <c r="C1238" s="11" t="s">
        <v>1370</v>
      </c>
      <c r="D1238" s="11" t="s">
        <v>102</v>
      </c>
      <c r="E1238" t="s">
        <v>2274</v>
      </c>
    </row>
    <row r="1239" spans="1:5">
      <c r="A1239" s="11"/>
      <c r="B1239" s="11">
        <v>7050036</v>
      </c>
      <c r="C1239" s="11" t="s">
        <v>1371</v>
      </c>
      <c r="D1239" s="11" t="s">
        <v>781</v>
      </c>
      <c r="E1239" t="s">
        <v>2274</v>
      </c>
    </row>
    <row r="1240" spans="1:5">
      <c r="A1240" s="11">
        <v>7050001</v>
      </c>
      <c r="B1240" s="11">
        <v>7050032</v>
      </c>
      <c r="C1240" s="11" t="s">
        <v>1372</v>
      </c>
      <c r="D1240" s="11" t="s">
        <v>781</v>
      </c>
      <c r="E1240" t="s">
        <v>2274</v>
      </c>
    </row>
    <row r="1241" spans="1:5">
      <c r="A1241" s="11">
        <v>7050002</v>
      </c>
      <c r="B1241" s="11">
        <v>7050033</v>
      </c>
      <c r="C1241" s="11" t="s">
        <v>1373</v>
      </c>
      <c r="D1241" s="11" t="s">
        <v>781</v>
      </c>
      <c r="E1241" t="s">
        <v>2274</v>
      </c>
    </row>
    <row r="1242" spans="1:5">
      <c r="A1242" s="11">
        <v>7050003</v>
      </c>
      <c r="B1242" s="11">
        <v>7050040</v>
      </c>
      <c r="C1242" s="11" t="s">
        <v>1374</v>
      </c>
      <c r="D1242" s="11" t="s">
        <v>781</v>
      </c>
      <c r="E1242" t="s">
        <v>2274</v>
      </c>
    </row>
    <row r="1243" spans="1:5">
      <c r="A1243" s="11">
        <v>7050004</v>
      </c>
      <c r="B1243" s="11">
        <v>7050038</v>
      </c>
      <c r="C1243" s="11" t="s">
        <v>1375</v>
      </c>
      <c r="D1243" s="11" t="s">
        <v>781</v>
      </c>
      <c r="E1243" t="s">
        <v>2274</v>
      </c>
    </row>
    <row r="1244" spans="1:5">
      <c r="A1244" s="11">
        <v>7050005</v>
      </c>
      <c r="B1244" s="11">
        <v>7050040</v>
      </c>
      <c r="C1244" s="11" t="s">
        <v>1376</v>
      </c>
      <c r="D1244" s="11" t="s">
        <v>781</v>
      </c>
      <c r="E1244" t="s">
        <v>2274</v>
      </c>
    </row>
    <row r="1245" spans="1:5">
      <c r="A1245" s="11">
        <v>7050006</v>
      </c>
      <c r="B1245" s="11">
        <v>7050039</v>
      </c>
      <c r="C1245" s="11" t="s">
        <v>1377</v>
      </c>
      <c r="D1245" s="11" t="s">
        <v>781</v>
      </c>
      <c r="E1245" t="s">
        <v>2274</v>
      </c>
    </row>
    <row r="1246" spans="1:5">
      <c r="A1246" s="11">
        <v>7050007</v>
      </c>
      <c r="B1246" s="11">
        <v>7050041</v>
      </c>
      <c r="C1246" s="11" t="s">
        <v>1378</v>
      </c>
      <c r="D1246" s="11" t="s">
        <v>781</v>
      </c>
      <c r="E1246" t="s">
        <v>2274</v>
      </c>
    </row>
    <row r="1247" spans="1:5">
      <c r="A1247" s="11">
        <v>7050008</v>
      </c>
      <c r="B1247" s="11">
        <v>7050042</v>
      </c>
      <c r="C1247" s="11" t="s">
        <v>1379</v>
      </c>
      <c r="D1247" s="11" t="s">
        <v>781</v>
      </c>
      <c r="E1247" t="s">
        <v>2274</v>
      </c>
    </row>
    <row r="1248" spans="1:5">
      <c r="A1248" s="11">
        <v>7050009</v>
      </c>
      <c r="B1248" s="11">
        <v>7050045</v>
      </c>
      <c r="C1248" s="11" t="s">
        <v>1380</v>
      </c>
      <c r="D1248" s="11" t="s">
        <v>781</v>
      </c>
      <c r="E1248" t="s">
        <v>2274</v>
      </c>
    </row>
    <row r="1249" spans="1:5">
      <c r="A1249" s="11">
        <v>7050010</v>
      </c>
      <c r="B1249" s="11">
        <v>7050043</v>
      </c>
      <c r="C1249" s="11" t="s">
        <v>1381</v>
      </c>
      <c r="D1249" s="11" t="s">
        <v>781</v>
      </c>
      <c r="E1249" t="s">
        <v>2274</v>
      </c>
    </row>
    <row r="1250" spans="1:5">
      <c r="A1250" s="11">
        <v>7050011</v>
      </c>
      <c r="B1250" s="11">
        <v>7050049</v>
      </c>
      <c r="C1250" s="11" t="s">
        <v>1382</v>
      </c>
      <c r="D1250" s="11" t="s">
        <v>781</v>
      </c>
      <c r="E1250" t="s">
        <v>2274</v>
      </c>
    </row>
    <row r="1251" spans="1:5">
      <c r="A1251" s="11"/>
      <c r="B1251" s="11">
        <v>7051000</v>
      </c>
      <c r="C1251" s="11" t="s">
        <v>1383</v>
      </c>
      <c r="D1251" s="11" t="s">
        <v>781</v>
      </c>
      <c r="E1251" t="s">
        <v>2274</v>
      </c>
    </row>
    <row r="1252" spans="1:5">
      <c r="A1252" s="11">
        <v>7051001</v>
      </c>
      <c r="B1252" s="11">
        <v>7051048</v>
      </c>
      <c r="C1252" s="11" t="s">
        <v>1384</v>
      </c>
      <c r="D1252" s="11" t="s">
        <v>781</v>
      </c>
      <c r="E1252" t="s">
        <v>2274</v>
      </c>
    </row>
    <row r="1253" spans="1:5">
      <c r="A1253" s="11"/>
      <c r="B1253" s="11">
        <v>7051002</v>
      </c>
      <c r="C1253" s="11" t="s">
        <v>1385</v>
      </c>
      <c r="D1253" s="11" t="s">
        <v>781</v>
      </c>
      <c r="E1253" t="s">
        <v>2274</v>
      </c>
    </row>
    <row r="1254" spans="1:5">
      <c r="A1254" s="11">
        <v>7051003</v>
      </c>
      <c r="B1254" s="11">
        <v>7051051</v>
      </c>
      <c r="C1254" s="11" t="s">
        <v>1386</v>
      </c>
      <c r="D1254" s="11" t="s">
        <v>781</v>
      </c>
      <c r="E1254" t="s">
        <v>2274</v>
      </c>
    </row>
    <row r="1255" spans="1:5">
      <c r="A1255" s="11"/>
      <c r="B1255" s="11">
        <v>7051004</v>
      </c>
      <c r="C1255" s="11" t="s">
        <v>1387</v>
      </c>
      <c r="D1255" s="11" t="s">
        <v>781</v>
      </c>
      <c r="E1255" t="s">
        <v>2274</v>
      </c>
    </row>
    <row r="1256" spans="1:5">
      <c r="A1256" s="11">
        <v>7051005</v>
      </c>
      <c r="B1256" s="11">
        <v>7051045</v>
      </c>
      <c r="C1256" s="11" t="s">
        <v>1388</v>
      </c>
      <c r="D1256" s="11" t="s">
        <v>781</v>
      </c>
      <c r="E1256" t="s">
        <v>2274</v>
      </c>
    </row>
    <row r="1257" spans="1:5">
      <c r="A1257" s="11"/>
      <c r="B1257" s="11">
        <v>7051006</v>
      </c>
      <c r="C1257" s="11" t="s">
        <v>1389</v>
      </c>
      <c r="D1257" s="11" t="s">
        <v>781</v>
      </c>
      <c r="E1257" t="s">
        <v>2274</v>
      </c>
    </row>
    <row r="1258" spans="1:5">
      <c r="A1258" s="11"/>
      <c r="B1258" s="11">
        <v>7051007</v>
      </c>
      <c r="C1258" s="11" t="s">
        <v>1390</v>
      </c>
      <c r="D1258" s="11" t="s">
        <v>781</v>
      </c>
      <c r="E1258" t="s">
        <v>2274</v>
      </c>
    </row>
    <row r="1259" spans="1:5">
      <c r="A1259" s="11"/>
      <c r="B1259" s="11">
        <v>7051008</v>
      </c>
      <c r="C1259" s="11" t="s">
        <v>1391</v>
      </c>
      <c r="D1259" s="11" t="s">
        <v>781</v>
      </c>
      <c r="E1259" t="s">
        <v>2274</v>
      </c>
    </row>
    <row r="1260" spans="1:5">
      <c r="A1260" s="11">
        <v>7051009</v>
      </c>
      <c r="B1260" s="11">
        <v>7051053</v>
      </c>
      <c r="C1260" s="11" t="s">
        <v>1392</v>
      </c>
      <c r="D1260" s="11" t="s">
        <v>781</v>
      </c>
      <c r="E1260" t="s">
        <v>2274</v>
      </c>
    </row>
    <row r="1261" spans="1:5">
      <c r="A1261" s="11">
        <v>7051010</v>
      </c>
      <c r="B1261" s="11">
        <v>7051057</v>
      </c>
      <c r="C1261" s="11" t="s">
        <v>1393</v>
      </c>
      <c r="D1261" s="11" t="s">
        <v>781</v>
      </c>
      <c r="E1261" t="s">
        <v>2274</v>
      </c>
    </row>
    <row r="1262" spans="1:5">
      <c r="A1262" s="11"/>
      <c r="B1262" s="11">
        <v>7051011</v>
      </c>
      <c r="C1262" s="11" t="s">
        <v>1394</v>
      </c>
      <c r="D1262" s="11" t="s">
        <v>781</v>
      </c>
      <c r="E1262" t="s">
        <v>2274</v>
      </c>
    </row>
    <row r="1263" spans="1:5">
      <c r="A1263" s="11"/>
      <c r="B1263" s="11">
        <v>7051012</v>
      </c>
      <c r="C1263" s="11" t="s">
        <v>1395</v>
      </c>
      <c r="D1263" s="11" t="s">
        <v>781</v>
      </c>
      <c r="E1263" t="s">
        <v>2274</v>
      </c>
    </row>
    <row r="1264" spans="1:5">
      <c r="A1264" s="11"/>
      <c r="B1264" s="11">
        <v>7051013</v>
      </c>
      <c r="C1264" s="11" t="s">
        <v>1396</v>
      </c>
      <c r="D1264" s="11" t="s">
        <v>781</v>
      </c>
      <c r="E1264" t="s">
        <v>2274</v>
      </c>
    </row>
    <row r="1265" spans="1:5">
      <c r="A1265" s="11">
        <v>7051014</v>
      </c>
      <c r="B1265" s="11">
        <v>7051056</v>
      </c>
      <c r="C1265" s="11" t="s">
        <v>1397</v>
      </c>
      <c r="D1265" s="11" t="s">
        <v>781</v>
      </c>
      <c r="E1265" t="s">
        <v>2274</v>
      </c>
    </row>
    <row r="1266" spans="1:5">
      <c r="A1266" s="11"/>
      <c r="B1266" s="11">
        <v>7051015</v>
      </c>
      <c r="C1266" s="11" t="s">
        <v>1398</v>
      </c>
      <c r="D1266" s="11" t="s">
        <v>781</v>
      </c>
      <c r="E1266" t="s">
        <v>2274</v>
      </c>
    </row>
    <row r="1267" spans="1:5">
      <c r="A1267" s="11"/>
      <c r="B1267" s="11">
        <v>7051016</v>
      </c>
      <c r="C1267" s="11" t="s">
        <v>1399</v>
      </c>
      <c r="D1267" s="11" t="s">
        <v>781</v>
      </c>
      <c r="E1267" t="s">
        <v>2274</v>
      </c>
    </row>
    <row r="1268" spans="1:5">
      <c r="A1268" s="11"/>
      <c r="B1268" s="11">
        <v>7051017</v>
      </c>
      <c r="C1268" s="11" t="s">
        <v>1400</v>
      </c>
      <c r="D1268" s="11" t="s">
        <v>781</v>
      </c>
      <c r="E1268" t="s">
        <v>2274</v>
      </c>
    </row>
    <row r="1269" spans="1:5">
      <c r="A1269" s="11">
        <v>7051018</v>
      </c>
      <c r="B1269" s="11">
        <v>7051071</v>
      </c>
      <c r="C1269" s="11" t="s">
        <v>1401</v>
      </c>
      <c r="D1269" s="11" t="s">
        <v>781</v>
      </c>
      <c r="E1269" t="s">
        <v>2274</v>
      </c>
    </row>
    <row r="1270" spans="1:5">
      <c r="A1270" s="11">
        <v>7051019</v>
      </c>
      <c r="B1270" s="11">
        <v>7051069</v>
      </c>
      <c r="C1270" s="11" t="s">
        <v>1402</v>
      </c>
      <c r="D1270" s="11" t="s">
        <v>781</v>
      </c>
      <c r="E1270" t="s">
        <v>2274</v>
      </c>
    </row>
    <row r="1271" spans="1:5">
      <c r="A1271" s="11">
        <v>7051020</v>
      </c>
      <c r="B1271" s="11">
        <v>7051070</v>
      </c>
      <c r="C1271" s="11" t="s">
        <v>1403</v>
      </c>
      <c r="D1271" s="11" t="s">
        <v>781</v>
      </c>
      <c r="E1271" t="s">
        <v>2274</v>
      </c>
    </row>
    <row r="1272" spans="1:5">
      <c r="A1272" s="11"/>
      <c r="B1272" s="11">
        <v>7051021</v>
      </c>
      <c r="C1272" s="11" t="s">
        <v>1404</v>
      </c>
      <c r="D1272" s="11" t="s">
        <v>781</v>
      </c>
      <c r="E1272" t="s">
        <v>2274</v>
      </c>
    </row>
    <row r="1273" spans="1:5">
      <c r="A1273" s="11"/>
      <c r="B1273" s="11">
        <v>7051022</v>
      </c>
      <c r="C1273" s="11" t="s">
        <v>1405</v>
      </c>
      <c r="D1273" s="11" t="s">
        <v>781</v>
      </c>
      <c r="E1273" t="s">
        <v>2274</v>
      </c>
    </row>
    <row r="1274" spans="1:5">
      <c r="A1274" s="11"/>
      <c r="B1274" s="11">
        <v>7051023</v>
      </c>
      <c r="C1274" s="11" t="s">
        <v>1406</v>
      </c>
      <c r="D1274" s="11" t="s">
        <v>781</v>
      </c>
      <c r="E1274" t="s">
        <v>2274</v>
      </c>
    </row>
    <row r="1275" spans="1:5">
      <c r="A1275" s="11"/>
      <c r="B1275" s="11">
        <v>7051024</v>
      </c>
      <c r="C1275" s="11" t="s">
        <v>1407</v>
      </c>
      <c r="D1275" s="11" t="s">
        <v>781</v>
      </c>
      <c r="E1275" t="s">
        <v>2274</v>
      </c>
    </row>
    <row r="1276" spans="1:5">
      <c r="A1276" s="11">
        <v>7051025</v>
      </c>
      <c r="B1276" s="11">
        <v>7051068</v>
      </c>
      <c r="C1276" s="11" t="s">
        <v>1408</v>
      </c>
      <c r="D1276" s="11" t="s">
        <v>781</v>
      </c>
      <c r="E1276" t="s">
        <v>2274</v>
      </c>
    </row>
    <row r="1277" spans="1:5">
      <c r="A1277" s="11"/>
      <c r="B1277" s="11">
        <v>7051026</v>
      </c>
      <c r="C1277" s="11" t="s">
        <v>1409</v>
      </c>
      <c r="D1277" s="11" t="s">
        <v>781</v>
      </c>
      <c r="E1277" t="s">
        <v>2274</v>
      </c>
    </row>
    <row r="1278" spans="1:5">
      <c r="A1278" s="11"/>
      <c r="B1278" s="11">
        <v>7052000</v>
      </c>
      <c r="C1278" s="11" t="s">
        <v>1410</v>
      </c>
      <c r="D1278" s="11" t="s">
        <v>781</v>
      </c>
      <c r="E1278" t="s">
        <v>2274</v>
      </c>
    </row>
    <row r="1279" spans="1:5">
      <c r="A1279" s="11">
        <v>7052001</v>
      </c>
      <c r="B1279" s="11">
        <v>7052039</v>
      </c>
      <c r="C1279" s="11" t="s">
        <v>1411</v>
      </c>
      <c r="D1279" s="11" t="s">
        <v>781</v>
      </c>
      <c r="E1279" t="s">
        <v>2274</v>
      </c>
    </row>
    <row r="1280" spans="1:5">
      <c r="A1280" s="11"/>
      <c r="B1280" s="11">
        <v>7052002</v>
      </c>
      <c r="C1280" s="11" t="s">
        <v>1412</v>
      </c>
      <c r="D1280" s="11" t="s">
        <v>781</v>
      </c>
      <c r="E1280" t="s">
        <v>2274</v>
      </c>
    </row>
    <row r="1281" spans="1:5">
      <c r="A1281" s="11"/>
      <c r="B1281" s="11">
        <v>7052003</v>
      </c>
      <c r="C1281" s="11" t="s">
        <v>1413</v>
      </c>
      <c r="D1281" s="11" t="s">
        <v>781</v>
      </c>
      <c r="E1281" t="s">
        <v>2274</v>
      </c>
    </row>
    <row r="1282" spans="1:5">
      <c r="A1282" s="11">
        <v>7052004</v>
      </c>
      <c r="B1282" s="11">
        <v>7052041</v>
      </c>
      <c r="C1282" s="11" t="s">
        <v>1414</v>
      </c>
      <c r="D1282" s="11" t="s">
        <v>781</v>
      </c>
      <c r="E1282" t="s">
        <v>2274</v>
      </c>
    </row>
    <row r="1283" spans="1:5">
      <c r="A1283" s="11">
        <v>7052005</v>
      </c>
      <c r="B1283" s="11">
        <v>7052030</v>
      </c>
      <c r="C1283" s="11" t="s">
        <v>1415</v>
      </c>
      <c r="D1283" s="11" t="s">
        <v>781</v>
      </c>
      <c r="E1283" t="s">
        <v>2274</v>
      </c>
    </row>
    <row r="1284" spans="1:5">
      <c r="A1284" s="11">
        <v>7052006</v>
      </c>
      <c r="B1284" s="11">
        <v>7052031</v>
      </c>
      <c r="C1284" s="11" t="s">
        <v>1416</v>
      </c>
      <c r="D1284" s="11" t="s">
        <v>781</v>
      </c>
      <c r="E1284" t="s">
        <v>2274</v>
      </c>
    </row>
    <row r="1285" spans="1:5">
      <c r="A1285" s="11"/>
      <c r="B1285" s="11">
        <v>7052007</v>
      </c>
      <c r="C1285" s="11" t="s">
        <v>1417</v>
      </c>
      <c r="D1285" s="11" t="s">
        <v>781</v>
      </c>
      <c r="E1285" t="s">
        <v>2274</v>
      </c>
    </row>
    <row r="1286" spans="1:5">
      <c r="A1286" s="11"/>
      <c r="B1286" s="11">
        <v>7052008</v>
      </c>
      <c r="C1286" s="11" t="s">
        <v>1418</v>
      </c>
      <c r="D1286" s="11" t="s">
        <v>781</v>
      </c>
      <c r="E1286" t="s">
        <v>2274</v>
      </c>
    </row>
    <row r="1287" spans="1:5">
      <c r="A1287" s="11"/>
      <c r="B1287" s="11">
        <v>7052009</v>
      </c>
      <c r="C1287" s="11" t="s">
        <v>1419</v>
      </c>
      <c r="D1287" s="11" t="s">
        <v>781</v>
      </c>
      <c r="E1287" t="s">
        <v>2274</v>
      </c>
    </row>
    <row r="1288" spans="1:5">
      <c r="A1288" s="11"/>
      <c r="B1288" s="11">
        <v>7052010</v>
      </c>
      <c r="C1288" s="11" t="s">
        <v>1420</v>
      </c>
      <c r="D1288" s="11" t="s">
        <v>781</v>
      </c>
      <c r="E1288" t="s">
        <v>2274</v>
      </c>
    </row>
    <row r="1289" spans="1:5">
      <c r="A1289" s="11"/>
      <c r="B1289" s="11">
        <v>7052011</v>
      </c>
      <c r="C1289" s="11" t="s">
        <v>1421</v>
      </c>
      <c r="D1289" s="11" t="s">
        <v>781</v>
      </c>
      <c r="E1289" t="s">
        <v>2274</v>
      </c>
    </row>
    <row r="1290" spans="1:5">
      <c r="A1290" s="11">
        <v>7052012</v>
      </c>
      <c r="B1290" s="11">
        <v>7052042</v>
      </c>
      <c r="C1290" s="11" t="s">
        <v>1422</v>
      </c>
      <c r="D1290" s="11" t="s">
        <v>781</v>
      </c>
      <c r="E1290" t="s">
        <v>2274</v>
      </c>
    </row>
    <row r="1291" spans="1:5">
      <c r="A1291" s="11"/>
      <c r="B1291" s="11">
        <v>7052013</v>
      </c>
      <c r="C1291" s="11" t="s">
        <v>1423</v>
      </c>
      <c r="D1291" s="11" t="s">
        <v>781</v>
      </c>
      <c r="E1291" t="s">
        <v>2274</v>
      </c>
    </row>
    <row r="1292" spans="1:5">
      <c r="A1292" s="11"/>
      <c r="B1292" s="11">
        <v>7052014</v>
      </c>
      <c r="C1292" s="11" t="s">
        <v>1424</v>
      </c>
      <c r="D1292" s="11" t="s">
        <v>781</v>
      </c>
      <c r="E1292" t="s">
        <v>2274</v>
      </c>
    </row>
    <row r="1293" spans="1:5">
      <c r="A1293" s="11"/>
      <c r="B1293" s="11">
        <v>7052015</v>
      </c>
      <c r="C1293" s="11" t="s">
        <v>1425</v>
      </c>
      <c r="D1293" s="11" t="s">
        <v>781</v>
      </c>
      <c r="E1293" t="s">
        <v>2274</v>
      </c>
    </row>
    <row r="1294" spans="1:5">
      <c r="A1294" s="11"/>
      <c r="B1294" s="11">
        <v>7053000</v>
      </c>
      <c r="C1294" s="11" t="s">
        <v>1426</v>
      </c>
      <c r="D1294" s="11" t="s">
        <v>102</v>
      </c>
      <c r="E1294" t="s">
        <v>2274</v>
      </c>
    </row>
    <row r="1295" spans="1:5">
      <c r="A1295" s="11"/>
      <c r="B1295" s="11">
        <v>7053001</v>
      </c>
      <c r="C1295" s="11" t="s">
        <v>1427</v>
      </c>
      <c r="D1295" s="11" t="s">
        <v>781</v>
      </c>
      <c r="E1295" t="s">
        <v>2274</v>
      </c>
    </row>
    <row r="1296" spans="1:5">
      <c r="A1296" s="11"/>
      <c r="B1296" s="11">
        <v>7053002</v>
      </c>
      <c r="C1296" s="11" t="s">
        <v>1428</v>
      </c>
      <c r="D1296" s="11" t="s">
        <v>102</v>
      </c>
      <c r="E1296" t="s">
        <v>2274</v>
      </c>
    </row>
    <row r="1297" spans="1:5">
      <c r="A1297" s="11">
        <v>7053003</v>
      </c>
      <c r="B1297" s="11">
        <v>7053064</v>
      </c>
      <c r="C1297" s="11" t="s">
        <v>1429</v>
      </c>
      <c r="D1297" s="11" t="s">
        <v>781</v>
      </c>
      <c r="E1297" t="s">
        <v>2274</v>
      </c>
    </row>
    <row r="1298" spans="1:5">
      <c r="A1298" s="11">
        <v>7053004</v>
      </c>
      <c r="B1298" s="11">
        <v>7053058</v>
      </c>
      <c r="C1298" s="11" t="s">
        <v>1430</v>
      </c>
      <c r="D1298" s="11" t="s">
        <v>781</v>
      </c>
      <c r="E1298" t="s">
        <v>2274</v>
      </c>
    </row>
    <row r="1299" spans="1:5">
      <c r="A1299" s="11">
        <v>7053005</v>
      </c>
      <c r="B1299" s="11">
        <v>7053063</v>
      </c>
      <c r="C1299" s="11" t="s">
        <v>1431</v>
      </c>
      <c r="D1299" s="11" t="s">
        <v>781</v>
      </c>
      <c r="E1299" t="s">
        <v>2274</v>
      </c>
    </row>
    <row r="1300" spans="1:5">
      <c r="A1300" s="11">
        <v>7053006</v>
      </c>
      <c r="B1300" s="11">
        <v>7053061</v>
      </c>
      <c r="C1300" s="11" t="s">
        <v>1432</v>
      </c>
      <c r="D1300" s="11" t="s">
        <v>781</v>
      </c>
      <c r="E1300" t="s">
        <v>2274</v>
      </c>
    </row>
    <row r="1301" spans="1:5">
      <c r="A1301" s="11">
        <v>7053007</v>
      </c>
      <c r="B1301" s="14">
        <v>7053065</v>
      </c>
      <c r="C1301" s="11" t="s">
        <v>1433</v>
      </c>
      <c r="D1301" s="11" t="s">
        <v>781</v>
      </c>
      <c r="E1301" t="s">
        <v>2274</v>
      </c>
    </row>
    <row r="1302" spans="1:5">
      <c r="A1302" s="11">
        <v>7053008</v>
      </c>
      <c r="B1302" s="11">
        <v>7053062</v>
      </c>
      <c r="C1302" s="11" t="s">
        <v>1434</v>
      </c>
      <c r="D1302" s="11" t="s">
        <v>781</v>
      </c>
      <c r="E1302" t="s">
        <v>2274</v>
      </c>
    </row>
    <row r="1303" spans="1:5">
      <c r="A1303" s="11">
        <v>7053009</v>
      </c>
      <c r="B1303" s="14">
        <v>7053066</v>
      </c>
      <c r="C1303" s="11" t="s">
        <v>1435</v>
      </c>
      <c r="D1303" s="11" t="s">
        <v>781</v>
      </c>
      <c r="E1303" t="s">
        <v>2274</v>
      </c>
    </row>
    <row r="1304" spans="1:5">
      <c r="A1304" s="11">
        <v>7053010</v>
      </c>
      <c r="B1304" s="14">
        <v>7053067</v>
      </c>
      <c r="C1304" s="11" t="s">
        <v>1436</v>
      </c>
      <c r="D1304" s="11" t="s">
        <v>781</v>
      </c>
      <c r="E1304" t="s">
        <v>2274</v>
      </c>
    </row>
    <row r="1305" spans="1:5">
      <c r="A1305" s="11">
        <v>7053011</v>
      </c>
      <c r="B1305" s="11">
        <v>7053068</v>
      </c>
      <c r="C1305" s="11" t="s">
        <v>1437</v>
      </c>
      <c r="D1305" s="11" t="s">
        <v>781</v>
      </c>
      <c r="E1305" t="s">
        <v>2274</v>
      </c>
    </row>
    <row r="1306" spans="1:5">
      <c r="A1306" s="11">
        <v>7053012</v>
      </c>
      <c r="B1306" s="11">
        <v>7053069</v>
      </c>
      <c r="C1306" s="11" t="s">
        <v>1438</v>
      </c>
      <c r="D1306" s="11" t="s">
        <v>781</v>
      </c>
      <c r="E1306" t="s">
        <v>2274</v>
      </c>
    </row>
    <row r="1307" spans="1:5">
      <c r="A1307" s="11"/>
      <c r="B1307" s="11">
        <v>7053013</v>
      </c>
      <c r="C1307" s="11" t="s">
        <v>1439</v>
      </c>
      <c r="D1307" s="11" t="s">
        <v>781</v>
      </c>
      <c r="E1307" t="s">
        <v>2274</v>
      </c>
    </row>
    <row r="1308" spans="1:5">
      <c r="A1308" s="11">
        <v>7053014</v>
      </c>
      <c r="B1308" s="11">
        <v>7053077</v>
      </c>
      <c r="C1308" s="11" t="s">
        <v>1440</v>
      </c>
      <c r="D1308" s="11" t="s">
        <v>781</v>
      </c>
      <c r="E1308" t="s">
        <v>2274</v>
      </c>
    </row>
    <row r="1309" spans="1:5">
      <c r="A1309" s="11"/>
      <c r="B1309" s="11">
        <v>7053015</v>
      </c>
      <c r="C1309" s="11" t="s">
        <v>1441</v>
      </c>
      <c r="D1309" s="11" t="s">
        <v>781</v>
      </c>
      <c r="E1309" t="s">
        <v>2274</v>
      </c>
    </row>
    <row r="1310" spans="1:5">
      <c r="A1310" s="11">
        <v>7053016</v>
      </c>
      <c r="B1310" s="11">
        <v>7053079</v>
      </c>
      <c r="C1310" s="11" t="s">
        <v>1442</v>
      </c>
      <c r="D1310" s="11" t="s">
        <v>781</v>
      </c>
      <c r="E1310" t="s">
        <v>2274</v>
      </c>
    </row>
    <row r="1311" spans="1:5">
      <c r="A1311" s="11">
        <v>7053017</v>
      </c>
      <c r="B1311" s="11">
        <v>7053081</v>
      </c>
      <c r="C1311" s="11" t="s">
        <v>1443</v>
      </c>
      <c r="D1311" s="11" t="s">
        <v>781</v>
      </c>
      <c r="E1311" t="s">
        <v>2274</v>
      </c>
    </row>
    <row r="1312" spans="1:5">
      <c r="A1312" s="11"/>
      <c r="B1312" s="11">
        <v>7053018</v>
      </c>
      <c r="C1312" s="11" t="s">
        <v>1444</v>
      </c>
      <c r="D1312" s="11" t="s">
        <v>781</v>
      </c>
      <c r="E1312" t="s">
        <v>2274</v>
      </c>
    </row>
    <row r="1313" spans="1:5">
      <c r="A1313" s="11">
        <v>7053019</v>
      </c>
      <c r="B1313" s="11">
        <v>7053088</v>
      </c>
      <c r="C1313" s="11" t="s">
        <v>1445</v>
      </c>
      <c r="D1313" s="11" t="s">
        <v>781</v>
      </c>
      <c r="E1313" t="s">
        <v>2274</v>
      </c>
    </row>
    <row r="1314" spans="1:5">
      <c r="A1314" s="11"/>
      <c r="B1314" s="11">
        <v>7053020</v>
      </c>
      <c r="C1314" s="11" t="s">
        <v>1446</v>
      </c>
      <c r="D1314" s="11" t="s">
        <v>781</v>
      </c>
      <c r="E1314" t="s">
        <v>2274</v>
      </c>
    </row>
    <row r="1315" spans="1:5">
      <c r="A1315" s="11"/>
      <c r="B1315" s="11">
        <v>7053021</v>
      </c>
      <c r="C1315" s="11" t="s">
        <v>1447</v>
      </c>
      <c r="D1315" s="11" t="s">
        <v>102</v>
      </c>
      <c r="E1315" t="s">
        <v>2274</v>
      </c>
    </row>
    <row r="1316" spans="1:5">
      <c r="A1316" s="11">
        <v>7053022</v>
      </c>
      <c r="B1316" s="11">
        <v>7053086</v>
      </c>
      <c r="C1316" s="11" t="s">
        <v>1448</v>
      </c>
      <c r="D1316" s="11" t="s">
        <v>543</v>
      </c>
      <c r="E1316" t="s">
        <v>2274</v>
      </c>
    </row>
    <row r="1317" spans="1:5">
      <c r="A1317" s="11"/>
      <c r="B1317" s="11">
        <v>7053023</v>
      </c>
      <c r="C1317" s="11" t="s">
        <v>1449</v>
      </c>
      <c r="D1317" s="11" t="s">
        <v>781</v>
      </c>
      <c r="E1317" t="s">
        <v>2274</v>
      </c>
    </row>
    <row r="1318" spans="1:5">
      <c r="A1318" s="11">
        <v>7053024</v>
      </c>
      <c r="B1318" s="11">
        <v>7053082</v>
      </c>
      <c r="C1318" s="11" t="s">
        <v>1450</v>
      </c>
      <c r="D1318" s="11" t="s">
        <v>781</v>
      </c>
      <c r="E1318" t="s">
        <v>2274</v>
      </c>
    </row>
    <row r="1319" spans="1:5">
      <c r="A1319" s="11"/>
      <c r="B1319" s="11">
        <v>7053025</v>
      </c>
      <c r="C1319" s="11" t="s">
        <v>1451</v>
      </c>
      <c r="D1319" s="11" t="s">
        <v>781</v>
      </c>
      <c r="E1319" t="s">
        <v>2274</v>
      </c>
    </row>
    <row r="1320" spans="1:5">
      <c r="A1320" s="11">
        <v>7053026</v>
      </c>
      <c r="B1320" s="11">
        <v>7053076</v>
      </c>
      <c r="C1320" s="11" t="s">
        <v>1452</v>
      </c>
      <c r="D1320" s="11" t="s">
        <v>781</v>
      </c>
      <c r="E1320" t="s">
        <v>2274</v>
      </c>
    </row>
    <row r="1321" spans="1:5">
      <c r="A1321" s="11">
        <v>7053027</v>
      </c>
      <c r="B1321" s="11">
        <v>7053053</v>
      </c>
      <c r="C1321" s="11" t="s">
        <v>1453</v>
      </c>
      <c r="D1321" s="11" t="s">
        <v>781</v>
      </c>
      <c r="E1321" t="s">
        <v>2274</v>
      </c>
    </row>
    <row r="1322" spans="1:5">
      <c r="A1322" s="11"/>
      <c r="B1322" s="11">
        <v>7053028</v>
      </c>
      <c r="C1322" s="11" t="s">
        <v>1454</v>
      </c>
      <c r="D1322" s="11" t="s">
        <v>781</v>
      </c>
      <c r="E1322" t="s">
        <v>2274</v>
      </c>
    </row>
    <row r="1323" spans="1:5">
      <c r="A1323" s="11"/>
      <c r="B1323" s="11">
        <v>7053029</v>
      </c>
      <c r="C1323" s="11" t="s">
        <v>1455</v>
      </c>
      <c r="D1323" s="11" t="s">
        <v>781</v>
      </c>
      <c r="E1323" t="s">
        <v>2274</v>
      </c>
    </row>
    <row r="1324" spans="1:5">
      <c r="A1324" s="11">
        <v>7053030</v>
      </c>
      <c r="B1324" s="11">
        <v>7053071</v>
      </c>
      <c r="C1324" s="11" t="s">
        <v>1456</v>
      </c>
      <c r="D1324" s="11" t="s">
        <v>781</v>
      </c>
      <c r="E1324" t="s">
        <v>2274</v>
      </c>
    </row>
    <row r="1325" spans="1:5">
      <c r="A1325" s="11">
        <v>7053031</v>
      </c>
      <c r="B1325" s="11">
        <v>7053087</v>
      </c>
      <c r="C1325" s="11" t="s">
        <v>1457</v>
      </c>
      <c r="D1325" s="11" t="s">
        <v>781</v>
      </c>
      <c r="E1325" t="s">
        <v>2274</v>
      </c>
    </row>
    <row r="1326" spans="1:5">
      <c r="A1326" s="11">
        <v>7053032</v>
      </c>
      <c r="B1326" s="11">
        <v>7053090</v>
      </c>
      <c r="C1326" s="11" t="s">
        <v>1458</v>
      </c>
      <c r="D1326" s="11" t="s">
        <v>781</v>
      </c>
      <c r="E1326" t="s">
        <v>2274</v>
      </c>
    </row>
    <row r="1327" spans="1:5">
      <c r="A1327" s="11">
        <v>7053033</v>
      </c>
      <c r="B1327" s="11">
        <v>7053091</v>
      </c>
      <c r="C1327" s="11" t="s">
        <v>1459</v>
      </c>
      <c r="D1327" s="11" t="s">
        <v>781</v>
      </c>
      <c r="E1327" t="s">
        <v>2274</v>
      </c>
    </row>
    <row r="1328" spans="1:5">
      <c r="A1328" s="11">
        <v>7053034</v>
      </c>
      <c r="B1328" s="11">
        <v>7053092</v>
      </c>
      <c r="C1328" s="11" t="s">
        <v>1460</v>
      </c>
      <c r="D1328" s="11" t="s">
        <v>781</v>
      </c>
      <c r="E1328" t="s">
        <v>2274</v>
      </c>
    </row>
    <row r="1329" spans="1:5">
      <c r="A1329" s="11"/>
      <c r="B1329" s="11">
        <v>7053035</v>
      </c>
      <c r="C1329" s="11" t="s">
        <v>1461</v>
      </c>
      <c r="D1329" s="11" t="s">
        <v>102</v>
      </c>
      <c r="E1329" t="s">
        <v>2274</v>
      </c>
    </row>
    <row r="1330" spans="1:5">
      <c r="A1330" s="11"/>
      <c r="B1330" s="11">
        <v>7053060</v>
      </c>
      <c r="C1330" s="11" t="s">
        <v>1462</v>
      </c>
      <c r="D1330" s="11" t="s">
        <v>284</v>
      </c>
      <c r="E1330" t="s">
        <v>2274</v>
      </c>
    </row>
    <row r="1331" spans="1:5">
      <c r="A1331" s="11">
        <v>7070003</v>
      </c>
      <c r="B1331" s="11">
        <v>7070158</v>
      </c>
      <c r="C1331" s="11" t="s">
        <v>1463</v>
      </c>
      <c r="D1331" s="11" t="s">
        <v>102</v>
      </c>
      <c r="E1331" t="s">
        <v>2274</v>
      </c>
    </row>
    <row r="1332" spans="1:5">
      <c r="A1332" s="11">
        <v>7070004</v>
      </c>
      <c r="B1332" s="11">
        <v>7070157</v>
      </c>
      <c r="C1332" s="11" t="s">
        <v>1464</v>
      </c>
      <c r="D1332" s="11" t="s">
        <v>102</v>
      </c>
      <c r="E1332" t="s">
        <v>2274</v>
      </c>
    </row>
    <row r="1333" spans="1:5">
      <c r="A1333" s="11"/>
      <c r="B1333" s="11">
        <v>7070005</v>
      </c>
      <c r="C1333" s="11" t="s">
        <v>1465</v>
      </c>
      <c r="D1333" s="11" t="s">
        <v>102</v>
      </c>
      <c r="E1333" t="s">
        <v>2274</v>
      </c>
    </row>
    <row r="1334" spans="1:5">
      <c r="A1334" s="11"/>
      <c r="B1334" s="11">
        <v>7070006</v>
      </c>
      <c r="C1334" s="11" t="s">
        <v>1466</v>
      </c>
      <c r="D1334" s="11" t="s">
        <v>102</v>
      </c>
      <c r="E1334" t="s">
        <v>2274</v>
      </c>
    </row>
    <row r="1335" spans="1:5">
      <c r="A1335" s="11"/>
      <c r="B1335" s="11">
        <v>7070007</v>
      </c>
      <c r="C1335" s="11" t="s">
        <v>1467</v>
      </c>
      <c r="D1335" s="11" t="s">
        <v>102</v>
      </c>
      <c r="E1335" t="s">
        <v>2274</v>
      </c>
    </row>
    <row r="1336" spans="1:5">
      <c r="A1336" s="11">
        <v>7070008</v>
      </c>
      <c r="B1336" s="11">
        <v>7070128</v>
      </c>
      <c r="C1336" s="11" t="s">
        <v>1468</v>
      </c>
      <c r="D1336" s="11" t="s">
        <v>102</v>
      </c>
      <c r="E1336" t="s">
        <v>2274</v>
      </c>
    </row>
    <row r="1337" spans="1:5">
      <c r="A1337" s="11">
        <v>7070009</v>
      </c>
      <c r="B1337" s="11">
        <v>7070121</v>
      </c>
      <c r="C1337" s="11" t="s">
        <v>1469</v>
      </c>
      <c r="D1337" s="11" t="s">
        <v>102</v>
      </c>
      <c r="E1337" t="s">
        <v>2274</v>
      </c>
    </row>
    <row r="1338" spans="1:5">
      <c r="A1338" s="11"/>
      <c r="B1338" s="11">
        <v>7070010</v>
      </c>
      <c r="C1338" s="11" t="s">
        <v>1470</v>
      </c>
      <c r="D1338" s="11" t="s">
        <v>102</v>
      </c>
      <c r="E1338" t="s">
        <v>2274</v>
      </c>
    </row>
    <row r="1339" spans="1:5">
      <c r="A1339" s="11"/>
      <c r="B1339" s="11">
        <v>7070011</v>
      </c>
      <c r="C1339" s="11" t="s">
        <v>1471</v>
      </c>
      <c r="D1339" s="11" t="s">
        <v>102</v>
      </c>
      <c r="E1339" t="s">
        <v>2274</v>
      </c>
    </row>
    <row r="1340" spans="1:5">
      <c r="A1340" s="11"/>
      <c r="B1340" s="11">
        <v>7070012</v>
      </c>
      <c r="C1340" s="11" t="s">
        <v>1472</v>
      </c>
      <c r="D1340" s="11" t="s">
        <v>102</v>
      </c>
      <c r="E1340" t="s">
        <v>2274</v>
      </c>
    </row>
    <row r="1341" spans="1:5">
      <c r="A1341" s="11"/>
      <c r="B1341" s="11">
        <v>7070013</v>
      </c>
      <c r="C1341" s="11" t="s">
        <v>1473</v>
      </c>
      <c r="D1341" s="11" t="s">
        <v>102</v>
      </c>
      <c r="E1341" t="s">
        <v>2274</v>
      </c>
    </row>
    <row r="1342" spans="1:5">
      <c r="A1342" s="11">
        <v>7070014</v>
      </c>
      <c r="B1342" s="11">
        <v>7070161</v>
      </c>
      <c r="C1342" s="11" t="s">
        <v>1474</v>
      </c>
      <c r="D1342" s="11" t="s">
        <v>102</v>
      </c>
      <c r="E1342" t="s">
        <v>2274</v>
      </c>
    </row>
    <row r="1343" spans="1:5">
      <c r="A1343" s="11">
        <v>7070015</v>
      </c>
      <c r="B1343" s="11">
        <v>7070202</v>
      </c>
      <c r="C1343" s="11" t="s">
        <v>1475</v>
      </c>
      <c r="D1343" s="11" t="s">
        <v>102</v>
      </c>
      <c r="E1343" t="s">
        <v>2274</v>
      </c>
    </row>
    <row r="1344" spans="1:5">
      <c r="A1344" s="11">
        <v>7070016</v>
      </c>
      <c r="B1344" s="11">
        <v>7070192</v>
      </c>
      <c r="C1344" s="11" t="s">
        <v>1476</v>
      </c>
      <c r="D1344" s="11" t="s">
        <v>102</v>
      </c>
      <c r="E1344" t="s">
        <v>2274</v>
      </c>
    </row>
    <row r="1345" spans="1:5">
      <c r="A1345" s="11"/>
      <c r="B1345" s="11">
        <v>7070017</v>
      </c>
      <c r="C1345" s="11" t="s">
        <v>1477</v>
      </c>
      <c r="D1345" s="11" t="s">
        <v>102</v>
      </c>
      <c r="E1345" t="s">
        <v>2274</v>
      </c>
    </row>
    <row r="1346" spans="1:5">
      <c r="A1346" s="11"/>
      <c r="B1346" s="11">
        <v>7070018</v>
      </c>
      <c r="C1346" s="11" t="s">
        <v>1478</v>
      </c>
      <c r="D1346" s="11" t="s">
        <v>102</v>
      </c>
      <c r="E1346" t="s">
        <v>2274</v>
      </c>
    </row>
    <row r="1347" spans="1:5">
      <c r="A1347" s="11">
        <v>7070019</v>
      </c>
      <c r="B1347" s="11">
        <v>7070187</v>
      </c>
      <c r="C1347" s="11" t="s">
        <v>1479</v>
      </c>
      <c r="D1347" s="11" t="s">
        <v>516</v>
      </c>
      <c r="E1347" t="s">
        <v>2274</v>
      </c>
    </row>
    <row r="1348" spans="1:5">
      <c r="A1348" s="11"/>
      <c r="B1348" s="11">
        <v>7070020</v>
      </c>
      <c r="C1348" s="11" t="s">
        <v>1480</v>
      </c>
      <c r="D1348" s="11" t="s">
        <v>102</v>
      </c>
      <c r="E1348" t="s">
        <v>2274</v>
      </c>
    </row>
    <row r="1349" spans="1:5">
      <c r="A1349" s="11">
        <v>7070021</v>
      </c>
      <c r="B1349" s="11">
        <v>7070152</v>
      </c>
      <c r="C1349" s="11" t="s">
        <v>1481</v>
      </c>
      <c r="D1349" s="11" t="s">
        <v>102</v>
      </c>
      <c r="E1349" t="s">
        <v>2274</v>
      </c>
    </row>
    <row r="1350" spans="1:5">
      <c r="A1350" s="11">
        <v>7070022</v>
      </c>
      <c r="B1350" s="11">
        <v>7070171</v>
      </c>
      <c r="C1350" s="11" t="s">
        <v>1482</v>
      </c>
      <c r="D1350" s="11" t="s">
        <v>102</v>
      </c>
      <c r="E1350" t="s">
        <v>2274</v>
      </c>
    </row>
    <row r="1351" spans="1:5">
      <c r="A1351" s="11">
        <v>7070023</v>
      </c>
      <c r="B1351" s="11">
        <v>7070169</v>
      </c>
      <c r="C1351" s="11" t="s">
        <v>1483</v>
      </c>
      <c r="D1351" s="11" t="s">
        <v>102</v>
      </c>
      <c r="E1351" t="s">
        <v>2274</v>
      </c>
    </row>
    <row r="1352" spans="1:5">
      <c r="A1352" s="11">
        <v>7070024</v>
      </c>
      <c r="B1352" s="11">
        <v>7070172</v>
      </c>
      <c r="C1352" s="11" t="s">
        <v>1484</v>
      </c>
      <c r="D1352" s="11" t="s">
        <v>102</v>
      </c>
      <c r="E1352" t="s">
        <v>2274</v>
      </c>
    </row>
    <row r="1353" spans="1:5">
      <c r="A1353" s="11">
        <v>7070025</v>
      </c>
      <c r="B1353" s="11">
        <v>7070167</v>
      </c>
      <c r="C1353" s="11" t="s">
        <v>1485</v>
      </c>
      <c r="D1353" s="11" t="s">
        <v>102</v>
      </c>
      <c r="E1353" t="s">
        <v>2274</v>
      </c>
    </row>
    <row r="1354" spans="1:5">
      <c r="A1354" s="11"/>
      <c r="B1354" s="11">
        <v>7070026</v>
      </c>
      <c r="C1354" s="11" t="s">
        <v>1486</v>
      </c>
      <c r="D1354" s="11" t="s">
        <v>102</v>
      </c>
      <c r="E1354" t="s">
        <v>2274</v>
      </c>
    </row>
    <row r="1355" spans="1:5">
      <c r="A1355" s="11"/>
      <c r="B1355" s="11">
        <v>7070027</v>
      </c>
      <c r="C1355" s="11" t="s">
        <v>1487</v>
      </c>
      <c r="D1355" s="11" t="s">
        <v>102</v>
      </c>
      <c r="E1355" t="s">
        <v>2274</v>
      </c>
    </row>
    <row r="1356" spans="1:5">
      <c r="A1356" s="11"/>
      <c r="B1356" s="11">
        <v>7070028</v>
      </c>
      <c r="C1356" s="11" t="s">
        <v>1488</v>
      </c>
      <c r="D1356" s="11" t="s">
        <v>102</v>
      </c>
      <c r="E1356" t="s">
        <v>2274</v>
      </c>
    </row>
    <row r="1357" spans="1:5">
      <c r="A1357" s="11"/>
      <c r="B1357" s="11">
        <v>7070029</v>
      </c>
      <c r="C1357" s="11" t="s">
        <v>1489</v>
      </c>
      <c r="D1357" s="11" t="s">
        <v>102</v>
      </c>
      <c r="E1357" t="s">
        <v>2274</v>
      </c>
    </row>
    <row r="1358" spans="1:5">
      <c r="A1358" s="11"/>
      <c r="B1358" s="11">
        <v>7070030</v>
      </c>
      <c r="C1358" s="11" t="s">
        <v>1490</v>
      </c>
      <c r="D1358" s="11" t="s">
        <v>102</v>
      </c>
      <c r="E1358" t="s">
        <v>2274</v>
      </c>
    </row>
    <row r="1359" spans="1:5">
      <c r="A1359" s="11"/>
      <c r="B1359" s="11">
        <v>7070031</v>
      </c>
      <c r="C1359" s="11" t="s">
        <v>1491</v>
      </c>
      <c r="D1359" s="11" t="s">
        <v>102</v>
      </c>
      <c r="E1359" t="s">
        <v>2274</v>
      </c>
    </row>
    <row r="1360" spans="1:5">
      <c r="A1360" s="11"/>
      <c r="B1360" s="11">
        <v>7070032</v>
      </c>
      <c r="C1360" s="11" t="s">
        <v>1492</v>
      </c>
      <c r="D1360" s="11" t="s">
        <v>102</v>
      </c>
      <c r="E1360" t="s">
        <v>2274</v>
      </c>
    </row>
    <row r="1361" spans="1:5">
      <c r="A1361" s="11"/>
      <c r="B1361" s="11">
        <v>7070033</v>
      </c>
      <c r="C1361" s="11" t="s">
        <v>1493</v>
      </c>
      <c r="D1361" s="11" t="s">
        <v>102</v>
      </c>
      <c r="E1361" t="s">
        <v>2274</v>
      </c>
    </row>
    <row r="1362" spans="1:5">
      <c r="A1362" s="11">
        <v>7070034</v>
      </c>
      <c r="B1362" s="11">
        <v>7070137</v>
      </c>
      <c r="C1362" s="11" t="s">
        <v>1494</v>
      </c>
      <c r="D1362" s="11" t="s">
        <v>102</v>
      </c>
      <c r="E1362" t="s">
        <v>2274</v>
      </c>
    </row>
    <row r="1363" spans="1:5">
      <c r="A1363" s="11"/>
      <c r="B1363" s="11">
        <v>7070035</v>
      </c>
      <c r="C1363" s="11" t="s">
        <v>1495</v>
      </c>
      <c r="D1363" s="11" t="s">
        <v>102</v>
      </c>
      <c r="E1363" t="s">
        <v>2274</v>
      </c>
    </row>
    <row r="1364" spans="1:5">
      <c r="A1364" s="11"/>
      <c r="B1364" s="11">
        <v>7070036</v>
      </c>
      <c r="C1364" s="11" t="s">
        <v>1496</v>
      </c>
      <c r="D1364" s="11" t="s">
        <v>102</v>
      </c>
      <c r="E1364" t="s">
        <v>2274</v>
      </c>
    </row>
    <row r="1365" spans="1:5">
      <c r="A1365" s="11"/>
      <c r="B1365" s="11">
        <v>7070037</v>
      </c>
      <c r="C1365" s="11" t="s">
        <v>1497</v>
      </c>
      <c r="D1365" s="11" t="s">
        <v>102</v>
      </c>
      <c r="E1365" t="s">
        <v>2274</v>
      </c>
    </row>
    <row r="1366" spans="1:5">
      <c r="A1366" s="11"/>
      <c r="B1366" s="11">
        <v>7070038</v>
      </c>
      <c r="C1366" s="11" t="s">
        <v>1498</v>
      </c>
      <c r="D1366" s="11" t="s">
        <v>102</v>
      </c>
      <c r="E1366" t="s">
        <v>2274</v>
      </c>
    </row>
    <row r="1367" spans="1:5">
      <c r="A1367" s="11"/>
      <c r="B1367" s="11">
        <v>7070039</v>
      </c>
      <c r="C1367" s="11" t="s">
        <v>1499</v>
      </c>
      <c r="D1367" s="11" t="s">
        <v>102</v>
      </c>
      <c r="E1367" t="s">
        <v>2274</v>
      </c>
    </row>
    <row r="1368" spans="1:5">
      <c r="A1368" s="11"/>
      <c r="B1368" s="11">
        <v>7070040</v>
      </c>
      <c r="C1368" s="11" t="s">
        <v>1500</v>
      </c>
      <c r="D1368" s="11" t="s">
        <v>102</v>
      </c>
      <c r="E1368" t="s">
        <v>2274</v>
      </c>
    </row>
    <row r="1369" spans="1:5">
      <c r="A1369" s="11"/>
      <c r="B1369" s="11">
        <v>7070041</v>
      </c>
      <c r="C1369" s="11" t="s">
        <v>1501</v>
      </c>
      <c r="D1369" s="11" t="s">
        <v>102</v>
      </c>
      <c r="E1369" t="s">
        <v>2274</v>
      </c>
    </row>
    <row r="1370" spans="1:5">
      <c r="A1370" s="11">
        <v>7070042</v>
      </c>
      <c r="B1370" s="11">
        <v>7070139</v>
      </c>
      <c r="C1370" s="11" t="s">
        <v>1502</v>
      </c>
      <c r="D1370" s="11" t="s">
        <v>102</v>
      </c>
      <c r="E1370" t="s">
        <v>2274</v>
      </c>
    </row>
    <row r="1371" spans="1:5">
      <c r="A1371" s="11">
        <v>7070043</v>
      </c>
      <c r="B1371" s="14">
        <v>7070144</v>
      </c>
      <c r="C1371" s="11" t="s">
        <v>1503</v>
      </c>
      <c r="D1371" s="11" t="s">
        <v>102</v>
      </c>
      <c r="E1371" t="s">
        <v>2274</v>
      </c>
    </row>
    <row r="1372" spans="1:5">
      <c r="A1372" s="11">
        <v>7070044</v>
      </c>
      <c r="B1372" s="14">
        <v>7070143</v>
      </c>
      <c r="C1372" s="11" t="s">
        <v>1504</v>
      </c>
      <c r="D1372" s="11" t="s">
        <v>102</v>
      </c>
      <c r="E1372" t="s">
        <v>2274</v>
      </c>
    </row>
    <row r="1373" spans="1:5">
      <c r="A1373" s="11">
        <v>7070045</v>
      </c>
      <c r="B1373" s="14">
        <v>7070142</v>
      </c>
      <c r="C1373" s="11" t="s">
        <v>1505</v>
      </c>
      <c r="D1373" s="11" t="s">
        <v>102</v>
      </c>
      <c r="E1373" t="s">
        <v>2274</v>
      </c>
    </row>
    <row r="1374" spans="1:5">
      <c r="A1374" s="11"/>
      <c r="B1374" s="11">
        <v>7070046</v>
      </c>
      <c r="C1374" s="11" t="s">
        <v>1506</v>
      </c>
      <c r="D1374" s="11" t="s">
        <v>102</v>
      </c>
      <c r="E1374" t="s">
        <v>2274</v>
      </c>
    </row>
    <row r="1375" spans="1:5">
      <c r="A1375" s="11"/>
      <c r="B1375" s="11">
        <v>7070150</v>
      </c>
      <c r="C1375" s="11" t="s">
        <v>1507</v>
      </c>
      <c r="D1375" s="11" t="s">
        <v>102</v>
      </c>
      <c r="E1375" t="s">
        <v>2274</v>
      </c>
    </row>
    <row r="1376" spans="1:5">
      <c r="A1376" s="11">
        <v>7070048</v>
      </c>
      <c r="B1376" s="11">
        <v>7070151</v>
      </c>
      <c r="C1376" s="11" t="s">
        <v>1508</v>
      </c>
      <c r="D1376" s="11" t="s">
        <v>102</v>
      </c>
      <c r="E1376" t="s">
        <v>2274</v>
      </c>
    </row>
    <row r="1377" spans="1:5">
      <c r="A1377" s="11"/>
      <c r="B1377" s="11">
        <v>7070049</v>
      </c>
      <c r="C1377" s="11" t="s">
        <v>1509</v>
      </c>
      <c r="D1377" s="11" t="s">
        <v>102</v>
      </c>
      <c r="E1377" t="s">
        <v>2274</v>
      </c>
    </row>
    <row r="1378" spans="1:5">
      <c r="A1378" s="11"/>
      <c r="B1378" s="11">
        <v>7070050</v>
      </c>
      <c r="C1378" s="11" t="s">
        <v>1510</v>
      </c>
      <c r="D1378" s="11" t="s">
        <v>102</v>
      </c>
      <c r="E1378" t="s">
        <v>2274</v>
      </c>
    </row>
    <row r="1379" spans="1:5">
      <c r="A1379" s="11"/>
      <c r="B1379" s="11">
        <v>7070051</v>
      </c>
      <c r="C1379" s="11" t="s">
        <v>1511</v>
      </c>
      <c r="D1379" s="11" t="s">
        <v>102</v>
      </c>
      <c r="E1379" t="s">
        <v>2274</v>
      </c>
    </row>
    <row r="1380" spans="1:5">
      <c r="A1380" s="11"/>
      <c r="B1380" s="11">
        <v>7070052</v>
      </c>
      <c r="C1380" s="11" t="s">
        <v>1512</v>
      </c>
      <c r="D1380" s="11" t="s">
        <v>102</v>
      </c>
      <c r="E1380" t="s">
        <v>2274</v>
      </c>
    </row>
    <row r="1381" spans="1:5">
      <c r="A1381" s="11"/>
      <c r="B1381" s="11">
        <v>7070053</v>
      </c>
      <c r="C1381" s="11" t="s">
        <v>1513</v>
      </c>
      <c r="D1381" s="11" t="s">
        <v>102</v>
      </c>
      <c r="E1381" t="s">
        <v>2274</v>
      </c>
    </row>
    <row r="1382" spans="1:5">
      <c r="A1382" s="11">
        <v>7070054</v>
      </c>
      <c r="B1382" s="11">
        <v>7070165</v>
      </c>
      <c r="C1382" s="11" t="s">
        <v>1514</v>
      </c>
      <c r="D1382" s="11" t="s">
        <v>102</v>
      </c>
      <c r="E1382" t="s">
        <v>2274</v>
      </c>
    </row>
    <row r="1383" spans="1:5">
      <c r="A1383" s="11">
        <v>7070055</v>
      </c>
      <c r="B1383" s="11">
        <v>7070168</v>
      </c>
      <c r="C1383" s="11" t="s">
        <v>1515</v>
      </c>
      <c r="D1383" s="11" t="s">
        <v>102</v>
      </c>
      <c r="E1383" t="s">
        <v>2274</v>
      </c>
    </row>
    <row r="1384" spans="1:5">
      <c r="A1384" s="11">
        <v>7070056</v>
      </c>
      <c r="B1384" s="14">
        <v>7070170</v>
      </c>
      <c r="C1384" s="11" t="s">
        <v>1516</v>
      </c>
      <c r="D1384" s="11" t="s">
        <v>102</v>
      </c>
      <c r="E1384" t="s">
        <v>2274</v>
      </c>
    </row>
    <row r="1385" spans="1:5">
      <c r="A1385" s="11"/>
      <c r="B1385" s="11">
        <v>7070057</v>
      </c>
      <c r="C1385" s="11" t="s">
        <v>1517</v>
      </c>
      <c r="D1385" s="11" t="s">
        <v>102</v>
      </c>
      <c r="E1385" t="s">
        <v>2274</v>
      </c>
    </row>
    <row r="1386" spans="1:5">
      <c r="A1386" s="11">
        <v>7070058</v>
      </c>
      <c r="B1386" s="11">
        <v>7070178</v>
      </c>
      <c r="C1386" s="11" t="s">
        <v>1518</v>
      </c>
      <c r="D1386" s="11" t="s">
        <v>102</v>
      </c>
      <c r="E1386" t="s">
        <v>2274</v>
      </c>
    </row>
    <row r="1387" spans="1:5">
      <c r="A1387" s="11"/>
      <c r="B1387" s="11">
        <v>7070059</v>
      </c>
      <c r="C1387" s="11" t="s">
        <v>1519</v>
      </c>
      <c r="D1387" s="11" t="s">
        <v>102</v>
      </c>
      <c r="E1387" t="s">
        <v>2274</v>
      </c>
    </row>
    <row r="1388" spans="1:5">
      <c r="A1388" s="11"/>
      <c r="B1388" s="11">
        <v>7070060</v>
      </c>
      <c r="C1388" s="11" t="s">
        <v>1520</v>
      </c>
      <c r="D1388" s="11" t="s">
        <v>102</v>
      </c>
      <c r="E1388" t="s">
        <v>2274</v>
      </c>
    </row>
    <row r="1389" spans="1:5">
      <c r="A1389" s="11"/>
      <c r="B1389" s="11">
        <v>7070061</v>
      </c>
      <c r="C1389" s="11" t="s">
        <v>1521</v>
      </c>
      <c r="D1389" s="11" t="s">
        <v>102</v>
      </c>
      <c r="E1389" t="s">
        <v>2274</v>
      </c>
    </row>
    <row r="1390" spans="1:5">
      <c r="A1390" s="11">
        <v>7070062</v>
      </c>
      <c r="B1390" s="11">
        <v>7070188</v>
      </c>
      <c r="C1390" s="11" t="s">
        <v>1522</v>
      </c>
      <c r="D1390" s="11" t="s">
        <v>102</v>
      </c>
      <c r="E1390" t="s">
        <v>2274</v>
      </c>
    </row>
    <row r="1391" spans="1:5">
      <c r="A1391" s="11"/>
      <c r="B1391" s="11">
        <v>7070063</v>
      </c>
      <c r="C1391" s="11" t="s">
        <v>1523</v>
      </c>
      <c r="D1391" s="11" t="s">
        <v>102</v>
      </c>
      <c r="E1391" t="s">
        <v>2274</v>
      </c>
    </row>
    <row r="1392" spans="1:5">
      <c r="A1392" s="11"/>
      <c r="B1392" s="11">
        <v>7070064</v>
      </c>
      <c r="C1392" s="11" t="s">
        <v>1524</v>
      </c>
      <c r="D1392" s="11" t="s">
        <v>102</v>
      </c>
      <c r="E1392" t="s">
        <v>2274</v>
      </c>
    </row>
    <row r="1393" spans="1:5">
      <c r="A1393" s="11">
        <v>7070065</v>
      </c>
      <c r="B1393" s="11">
        <v>7070166</v>
      </c>
      <c r="C1393" s="11" t="s">
        <v>1525</v>
      </c>
      <c r="D1393" s="11" t="s">
        <v>102</v>
      </c>
      <c r="E1393" t="s">
        <v>2274</v>
      </c>
    </row>
    <row r="1394" spans="1:5">
      <c r="A1394" s="11">
        <v>7070066</v>
      </c>
      <c r="B1394" s="11">
        <v>7070191</v>
      </c>
      <c r="C1394" s="11" t="s">
        <v>1526</v>
      </c>
      <c r="D1394" s="11" t="s">
        <v>102</v>
      </c>
      <c r="E1394" t="s">
        <v>2274</v>
      </c>
    </row>
    <row r="1395" spans="1:5">
      <c r="A1395" s="11">
        <v>7070067</v>
      </c>
      <c r="B1395" s="11">
        <v>7070196</v>
      </c>
      <c r="C1395" s="11" t="s">
        <v>1527</v>
      </c>
      <c r="D1395" s="11" t="s">
        <v>543</v>
      </c>
      <c r="E1395" t="s">
        <v>2274</v>
      </c>
    </row>
    <row r="1396" spans="1:5">
      <c r="A1396" s="11">
        <v>7070068</v>
      </c>
      <c r="B1396" s="11">
        <v>7070203</v>
      </c>
      <c r="C1396" s="11" t="s">
        <v>1528</v>
      </c>
      <c r="D1396" s="11" t="s">
        <v>102</v>
      </c>
      <c r="E1396" t="s">
        <v>2274</v>
      </c>
    </row>
    <row r="1397" spans="1:5">
      <c r="A1397" s="11"/>
      <c r="B1397" s="11">
        <v>7070069</v>
      </c>
      <c r="C1397" s="11" t="s">
        <v>1529</v>
      </c>
      <c r="D1397" s="11" t="s">
        <v>102</v>
      </c>
      <c r="E1397" t="s">
        <v>2274</v>
      </c>
    </row>
    <row r="1398" spans="1:5">
      <c r="A1398" s="11">
        <v>7070081</v>
      </c>
      <c r="B1398" s="11">
        <v>7070140</v>
      </c>
      <c r="C1398" s="11" t="s">
        <v>1530</v>
      </c>
      <c r="D1398" s="11" t="s">
        <v>102</v>
      </c>
      <c r="E1398" t="s">
        <v>2274</v>
      </c>
    </row>
    <row r="1399" spans="1:5">
      <c r="A1399" s="11">
        <v>7071000</v>
      </c>
      <c r="B1399" s="11">
        <v>7071066</v>
      </c>
      <c r="C1399" s="11" t="s">
        <v>1531</v>
      </c>
      <c r="D1399" s="11" t="s">
        <v>102</v>
      </c>
      <c r="E1399" t="s">
        <v>2274</v>
      </c>
    </row>
    <row r="1400" spans="1:5">
      <c r="A1400" s="11"/>
      <c r="B1400" s="11">
        <v>7071001</v>
      </c>
      <c r="C1400" s="11" t="s">
        <v>1532</v>
      </c>
      <c r="D1400" s="11" t="s">
        <v>102</v>
      </c>
      <c r="E1400" t="s">
        <v>2274</v>
      </c>
    </row>
    <row r="1401" spans="1:5">
      <c r="A1401" s="11">
        <v>7071002</v>
      </c>
      <c r="B1401" s="11">
        <v>7071072</v>
      </c>
      <c r="C1401" s="11" t="s">
        <v>1533</v>
      </c>
      <c r="D1401" s="11" t="s">
        <v>102</v>
      </c>
      <c r="E1401" t="s">
        <v>2274</v>
      </c>
    </row>
    <row r="1402" spans="1:5">
      <c r="A1402" s="11"/>
      <c r="B1402" s="11">
        <v>7071003</v>
      </c>
      <c r="C1402" s="11" t="s">
        <v>1534</v>
      </c>
      <c r="D1402" s="11" t="s">
        <v>102</v>
      </c>
      <c r="E1402" t="s">
        <v>2274</v>
      </c>
    </row>
    <row r="1403" spans="1:5">
      <c r="A1403" s="11"/>
      <c r="B1403" s="11">
        <v>7071004</v>
      </c>
      <c r="C1403" s="11" t="s">
        <v>1535</v>
      </c>
      <c r="D1403" s="11" t="s">
        <v>102</v>
      </c>
      <c r="E1403" t="s">
        <v>2274</v>
      </c>
    </row>
    <row r="1404" spans="1:5">
      <c r="A1404" s="11"/>
      <c r="B1404" s="11">
        <v>7071005</v>
      </c>
      <c r="C1404" s="11" t="s">
        <v>1536</v>
      </c>
      <c r="D1404" s="11" t="s">
        <v>102</v>
      </c>
      <c r="E1404" t="s">
        <v>2274</v>
      </c>
    </row>
    <row r="1405" spans="1:5">
      <c r="A1405" s="11"/>
      <c r="B1405" s="11">
        <v>7071006</v>
      </c>
      <c r="C1405" s="11" t="s">
        <v>1537</v>
      </c>
      <c r="D1405" s="11" t="s">
        <v>102</v>
      </c>
      <c r="E1405" t="s">
        <v>2274</v>
      </c>
    </row>
    <row r="1406" spans="1:5">
      <c r="A1406" s="11"/>
      <c r="B1406" s="11">
        <v>7071007</v>
      </c>
      <c r="C1406" s="11" t="s">
        <v>1538</v>
      </c>
      <c r="D1406" s="11" t="s">
        <v>102</v>
      </c>
      <c r="E1406" t="s">
        <v>2274</v>
      </c>
    </row>
    <row r="1407" spans="1:5">
      <c r="A1407" s="11"/>
      <c r="B1407" s="11">
        <v>7071008</v>
      </c>
      <c r="C1407" s="11" t="s">
        <v>1539</v>
      </c>
      <c r="D1407" s="11" t="s">
        <v>102</v>
      </c>
      <c r="E1407" t="s">
        <v>2274</v>
      </c>
    </row>
    <row r="1408" spans="1:5">
      <c r="A1408" s="11">
        <v>7071009</v>
      </c>
      <c r="B1408" s="11">
        <v>7071087</v>
      </c>
      <c r="C1408" s="11" t="s">
        <v>1540</v>
      </c>
      <c r="D1408" s="11" t="s">
        <v>102</v>
      </c>
      <c r="E1408" t="s">
        <v>2274</v>
      </c>
    </row>
    <row r="1409" spans="1:5">
      <c r="A1409" s="11"/>
      <c r="B1409" s="11">
        <v>7071010</v>
      </c>
      <c r="C1409" s="11" t="s">
        <v>1541</v>
      </c>
      <c r="D1409" s="11" t="s">
        <v>102</v>
      </c>
      <c r="E1409" t="s">
        <v>2274</v>
      </c>
    </row>
    <row r="1410" spans="1:5">
      <c r="A1410" s="11"/>
      <c r="B1410" s="11">
        <v>7071011</v>
      </c>
      <c r="C1410" s="11" t="s">
        <v>1542</v>
      </c>
      <c r="D1410" s="11" t="s">
        <v>102</v>
      </c>
      <c r="E1410" t="s">
        <v>2274</v>
      </c>
    </row>
    <row r="1411" spans="1:5">
      <c r="A1411" s="11">
        <v>7071012</v>
      </c>
      <c r="B1411" s="11">
        <v>7071105</v>
      </c>
      <c r="C1411" s="11" t="s">
        <v>1543</v>
      </c>
      <c r="D1411" s="11" t="s">
        <v>102</v>
      </c>
      <c r="E1411" t="s">
        <v>2274</v>
      </c>
    </row>
    <row r="1412" spans="1:5">
      <c r="A1412" s="11">
        <v>7071013</v>
      </c>
      <c r="B1412" s="11">
        <v>7071117</v>
      </c>
      <c r="C1412" s="11" t="s">
        <v>1544</v>
      </c>
      <c r="D1412" s="11" t="s">
        <v>102</v>
      </c>
      <c r="E1412" t="s">
        <v>2274</v>
      </c>
    </row>
    <row r="1413" spans="1:5">
      <c r="A1413" s="11"/>
      <c r="B1413" s="11">
        <v>7071014</v>
      </c>
      <c r="C1413" s="11" t="s">
        <v>1545</v>
      </c>
      <c r="D1413" s="11" t="s">
        <v>102</v>
      </c>
      <c r="E1413" t="s">
        <v>2274</v>
      </c>
    </row>
    <row r="1414" spans="1:5">
      <c r="A1414" s="11">
        <v>7071015</v>
      </c>
      <c r="B1414" s="11">
        <v>7071121</v>
      </c>
      <c r="C1414" s="11" t="s">
        <v>1546</v>
      </c>
      <c r="D1414" s="11" t="s">
        <v>102</v>
      </c>
      <c r="E1414" t="s">
        <v>2274</v>
      </c>
    </row>
    <row r="1415" spans="1:5">
      <c r="A1415" s="11"/>
      <c r="B1415" s="11">
        <v>7071016</v>
      </c>
      <c r="C1415" s="11" t="s">
        <v>1547</v>
      </c>
      <c r="D1415" s="11" t="s">
        <v>102</v>
      </c>
      <c r="E1415" t="s">
        <v>2274</v>
      </c>
    </row>
    <row r="1416" spans="1:5">
      <c r="A1416" s="11">
        <v>7071017</v>
      </c>
      <c r="B1416" s="11">
        <v>7071124</v>
      </c>
      <c r="C1416" s="11" t="s">
        <v>1548</v>
      </c>
      <c r="D1416" s="11" t="s">
        <v>102</v>
      </c>
      <c r="E1416" t="s">
        <v>2274</v>
      </c>
    </row>
    <row r="1417" spans="1:5">
      <c r="A1417" s="11"/>
      <c r="B1417" s="11">
        <v>7071018</v>
      </c>
      <c r="C1417" s="11" t="s">
        <v>1549</v>
      </c>
      <c r="D1417" s="11" t="s">
        <v>102</v>
      </c>
      <c r="E1417" t="s">
        <v>2274</v>
      </c>
    </row>
    <row r="1418" spans="1:5">
      <c r="A1418" s="11"/>
      <c r="B1418" s="11">
        <v>7071019</v>
      </c>
      <c r="C1418" s="11" t="s">
        <v>1550</v>
      </c>
      <c r="D1418" s="11" t="s">
        <v>516</v>
      </c>
      <c r="E1418" t="s">
        <v>2274</v>
      </c>
    </row>
    <row r="1419" spans="1:5">
      <c r="A1419" s="11">
        <v>7071020</v>
      </c>
      <c r="B1419" s="11">
        <v>7071062</v>
      </c>
      <c r="C1419" s="11" t="s">
        <v>1551</v>
      </c>
      <c r="D1419" s="11" t="s">
        <v>102</v>
      </c>
      <c r="E1419" t="s">
        <v>2274</v>
      </c>
    </row>
    <row r="1420" spans="1:5">
      <c r="A1420" s="11">
        <v>7071021</v>
      </c>
      <c r="B1420" s="11">
        <v>7071064</v>
      </c>
      <c r="C1420" s="11" t="s">
        <v>1552</v>
      </c>
      <c r="D1420" s="11" t="s">
        <v>163</v>
      </c>
      <c r="E1420" t="s">
        <v>2274</v>
      </c>
    </row>
    <row r="1421" spans="1:5">
      <c r="A1421" s="11"/>
      <c r="B1421" s="11">
        <v>7071022</v>
      </c>
      <c r="C1421" s="11" t="s">
        <v>1553</v>
      </c>
      <c r="D1421" s="11" t="s">
        <v>102</v>
      </c>
      <c r="E1421" t="s">
        <v>2274</v>
      </c>
    </row>
    <row r="1422" spans="1:5">
      <c r="A1422" s="11"/>
      <c r="B1422" s="11">
        <v>7071023</v>
      </c>
      <c r="C1422" s="11" t="s">
        <v>1554</v>
      </c>
      <c r="D1422" s="11" t="s">
        <v>102</v>
      </c>
      <c r="E1422" t="s">
        <v>2274</v>
      </c>
    </row>
    <row r="1423" spans="1:5">
      <c r="A1423" s="11">
        <v>7071024</v>
      </c>
      <c r="B1423" s="11">
        <v>7071069</v>
      </c>
      <c r="C1423" s="11" t="s">
        <v>1555</v>
      </c>
      <c r="D1423" s="11" t="s">
        <v>102</v>
      </c>
      <c r="E1423" t="s">
        <v>2274</v>
      </c>
    </row>
    <row r="1424" spans="1:5">
      <c r="A1424" s="11"/>
      <c r="B1424" s="11">
        <v>7071025</v>
      </c>
      <c r="C1424" s="11" t="s">
        <v>1556</v>
      </c>
      <c r="D1424" s="11" t="s">
        <v>102</v>
      </c>
      <c r="E1424" t="s">
        <v>2274</v>
      </c>
    </row>
    <row r="1425" spans="1:5">
      <c r="A1425" s="11">
        <v>7071026</v>
      </c>
      <c r="B1425" s="11">
        <v>7071086</v>
      </c>
      <c r="C1425" s="11" t="s">
        <v>1557</v>
      </c>
      <c r="D1425" s="11" t="s">
        <v>102</v>
      </c>
      <c r="E1425" t="s">
        <v>2274</v>
      </c>
    </row>
    <row r="1426" spans="1:5">
      <c r="A1426" s="11"/>
      <c r="B1426" s="11">
        <v>7071027</v>
      </c>
      <c r="C1426" s="11" t="s">
        <v>1558</v>
      </c>
      <c r="D1426" s="11" t="s">
        <v>102</v>
      </c>
      <c r="E1426" t="s">
        <v>2274</v>
      </c>
    </row>
    <row r="1427" spans="1:5">
      <c r="A1427" s="11"/>
      <c r="B1427" s="11">
        <v>7071028</v>
      </c>
      <c r="C1427" s="11" t="s">
        <v>1559</v>
      </c>
      <c r="D1427" s="11" t="s">
        <v>102</v>
      </c>
      <c r="E1427" t="s">
        <v>2274</v>
      </c>
    </row>
    <row r="1428" spans="1:5">
      <c r="A1428" s="11">
        <v>7071029</v>
      </c>
      <c r="B1428" s="11">
        <v>7071091</v>
      </c>
      <c r="C1428" s="11" t="s">
        <v>1560</v>
      </c>
      <c r="D1428" s="11" t="s">
        <v>102</v>
      </c>
      <c r="E1428" t="s">
        <v>2274</v>
      </c>
    </row>
    <row r="1429" spans="1:5">
      <c r="A1429" s="11"/>
      <c r="B1429" s="11">
        <v>7071030</v>
      </c>
      <c r="C1429" s="11" t="s">
        <v>1561</v>
      </c>
      <c r="D1429" s="11" t="s">
        <v>102</v>
      </c>
      <c r="E1429" t="s">
        <v>2274</v>
      </c>
    </row>
    <row r="1430" spans="1:5">
      <c r="A1430" s="11"/>
      <c r="B1430" s="11">
        <v>7071031</v>
      </c>
      <c r="C1430" s="11" t="s">
        <v>1562</v>
      </c>
      <c r="D1430" s="11" t="s">
        <v>102</v>
      </c>
      <c r="E1430" t="s">
        <v>2274</v>
      </c>
    </row>
    <row r="1431" spans="1:5">
      <c r="A1431" s="11">
        <v>7071032</v>
      </c>
      <c r="B1431" s="11">
        <v>7071094</v>
      </c>
      <c r="C1431" s="11" t="s">
        <v>1563</v>
      </c>
      <c r="D1431" s="11" t="s">
        <v>102</v>
      </c>
      <c r="E1431" t="s">
        <v>2274</v>
      </c>
    </row>
    <row r="1432" spans="1:5">
      <c r="A1432" s="11"/>
      <c r="B1432" s="11">
        <v>7071033</v>
      </c>
      <c r="C1432" s="11" t="s">
        <v>1564</v>
      </c>
      <c r="D1432" s="11" t="s">
        <v>102</v>
      </c>
      <c r="E1432" t="s">
        <v>2274</v>
      </c>
    </row>
    <row r="1433" spans="1:5">
      <c r="A1433" s="11"/>
      <c r="B1433" s="11">
        <v>7071034</v>
      </c>
      <c r="C1433" s="11" t="s">
        <v>1565</v>
      </c>
      <c r="D1433" s="11" t="s">
        <v>102</v>
      </c>
      <c r="E1433" t="s">
        <v>2274</v>
      </c>
    </row>
    <row r="1434" spans="1:5">
      <c r="A1434" s="11">
        <v>7071035</v>
      </c>
      <c r="B1434" s="11">
        <v>7071100</v>
      </c>
      <c r="C1434" s="11" t="s">
        <v>1566</v>
      </c>
      <c r="D1434" s="11" t="s">
        <v>102</v>
      </c>
      <c r="E1434" t="s">
        <v>2274</v>
      </c>
    </row>
    <row r="1435" spans="1:5">
      <c r="A1435" s="11"/>
      <c r="B1435" s="11">
        <v>7071036</v>
      </c>
      <c r="C1435" s="11" t="s">
        <v>1567</v>
      </c>
      <c r="D1435" s="11" t="s">
        <v>102</v>
      </c>
      <c r="E1435" t="s">
        <v>2274</v>
      </c>
    </row>
    <row r="1436" spans="1:5">
      <c r="A1436" s="11"/>
      <c r="B1436" s="11">
        <v>7071037</v>
      </c>
      <c r="C1436" s="11" t="s">
        <v>1568</v>
      </c>
      <c r="D1436" s="11" t="s">
        <v>102</v>
      </c>
      <c r="E1436" t="s">
        <v>2274</v>
      </c>
    </row>
    <row r="1437" spans="1:5">
      <c r="A1437" s="11"/>
      <c r="B1437" s="11">
        <v>7071038</v>
      </c>
      <c r="C1437" s="11" t="s">
        <v>1569</v>
      </c>
      <c r="D1437" s="11" t="s">
        <v>102</v>
      </c>
      <c r="E1437" t="s">
        <v>2274</v>
      </c>
    </row>
    <row r="1438" spans="1:5">
      <c r="A1438" s="11">
        <v>7071039</v>
      </c>
      <c r="B1438" s="11">
        <v>7071107</v>
      </c>
      <c r="C1438" s="11" t="s">
        <v>1570</v>
      </c>
      <c r="D1438" s="11" t="s">
        <v>102</v>
      </c>
      <c r="E1438" t="s">
        <v>2274</v>
      </c>
    </row>
    <row r="1439" spans="1:5">
      <c r="A1439" s="11"/>
      <c r="B1439" s="11">
        <v>7071040</v>
      </c>
      <c r="C1439" s="11" t="s">
        <v>1571</v>
      </c>
      <c r="D1439" s="11" t="s">
        <v>102</v>
      </c>
      <c r="E1439" t="s">
        <v>2274</v>
      </c>
    </row>
    <row r="1440" spans="1:5">
      <c r="A1440" s="11"/>
      <c r="B1440" s="11">
        <v>7071041</v>
      </c>
      <c r="C1440" s="11" t="s">
        <v>1572</v>
      </c>
      <c r="D1440" s="11" t="s">
        <v>102</v>
      </c>
      <c r="E1440" t="s">
        <v>2274</v>
      </c>
    </row>
    <row r="1441" spans="1:5">
      <c r="A1441" s="11"/>
      <c r="B1441" s="11">
        <v>7071042</v>
      </c>
      <c r="C1441" s="11" t="s">
        <v>1573</v>
      </c>
      <c r="D1441" s="11" t="s">
        <v>102</v>
      </c>
      <c r="E1441" t="s">
        <v>2274</v>
      </c>
    </row>
    <row r="1442" spans="1:5">
      <c r="A1442" s="11"/>
      <c r="B1442" s="11">
        <v>7071043</v>
      </c>
      <c r="C1442" s="11" t="s">
        <v>1574</v>
      </c>
      <c r="D1442" s="11" t="s">
        <v>102</v>
      </c>
      <c r="E1442" t="s">
        <v>2274</v>
      </c>
    </row>
    <row r="1443" spans="1:5">
      <c r="A1443" s="11">
        <v>7071044</v>
      </c>
      <c r="B1443" s="11">
        <v>7071112</v>
      </c>
      <c r="C1443" s="11" t="s">
        <v>1575</v>
      </c>
      <c r="D1443" s="11" t="s">
        <v>102</v>
      </c>
      <c r="E1443" t="s">
        <v>2274</v>
      </c>
    </row>
    <row r="1444" spans="1:5">
      <c r="A1444" s="11">
        <v>7071045</v>
      </c>
      <c r="B1444" s="11">
        <v>7071113</v>
      </c>
      <c r="C1444" s="11" t="s">
        <v>1576</v>
      </c>
      <c r="D1444" s="11" t="s">
        <v>102</v>
      </c>
      <c r="E1444" t="s">
        <v>2274</v>
      </c>
    </row>
    <row r="1445" spans="1:5">
      <c r="A1445" s="11">
        <v>7071046</v>
      </c>
      <c r="B1445" s="11">
        <v>7071122</v>
      </c>
      <c r="C1445" s="11" t="s">
        <v>1577</v>
      </c>
      <c r="D1445" s="11" t="s">
        <v>102</v>
      </c>
      <c r="E1445" t="s">
        <v>2274</v>
      </c>
    </row>
    <row r="1446" spans="1:5">
      <c r="A1446" s="11">
        <v>7071047</v>
      </c>
      <c r="B1446" s="11">
        <v>7071088</v>
      </c>
      <c r="C1446" s="11" t="s">
        <v>1578</v>
      </c>
      <c r="D1446" s="11" t="s">
        <v>516</v>
      </c>
      <c r="E1446" t="s">
        <v>2274</v>
      </c>
    </row>
    <row r="1447" spans="1:5">
      <c r="A1447" s="11">
        <v>7071048</v>
      </c>
      <c r="B1447" s="11">
        <v>7071118</v>
      </c>
      <c r="C1447" s="11" t="s">
        <v>1579</v>
      </c>
      <c r="D1447" s="11" t="s">
        <v>102</v>
      </c>
      <c r="E1447" t="s">
        <v>2274</v>
      </c>
    </row>
    <row r="1448" spans="1:5">
      <c r="A1448" s="11"/>
      <c r="B1448" s="11">
        <v>7071049</v>
      </c>
      <c r="C1448" s="11" t="s">
        <v>1580</v>
      </c>
      <c r="D1448" s="11" t="s">
        <v>102</v>
      </c>
      <c r="E1448" t="s">
        <v>2274</v>
      </c>
    </row>
    <row r="1449" spans="1:5">
      <c r="A1449" s="11"/>
      <c r="B1449" s="11">
        <v>7071050</v>
      </c>
      <c r="C1449" s="11" t="s">
        <v>1581</v>
      </c>
      <c r="D1449" s="11" t="s">
        <v>102</v>
      </c>
      <c r="E1449" t="s">
        <v>2274</v>
      </c>
    </row>
    <row r="1450" spans="1:5">
      <c r="A1450" s="11"/>
      <c r="B1450" s="11">
        <v>7072000</v>
      </c>
      <c r="C1450" s="11" t="s">
        <v>1582</v>
      </c>
      <c r="D1450" s="11" t="s">
        <v>102</v>
      </c>
      <c r="E1450" t="s">
        <v>2274</v>
      </c>
    </row>
    <row r="1451" spans="1:5">
      <c r="A1451" s="11">
        <v>7072001</v>
      </c>
      <c r="B1451" s="11">
        <v>7072021</v>
      </c>
      <c r="C1451" s="11" t="s">
        <v>1583</v>
      </c>
      <c r="D1451" s="11" t="s">
        <v>102</v>
      </c>
      <c r="E1451" t="s">
        <v>2274</v>
      </c>
    </row>
    <row r="1452" spans="1:5">
      <c r="A1452" s="11">
        <v>7072002</v>
      </c>
      <c r="B1452" s="11">
        <v>7072022</v>
      </c>
      <c r="C1452" s="11" t="s">
        <v>1584</v>
      </c>
      <c r="D1452" s="11" t="s">
        <v>102</v>
      </c>
      <c r="E1452" t="s">
        <v>2274</v>
      </c>
    </row>
    <row r="1453" spans="1:5">
      <c r="A1453" s="11"/>
      <c r="B1453" s="11">
        <v>7072003</v>
      </c>
      <c r="C1453" s="11" t="s">
        <v>1585</v>
      </c>
      <c r="D1453" s="11" t="s">
        <v>102</v>
      </c>
      <c r="E1453" t="s">
        <v>2274</v>
      </c>
    </row>
    <row r="1454" spans="1:5">
      <c r="A1454" s="11"/>
      <c r="B1454" s="11">
        <v>7072004</v>
      </c>
      <c r="C1454" s="11" t="s">
        <v>1586</v>
      </c>
      <c r="D1454" s="11" t="s">
        <v>516</v>
      </c>
      <c r="E1454" t="s">
        <v>2274</v>
      </c>
    </row>
    <row r="1455" spans="1:5">
      <c r="A1455" s="11"/>
      <c r="B1455" s="11">
        <v>7992171</v>
      </c>
      <c r="C1455" s="11" t="s">
        <v>1587</v>
      </c>
      <c r="D1455" s="11" t="s">
        <v>102</v>
      </c>
      <c r="E1455" t="s">
        <v>2274</v>
      </c>
    </row>
    <row r="1456" spans="1:5">
      <c r="A1456" s="11"/>
      <c r="B1456" s="11">
        <v>9090160</v>
      </c>
      <c r="C1456" s="11" t="s">
        <v>1588</v>
      </c>
      <c r="D1456" s="11" t="s">
        <v>102</v>
      </c>
      <c r="E1456" t="s">
        <v>2274</v>
      </c>
    </row>
    <row r="1457" spans="1:5">
      <c r="A1457" s="11"/>
      <c r="B1457" s="11">
        <v>9990002</v>
      </c>
      <c r="C1457" s="11" t="s">
        <v>1589</v>
      </c>
      <c r="D1457" s="11" t="s">
        <v>102</v>
      </c>
      <c r="E1457" t="s">
        <v>2275</v>
      </c>
    </row>
    <row r="1458" spans="1:5">
      <c r="A1458" s="11"/>
      <c r="B1458" s="11">
        <v>9990003</v>
      </c>
      <c r="C1458" s="11" t="s">
        <v>1590</v>
      </c>
      <c r="D1458" s="11" t="s">
        <v>102</v>
      </c>
      <c r="E1458" t="s">
        <v>2275</v>
      </c>
    </row>
    <row r="1459" spans="1:5">
      <c r="A1459" s="11"/>
      <c r="B1459" s="11">
        <v>9990006</v>
      </c>
      <c r="C1459" s="11" t="s">
        <v>1591</v>
      </c>
      <c r="D1459" s="11" t="s">
        <v>102</v>
      </c>
      <c r="E1459" t="s">
        <v>2275</v>
      </c>
    </row>
    <row r="1460" spans="1:5">
      <c r="A1460" s="11"/>
      <c r="B1460" s="11">
        <v>9990028</v>
      </c>
      <c r="C1460" s="11" t="s">
        <v>1592</v>
      </c>
      <c r="D1460" s="11" t="s">
        <v>493</v>
      </c>
      <c r="E1460" t="s">
        <v>2275</v>
      </c>
    </row>
    <row r="1461" spans="1:5">
      <c r="A1461" s="11"/>
      <c r="B1461" s="11">
        <v>9990029</v>
      </c>
      <c r="C1461" s="11" t="s">
        <v>1593</v>
      </c>
      <c r="D1461" s="11" t="s">
        <v>872</v>
      </c>
      <c r="E1461" t="s">
        <v>2275</v>
      </c>
    </row>
    <row r="1462" spans="1:5">
      <c r="A1462" s="11"/>
      <c r="B1462" s="11">
        <v>9990030</v>
      </c>
      <c r="C1462" s="11" t="s">
        <v>1594</v>
      </c>
      <c r="D1462" s="11" t="s">
        <v>1595</v>
      </c>
      <c r="E1462" t="s">
        <v>2275</v>
      </c>
    </row>
    <row r="1463" spans="1:5">
      <c r="A1463" s="11"/>
      <c r="B1463" s="11">
        <v>9990031</v>
      </c>
      <c r="C1463" s="11" t="s">
        <v>1596</v>
      </c>
      <c r="D1463" s="11" t="s">
        <v>872</v>
      </c>
      <c r="E1463" t="s">
        <v>2275</v>
      </c>
    </row>
    <row r="1464" spans="1:5">
      <c r="A1464" s="11"/>
      <c r="B1464" s="11">
        <v>9990032</v>
      </c>
      <c r="C1464" s="11" t="s">
        <v>1597</v>
      </c>
      <c r="D1464" s="11" t="s">
        <v>493</v>
      </c>
      <c r="E1464" t="s">
        <v>2275</v>
      </c>
    </row>
    <row r="1465" spans="1:5">
      <c r="A1465" s="11"/>
      <c r="B1465" s="11">
        <v>9990035</v>
      </c>
      <c r="C1465" s="11" t="s">
        <v>1598</v>
      </c>
      <c r="D1465" s="11" t="s">
        <v>872</v>
      </c>
      <c r="E1465" t="s">
        <v>2275</v>
      </c>
    </row>
    <row r="1466" spans="1:5">
      <c r="A1466" s="11"/>
      <c r="B1466" s="11">
        <v>9990036</v>
      </c>
      <c r="C1466" s="11" t="s">
        <v>1599</v>
      </c>
      <c r="D1466" s="11" t="s">
        <v>872</v>
      </c>
      <c r="E1466" t="s">
        <v>2275</v>
      </c>
    </row>
    <row r="1467" spans="1:5">
      <c r="A1467" s="11"/>
      <c r="B1467" s="11">
        <v>9990037</v>
      </c>
      <c r="C1467" s="11" t="s">
        <v>1600</v>
      </c>
      <c r="D1467" s="11" t="s">
        <v>872</v>
      </c>
      <c r="E1467" t="s">
        <v>2275</v>
      </c>
    </row>
    <row r="1468" spans="1:5">
      <c r="A1468" s="11"/>
      <c r="B1468" s="11">
        <v>9990038</v>
      </c>
      <c r="C1468" s="11" t="s">
        <v>1601</v>
      </c>
      <c r="D1468" s="11" t="s">
        <v>872</v>
      </c>
      <c r="E1468" t="s">
        <v>2275</v>
      </c>
    </row>
    <row r="1469" spans="1:5">
      <c r="A1469" s="11"/>
      <c r="B1469" s="11">
        <v>9990040</v>
      </c>
      <c r="C1469" s="11" t="s">
        <v>1602</v>
      </c>
      <c r="D1469" s="11" t="s">
        <v>872</v>
      </c>
      <c r="E1469" t="s">
        <v>2275</v>
      </c>
    </row>
    <row r="1470" spans="1:5">
      <c r="A1470" s="11"/>
      <c r="B1470" s="11">
        <v>9990042</v>
      </c>
      <c r="C1470" s="11" t="s">
        <v>1603</v>
      </c>
      <c r="D1470" s="11" t="s">
        <v>872</v>
      </c>
      <c r="E1470" t="s">
        <v>2275</v>
      </c>
    </row>
    <row r="1471" spans="1:5">
      <c r="A1471" s="11"/>
      <c r="B1471" s="11">
        <v>9990043</v>
      </c>
      <c r="C1471" s="11" t="s">
        <v>1604</v>
      </c>
      <c r="D1471" s="11" t="s">
        <v>872</v>
      </c>
      <c r="E1471" t="s">
        <v>2275</v>
      </c>
    </row>
    <row r="1472" spans="1:5">
      <c r="A1472" s="11"/>
      <c r="B1472" s="11">
        <v>9990044</v>
      </c>
      <c r="C1472" s="11" t="s">
        <v>1605</v>
      </c>
      <c r="D1472" s="11" t="s">
        <v>872</v>
      </c>
      <c r="E1472" t="s">
        <v>2275</v>
      </c>
    </row>
    <row r="1473" spans="1:5">
      <c r="A1473" s="11"/>
      <c r="B1473" s="11">
        <v>9990075</v>
      </c>
      <c r="C1473" s="11" t="s">
        <v>1606</v>
      </c>
      <c r="D1473" s="11" t="s">
        <v>102</v>
      </c>
      <c r="E1473" t="s">
        <v>2275</v>
      </c>
    </row>
    <row r="1474" spans="1:5">
      <c r="A1474" s="11"/>
      <c r="B1474" s="11">
        <v>9990076</v>
      </c>
      <c r="C1474" s="11" t="s">
        <v>1607</v>
      </c>
      <c r="D1474" s="11" t="s">
        <v>102</v>
      </c>
      <c r="E1474" t="s">
        <v>2275</v>
      </c>
    </row>
    <row r="1475" spans="1:5">
      <c r="A1475" s="11"/>
      <c r="B1475" s="11">
        <v>9990084</v>
      </c>
      <c r="C1475" s="11" t="s">
        <v>1608</v>
      </c>
      <c r="D1475" s="11" t="s">
        <v>102</v>
      </c>
      <c r="E1475" t="s">
        <v>2275</v>
      </c>
    </row>
    <row r="1476" spans="1:5">
      <c r="A1476" s="11"/>
      <c r="B1476" s="11">
        <v>9990087</v>
      </c>
      <c r="C1476" s="11" t="s">
        <v>1609</v>
      </c>
      <c r="D1476" s="11" t="s">
        <v>102</v>
      </c>
      <c r="E1476" t="s">
        <v>2275</v>
      </c>
    </row>
    <row r="1477" spans="1:5">
      <c r="A1477" s="11"/>
      <c r="B1477" s="11">
        <v>9990089</v>
      </c>
      <c r="C1477" s="11" t="s">
        <v>1610</v>
      </c>
      <c r="D1477" s="11" t="s">
        <v>102</v>
      </c>
      <c r="E1477" t="s">
        <v>2275</v>
      </c>
    </row>
    <row r="1478" spans="1:5">
      <c r="A1478" s="11"/>
      <c r="B1478" s="11">
        <v>9990095</v>
      </c>
      <c r="C1478" s="11" t="s">
        <v>1611</v>
      </c>
      <c r="D1478" s="11" t="s">
        <v>872</v>
      </c>
      <c r="E1478" t="s">
        <v>2275</v>
      </c>
    </row>
    <row r="1479" spans="1:5">
      <c r="A1479" s="11"/>
      <c r="B1479" s="11">
        <v>9990100</v>
      </c>
      <c r="C1479" s="11" t="s">
        <v>1612</v>
      </c>
      <c r="D1479" s="11" t="s">
        <v>872</v>
      </c>
      <c r="E1479" t="s">
        <v>2275</v>
      </c>
    </row>
    <row r="1480" spans="1:5">
      <c r="A1480" s="11"/>
      <c r="B1480" s="11">
        <v>9990105</v>
      </c>
      <c r="C1480" s="11" t="s">
        <v>1613</v>
      </c>
      <c r="D1480" s="11" t="s">
        <v>872</v>
      </c>
      <c r="E1480" t="s">
        <v>2275</v>
      </c>
    </row>
    <row r="1481" spans="1:5">
      <c r="A1481" s="11"/>
      <c r="B1481" s="11">
        <v>9990106</v>
      </c>
      <c r="C1481" s="11" t="s">
        <v>1614</v>
      </c>
      <c r="D1481" s="11" t="s">
        <v>872</v>
      </c>
      <c r="E1481" t="s">
        <v>2275</v>
      </c>
    </row>
    <row r="1482" spans="1:5">
      <c r="A1482" s="11"/>
      <c r="B1482" s="11">
        <v>9990107</v>
      </c>
      <c r="C1482" s="11" t="s">
        <v>1615</v>
      </c>
      <c r="D1482" s="11" t="s">
        <v>872</v>
      </c>
      <c r="E1482" t="s">
        <v>2275</v>
      </c>
    </row>
    <row r="1483" spans="1:5">
      <c r="A1483" s="11"/>
      <c r="B1483" s="11">
        <v>9990108</v>
      </c>
      <c r="C1483" s="11" t="s">
        <v>1616</v>
      </c>
      <c r="D1483" s="11" t="s">
        <v>543</v>
      </c>
      <c r="E1483" t="s">
        <v>2275</v>
      </c>
    </row>
    <row r="1484" spans="1:5">
      <c r="A1484" s="11"/>
      <c r="B1484" s="11">
        <v>9990121</v>
      </c>
      <c r="C1484" s="11" t="s">
        <v>1617</v>
      </c>
      <c r="D1484" s="11" t="s">
        <v>102</v>
      </c>
      <c r="E1484" t="s">
        <v>2275</v>
      </c>
    </row>
    <row r="1485" spans="1:5">
      <c r="A1485" s="11"/>
      <c r="B1485" s="11">
        <v>9990127</v>
      </c>
      <c r="C1485" s="11" t="s">
        <v>1618</v>
      </c>
      <c r="D1485" s="11" t="s">
        <v>493</v>
      </c>
      <c r="E1485" t="s">
        <v>2275</v>
      </c>
    </row>
    <row r="1486" spans="1:5">
      <c r="A1486" s="11"/>
      <c r="B1486" s="11">
        <v>9990141</v>
      </c>
      <c r="C1486" s="11" t="s">
        <v>1619</v>
      </c>
      <c r="D1486" s="11" t="s">
        <v>1620</v>
      </c>
      <c r="E1486" t="s">
        <v>2275</v>
      </c>
    </row>
    <row r="1487" spans="1:5">
      <c r="A1487" s="11"/>
      <c r="B1487" s="11">
        <v>9990149</v>
      </c>
      <c r="C1487" s="11" t="s">
        <v>1621</v>
      </c>
      <c r="D1487" s="11" t="s">
        <v>1620</v>
      </c>
      <c r="E1487" t="s">
        <v>2275</v>
      </c>
    </row>
    <row r="1488" spans="1:5">
      <c r="A1488" s="11"/>
      <c r="B1488" s="11">
        <v>9990158</v>
      </c>
      <c r="C1488" s="11" t="s">
        <v>1622</v>
      </c>
      <c r="D1488" s="11" t="s">
        <v>872</v>
      </c>
      <c r="E1488" t="s">
        <v>2275</v>
      </c>
    </row>
    <row r="1489" spans="1:5">
      <c r="A1489" s="11"/>
      <c r="B1489" s="11">
        <v>9990159</v>
      </c>
      <c r="C1489" s="11" t="s">
        <v>1623</v>
      </c>
      <c r="D1489" s="11" t="s">
        <v>872</v>
      </c>
      <c r="E1489" t="s">
        <v>2275</v>
      </c>
    </row>
    <row r="1490" spans="1:5">
      <c r="A1490" s="11"/>
      <c r="B1490" s="11">
        <v>9990160</v>
      </c>
      <c r="C1490" s="11" t="s">
        <v>1624</v>
      </c>
      <c r="D1490" s="11" t="s">
        <v>872</v>
      </c>
      <c r="E1490" t="s">
        <v>2275</v>
      </c>
    </row>
    <row r="1491" spans="1:5">
      <c r="A1491" s="11"/>
      <c r="B1491" s="11">
        <v>9990178</v>
      </c>
      <c r="C1491" s="11" t="s">
        <v>1625</v>
      </c>
      <c r="D1491" s="11" t="s">
        <v>102</v>
      </c>
      <c r="E1491" t="s">
        <v>2275</v>
      </c>
    </row>
    <row r="1492" spans="1:5">
      <c r="A1492" s="11"/>
      <c r="B1492" s="11">
        <v>9990190</v>
      </c>
      <c r="C1492" s="11" t="s">
        <v>1626</v>
      </c>
      <c r="D1492" s="11" t="s">
        <v>1125</v>
      </c>
      <c r="E1492" t="s">
        <v>2275</v>
      </c>
    </row>
    <row r="1493" spans="1:5">
      <c r="A1493" s="11"/>
      <c r="B1493" s="11">
        <v>9990205</v>
      </c>
      <c r="C1493" s="11" t="s">
        <v>1627</v>
      </c>
      <c r="D1493" s="11" t="s">
        <v>523</v>
      </c>
      <c r="E1493" t="s">
        <v>2275</v>
      </c>
    </row>
    <row r="1494" spans="1:5">
      <c r="A1494" s="11"/>
      <c r="B1494" s="11">
        <v>9990227</v>
      </c>
      <c r="C1494" s="11" t="s">
        <v>1628</v>
      </c>
      <c r="D1494" s="11" t="s">
        <v>102</v>
      </c>
      <c r="E1494" t="s">
        <v>2275</v>
      </c>
    </row>
    <row r="1495" spans="1:5">
      <c r="A1495" s="11"/>
      <c r="B1495" s="11">
        <v>9990232</v>
      </c>
      <c r="C1495" s="11" t="s">
        <v>1629</v>
      </c>
      <c r="D1495" s="11" t="s">
        <v>872</v>
      </c>
      <c r="E1495" t="s">
        <v>2275</v>
      </c>
    </row>
    <row r="1496" spans="1:5">
      <c r="A1496" s="11"/>
      <c r="B1496" s="11">
        <v>9990238</v>
      </c>
      <c r="C1496" s="11" t="s">
        <v>1630</v>
      </c>
      <c r="D1496" s="11" t="s">
        <v>102</v>
      </c>
      <c r="E1496" t="s">
        <v>2275</v>
      </c>
    </row>
    <row r="1497" spans="1:5">
      <c r="A1497" s="11"/>
      <c r="B1497" s="11">
        <v>9990240</v>
      </c>
      <c r="C1497" s="11" t="s">
        <v>1631</v>
      </c>
      <c r="D1497" s="11" t="s">
        <v>872</v>
      </c>
      <c r="E1497" t="s">
        <v>2275</v>
      </c>
    </row>
    <row r="1498" spans="1:5">
      <c r="A1498" s="11"/>
      <c r="B1498" s="11">
        <v>9990252</v>
      </c>
      <c r="C1498" s="11" t="s">
        <v>1632</v>
      </c>
      <c r="D1498" s="11" t="s">
        <v>102</v>
      </c>
      <c r="E1498" t="s">
        <v>2275</v>
      </c>
    </row>
    <row r="1499" spans="1:5">
      <c r="A1499" s="11"/>
      <c r="B1499" s="11">
        <v>9990254</v>
      </c>
      <c r="C1499" s="11" t="s">
        <v>1633</v>
      </c>
      <c r="D1499" s="11" t="s">
        <v>974</v>
      </c>
      <c r="E1499" t="s">
        <v>2275</v>
      </c>
    </row>
    <row r="1500" spans="1:5">
      <c r="A1500" s="11"/>
      <c r="B1500" s="11">
        <v>9990266</v>
      </c>
      <c r="C1500" s="11" t="s">
        <v>1634</v>
      </c>
      <c r="D1500" s="11" t="s">
        <v>102</v>
      </c>
      <c r="E1500" t="s">
        <v>2275</v>
      </c>
    </row>
    <row r="1501" spans="1:5">
      <c r="A1501" s="11"/>
      <c r="B1501" s="11">
        <v>90202110</v>
      </c>
      <c r="C1501" s="11" t="s">
        <v>2303</v>
      </c>
      <c r="D1501" s="11" t="s">
        <v>102</v>
      </c>
      <c r="E1501" t="s">
        <v>2275</v>
      </c>
    </row>
    <row r="1502" spans="1:5">
      <c r="A1502" s="11"/>
      <c r="B1502" s="11">
        <v>9990278</v>
      </c>
      <c r="C1502" s="11" t="s">
        <v>1635</v>
      </c>
      <c r="D1502" s="11" t="s">
        <v>102</v>
      </c>
      <c r="E1502" t="s">
        <v>2275</v>
      </c>
    </row>
    <row r="1503" spans="1:5">
      <c r="A1503" s="11"/>
      <c r="B1503" s="11">
        <v>9990284</v>
      </c>
      <c r="C1503" s="11" t="s">
        <v>1636</v>
      </c>
      <c r="D1503" s="11" t="s">
        <v>1637</v>
      </c>
      <c r="E1503" t="s">
        <v>2275</v>
      </c>
    </row>
    <row r="1504" spans="1:5">
      <c r="A1504" s="11"/>
      <c r="B1504" s="11">
        <v>90101013</v>
      </c>
      <c r="C1504" s="11" t="s">
        <v>1638</v>
      </c>
      <c r="D1504" s="11" t="s">
        <v>1620</v>
      </c>
      <c r="E1504" t="s">
        <v>2275</v>
      </c>
    </row>
    <row r="1505" spans="1:5">
      <c r="A1505" s="11"/>
      <c r="B1505" s="11">
        <v>90102000</v>
      </c>
      <c r="C1505" s="11" t="s">
        <v>1639</v>
      </c>
      <c r="D1505" s="11" t="s">
        <v>102</v>
      </c>
      <c r="E1505" t="s">
        <v>2275</v>
      </c>
    </row>
    <row r="1506" spans="1:5">
      <c r="A1506" s="11"/>
      <c r="B1506" s="11">
        <v>90102001</v>
      </c>
      <c r="C1506" s="11" t="s">
        <v>1640</v>
      </c>
      <c r="D1506" s="11" t="s">
        <v>102</v>
      </c>
      <c r="E1506" t="s">
        <v>2275</v>
      </c>
    </row>
    <row r="1507" spans="1:5">
      <c r="A1507" s="11"/>
      <c r="B1507" s="11">
        <v>90102002</v>
      </c>
      <c r="C1507" s="11" t="s">
        <v>1641</v>
      </c>
      <c r="D1507" s="11" t="s">
        <v>102</v>
      </c>
      <c r="E1507" t="s">
        <v>2275</v>
      </c>
    </row>
    <row r="1508" spans="1:5">
      <c r="A1508" s="11"/>
      <c r="B1508" s="11">
        <v>90102004</v>
      </c>
      <c r="C1508" s="11" t="s">
        <v>1642</v>
      </c>
      <c r="D1508" s="11" t="s">
        <v>102</v>
      </c>
      <c r="E1508" t="s">
        <v>2275</v>
      </c>
    </row>
    <row r="1509" spans="1:5">
      <c r="A1509" s="11"/>
      <c r="B1509" s="11">
        <v>90102005</v>
      </c>
      <c r="C1509" s="11" t="s">
        <v>1643</v>
      </c>
      <c r="D1509" s="11" t="s">
        <v>102</v>
      </c>
      <c r="E1509" t="s">
        <v>2275</v>
      </c>
    </row>
    <row r="1510" spans="1:5">
      <c r="A1510" s="11"/>
      <c r="B1510" s="11">
        <v>90102008</v>
      </c>
      <c r="C1510" s="11" t="s">
        <v>1644</v>
      </c>
      <c r="D1510" s="11" t="s">
        <v>872</v>
      </c>
      <c r="E1510" t="s">
        <v>2275</v>
      </c>
    </row>
    <row r="1511" spans="1:5">
      <c r="A1511" s="11"/>
      <c r="B1511" s="11">
        <v>90102009</v>
      </c>
      <c r="C1511" s="11" t="s">
        <v>1645</v>
      </c>
      <c r="D1511" s="11" t="s">
        <v>872</v>
      </c>
      <c r="E1511" t="s">
        <v>2275</v>
      </c>
    </row>
    <row r="1512" spans="1:5">
      <c r="A1512" s="11"/>
      <c r="B1512" s="11">
        <v>90102011</v>
      </c>
      <c r="C1512" s="11" t="s">
        <v>1646</v>
      </c>
      <c r="D1512" s="11" t="s">
        <v>102</v>
      </c>
      <c r="E1512" t="s">
        <v>2275</v>
      </c>
    </row>
    <row r="1513" spans="1:5">
      <c r="A1513" s="11"/>
      <c r="B1513" s="11">
        <v>90103001</v>
      </c>
      <c r="C1513" s="11" t="s">
        <v>1647</v>
      </c>
      <c r="D1513" s="11" t="s">
        <v>872</v>
      </c>
      <c r="E1513" t="s">
        <v>2275</v>
      </c>
    </row>
    <row r="1514" spans="1:5">
      <c r="A1514" s="11"/>
      <c r="B1514" s="11">
        <v>90103002</v>
      </c>
      <c r="C1514" s="11" t="s">
        <v>1648</v>
      </c>
      <c r="D1514" s="11" t="s">
        <v>872</v>
      </c>
      <c r="E1514" t="s">
        <v>2275</v>
      </c>
    </row>
    <row r="1515" spans="1:5">
      <c r="A1515" s="11"/>
      <c r="B1515" s="11">
        <v>90103003</v>
      </c>
      <c r="C1515" s="11" t="s">
        <v>1649</v>
      </c>
      <c r="D1515" s="11" t="s">
        <v>872</v>
      </c>
      <c r="E1515" t="s">
        <v>2275</v>
      </c>
    </row>
    <row r="1516" spans="1:5">
      <c r="A1516" s="11"/>
      <c r="B1516" s="11">
        <v>90103004</v>
      </c>
      <c r="C1516" s="11" t="s">
        <v>1650</v>
      </c>
      <c r="D1516" s="11" t="s">
        <v>102</v>
      </c>
      <c r="E1516" t="s">
        <v>2275</v>
      </c>
    </row>
    <row r="1517" spans="1:5">
      <c r="A1517" s="11"/>
      <c r="B1517" s="11">
        <v>90103007</v>
      </c>
      <c r="C1517" s="11" t="s">
        <v>1651</v>
      </c>
      <c r="D1517" s="11" t="s">
        <v>872</v>
      </c>
      <c r="E1517" t="s">
        <v>2275</v>
      </c>
    </row>
    <row r="1518" spans="1:5">
      <c r="A1518" s="11"/>
      <c r="B1518" s="11">
        <v>90103008</v>
      </c>
      <c r="C1518" s="11" t="s">
        <v>1652</v>
      </c>
      <c r="D1518" s="11" t="s">
        <v>872</v>
      </c>
      <c r="E1518" t="s">
        <v>2275</v>
      </c>
    </row>
    <row r="1519" spans="1:5">
      <c r="A1519" s="11"/>
      <c r="B1519" s="11">
        <v>90103009</v>
      </c>
      <c r="C1519" s="11" t="s">
        <v>1653</v>
      </c>
      <c r="D1519" s="11" t="s">
        <v>102</v>
      </c>
      <c r="E1519" t="s">
        <v>2275</v>
      </c>
    </row>
    <row r="1520" spans="1:5">
      <c r="A1520" s="11"/>
      <c r="B1520" s="11">
        <v>90103010</v>
      </c>
      <c r="C1520" s="11" t="s">
        <v>1654</v>
      </c>
      <c r="D1520" s="11" t="s">
        <v>872</v>
      </c>
      <c r="E1520" t="s">
        <v>2275</v>
      </c>
    </row>
    <row r="1521" spans="1:5">
      <c r="A1521" s="11"/>
      <c r="B1521" s="11">
        <v>90103012</v>
      </c>
      <c r="C1521" s="11" t="s">
        <v>1655</v>
      </c>
      <c r="D1521" s="11" t="s">
        <v>872</v>
      </c>
      <c r="E1521" t="s">
        <v>2275</v>
      </c>
    </row>
    <row r="1522" spans="1:5">
      <c r="A1522" s="11"/>
      <c r="B1522" s="11">
        <v>90103013</v>
      </c>
      <c r="C1522" s="11" t="s">
        <v>1656</v>
      </c>
      <c r="D1522" s="11" t="s">
        <v>872</v>
      </c>
      <c r="E1522" t="s">
        <v>2275</v>
      </c>
    </row>
    <row r="1523" spans="1:5">
      <c r="A1523" s="11"/>
      <c r="B1523" s="11">
        <v>90103014</v>
      </c>
      <c r="C1523" s="11" t="s">
        <v>1657</v>
      </c>
      <c r="D1523" s="11" t="s">
        <v>872</v>
      </c>
      <c r="E1523" t="s">
        <v>2275</v>
      </c>
    </row>
    <row r="1524" spans="1:5">
      <c r="A1524" s="11"/>
      <c r="B1524" s="11">
        <v>90103018</v>
      </c>
      <c r="C1524" s="11" t="s">
        <v>1658</v>
      </c>
      <c r="D1524" s="11" t="s">
        <v>102</v>
      </c>
      <c r="E1524" t="s">
        <v>2275</v>
      </c>
    </row>
    <row r="1525" spans="1:5">
      <c r="A1525" s="11"/>
      <c r="B1525" s="11">
        <v>90103026</v>
      </c>
      <c r="C1525" s="11" t="s">
        <v>1659</v>
      </c>
      <c r="D1525" s="11" t="s">
        <v>488</v>
      </c>
      <c r="E1525" t="s">
        <v>2275</v>
      </c>
    </row>
    <row r="1526" spans="1:5">
      <c r="A1526" s="11"/>
      <c r="B1526" s="11">
        <v>90103027</v>
      </c>
      <c r="C1526" s="11" t="s">
        <v>1660</v>
      </c>
      <c r="D1526" s="11" t="s">
        <v>872</v>
      </c>
      <c r="E1526" t="s">
        <v>2275</v>
      </c>
    </row>
    <row r="1527" spans="1:5">
      <c r="A1527" s="11"/>
      <c r="B1527" s="11">
        <v>90103029</v>
      </c>
      <c r="C1527" s="11" t="s">
        <v>1661</v>
      </c>
      <c r="D1527" s="11" t="s">
        <v>872</v>
      </c>
      <c r="E1527" t="s">
        <v>2275</v>
      </c>
    </row>
    <row r="1528" spans="1:5">
      <c r="A1528" s="11"/>
      <c r="B1528" s="11">
        <v>90103030</v>
      </c>
      <c r="C1528" s="11" t="s">
        <v>1662</v>
      </c>
      <c r="D1528" s="11" t="s">
        <v>872</v>
      </c>
      <c r="E1528" t="s">
        <v>2275</v>
      </c>
    </row>
    <row r="1529" spans="1:5">
      <c r="A1529" s="11"/>
      <c r="B1529" s="11">
        <v>90103031</v>
      </c>
      <c r="C1529" s="11" t="s">
        <v>1663</v>
      </c>
      <c r="D1529" s="11" t="s">
        <v>872</v>
      </c>
      <c r="E1529" t="s">
        <v>2275</v>
      </c>
    </row>
    <row r="1530" spans="1:5">
      <c r="A1530" s="11"/>
      <c r="B1530" s="11">
        <v>90103032</v>
      </c>
      <c r="C1530" s="11" t="s">
        <v>1664</v>
      </c>
      <c r="D1530" s="11" t="s">
        <v>872</v>
      </c>
      <c r="E1530" t="s">
        <v>2275</v>
      </c>
    </row>
    <row r="1531" spans="1:5">
      <c r="A1531" s="11"/>
      <c r="B1531" s="11">
        <v>90103034</v>
      </c>
      <c r="C1531" s="11" t="s">
        <v>1665</v>
      </c>
      <c r="D1531" s="11" t="s">
        <v>872</v>
      </c>
      <c r="E1531" t="s">
        <v>2275</v>
      </c>
    </row>
    <row r="1532" spans="1:5">
      <c r="A1532" s="11"/>
      <c r="B1532" s="11">
        <v>90103035</v>
      </c>
      <c r="C1532" s="11" t="s">
        <v>1666</v>
      </c>
      <c r="D1532" s="11" t="s">
        <v>102</v>
      </c>
      <c r="E1532" t="s">
        <v>2275</v>
      </c>
    </row>
    <row r="1533" spans="1:5">
      <c r="A1533" s="11"/>
      <c r="B1533" s="11">
        <v>90103036</v>
      </c>
      <c r="C1533" s="11" t="s">
        <v>1667</v>
      </c>
      <c r="D1533" s="11" t="s">
        <v>872</v>
      </c>
      <c r="E1533" t="s">
        <v>2275</v>
      </c>
    </row>
    <row r="1534" spans="1:5">
      <c r="A1534" s="11"/>
      <c r="B1534" s="11">
        <v>90103038</v>
      </c>
      <c r="C1534" s="11" t="s">
        <v>1668</v>
      </c>
      <c r="D1534" s="11" t="s">
        <v>872</v>
      </c>
      <c r="E1534" t="s">
        <v>2275</v>
      </c>
    </row>
    <row r="1535" spans="1:5">
      <c r="A1535" s="11"/>
      <c r="B1535" s="11">
        <v>90103040</v>
      </c>
      <c r="C1535" s="11" t="s">
        <v>1669</v>
      </c>
      <c r="D1535" s="11" t="s">
        <v>488</v>
      </c>
      <c r="E1535" t="s">
        <v>2275</v>
      </c>
    </row>
    <row r="1536" spans="1:5">
      <c r="A1536" s="11"/>
      <c r="B1536" s="11">
        <v>90103041</v>
      </c>
      <c r="C1536" s="11" t="s">
        <v>1670</v>
      </c>
      <c r="D1536" s="11" t="s">
        <v>493</v>
      </c>
      <c r="E1536" t="s">
        <v>2275</v>
      </c>
    </row>
    <row r="1537" spans="1:5">
      <c r="A1537" s="11"/>
      <c r="B1537" s="11">
        <v>90103050</v>
      </c>
      <c r="C1537" s="11" t="s">
        <v>1671</v>
      </c>
      <c r="D1537" s="11" t="s">
        <v>872</v>
      </c>
      <c r="E1537" t="s">
        <v>2275</v>
      </c>
    </row>
    <row r="1538" spans="1:5">
      <c r="A1538" s="11"/>
      <c r="B1538" s="11">
        <v>90103051</v>
      </c>
      <c r="C1538" s="11" t="s">
        <v>1672</v>
      </c>
      <c r="D1538" s="11" t="s">
        <v>872</v>
      </c>
      <c r="E1538" t="s">
        <v>2275</v>
      </c>
    </row>
    <row r="1539" spans="1:5">
      <c r="A1539" s="11"/>
      <c r="B1539" s="11">
        <v>90103052</v>
      </c>
      <c r="C1539" s="11" t="s">
        <v>1673</v>
      </c>
      <c r="D1539" s="11" t="s">
        <v>872</v>
      </c>
      <c r="E1539" t="s">
        <v>2275</v>
      </c>
    </row>
    <row r="1540" spans="1:5">
      <c r="A1540" s="11"/>
      <c r="B1540" s="11">
        <v>90103053</v>
      </c>
      <c r="C1540" s="11" t="s">
        <v>1674</v>
      </c>
      <c r="D1540" s="11" t="s">
        <v>872</v>
      </c>
      <c r="E1540" t="s">
        <v>2275</v>
      </c>
    </row>
    <row r="1541" spans="1:5">
      <c r="A1541" s="11"/>
      <c r="B1541" s="11">
        <v>90103056</v>
      </c>
      <c r="C1541" s="11" t="s">
        <v>1675</v>
      </c>
      <c r="D1541" s="11" t="s">
        <v>872</v>
      </c>
      <c r="E1541" t="s">
        <v>2275</v>
      </c>
    </row>
    <row r="1542" spans="1:5">
      <c r="A1542" s="11"/>
      <c r="B1542" s="11">
        <v>90103065</v>
      </c>
      <c r="C1542" s="11" t="s">
        <v>1676</v>
      </c>
      <c r="D1542" s="11" t="s">
        <v>488</v>
      </c>
      <c r="E1542" t="s">
        <v>2275</v>
      </c>
    </row>
    <row r="1543" spans="1:5">
      <c r="A1543" s="11"/>
      <c r="B1543" s="11">
        <v>90103066</v>
      </c>
      <c r="C1543" s="11" t="s">
        <v>1677</v>
      </c>
      <c r="D1543" s="11" t="s">
        <v>488</v>
      </c>
      <c r="E1543" t="s">
        <v>2275</v>
      </c>
    </row>
    <row r="1544" spans="1:5">
      <c r="A1544" s="11"/>
      <c r="B1544" s="11">
        <v>90104000</v>
      </c>
      <c r="C1544" s="11" t="s">
        <v>1678</v>
      </c>
      <c r="D1544" s="11" t="s">
        <v>543</v>
      </c>
      <c r="E1544" t="s">
        <v>2275</v>
      </c>
    </row>
    <row r="1545" spans="1:5">
      <c r="A1545" s="11"/>
      <c r="B1545" s="11">
        <v>90104002</v>
      </c>
      <c r="C1545" s="11" t="s">
        <v>1679</v>
      </c>
      <c r="D1545" s="11" t="s">
        <v>872</v>
      </c>
      <c r="E1545" t="s">
        <v>2275</v>
      </c>
    </row>
    <row r="1546" spans="1:5">
      <c r="A1546" s="11"/>
      <c r="B1546" s="11">
        <v>90104003</v>
      </c>
      <c r="C1546" s="11" t="s">
        <v>1680</v>
      </c>
      <c r="D1546" s="11" t="s">
        <v>102</v>
      </c>
      <c r="E1546" t="s">
        <v>2275</v>
      </c>
    </row>
    <row r="1547" spans="1:5">
      <c r="A1547" s="11"/>
      <c r="B1547" s="11">
        <v>90104007</v>
      </c>
      <c r="C1547" s="11" t="s">
        <v>1681</v>
      </c>
      <c r="D1547" s="11" t="s">
        <v>201</v>
      </c>
      <c r="E1547" t="s">
        <v>2275</v>
      </c>
    </row>
    <row r="1548" spans="1:5">
      <c r="A1548" s="11"/>
      <c r="B1548" s="11">
        <v>90104008</v>
      </c>
      <c r="C1548" s="11" t="s">
        <v>1682</v>
      </c>
      <c r="D1548" s="11" t="s">
        <v>1125</v>
      </c>
      <c r="E1548" t="s">
        <v>2275</v>
      </c>
    </row>
    <row r="1549" spans="1:5">
      <c r="A1549" s="11"/>
      <c r="B1549" s="11">
        <v>90104014</v>
      </c>
      <c r="C1549" s="11" t="s">
        <v>1683</v>
      </c>
      <c r="D1549" s="11" t="s">
        <v>201</v>
      </c>
      <c r="E1549" t="s">
        <v>2275</v>
      </c>
    </row>
    <row r="1550" spans="1:5">
      <c r="A1550" s="11"/>
      <c r="B1550" s="11">
        <v>90105000</v>
      </c>
      <c r="C1550" s="11" t="s">
        <v>1684</v>
      </c>
      <c r="D1550" s="11" t="s">
        <v>102</v>
      </c>
      <c r="E1550" t="s">
        <v>2275</v>
      </c>
    </row>
    <row r="1551" spans="1:5">
      <c r="A1551" s="11"/>
      <c r="B1551" s="11">
        <v>90105001</v>
      </c>
      <c r="C1551" s="11" t="s">
        <v>1685</v>
      </c>
      <c r="D1551" s="11" t="s">
        <v>199</v>
      </c>
      <c r="E1551" t="s">
        <v>2275</v>
      </c>
    </row>
    <row r="1552" spans="1:5">
      <c r="A1552" s="11"/>
      <c r="B1552" s="11">
        <v>90105002</v>
      </c>
      <c r="C1552" s="11" t="s">
        <v>1686</v>
      </c>
      <c r="D1552" s="11" t="s">
        <v>199</v>
      </c>
      <c r="E1552" t="s">
        <v>2275</v>
      </c>
    </row>
    <row r="1553" spans="1:5">
      <c r="A1553" s="11"/>
      <c r="B1553" s="11">
        <v>90105003</v>
      </c>
      <c r="C1553" s="11" t="s">
        <v>1687</v>
      </c>
      <c r="D1553" s="11" t="s">
        <v>199</v>
      </c>
      <c r="E1553" t="s">
        <v>2275</v>
      </c>
    </row>
    <row r="1554" spans="1:5">
      <c r="A1554" s="11"/>
      <c r="B1554" s="11">
        <v>90105004</v>
      </c>
      <c r="C1554" s="11" t="s">
        <v>1688</v>
      </c>
      <c r="D1554" s="11" t="s">
        <v>199</v>
      </c>
      <c r="E1554" t="s">
        <v>2275</v>
      </c>
    </row>
    <row r="1555" spans="1:5">
      <c r="A1555" s="11"/>
      <c r="B1555" s="11">
        <v>90105007</v>
      </c>
      <c r="C1555" s="11" t="s">
        <v>1689</v>
      </c>
      <c r="D1555" s="11" t="s">
        <v>1690</v>
      </c>
      <c r="E1555" t="s">
        <v>2275</v>
      </c>
    </row>
    <row r="1556" spans="1:5">
      <c r="A1556" s="11"/>
      <c r="B1556" s="11">
        <v>90105013</v>
      </c>
      <c r="C1556" s="11" t="s">
        <v>1691</v>
      </c>
      <c r="D1556" s="11" t="s">
        <v>199</v>
      </c>
      <c r="E1556" t="s">
        <v>2275</v>
      </c>
    </row>
    <row r="1557" spans="1:5">
      <c r="A1557" s="11"/>
      <c r="B1557" s="11">
        <v>90105015</v>
      </c>
      <c r="C1557" s="11" t="s">
        <v>1692</v>
      </c>
      <c r="D1557" s="11" t="s">
        <v>199</v>
      </c>
      <c r="E1557" t="s">
        <v>2275</v>
      </c>
    </row>
    <row r="1558" spans="1:5">
      <c r="A1558" s="11"/>
      <c r="B1558" s="11">
        <v>90105018</v>
      </c>
      <c r="C1558" s="11" t="s">
        <v>1693</v>
      </c>
      <c r="D1558" s="11" t="s">
        <v>199</v>
      </c>
      <c r="E1558" t="s">
        <v>2275</v>
      </c>
    </row>
    <row r="1559" spans="1:5">
      <c r="A1559" s="11"/>
      <c r="B1559" s="11">
        <v>90105023</v>
      </c>
      <c r="C1559" s="11" t="s">
        <v>1694</v>
      </c>
      <c r="D1559" s="11" t="s">
        <v>872</v>
      </c>
      <c r="E1559" t="s">
        <v>2275</v>
      </c>
    </row>
    <row r="1560" spans="1:5">
      <c r="A1560" s="11"/>
      <c r="B1560" s="11">
        <v>90105028</v>
      </c>
      <c r="C1560" s="11" t="s">
        <v>1695</v>
      </c>
      <c r="D1560" s="11" t="s">
        <v>543</v>
      </c>
      <c r="E1560" t="s">
        <v>2275</v>
      </c>
    </row>
    <row r="1561" spans="1:5">
      <c r="A1561" s="11"/>
      <c r="B1561" s="11">
        <v>90105029</v>
      </c>
      <c r="C1561" s="11" t="s">
        <v>1696</v>
      </c>
      <c r="D1561" s="11" t="s">
        <v>102</v>
      </c>
      <c r="E1561" t="s">
        <v>2275</v>
      </c>
    </row>
    <row r="1562" spans="1:5">
      <c r="A1562" s="11"/>
      <c r="B1562" s="11">
        <v>90105030</v>
      </c>
      <c r="C1562" s="11" t="s">
        <v>1697</v>
      </c>
      <c r="D1562" s="11" t="s">
        <v>102</v>
      </c>
      <c r="E1562" t="s">
        <v>2275</v>
      </c>
    </row>
    <row r="1563" spans="1:5">
      <c r="A1563" s="11"/>
      <c r="B1563" s="11">
        <v>90105034</v>
      </c>
      <c r="C1563" s="11" t="s">
        <v>1698</v>
      </c>
      <c r="D1563" s="11" t="s">
        <v>102</v>
      </c>
      <c r="E1563" t="s">
        <v>2275</v>
      </c>
    </row>
    <row r="1564" spans="1:5">
      <c r="A1564" s="11"/>
      <c r="B1564" s="11">
        <v>90105035</v>
      </c>
      <c r="C1564" s="11" t="s">
        <v>1699</v>
      </c>
      <c r="D1564" s="11" t="s">
        <v>872</v>
      </c>
      <c r="E1564" t="s">
        <v>2275</v>
      </c>
    </row>
    <row r="1565" spans="1:5">
      <c r="A1565" s="11"/>
      <c r="B1565" s="11">
        <v>90105036</v>
      </c>
      <c r="C1565" s="11" t="s">
        <v>1700</v>
      </c>
      <c r="D1565" s="11" t="s">
        <v>102</v>
      </c>
      <c r="E1565" t="s">
        <v>2275</v>
      </c>
    </row>
    <row r="1566" spans="1:5">
      <c r="A1566" s="11"/>
      <c r="B1566" s="11">
        <v>90105040</v>
      </c>
      <c r="C1566" s="11" t="s">
        <v>1701</v>
      </c>
      <c r="D1566" s="11" t="s">
        <v>201</v>
      </c>
      <c r="E1566" t="s">
        <v>2275</v>
      </c>
    </row>
    <row r="1567" spans="1:5">
      <c r="A1567" s="11"/>
      <c r="B1567" s="11">
        <v>90105041</v>
      </c>
      <c r="C1567" s="11" t="s">
        <v>1702</v>
      </c>
      <c r="D1567" s="11" t="s">
        <v>201</v>
      </c>
      <c r="E1567" t="s">
        <v>2275</v>
      </c>
    </row>
    <row r="1568" spans="1:5">
      <c r="A1568" s="11"/>
      <c r="B1568" s="11">
        <v>90105042</v>
      </c>
      <c r="C1568" s="11" t="s">
        <v>1703</v>
      </c>
      <c r="D1568" s="11" t="s">
        <v>201</v>
      </c>
      <c r="E1568" t="s">
        <v>2275</v>
      </c>
    </row>
    <row r="1569" spans="1:5">
      <c r="A1569" s="11"/>
      <c r="B1569" s="11">
        <v>90106000</v>
      </c>
      <c r="C1569" s="11" t="s">
        <v>1704</v>
      </c>
      <c r="D1569" s="11" t="s">
        <v>543</v>
      </c>
      <c r="E1569" t="s">
        <v>2275</v>
      </c>
    </row>
    <row r="1570" spans="1:5">
      <c r="A1570" s="11"/>
      <c r="B1570" s="11">
        <v>90106001</v>
      </c>
      <c r="C1570" s="11" t="s">
        <v>1705</v>
      </c>
      <c r="D1570" s="11" t="s">
        <v>543</v>
      </c>
      <c r="E1570" t="s">
        <v>2275</v>
      </c>
    </row>
    <row r="1571" spans="1:5">
      <c r="A1571" s="11"/>
      <c r="B1571" s="11">
        <v>90106002</v>
      </c>
      <c r="C1571" s="11" t="s">
        <v>1706</v>
      </c>
      <c r="D1571" s="11" t="s">
        <v>543</v>
      </c>
      <c r="E1571" t="s">
        <v>2275</v>
      </c>
    </row>
    <row r="1572" spans="1:5">
      <c r="A1572" s="11"/>
      <c r="B1572" s="11">
        <v>90106004</v>
      </c>
      <c r="C1572" s="11" t="s">
        <v>1707</v>
      </c>
      <c r="D1572" s="11" t="s">
        <v>543</v>
      </c>
      <c r="E1572" t="s">
        <v>2275</v>
      </c>
    </row>
    <row r="1573" spans="1:5">
      <c r="A1573" s="11"/>
      <c r="B1573" s="11">
        <v>90106007</v>
      </c>
      <c r="C1573" s="11" t="s">
        <v>1708</v>
      </c>
      <c r="D1573" s="11" t="s">
        <v>872</v>
      </c>
      <c r="E1573" t="s">
        <v>2275</v>
      </c>
    </row>
    <row r="1574" spans="1:5">
      <c r="A1574" s="11"/>
      <c r="B1574" s="11">
        <v>90106009</v>
      </c>
      <c r="C1574" s="11" t="s">
        <v>1709</v>
      </c>
      <c r="D1574" s="11" t="s">
        <v>872</v>
      </c>
      <c r="E1574" t="s">
        <v>2275</v>
      </c>
    </row>
    <row r="1575" spans="1:5">
      <c r="A1575" s="11"/>
      <c r="B1575" s="11">
        <v>90106012</v>
      </c>
      <c r="C1575" s="11" t="s">
        <v>1710</v>
      </c>
      <c r="D1575" s="11" t="s">
        <v>543</v>
      </c>
      <c r="E1575" t="s">
        <v>2275</v>
      </c>
    </row>
    <row r="1576" spans="1:5">
      <c r="A1576" s="11"/>
      <c r="B1576" s="11">
        <v>90106018</v>
      </c>
      <c r="C1576" s="11" t="s">
        <v>1711</v>
      </c>
      <c r="D1576" s="11" t="s">
        <v>543</v>
      </c>
      <c r="E1576" t="s">
        <v>2275</v>
      </c>
    </row>
    <row r="1577" spans="1:5">
      <c r="A1577" s="11"/>
      <c r="B1577" s="11">
        <v>90106021</v>
      </c>
      <c r="C1577" s="11" t="s">
        <v>1712</v>
      </c>
      <c r="D1577" s="11" t="s">
        <v>543</v>
      </c>
      <c r="E1577" t="s">
        <v>2275</v>
      </c>
    </row>
    <row r="1578" spans="1:5">
      <c r="A1578" s="11"/>
      <c r="B1578" s="11">
        <v>90106025</v>
      </c>
      <c r="C1578" s="11" t="s">
        <v>1713</v>
      </c>
      <c r="D1578" s="11" t="s">
        <v>102</v>
      </c>
      <c r="E1578" t="s">
        <v>2275</v>
      </c>
    </row>
    <row r="1579" spans="1:5">
      <c r="A1579" s="11">
        <v>90106028</v>
      </c>
      <c r="B1579" s="14">
        <v>90106037</v>
      </c>
      <c r="C1579" s="11" t="s">
        <v>1714</v>
      </c>
      <c r="D1579" s="11" t="s">
        <v>201</v>
      </c>
      <c r="E1579" t="s">
        <v>2275</v>
      </c>
    </row>
    <row r="1580" spans="1:5">
      <c r="A1580" s="11"/>
      <c r="B1580" s="11">
        <v>90107016</v>
      </c>
      <c r="C1580" s="11" t="s">
        <v>1715</v>
      </c>
      <c r="D1580" s="11" t="s">
        <v>201</v>
      </c>
      <c r="E1580" t="s">
        <v>2275</v>
      </c>
    </row>
    <row r="1581" spans="1:5">
      <c r="A1581" s="11"/>
      <c r="B1581" s="11">
        <v>90107019</v>
      </c>
      <c r="C1581" s="11" t="s">
        <v>1716</v>
      </c>
      <c r="D1581" s="11" t="s">
        <v>1136</v>
      </c>
      <c r="E1581" t="s">
        <v>2275</v>
      </c>
    </row>
    <row r="1582" spans="1:5">
      <c r="A1582" s="11"/>
      <c r="B1582" s="11">
        <v>90107020</v>
      </c>
      <c r="C1582" s="11" t="s">
        <v>1717</v>
      </c>
      <c r="D1582" s="11" t="s">
        <v>1136</v>
      </c>
      <c r="E1582" t="s">
        <v>2275</v>
      </c>
    </row>
    <row r="1583" spans="1:5">
      <c r="A1583" s="11"/>
      <c r="B1583" s="11">
        <v>90107024</v>
      </c>
      <c r="C1583" s="11" t="s">
        <v>1718</v>
      </c>
      <c r="D1583" s="11" t="s">
        <v>543</v>
      </c>
      <c r="E1583" t="s">
        <v>2275</v>
      </c>
    </row>
    <row r="1584" spans="1:5">
      <c r="A1584" s="11"/>
      <c r="B1584" s="11">
        <v>90107025</v>
      </c>
      <c r="C1584" s="11" t="s">
        <v>1719</v>
      </c>
      <c r="D1584" s="11" t="s">
        <v>543</v>
      </c>
      <c r="E1584" t="s">
        <v>2275</v>
      </c>
    </row>
    <row r="1585" spans="1:5">
      <c r="A1585" s="11"/>
      <c r="B1585" s="11">
        <v>90107038</v>
      </c>
      <c r="C1585" s="11" t="s">
        <v>1720</v>
      </c>
      <c r="D1585" s="11" t="s">
        <v>201</v>
      </c>
      <c r="E1585" t="s">
        <v>2275</v>
      </c>
    </row>
    <row r="1586" spans="1:5">
      <c r="A1586" s="11"/>
      <c r="B1586" s="11">
        <v>90107039</v>
      </c>
      <c r="C1586" s="11" t="s">
        <v>1721</v>
      </c>
      <c r="D1586" s="11" t="s">
        <v>201</v>
      </c>
      <c r="E1586" t="s">
        <v>2275</v>
      </c>
    </row>
    <row r="1587" spans="1:5">
      <c r="A1587" s="11"/>
      <c r="B1587" s="11">
        <v>90108000</v>
      </c>
      <c r="C1587" s="11" t="s">
        <v>1722</v>
      </c>
      <c r="D1587" s="11" t="s">
        <v>543</v>
      </c>
      <c r="E1587" t="s">
        <v>2275</v>
      </c>
    </row>
    <row r="1588" spans="1:5">
      <c r="A1588" s="11"/>
      <c r="B1588" s="11">
        <v>90108002</v>
      </c>
      <c r="C1588" s="11" t="s">
        <v>1723</v>
      </c>
      <c r="D1588" s="11" t="s">
        <v>543</v>
      </c>
      <c r="E1588" t="s">
        <v>2275</v>
      </c>
    </row>
    <row r="1589" spans="1:5">
      <c r="A1589" s="11"/>
      <c r="B1589" s="11">
        <v>90110000</v>
      </c>
      <c r="C1589" s="11" t="s">
        <v>1724</v>
      </c>
      <c r="D1589" s="11" t="s">
        <v>872</v>
      </c>
      <c r="E1589" t="s">
        <v>2275</v>
      </c>
    </row>
    <row r="1590" spans="1:5">
      <c r="A1590" s="11"/>
      <c r="B1590" s="11">
        <v>90110003</v>
      </c>
      <c r="C1590" s="11" t="s">
        <v>1725</v>
      </c>
      <c r="D1590" s="11" t="s">
        <v>872</v>
      </c>
      <c r="E1590" t="s">
        <v>2275</v>
      </c>
    </row>
    <row r="1591" spans="1:5">
      <c r="A1591" s="11"/>
      <c r="B1591" s="11">
        <v>90110006</v>
      </c>
      <c r="C1591" s="11" t="s">
        <v>1726</v>
      </c>
      <c r="D1591" s="11" t="s">
        <v>102</v>
      </c>
      <c r="E1591" t="s">
        <v>2275</v>
      </c>
    </row>
    <row r="1592" spans="1:5">
      <c r="A1592" s="11"/>
      <c r="B1592" s="11">
        <v>90110008</v>
      </c>
      <c r="C1592" s="11" t="s">
        <v>1727</v>
      </c>
      <c r="D1592" s="11" t="s">
        <v>872</v>
      </c>
      <c r="E1592" t="s">
        <v>2275</v>
      </c>
    </row>
    <row r="1593" spans="1:5">
      <c r="A1593" s="11"/>
      <c r="B1593" s="11">
        <v>90110010</v>
      </c>
      <c r="C1593" s="11" t="s">
        <v>1728</v>
      </c>
      <c r="D1593" s="11" t="s">
        <v>872</v>
      </c>
      <c r="E1593" t="s">
        <v>2275</v>
      </c>
    </row>
    <row r="1594" spans="1:5">
      <c r="A1594" s="11"/>
      <c r="B1594" s="11">
        <v>90110011</v>
      </c>
      <c r="C1594" s="11" t="s">
        <v>1729</v>
      </c>
      <c r="D1594" s="11" t="s">
        <v>872</v>
      </c>
      <c r="E1594" t="s">
        <v>2275</v>
      </c>
    </row>
    <row r="1595" spans="1:5">
      <c r="A1595" s="11"/>
      <c r="B1595" s="11">
        <v>90110014</v>
      </c>
      <c r="C1595" s="11" t="s">
        <v>1730</v>
      </c>
      <c r="D1595" s="11" t="s">
        <v>872</v>
      </c>
      <c r="E1595" t="s">
        <v>2275</v>
      </c>
    </row>
    <row r="1596" spans="1:5">
      <c r="A1596" s="11"/>
      <c r="B1596" s="11">
        <v>90110016</v>
      </c>
      <c r="C1596" s="11" t="s">
        <v>1731</v>
      </c>
      <c r="D1596" s="11" t="s">
        <v>872</v>
      </c>
      <c r="E1596" t="s">
        <v>2275</v>
      </c>
    </row>
    <row r="1597" spans="1:5">
      <c r="A1597" s="11"/>
      <c r="B1597" s="11">
        <v>90110018</v>
      </c>
      <c r="C1597" s="11" t="s">
        <v>1732</v>
      </c>
      <c r="D1597" s="11" t="s">
        <v>102</v>
      </c>
      <c r="E1597" t="s">
        <v>2275</v>
      </c>
    </row>
    <row r="1598" spans="1:5">
      <c r="A1598" s="11"/>
      <c r="B1598" s="11">
        <v>90111003</v>
      </c>
      <c r="C1598" s="11" t="s">
        <v>1733</v>
      </c>
      <c r="D1598" s="11" t="s">
        <v>102</v>
      </c>
      <c r="E1598" t="s">
        <v>2275</v>
      </c>
    </row>
    <row r="1599" spans="1:5">
      <c r="A1599" s="11"/>
      <c r="B1599" s="11">
        <v>90111006</v>
      </c>
      <c r="C1599" s="11" t="s">
        <v>1734</v>
      </c>
      <c r="D1599" s="11" t="s">
        <v>523</v>
      </c>
      <c r="E1599" t="s">
        <v>2275</v>
      </c>
    </row>
    <row r="1600" spans="1:5">
      <c r="A1600" s="11"/>
      <c r="B1600" s="11">
        <v>90111024</v>
      </c>
      <c r="C1600" s="11" t="s">
        <v>1735</v>
      </c>
      <c r="D1600" s="11" t="s">
        <v>523</v>
      </c>
      <c r="E1600" t="s">
        <v>2275</v>
      </c>
    </row>
    <row r="1601" spans="1:5">
      <c r="A1601" s="11"/>
      <c r="B1601" s="11">
        <v>90111025</v>
      </c>
      <c r="C1601" s="11" t="s">
        <v>1736</v>
      </c>
      <c r="D1601" s="11" t="s">
        <v>523</v>
      </c>
      <c r="E1601" t="s">
        <v>2275</v>
      </c>
    </row>
    <row r="1602" spans="1:5">
      <c r="A1602" s="11"/>
      <c r="B1602" s="11">
        <v>90111028</v>
      </c>
      <c r="C1602" s="11" t="s">
        <v>1737</v>
      </c>
      <c r="D1602" s="11" t="s">
        <v>102</v>
      </c>
      <c r="E1602" t="s">
        <v>2275</v>
      </c>
    </row>
    <row r="1603" spans="1:5">
      <c r="A1603" s="11"/>
      <c r="B1603" s="11">
        <v>90111030</v>
      </c>
      <c r="C1603" s="11" t="s">
        <v>1738</v>
      </c>
      <c r="D1603" s="11" t="s">
        <v>102</v>
      </c>
      <c r="E1603" t="s">
        <v>2275</v>
      </c>
    </row>
    <row r="1604" spans="1:5">
      <c r="A1604" s="11"/>
      <c r="B1604" s="11">
        <v>90112011</v>
      </c>
      <c r="C1604" s="11" t="s">
        <v>1739</v>
      </c>
      <c r="D1604" s="11" t="s">
        <v>102</v>
      </c>
      <c r="E1604" t="s">
        <v>2275</v>
      </c>
    </row>
    <row r="1605" spans="1:5">
      <c r="A1605" s="11"/>
      <c r="B1605" s="11">
        <v>90112013</v>
      </c>
      <c r="C1605" s="11" t="s">
        <v>1740</v>
      </c>
      <c r="D1605" s="11" t="s">
        <v>102</v>
      </c>
      <c r="E1605" t="s">
        <v>2275</v>
      </c>
    </row>
    <row r="1606" spans="1:5">
      <c r="A1606" s="11"/>
      <c r="B1606" s="11">
        <v>90112018</v>
      </c>
      <c r="C1606" s="11" t="s">
        <v>1741</v>
      </c>
      <c r="D1606" s="11" t="s">
        <v>102</v>
      </c>
      <c r="E1606" t="s">
        <v>2275</v>
      </c>
    </row>
    <row r="1607" spans="1:5">
      <c r="A1607" s="11"/>
      <c r="B1607" s="11">
        <v>90202000</v>
      </c>
      <c r="C1607" s="11" t="s">
        <v>1742</v>
      </c>
      <c r="D1607" s="11" t="s">
        <v>1743</v>
      </c>
      <c r="E1607" t="s">
        <v>2275</v>
      </c>
    </row>
    <row r="1608" spans="1:5">
      <c r="A1608" s="11"/>
      <c r="B1608" s="11">
        <v>90202002</v>
      </c>
      <c r="C1608" s="11" t="s">
        <v>1744</v>
      </c>
      <c r="D1608" s="11" t="s">
        <v>872</v>
      </c>
      <c r="E1608" t="s">
        <v>2275</v>
      </c>
    </row>
    <row r="1609" spans="1:5">
      <c r="A1609" s="11"/>
      <c r="B1609" s="11">
        <v>90202009</v>
      </c>
      <c r="C1609" s="11" t="s">
        <v>1745</v>
      </c>
      <c r="D1609" s="11" t="s">
        <v>1746</v>
      </c>
      <c r="E1609" t="s">
        <v>2275</v>
      </c>
    </row>
    <row r="1610" spans="1:5">
      <c r="A1610" s="11"/>
      <c r="B1610" s="11">
        <v>90202024</v>
      </c>
      <c r="C1610" s="11" t="s">
        <v>1747</v>
      </c>
      <c r="D1610" s="11" t="s">
        <v>1743</v>
      </c>
      <c r="E1610" t="s">
        <v>2275</v>
      </c>
    </row>
    <row r="1611" spans="1:5">
      <c r="A1611" s="11"/>
      <c r="B1611" s="11">
        <v>90202031</v>
      </c>
      <c r="C1611" s="11" t="s">
        <v>1748</v>
      </c>
      <c r="D1611" s="11" t="s">
        <v>872</v>
      </c>
      <c r="E1611" t="s">
        <v>2275</v>
      </c>
    </row>
    <row r="1612" spans="1:5">
      <c r="A1612" s="11"/>
      <c r="B1612" s="11">
        <v>90202032</v>
      </c>
      <c r="C1612" s="11" t="s">
        <v>1749</v>
      </c>
      <c r="D1612" s="11" t="s">
        <v>102</v>
      </c>
      <c r="E1612" t="s">
        <v>2275</v>
      </c>
    </row>
    <row r="1613" spans="1:5">
      <c r="A1613" s="11"/>
      <c r="B1613" s="11">
        <v>90202038</v>
      </c>
      <c r="C1613" s="11" t="s">
        <v>1750</v>
      </c>
      <c r="D1613" s="11" t="s">
        <v>102</v>
      </c>
      <c r="E1613" t="s">
        <v>2275</v>
      </c>
    </row>
    <row r="1614" spans="1:5">
      <c r="A1614" s="11"/>
      <c r="B1614" s="11">
        <v>90202040</v>
      </c>
      <c r="C1614" s="11" t="s">
        <v>1751</v>
      </c>
      <c r="D1614" s="11" t="s">
        <v>102</v>
      </c>
      <c r="E1614" t="s">
        <v>2275</v>
      </c>
    </row>
    <row r="1615" spans="1:5">
      <c r="A1615" s="11"/>
      <c r="B1615" s="11">
        <v>90202041</v>
      </c>
      <c r="C1615" s="11" t="s">
        <v>1752</v>
      </c>
      <c r="D1615" s="11" t="s">
        <v>1753</v>
      </c>
      <c r="E1615" t="s">
        <v>2275</v>
      </c>
    </row>
    <row r="1616" spans="1:5">
      <c r="A1616" s="11"/>
      <c r="B1616" s="11">
        <v>90202042</v>
      </c>
      <c r="C1616" s="11" t="s">
        <v>1754</v>
      </c>
      <c r="D1616" s="11" t="s">
        <v>749</v>
      </c>
      <c r="E1616" t="s">
        <v>2275</v>
      </c>
    </row>
    <row r="1617" spans="1:5">
      <c r="A1617" s="11"/>
      <c r="B1617" s="11">
        <v>90202043</v>
      </c>
      <c r="C1617" s="11" t="s">
        <v>1755</v>
      </c>
      <c r="D1617" s="11" t="s">
        <v>493</v>
      </c>
      <c r="E1617" t="s">
        <v>2275</v>
      </c>
    </row>
    <row r="1618" spans="1:5">
      <c r="A1618" s="11"/>
      <c r="B1618" s="11">
        <v>90202046</v>
      </c>
      <c r="C1618" s="11" t="s">
        <v>1756</v>
      </c>
      <c r="D1618" s="11" t="s">
        <v>1595</v>
      </c>
      <c r="E1618" t="s">
        <v>2275</v>
      </c>
    </row>
    <row r="1619" spans="1:5">
      <c r="A1619" s="11"/>
      <c r="B1619" s="11">
        <v>90202054</v>
      </c>
      <c r="C1619" s="11" t="s">
        <v>1757</v>
      </c>
      <c r="D1619" s="11" t="s">
        <v>102</v>
      </c>
      <c r="E1619" t="s">
        <v>2275</v>
      </c>
    </row>
    <row r="1620" spans="1:5">
      <c r="A1620" s="11"/>
      <c r="B1620" s="11">
        <v>90202056</v>
      </c>
      <c r="C1620" s="11" t="s">
        <v>1592</v>
      </c>
      <c r="D1620" s="11" t="s">
        <v>1620</v>
      </c>
      <c r="E1620" t="s">
        <v>2275</v>
      </c>
    </row>
    <row r="1621" spans="1:5">
      <c r="A1621" s="11"/>
      <c r="B1621" s="11">
        <v>90202057</v>
      </c>
      <c r="C1621" s="11" t="s">
        <v>1758</v>
      </c>
      <c r="D1621" s="11" t="s">
        <v>1620</v>
      </c>
      <c r="E1621" t="s">
        <v>2275</v>
      </c>
    </row>
    <row r="1622" spans="1:5">
      <c r="A1622" s="11"/>
      <c r="B1622" s="11">
        <v>90202074</v>
      </c>
      <c r="C1622" s="11" t="s">
        <v>1759</v>
      </c>
      <c r="D1622" s="11" t="s">
        <v>1620</v>
      </c>
      <c r="E1622" t="s">
        <v>2275</v>
      </c>
    </row>
    <row r="1623" spans="1:5">
      <c r="A1623" s="11"/>
      <c r="B1623" s="11">
        <v>90301000</v>
      </c>
      <c r="C1623" s="11" t="s">
        <v>1760</v>
      </c>
      <c r="D1623" s="11" t="s">
        <v>1761</v>
      </c>
      <c r="E1623" t="s">
        <v>2275</v>
      </c>
    </row>
    <row r="1624" spans="1:5">
      <c r="A1624" s="11"/>
      <c r="B1624" s="11">
        <v>90301002</v>
      </c>
      <c r="C1624" s="11" t="s">
        <v>1762</v>
      </c>
      <c r="D1624" s="11" t="s">
        <v>872</v>
      </c>
      <c r="E1624" t="s">
        <v>2275</v>
      </c>
    </row>
    <row r="1625" spans="1:5">
      <c r="A1625" s="11"/>
      <c r="B1625" s="11">
        <v>90301010</v>
      </c>
      <c r="C1625" s="11" t="s">
        <v>1763</v>
      </c>
      <c r="D1625" s="11" t="s">
        <v>102</v>
      </c>
      <c r="E1625" t="s">
        <v>2275</v>
      </c>
    </row>
    <row r="1626" spans="1:5">
      <c r="A1626" s="11"/>
      <c r="B1626" s="11">
        <v>90301011</v>
      </c>
      <c r="C1626" s="11" t="s">
        <v>1764</v>
      </c>
      <c r="D1626" s="11" t="s">
        <v>872</v>
      </c>
      <c r="E1626" t="s">
        <v>2275</v>
      </c>
    </row>
    <row r="1627" spans="1:5">
      <c r="A1627" s="11"/>
      <c r="B1627" s="11">
        <v>90303000</v>
      </c>
      <c r="C1627" s="11" t="s">
        <v>1765</v>
      </c>
      <c r="D1627" s="11" t="s">
        <v>102</v>
      </c>
      <c r="E1627" t="s">
        <v>2275</v>
      </c>
    </row>
    <row r="1628" spans="1:5">
      <c r="A1628" s="11"/>
      <c r="B1628" s="11">
        <v>90303001</v>
      </c>
      <c r="C1628" s="11" t="s">
        <v>1766</v>
      </c>
      <c r="D1628" s="11" t="s">
        <v>102</v>
      </c>
      <c r="E1628" t="s">
        <v>2275</v>
      </c>
    </row>
    <row r="1629" spans="1:5">
      <c r="A1629" s="11"/>
      <c r="B1629" s="11">
        <v>90303002</v>
      </c>
      <c r="C1629" s="11" t="s">
        <v>1767</v>
      </c>
      <c r="D1629" s="11" t="s">
        <v>872</v>
      </c>
      <c r="E1629" t="s">
        <v>2275</v>
      </c>
    </row>
    <row r="1630" spans="1:5">
      <c r="A1630" s="11"/>
      <c r="B1630" s="11">
        <v>90303003</v>
      </c>
      <c r="C1630" s="11" t="s">
        <v>1768</v>
      </c>
      <c r="D1630" s="11" t="s">
        <v>102</v>
      </c>
      <c r="E1630" t="s">
        <v>2275</v>
      </c>
    </row>
    <row r="1631" spans="1:5">
      <c r="A1631" s="11"/>
      <c r="B1631" s="11">
        <v>90303008</v>
      </c>
      <c r="C1631" s="11" t="s">
        <v>1769</v>
      </c>
      <c r="D1631" s="11" t="s">
        <v>102</v>
      </c>
      <c r="E1631" t="s">
        <v>2275</v>
      </c>
    </row>
    <row r="1632" spans="1:5">
      <c r="A1632" s="11"/>
      <c r="B1632" s="11">
        <v>90303009</v>
      </c>
      <c r="C1632" s="11" t="s">
        <v>1770</v>
      </c>
      <c r="D1632" s="11" t="s">
        <v>102</v>
      </c>
      <c r="E1632" t="s">
        <v>2275</v>
      </c>
    </row>
    <row r="1633" spans="1:5">
      <c r="A1633" s="11"/>
      <c r="B1633" s="11">
        <v>90303011</v>
      </c>
      <c r="C1633" s="11" t="s">
        <v>1771</v>
      </c>
      <c r="D1633" s="11" t="s">
        <v>102</v>
      </c>
      <c r="E1633" t="s">
        <v>2275</v>
      </c>
    </row>
    <row r="1634" spans="1:5">
      <c r="A1634" s="11"/>
      <c r="B1634" s="11">
        <v>90303012</v>
      </c>
      <c r="C1634" s="11" t="s">
        <v>1772</v>
      </c>
      <c r="D1634" s="11" t="s">
        <v>102</v>
      </c>
      <c r="E1634" t="s">
        <v>2275</v>
      </c>
    </row>
    <row r="1635" spans="1:5">
      <c r="A1635" s="11"/>
      <c r="B1635" s="11">
        <v>90304000</v>
      </c>
      <c r="C1635" s="11" t="s">
        <v>1773</v>
      </c>
      <c r="D1635" s="11" t="s">
        <v>102</v>
      </c>
      <c r="E1635" t="s">
        <v>2275</v>
      </c>
    </row>
    <row r="1636" spans="1:5">
      <c r="A1636" s="11"/>
      <c r="B1636" s="11">
        <v>90304001</v>
      </c>
      <c r="C1636" s="11" t="s">
        <v>1774</v>
      </c>
      <c r="D1636" s="11" t="s">
        <v>872</v>
      </c>
      <c r="E1636" t="s">
        <v>2275</v>
      </c>
    </row>
    <row r="1637" spans="1:5">
      <c r="A1637" s="11"/>
      <c r="B1637" s="11">
        <v>90304002</v>
      </c>
      <c r="C1637" s="11" t="s">
        <v>1775</v>
      </c>
      <c r="D1637" s="11" t="s">
        <v>102</v>
      </c>
      <c r="E1637" t="s">
        <v>2275</v>
      </c>
    </row>
    <row r="1638" spans="1:5">
      <c r="A1638" s="11"/>
      <c r="B1638" s="11">
        <v>90304004</v>
      </c>
      <c r="C1638" s="11" t="s">
        <v>1776</v>
      </c>
      <c r="D1638" s="11" t="s">
        <v>102</v>
      </c>
      <c r="E1638" t="s">
        <v>2275</v>
      </c>
    </row>
    <row r="1639" spans="1:5">
      <c r="A1639" s="11"/>
      <c r="B1639" s="11">
        <v>90304017</v>
      </c>
      <c r="C1639" s="11" t="s">
        <v>1777</v>
      </c>
      <c r="D1639" s="11" t="s">
        <v>1778</v>
      </c>
      <c r="E1639" t="s">
        <v>2275</v>
      </c>
    </row>
    <row r="1640" spans="1:5">
      <c r="A1640" s="11"/>
      <c r="B1640" s="11">
        <v>90305001</v>
      </c>
      <c r="C1640" s="11" t="s">
        <v>1779</v>
      </c>
      <c r="D1640" s="11" t="s">
        <v>872</v>
      </c>
      <c r="E1640" t="s">
        <v>2275</v>
      </c>
    </row>
    <row r="1641" spans="1:5">
      <c r="A1641" s="11"/>
      <c r="B1641" s="11">
        <v>90305002</v>
      </c>
      <c r="C1641" s="11" t="s">
        <v>1780</v>
      </c>
      <c r="D1641" s="11" t="s">
        <v>543</v>
      </c>
      <c r="E1641" t="s">
        <v>2275</v>
      </c>
    </row>
    <row r="1642" spans="1:5">
      <c r="A1642" s="11"/>
      <c r="B1642" s="11">
        <v>90305003</v>
      </c>
      <c r="C1642" s="11" t="s">
        <v>1781</v>
      </c>
      <c r="D1642" s="11" t="s">
        <v>201</v>
      </c>
      <c r="E1642" t="s">
        <v>2275</v>
      </c>
    </row>
    <row r="1643" spans="1:5">
      <c r="A1643" s="11"/>
      <c r="B1643" s="11">
        <v>90305004</v>
      </c>
      <c r="C1643" s="11" t="s">
        <v>1782</v>
      </c>
      <c r="D1643" s="11" t="s">
        <v>1783</v>
      </c>
      <c r="E1643" t="s">
        <v>2275</v>
      </c>
    </row>
    <row r="1644" spans="1:5">
      <c r="A1644" s="11"/>
      <c r="B1644" s="11">
        <v>90305005</v>
      </c>
      <c r="C1644" s="11" t="s">
        <v>1784</v>
      </c>
      <c r="D1644" s="11" t="s">
        <v>1783</v>
      </c>
      <c r="E1644" t="s">
        <v>2275</v>
      </c>
    </row>
    <row r="1645" spans="1:5">
      <c r="A1645" s="11"/>
      <c r="B1645" s="11">
        <v>90305006</v>
      </c>
      <c r="C1645" s="11" t="s">
        <v>1777</v>
      </c>
      <c r="D1645" s="11" t="s">
        <v>201</v>
      </c>
      <c r="E1645" t="s">
        <v>2275</v>
      </c>
    </row>
    <row r="1646" spans="1:5">
      <c r="A1646" s="11"/>
      <c r="B1646" s="11">
        <v>90305007</v>
      </c>
      <c r="C1646" s="11" t="s">
        <v>1785</v>
      </c>
      <c r="D1646" s="11" t="s">
        <v>201</v>
      </c>
      <c r="E1646" t="s">
        <v>2275</v>
      </c>
    </row>
    <row r="1647" spans="1:5">
      <c r="A1647" s="11"/>
      <c r="B1647" s="11">
        <v>90305013</v>
      </c>
      <c r="C1647" s="11" t="s">
        <v>1786</v>
      </c>
      <c r="D1647" s="11" t="s">
        <v>201</v>
      </c>
      <c r="E1647" t="s">
        <v>2275</v>
      </c>
    </row>
    <row r="1648" spans="1:5">
      <c r="A1648" s="11"/>
      <c r="B1648" s="11">
        <v>90305022</v>
      </c>
      <c r="C1648" s="11" t="s">
        <v>1787</v>
      </c>
      <c r="D1648" s="11" t="s">
        <v>102</v>
      </c>
      <c r="E1648" t="s">
        <v>2275</v>
      </c>
    </row>
    <row r="1649" spans="1:5">
      <c r="A1649" s="11"/>
      <c r="B1649" s="11">
        <v>90305028</v>
      </c>
      <c r="C1649" s="11" t="s">
        <v>1788</v>
      </c>
      <c r="D1649" s="11" t="s">
        <v>102</v>
      </c>
      <c r="E1649" t="s">
        <v>2275</v>
      </c>
    </row>
    <row r="1650" spans="1:5">
      <c r="A1650" s="11"/>
      <c r="B1650" s="11">
        <v>90305039</v>
      </c>
      <c r="C1650" s="11" t="s">
        <v>1789</v>
      </c>
      <c r="D1650" s="11" t="s">
        <v>1783</v>
      </c>
      <c r="E1650" t="s">
        <v>2275</v>
      </c>
    </row>
    <row r="1651" spans="1:5">
      <c r="A1651" s="11"/>
      <c r="B1651" s="11">
        <v>90306000</v>
      </c>
      <c r="C1651" s="11" t="s">
        <v>1790</v>
      </c>
      <c r="D1651" s="11" t="s">
        <v>102</v>
      </c>
      <c r="E1651" t="s">
        <v>2275</v>
      </c>
    </row>
    <row r="1652" spans="1:5">
      <c r="A1652" s="11"/>
      <c r="B1652" s="11">
        <v>90501013</v>
      </c>
      <c r="C1652" s="11" t="s">
        <v>1791</v>
      </c>
      <c r="D1652" s="11" t="s">
        <v>102</v>
      </c>
      <c r="E1652" t="s">
        <v>2275</v>
      </c>
    </row>
    <row r="1653" spans="1:5">
      <c r="A1653" s="11"/>
      <c r="B1653" s="11">
        <v>90501014</v>
      </c>
      <c r="C1653" s="11" t="s">
        <v>1792</v>
      </c>
      <c r="D1653" s="11" t="s">
        <v>102</v>
      </c>
      <c r="E1653" t="s">
        <v>2275</v>
      </c>
    </row>
    <row r="1654" spans="1:5">
      <c r="A1654" s="11"/>
      <c r="B1654" s="11">
        <v>90501027</v>
      </c>
      <c r="C1654" s="11" t="s">
        <v>1793</v>
      </c>
      <c r="D1654" s="11" t="s">
        <v>102</v>
      </c>
      <c r="E1654" t="s">
        <v>2275</v>
      </c>
    </row>
    <row r="1655" spans="1:5">
      <c r="A1655" s="11"/>
      <c r="B1655" s="11">
        <v>90502013</v>
      </c>
      <c r="C1655" s="11" t="s">
        <v>1794</v>
      </c>
      <c r="D1655" s="11" t="s">
        <v>102</v>
      </c>
      <c r="E1655" t="s">
        <v>2275</v>
      </c>
    </row>
    <row r="1656" spans="1:5">
      <c r="A1656" s="11"/>
      <c r="B1656" s="11">
        <v>90502017</v>
      </c>
      <c r="C1656" s="11" t="s">
        <v>1795</v>
      </c>
      <c r="D1656" s="11" t="s">
        <v>102</v>
      </c>
      <c r="E1656" t="s">
        <v>2275</v>
      </c>
    </row>
    <row r="1657" spans="1:5">
      <c r="A1657" s="11"/>
      <c r="B1657" s="11">
        <v>90502018</v>
      </c>
      <c r="C1657" s="11" t="s">
        <v>1796</v>
      </c>
      <c r="D1657" s="11" t="s">
        <v>102</v>
      </c>
      <c r="E1657" t="s">
        <v>2275</v>
      </c>
    </row>
    <row r="1658" spans="1:5">
      <c r="A1658" s="11"/>
      <c r="B1658" s="11">
        <v>90502029</v>
      </c>
      <c r="C1658" s="11" t="s">
        <v>1797</v>
      </c>
      <c r="D1658" s="11" t="s">
        <v>102</v>
      </c>
      <c r="E1658" t="s">
        <v>2275</v>
      </c>
    </row>
    <row r="1659" spans="1:5">
      <c r="A1659" s="11"/>
      <c r="B1659" s="11">
        <v>90502030</v>
      </c>
      <c r="C1659" s="12" t="s">
        <v>1798</v>
      </c>
      <c r="D1659" s="12" t="s">
        <v>102</v>
      </c>
      <c r="E1659" t="s">
        <v>2275</v>
      </c>
    </row>
    <row r="1660" spans="1:5">
      <c r="A1660" s="11"/>
      <c r="B1660" s="11">
        <v>90502059</v>
      </c>
      <c r="C1660" s="11" t="s">
        <v>1799</v>
      </c>
      <c r="D1660" s="11" t="s">
        <v>102</v>
      </c>
      <c r="E1660" t="s">
        <v>2275</v>
      </c>
    </row>
    <row r="1661" spans="1:5">
      <c r="A1661" s="11"/>
      <c r="B1661" s="11">
        <v>90502062</v>
      </c>
      <c r="C1661" s="11" t="s">
        <v>1800</v>
      </c>
      <c r="D1661" s="11" t="s">
        <v>102</v>
      </c>
      <c r="E1661" t="s">
        <v>2275</v>
      </c>
    </row>
    <row r="1662" spans="1:5">
      <c r="A1662" s="11"/>
      <c r="B1662" s="11">
        <v>90502066</v>
      </c>
      <c r="C1662" s="11" t="s">
        <v>1801</v>
      </c>
      <c r="D1662" s="11" t="s">
        <v>102</v>
      </c>
      <c r="E1662" t="s">
        <v>2275</v>
      </c>
    </row>
    <row r="1663" spans="1:5">
      <c r="A1663" s="11"/>
      <c r="B1663" s="11">
        <v>90503035</v>
      </c>
      <c r="C1663" s="11" t="s">
        <v>1802</v>
      </c>
      <c r="D1663" s="11" t="s">
        <v>102</v>
      </c>
      <c r="E1663" t="s">
        <v>2275</v>
      </c>
    </row>
    <row r="1664" spans="1:5">
      <c r="A1664" s="11"/>
      <c r="B1664" s="11">
        <v>9990228</v>
      </c>
      <c r="C1664" s="11" t="s">
        <v>1803</v>
      </c>
      <c r="D1664" s="11" t="s">
        <v>1620</v>
      </c>
      <c r="E1664" t="s">
        <v>2275</v>
      </c>
    </row>
    <row r="1665" spans="1:5">
      <c r="A1665" s="11"/>
      <c r="B1665" s="11">
        <v>109990045</v>
      </c>
      <c r="C1665" s="11" t="s">
        <v>1804</v>
      </c>
      <c r="D1665" s="11" t="s">
        <v>102</v>
      </c>
      <c r="E1665" t="s">
        <v>2275</v>
      </c>
    </row>
    <row r="1666" spans="1:5">
      <c r="A1666" s="11"/>
      <c r="B1666" s="11">
        <v>109990067</v>
      </c>
      <c r="C1666" s="11" t="s">
        <v>1805</v>
      </c>
      <c r="D1666" s="11" t="s">
        <v>102</v>
      </c>
      <c r="E1666" t="s">
        <v>2275</v>
      </c>
    </row>
    <row r="1667" spans="1:5">
      <c r="A1667" s="11"/>
      <c r="B1667" s="11">
        <v>120701014</v>
      </c>
      <c r="C1667" s="11" t="s">
        <v>1806</v>
      </c>
      <c r="D1667" s="11" t="s">
        <v>284</v>
      </c>
      <c r="E1667" t="s">
        <v>2275</v>
      </c>
    </row>
    <row r="1668" spans="1:5">
      <c r="A1668" s="11"/>
      <c r="B1668" s="11">
        <v>121005037</v>
      </c>
      <c r="C1668" s="11" t="s">
        <v>1807</v>
      </c>
      <c r="D1668" s="11" t="s">
        <v>102</v>
      </c>
      <c r="E1668" t="s">
        <v>2275</v>
      </c>
    </row>
    <row r="1669" spans="1:5">
      <c r="A1669" s="11"/>
      <c r="B1669" s="11">
        <v>121005038</v>
      </c>
      <c r="C1669" s="11" t="s">
        <v>1808</v>
      </c>
      <c r="D1669" s="11" t="s">
        <v>102</v>
      </c>
      <c r="E1669" t="s">
        <v>2275</v>
      </c>
    </row>
    <row r="1670" spans="1:5">
      <c r="A1670" s="11"/>
      <c r="B1670" s="11">
        <v>121005039</v>
      </c>
      <c r="C1670" s="11" t="s">
        <v>1809</v>
      </c>
      <c r="D1670" s="11" t="s">
        <v>102</v>
      </c>
      <c r="E1670" t="s">
        <v>2275</v>
      </c>
    </row>
    <row r="1671" spans="1:5">
      <c r="A1671" s="11"/>
      <c r="B1671" s="11">
        <v>130101010</v>
      </c>
      <c r="C1671" s="11" t="s">
        <v>1810</v>
      </c>
      <c r="D1671" s="11" t="s">
        <v>1125</v>
      </c>
      <c r="E1671" t="s">
        <v>2275</v>
      </c>
    </row>
    <row r="1672" spans="1:5">
      <c r="A1672" s="11"/>
      <c r="B1672" s="11">
        <v>130101011</v>
      </c>
      <c r="C1672" s="11" t="s">
        <v>1811</v>
      </c>
      <c r="D1672" s="11" t="s">
        <v>1812</v>
      </c>
      <c r="E1672" t="s">
        <v>2275</v>
      </c>
    </row>
    <row r="1673" spans="1:5">
      <c r="A1673" s="11"/>
      <c r="B1673" s="11">
        <v>130101012</v>
      </c>
      <c r="C1673" s="11" t="s">
        <v>1813</v>
      </c>
      <c r="D1673" s="11" t="s">
        <v>1125</v>
      </c>
      <c r="E1673" t="s">
        <v>2275</v>
      </c>
    </row>
    <row r="1674" spans="1:5">
      <c r="A1674" s="11"/>
      <c r="B1674" s="11">
        <v>130101021</v>
      </c>
      <c r="C1674" s="11" t="s">
        <v>1814</v>
      </c>
      <c r="D1674" s="11" t="s">
        <v>1125</v>
      </c>
      <c r="E1674" t="s">
        <v>2275</v>
      </c>
    </row>
    <row r="1675" spans="1:5">
      <c r="A1675" s="11"/>
      <c r="B1675" s="11">
        <v>130101037</v>
      </c>
      <c r="C1675" s="11" t="s">
        <v>1815</v>
      </c>
      <c r="D1675" s="11" t="s">
        <v>1125</v>
      </c>
      <c r="E1675" t="s">
        <v>2275</v>
      </c>
    </row>
    <row r="1676" spans="1:5">
      <c r="A1676" s="11"/>
      <c r="B1676" s="11">
        <v>130101042</v>
      </c>
      <c r="C1676" s="11" t="s">
        <v>1816</v>
      </c>
      <c r="D1676" s="11" t="s">
        <v>1817</v>
      </c>
      <c r="E1676" t="s">
        <v>2275</v>
      </c>
    </row>
    <row r="1677" spans="1:5">
      <c r="A1677" s="11"/>
      <c r="B1677" s="11">
        <v>130101066</v>
      </c>
      <c r="C1677" s="11" t="s">
        <v>1818</v>
      </c>
      <c r="D1677" s="11" t="s">
        <v>1819</v>
      </c>
      <c r="E1677" t="s">
        <v>2275</v>
      </c>
    </row>
    <row r="1678" spans="1:5">
      <c r="A1678" s="11"/>
      <c r="B1678" s="11">
        <v>130101079</v>
      </c>
      <c r="C1678" s="11" t="s">
        <v>1820</v>
      </c>
      <c r="D1678" s="11" t="s">
        <v>1821</v>
      </c>
      <c r="E1678" t="s">
        <v>2275</v>
      </c>
    </row>
    <row r="1679" spans="1:5">
      <c r="A1679" s="11"/>
      <c r="B1679" s="11">
        <v>130101091</v>
      </c>
      <c r="C1679" s="11" t="s">
        <v>1822</v>
      </c>
      <c r="D1679" s="11" t="s">
        <v>1125</v>
      </c>
      <c r="E1679" t="s">
        <v>2275</v>
      </c>
    </row>
    <row r="1680" spans="1:5">
      <c r="A1680" s="11"/>
      <c r="B1680" s="11">
        <v>130101092</v>
      </c>
      <c r="C1680" s="11" t="s">
        <v>1823</v>
      </c>
      <c r="D1680" s="11" t="s">
        <v>1125</v>
      </c>
      <c r="E1680" t="s">
        <v>2275</v>
      </c>
    </row>
    <row r="1681" spans="1:5">
      <c r="A1681" s="11"/>
      <c r="B1681" s="11">
        <v>130101099</v>
      </c>
      <c r="C1681" s="11" t="s">
        <v>1824</v>
      </c>
      <c r="D1681" s="11" t="s">
        <v>1825</v>
      </c>
      <c r="E1681" t="s">
        <v>2275</v>
      </c>
    </row>
    <row r="1682" spans="1:5">
      <c r="A1682" s="11"/>
      <c r="B1682" s="11">
        <v>130101100</v>
      </c>
      <c r="C1682" s="11" t="s">
        <v>1826</v>
      </c>
      <c r="D1682" s="11" t="s">
        <v>1812</v>
      </c>
      <c r="E1682" t="s">
        <v>2275</v>
      </c>
    </row>
    <row r="1683" spans="1:5">
      <c r="A1683" s="11"/>
      <c r="B1683" s="11">
        <v>130101116</v>
      </c>
      <c r="C1683" s="11" t="s">
        <v>1827</v>
      </c>
      <c r="D1683" s="11" t="s">
        <v>1125</v>
      </c>
      <c r="E1683" t="s">
        <v>2275</v>
      </c>
    </row>
    <row r="1684" spans="1:5">
      <c r="A1684" s="11"/>
      <c r="B1684" s="11">
        <v>130101122</v>
      </c>
      <c r="C1684" s="11" t="s">
        <v>1828</v>
      </c>
      <c r="D1684" s="11" t="s">
        <v>1125</v>
      </c>
      <c r="E1684" t="s">
        <v>2275</v>
      </c>
    </row>
    <row r="1685" spans="1:5">
      <c r="A1685" s="11"/>
      <c r="B1685" s="11">
        <v>130101123</v>
      </c>
      <c r="C1685" s="11" t="s">
        <v>1829</v>
      </c>
      <c r="D1685" s="11" t="s">
        <v>1125</v>
      </c>
      <c r="E1685" t="s">
        <v>2275</v>
      </c>
    </row>
    <row r="1686" spans="1:5">
      <c r="A1686" s="11"/>
      <c r="B1686" s="11">
        <v>130101130</v>
      </c>
      <c r="C1686" s="11" t="s">
        <v>1830</v>
      </c>
      <c r="D1686" s="11" t="s">
        <v>1125</v>
      </c>
      <c r="E1686" t="s">
        <v>2275</v>
      </c>
    </row>
    <row r="1687" spans="1:5">
      <c r="A1687" s="11"/>
      <c r="B1687" s="11">
        <v>130101131</v>
      </c>
      <c r="C1687" s="11" t="s">
        <v>1831</v>
      </c>
      <c r="D1687" s="11" t="s">
        <v>1125</v>
      </c>
      <c r="E1687" t="s">
        <v>2275</v>
      </c>
    </row>
    <row r="1688" spans="1:5">
      <c r="A1688" s="11"/>
      <c r="B1688" s="11">
        <v>130101137</v>
      </c>
      <c r="C1688" s="11" t="s">
        <v>1832</v>
      </c>
      <c r="D1688" s="11" t="s">
        <v>1819</v>
      </c>
      <c r="E1688" t="s">
        <v>2275</v>
      </c>
    </row>
    <row r="1689" spans="1:5">
      <c r="A1689" s="11"/>
      <c r="B1689" s="11">
        <v>130101143</v>
      </c>
      <c r="C1689" s="11" t="s">
        <v>1833</v>
      </c>
      <c r="D1689" s="11" t="s">
        <v>1125</v>
      </c>
      <c r="E1689" t="s">
        <v>2275</v>
      </c>
    </row>
    <row r="1690" spans="1:5">
      <c r="A1690" s="11"/>
      <c r="B1690" s="11">
        <v>130101149</v>
      </c>
      <c r="C1690" s="11" t="s">
        <v>1834</v>
      </c>
      <c r="D1690" s="11" t="s">
        <v>1125</v>
      </c>
      <c r="E1690" t="s">
        <v>2275</v>
      </c>
    </row>
    <row r="1691" spans="1:5">
      <c r="A1691" s="11"/>
      <c r="B1691" s="11">
        <v>130101153</v>
      </c>
      <c r="C1691" s="11" t="s">
        <v>1835</v>
      </c>
      <c r="D1691" s="11" t="s">
        <v>1125</v>
      </c>
      <c r="E1691" t="s">
        <v>2275</v>
      </c>
    </row>
    <row r="1692" spans="1:5">
      <c r="A1692" s="11"/>
      <c r="B1692" s="11">
        <v>130101154</v>
      </c>
      <c r="C1692" s="11" t="s">
        <v>1836</v>
      </c>
      <c r="D1692" s="11" t="s">
        <v>1125</v>
      </c>
      <c r="E1692" t="s">
        <v>2275</v>
      </c>
    </row>
    <row r="1693" spans="1:5">
      <c r="A1693" s="11"/>
      <c r="B1693" s="11">
        <v>130101181</v>
      </c>
      <c r="C1693" s="11" t="s">
        <v>1837</v>
      </c>
      <c r="D1693" s="11" t="s">
        <v>1125</v>
      </c>
      <c r="E1693" t="s">
        <v>2275</v>
      </c>
    </row>
    <row r="1694" spans="1:5">
      <c r="A1694" s="11"/>
      <c r="B1694" s="11">
        <v>130101217</v>
      </c>
      <c r="C1694" s="11" t="s">
        <v>1838</v>
      </c>
      <c r="D1694" s="11" t="s">
        <v>1125</v>
      </c>
      <c r="E1694" t="s">
        <v>2275</v>
      </c>
    </row>
    <row r="1695" spans="1:5">
      <c r="A1695" s="11"/>
      <c r="B1695" s="11">
        <v>130101230</v>
      </c>
      <c r="C1695" s="11" t="s">
        <v>1839</v>
      </c>
      <c r="D1695" s="11" t="s">
        <v>1125</v>
      </c>
      <c r="E1695" t="s">
        <v>2275</v>
      </c>
    </row>
    <row r="1696" spans="1:5">
      <c r="A1696" s="11"/>
      <c r="B1696" s="11">
        <v>130101241</v>
      </c>
      <c r="C1696" s="11" t="s">
        <v>1840</v>
      </c>
      <c r="D1696" s="11" t="s">
        <v>1125</v>
      </c>
      <c r="E1696" t="s">
        <v>2275</v>
      </c>
    </row>
    <row r="1697" spans="1:5">
      <c r="A1697" s="11"/>
      <c r="B1697" s="11">
        <v>130201002</v>
      </c>
      <c r="C1697" s="11" t="s">
        <v>1841</v>
      </c>
      <c r="D1697" s="11" t="s">
        <v>1125</v>
      </c>
      <c r="E1697" t="s">
        <v>2275</v>
      </c>
    </row>
    <row r="1698" spans="1:5">
      <c r="A1698" s="11"/>
      <c r="B1698" s="11">
        <v>130201004</v>
      </c>
      <c r="C1698" s="11" t="s">
        <v>1842</v>
      </c>
      <c r="D1698" s="11" t="s">
        <v>1125</v>
      </c>
      <c r="E1698" t="s">
        <v>2275</v>
      </c>
    </row>
    <row r="1699" spans="1:5">
      <c r="A1699" s="11"/>
      <c r="B1699" s="11">
        <v>130201005</v>
      </c>
      <c r="C1699" s="11" t="s">
        <v>1843</v>
      </c>
      <c r="D1699" s="11" t="s">
        <v>1125</v>
      </c>
      <c r="E1699" t="s">
        <v>2275</v>
      </c>
    </row>
    <row r="1700" spans="1:5">
      <c r="A1700" s="11"/>
      <c r="B1700" s="11">
        <v>130201006</v>
      </c>
      <c r="C1700" s="11" t="s">
        <v>1844</v>
      </c>
      <c r="D1700" s="11" t="s">
        <v>1125</v>
      </c>
      <c r="E1700" t="s">
        <v>2275</v>
      </c>
    </row>
    <row r="1701" spans="1:5">
      <c r="A1701" s="11"/>
      <c r="B1701" s="11">
        <v>130201009</v>
      </c>
      <c r="C1701" s="11" t="s">
        <v>1845</v>
      </c>
      <c r="D1701" s="11" t="s">
        <v>1125</v>
      </c>
      <c r="E1701" t="s">
        <v>2275</v>
      </c>
    </row>
    <row r="1702" spans="1:5">
      <c r="A1702" s="11"/>
      <c r="B1702" s="11">
        <v>130201011</v>
      </c>
      <c r="C1702" s="11" t="s">
        <v>1846</v>
      </c>
      <c r="D1702" s="11" t="s">
        <v>523</v>
      </c>
      <c r="E1702" t="s">
        <v>2275</v>
      </c>
    </row>
    <row r="1703" spans="1:5">
      <c r="A1703" s="11"/>
      <c r="B1703" s="11">
        <v>130201012</v>
      </c>
      <c r="C1703" s="11" t="s">
        <v>1847</v>
      </c>
      <c r="D1703" s="11" t="s">
        <v>523</v>
      </c>
      <c r="E1703" t="s">
        <v>2275</v>
      </c>
    </row>
    <row r="1704" spans="1:5">
      <c r="A1704" s="11"/>
      <c r="B1704" s="11">
        <v>130201017</v>
      </c>
      <c r="C1704" s="11" t="s">
        <v>1848</v>
      </c>
      <c r="D1704" s="11" t="s">
        <v>1821</v>
      </c>
      <c r="E1704" t="s">
        <v>2275</v>
      </c>
    </row>
    <row r="1705" spans="1:5">
      <c r="A1705" s="11"/>
      <c r="B1705" s="11">
        <v>130201021</v>
      </c>
      <c r="C1705" s="11" t="s">
        <v>1849</v>
      </c>
      <c r="D1705" s="11" t="s">
        <v>1125</v>
      </c>
      <c r="E1705" t="s">
        <v>2275</v>
      </c>
    </row>
    <row r="1706" spans="1:5">
      <c r="A1706" s="11"/>
      <c r="B1706" s="11">
        <v>130201023</v>
      </c>
      <c r="C1706" s="11" t="s">
        <v>1850</v>
      </c>
      <c r="D1706" s="11" t="s">
        <v>1125</v>
      </c>
      <c r="E1706" t="s">
        <v>2275</v>
      </c>
    </row>
    <row r="1707" spans="1:5">
      <c r="A1707" s="11"/>
      <c r="B1707" s="11">
        <v>130201034</v>
      </c>
      <c r="C1707" s="11" t="s">
        <v>1851</v>
      </c>
      <c r="D1707" s="11" t="s">
        <v>1125</v>
      </c>
      <c r="E1707" t="s">
        <v>2275</v>
      </c>
    </row>
    <row r="1708" spans="1:5">
      <c r="A1708" s="11"/>
      <c r="B1708" s="11">
        <v>130201035</v>
      </c>
      <c r="C1708" s="11" t="s">
        <v>1852</v>
      </c>
      <c r="D1708" s="11" t="s">
        <v>1125</v>
      </c>
      <c r="E1708" t="s">
        <v>2275</v>
      </c>
    </row>
    <row r="1709" spans="1:5">
      <c r="A1709" s="11"/>
      <c r="B1709" s="11">
        <v>130201036</v>
      </c>
      <c r="C1709" s="11" t="s">
        <v>1853</v>
      </c>
      <c r="D1709" s="11" t="s">
        <v>1125</v>
      </c>
      <c r="E1709" t="s">
        <v>2275</v>
      </c>
    </row>
    <row r="1710" spans="1:5">
      <c r="A1710" s="11"/>
      <c r="B1710" s="11">
        <v>130201037</v>
      </c>
      <c r="C1710" s="11" t="s">
        <v>1854</v>
      </c>
      <c r="D1710" s="11" t="s">
        <v>1125</v>
      </c>
      <c r="E1710" t="s">
        <v>2275</v>
      </c>
    </row>
    <row r="1711" spans="1:5">
      <c r="A1711" s="11"/>
      <c r="B1711" s="11">
        <v>130201038</v>
      </c>
      <c r="C1711" s="11" t="s">
        <v>1855</v>
      </c>
      <c r="D1711" s="11" t="s">
        <v>1125</v>
      </c>
      <c r="E1711" t="s">
        <v>2275</v>
      </c>
    </row>
    <row r="1712" spans="1:5">
      <c r="A1712" s="11"/>
      <c r="B1712" s="11">
        <v>130201039</v>
      </c>
      <c r="C1712" s="11" t="s">
        <v>1856</v>
      </c>
      <c r="D1712" s="11" t="s">
        <v>1125</v>
      </c>
      <c r="E1712" t="s">
        <v>2275</v>
      </c>
    </row>
    <row r="1713" spans="1:5">
      <c r="A1713" s="11"/>
      <c r="B1713" s="11">
        <v>130201046</v>
      </c>
      <c r="C1713" s="11" t="s">
        <v>1857</v>
      </c>
      <c r="D1713" s="11" t="s">
        <v>1821</v>
      </c>
      <c r="E1713" t="s">
        <v>2275</v>
      </c>
    </row>
    <row r="1714" spans="1:5">
      <c r="A1714" s="11"/>
      <c r="B1714" s="11">
        <v>130201051</v>
      </c>
      <c r="C1714" s="11" t="s">
        <v>1858</v>
      </c>
      <c r="D1714" s="11" t="s">
        <v>1125</v>
      </c>
      <c r="E1714" t="s">
        <v>2275</v>
      </c>
    </row>
    <row r="1715" spans="1:5">
      <c r="A1715" s="11"/>
      <c r="B1715" s="11">
        <v>130201052</v>
      </c>
      <c r="C1715" s="11" t="s">
        <v>1859</v>
      </c>
      <c r="D1715" s="11" t="s">
        <v>1125</v>
      </c>
      <c r="E1715" t="s">
        <v>2275</v>
      </c>
    </row>
    <row r="1716" spans="1:5">
      <c r="A1716" s="11"/>
      <c r="B1716" s="11">
        <v>130201058</v>
      </c>
      <c r="C1716" s="11" t="s">
        <v>1860</v>
      </c>
      <c r="D1716" s="11" t="s">
        <v>1812</v>
      </c>
      <c r="E1716" t="s">
        <v>2275</v>
      </c>
    </row>
    <row r="1717" spans="1:5">
      <c r="A1717" s="11"/>
      <c r="B1717" s="11">
        <v>130201061</v>
      </c>
      <c r="C1717" s="11" t="s">
        <v>1861</v>
      </c>
      <c r="D1717" s="11" t="s">
        <v>1817</v>
      </c>
      <c r="E1717" t="s">
        <v>2275</v>
      </c>
    </row>
    <row r="1718" spans="1:5">
      <c r="A1718" s="11"/>
      <c r="B1718" s="11">
        <v>130201065</v>
      </c>
      <c r="C1718" s="11" t="s">
        <v>1862</v>
      </c>
      <c r="D1718" s="11" t="s">
        <v>1863</v>
      </c>
      <c r="E1718" t="s">
        <v>2275</v>
      </c>
    </row>
    <row r="1719" spans="1:5">
      <c r="A1719" s="11"/>
      <c r="B1719" s="11">
        <v>130201068</v>
      </c>
      <c r="C1719" s="11" t="s">
        <v>1864</v>
      </c>
      <c r="D1719" s="11" t="s">
        <v>1865</v>
      </c>
      <c r="E1719" t="s">
        <v>2275</v>
      </c>
    </row>
    <row r="1720" spans="1:5">
      <c r="A1720" s="11"/>
      <c r="B1720" s="11">
        <v>130201069</v>
      </c>
      <c r="C1720" s="11" t="s">
        <v>1866</v>
      </c>
      <c r="D1720" s="11" t="s">
        <v>1125</v>
      </c>
      <c r="E1720" t="s">
        <v>2275</v>
      </c>
    </row>
    <row r="1721" spans="1:5">
      <c r="A1721" s="11"/>
      <c r="B1721" s="11">
        <v>130201081</v>
      </c>
      <c r="C1721" s="11" t="s">
        <v>1867</v>
      </c>
      <c r="D1721" s="11" t="s">
        <v>1125</v>
      </c>
      <c r="E1721" t="s">
        <v>2275</v>
      </c>
    </row>
    <row r="1722" spans="1:5">
      <c r="A1722" s="11"/>
      <c r="B1722" s="11">
        <v>130201082</v>
      </c>
      <c r="C1722" s="11" t="s">
        <v>1868</v>
      </c>
      <c r="D1722" s="11" t="s">
        <v>1125</v>
      </c>
      <c r="E1722" t="s">
        <v>2275</v>
      </c>
    </row>
    <row r="1723" spans="1:5">
      <c r="A1723" s="11"/>
      <c r="B1723" s="11">
        <v>130201083</v>
      </c>
      <c r="C1723" s="11" t="s">
        <v>1869</v>
      </c>
      <c r="D1723" s="11" t="s">
        <v>1125</v>
      </c>
      <c r="E1723" t="s">
        <v>2275</v>
      </c>
    </row>
    <row r="1724" spans="1:5">
      <c r="A1724" s="11"/>
      <c r="B1724" s="11">
        <v>130201085</v>
      </c>
      <c r="C1724" s="11" t="s">
        <v>1870</v>
      </c>
      <c r="D1724" s="11" t="s">
        <v>1125</v>
      </c>
      <c r="E1724" t="s">
        <v>2275</v>
      </c>
    </row>
    <row r="1725" spans="1:5">
      <c r="A1725" s="11"/>
      <c r="B1725" s="11">
        <v>130201088</v>
      </c>
      <c r="C1725" s="11" t="s">
        <v>1871</v>
      </c>
      <c r="D1725" s="11" t="s">
        <v>1863</v>
      </c>
      <c r="E1725" t="s">
        <v>2275</v>
      </c>
    </row>
    <row r="1726" spans="1:5">
      <c r="A1726" s="11"/>
      <c r="B1726" s="11">
        <v>130201092</v>
      </c>
      <c r="C1726" s="11" t="s">
        <v>1872</v>
      </c>
      <c r="D1726" s="11" t="s">
        <v>1125</v>
      </c>
      <c r="E1726" t="s">
        <v>2275</v>
      </c>
    </row>
    <row r="1727" spans="1:5">
      <c r="A1727" s="11"/>
      <c r="B1727" s="11">
        <v>130201100</v>
      </c>
      <c r="C1727" s="11" t="s">
        <v>1873</v>
      </c>
      <c r="D1727" s="11" t="s">
        <v>1125</v>
      </c>
      <c r="E1727" t="s">
        <v>2275</v>
      </c>
    </row>
    <row r="1728" spans="1:5">
      <c r="A1728" s="11"/>
      <c r="B1728" s="11">
        <v>130201101</v>
      </c>
      <c r="C1728" s="11" t="s">
        <v>1874</v>
      </c>
      <c r="D1728" s="11" t="s">
        <v>1125</v>
      </c>
      <c r="E1728" t="s">
        <v>2275</v>
      </c>
    </row>
    <row r="1729" spans="1:5">
      <c r="A1729" s="11"/>
      <c r="B1729" s="11">
        <v>130201103</v>
      </c>
      <c r="C1729" s="11" t="s">
        <v>1875</v>
      </c>
      <c r="D1729" s="11" t="s">
        <v>1125</v>
      </c>
      <c r="E1729" t="s">
        <v>2275</v>
      </c>
    </row>
    <row r="1730" spans="1:5">
      <c r="A1730" s="11"/>
      <c r="B1730" s="11">
        <v>130201109</v>
      </c>
      <c r="C1730" s="11" t="s">
        <v>1876</v>
      </c>
      <c r="D1730" s="11" t="s">
        <v>1125</v>
      </c>
      <c r="E1730" t="s">
        <v>2275</v>
      </c>
    </row>
    <row r="1731" spans="1:5">
      <c r="A1731" s="11"/>
      <c r="B1731" s="11">
        <v>130201116</v>
      </c>
      <c r="C1731" s="11" t="s">
        <v>1877</v>
      </c>
      <c r="D1731" s="11" t="s">
        <v>1125</v>
      </c>
      <c r="E1731" t="s">
        <v>2275</v>
      </c>
    </row>
    <row r="1732" spans="1:5">
      <c r="A1732" s="11"/>
      <c r="B1732" s="11">
        <v>130201117</v>
      </c>
      <c r="C1732" s="11" t="s">
        <v>1878</v>
      </c>
      <c r="D1732" s="11" t="s">
        <v>1125</v>
      </c>
      <c r="E1732" t="s">
        <v>2275</v>
      </c>
    </row>
    <row r="1733" spans="1:5">
      <c r="A1733" s="11"/>
      <c r="B1733" s="11">
        <v>130201118</v>
      </c>
      <c r="C1733" s="11" t="s">
        <v>1879</v>
      </c>
      <c r="D1733" s="11" t="s">
        <v>1125</v>
      </c>
      <c r="E1733" t="s">
        <v>2275</v>
      </c>
    </row>
    <row r="1734" spans="1:5">
      <c r="A1734" s="11"/>
      <c r="B1734" s="11">
        <v>130201119</v>
      </c>
      <c r="C1734" s="11" t="s">
        <v>1880</v>
      </c>
      <c r="D1734" s="11" t="s">
        <v>1125</v>
      </c>
      <c r="E1734" t="s">
        <v>2275</v>
      </c>
    </row>
    <row r="1735" spans="1:5">
      <c r="A1735" s="11"/>
      <c r="B1735" s="11">
        <v>130201124</v>
      </c>
      <c r="C1735" s="11" t="s">
        <v>1881</v>
      </c>
      <c r="D1735" s="11" t="s">
        <v>1125</v>
      </c>
      <c r="E1735" t="s">
        <v>2275</v>
      </c>
    </row>
    <row r="1736" spans="1:5">
      <c r="A1736" s="11"/>
      <c r="B1736" s="11">
        <v>130201125</v>
      </c>
      <c r="C1736" s="11" t="s">
        <v>1882</v>
      </c>
      <c r="D1736" s="11" t="s">
        <v>1125</v>
      </c>
      <c r="E1736" t="s">
        <v>2275</v>
      </c>
    </row>
    <row r="1737" spans="1:5">
      <c r="A1737" s="11"/>
      <c r="B1737" s="11">
        <v>130201128</v>
      </c>
      <c r="C1737" s="11" t="s">
        <v>1883</v>
      </c>
      <c r="D1737" s="11" t="s">
        <v>1125</v>
      </c>
      <c r="E1737" t="s">
        <v>2275</v>
      </c>
    </row>
    <row r="1738" spans="1:5">
      <c r="A1738" s="11"/>
      <c r="B1738" s="11">
        <v>130201130</v>
      </c>
      <c r="C1738" s="11" t="s">
        <v>1884</v>
      </c>
      <c r="D1738" s="11" t="s">
        <v>1125</v>
      </c>
      <c r="E1738" t="s">
        <v>2275</v>
      </c>
    </row>
    <row r="1739" spans="1:5">
      <c r="A1739" s="11"/>
      <c r="B1739" s="11">
        <v>130201131</v>
      </c>
      <c r="C1739" s="11" t="s">
        <v>1885</v>
      </c>
      <c r="D1739" s="11" t="s">
        <v>1125</v>
      </c>
      <c r="E1739" t="s">
        <v>2275</v>
      </c>
    </row>
    <row r="1740" spans="1:5">
      <c r="A1740" s="11"/>
      <c r="B1740" s="11">
        <v>130201132</v>
      </c>
      <c r="C1740" s="11" t="s">
        <v>1886</v>
      </c>
      <c r="D1740" s="11" t="s">
        <v>1125</v>
      </c>
      <c r="E1740" t="s">
        <v>2275</v>
      </c>
    </row>
    <row r="1741" spans="1:5">
      <c r="A1741" s="11"/>
      <c r="B1741" s="11">
        <v>130201133</v>
      </c>
      <c r="C1741" s="11" t="s">
        <v>1887</v>
      </c>
      <c r="D1741" s="11" t="s">
        <v>1125</v>
      </c>
      <c r="E1741" t="s">
        <v>2275</v>
      </c>
    </row>
    <row r="1742" spans="1:5">
      <c r="A1742" s="11"/>
      <c r="B1742" s="11">
        <v>130201134</v>
      </c>
      <c r="C1742" s="11" t="s">
        <v>1888</v>
      </c>
      <c r="D1742" s="11" t="s">
        <v>1125</v>
      </c>
      <c r="E1742" t="s">
        <v>2275</v>
      </c>
    </row>
    <row r="1743" spans="1:5">
      <c r="A1743" s="11"/>
      <c r="B1743" s="11">
        <v>130201135</v>
      </c>
      <c r="C1743" s="11" t="s">
        <v>1889</v>
      </c>
      <c r="D1743" s="11" t="s">
        <v>1125</v>
      </c>
      <c r="E1743" t="s">
        <v>2275</v>
      </c>
    </row>
    <row r="1744" spans="1:5">
      <c r="A1744" s="11"/>
      <c r="B1744" s="11">
        <v>130201136</v>
      </c>
      <c r="C1744" s="11" t="s">
        <v>1890</v>
      </c>
      <c r="D1744" s="11" t="s">
        <v>1125</v>
      </c>
      <c r="E1744" t="s">
        <v>2275</v>
      </c>
    </row>
    <row r="1745" spans="1:5">
      <c r="A1745" s="11"/>
      <c r="B1745" s="11">
        <v>130201138</v>
      </c>
      <c r="C1745" s="11" t="s">
        <v>1891</v>
      </c>
      <c r="D1745" s="11" t="s">
        <v>1125</v>
      </c>
      <c r="E1745" t="s">
        <v>2275</v>
      </c>
    </row>
    <row r="1746" spans="1:5">
      <c r="A1746" s="11"/>
      <c r="B1746" s="11">
        <v>130201139</v>
      </c>
      <c r="C1746" s="11" t="s">
        <v>1892</v>
      </c>
      <c r="D1746" s="11" t="s">
        <v>1125</v>
      </c>
      <c r="E1746" t="s">
        <v>2275</v>
      </c>
    </row>
    <row r="1747" spans="1:5">
      <c r="A1747" s="11"/>
      <c r="B1747" s="11">
        <v>130201140</v>
      </c>
      <c r="C1747" s="11" t="s">
        <v>1893</v>
      </c>
      <c r="D1747" s="11" t="s">
        <v>1125</v>
      </c>
      <c r="E1747" t="s">
        <v>2275</v>
      </c>
    </row>
    <row r="1748" spans="1:5">
      <c r="A1748" s="11"/>
      <c r="B1748" s="11">
        <v>130201149</v>
      </c>
      <c r="C1748" s="11" t="s">
        <v>1894</v>
      </c>
      <c r="D1748" s="11" t="s">
        <v>1125</v>
      </c>
      <c r="E1748" t="s">
        <v>2275</v>
      </c>
    </row>
    <row r="1749" spans="1:5">
      <c r="A1749" s="11"/>
      <c r="B1749" s="11">
        <v>130201151</v>
      </c>
      <c r="C1749" s="11" t="s">
        <v>1895</v>
      </c>
      <c r="D1749" s="11" t="s">
        <v>1125</v>
      </c>
      <c r="E1749" t="s">
        <v>2275</v>
      </c>
    </row>
    <row r="1750" spans="1:5">
      <c r="A1750" s="11"/>
      <c r="B1750" s="11">
        <v>130201153</v>
      </c>
      <c r="C1750" s="11" t="s">
        <v>1896</v>
      </c>
      <c r="D1750" s="11" t="s">
        <v>1125</v>
      </c>
      <c r="E1750" t="s">
        <v>2275</v>
      </c>
    </row>
    <row r="1751" spans="1:5">
      <c r="A1751" s="11"/>
      <c r="B1751" s="11">
        <v>130201154</v>
      </c>
      <c r="C1751" s="11" t="s">
        <v>1897</v>
      </c>
      <c r="D1751" s="11" t="s">
        <v>1817</v>
      </c>
      <c r="E1751" t="s">
        <v>2275</v>
      </c>
    </row>
    <row r="1752" spans="1:5">
      <c r="A1752" s="11"/>
      <c r="B1752" s="11">
        <v>130201162</v>
      </c>
      <c r="C1752" s="11" t="s">
        <v>1898</v>
      </c>
      <c r="D1752" s="11" t="s">
        <v>1125</v>
      </c>
      <c r="E1752" t="s">
        <v>2275</v>
      </c>
    </row>
    <row r="1753" spans="1:5">
      <c r="A1753" s="11"/>
      <c r="B1753" s="11">
        <v>130201168</v>
      </c>
      <c r="C1753" s="11" t="s">
        <v>1899</v>
      </c>
      <c r="D1753" s="11" t="s">
        <v>1125</v>
      </c>
      <c r="E1753" t="s">
        <v>2275</v>
      </c>
    </row>
    <row r="1754" spans="1:5">
      <c r="A1754" s="11"/>
      <c r="B1754" s="11">
        <v>130201169</v>
      </c>
      <c r="C1754" s="11" t="s">
        <v>1900</v>
      </c>
      <c r="D1754" s="11" t="s">
        <v>1125</v>
      </c>
      <c r="E1754" t="s">
        <v>2275</v>
      </c>
    </row>
    <row r="1755" spans="1:5">
      <c r="A1755" s="11"/>
      <c r="B1755" s="11">
        <v>130201170</v>
      </c>
      <c r="C1755" s="11" t="s">
        <v>1901</v>
      </c>
      <c r="D1755" s="11" t="s">
        <v>1125</v>
      </c>
      <c r="E1755" t="s">
        <v>2275</v>
      </c>
    </row>
    <row r="1756" spans="1:5">
      <c r="A1756" s="11"/>
      <c r="B1756" s="11">
        <v>130201171</v>
      </c>
      <c r="C1756" s="11" t="s">
        <v>1902</v>
      </c>
      <c r="D1756" s="11" t="s">
        <v>1125</v>
      </c>
      <c r="E1756" t="s">
        <v>2275</v>
      </c>
    </row>
    <row r="1757" spans="1:5">
      <c r="A1757" s="11"/>
      <c r="B1757" s="11">
        <v>130201172</v>
      </c>
      <c r="C1757" s="11" t="s">
        <v>1903</v>
      </c>
      <c r="D1757" s="11" t="s">
        <v>1125</v>
      </c>
      <c r="E1757" t="s">
        <v>2275</v>
      </c>
    </row>
    <row r="1758" spans="1:5">
      <c r="A1758" s="11"/>
      <c r="B1758" s="11">
        <v>130201173</v>
      </c>
      <c r="C1758" s="11" t="s">
        <v>1904</v>
      </c>
      <c r="D1758" s="11" t="s">
        <v>1812</v>
      </c>
      <c r="E1758" t="s">
        <v>2275</v>
      </c>
    </row>
    <row r="1759" spans="1:5">
      <c r="A1759" s="11"/>
      <c r="B1759" s="11">
        <v>130201175</v>
      </c>
      <c r="C1759" s="11" t="s">
        <v>1905</v>
      </c>
      <c r="D1759" s="11" t="s">
        <v>1125</v>
      </c>
      <c r="E1759" t="s">
        <v>2275</v>
      </c>
    </row>
    <row r="1760" spans="1:5">
      <c r="A1760" s="11"/>
      <c r="B1760" s="11">
        <v>130201178</v>
      </c>
      <c r="C1760" s="11" t="s">
        <v>1906</v>
      </c>
      <c r="D1760" s="11" t="s">
        <v>1821</v>
      </c>
      <c r="E1760" t="s">
        <v>2275</v>
      </c>
    </row>
    <row r="1761" spans="1:5">
      <c r="A1761" s="11"/>
      <c r="B1761" s="11">
        <v>130201181</v>
      </c>
      <c r="C1761" s="11" t="s">
        <v>1907</v>
      </c>
      <c r="D1761" s="11" t="s">
        <v>1125</v>
      </c>
      <c r="E1761" t="s">
        <v>2275</v>
      </c>
    </row>
    <row r="1762" spans="1:5">
      <c r="A1762" s="11"/>
      <c r="B1762" s="11">
        <v>130201182</v>
      </c>
      <c r="C1762" s="11" t="s">
        <v>1908</v>
      </c>
      <c r="D1762" s="11" t="s">
        <v>102</v>
      </c>
      <c r="E1762" t="s">
        <v>2275</v>
      </c>
    </row>
    <row r="1763" spans="1:5">
      <c r="A1763" s="11"/>
      <c r="B1763" s="11">
        <v>130201189</v>
      </c>
      <c r="C1763" s="11" t="s">
        <v>1909</v>
      </c>
      <c r="D1763" s="11" t="s">
        <v>1125</v>
      </c>
      <c r="E1763" t="s">
        <v>2275</v>
      </c>
    </row>
    <row r="1764" spans="1:5">
      <c r="A1764" s="11"/>
      <c r="B1764" s="11">
        <v>130201190</v>
      </c>
      <c r="C1764" s="11" t="s">
        <v>1910</v>
      </c>
      <c r="D1764" s="11" t="s">
        <v>1125</v>
      </c>
      <c r="E1764" t="s">
        <v>2275</v>
      </c>
    </row>
    <row r="1765" spans="1:5">
      <c r="A1765" s="11"/>
      <c r="B1765" s="11">
        <v>130201192</v>
      </c>
      <c r="C1765" s="11" t="s">
        <v>1911</v>
      </c>
      <c r="D1765" s="11" t="s">
        <v>1817</v>
      </c>
      <c r="E1765" t="s">
        <v>2275</v>
      </c>
    </row>
    <row r="1766" spans="1:5">
      <c r="A1766" s="11"/>
      <c r="B1766" s="11">
        <v>130201194</v>
      </c>
      <c r="C1766" s="11" t="s">
        <v>1912</v>
      </c>
      <c r="D1766" s="11" t="s">
        <v>1125</v>
      </c>
      <c r="E1766" t="s">
        <v>2275</v>
      </c>
    </row>
    <row r="1767" spans="1:5">
      <c r="A1767" s="11"/>
      <c r="B1767" s="11">
        <v>130201195</v>
      </c>
      <c r="C1767" s="11" t="s">
        <v>1913</v>
      </c>
      <c r="D1767" s="11" t="s">
        <v>1125</v>
      </c>
      <c r="E1767" t="s">
        <v>2275</v>
      </c>
    </row>
    <row r="1768" spans="1:5">
      <c r="A1768" s="11"/>
      <c r="B1768" s="11">
        <v>130201198</v>
      </c>
      <c r="C1768" s="11" t="s">
        <v>1914</v>
      </c>
      <c r="D1768" s="11" t="s">
        <v>1125</v>
      </c>
      <c r="E1768" t="s">
        <v>2275</v>
      </c>
    </row>
    <row r="1769" spans="1:5">
      <c r="A1769" s="11"/>
      <c r="B1769" s="11">
        <v>130201201</v>
      </c>
      <c r="C1769" s="11" t="s">
        <v>1915</v>
      </c>
      <c r="D1769" s="11" t="s">
        <v>1125</v>
      </c>
      <c r="E1769" t="s">
        <v>2275</v>
      </c>
    </row>
    <row r="1770" spans="1:5">
      <c r="A1770" s="11"/>
      <c r="B1770" s="11">
        <v>130201203</v>
      </c>
      <c r="C1770" s="11" t="s">
        <v>1916</v>
      </c>
      <c r="D1770" s="11" t="s">
        <v>1125</v>
      </c>
      <c r="E1770" t="s">
        <v>2275</v>
      </c>
    </row>
    <row r="1771" spans="1:5">
      <c r="A1771" s="11"/>
      <c r="B1771" s="11">
        <v>130201204</v>
      </c>
      <c r="C1771" s="11" t="s">
        <v>1917</v>
      </c>
      <c r="D1771" s="11" t="s">
        <v>1125</v>
      </c>
      <c r="E1771" t="s">
        <v>2275</v>
      </c>
    </row>
    <row r="1772" spans="1:5">
      <c r="A1772" s="11"/>
      <c r="B1772" s="11">
        <v>130201211</v>
      </c>
      <c r="C1772" s="11" t="s">
        <v>1918</v>
      </c>
      <c r="D1772" s="11" t="s">
        <v>1125</v>
      </c>
      <c r="E1772" t="s">
        <v>2275</v>
      </c>
    </row>
    <row r="1773" spans="1:5">
      <c r="A1773" s="11"/>
      <c r="B1773" s="11">
        <v>130201219</v>
      </c>
      <c r="C1773" s="11" t="s">
        <v>1919</v>
      </c>
      <c r="D1773" s="11" t="s">
        <v>1125</v>
      </c>
      <c r="E1773" t="s">
        <v>2275</v>
      </c>
    </row>
    <row r="1774" spans="1:5">
      <c r="A1774" s="11"/>
      <c r="B1774" s="11">
        <v>130201220</v>
      </c>
      <c r="C1774" s="11" t="s">
        <v>1920</v>
      </c>
      <c r="D1774" s="11" t="s">
        <v>1125</v>
      </c>
      <c r="E1774" t="s">
        <v>2275</v>
      </c>
    </row>
    <row r="1775" spans="1:5">
      <c r="A1775" s="11"/>
      <c r="B1775" s="11">
        <v>130201223</v>
      </c>
      <c r="C1775" s="11" t="s">
        <v>1921</v>
      </c>
      <c r="D1775" s="11" t="s">
        <v>1125</v>
      </c>
      <c r="E1775" t="s">
        <v>2275</v>
      </c>
    </row>
    <row r="1776" spans="1:5">
      <c r="A1776" s="11"/>
      <c r="B1776" s="11">
        <v>130201224</v>
      </c>
      <c r="C1776" s="11" t="s">
        <v>1922</v>
      </c>
      <c r="D1776" s="11" t="s">
        <v>1863</v>
      </c>
      <c r="E1776" t="s">
        <v>2275</v>
      </c>
    </row>
    <row r="1777" spans="1:5">
      <c r="A1777" s="11"/>
      <c r="B1777" s="11">
        <v>130201225</v>
      </c>
      <c r="C1777" s="11" t="s">
        <v>1923</v>
      </c>
      <c r="D1777" s="11" t="s">
        <v>1125</v>
      </c>
      <c r="E1777" t="s">
        <v>2275</v>
      </c>
    </row>
    <row r="1778" spans="1:5">
      <c r="A1778" s="11"/>
      <c r="B1778" s="11">
        <v>130201226</v>
      </c>
      <c r="C1778" s="11" t="s">
        <v>1924</v>
      </c>
      <c r="D1778" s="11" t="s">
        <v>1125</v>
      </c>
      <c r="E1778" t="s">
        <v>2275</v>
      </c>
    </row>
    <row r="1779" spans="1:5">
      <c r="A1779" s="11"/>
      <c r="B1779" s="11">
        <v>130201227</v>
      </c>
      <c r="C1779" s="11" t="s">
        <v>1925</v>
      </c>
      <c r="D1779" s="11" t="s">
        <v>1125</v>
      </c>
      <c r="E1779" t="s">
        <v>2275</v>
      </c>
    </row>
    <row r="1780" spans="1:5">
      <c r="A1780" s="11"/>
      <c r="B1780" s="11">
        <v>130201228</v>
      </c>
      <c r="C1780" s="11" t="s">
        <v>1926</v>
      </c>
      <c r="D1780" s="11" t="s">
        <v>1125</v>
      </c>
      <c r="E1780" t="s">
        <v>2275</v>
      </c>
    </row>
    <row r="1781" spans="1:5">
      <c r="A1781" s="11"/>
      <c r="B1781" s="11">
        <v>130201231</v>
      </c>
      <c r="C1781" s="11" t="s">
        <v>1927</v>
      </c>
      <c r="D1781" s="11" t="s">
        <v>1125</v>
      </c>
      <c r="E1781" t="s">
        <v>2275</v>
      </c>
    </row>
    <row r="1782" spans="1:5">
      <c r="A1782" s="11"/>
      <c r="B1782" s="11">
        <v>130201232</v>
      </c>
      <c r="C1782" s="11" t="s">
        <v>1928</v>
      </c>
      <c r="D1782" s="11" t="s">
        <v>1821</v>
      </c>
      <c r="E1782" t="s">
        <v>2275</v>
      </c>
    </row>
    <row r="1783" spans="1:5">
      <c r="A1783" s="11"/>
      <c r="B1783" s="11">
        <v>130201233</v>
      </c>
      <c r="C1783" s="11" t="s">
        <v>1929</v>
      </c>
      <c r="D1783" s="11" t="s">
        <v>1821</v>
      </c>
      <c r="E1783" t="s">
        <v>2275</v>
      </c>
    </row>
    <row r="1784" spans="1:5">
      <c r="A1784" s="11"/>
      <c r="B1784" s="11">
        <v>130201234</v>
      </c>
      <c r="C1784" s="11" t="s">
        <v>1930</v>
      </c>
      <c r="D1784" s="11" t="s">
        <v>1125</v>
      </c>
      <c r="E1784" t="s">
        <v>2275</v>
      </c>
    </row>
    <row r="1785" spans="1:5">
      <c r="A1785" s="11"/>
      <c r="B1785" s="11">
        <v>130201235</v>
      </c>
      <c r="C1785" s="11" t="s">
        <v>1931</v>
      </c>
      <c r="D1785" s="11" t="s">
        <v>1125</v>
      </c>
      <c r="E1785" t="s">
        <v>2275</v>
      </c>
    </row>
    <row r="1786" spans="1:5">
      <c r="A1786" s="11"/>
      <c r="B1786" s="11">
        <v>130201236</v>
      </c>
      <c r="C1786" s="11" t="s">
        <v>1932</v>
      </c>
      <c r="D1786" s="11" t="s">
        <v>1125</v>
      </c>
      <c r="E1786" t="s">
        <v>2275</v>
      </c>
    </row>
    <row r="1787" spans="1:5">
      <c r="A1787" s="11"/>
      <c r="B1787" s="11">
        <v>130201237</v>
      </c>
      <c r="C1787" s="11" t="s">
        <v>1933</v>
      </c>
      <c r="D1787" s="11" t="s">
        <v>1125</v>
      </c>
      <c r="E1787" t="s">
        <v>2275</v>
      </c>
    </row>
    <row r="1788" spans="1:5">
      <c r="A1788" s="11"/>
      <c r="B1788" s="11">
        <v>130201238</v>
      </c>
      <c r="C1788" s="11" t="s">
        <v>1934</v>
      </c>
      <c r="D1788" s="11" t="s">
        <v>1125</v>
      </c>
      <c r="E1788" t="s">
        <v>2275</v>
      </c>
    </row>
    <row r="1789" spans="1:5">
      <c r="A1789" s="11"/>
      <c r="B1789" s="11">
        <v>130201239</v>
      </c>
      <c r="C1789" s="11" t="s">
        <v>1935</v>
      </c>
      <c r="D1789" s="11" t="s">
        <v>1125</v>
      </c>
      <c r="E1789" t="s">
        <v>2275</v>
      </c>
    </row>
    <row r="1790" spans="1:5">
      <c r="A1790" s="11"/>
      <c r="B1790" s="11">
        <v>130201240</v>
      </c>
      <c r="C1790" s="11" t="s">
        <v>1936</v>
      </c>
      <c r="D1790" s="11" t="s">
        <v>1125</v>
      </c>
      <c r="E1790" t="s">
        <v>2275</v>
      </c>
    </row>
    <row r="1791" spans="1:5">
      <c r="A1791" s="11"/>
      <c r="B1791" s="11">
        <v>130201242</v>
      </c>
      <c r="C1791" s="11" t="s">
        <v>1937</v>
      </c>
      <c r="D1791" s="11" t="s">
        <v>1125</v>
      </c>
      <c r="E1791" t="s">
        <v>2275</v>
      </c>
    </row>
    <row r="1792" spans="1:5">
      <c r="A1792" s="11"/>
      <c r="B1792" s="11">
        <v>130201248</v>
      </c>
      <c r="C1792" s="11" t="s">
        <v>1938</v>
      </c>
      <c r="D1792" s="11" t="s">
        <v>1817</v>
      </c>
      <c r="E1792" t="s">
        <v>2275</v>
      </c>
    </row>
    <row r="1793" spans="1:5">
      <c r="A1793" s="11"/>
      <c r="B1793" s="11">
        <v>130201250</v>
      </c>
      <c r="C1793" s="11" t="s">
        <v>1939</v>
      </c>
      <c r="D1793" s="11" t="s">
        <v>1125</v>
      </c>
      <c r="E1793" t="s">
        <v>2275</v>
      </c>
    </row>
    <row r="1794" spans="1:5">
      <c r="A1794" s="11"/>
      <c r="B1794" s="11">
        <v>130201253</v>
      </c>
      <c r="C1794" s="11" t="s">
        <v>1940</v>
      </c>
      <c r="D1794" s="11" t="s">
        <v>1125</v>
      </c>
      <c r="E1794" t="s">
        <v>2275</v>
      </c>
    </row>
    <row r="1795" spans="1:5">
      <c r="A1795" s="11"/>
      <c r="B1795" s="11">
        <v>130201255</v>
      </c>
      <c r="C1795" s="11" t="s">
        <v>1941</v>
      </c>
      <c r="D1795" s="11" t="s">
        <v>1125</v>
      </c>
      <c r="E1795" t="s">
        <v>2275</v>
      </c>
    </row>
    <row r="1796" spans="1:5">
      <c r="A1796" s="11"/>
      <c r="B1796" s="11">
        <v>130201256</v>
      </c>
      <c r="C1796" s="11" t="s">
        <v>1942</v>
      </c>
      <c r="D1796" s="11" t="s">
        <v>1125</v>
      </c>
      <c r="E1796" t="s">
        <v>2275</v>
      </c>
    </row>
    <row r="1797" spans="1:5">
      <c r="A1797" s="11"/>
      <c r="B1797" s="11">
        <v>130201257</v>
      </c>
      <c r="C1797" s="11" t="s">
        <v>1943</v>
      </c>
      <c r="D1797" s="11" t="s">
        <v>1125</v>
      </c>
      <c r="E1797" t="s">
        <v>2275</v>
      </c>
    </row>
    <row r="1798" spans="1:5">
      <c r="A1798" s="11"/>
      <c r="B1798" s="11">
        <v>130201258</v>
      </c>
      <c r="C1798" s="11" t="s">
        <v>1944</v>
      </c>
      <c r="D1798" s="11" t="s">
        <v>1125</v>
      </c>
      <c r="E1798" t="s">
        <v>2275</v>
      </c>
    </row>
    <row r="1799" spans="1:5">
      <c r="A1799" s="11"/>
      <c r="B1799" s="11">
        <v>130201261</v>
      </c>
      <c r="C1799" s="11" t="s">
        <v>1945</v>
      </c>
      <c r="D1799" s="11" t="s">
        <v>1863</v>
      </c>
      <c r="E1799" t="s">
        <v>2275</v>
      </c>
    </row>
    <row r="1800" spans="1:5">
      <c r="A1800" s="11"/>
      <c r="B1800" s="11">
        <v>130201263</v>
      </c>
      <c r="C1800" s="11" t="s">
        <v>1946</v>
      </c>
      <c r="D1800" s="11" t="s">
        <v>1863</v>
      </c>
      <c r="E1800" t="s">
        <v>2275</v>
      </c>
    </row>
    <row r="1801" spans="1:5">
      <c r="A1801" s="11"/>
      <c r="B1801" s="11">
        <v>130201268</v>
      </c>
      <c r="C1801" s="11" t="s">
        <v>1947</v>
      </c>
      <c r="D1801" s="11" t="s">
        <v>1863</v>
      </c>
      <c r="E1801" t="s">
        <v>2275</v>
      </c>
    </row>
    <row r="1802" spans="1:5">
      <c r="A1802" s="11"/>
      <c r="B1802" s="11">
        <v>130201269</v>
      </c>
      <c r="C1802" s="11" t="s">
        <v>1948</v>
      </c>
      <c r="D1802" s="11" t="s">
        <v>1125</v>
      </c>
      <c r="E1802" t="s">
        <v>2275</v>
      </c>
    </row>
    <row r="1803" spans="1:5">
      <c r="A1803" s="11"/>
      <c r="B1803" s="11">
        <v>130201270</v>
      </c>
      <c r="C1803" s="11" t="s">
        <v>1949</v>
      </c>
      <c r="D1803" s="11" t="s">
        <v>1125</v>
      </c>
      <c r="E1803" t="s">
        <v>2275</v>
      </c>
    </row>
    <row r="1804" spans="1:5">
      <c r="A1804" s="11"/>
      <c r="B1804" s="11">
        <v>130201272</v>
      </c>
      <c r="C1804" s="11" t="s">
        <v>1950</v>
      </c>
      <c r="D1804" s="11" t="s">
        <v>1863</v>
      </c>
      <c r="E1804" t="s">
        <v>2275</v>
      </c>
    </row>
    <row r="1805" spans="1:5">
      <c r="A1805" s="11"/>
      <c r="B1805" s="11">
        <v>130201274</v>
      </c>
      <c r="C1805" s="11" t="s">
        <v>1951</v>
      </c>
      <c r="D1805" s="11" t="s">
        <v>1125</v>
      </c>
      <c r="E1805" t="s">
        <v>2275</v>
      </c>
    </row>
    <row r="1806" spans="1:5">
      <c r="A1806" s="11"/>
      <c r="B1806" s="11">
        <v>130201275</v>
      </c>
      <c r="C1806" s="11" t="s">
        <v>1952</v>
      </c>
      <c r="D1806" s="11" t="s">
        <v>1125</v>
      </c>
      <c r="E1806" t="s">
        <v>2275</v>
      </c>
    </row>
    <row r="1807" spans="1:5">
      <c r="A1807" s="11"/>
      <c r="B1807" s="11">
        <v>130201277</v>
      </c>
      <c r="C1807" s="11" t="s">
        <v>1953</v>
      </c>
      <c r="D1807" s="11" t="s">
        <v>1125</v>
      </c>
      <c r="E1807" t="s">
        <v>2275</v>
      </c>
    </row>
    <row r="1808" spans="1:5">
      <c r="A1808" s="11"/>
      <c r="B1808" s="11">
        <v>130201278</v>
      </c>
      <c r="C1808" s="11" t="s">
        <v>1954</v>
      </c>
      <c r="D1808" s="11" t="s">
        <v>1125</v>
      </c>
      <c r="E1808" t="s">
        <v>2275</v>
      </c>
    </row>
    <row r="1809" spans="1:5">
      <c r="A1809" s="11"/>
      <c r="B1809" s="11">
        <v>130201279</v>
      </c>
      <c r="C1809" s="11" t="s">
        <v>1955</v>
      </c>
      <c r="D1809" s="11" t="s">
        <v>1125</v>
      </c>
      <c r="E1809" t="s">
        <v>2275</v>
      </c>
    </row>
    <row r="1810" spans="1:5">
      <c r="A1810" s="11"/>
      <c r="B1810" s="11">
        <v>130201290</v>
      </c>
      <c r="C1810" s="11" t="s">
        <v>1956</v>
      </c>
      <c r="D1810" s="11" t="s">
        <v>1957</v>
      </c>
      <c r="E1810" t="s">
        <v>2275</v>
      </c>
    </row>
    <row r="1811" spans="1:5">
      <c r="A1811" s="11"/>
      <c r="B1811" s="11">
        <v>130201291</v>
      </c>
      <c r="C1811" s="11" t="s">
        <v>1958</v>
      </c>
      <c r="D1811" s="11" t="s">
        <v>1817</v>
      </c>
      <c r="E1811" t="s">
        <v>2275</v>
      </c>
    </row>
    <row r="1812" spans="1:5">
      <c r="A1812" s="11"/>
      <c r="B1812" s="11">
        <v>130201292</v>
      </c>
      <c r="C1812" s="11" t="s">
        <v>1959</v>
      </c>
      <c r="D1812" s="11" t="s">
        <v>1817</v>
      </c>
      <c r="E1812" t="s">
        <v>2275</v>
      </c>
    </row>
    <row r="1813" spans="1:5">
      <c r="A1813" s="11"/>
      <c r="B1813" s="11">
        <v>130201294</v>
      </c>
      <c r="C1813" s="11" t="s">
        <v>1960</v>
      </c>
      <c r="D1813" s="11" t="s">
        <v>1125</v>
      </c>
      <c r="E1813" t="s">
        <v>2275</v>
      </c>
    </row>
    <row r="1814" spans="1:5">
      <c r="A1814" s="11"/>
      <c r="B1814" s="11">
        <v>130201296</v>
      </c>
      <c r="C1814" s="11" t="s">
        <v>1961</v>
      </c>
      <c r="D1814" s="11" t="s">
        <v>102</v>
      </c>
      <c r="E1814" t="s">
        <v>2275</v>
      </c>
    </row>
    <row r="1815" spans="1:5">
      <c r="A1815" s="11"/>
      <c r="B1815" s="11">
        <v>130201297</v>
      </c>
      <c r="C1815" s="11" t="s">
        <v>1962</v>
      </c>
      <c r="D1815" s="11" t="s">
        <v>1125</v>
      </c>
      <c r="E1815" t="s">
        <v>2275</v>
      </c>
    </row>
    <row r="1816" spans="1:5">
      <c r="A1816" s="11"/>
      <c r="B1816" s="11">
        <v>130201298</v>
      </c>
      <c r="C1816" s="11" t="s">
        <v>1963</v>
      </c>
      <c r="D1816" s="11" t="s">
        <v>1125</v>
      </c>
      <c r="E1816" t="s">
        <v>2275</v>
      </c>
    </row>
    <row r="1817" spans="1:5">
      <c r="A1817" s="11"/>
      <c r="B1817" s="11">
        <v>130201299</v>
      </c>
      <c r="C1817" s="11" t="s">
        <v>1964</v>
      </c>
      <c r="D1817" s="11" t="s">
        <v>1125</v>
      </c>
      <c r="E1817" t="s">
        <v>2275</v>
      </c>
    </row>
    <row r="1818" spans="1:5">
      <c r="A1818" s="11"/>
      <c r="B1818" s="11">
        <v>130201300</v>
      </c>
      <c r="C1818" s="11" t="s">
        <v>1965</v>
      </c>
      <c r="D1818" s="11" t="s">
        <v>1125</v>
      </c>
      <c r="E1818" t="s">
        <v>2275</v>
      </c>
    </row>
    <row r="1819" spans="1:5">
      <c r="A1819" s="11"/>
      <c r="B1819" s="11">
        <v>130201301</v>
      </c>
      <c r="C1819" s="11" t="s">
        <v>1966</v>
      </c>
      <c r="D1819" s="11" t="s">
        <v>1125</v>
      </c>
      <c r="E1819" t="s">
        <v>2275</v>
      </c>
    </row>
    <row r="1820" spans="1:5">
      <c r="A1820" s="11"/>
      <c r="B1820" s="11">
        <v>130201302</v>
      </c>
      <c r="C1820" s="11" t="s">
        <v>1967</v>
      </c>
      <c r="D1820" s="11" t="s">
        <v>1125</v>
      </c>
      <c r="E1820" t="s">
        <v>2275</v>
      </c>
    </row>
    <row r="1821" spans="1:5">
      <c r="A1821" s="11"/>
      <c r="B1821" s="11">
        <v>130201305</v>
      </c>
      <c r="C1821" s="11" t="s">
        <v>1968</v>
      </c>
      <c r="D1821" s="11" t="s">
        <v>1125</v>
      </c>
      <c r="E1821" t="s">
        <v>2275</v>
      </c>
    </row>
    <row r="1822" spans="1:5">
      <c r="A1822" s="11"/>
      <c r="B1822" s="11">
        <v>130201307</v>
      </c>
      <c r="C1822" s="11" t="s">
        <v>1969</v>
      </c>
      <c r="D1822" s="11" t="s">
        <v>1125</v>
      </c>
      <c r="E1822" t="s">
        <v>2275</v>
      </c>
    </row>
    <row r="1823" spans="1:5">
      <c r="A1823" s="11"/>
      <c r="B1823" s="11">
        <v>130201312</v>
      </c>
      <c r="C1823" s="11" t="s">
        <v>1970</v>
      </c>
      <c r="D1823" s="11" t="s">
        <v>1821</v>
      </c>
      <c r="E1823" t="s">
        <v>2275</v>
      </c>
    </row>
    <row r="1824" spans="1:5">
      <c r="A1824" s="11"/>
      <c r="B1824" s="11">
        <v>130201317</v>
      </c>
      <c r="C1824" s="11" t="s">
        <v>1971</v>
      </c>
      <c r="D1824" s="11" t="s">
        <v>1125</v>
      </c>
      <c r="E1824" t="s">
        <v>2275</v>
      </c>
    </row>
    <row r="1825" spans="1:5">
      <c r="A1825" s="11"/>
      <c r="B1825" s="11">
        <v>130201318</v>
      </c>
      <c r="C1825" s="11" t="s">
        <v>1972</v>
      </c>
      <c r="D1825" s="11" t="s">
        <v>1125</v>
      </c>
      <c r="E1825" t="s">
        <v>2275</v>
      </c>
    </row>
    <row r="1826" spans="1:5">
      <c r="A1826" s="11"/>
      <c r="B1826" s="11">
        <v>130201322</v>
      </c>
      <c r="C1826" s="11" t="s">
        <v>1973</v>
      </c>
      <c r="D1826" s="11" t="s">
        <v>1125</v>
      </c>
      <c r="E1826" t="s">
        <v>2275</v>
      </c>
    </row>
    <row r="1827" spans="1:5">
      <c r="A1827" s="11"/>
      <c r="B1827" s="11">
        <v>130201323</v>
      </c>
      <c r="C1827" s="11" t="s">
        <v>1974</v>
      </c>
      <c r="D1827" s="11" t="s">
        <v>102</v>
      </c>
      <c r="E1827" t="s">
        <v>2275</v>
      </c>
    </row>
    <row r="1828" spans="1:5">
      <c r="A1828" s="11"/>
      <c r="B1828" s="11">
        <v>130201324</v>
      </c>
      <c r="C1828" s="11" t="s">
        <v>1975</v>
      </c>
      <c r="D1828" s="11" t="s">
        <v>1125</v>
      </c>
      <c r="E1828" t="s">
        <v>2275</v>
      </c>
    </row>
    <row r="1829" spans="1:5">
      <c r="A1829" s="11"/>
      <c r="B1829" s="11">
        <v>130201329</v>
      </c>
      <c r="C1829" s="11" t="s">
        <v>1976</v>
      </c>
      <c r="D1829" s="11" t="s">
        <v>1125</v>
      </c>
      <c r="E1829" t="s">
        <v>2275</v>
      </c>
    </row>
    <row r="1830" spans="1:5">
      <c r="A1830" s="11"/>
      <c r="B1830" s="11">
        <v>130201330</v>
      </c>
      <c r="C1830" s="11" t="s">
        <v>1977</v>
      </c>
      <c r="D1830" s="11" t="s">
        <v>1125</v>
      </c>
      <c r="E1830" t="s">
        <v>2275</v>
      </c>
    </row>
    <row r="1831" spans="1:5">
      <c r="A1831" s="11"/>
      <c r="B1831" s="11">
        <v>130201331</v>
      </c>
      <c r="C1831" s="11" t="s">
        <v>1978</v>
      </c>
      <c r="D1831" s="11" t="s">
        <v>1125</v>
      </c>
      <c r="E1831" t="s">
        <v>2275</v>
      </c>
    </row>
    <row r="1832" spans="1:5">
      <c r="A1832" s="11"/>
      <c r="B1832" s="11">
        <v>130201332</v>
      </c>
      <c r="C1832" s="11" t="s">
        <v>1979</v>
      </c>
      <c r="D1832" s="11" t="s">
        <v>1125</v>
      </c>
      <c r="E1832" t="s">
        <v>2275</v>
      </c>
    </row>
    <row r="1833" spans="1:5">
      <c r="A1833" s="11"/>
      <c r="B1833" s="11">
        <v>130201333</v>
      </c>
      <c r="C1833" s="11" t="s">
        <v>1980</v>
      </c>
      <c r="D1833" s="11" t="s">
        <v>1125</v>
      </c>
      <c r="E1833" t="s">
        <v>2275</v>
      </c>
    </row>
    <row r="1834" spans="1:5">
      <c r="A1834" s="11"/>
      <c r="B1834" s="11">
        <v>130201334</v>
      </c>
      <c r="C1834" s="11" t="s">
        <v>1981</v>
      </c>
      <c r="D1834" s="11" t="s">
        <v>1125</v>
      </c>
      <c r="E1834" t="s">
        <v>2275</v>
      </c>
    </row>
    <row r="1835" spans="1:5">
      <c r="A1835" s="11"/>
      <c r="B1835" s="11">
        <v>130201336</v>
      </c>
      <c r="C1835" s="11" t="s">
        <v>1982</v>
      </c>
      <c r="D1835" s="11" t="s">
        <v>1125</v>
      </c>
      <c r="E1835" t="s">
        <v>2275</v>
      </c>
    </row>
    <row r="1836" spans="1:5">
      <c r="A1836" s="11"/>
      <c r="B1836" s="11">
        <v>130201337</v>
      </c>
      <c r="C1836" s="11" t="s">
        <v>1983</v>
      </c>
      <c r="D1836" s="11" t="s">
        <v>1863</v>
      </c>
      <c r="E1836" t="s">
        <v>2275</v>
      </c>
    </row>
    <row r="1837" spans="1:5">
      <c r="A1837" s="11"/>
      <c r="B1837" s="11">
        <v>130201338</v>
      </c>
      <c r="C1837" s="11" t="s">
        <v>1984</v>
      </c>
      <c r="D1837" s="11" t="s">
        <v>1125</v>
      </c>
      <c r="E1837" t="s">
        <v>2275</v>
      </c>
    </row>
    <row r="1838" spans="1:5">
      <c r="A1838" s="11"/>
      <c r="B1838" s="11">
        <v>130201340</v>
      </c>
      <c r="C1838" s="11" t="s">
        <v>1985</v>
      </c>
      <c r="D1838" s="11" t="s">
        <v>1125</v>
      </c>
      <c r="E1838" t="s">
        <v>2275</v>
      </c>
    </row>
    <row r="1839" spans="1:5">
      <c r="A1839" s="11"/>
      <c r="B1839" s="11">
        <v>130201341</v>
      </c>
      <c r="C1839" s="11" t="s">
        <v>1986</v>
      </c>
      <c r="D1839" s="11" t="s">
        <v>1125</v>
      </c>
      <c r="E1839" t="s">
        <v>2275</v>
      </c>
    </row>
    <row r="1840" spans="1:5">
      <c r="A1840" s="11"/>
      <c r="B1840" s="11">
        <v>130201343</v>
      </c>
      <c r="C1840" s="11" t="s">
        <v>1987</v>
      </c>
      <c r="D1840" s="11" t="s">
        <v>1125</v>
      </c>
      <c r="E1840" t="s">
        <v>2275</v>
      </c>
    </row>
    <row r="1841" spans="1:5">
      <c r="A1841" s="11"/>
      <c r="B1841" s="11">
        <v>130201344</v>
      </c>
      <c r="C1841" s="11" t="s">
        <v>1988</v>
      </c>
      <c r="D1841" s="11" t="s">
        <v>1125</v>
      </c>
      <c r="E1841" t="s">
        <v>2275</v>
      </c>
    </row>
    <row r="1842" spans="1:5">
      <c r="A1842" s="11"/>
      <c r="B1842" s="11">
        <v>130201346</v>
      </c>
      <c r="C1842" s="11" t="s">
        <v>1989</v>
      </c>
      <c r="D1842" s="11" t="s">
        <v>1125</v>
      </c>
      <c r="E1842" t="s">
        <v>2275</v>
      </c>
    </row>
    <row r="1843" spans="1:5">
      <c r="A1843" s="11"/>
      <c r="B1843" s="11">
        <v>130201347</v>
      </c>
      <c r="C1843" s="11" t="s">
        <v>1990</v>
      </c>
      <c r="D1843" s="11" t="s">
        <v>1125</v>
      </c>
      <c r="E1843" t="s">
        <v>2275</v>
      </c>
    </row>
    <row r="1844" spans="1:5">
      <c r="A1844" s="11"/>
      <c r="B1844" s="11">
        <v>130201348</v>
      </c>
      <c r="C1844" s="11" t="s">
        <v>1991</v>
      </c>
      <c r="D1844" s="11" t="s">
        <v>1125</v>
      </c>
      <c r="E1844" t="s">
        <v>2275</v>
      </c>
    </row>
    <row r="1845" spans="1:5">
      <c r="A1845" s="11"/>
      <c r="B1845" s="11">
        <v>130201355</v>
      </c>
      <c r="C1845" s="11" t="s">
        <v>1992</v>
      </c>
      <c r="D1845" s="11" t="s">
        <v>1125</v>
      </c>
      <c r="E1845" t="s">
        <v>2275</v>
      </c>
    </row>
    <row r="1846" spans="1:5">
      <c r="A1846" s="11"/>
      <c r="B1846" s="11">
        <v>130201356</v>
      </c>
      <c r="C1846" s="11" t="s">
        <v>1993</v>
      </c>
      <c r="D1846" s="11" t="s">
        <v>1125</v>
      </c>
      <c r="E1846" t="s">
        <v>2275</v>
      </c>
    </row>
    <row r="1847" spans="1:5">
      <c r="A1847" s="11"/>
      <c r="B1847" s="11">
        <v>130201357</v>
      </c>
      <c r="C1847" s="11" t="s">
        <v>1994</v>
      </c>
      <c r="D1847" s="11" t="s">
        <v>1125</v>
      </c>
      <c r="E1847" t="s">
        <v>2275</v>
      </c>
    </row>
    <row r="1848" spans="1:5">
      <c r="A1848" s="11"/>
      <c r="B1848" s="11">
        <v>130201358</v>
      </c>
      <c r="C1848" s="11" t="s">
        <v>1995</v>
      </c>
      <c r="D1848" s="11" t="s">
        <v>1125</v>
      </c>
      <c r="E1848" t="s">
        <v>2275</v>
      </c>
    </row>
    <row r="1849" spans="1:5">
      <c r="A1849" s="11"/>
      <c r="B1849" s="11">
        <v>130201359</v>
      </c>
      <c r="C1849" s="11" t="s">
        <v>1996</v>
      </c>
      <c r="D1849" s="11" t="s">
        <v>1125</v>
      </c>
      <c r="E1849" t="s">
        <v>2275</v>
      </c>
    </row>
    <row r="1850" spans="1:5">
      <c r="A1850" s="11"/>
      <c r="B1850" s="11">
        <v>130201361</v>
      </c>
      <c r="C1850" s="11" t="s">
        <v>1997</v>
      </c>
      <c r="D1850" s="11" t="s">
        <v>1125</v>
      </c>
      <c r="E1850" t="s">
        <v>2275</v>
      </c>
    </row>
    <row r="1851" spans="1:5">
      <c r="A1851" s="11"/>
      <c r="B1851" s="11">
        <v>130201362</v>
      </c>
      <c r="C1851" s="11" t="s">
        <v>1998</v>
      </c>
      <c r="D1851" s="11" t="s">
        <v>1125</v>
      </c>
      <c r="E1851" t="s">
        <v>2275</v>
      </c>
    </row>
    <row r="1852" spans="1:5">
      <c r="A1852" s="11"/>
      <c r="B1852" s="11">
        <v>130201363</v>
      </c>
      <c r="C1852" s="11" t="s">
        <v>1999</v>
      </c>
      <c r="D1852" s="11" t="s">
        <v>1125</v>
      </c>
      <c r="E1852" t="s">
        <v>2275</v>
      </c>
    </row>
    <row r="1853" spans="1:5">
      <c r="A1853" s="11"/>
      <c r="B1853" s="11">
        <v>130201364</v>
      </c>
      <c r="C1853" s="11" t="s">
        <v>2000</v>
      </c>
      <c r="D1853" s="11" t="s">
        <v>1125</v>
      </c>
      <c r="E1853" t="s">
        <v>2275</v>
      </c>
    </row>
    <row r="1854" spans="1:5">
      <c r="A1854" s="11"/>
      <c r="B1854" s="11">
        <v>130201365</v>
      </c>
      <c r="C1854" s="11" t="s">
        <v>2001</v>
      </c>
      <c r="D1854" s="11" t="s">
        <v>1125</v>
      </c>
      <c r="E1854" t="s">
        <v>2275</v>
      </c>
    </row>
    <row r="1855" spans="1:5">
      <c r="A1855" s="11"/>
      <c r="B1855" s="11">
        <v>130201366</v>
      </c>
      <c r="C1855" s="11" t="s">
        <v>2002</v>
      </c>
      <c r="D1855" s="11" t="s">
        <v>1125</v>
      </c>
      <c r="E1855" t="s">
        <v>2275</v>
      </c>
    </row>
    <row r="1856" spans="1:5">
      <c r="A1856" s="11"/>
      <c r="B1856" s="11">
        <v>130201367</v>
      </c>
      <c r="C1856" s="11" t="s">
        <v>2003</v>
      </c>
      <c r="D1856" s="11" t="s">
        <v>1125</v>
      </c>
      <c r="E1856" t="s">
        <v>2275</v>
      </c>
    </row>
    <row r="1857" spans="1:5">
      <c r="A1857" s="11"/>
      <c r="B1857" s="11">
        <v>130201372</v>
      </c>
      <c r="C1857" s="11" t="s">
        <v>2004</v>
      </c>
      <c r="D1857" s="11" t="s">
        <v>1125</v>
      </c>
      <c r="E1857" t="s">
        <v>2275</v>
      </c>
    </row>
    <row r="1858" spans="1:5">
      <c r="A1858" s="11"/>
      <c r="B1858" s="11">
        <v>130201380</v>
      </c>
      <c r="C1858" s="11" t="s">
        <v>2005</v>
      </c>
      <c r="D1858" s="11" t="s">
        <v>1125</v>
      </c>
      <c r="E1858" t="s">
        <v>2275</v>
      </c>
    </row>
    <row r="1859" spans="1:5">
      <c r="A1859" s="11"/>
      <c r="B1859" s="11">
        <v>130201381</v>
      </c>
      <c r="C1859" s="11" t="s">
        <v>2006</v>
      </c>
      <c r="D1859" s="11" t="s">
        <v>1125</v>
      </c>
      <c r="E1859" t="s">
        <v>2275</v>
      </c>
    </row>
    <row r="1860" spans="1:5">
      <c r="A1860" s="11"/>
      <c r="B1860" s="11">
        <v>130201390</v>
      </c>
      <c r="C1860" s="11" t="s">
        <v>2007</v>
      </c>
      <c r="D1860" s="11" t="s">
        <v>1125</v>
      </c>
      <c r="E1860" t="s">
        <v>2275</v>
      </c>
    </row>
    <row r="1861" spans="1:5">
      <c r="A1861" s="11"/>
      <c r="B1861" s="11">
        <v>130201395</v>
      </c>
      <c r="C1861" s="11" t="s">
        <v>2008</v>
      </c>
      <c r="D1861" s="11" t="s">
        <v>1125</v>
      </c>
      <c r="E1861" t="s">
        <v>2275</v>
      </c>
    </row>
    <row r="1862" spans="1:5">
      <c r="A1862" s="11"/>
      <c r="B1862" s="11">
        <v>130201396</v>
      </c>
      <c r="C1862" s="11" t="s">
        <v>2009</v>
      </c>
      <c r="D1862" s="11" t="s">
        <v>1125</v>
      </c>
      <c r="E1862" t="s">
        <v>2275</v>
      </c>
    </row>
    <row r="1863" spans="1:5">
      <c r="A1863" s="11"/>
      <c r="B1863" s="11">
        <v>130201399</v>
      </c>
      <c r="C1863" s="11" t="s">
        <v>2010</v>
      </c>
      <c r="D1863" s="11" t="s">
        <v>1125</v>
      </c>
      <c r="E1863" t="s">
        <v>2275</v>
      </c>
    </row>
    <row r="1864" spans="1:5">
      <c r="A1864" s="11"/>
      <c r="B1864" s="11">
        <v>130201400</v>
      </c>
      <c r="C1864" s="11" t="s">
        <v>2011</v>
      </c>
      <c r="D1864" s="11" t="s">
        <v>1125</v>
      </c>
      <c r="E1864" t="s">
        <v>2275</v>
      </c>
    </row>
    <row r="1865" spans="1:5">
      <c r="A1865" s="11"/>
      <c r="B1865" s="11">
        <v>130201402</v>
      </c>
      <c r="C1865" s="11" t="s">
        <v>2012</v>
      </c>
      <c r="D1865" s="11" t="s">
        <v>1125</v>
      </c>
      <c r="E1865" t="s">
        <v>2275</v>
      </c>
    </row>
    <row r="1866" spans="1:5">
      <c r="A1866" s="11"/>
      <c r="B1866" s="11">
        <v>130201404</v>
      </c>
      <c r="C1866" s="11" t="s">
        <v>2013</v>
      </c>
      <c r="D1866" s="11" t="s">
        <v>1125</v>
      </c>
      <c r="E1866" t="s">
        <v>2275</v>
      </c>
    </row>
    <row r="1867" spans="1:5">
      <c r="A1867" s="11"/>
      <c r="B1867" s="11">
        <v>130201405</v>
      </c>
      <c r="C1867" s="11" t="s">
        <v>2014</v>
      </c>
      <c r="D1867" s="11" t="s">
        <v>1125</v>
      </c>
      <c r="E1867" t="s">
        <v>2275</v>
      </c>
    </row>
    <row r="1868" spans="1:5">
      <c r="A1868" s="11"/>
      <c r="B1868" s="11">
        <v>130201410</v>
      </c>
      <c r="C1868" s="11" t="s">
        <v>2015</v>
      </c>
      <c r="D1868" s="11" t="s">
        <v>1125</v>
      </c>
      <c r="E1868" t="s">
        <v>2275</v>
      </c>
    </row>
    <row r="1869" spans="1:5">
      <c r="A1869" s="11"/>
      <c r="B1869" s="11">
        <v>130201415</v>
      </c>
      <c r="C1869" s="11" t="s">
        <v>2016</v>
      </c>
      <c r="D1869" s="11" t="s">
        <v>1125</v>
      </c>
      <c r="E1869" t="s">
        <v>2275</v>
      </c>
    </row>
    <row r="1870" spans="1:5">
      <c r="A1870" s="11"/>
      <c r="B1870" s="11">
        <v>130201416</v>
      </c>
      <c r="C1870" s="11" t="s">
        <v>2017</v>
      </c>
      <c r="D1870" s="11" t="s">
        <v>1125</v>
      </c>
      <c r="E1870" t="s">
        <v>2275</v>
      </c>
    </row>
    <row r="1871" spans="1:5">
      <c r="A1871" s="11"/>
      <c r="B1871" s="11">
        <v>130201418</v>
      </c>
      <c r="C1871" s="11" t="s">
        <v>2018</v>
      </c>
      <c r="D1871" s="11" t="s">
        <v>1125</v>
      </c>
      <c r="E1871" t="s">
        <v>2275</v>
      </c>
    </row>
    <row r="1872" spans="1:5">
      <c r="A1872" s="11"/>
      <c r="B1872" s="11">
        <v>130201427</v>
      </c>
      <c r="C1872" s="11" t="s">
        <v>2019</v>
      </c>
      <c r="D1872" s="11" t="s">
        <v>1125</v>
      </c>
      <c r="E1872" t="s">
        <v>2275</v>
      </c>
    </row>
    <row r="1873" spans="1:5">
      <c r="A1873" s="11"/>
      <c r="B1873" s="11">
        <v>130201429</v>
      </c>
      <c r="C1873" s="11" t="s">
        <v>2020</v>
      </c>
      <c r="D1873" s="11" t="s">
        <v>1125</v>
      </c>
      <c r="E1873" t="s">
        <v>2275</v>
      </c>
    </row>
    <row r="1874" spans="1:5">
      <c r="A1874" s="11"/>
      <c r="B1874" s="11">
        <v>130201430</v>
      </c>
      <c r="C1874" s="11" t="s">
        <v>2021</v>
      </c>
      <c r="D1874" s="11" t="s">
        <v>1125</v>
      </c>
      <c r="E1874" t="s">
        <v>2275</v>
      </c>
    </row>
    <row r="1875" spans="1:5">
      <c r="A1875" s="11"/>
      <c r="B1875" s="11">
        <v>130201437</v>
      </c>
      <c r="C1875" s="11" t="s">
        <v>2022</v>
      </c>
      <c r="D1875" s="11" t="s">
        <v>102</v>
      </c>
      <c r="E1875" t="s">
        <v>2275</v>
      </c>
    </row>
    <row r="1876" spans="1:5">
      <c r="A1876" s="11"/>
      <c r="B1876" s="11">
        <v>130201440</v>
      </c>
      <c r="C1876" s="11" t="s">
        <v>2023</v>
      </c>
      <c r="D1876" s="11" t="s">
        <v>1125</v>
      </c>
      <c r="E1876" t="s">
        <v>2275</v>
      </c>
    </row>
    <row r="1877" spans="1:5">
      <c r="A1877" s="11"/>
      <c r="B1877" s="11">
        <v>130201442</v>
      </c>
      <c r="C1877" s="11" t="s">
        <v>2024</v>
      </c>
      <c r="D1877" s="11" t="s">
        <v>1125</v>
      </c>
      <c r="E1877" t="s">
        <v>2275</v>
      </c>
    </row>
    <row r="1878" spans="1:5">
      <c r="A1878" s="11"/>
      <c r="B1878" s="11">
        <v>130201450</v>
      </c>
      <c r="C1878" s="11" t="s">
        <v>2025</v>
      </c>
      <c r="D1878" s="11" t="s">
        <v>1125</v>
      </c>
      <c r="E1878" t="s">
        <v>2275</v>
      </c>
    </row>
    <row r="1879" spans="1:5">
      <c r="A1879" s="11"/>
      <c r="B1879" s="11">
        <v>130201463</v>
      </c>
      <c r="C1879" s="11" t="s">
        <v>2026</v>
      </c>
      <c r="D1879" s="11" t="s">
        <v>1125</v>
      </c>
      <c r="E1879" t="s">
        <v>2275</v>
      </c>
    </row>
    <row r="1880" spans="1:5">
      <c r="A1880" s="11"/>
      <c r="B1880" s="11">
        <v>130201466</v>
      </c>
      <c r="C1880" s="11" t="s">
        <v>2027</v>
      </c>
      <c r="D1880" s="11" t="s">
        <v>1125</v>
      </c>
      <c r="E1880" t="s">
        <v>2275</v>
      </c>
    </row>
    <row r="1881" spans="1:5">
      <c r="A1881" s="11"/>
      <c r="B1881" s="11">
        <v>130201470</v>
      </c>
      <c r="C1881" s="11" t="s">
        <v>2028</v>
      </c>
      <c r="D1881" s="11" t="s">
        <v>1125</v>
      </c>
      <c r="E1881" t="s">
        <v>2275</v>
      </c>
    </row>
    <row r="1882" spans="1:5">
      <c r="A1882" s="11"/>
      <c r="B1882" s="11">
        <v>130201471</v>
      </c>
      <c r="C1882" s="11" t="s">
        <v>2029</v>
      </c>
      <c r="D1882" s="11" t="s">
        <v>1125</v>
      </c>
      <c r="E1882" t="s">
        <v>2275</v>
      </c>
    </row>
    <row r="1883" spans="1:5">
      <c r="A1883" s="11"/>
      <c r="B1883" s="11">
        <v>130201472</v>
      </c>
      <c r="C1883" s="11" t="s">
        <v>2030</v>
      </c>
      <c r="D1883" s="11" t="s">
        <v>1125</v>
      </c>
      <c r="E1883" t="s">
        <v>2275</v>
      </c>
    </row>
    <row r="1884" spans="1:5">
      <c r="A1884" s="11"/>
      <c r="B1884" s="11">
        <v>130201473</v>
      </c>
      <c r="C1884" s="11" t="s">
        <v>2031</v>
      </c>
      <c r="D1884" s="11" t="s">
        <v>1125</v>
      </c>
      <c r="E1884" t="s">
        <v>2275</v>
      </c>
    </row>
    <row r="1885" spans="1:5">
      <c r="A1885" s="11"/>
      <c r="B1885" s="11">
        <v>130201492</v>
      </c>
      <c r="C1885" s="11" t="s">
        <v>2032</v>
      </c>
      <c r="D1885" s="11" t="s">
        <v>1125</v>
      </c>
      <c r="E1885" t="s">
        <v>2275</v>
      </c>
    </row>
    <row r="1886" spans="1:5">
      <c r="A1886" s="11"/>
      <c r="B1886" s="11">
        <v>130201503</v>
      </c>
      <c r="C1886" s="11" t="s">
        <v>2033</v>
      </c>
      <c r="D1886" s="11" t="s">
        <v>1125</v>
      </c>
      <c r="E1886" t="s">
        <v>2275</v>
      </c>
    </row>
    <row r="1887" spans="1:5">
      <c r="A1887" s="11"/>
      <c r="B1887" s="11">
        <v>130201545</v>
      </c>
      <c r="C1887" s="11" t="s">
        <v>2034</v>
      </c>
      <c r="D1887" s="11" t="s">
        <v>1125</v>
      </c>
      <c r="E1887" t="s">
        <v>2275</v>
      </c>
    </row>
    <row r="1888" spans="1:5">
      <c r="A1888" s="11"/>
      <c r="B1888" s="11">
        <v>130201546</v>
      </c>
      <c r="C1888" s="11" t="s">
        <v>2035</v>
      </c>
      <c r="D1888" s="11" t="s">
        <v>1125</v>
      </c>
      <c r="E1888" t="s">
        <v>2275</v>
      </c>
    </row>
    <row r="1889" spans="1:5">
      <c r="A1889" s="11"/>
      <c r="B1889" s="11">
        <v>130201553</v>
      </c>
      <c r="C1889" s="11" t="s">
        <v>2036</v>
      </c>
      <c r="D1889" s="11" t="s">
        <v>102</v>
      </c>
      <c r="E1889" t="s">
        <v>2275</v>
      </c>
    </row>
    <row r="1890" spans="1:5">
      <c r="A1890" s="11"/>
      <c r="B1890" s="11">
        <v>130201556</v>
      </c>
      <c r="C1890" s="11" t="s">
        <v>2037</v>
      </c>
      <c r="D1890" s="11" t="s">
        <v>102</v>
      </c>
      <c r="E1890" t="s">
        <v>2275</v>
      </c>
    </row>
    <row r="1891" spans="1:5">
      <c r="A1891" s="11"/>
      <c r="B1891" s="11">
        <v>130201557</v>
      </c>
      <c r="C1891" s="11" t="s">
        <v>2038</v>
      </c>
      <c r="D1891" s="11" t="s">
        <v>102</v>
      </c>
      <c r="E1891" t="s">
        <v>2275</v>
      </c>
    </row>
    <row r="1892" spans="1:5">
      <c r="A1892" s="11"/>
      <c r="B1892" s="11">
        <v>130201558</v>
      </c>
      <c r="C1892" s="11" t="s">
        <v>2039</v>
      </c>
      <c r="D1892" s="11" t="s">
        <v>102</v>
      </c>
      <c r="E1892" t="s">
        <v>2275</v>
      </c>
    </row>
    <row r="1893" spans="1:5">
      <c r="A1893" s="11"/>
      <c r="B1893" s="11">
        <v>130201560</v>
      </c>
      <c r="C1893" s="11" t="s">
        <v>2040</v>
      </c>
      <c r="D1893" s="11" t="s">
        <v>102</v>
      </c>
      <c r="E1893" t="s">
        <v>2275</v>
      </c>
    </row>
    <row r="1894" spans="1:5">
      <c r="A1894" s="11"/>
      <c r="B1894" s="11">
        <v>130201561</v>
      </c>
      <c r="C1894" s="11" t="s">
        <v>2041</v>
      </c>
      <c r="D1894" s="11" t="s">
        <v>102</v>
      </c>
      <c r="E1894" t="s">
        <v>2275</v>
      </c>
    </row>
    <row r="1895" spans="1:5">
      <c r="A1895" s="11"/>
      <c r="B1895" s="11">
        <v>130201562</v>
      </c>
      <c r="C1895" s="11" t="s">
        <v>2042</v>
      </c>
      <c r="D1895" s="11" t="s">
        <v>102</v>
      </c>
      <c r="E1895" t="s">
        <v>2275</v>
      </c>
    </row>
    <row r="1896" spans="1:5">
      <c r="A1896" s="11"/>
      <c r="B1896" s="11">
        <v>130201571</v>
      </c>
      <c r="C1896" s="11" t="s">
        <v>2043</v>
      </c>
      <c r="D1896" s="11" t="s">
        <v>1125</v>
      </c>
      <c r="E1896" t="s">
        <v>2275</v>
      </c>
    </row>
    <row r="1897" spans="1:5">
      <c r="A1897" s="11"/>
      <c r="B1897" s="11">
        <v>130201625</v>
      </c>
      <c r="C1897" s="12" t="s">
        <v>2044</v>
      </c>
      <c r="D1897" s="12" t="s">
        <v>1620</v>
      </c>
      <c r="E1897" t="s">
        <v>2275</v>
      </c>
    </row>
    <row r="1898" spans="1:5">
      <c r="A1898" s="11"/>
      <c r="B1898" s="11">
        <v>150101000</v>
      </c>
      <c r="C1898" s="11" t="s">
        <v>2045</v>
      </c>
      <c r="D1898" s="11" t="s">
        <v>102</v>
      </c>
      <c r="E1898" t="s">
        <v>2275</v>
      </c>
    </row>
    <row r="1899" spans="1:5">
      <c r="A1899" s="11"/>
      <c r="B1899" s="11">
        <v>150101001</v>
      </c>
      <c r="C1899" s="11" t="s">
        <v>2046</v>
      </c>
      <c r="D1899" s="11" t="s">
        <v>102</v>
      </c>
      <c r="E1899" t="s">
        <v>2275</v>
      </c>
    </row>
    <row r="1900" spans="1:5">
      <c r="A1900" s="11"/>
      <c r="B1900" s="11">
        <v>150102000</v>
      </c>
      <c r="C1900" s="11" t="s">
        <v>2047</v>
      </c>
      <c r="D1900" s="11" t="s">
        <v>102</v>
      </c>
      <c r="E1900" t="s">
        <v>2275</v>
      </c>
    </row>
    <row r="1901" spans="1:5">
      <c r="A1901" s="11"/>
      <c r="B1901" s="11">
        <v>150103000</v>
      </c>
      <c r="C1901" s="11" t="s">
        <v>2048</v>
      </c>
      <c r="D1901" s="11" t="s">
        <v>102</v>
      </c>
      <c r="E1901" t="s">
        <v>2275</v>
      </c>
    </row>
    <row r="1902" spans="1:5">
      <c r="A1902" s="11"/>
      <c r="B1902" s="11">
        <v>150103001</v>
      </c>
      <c r="C1902" s="11" t="s">
        <v>2049</v>
      </c>
      <c r="D1902" s="11" t="s">
        <v>102</v>
      </c>
      <c r="E1902" t="s">
        <v>2275</v>
      </c>
    </row>
    <row r="1903" spans="1:5">
      <c r="A1903" s="11"/>
      <c r="B1903" s="11">
        <v>150106000</v>
      </c>
      <c r="C1903" s="11" t="s">
        <v>2050</v>
      </c>
      <c r="D1903" s="11" t="s">
        <v>102</v>
      </c>
      <c r="E1903" t="s">
        <v>2275</v>
      </c>
    </row>
    <row r="1904" spans="1:5">
      <c r="A1904" s="11"/>
      <c r="B1904" s="11">
        <v>150106002</v>
      </c>
      <c r="C1904" s="11" t="s">
        <v>2051</v>
      </c>
      <c r="D1904" s="11" t="s">
        <v>102</v>
      </c>
      <c r="E1904" t="s">
        <v>2275</v>
      </c>
    </row>
    <row r="1905" spans="1:5">
      <c r="A1905" s="11"/>
      <c r="B1905" s="11">
        <v>150106006</v>
      </c>
      <c r="C1905" s="11" t="s">
        <v>2052</v>
      </c>
      <c r="D1905" s="11" t="s">
        <v>102</v>
      </c>
      <c r="E1905" t="s">
        <v>2275</v>
      </c>
    </row>
    <row r="1906" spans="1:5">
      <c r="A1906" s="11"/>
      <c r="B1906" s="11">
        <v>150107000</v>
      </c>
      <c r="C1906" s="11" t="s">
        <v>2053</v>
      </c>
      <c r="D1906" s="11" t="s">
        <v>102</v>
      </c>
      <c r="E1906" t="s">
        <v>2275</v>
      </c>
    </row>
    <row r="1907" spans="1:5">
      <c r="A1907" s="11"/>
      <c r="B1907" s="11">
        <v>150108000</v>
      </c>
      <c r="C1907" s="11" t="s">
        <v>2054</v>
      </c>
      <c r="D1907" s="11" t="s">
        <v>102</v>
      </c>
      <c r="E1907" t="s">
        <v>2275</v>
      </c>
    </row>
    <row r="1908" spans="1:5">
      <c r="A1908" s="11"/>
      <c r="B1908" s="11">
        <v>150112000</v>
      </c>
      <c r="C1908" s="11" t="s">
        <v>2055</v>
      </c>
      <c r="D1908" s="11" t="s">
        <v>102</v>
      </c>
      <c r="E1908" t="s">
        <v>2275</v>
      </c>
    </row>
    <row r="1909" spans="1:5">
      <c r="A1909" s="11"/>
      <c r="B1909" s="11">
        <v>150112001</v>
      </c>
      <c r="C1909" s="11" t="s">
        <v>2056</v>
      </c>
      <c r="D1909" s="11" t="s">
        <v>102</v>
      </c>
      <c r="E1909" t="s">
        <v>2275</v>
      </c>
    </row>
    <row r="1910" spans="1:5">
      <c r="A1910" s="11"/>
      <c r="B1910" s="11">
        <v>150112002</v>
      </c>
      <c r="C1910" s="11" t="s">
        <v>2056</v>
      </c>
      <c r="D1910" s="11" t="s">
        <v>102</v>
      </c>
      <c r="E1910" t="s">
        <v>2275</v>
      </c>
    </row>
    <row r="1911" spans="1:5">
      <c r="A1911" s="11"/>
      <c r="B1911" s="11">
        <v>150113000</v>
      </c>
      <c r="C1911" s="11" t="s">
        <v>2057</v>
      </c>
      <c r="D1911" s="11" t="s">
        <v>102</v>
      </c>
      <c r="E1911" t="s">
        <v>2275</v>
      </c>
    </row>
    <row r="1912" spans="1:5">
      <c r="A1912" s="11"/>
      <c r="B1912" s="11">
        <v>150113001</v>
      </c>
      <c r="C1912" s="11" t="s">
        <v>2058</v>
      </c>
      <c r="D1912" s="11" t="s">
        <v>102</v>
      </c>
      <c r="E1912" t="s">
        <v>2275</v>
      </c>
    </row>
    <row r="1913" spans="1:5">
      <c r="A1913" s="11"/>
      <c r="B1913" s="11">
        <v>150113002</v>
      </c>
      <c r="C1913" s="11" t="s">
        <v>2059</v>
      </c>
      <c r="D1913" s="11" t="s">
        <v>102</v>
      </c>
      <c r="E1913" t="s">
        <v>2275</v>
      </c>
    </row>
    <row r="1914" spans="1:5">
      <c r="A1914" s="11"/>
      <c r="B1914" s="11">
        <v>150113003</v>
      </c>
      <c r="C1914" s="11" t="s">
        <v>2060</v>
      </c>
      <c r="D1914" s="11" t="s">
        <v>102</v>
      </c>
      <c r="E1914" t="s">
        <v>2275</v>
      </c>
    </row>
    <row r="1915" spans="1:5">
      <c r="A1915" s="11"/>
      <c r="B1915" s="11">
        <v>150113010</v>
      </c>
      <c r="C1915" s="11" t="s">
        <v>2061</v>
      </c>
      <c r="D1915" s="11" t="s">
        <v>102</v>
      </c>
      <c r="E1915" t="s">
        <v>2275</v>
      </c>
    </row>
    <row r="1916" spans="1:5">
      <c r="A1916" s="11"/>
      <c r="B1916" s="11">
        <v>150114000</v>
      </c>
      <c r="C1916" s="11" t="s">
        <v>2062</v>
      </c>
      <c r="D1916" s="11" t="s">
        <v>102</v>
      </c>
      <c r="E1916" t="s">
        <v>2275</v>
      </c>
    </row>
    <row r="1917" spans="1:5">
      <c r="A1917" s="11"/>
      <c r="B1917" s="11">
        <v>150114002</v>
      </c>
      <c r="C1917" s="11" t="s">
        <v>2063</v>
      </c>
      <c r="D1917" s="11" t="s">
        <v>102</v>
      </c>
      <c r="E1917" t="s">
        <v>2275</v>
      </c>
    </row>
    <row r="1918" spans="1:5">
      <c r="A1918" s="11"/>
      <c r="B1918" s="11">
        <v>150114003</v>
      </c>
      <c r="C1918" s="11" t="s">
        <v>2064</v>
      </c>
      <c r="D1918" s="11" t="s">
        <v>102</v>
      </c>
      <c r="E1918" t="s">
        <v>2275</v>
      </c>
    </row>
    <row r="1919" spans="1:5">
      <c r="A1919" s="11"/>
      <c r="B1919" s="11">
        <v>150114004</v>
      </c>
      <c r="C1919" s="11" t="s">
        <v>2065</v>
      </c>
      <c r="D1919" s="11" t="s">
        <v>102</v>
      </c>
      <c r="E1919" t="s">
        <v>2275</v>
      </c>
    </row>
    <row r="1920" spans="1:5">
      <c r="A1920" s="11"/>
      <c r="B1920" s="11">
        <v>150115000</v>
      </c>
      <c r="C1920" s="11" t="s">
        <v>2066</v>
      </c>
      <c r="D1920" s="11" t="s">
        <v>102</v>
      </c>
      <c r="E1920" t="s">
        <v>2275</v>
      </c>
    </row>
    <row r="1921" spans="1:5">
      <c r="A1921" s="11"/>
      <c r="B1921" s="11">
        <v>150115001</v>
      </c>
      <c r="C1921" s="11" t="s">
        <v>2067</v>
      </c>
      <c r="D1921" s="11" t="s">
        <v>102</v>
      </c>
      <c r="E1921" t="s">
        <v>2275</v>
      </c>
    </row>
    <row r="1922" spans="1:5">
      <c r="A1922" s="11"/>
      <c r="B1922" s="11">
        <v>150115002</v>
      </c>
      <c r="C1922" s="11" t="s">
        <v>2068</v>
      </c>
      <c r="D1922" s="11" t="s">
        <v>102</v>
      </c>
      <c r="E1922" t="s">
        <v>2275</v>
      </c>
    </row>
    <row r="1923" spans="1:5">
      <c r="A1923" s="11"/>
      <c r="B1923" s="11">
        <v>150115003</v>
      </c>
      <c r="C1923" s="11" t="s">
        <v>2069</v>
      </c>
      <c r="D1923" s="11" t="s">
        <v>102</v>
      </c>
      <c r="E1923" t="s">
        <v>2275</v>
      </c>
    </row>
    <row r="1924" spans="1:5">
      <c r="A1924" s="11"/>
      <c r="B1924" s="11">
        <v>150115005</v>
      </c>
      <c r="C1924" s="11" t="s">
        <v>2070</v>
      </c>
      <c r="D1924" s="11" t="s">
        <v>102</v>
      </c>
      <c r="E1924" t="s">
        <v>2275</v>
      </c>
    </row>
    <row r="1925" spans="1:5">
      <c r="A1925" s="11"/>
      <c r="B1925" s="11">
        <v>150115007</v>
      </c>
      <c r="C1925" s="11" t="s">
        <v>2071</v>
      </c>
      <c r="D1925" s="11" t="s">
        <v>102</v>
      </c>
      <c r="E1925" t="s">
        <v>2275</v>
      </c>
    </row>
    <row r="1926" spans="1:5">
      <c r="A1926" s="11"/>
      <c r="B1926" s="11">
        <v>150121000</v>
      </c>
      <c r="C1926" s="11" t="s">
        <v>2072</v>
      </c>
      <c r="D1926" s="11" t="s">
        <v>102</v>
      </c>
      <c r="E1926" t="s">
        <v>2275</v>
      </c>
    </row>
    <row r="1927" spans="1:5">
      <c r="A1927" s="11"/>
      <c r="B1927" s="11">
        <v>150123002</v>
      </c>
      <c r="C1927" s="11" t="s">
        <v>2073</v>
      </c>
      <c r="D1927" s="11" t="s">
        <v>2074</v>
      </c>
      <c r="E1927" t="s">
        <v>2275</v>
      </c>
    </row>
    <row r="1928" spans="1:5">
      <c r="A1928" s="11"/>
      <c r="B1928" s="11">
        <v>150123003</v>
      </c>
      <c r="C1928" s="11" t="s">
        <v>2075</v>
      </c>
      <c r="D1928" s="11" t="s">
        <v>2074</v>
      </c>
      <c r="E1928" t="s">
        <v>2275</v>
      </c>
    </row>
    <row r="1929" spans="1:5">
      <c r="A1929" s="11"/>
      <c r="B1929" s="11">
        <v>159990047</v>
      </c>
      <c r="C1929" s="11" t="s">
        <v>2076</v>
      </c>
      <c r="D1929" s="11" t="s">
        <v>102</v>
      </c>
      <c r="E1929" t="s">
        <v>2275</v>
      </c>
    </row>
    <row r="1930" spans="1:5">
      <c r="A1930" s="11"/>
      <c r="B1930" s="11">
        <v>3500000</v>
      </c>
      <c r="C1930" s="11" t="s">
        <v>2077</v>
      </c>
      <c r="D1930" s="11" t="s">
        <v>2078</v>
      </c>
      <c r="E1930" t="s">
        <v>2272</v>
      </c>
    </row>
    <row r="1931" spans="1:5">
      <c r="A1931" s="11"/>
      <c r="B1931" s="11">
        <v>3500001</v>
      </c>
      <c r="C1931" s="11" t="s">
        <v>2077</v>
      </c>
      <c r="D1931" s="11" t="s">
        <v>2078</v>
      </c>
      <c r="E1931" t="s">
        <v>2272</v>
      </c>
    </row>
    <row r="1932" spans="1:5">
      <c r="A1932" s="11"/>
      <c r="B1932" s="11">
        <v>3500002</v>
      </c>
      <c r="C1932" s="11" t="s">
        <v>2077</v>
      </c>
      <c r="D1932" s="11" t="s">
        <v>2078</v>
      </c>
      <c r="E1932" t="s">
        <v>2272</v>
      </c>
    </row>
    <row r="1933" spans="1:5">
      <c r="A1933" s="11"/>
      <c r="B1933" s="11">
        <v>3500003</v>
      </c>
      <c r="C1933" s="11" t="s">
        <v>2077</v>
      </c>
      <c r="D1933" s="11" t="s">
        <v>2078</v>
      </c>
      <c r="E1933" t="s">
        <v>2272</v>
      </c>
    </row>
    <row r="1934" spans="1:5">
      <c r="A1934" s="11"/>
      <c r="B1934" s="11">
        <v>3500004</v>
      </c>
      <c r="C1934" s="11" t="s">
        <v>2077</v>
      </c>
      <c r="D1934" s="11" t="s">
        <v>2078</v>
      </c>
      <c r="E1934" t="s">
        <v>2272</v>
      </c>
    </row>
    <row r="1935" spans="1:5">
      <c r="A1935" s="11"/>
      <c r="B1935" s="11">
        <v>3500005</v>
      </c>
      <c r="C1935" s="11" t="s">
        <v>2077</v>
      </c>
      <c r="D1935" s="11" t="s">
        <v>2078</v>
      </c>
      <c r="E1935" t="s">
        <v>2272</v>
      </c>
    </row>
    <row r="1936" spans="1:5">
      <c r="A1936" s="11"/>
      <c r="B1936" s="11">
        <v>3500006</v>
      </c>
      <c r="C1936" s="11" t="s">
        <v>2077</v>
      </c>
      <c r="D1936" s="11" t="s">
        <v>2078</v>
      </c>
      <c r="E1936" t="s">
        <v>2272</v>
      </c>
    </row>
    <row r="1937" spans="1:5">
      <c r="A1937" s="11"/>
      <c r="B1937" s="11">
        <v>3500007</v>
      </c>
      <c r="C1937" s="11" t="s">
        <v>2077</v>
      </c>
      <c r="D1937" s="11" t="s">
        <v>2078</v>
      </c>
      <c r="E1937" t="s">
        <v>2272</v>
      </c>
    </row>
    <row r="1938" spans="1:5">
      <c r="A1938" s="11"/>
      <c r="B1938" s="11">
        <v>3500008</v>
      </c>
      <c r="C1938" s="11" t="s">
        <v>2077</v>
      </c>
      <c r="D1938" s="11" t="s">
        <v>2078</v>
      </c>
      <c r="E1938" t="s">
        <v>2272</v>
      </c>
    </row>
    <row r="1939" spans="1:5">
      <c r="A1939" s="11"/>
      <c r="B1939" s="11">
        <v>3500009</v>
      </c>
      <c r="C1939" s="11" t="s">
        <v>2077</v>
      </c>
      <c r="D1939" s="11" t="s">
        <v>2078</v>
      </c>
      <c r="E1939" t="s">
        <v>2272</v>
      </c>
    </row>
    <row r="1940" spans="1:5">
      <c r="A1940" s="11"/>
      <c r="B1940" s="11">
        <v>3500010</v>
      </c>
      <c r="C1940" s="11" t="s">
        <v>2077</v>
      </c>
      <c r="D1940" s="11" t="s">
        <v>2078</v>
      </c>
      <c r="E1940" t="s">
        <v>2272</v>
      </c>
    </row>
    <row r="1941" spans="1:5">
      <c r="A1941" s="11"/>
      <c r="B1941" s="11">
        <v>3500011</v>
      </c>
      <c r="C1941" s="11" t="s">
        <v>2077</v>
      </c>
      <c r="D1941" s="11" t="s">
        <v>2078</v>
      </c>
      <c r="E1941" t="s">
        <v>2272</v>
      </c>
    </row>
    <row r="1942" spans="1:5">
      <c r="A1942" s="11"/>
      <c r="B1942" s="11">
        <v>3500013</v>
      </c>
      <c r="C1942" s="11" t="s">
        <v>2077</v>
      </c>
      <c r="D1942" s="11" t="s">
        <v>2078</v>
      </c>
      <c r="E1942" t="s">
        <v>2272</v>
      </c>
    </row>
    <row r="1943" spans="1:5">
      <c r="A1943" s="11"/>
      <c r="B1943" s="11">
        <v>3500014</v>
      </c>
      <c r="C1943" s="11" t="s">
        <v>2077</v>
      </c>
      <c r="D1943" s="11" t="s">
        <v>2078</v>
      </c>
      <c r="E1943" t="s">
        <v>2272</v>
      </c>
    </row>
    <row r="1944" spans="1:5">
      <c r="A1944" s="11"/>
      <c r="B1944" s="11">
        <v>3500015</v>
      </c>
      <c r="C1944" s="11" t="s">
        <v>2077</v>
      </c>
      <c r="D1944" s="11" t="s">
        <v>2078</v>
      </c>
      <c r="E1944" t="s">
        <v>2272</v>
      </c>
    </row>
    <row r="1945" spans="1:5">
      <c r="A1945" s="11"/>
      <c r="B1945" s="11">
        <v>3500016</v>
      </c>
      <c r="C1945" s="11" t="s">
        <v>2077</v>
      </c>
      <c r="D1945" s="11" t="s">
        <v>2078</v>
      </c>
      <c r="E1945" t="s">
        <v>2272</v>
      </c>
    </row>
    <row r="1946" spans="1:5">
      <c r="A1946" s="11"/>
      <c r="B1946" s="11">
        <v>3500017</v>
      </c>
      <c r="C1946" s="11" t="s">
        <v>2077</v>
      </c>
      <c r="D1946" s="11" t="s">
        <v>2078</v>
      </c>
      <c r="E1946" t="s">
        <v>2272</v>
      </c>
    </row>
    <row r="1947" spans="1:5">
      <c r="A1947" s="11"/>
      <c r="B1947" s="11">
        <v>3500019</v>
      </c>
      <c r="C1947" s="11" t="s">
        <v>2077</v>
      </c>
      <c r="D1947" s="11" t="s">
        <v>2078</v>
      </c>
      <c r="E1947" t="s">
        <v>2272</v>
      </c>
    </row>
    <row r="1948" spans="1:5">
      <c r="A1948" s="11"/>
      <c r="B1948" s="11">
        <v>2320030</v>
      </c>
      <c r="C1948" s="11" t="s">
        <v>2077</v>
      </c>
      <c r="D1948" s="11" t="s">
        <v>2078</v>
      </c>
      <c r="E1948" t="s">
        <v>2272</v>
      </c>
    </row>
    <row r="1949" spans="1:5">
      <c r="A1949" s="11"/>
      <c r="B1949" s="11">
        <v>3500021</v>
      </c>
      <c r="C1949" s="11" t="s">
        <v>2077</v>
      </c>
      <c r="D1949" s="11" t="s">
        <v>2078</v>
      </c>
      <c r="E1949" t="s">
        <v>2272</v>
      </c>
    </row>
    <row r="1950" spans="1:5">
      <c r="A1950" s="11"/>
      <c r="B1950" s="11">
        <v>3500022</v>
      </c>
      <c r="C1950" s="11" t="s">
        <v>2077</v>
      </c>
      <c r="D1950" s="11" t="s">
        <v>2078</v>
      </c>
      <c r="E1950" t="s">
        <v>2272</v>
      </c>
    </row>
    <row r="1951" spans="1:5">
      <c r="A1951" s="11"/>
      <c r="B1951" s="11">
        <v>3500023</v>
      </c>
      <c r="C1951" s="11" t="s">
        <v>2077</v>
      </c>
      <c r="D1951" s="11" t="s">
        <v>2078</v>
      </c>
      <c r="E1951" t="s">
        <v>2272</v>
      </c>
    </row>
    <row r="1952" spans="1:5">
      <c r="A1952" s="11"/>
      <c r="B1952" s="11">
        <v>3500024</v>
      </c>
      <c r="C1952" s="11" t="s">
        <v>2077</v>
      </c>
      <c r="D1952" s="11" t="s">
        <v>2078</v>
      </c>
      <c r="E1952" t="s">
        <v>2272</v>
      </c>
    </row>
    <row r="1953" spans="1:5">
      <c r="A1953" s="11"/>
      <c r="B1953" s="11">
        <v>3500025</v>
      </c>
      <c r="C1953" s="11" t="s">
        <v>2077</v>
      </c>
      <c r="D1953" s="11" t="s">
        <v>2078</v>
      </c>
      <c r="E1953" t="s">
        <v>2272</v>
      </c>
    </row>
    <row r="1954" spans="1:5">
      <c r="A1954" s="11"/>
      <c r="B1954" s="11">
        <v>3500026</v>
      </c>
      <c r="C1954" s="11" t="s">
        <v>2077</v>
      </c>
      <c r="D1954" s="11" t="s">
        <v>2078</v>
      </c>
      <c r="E1954" t="s">
        <v>2272</v>
      </c>
    </row>
    <row r="1955" spans="1:5">
      <c r="A1955" s="11"/>
      <c r="B1955" s="11">
        <v>3500028</v>
      </c>
      <c r="C1955" s="11" t="s">
        <v>2077</v>
      </c>
      <c r="D1955" s="11" t="s">
        <v>2078</v>
      </c>
      <c r="E1955" t="s">
        <v>2272</v>
      </c>
    </row>
    <row r="1956" spans="1:5">
      <c r="A1956" s="11"/>
      <c r="B1956" s="11">
        <v>3500029</v>
      </c>
      <c r="C1956" s="11" t="s">
        <v>2077</v>
      </c>
      <c r="D1956" s="11" t="s">
        <v>2078</v>
      </c>
      <c r="E1956" t="s">
        <v>2272</v>
      </c>
    </row>
    <row r="1957" spans="1:5">
      <c r="A1957" s="11"/>
      <c r="B1957" s="11">
        <v>3500030</v>
      </c>
      <c r="C1957" s="11" t="s">
        <v>2077</v>
      </c>
      <c r="D1957" s="11" t="s">
        <v>2078</v>
      </c>
      <c r="E1957" t="s">
        <v>2272</v>
      </c>
    </row>
    <row r="1958" spans="1:5">
      <c r="A1958" s="11"/>
      <c r="B1958" s="11">
        <v>3500031</v>
      </c>
      <c r="C1958" s="11" t="s">
        <v>2077</v>
      </c>
      <c r="D1958" s="11" t="s">
        <v>2078</v>
      </c>
      <c r="E1958" t="s">
        <v>2272</v>
      </c>
    </row>
    <row r="1959" spans="1:5">
      <c r="A1959" s="11"/>
      <c r="B1959" s="11">
        <v>3500033</v>
      </c>
      <c r="C1959" s="11" t="s">
        <v>2077</v>
      </c>
      <c r="D1959" s="11" t="s">
        <v>2078</v>
      </c>
      <c r="E1959" t="s">
        <v>2272</v>
      </c>
    </row>
    <row r="1960" spans="1:5">
      <c r="A1960" s="11"/>
      <c r="B1960" s="11">
        <v>3500034</v>
      </c>
      <c r="C1960" s="11" t="s">
        <v>2077</v>
      </c>
      <c r="D1960" s="11" t="s">
        <v>2078</v>
      </c>
      <c r="E1960" t="s">
        <v>2272</v>
      </c>
    </row>
    <row r="1961" spans="1:5">
      <c r="A1961" s="11"/>
      <c r="B1961" s="11">
        <v>3500036</v>
      </c>
      <c r="C1961" s="11" t="s">
        <v>2077</v>
      </c>
      <c r="D1961" s="11" t="s">
        <v>2078</v>
      </c>
      <c r="E1961" t="s">
        <v>2272</v>
      </c>
    </row>
    <row r="1962" spans="1:5">
      <c r="A1962" s="11"/>
      <c r="B1962" s="11">
        <v>3500037</v>
      </c>
      <c r="C1962" s="11" t="s">
        <v>2077</v>
      </c>
      <c r="D1962" s="11" t="s">
        <v>2078</v>
      </c>
      <c r="E1962" t="s">
        <v>2272</v>
      </c>
    </row>
    <row r="1963" spans="1:5">
      <c r="A1963" s="11"/>
      <c r="B1963" s="11">
        <v>3500038</v>
      </c>
      <c r="C1963" s="11" t="s">
        <v>2077</v>
      </c>
      <c r="D1963" s="11" t="s">
        <v>2078</v>
      </c>
      <c r="E1963" t="s">
        <v>2272</v>
      </c>
    </row>
    <row r="1964" spans="1:5">
      <c r="A1964" s="11"/>
      <c r="B1964" s="11">
        <v>3500039</v>
      </c>
      <c r="C1964" s="11" t="s">
        <v>2077</v>
      </c>
      <c r="D1964" s="11" t="s">
        <v>2078</v>
      </c>
      <c r="E1964" t="s">
        <v>2272</v>
      </c>
    </row>
    <row r="1965" spans="1:5">
      <c r="A1965" s="11"/>
      <c r="B1965" s="11">
        <v>3500040</v>
      </c>
      <c r="C1965" s="11" t="s">
        <v>2077</v>
      </c>
      <c r="D1965" s="11" t="s">
        <v>2078</v>
      </c>
      <c r="E1965" t="s">
        <v>2272</v>
      </c>
    </row>
    <row r="1966" spans="1:5">
      <c r="A1966" s="11"/>
      <c r="B1966" s="11">
        <v>3500041</v>
      </c>
      <c r="C1966" s="11" t="s">
        <v>2077</v>
      </c>
      <c r="D1966" s="11" t="s">
        <v>2078</v>
      </c>
      <c r="E1966" t="s">
        <v>2272</v>
      </c>
    </row>
    <row r="1967" spans="1:5">
      <c r="A1967" s="11"/>
      <c r="B1967" s="11">
        <v>3500042</v>
      </c>
      <c r="C1967" s="11" t="s">
        <v>2077</v>
      </c>
      <c r="D1967" s="11" t="s">
        <v>2078</v>
      </c>
      <c r="E1967" t="s">
        <v>2272</v>
      </c>
    </row>
    <row r="1968" spans="1:5">
      <c r="A1968" s="11"/>
      <c r="B1968" s="11">
        <v>3500043</v>
      </c>
      <c r="C1968" s="11" t="s">
        <v>2077</v>
      </c>
      <c r="D1968" s="11" t="s">
        <v>2078</v>
      </c>
      <c r="E1968" t="s">
        <v>2272</v>
      </c>
    </row>
    <row r="1969" spans="1:5">
      <c r="A1969" s="11"/>
      <c r="B1969" s="11">
        <v>3500044</v>
      </c>
      <c r="C1969" s="11" t="s">
        <v>2077</v>
      </c>
      <c r="D1969" s="11" t="s">
        <v>2078</v>
      </c>
      <c r="E1969" t="s">
        <v>2272</v>
      </c>
    </row>
    <row r="1970" spans="1:5">
      <c r="A1970" s="11"/>
      <c r="B1970" s="11">
        <v>3500045</v>
      </c>
      <c r="C1970" s="11" t="s">
        <v>2077</v>
      </c>
      <c r="D1970" s="11" t="s">
        <v>2078</v>
      </c>
      <c r="E1970" t="s">
        <v>2272</v>
      </c>
    </row>
    <row r="1971" spans="1:5">
      <c r="A1971" s="11"/>
      <c r="B1971" s="11">
        <v>3500046</v>
      </c>
      <c r="C1971" s="11" t="s">
        <v>2077</v>
      </c>
      <c r="D1971" s="11" t="s">
        <v>2078</v>
      </c>
      <c r="E1971" t="s">
        <v>2272</v>
      </c>
    </row>
    <row r="1972" spans="1:5">
      <c r="A1972" s="11"/>
      <c r="B1972" s="11">
        <v>3500047</v>
      </c>
      <c r="C1972" s="11" t="s">
        <v>2077</v>
      </c>
      <c r="D1972" s="11" t="s">
        <v>2078</v>
      </c>
      <c r="E1972" t="s">
        <v>2272</v>
      </c>
    </row>
    <row r="1973" spans="1:5">
      <c r="A1973" s="11"/>
      <c r="B1973" s="11">
        <v>3500048</v>
      </c>
      <c r="C1973" s="11" t="s">
        <v>2077</v>
      </c>
      <c r="D1973" s="11" t="s">
        <v>2078</v>
      </c>
      <c r="E1973" t="s">
        <v>2272</v>
      </c>
    </row>
    <row r="1974" spans="1:5">
      <c r="A1974" s="11"/>
      <c r="B1974" s="11">
        <v>3500049</v>
      </c>
      <c r="C1974" s="11" t="s">
        <v>2077</v>
      </c>
      <c r="D1974" s="11" t="s">
        <v>2078</v>
      </c>
      <c r="E1974" t="s">
        <v>2272</v>
      </c>
    </row>
    <row r="1975" spans="1:5">
      <c r="A1975" s="11"/>
      <c r="B1975" s="11">
        <v>3500050</v>
      </c>
      <c r="C1975" s="11" t="s">
        <v>2077</v>
      </c>
      <c r="D1975" s="11" t="s">
        <v>2078</v>
      </c>
      <c r="E1975" t="s">
        <v>2272</v>
      </c>
    </row>
    <row r="1976" spans="1:5">
      <c r="A1976" s="11"/>
      <c r="B1976" s="11">
        <v>3500051</v>
      </c>
      <c r="C1976" s="11" t="s">
        <v>2077</v>
      </c>
      <c r="D1976" s="11" t="s">
        <v>2078</v>
      </c>
      <c r="E1976" t="s">
        <v>2272</v>
      </c>
    </row>
    <row r="1977" spans="1:5">
      <c r="A1977" s="11"/>
      <c r="B1977" s="11">
        <v>3500052</v>
      </c>
      <c r="C1977" s="11" t="s">
        <v>2077</v>
      </c>
      <c r="D1977" s="11" t="s">
        <v>2078</v>
      </c>
      <c r="E1977" t="s">
        <v>2272</v>
      </c>
    </row>
    <row r="1978" spans="1:5">
      <c r="A1978" s="11"/>
      <c r="B1978" s="11">
        <v>3500053</v>
      </c>
      <c r="C1978" s="11" t="s">
        <v>2077</v>
      </c>
      <c r="D1978" s="11" t="s">
        <v>2078</v>
      </c>
      <c r="E1978" t="s">
        <v>2272</v>
      </c>
    </row>
    <row r="1979" spans="1:5">
      <c r="A1979" s="11"/>
      <c r="B1979" s="11">
        <v>3500054</v>
      </c>
      <c r="C1979" s="11" t="s">
        <v>2077</v>
      </c>
      <c r="D1979" s="11" t="s">
        <v>2078</v>
      </c>
      <c r="E1979" t="s">
        <v>2272</v>
      </c>
    </row>
    <row r="1980" spans="1:5">
      <c r="A1980" s="11"/>
      <c r="B1980" s="11">
        <v>3500055</v>
      </c>
      <c r="C1980" s="11" t="s">
        <v>2077</v>
      </c>
      <c r="D1980" s="11" t="s">
        <v>2078</v>
      </c>
      <c r="E1980" t="s">
        <v>2272</v>
      </c>
    </row>
    <row r="1981" spans="1:5">
      <c r="A1981" s="11"/>
      <c r="B1981" s="11">
        <v>3500056</v>
      </c>
      <c r="C1981" s="11" t="s">
        <v>2077</v>
      </c>
      <c r="D1981" s="11" t="s">
        <v>2078</v>
      </c>
      <c r="E1981" t="s">
        <v>2272</v>
      </c>
    </row>
    <row r="1982" spans="1:5">
      <c r="A1982" s="11"/>
      <c r="B1982" s="11">
        <v>3500057</v>
      </c>
      <c r="C1982" s="11" t="s">
        <v>2077</v>
      </c>
      <c r="D1982" s="11" t="s">
        <v>2078</v>
      </c>
      <c r="E1982" t="s">
        <v>2272</v>
      </c>
    </row>
    <row r="1983" spans="1:5">
      <c r="A1983" s="11"/>
      <c r="B1983" s="11">
        <v>3500058</v>
      </c>
      <c r="C1983" s="11" t="s">
        <v>2077</v>
      </c>
      <c r="D1983" s="11" t="s">
        <v>2078</v>
      </c>
      <c r="E1983" t="s">
        <v>2272</v>
      </c>
    </row>
    <row r="1984" spans="1:5">
      <c r="A1984" s="11"/>
      <c r="B1984" s="11">
        <v>3500065</v>
      </c>
      <c r="C1984" s="11" t="s">
        <v>2077</v>
      </c>
      <c r="D1984" s="11" t="s">
        <v>2078</v>
      </c>
      <c r="E1984" t="s">
        <v>2272</v>
      </c>
    </row>
    <row r="1985" spans="1:5">
      <c r="A1985" s="11"/>
      <c r="B1985" s="11">
        <v>3500066</v>
      </c>
      <c r="C1985" s="11" t="s">
        <v>2077</v>
      </c>
      <c r="D1985" s="11" t="s">
        <v>2078</v>
      </c>
      <c r="E1985" t="s">
        <v>2272</v>
      </c>
    </row>
    <row r="1986" spans="1:5">
      <c r="A1986" s="11"/>
      <c r="B1986" s="11">
        <v>3500067</v>
      </c>
      <c r="C1986" s="11" t="s">
        <v>2077</v>
      </c>
      <c r="D1986" s="11" t="s">
        <v>2078</v>
      </c>
      <c r="E1986" t="s">
        <v>2272</v>
      </c>
    </row>
    <row r="1987" spans="1:5">
      <c r="A1987" s="11"/>
      <c r="B1987" s="11">
        <v>3500068</v>
      </c>
      <c r="C1987" s="11" t="s">
        <v>2077</v>
      </c>
      <c r="D1987" s="11" t="s">
        <v>2078</v>
      </c>
      <c r="E1987" t="s">
        <v>2272</v>
      </c>
    </row>
    <row r="1988" spans="1:5">
      <c r="A1988" s="11"/>
      <c r="B1988" s="11">
        <v>3500070</v>
      </c>
      <c r="C1988" s="11" t="s">
        <v>2077</v>
      </c>
      <c r="D1988" s="11" t="s">
        <v>2078</v>
      </c>
      <c r="E1988" t="s">
        <v>2272</v>
      </c>
    </row>
    <row r="1989" spans="1:5">
      <c r="A1989" s="11"/>
      <c r="B1989" s="11">
        <v>3500071</v>
      </c>
      <c r="C1989" s="11" t="s">
        <v>2077</v>
      </c>
      <c r="D1989" s="11" t="s">
        <v>2078</v>
      </c>
      <c r="E1989" t="s">
        <v>2272</v>
      </c>
    </row>
    <row r="1990" spans="1:5">
      <c r="A1990" s="11"/>
      <c r="B1990" s="11">
        <v>3500072</v>
      </c>
      <c r="C1990" s="11" t="s">
        <v>2077</v>
      </c>
      <c r="D1990" s="11" t="s">
        <v>2078</v>
      </c>
      <c r="E1990" t="s">
        <v>2272</v>
      </c>
    </row>
    <row r="1991" spans="1:5">
      <c r="A1991" s="11"/>
      <c r="B1991" s="11">
        <v>3500073</v>
      </c>
      <c r="C1991" s="11" t="s">
        <v>2077</v>
      </c>
      <c r="D1991" s="11" t="s">
        <v>2078</v>
      </c>
      <c r="E1991" t="s">
        <v>2272</v>
      </c>
    </row>
    <row r="1992" spans="1:5">
      <c r="A1992" s="11"/>
      <c r="B1992" s="11">
        <v>3500074</v>
      </c>
      <c r="C1992" s="11" t="s">
        <v>2077</v>
      </c>
      <c r="D1992" s="11" t="s">
        <v>2078</v>
      </c>
      <c r="E1992" t="s">
        <v>2272</v>
      </c>
    </row>
    <row r="1993" spans="1:5">
      <c r="A1993" s="11"/>
      <c r="B1993" s="11">
        <v>3500075</v>
      </c>
      <c r="C1993" s="11" t="s">
        <v>2077</v>
      </c>
      <c r="D1993" s="11" t="s">
        <v>2078</v>
      </c>
      <c r="E1993" t="s">
        <v>2272</v>
      </c>
    </row>
    <row r="1994" spans="1:5">
      <c r="A1994" s="11"/>
      <c r="B1994" s="11">
        <v>3500076</v>
      </c>
      <c r="C1994" s="11" t="s">
        <v>2077</v>
      </c>
      <c r="D1994" s="11" t="s">
        <v>2078</v>
      </c>
      <c r="E1994" t="s">
        <v>2272</v>
      </c>
    </row>
    <row r="1995" spans="1:5">
      <c r="A1995" s="11"/>
      <c r="B1995" s="11">
        <v>3500077</v>
      </c>
      <c r="C1995" s="11" t="s">
        <v>2077</v>
      </c>
      <c r="D1995" s="11" t="s">
        <v>2078</v>
      </c>
      <c r="E1995" t="s">
        <v>2272</v>
      </c>
    </row>
    <row r="1996" spans="1:5">
      <c r="A1996" s="11"/>
      <c r="B1996" s="11">
        <v>3500078</v>
      </c>
      <c r="C1996" s="11" t="s">
        <v>2077</v>
      </c>
      <c r="D1996" s="11" t="s">
        <v>2078</v>
      </c>
      <c r="E1996" t="s">
        <v>2272</v>
      </c>
    </row>
    <row r="1997" spans="1:5">
      <c r="A1997" s="11"/>
      <c r="B1997" s="11">
        <v>3500079</v>
      </c>
      <c r="C1997" s="11" t="s">
        <v>2077</v>
      </c>
      <c r="D1997" s="11" t="s">
        <v>2078</v>
      </c>
      <c r="E1997" t="s">
        <v>2272</v>
      </c>
    </row>
    <row r="1998" spans="1:5">
      <c r="A1998" s="11"/>
      <c r="B1998" s="11">
        <v>3500080</v>
      </c>
      <c r="C1998" s="11" t="s">
        <v>2077</v>
      </c>
      <c r="D1998" s="11" t="s">
        <v>2078</v>
      </c>
      <c r="E1998" t="s">
        <v>2272</v>
      </c>
    </row>
    <row r="1999" spans="1:5">
      <c r="A1999" s="11"/>
      <c r="B1999" s="11">
        <v>3500081</v>
      </c>
      <c r="C1999" s="11" t="s">
        <v>2077</v>
      </c>
      <c r="D1999" s="11" t="s">
        <v>2078</v>
      </c>
      <c r="E1999" t="s">
        <v>2272</v>
      </c>
    </row>
    <row r="2000" spans="1:5">
      <c r="A2000" s="11"/>
      <c r="B2000" s="11">
        <v>3500082</v>
      </c>
      <c r="C2000" s="11" t="s">
        <v>2077</v>
      </c>
      <c r="D2000" s="11" t="s">
        <v>2078</v>
      </c>
      <c r="E2000" t="s">
        <v>2272</v>
      </c>
    </row>
    <row r="2001" spans="1:5">
      <c r="A2001" s="11"/>
      <c r="B2001" s="11">
        <v>3500083</v>
      </c>
      <c r="C2001" s="11" t="s">
        <v>2077</v>
      </c>
      <c r="D2001" s="11" t="s">
        <v>2078</v>
      </c>
      <c r="E2001" t="s">
        <v>2272</v>
      </c>
    </row>
    <row r="2002" spans="1:5">
      <c r="A2002" s="11"/>
      <c r="B2002" s="11">
        <v>3500084</v>
      </c>
      <c r="C2002" s="11" t="s">
        <v>2077</v>
      </c>
      <c r="D2002" s="11" t="s">
        <v>2078</v>
      </c>
      <c r="E2002" t="s">
        <v>2272</v>
      </c>
    </row>
    <row r="2003" spans="1:5">
      <c r="A2003" s="11"/>
      <c r="B2003" s="11">
        <v>3500085</v>
      </c>
      <c r="C2003" s="11" t="s">
        <v>2077</v>
      </c>
      <c r="D2003" s="11" t="s">
        <v>2078</v>
      </c>
      <c r="E2003" t="s">
        <v>2272</v>
      </c>
    </row>
    <row r="2004" spans="1:5">
      <c r="A2004" s="11"/>
      <c r="B2004" s="11">
        <v>3500090</v>
      </c>
      <c r="C2004" s="11" t="s">
        <v>2077</v>
      </c>
      <c r="D2004" s="11" t="s">
        <v>2078</v>
      </c>
      <c r="E2004" t="s">
        <v>2272</v>
      </c>
    </row>
    <row r="2005" spans="1:5">
      <c r="A2005" s="11"/>
      <c r="B2005" s="11">
        <v>3501000</v>
      </c>
      <c r="C2005" s="11" t="s">
        <v>2077</v>
      </c>
      <c r="D2005" s="11" t="s">
        <v>2078</v>
      </c>
      <c r="E2005" t="s">
        <v>2272</v>
      </c>
    </row>
    <row r="2006" spans="1:5">
      <c r="A2006" s="11"/>
      <c r="B2006" s="11">
        <v>3501001</v>
      </c>
      <c r="C2006" s="11" t="s">
        <v>2077</v>
      </c>
      <c r="D2006" s="11" t="s">
        <v>2078</v>
      </c>
      <c r="E2006" t="s">
        <v>2272</v>
      </c>
    </row>
    <row r="2007" spans="1:5">
      <c r="A2007" s="11"/>
      <c r="B2007" s="11">
        <v>3501002</v>
      </c>
      <c r="C2007" s="11" t="s">
        <v>2077</v>
      </c>
      <c r="D2007" s="11" t="s">
        <v>2078</v>
      </c>
      <c r="E2007" t="s">
        <v>2272</v>
      </c>
    </row>
    <row r="2008" spans="1:5">
      <c r="A2008" s="11"/>
      <c r="B2008" s="11">
        <v>3501003</v>
      </c>
      <c r="C2008" s="11" t="s">
        <v>2077</v>
      </c>
      <c r="D2008" s="11" t="s">
        <v>2078</v>
      </c>
      <c r="E2008" t="s">
        <v>2272</v>
      </c>
    </row>
    <row r="2009" spans="1:5">
      <c r="A2009" s="11"/>
      <c r="B2009" s="11">
        <v>3501004</v>
      </c>
      <c r="C2009" s="11" t="s">
        <v>2077</v>
      </c>
      <c r="D2009" s="11" t="s">
        <v>2078</v>
      </c>
      <c r="E2009" t="s">
        <v>2272</v>
      </c>
    </row>
    <row r="2010" spans="1:5">
      <c r="A2010" s="11"/>
      <c r="B2010" s="11">
        <v>3501005</v>
      </c>
      <c r="C2010" s="11" t="s">
        <v>2077</v>
      </c>
      <c r="D2010" s="11" t="s">
        <v>2078</v>
      </c>
      <c r="E2010" t="s">
        <v>2272</v>
      </c>
    </row>
    <row r="2011" spans="1:5">
      <c r="A2011" s="11"/>
      <c r="B2011" s="11">
        <v>3501006</v>
      </c>
      <c r="C2011" s="11" t="s">
        <v>2077</v>
      </c>
      <c r="D2011" s="11" t="s">
        <v>2078</v>
      </c>
      <c r="E2011" t="s">
        <v>2272</v>
      </c>
    </row>
    <row r="2012" spans="1:5">
      <c r="A2012" s="11"/>
      <c r="B2012" s="11">
        <v>3501007</v>
      </c>
      <c r="C2012" s="11" t="s">
        <v>2077</v>
      </c>
      <c r="D2012" s="11" t="s">
        <v>2078</v>
      </c>
      <c r="E2012" t="s">
        <v>2272</v>
      </c>
    </row>
    <row r="2013" spans="1:5">
      <c r="A2013" s="11"/>
      <c r="B2013" s="11">
        <v>3501008</v>
      </c>
      <c r="C2013" s="11" t="s">
        <v>2077</v>
      </c>
      <c r="D2013" s="11" t="s">
        <v>2078</v>
      </c>
      <c r="E2013" t="s">
        <v>2272</v>
      </c>
    </row>
    <row r="2014" spans="1:5">
      <c r="A2014" s="11"/>
      <c r="B2014" s="11">
        <v>3501009</v>
      </c>
      <c r="C2014" s="11" t="s">
        <v>2077</v>
      </c>
      <c r="D2014" s="11" t="s">
        <v>2078</v>
      </c>
      <c r="E2014" t="s">
        <v>2272</v>
      </c>
    </row>
    <row r="2015" spans="1:5">
      <c r="A2015" s="11"/>
      <c r="B2015" s="11">
        <v>3501010</v>
      </c>
      <c r="C2015" s="11" t="s">
        <v>2077</v>
      </c>
      <c r="D2015" s="11" t="s">
        <v>2078</v>
      </c>
      <c r="E2015" t="s">
        <v>2272</v>
      </c>
    </row>
    <row r="2016" spans="1:5">
      <c r="A2016" s="11"/>
      <c r="B2016" s="11">
        <v>3501011</v>
      </c>
      <c r="C2016" s="11" t="s">
        <v>2077</v>
      </c>
      <c r="D2016" s="11" t="s">
        <v>2078</v>
      </c>
      <c r="E2016" t="s">
        <v>2272</v>
      </c>
    </row>
    <row r="2017" spans="1:5">
      <c r="A2017" s="11"/>
      <c r="B2017" s="11">
        <v>3501012</v>
      </c>
      <c r="C2017" s="11" t="s">
        <v>2077</v>
      </c>
      <c r="D2017" s="11" t="s">
        <v>2078</v>
      </c>
      <c r="E2017" t="s">
        <v>2272</v>
      </c>
    </row>
    <row r="2018" spans="1:5">
      <c r="A2018" s="11"/>
      <c r="B2018" s="11">
        <v>3501013</v>
      </c>
      <c r="C2018" s="11" t="s">
        <v>2077</v>
      </c>
      <c r="D2018" s="11" t="s">
        <v>2078</v>
      </c>
      <c r="E2018" t="s">
        <v>2272</v>
      </c>
    </row>
    <row r="2019" spans="1:5">
      <c r="A2019" s="11"/>
      <c r="B2019" s="11">
        <v>3501014</v>
      </c>
      <c r="C2019" s="11" t="s">
        <v>2077</v>
      </c>
      <c r="D2019" s="11" t="s">
        <v>2078</v>
      </c>
      <c r="E2019" t="s">
        <v>2272</v>
      </c>
    </row>
    <row r="2020" spans="1:5">
      <c r="A2020" s="11"/>
      <c r="B2020" s="11">
        <v>3501016</v>
      </c>
      <c r="C2020" s="11" t="s">
        <v>2077</v>
      </c>
      <c r="D2020" s="11" t="s">
        <v>2078</v>
      </c>
      <c r="E2020" t="s">
        <v>2272</v>
      </c>
    </row>
    <row r="2021" spans="1:5">
      <c r="A2021" s="11"/>
      <c r="B2021" s="11">
        <v>3501017</v>
      </c>
      <c r="C2021" s="11" t="s">
        <v>2077</v>
      </c>
      <c r="D2021" s="11" t="s">
        <v>2078</v>
      </c>
      <c r="E2021" t="s">
        <v>2272</v>
      </c>
    </row>
    <row r="2022" spans="1:5">
      <c r="A2022" s="11"/>
      <c r="B2022" s="11">
        <v>3501029</v>
      </c>
      <c r="C2022" s="11" t="s">
        <v>2077</v>
      </c>
      <c r="D2022" s="11" t="s">
        <v>2078</v>
      </c>
      <c r="E2022" t="s">
        <v>2272</v>
      </c>
    </row>
    <row r="2023" spans="1:5">
      <c r="A2023" s="11"/>
      <c r="B2023" s="11">
        <v>3501030</v>
      </c>
      <c r="C2023" s="11" t="s">
        <v>2077</v>
      </c>
      <c r="D2023" s="11" t="s">
        <v>2078</v>
      </c>
      <c r="E2023" t="s">
        <v>2272</v>
      </c>
    </row>
    <row r="2024" spans="1:5">
      <c r="A2024" s="11"/>
      <c r="B2024" s="11">
        <v>3501031</v>
      </c>
      <c r="C2024" s="11" t="s">
        <v>2077</v>
      </c>
      <c r="D2024" s="11" t="s">
        <v>2078</v>
      </c>
      <c r="E2024" t="s">
        <v>2272</v>
      </c>
    </row>
    <row r="2025" spans="1:5">
      <c r="A2025" s="11"/>
      <c r="B2025" s="11">
        <v>3501032</v>
      </c>
      <c r="C2025" s="11" t="s">
        <v>2077</v>
      </c>
      <c r="D2025" s="11" t="s">
        <v>2078</v>
      </c>
      <c r="E2025" t="s">
        <v>2272</v>
      </c>
    </row>
    <row r="2026" spans="1:5">
      <c r="A2026" s="11"/>
      <c r="B2026" s="11">
        <v>3501033</v>
      </c>
      <c r="C2026" s="11" t="s">
        <v>2077</v>
      </c>
      <c r="D2026" s="11" t="s">
        <v>2078</v>
      </c>
      <c r="E2026" t="s">
        <v>2272</v>
      </c>
    </row>
    <row r="2027" spans="1:5">
      <c r="A2027" s="11"/>
      <c r="B2027" s="11">
        <v>3501034</v>
      </c>
      <c r="C2027" s="11" t="s">
        <v>2077</v>
      </c>
      <c r="D2027" s="11" t="s">
        <v>2078</v>
      </c>
      <c r="E2027" t="s">
        <v>2272</v>
      </c>
    </row>
    <row r="2028" spans="1:5">
      <c r="A2028" s="11"/>
      <c r="B2028" s="11">
        <v>3501035</v>
      </c>
      <c r="C2028" s="11" t="s">
        <v>2077</v>
      </c>
      <c r="D2028" s="11" t="s">
        <v>2078</v>
      </c>
      <c r="E2028" t="s">
        <v>2272</v>
      </c>
    </row>
    <row r="2029" spans="1:5">
      <c r="A2029" s="11"/>
      <c r="B2029" s="11">
        <v>3501036</v>
      </c>
      <c r="C2029" s="11" t="s">
        <v>2077</v>
      </c>
      <c r="D2029" s="11" t="s">
        <v>2078</v>
      </c>
      <c r="E2029" t="s">
        <v>2272</v>
      </c>
    </row>
    <row r="2030" spans="1:5">
      <c r="A2030" s="11"/>
      <c r="B2030" s="11">
        <v>3501037</v>
      </c>
      <c r="C2030" s="11" t="s">
        <v>2077</v>
      </c>
      <c r="D2030" s="11" t="s">
        <v>2078</v>
      </c>
      <c r="E2030" t="s">
        <v>2272</v>
      </c>
    </row>
    <row r="2031" spans="1:5">
      <c r="A2031" s="11"/>
      <c r="B2031" s="11">
        <v>3501038</v>
      </c>
      <c r="C2031" s="11" t="s">
        <v>2077</v>
      </c>
      <c r="D2031" s="11" t="s">
        <v>2078</v>
      </c>
      <c r="E2031" t="s">
        <v>2272</v>
      </c>
    </row>
    <row r="2032" spans="1:5">
      <c r="A2032" s="11"/>
      <c r="B2032" s="11">
        <v>3501039</v>
      </c>
      <c r="C2032" s="11" t="s">
        <v>2077</v>
      </c>
      <c r="D2032" s="11" t="s">
        <v>2078</v>
      </c>
      <c r="E2032" t="s">
        <v>2272</v>
      </c>
    </row>
    <row r="2033" spans="1:5">
      <c r="A2033" s="11"/>
      <c r="B2033" s="11">
        <v>3501040</v>
      </c>
      <c r="C2033" s="11" t="s">
        <v>2077</v>
      </c>
      <c r="D2033" s="11" t="s">
        <v>2078</v>
      </c>
      <c r="E2033" t="s">
        <v>2272</v>
      </c>
    </row>
    <row r="2034" spans="1:5">
      <c r="A2034" s="11"/>
      <c r="B2034" s="11">
        <v>3501042</v>
      </c>
      <c r="C2034" s="11" t="s">
        <v>2077</v>
      </c>
      <c r="D2034" s="11" t="s">
        <v>2078</v>
      </c>
      <c r="E2034" t="s">
        <v>2272</v>
      </c>
    </row>
    <row r="2035" spans="1:5">
      <c r="A2035" s="11"/>
      <c r="B2035" s="11">
        <v>3501043</v>
      </c>
      <c r="C2035" s="11" t="s">
        <v>2077</v>
      </c>
      <c r="D2035" s="11" t="s">
        <v>2078</v>
      </c>
      <c r="E2035" t="s">
        <v>2272</v>
      </c>
    </row>
    <row r="2036" spans="1:5">
      <c r="A2036" s="11"/>
      <c r="B2036" s="11">
        <v>3501044</v>
      </c>
      <c r="C2036" s="11" t="s">
        <v>2077</v>
      </c>
      <c r="D2036" s="11" t="s">
        <v>2078</v>
      </c>
      <c r="E2036" t="s">
        <v>2272</v>
      </c>
    </row>
    <row r="2037" spans="1:5">
      <c r="A2037" s="11"/>
      <c r="B2037" s="11">
        <v>3501045</v>
      </c>
      <c r="C2037" s="11" t="s">
        <v>2077</v>
      </c>
      <c r="D2037" s="11" t="s">
        <v>2078</v>
      </c>
      <c r="E2037" t="s">
        <v>2272</v>
      </c>
    </row>
    <row r="2038" spans="1:5">
      <c r="A2038" s="11"/>
      <c r="B2038" s="11">
        <v>3501046</v>
      </c>
      <c r="C2038" s="11" t="s">
        <v>2077</v>
      </c>
      <c r="D2038" s="11" t="s">
        <v>2078</v>
      </c>
      <c r="E2038" t="s">
        <v>2272</v>
      </c>
    </row>
    <row r="2039" spans="1:5">
      <c r="A2039" s="11"/>
      <c r="B2039" s="11">
        <v>3501047</v>
      </c>
      <c r="C2039" s="11" t="s">
        <v>2077</v>
      </c>
      <c r="D2039" s="11" t="s">
        <v>2078</v>
      </c>
      <c r="E2039" t="s">
        <v>2272</v>
      </c>
    </row>
    <row r="2040" spans="1:5">
      <c r="A2040" s="11"/>
      <c r="B2040" s="11">
        <v>3501051</v>
      </c>
      <c r="C2040" s="11" t="s">
        <v>2077</v>
      </c>
      <c r="D2040" s="11" t="s">
        <v>2078</v>
      </c>
      <c r="E2040" t="s">
        <v>2272</v>
      </c>
    </row>
    <row r="2041" spans="1:5">
      <c r="A2041" s="11"/>
      <c r="B2041" s="11">
        <v>3501052</v>
      </c>
      <c r="C2041" s="11" t="s">
        <v>2077</v>
      </c>
      <c r="D2041" s="11" t="s">
        <v>2078</v>
      </c>
      <c r="E2041" t="s">
        <v>2272</v>
      </c>
    </row>
    <row r="2042" spans="1:5">
      <c r="A2042" s="11"/>
      <c r="B2042" s="11">
        <v>3501053</v>
      </c>
      <c r="C2042" s="11" t="s">
        <v>2077</v>
      </c>
      <c r="D2042" s="11" t="s">
        <v>2078</v>
      </c>
      <c r="E2042" t="s">
        <v>2272</v>
      </c>
    </row>
    <row r="2043" spans="1:5">
      <c r="A2043" s="11"/>
      <c r="B2043" s="11">
        <v>3501054</v>
      </c>
      <c r="C2043" s="11" t="s">
        <v>2077</v>
      </c>
      <c r="D2043" s="11" t="s">
        <v>2078</v>
      </c>
      <c r="E2043" t="s">
        <v>2272</v>
      </c>
    </row>
    <row r="2044" spans="1:5">
      <c r="A2044" s="11"/>
      <c r="B2044" s="11">
        <v>3501055</v>
      </c>
      <c r="C2044" s="11" t="s">
        <v>2077</v>
      </c>
      <c r="D2044" s="11" t="s">
        <v>2078</v>
      </c>
      <c r="E2044" t="s">
        <v>2272</v>
      </c>
    </row>
    <row r="2045" spans="1:5">
      <c r="A2045" s="11"/>
      <c r="B2045" s="11">
        <v>3501056</v>
      </c>
      <c r="C2045" s="11" t="s">
        <v>2077</v>
      </c>
      <c r="D2045" s="11" t="s">
        <v>2078</v>
      </c>
      <c r="E2045" t="s">
        <v>2272</v>
      </c>
    </row>
    <row r="2046" spans="1:5">
      <c r="A2046" s="11"/>
      <c r="B2046" s="11">
        <v>3501057</v>
      </c>
      <c r="C2046" s="11" t="s">
        <v>2077</v>
      </c>
      <c r="D2046" s="11" t="s">
        <v>2078</v>
      </c>
      <c r="E2046" t="s">
        <v>2272</v>
      </c>
    </row>
    <row r="2047" spans="1:5">
      <c r="A2047" s="11"/>
      <c r="B2047" s="11">
        <v>3501058</v>
      </c>
      <c r="C2047" s="11" t="s">
        <v>2077</v>
      </c>
      <c r="D2047" s="11" t="s">
        <v>2078</v>
      </c>
      <c r="E2047" t="s">
        <v>2272</v>
      </c>
    </row>
    <row r="2048" spans="1:5">
      <c r="A2048" s="11"/>
      <c r="B2048" s="11">
        <v>3501060</v>
      </c>
      <c r="C2048" s="11" t="s">
        <v>2077</v>
      </c>
      <c r="D2048" s="11" t="s">
        <v>2078</v>
      </c>
      <c r="E2048" t="s">
        <v>2272</v>
      </c>
    </row>
    <row r="2049" spans="1:5">
      <c r="A2049" s="11"/>
      <c r="B2049" s="11">
        <v>3501061</v>
      </c>
      <c r="C2049" s="11" t="s">
        <v>2077</v>
      </c>
      <c r="D2049" s="11" t="s">
        <v>2078</v>
      </c>
      <c r="E2049" t="s">
        <v>2272</v>
      </c>
    </row>
    <row r="2050" spans="1:5">
      <c r="A2050" s="11"/>
      <c r="B2050" s="11">
        <v>3501064</v>
      </c>
      <c r="C2050" s="11" t="s">
        <v>2077</v>
      </c>
      <c r="D2050" s="11" t="s">
        <v>2078</v>
      </c>
      <c r="E2050" t="s">
        <v>2272</v>
      </c>
    </row>
    <row r="2051" spans="1:5">
      <c r="A2051" s="11"/>
      <c r="B2051" s="11">
        <v>3501066</v>
      </c>
      <c r="C2051" s="11" t="s">
        <v>2077</v>
      </c>
      <c r="D2051" s="11" t="s">
        <v>2078</v>
      </c>
      <c r="E2051" t="s">
        <v>2272</v>
      </c>
    </row>
    <row r="2052" spans="1:5">
      <c r="A2052" s="11"/>
      <c r="B2052" s="11">
        <v>3501068</v>
      </c>
      <c r="C2052" s="11" t="s">
        <v>2077</v>
      </c>
      <c r="D2052" s="11" t="s">
        <v>2078</v>
      </c>
      <c r="E2052" t="s">
        <v>2272</v>
      </c>
    </row>
    <row r="2053" spans="1:5">
      <c r="A2053" s="11"/>
      <c r="B2053" s="11">
        <v>3501069</v>
      </c>
      <c r="C2053" s="11" t="s">
        <v>2077</v>
      </c>
      <c r="D2053" s="11" t="s">
        <v>2078</v>
      </c>
      <c r="E2053" t="s">
        <v>2272</v>
      </c>
    </row>
    <row r="2054" spans="1:5">
      <c r="A2054" s="11"/>
      <c r="B2054" s="11">
        <v>3501070</v>
      </c>
      <c r="C2054" s="11" t="s">
        <v>2077</v>
      </c>
      <c r="D2054" s="11" t="s">
        <v>2078</v>
      </c>
      <c r="E2054" t="s">
        <v>2272</v>
      </c>
    </row>
    <row r="2055" spans="1:5">
      <c r="A2055" s="11"/>
      <c r="B2055" s="11">
        <v>3501072</v>
      </c>
      <c r="C2055" s="11" t="s">
        <v>2077</v>
      </c>
      <c r="D2055" s="11" t="s">
        <v>2078</v>
      </c>
      <c r="E2055" t="s">
        <v>2272</v>
      </c>
    </row>
    <row r="2056" spans="1:5">
      <c r="A2056" s="11"/>
      <c r="B2056" s="11">
        <v>3501073</v>
      </c>
      <c r="C2056" s="11" t="s">
        <v>2077</v>
      </c>
      <c r="D2056" s="11" t="s">
        <v>2078</v>
      </c>
      <c r="E2056" t="s">
        <v>2272</v>
      </c>
    </row>
    <row r="2057" spans="1:5">
      <c r="A2057" s="11"/>
      <c r="B2057" s="11">
        <v>3501074</v>
      </c>
      <c r="C2057" s="11" t="s">
        <v>2077</v>
      </c>
      <c r="D2057" s="11" t="s">
        <v>2078</v>
      </c>
      <c r="E2057" t="s">
        <v>2272</v>
      </c>
    </row>
    <row r="2058" spans="1:5">
      <c r="A2058" s="11"/>
      <c r="B2058" s="11">
        <v>3501075</v>
      </c>
      <c r="C2058" s="11" t="s">
        <v>2077</v>
      </c>
      <c r="D2058" s="11" t="s">
        <v>2078</v>
      </c>
      <c r="E2058" t="s">
        <v>2272</v>
      </c>
    </row>
    <row r="2059" spans="1:5">
      <c r="A2059" s="11"/>
      <c r="B2059" s="11">
        <v>3501076</v>
      </c>
      <c r="C2059" s="11" t="s">
        <v>2077</v>
      </c>
      <c r="D2059" s="11" t="s">
        <v>2078</v>
      </c>
      <c r="E2059" t="s">
        <v>2272</v>
      </c>
    </row>
    <row r="2060" spans="1:5">
      <c r="A2060" s="11"/>
      <c r="B2060" s="11">
        <v>3501077</v>
      </c>
      <c r="C2060" s="11" t="s">
        <v>2077</v>
      </c>
      <c r="D2060" s="11" t="s">
        <v>2078</v>
      </c>
      <c r="E2060" t="s">
        <v>2272</v>
      </c>
    </row>
    <row r="2061" spans="1:5">
      <c r="A2061" s="11"/>
      <c r="B2061" s="11">
        <v>3501078</v>
      </c>
      <c r="C2061" s="11" t="s">
        <v>2077</v>
      </c>
      <c r="D2061" s="11" t="s">
        <v>2078</v>
      </c>
      <c r="E2061" t="s">
        <v>2272</v>
      </c>
    </row>
    <row r="2062" spans="1:5">
      <c r="A2062" s="11"/>
      <c r="B2062" s="11">
        <v>3501079</v>
      </c>
      <c r="C2062" s="11" t="s">
        <v>2077</v>
      </c>
      <c r="D2062" s="11" t="s">
        <v>2078</v>
      </c>
      <c r="E2062" t="s">
        <v>2272</v>
      </c>
    </row>
    <row r="2063" spans="1:5">
      <c r="A2063" s="11"/>
      <c r="B2063" s="11">
        <v>3501080</v>
      </c>
      <c r="C2063" s="11" t="s">
        <v>2077</v>
      </c>
      <c r="D2063" s="11" t="s">
        <v>2078</v>
      </c>
      <c r="E2063" t="s">
        <v>2272</v>
      </c>
    </row>
    <row r="2064" spans="1:5">
      <c r="A2064" s="11"/>
      <c r="B2064" s="11">
        <v>3501081</v>
      </c>
      <c r="C2064" s="11" t="s">
        <v>2077</v>
      </c>
      <c r="D2064" s="11" t="s">
        <v>2078</v>
      </c>
      <c r="E2064" t="s">
        <v>2272</v>
      </c>
    </row>
    <row r="2065" spans="1:5">
      <c r="A2065" s="11"/>
      <c r="B2065" s="11">
        <v>3600000</v>
      </c>
      <c r="C2065" s="11" t="s">
        <v>2077</v>
      </c>
      <c r="D2065" s="11" t="s">
        <v>2078</v>
      </c>
      <c r="E2065" t="s">
        <v>2272</v>
      </c>
    </row>
    <row r="2066" spans="1:5">
      <c r="A2066" s="11"/>
      <c r="B2066" s="11">
        <v>3600002</v>
      </c>
      <c r="C2066" s="11" t="s">
        <v>2077</v>
      </c>
      <c r="D2066" s="11" t="s">
        <v>2078</v>
      </c>
      <c r="E2066" t="s">
        <v>2272</v>
      </c>
    </row>
    <row r="2067" spans="1:5">
      <c r="A2067" s="11"/>
      <c r="B2067" s="11">
        <v>3600003</v>
      </c>
      <c r="C2067" s="11" t="s">
        <v>2077</v>
      </c>
      <c r="D2067" s="11" t="s">
        <v>2078</v>
      </c>
      <c r="E2067" t="s">
        <v>2272</v>
      </c>
    </row>
    <row r="2068" spans="1:5">
      <c r="A2068" s="11"/>
      <c r="B2068" s="11">
        <v>3600004</v>
      </c>
      <c r="C2068" s="11" t="s">
        <v>2077</v>
      </c>
      <c r="D2068" s="11" t="s">
        <v>2078</v>
      </c>
      <c r="E2068" t="s">
        <v>2272</v>
      </c>
    </row>
    <row r="2069" spans="1:5">
      <c r="A2069" s="11"/>
      <c r="B2069" s="11">
        <v>3600005</v>
      </c>
      <c r="C2069" s="11" t="s">
        <v>2077</v>
      </c>
      <c r="D2069" s="11" t="s">
        <v>2078</v>
      </c>
      <c r="E2069" t="s">
        <v>2272</v>
      </c>
    </row>
    <row r="2070" spans="1:5">
      <c r="A2070" s="11"/>
      <c r="B2070" s="11">
        <v>3600006</v>
      </c>
      <c r="C2070" s="11" t="s">
        <v>2077</v>
      </c>
      <c r="D2070" s="11" t="s">
        <v>2078</v>
      </c>
      <c r="E2070" t="s">
        <v>2272</v>
      </c>
    </row>
    <row r="2071" spans="1:5">
      <c r="A2071" s="11"/>
      <c r="B2071" s="11">
        <v>3600007</v>
      </c>
      <c r="C2071" s="11" t="s">
        <v>2077</v>
      </c>
      <c r="D2071" s="11" t="s">
        <v>2078</v>
      </c>
      <c r="E2071" t="s">
        <v>2272</v>
      </c>
    </row>
    <row r="2072" spans="1:5">
      <c r="A2072" s="11"/>
      <c r="B2072" s="11">
        <v>3600008</v>
      </c>
      <c r="C2072" s="11" t="s">
        <v>2077</v>
      </c>
      <c r="D2072" s="11" t="s">
        <v>2078</v>
      </c>
      <c r="E2072" t="s">
        <v>2272</v>
      </c>
    </row>
    <row r="2073" spans="1:5">
      <c r="A2073" s="11"/>
      <c r="B2073" s="11">
        <v>3600009</v>
      </c>
      <c r="C2073" s="11" t="s">
        <v>2077</v>
      </c>
      <c r="D2073" s="11" t="s">
        <v>2078</v>
      </c>
      <c r="E2073" t="s">
        <v>2272</v>
      </c>
    </row>
    <row r="2074" spans="1:5">
      <c r="A2074" s="11"/>
      <c r="B2074" s="11">
        <v>3600010</v>
      </c>
      <c r="C2074" s="11" t="s">
        <v>2077</v>
      </c>
      <c r="D2074" s="11" t="s">
        <v>2078</v>
      </c>
      <c r="E2074" t="s">
        <v>2272</v>
      </c>
    </row>
    <row r="2075" spans="1:5">
      <c r="A2075" s="11"/>
      <c r="B2075" s="11">
        <v>3600012</v>
      </c>
      <c r="C2075" s="11" t="s">
        <v>2077</v>
      </c>
      <c r="D2075" s="11" t="s">
        <v>2078</v>
      </c>
      <c r="E2075" t="s">
        <v>2272</v>
      </c>
    </row>
    <row r="2076" spans="1:5">
      <c r="A2076" s="11"/>
      <c r="B2076" s="11">
        <v>3600013</v>
      </c>
      <c r="C2076" s="11" t="s">
        <v>2077</v>
      </c>
      <c r="D2076" s="11" t="s">
        <v>2078</v>
      </c>
      <c r="E2076" t="s">
        <v>2272</v>
      </c>
    </row>
    <row r="2077" spans="1:5">
      <c r="A2077" s="11"/>
      <c r="B2077" s="11">
        <v>3600014</v>
      </c>
      <c r="C2077" s="11" t="s">
        <v>2077</v>
      </c>
      <c r="D2077" s="11" t="s">
        <v>2078</v>
      </c>
      <c r="E2077" t="s">
        <v>2272</v>
      </c>
    </row>
    <row r="2078" spans="1:5">
      <c r="A2078" s="11"/>
      <c r="B2078" s="11">
        <v>3600015</v>
      </c>
      <c r="C2078" s="11" t="s">
        <v>2077</v>
      </c>
      <c r="D2078" s="11" t="s">
        <v>2078</v>
      </c>
      <c r="E2078" t="s">
        <v>2272</v>
      </c>
    </row>
    <row r="2079" spans="1:5">
      <c r="A2079" s="11"/>
      <c r="B2079" s="11">
        <v>3600016</v>
      </c>
      <c r="C2079" s="11" t="s">
        <v>2077</v>
      </c>
      <c r="D2079" s="11" t="s">
        <v>2078</v>
      </c>
      <c r="E2079" t="s">
        <v>2272</v>
      </c>
    </row>
    <row r="2080" spans="1:5">
      <c r="A2080" s="11"/>
      <c r="B2080" s="11">
        <v>3600017</v>
      </c>
      <c r="C2080" s="11" t="s">
        <v>2077</v>
      </c>
      <c r="D2080" s="11" t="s">
        <v>2078</v>
      </c>
      <c r="E2080" t="s">
        <v>2272</v>
      </c>
    </row>
    <row r="2081" spans="1:5">
      <c r="A2081" s="11"/>
      <c r="B2081" s="11">
        <v>3600018</v>
      </c>
      <c r="C2081" s="11" t="s">
        <v>2077</v>
      </c>
      <c r="D2081" s="11" t="s">
        <v>2078</v>
      </c>
      <c r="E2081" t="s">
        <v>2272</v>
      </c>
    </row>
    <row r="2082" spans="1:5">
      <c r="A2082" s="11"/>
      <c r="B2082" s="11">
        <v>3600019</v>
      </c>
      <c r="C2082" s="11" t="s">
        <v>2077</v>
      </c>
      <c r="D2082" s="11" t="s">
        <v>2078</v>
      </c>
      <c r="E2082" t="s">
        <v>2272</v>
      </c>
    </row>
    <row r="2083" spans="1:5">
      <c r="A2083" s="11"/>
      <c r="B2083" s="11">
        <v>3600020</v>
      </c>
      <c r="C2083" s="11" t="s">
        <v>2077</v>
      </c>
      <c r="D2083" s="11" t="s">
        <v>2078</v>
      </c>
      <c r="E2083" t="s">
        <v>2272</v>
      </c>
    </row>
    <row r="2084" spans="1:5">
      <c r="A2084" s="11"/>
      <c r="B2084" s="11">
        <v>3600021</v>
      </c>
      <c r="C2084" s="11" t="s">
        <v>2077</v>
      </c>
      <c r="D2084" s="11" t="s">
        <v>2078</v>
      </c>
      <c r="E2084" t="s">
        <v>2272</v>
      </c>
    </row>
    <row r="2085" spans="1:5">
      <c r="A2085" s="11"/>
      <c r="B2085" s="11">
        <v>3600022</v>
      </c>
      <c r="C2085" s="11" t="s">
        <v>2077</v>
      </c>
      <c r="D2085" s="11" t="s">
        <v>2078</v>
      </c>
      <c r="E2085" t="s">
        <v>2272</v>
      </c>
    </row>
    <row r="2086" spans="1:5">
      <c r="A2086" s="11"/>
      <c r="B2086" s="11">
        <v>3600023</v>
      </c>
      <c r="C2086" s="11" t="s">
        <v>2077</v>
      </c>
      <c r="D2086" s="11" t="s">
        <v>2078</v>
      </c>
      <c r="E2086" t="s">
        <v>2272</v>
      </c>
    </row>
    <row r="2087" spans="1:5">
      <c r="A2087" s="11"/>
      <c r="B2087" s="11">
        <v>3600024</v>
      </c>
      <c r="C2087" s="11" t="s">
        <v>2077</v>
      </c>
      <c r="D2087" s="11" t="s">
        <v>2078</v>
      </c>
      <c r="E2087" t="s">
        <v>2272</v>
      </c>
    </row>
    <row r="2088" spans="1:5">
      <c r="A2088" s="11"/>
      <c r="B2088" s="11">
        <v>3600026</v>
      </c>
      <c r="C2088" s="11" t="s">
        <v>2077</v>
      </c>
      <c r="D2088" s="11" t="s">
        <v>2078</v>
      </c>
      <c r="E2088" t="s">
        <v>2272</v>
      </c>
    </row>
    <row r="2089" spans="1:5">
      <c r="A2089" s="11"/>
      <c r="B2089" s="11">
        <v>3600027</v>
      </c>
      <c r="C2089" s="11" t="s">
        <v>2077</v>
      </c>
      <c r="D2089" s="11" t="s">
        <v>2078</v>
      </c>
      <c r="E2089" t="s">
        <v>2272</v>
      </c>
    </row>
    <row r="2090" spans="1:5">
      <c r="A2090" s="11"/>
      <c r="B2090" s="11">
        <v>3600028</v>
      </c>
      <c r="C2090" s="11" t="s">
        <v>2077</v>
      </c>
      <c r="D2090" s="11" t="s">
        <v>2078</v>
      </c>
      <c r="E2090" t="s">
        <v>2272</v>
      </c>
    </row>
    <row r="2091" spans="1:5">
      <c r="A2091" s="11"/>
      <c r="B2091" s="11">
        <v>3600029</v>
      </c>
      <c r="C2091" s="11" t="s">
        <v>2077</v>
      </c>
      <c r="D2091" s="11" t="s">
        <v>2078</v>
      </c>
      <c r="E2091" t="s">
        <v>2272</v>
      </c>
    </row>
    <row r="2092" spans="1:5">
      <c r="A2092" s="11"/>
      <c r="B2092" s="11">
        <v>3600030</v>
      </c>
      <c r="C2092" s="11" t="s">
        <v>2077</v>
      </c>
      <c r="D2092" s="11" t="s">
        <v>2078</v>
      </c>
      <c r="E2092" t="s">
        <v>2272</v>
      </c>
    </row>
    <row r="2093" spans="1:5">
      <c r="A2093" s="11"/>
      <c r="B2093" s="11">
        <v>3600031</v>
      </c>
      <c r="C2093" s="11" t="s">
        <v>2077</v>
      </c>
      <c r="D2093" s="11" t="s">
        <v>2078</v>
      </c>
      <c r="E2093" t="s">
        <v>2272</v>
      </c>
    </row>
    <row r="2094" spans="1:5">
      <c r="A2094" s="11"/>
      <c r="B2094" s="11">
        <v>3600032</v>
      </c>
      <c r="C2094" s="11" t="s">
        <v>2077</v>
      </c>
      <c r="D2094" s="11" t="s">
        <v>2078</v>
      </c>
      <c r="E2094" t="s">
        <v>2272</v>
      </c>
    </row>
    <row r="2095" spans="1:5">
      <c r="A2095" s="11"/>
      <c r="B2095" s="11">
        <v>3600033</v>
      </c>
      <c r="C2095" s="11" t="s">
        <v>2077</v>
      </c>
      <c r="D2095" s="11" t="s">
        <v>2078</v>
      </c>
      <c r="E2095" t="s">
        <v>2272</v>
      </c>
    </row>
    <row r="2096" spans="1:5">
      <c r="A2096" s="11"/>
      <c r="B2096" s="11">
        <v>3600034</v>
      </c>
      <c r="C2096" s="11" t="s">
        <v>2077</v>
      </c>
      <c r="D2096" s="11" t="s">
        <v>2078</v>
      </c>
      <c r="E2096" t="s">
        <v>2272</v>
      </c>
    </row>
    <row r="2097" spans="1:5">
      <c r="A2097" s="11"/>
      <c r="B2097" s="11">
        <v>3600035</v>
      </c>
      <c r="C2097" s="11" t="s">
        <v>2077</v>
      </c>
      <c r="D2097" s="11" t="s">
        <v>2078</v>
      </c>
      <c r="E2097" t="s">
        <v>2272</v>
      </c>
    </row>
    <row r="2098" spans="1:5">
      <c r="A2098" s="11"/>
      <c r="B2098" s="11">
        <v>3600037</v>
      </c>
      <c r="C2098" s="11" t="s">
        <v>2077</v>
      </c>
      <c r="D2098" s="11" t="s">
        <v>2078</v>
      </c>
      <c r="E2098" t="s">
        <v>2272</v>
      </c>
    </row>
    <row r="2099" spans="1:5">
      <c r="A2099" s="11"/>
      <c r="B2099" s="11">
        <v>3600038</v>
      </c>
      <c r="C2099" s="11" t="s">
        <v>2077</v>
      </c>
      <c r="D2099" s="11" t="s">
        <v>2078</v>
      </c>
      <c r="E2099" t="s">
        <v>2272</v>
      </c>
    </row>
    <row r="2100" spans="1:5">
      <c r="A2100" s="11"/>
      <c r="B2100" s="11">
        <v>3600041</v>
      </c>
      <c r="C2100" s="11" t="s">
        <v>2077</v>
      </c>
      <c r="D2100" s="11" t="s">
        <v>2078</v>
      </c>
      <c r="E2100" t="s">
        <v>2272</v>
      </c>
    </row>
    <row r="2101" spans="1:5">
      <c r="A2101" s="11"/>
      <c r="B2101" s="11">
        <v>3600042</v>
      </c>
      <c r="C2101" s="11" t="s">
        <v>2077</v>
      </c>
      <c r="D2101" s="11" t="s">
        <v>2078</v>
      </c>
      <c r="E2101" t="s">
        <v>2272</v>
      </c>
    </row>
    <row r="2102" spans="1:5">
      <c r="A2102" s="11"/>
      <c r="B2102" s="11">
        <v>3600043</v>
      </c>
      <c r="C2102" s="11" t="s">
        <v>2077</v>
      </c>
      <c r="D2102" s="11" t="s">
        <v>2078</v>
      </c>
      <c r="E2102" t="s">
        <v>2272</v>
      </c>
    </row>
    <row r="2103" spans="1:5">
      <c r="A2103" s="11"/>
      <c r="B2103" s="11">
        <v>3600044</v>
      </c>
      <c r="C2103" s="11" t="s">
        <v>2077</v>
      </c>
      <c r="D2103" s="11" t="s">
        <v>2078</v>
      </c>
      <c r="E2103" t="s">
        <v>2272</v>
      </c>
    </row>
    <row r="2104" spans="1:5">
      <c r="A2104" s="11"/>
      <c r="B2104" s="11">
        <v>3600045</v>
      </c>
      <c r="C2104" s="11" t="s">
        <v>2077</v>
      </c>
      <c r="D2104" s="11" t="s">
        <v>2078</v>
      </c>
      <c r="E2104" t="s">
        <v>2272</v>
      </c>
    </row>
    <row r="2105" spans="1:5">
      <c r="A2105" s="11"/>
      <c r="B2105" s="11">
        <v>3600046</v>
      </c>
      <c r="C2105" s="11" t="s">
        <v>2077</v>
      </c>
      <c r="D2105" s="11" t="s">
        <v>2078</v>
      </c>
      <c r="E2105" t="s">
        <v>2272</v>
      </c>
    </row>
    <row r="2106" spans="1:5">
      <c r="A2106" s="11"/>
      <c r="B2106" s="11">
        <v>3600047</v>
      </c>
      <c r="C2106" s="11" t="s">
        <v>2077</v>
      </c>
      <c r="D2106" s="11" t="s">
        <v>2078</v>
      </c>
      <c r="E2106" t="s">
        <v>2272</v>
      </c>
    </row>
    <row r="2107" spans="1:5">
      <c r="A2107" s="11"/>
      <c r="B2107" s="11">
        <v>3600048</v>
      </c>
      <c r="C2107" s="11" t="s">
        <v>2077</v>
      </c>
      <c r="D2107" s="11" t="s">
        <v>2078</v>
      </c>
      <c r="E2107" t="s">
        <v>2272</v>
      </c>
    </row>
    <row r="2108" spans="1:5">
      <c r="A2108" s="11"/>
      <c r="B2108" s="11">
        <v>3600049</v>
      </c>
      <c r="C2108" s="11" t="s">
        <v>2077</v>
      </c>
      <c r="D2108" s="11" t="s">
        <v>2078</v>
      </c>
      <c r="E2108" t="s">
        <v>2272</v>
      </c>
    </row>
    <row r="2109" spans="1:5">
      <c r="A2109" s="11"/>
      <c r="B2109" s="11">
        <v>3600050</v>
      </c>
      <c r="C2109" s="11" t="s">
        <v>2077</v>
      </c>
      <c r="D2109" s="11" t="s">
        <v>2078</v>
      </c>
      <c r="E2109" t="s">
        <v>2272</v>
      </c>
    </row>
    <row r="2110" spans="1:5">
      <c r="A2110" s="11"/>
      <c r="B2110" s="11">
        <v>3600051</v>
      </c>
      <c r="C2110" s="11" t="s">
        <v>2077</v>
      </c>
      <c r="D2110" s="11" t="s">
        <v>2078</v>
      </c>
      <c r="E2110" t="s">
        <v>2272</v>
      </c>
    </row>
    <row r="2111" spans="1:5">
      <c r="A2111" s="11"/>
      <c r="B2111" s="11">
        <v>3600052</v>
      </c>
      <c r="C2111" s="11" t="s">
        <v>2077</v>
      </c>
      <c r="D2111" s="11" t="s">
        <v>2078</v>
      </c>
      <c r="E2111" t="s">
        <v>2272</v>
      </c>
    </row>
    <row r="2112" spans="1:5">
      <c r="A2112" s="11"/>
      <c r="B2112" s="11">
        <v>3600053</v>
      </c>
      <c r="C2112" s="11" t="s">
        <v>2077</v>
      </c>
      <c r="D2112" s="11" t="s">
        <v>2078</v>
      </c>
      <c r="E2112" t="s">
        <v>2272</v>
      </c>
    </row>
    <row r="2113" spans="1:5">
      <c r="A2113" s="11"/>
      <c r="B2113" s="11">
        <v>3600054</v>
      </c>
      <c r="C2113" s="11" t="s">
        <v>2077</v>
      </c>
      <c r="D2113" s="11" t="s">
        <v>2078</v>
      </c>
      <c r="E2113" t="s">
        <v>2272</v>
      </c>
    </row>
    <row r="2114" spans="1:5">
      <c r="A2114" s="11"/>
      <c r="B2114" s="11">
        <v>3600055</v>
      </c>
      <c r="C2114" s="11" t="s">
        <v>2077</v>
      </c>
      <c r="D2114" s="11" t="s">
        <v>2078</v>
      </c>
      <c r="E2114" t="s">
        <v>2272</v>
      </c>
    </row>
    <row r="2115" spans="1:5">
      <c r="A2115" s="11"/>
      <c r="B2115" s="11">
        <v>3600056</v>
      </c>
      <c r="C2115" s="11" t="s">
        <v>2077</v>
      </c>
      <c r="D2115" s="11" t="s">
        <v>2078</v>
      </c>
      <c r="E2115" t="s">
        <v>2272</v>
      </c>
    </row>
    <row r="2116" spans="1:5">
      <c r="A2116" s="11"/>
      <c r="B2116" s="11">
        <v>3600057</v>
      </c>
      <c r="C2116" s="11" t="s">
        <v>2077</v>
      </c>
      <c r="D2116" s="11" t="s">
        <v>2078</v>
      </c>
      <c r="E2116" t="s">
        <v>2272</v>
      </c>
    </row>
    <row r="2117" spans="1:5">
      <c r="A2117" s="11"/>
      <c r="B2117" s="11">
        <v>3600058</v>
      </c>
      <c r="C2117" s="11" t="s">
        <v>2077</v>
      </c>
      <c r="D2117" s="11" t="s">
        <v>2078</v>
      </c>
      <c r="E2117" t="s">
        <v>2272</v>
      </c>
    </row>
    <row r="2118" spans="1:5">
      <c r="A2118" s="11"/>
      <c r="B2118" s="11">
        <v>3600061</v>
      </c>
      <c r="C2118" s="11" t="s">
        <v>2077</v>
      </c>
      <c r="D2118" s="11" t="s">
        <v>2078</v>
      </c>
      <c r="E2118" t="s">
        <v>2272</v>
      </c>
    </row>
    <row r="2119" spans="1:5">
      <c r="A2119" s="11"/>
      <c r="B2119" s="11">
        <v>3600062</v>
      </c>
      <c r="C2119" s="11" t="s">
        <v>2077</v>
      </c>
      <c r="D2119" s="11" t="s">
        <v>2078</v>
      </c>
      <c r="E2119" t="s">
        <v>2272</v>
      </c>
    </row>
    <row r="2120" spans="1:5">
      <c r="A2120" s="11"/>
      <c r="B2120" s="11">
        <v>3600064</v>
      </c>
      <c r="C2120" s="11" t="s">
        <v>2077</v>
      </c>
      <c r="D2120" s="11" t="s">
        <v>2078</v>
      </c>
      <c r="E2120" t="s">
        <v>2272</v>
      </c>
    </row>
    <row r="2121" spans="1:5">
      <c r="A2121" s="11"/>
      <c r="B2121" s="11">
        <v>3600065</v>
      </c>
      <c r="C2121" s="11" t="s">
        <v>2077</v>
      </c>
      <c r="D2121" s="11" t="s">
        <v>2078</v>
      </c>
      <c r="E2121" t="s">
        <v>2272</v>
      </c>
    </row>
    <row r="2122" spans="1:5">
      <c r="A2122" s="11"/>
      <c r="B2122" s="11">
        <v>3600066</v>
      </c>
      <c r="C2122" s="11" t="s">
        <v>2077</v>
      </c>
      <c r="D2122" s="11" t="s">
        <v>2078</v>
      </c>
      <c r="E2122" t="s">
        <v>2272</v>
      </c>
    </row>
    <row r="2123" spans="1:5">
      <c r="A2123" s="11"/>
      <c r="B2123" s="11">
        <v>3600067</v>
      </c>
      <c r="C2123" s="11" t="s">
        <v>2077</v>
      </c>
      <c r="D2123" s="11" t="s">
        <v>2078</v>
      </c>
      <c r="E2123" t="s">
        <v>2272</v>
      </c>
    </row>
    <row r="2124" spans="1:5">
      <c r="A2124" s="11"/>
      <c r="B2124" s="11">
        <v>3600068</v>
      </c>
      <c r="C2124" s="11" t="s">
        <v>2077</v>
      </c>
      <c r="D2124" s="11" t="s">
        <v>2078</v>
      </c>
      <c r="E2124" t="s">
        <v>2272</v>
      </c>
    </row>
    <row r="2125" spans="1:5">
      <c r="A2125" s="11"/>
      <c r="B2125" s="11">
        <v>3600069</v>
      </c>
      <c r="C2125" s="11" t="s">
        <v>2077</v>
      </c>
      <c r="D2125" s="11" t="s">
        <v>2078</v>
      </c>
      <c r="E2125" t="s">
        <v>2272</v>
      </c>
    </row>
    <row r="2126" spans="1:5">
      <c r="A2126" s="11"/>
      <c r="B2126" s="11">
        <v>3600070</v>
      </c>
      <c r="C2126" s="11" t="s">
        <v>2077</v>
      </c>
      <c r="D2126" s="11" t="s">
        <v>2078</v>
      </c>
      <c r="E2126" t="s">
        <v>2272</v>
      </c>
    </row>
    <row r="2127" spans="1:5">
      <c r="A2127" s="11"/>
      <c r="B2127" s="11">
        <v>3700000</v>
      </c>
      <c r="C2127" s="11" t="s">
        <v>2077</v>
      </c>
      <c r="D2127" s="11" t="s">
        <v>2078</v>
      </c>
      <c r="E2127" t="s">
        <v>2272</v>
      </c>
    </row>
    <row r="2128" spans="1:5">
      <c r="A2128" s="11"/>
      <c r="B2128" s="11">
        <v>3700001</v>
      </c>
      <c r="C2128" s="11" t="s">
        <v>2077</v>
      </c>
      <c r="D2128" s="11" t="s">
        <v>2078</v>
      </c>
      <c r="E2128" t="s">
        <v>2272</v>
      </c>
    </row>
    <row r="2129" spans="1:5">
      <c r="A2129" s="11"/>
      <c r="B2129" s="11">
        <v>3700002</v>
      </c>
      <c r="C2129" s="11" t="s">
        <v>2077</v>
      </c>
      <c r="D2129" s="11" t="s">
        <v>2078</v>
      </c>
      <c r="E2129" t="s">
        <v>2272</v>
      </c>
    </row>
    <row r="2130" spans="1:5">
      <c r="A2130" s="11"/>
      <c r="B2130" s="11">
        <v>3700003</v>
      </c>
      <c r="C2130" s="11" t="s">
        <v>2077</v>
      </c>
      <c r="D2130" s="11" t="s">
        <v>2078</v>
      </c>
      <c r="E2130" t="s">
        <v>2272</v>
      </c>
    </row>
    <row r="2131" spans="1:5">
      <c r="A2131" s="11"/>
      <c r="B2131" s="11">
        <v>3700004</v>
      </c>
      <c r="C2131" s="11" t="s">
        <v>2077</v>
      </c>
      <c r="D2131" s="11" t="s">
        <v>2078</v>
      </c>
      <c r="E2131" t="s">
        <v>2272</v>
      </c>
    </row>
    <row r="2132" spans="1:5">
      <c r="A2132" s="11"/>
      <c r="B2132" s="11">
        <v>3701000</v>
      </c>
      <c r="C2132" s="11" t="s">
        <v>2077</v>
      </c>
      <c r="D2132" s="11" t="s">
        <v>2078</v>
      </c>
      <c r="E2132" t="s">
        <v>2272</v>
      </c>
    </row>
    <row r="2133" spans="1:5">
      <c r="A2133" s="11"/>
      <c r="B2133" s="11">
        <v>3701001</v>
      </c>
      <c r="C2133" s="11" t="s">
        <v>2077</v>
      </c>
      <c r="D2133" s="11" t="s">
        <v>2078</v>
      </c>
      <c r="E2133" t="s">
        <v>2272</v>
      </c>
    </row>
    <row r="2134" spans="1:5">
      <c r="A2134" s="11"/>
      <c r="B2134" s="11">
        <v>3701002</v>
      </c>
      <c r="C2134" s="11" t="s">
        <v>2077</v>
      </c>
      <c r="D2134" s="11" t="s">
        <v>2078</v>
      </c>
      <c r="E2134" t="s">
        <v>2272</v>
      </c>
    </row>
    <row r="2135" spans="1:5">
      <c r="A2135" s="11"/>
      <c r="B2135" s="11">
        <v>3701003</v>
      </c>
      <c r="C2135" s="11" t="s">
        <v>2077</v>
      </c>
      <c r="D2135" s="11" t="s">
        <v>2078</v>
      </c>
      <c r="E2135" t="s">
        <v>2272</v>
      </c>
    </row>
    <row r="2136" spans="1:5">
      <c r="A2136" s="11"/>
      <c r="B2136" s="11">
        <v>3701004</v>
      </c>
      <c r="C2136" s="11" t="s">
        <v>2077</v>
      </c>
      <c r="D2136" s="11" t="s">
        <v>2078</v>
      </c>
      <c r="E2136" t="s">
        <v>2272</v>
      </c>
    </row>
    <row r="2137" spans="1:5">
      <c r="A2137" s="11"/>
      <c r="B2137" s="11">
        <v>3701009</v>
      </c>
      <c r="C2137" s="11" t="s">
        <v>2077</v>
      </c>
      <c r="D2137" s="11" t="s">
        <v>2078</v>
      </c>
      <c r="E2137" t="s">
        <v>2272</v>
      </c>
    </row>
    <row r="2138" spans="1:5">
      <c r="A2138" s="11"/>
      <c r="B2138" s="11">
        <v>3701010</v>
      </c>
      <c r="C2138" s="11" t="s">
        <v>2077</v>
      </c>
      <c r="D2138" s="11" t="s">
        <v>2078</v>
      </c>
      <c r="E2138" t="s">
        <v>2272</v>
      </c>
    </row>
    <row r="2139" spans="1:5">
      <c r="A2139" s="11"/>
      <c r="B2139" s="11">
        <v>3701011</v>
      </c>
      <c r="C2139" s="11" t="s">
        <v>2077</v>
      </c>
      <c r="D2139" s="11" t="s">
        <v>2078</v>
      </c>
      <c r="E2139" t="s">
        <v>2272</v>
      </c>
    </row>
    <row r="2140" spans="1:5">
      <c r="A2140" s="11"/>
      <c r="B2140" s="11">
        <v>3701013</v>
      </c>
      <c r="C2140" s="11" t="s">
        <v>2077</v>
      </c>
      <c r="D2140" s="11" t="s">
        <v>2078</v>
      </c>
      <c r="E2140" t="s">
        <v>2272</v>
      </c>
    </row>
    <row r="2141" spans="1:5">
      <c r="A2141" s="11"/>
      <c r="B2141" s="11">
        <v>3701014</v>
      </c>
      <c r="C2141" s="11" t="s">
        <v>2077</v>
      </c>
      <c r="D2141" s="11" t="s">
        <v>2078</v>
      </c>
      <c r="E2141" t="s">
        <v>2272</v>
      </c>
    </row>
    <row r="2142" spans="1:5">
      <c r="A2142" s="11"/>
      <c r="B2142" s="11">
        <v>3701015</v>
      </c>
      <c r="C2142" s="11" t="s">
        <v>2077</v>
      </c>
      <c r="D2142" s="11" t="s">
        <v>2078</v>
      </c>
      <c r="E2142" t="s">
        <v>2272</v>
      </c>
    </row>
    <row r="2143" spans="1:5">
      <c r="A2143" s="11"/>
      <c r="B2143" s="11">
        <v>3701016</v>
      </c>
      <c r="C2143" s="11" t="s">
        <v>2077</v>
      </c>
      <c r="D2143" s="11" t="s">
        <v>2078</v>
      </c>
      <c r="E2143" t="s">
        <v>2272</v>
      </c>
    </row>
    <row r="2144" spans="1:5">
      <c r="A2144" s="11"/>
      <c r="B2144" s="11">
        <v>3701017</v>
      </c>
      <c r="C2144" s="11" t="s">
        <v>2077</v>
      </c>
      <c r="D2144" s="11" t="s">
        <v>2078</v>
      </c>
      <c r="E2144" t="s">
        <v>2272</v>
      </c>
    </row>
    <row r="2145" spans="1:5">
      <c r="A2145" s="11"/>
      <c r="B2145" s="11">
        <v>3701018</v>
      </c>
      <c r="C2145" s="11" t="s">
        <v>2077</v>
      </c>
      <c r="D2145" s="11" t="s">
        <v>2078</v>
      </c>
      <c r="E2145" t="s">
        <v>2272</v>
      </c>
    </row>
    <row r="2146" spans="1:5">
      <c r="A2146" s="11"/>
      <c r="B2146" s="11">
        <v>3701020</v>
      </c>
      <c r="C2146" s="11" t="s">
        <v>2077</v>
      </c>
      <c r="D2146" s="11" t="s">
        <v>2078</v>
      </c>
      <c r="E2146" t="s">
        <v>2272</v>
      </c>
    </row>
    <row r="2147" spans="1:5">
      <c r="A2147" s="11"/>
      <c r="B2147" s="11">
        <v>3701026</v>
      </c>
      <c r="C2147" s="11" t="s">
        <v>2077</v>
      </c>
      <c r="D2147" s="11" t="s">
        <v>2078</v>
      </c>
      <c r="E2147" t="s">
        <v>2272</v>
      </c>
    </row>
    <row r="2148" spans="1:5">
      <c r="A2148" s="11"/>
      <c r="B2148" s="11">
        <v>3701028</v>
      </c>
      <c r="C2148" s="11" t="s">
        <v>2077</v>
      </c>
      <c r="D2148" s="11" t="s">
        <v>2078</v>
      </c>
      <c r="E2148" t="s">
        <v>2272</v>
      </c>
    </row>
    <row r="2149" spans="1:5">
      <c r="A2149" s="11"/>
      <c r="B2149" s="11">
        <v>3701029</v>
      </c>
      <c r="C2149" s="11" t="s">
        <v>2077</v>
      </c>
      <c r="D2149" s="11" t="s">
        <v>2078</v>
      </c>
      <c r="E2149" t="s">
        <v>2272</v>
      </c>
    </row>
    <row r="2150" spans="1:5">
      <c r="A2150" s="11"/>
      <c r="B2150" s="11">
        <v>3701030</v>
      </c>
      <c r="C2150" s="11" t="s">
        <v>2077</v>
      </c>
      <c r="D2150" s="11" t="s">
        <v>2078</v>
      </c>
      <c r="E2150" t="s">
        <v>2272</v>
      </c>
    </row>
    <row r="2151" spans="1:5">
      <c r="A2151" s="11"/>
      <c r="B2151" s="11">
        <v>3701031</v>
      </c>
      <c r="C2151" s="11" t="s">
        <v>2077</v>
      </c>
      <c r="D2151" s="11" t="s">
        <v>2078</v>
      </c>
      <c r="E2151" t="s">
        <v>2272</v>
      </c>
    </row>
    <row r="2152" spans="1:5">
      <c r="A2152" s="11"/>
      <c r="B2152" s="11">
        <v>3800000</v>
      </c>
      <c r="C2152" s="11" t="s">
        <v>2077</v>
      </c>
      <c r="D2152" s="11" t="s">
        <v>2078</v>
      </c>
      <c r="E2152" t="s">
        <v>2272</v>
      </c>
    </row>
    <row r="2153" spans="1:5">
      <c r="A2153" s="11"/>
      <c r="B2153" s="11">
        <v>3800001</v>
      </c>
      <c r="C2153" s="11" t="s">
        <v>2077</v>
      </c>
      <c r="D2153" s="11" t="s">
        <v>2078</v>
      </c>
      <c r="E2153" t="s">
        <v>2272</v>
      </c>
    </row>
    <row r="2154" spans="1:5">
      <c r="A2154" s="11"/>
      <c r="B2154" s="11">
        <v>3800003</v>
      </c>
      <c r="C2154" s="11" t="s">
        <v>2077</v>
      </c>
      <c r="D2154" s="11" t="s">
        <v>2078</v>
      </c>
      <c r="E2154" t="s">
        <v>2272</v>
      </c>
    </row>
    <row r="2155" spans="1:5">
      <c r="A2155" s="11"/>
      <c r="B2155" s="11">
        <v>3800004</v>
      </c>
      <c r="C2155" s="11" t="s">
        <v>2077</v>
      </c>
      <c r="D2155" s="11" t="s">
        <v>2078</v>
      </c>
      <c r="E2155" t="s">
        <v>2272</v>
      </c>
    </row>
    <row r="2156" spans="1:5">
      <c r="A2156" s="11"/>
      <c r="B2156" s="11">
        <v>3800005</v>
      </c>
      <c r="C2156" s="11" t="s">
        <v>2077</v>
      </c>
      <c r="D2156" s="11" t="s">
        <v>2078</v>
      </c>
      <c r="E2156" t="s">
        <v>2272</v>
      </c>
    </row>
    <row r="2157" spans="1:5">
      <c r="A2157" s="11"/>
      <c r="B2157" s="11">
        <v>3800009</v>
      </c>
      <c r="C2157" s="11" t="s">
        <v>2077</v>
      </c>
      <c r="D2157" s="11" t="s">
        <v>2078</v>
      </c>
      <c r="E2157" t="s">
        <v>2272</v>
      </c>
    </row>
    <row r="2158" spans="1:5">
      <c r="A2158" s="11"/>
      <c r="B2158" s="11">
        <v>3800010</v>
      </c>
      <c r="C2158" s="11" t="s">
        <v>2077</v>
      </c>
      <c r="D2158" s="11" t="s">
        <v>2078</v>
      </c>
      <c r="E2158" t="s">
        <v>2272</v>
      </c>
    </row>
    <row r="2159" spans="1:5">
      <c r="A2159" s="11"/>
      <c r="B2159" s="11">
        <v>3800013</v>
      </c>
      <c r="C2159" s="11" t="s">
        <v>2077</v>
      </c>
      <c r="D2159" s="11" t="s">
        <v>2078</v>
      </c>
      <c r="E2159" t="s">
        <v>2272</v>
      </c>
    </row>
    <row r="2160" spans="1:5">
      <c r="A2160" s="11"/>
      <c r="B2160" s="11">
        <v>3800014</v>
      </c>
      <c r="C2160" s="11" t="s">
        <v>2077</v>
      </c>
      <c r="D2160" s="11" t="s">
        <v>2078</v>
      </c>
      <c r="E2160" t="s">
        <v>2272</v>
      </c>
    </row>
    <row r="2161" spans="1:5">
      <c r="A2161" s="11"/>
      <c r="B2161" s="11">
        <v>3800015</v>
      </c>
      <c r="C2161" s="11" t="s">
        <v>2077</v>
      </c>
      <c r="D2161" s="11" t="s">
        <v>2078</v>
      </c>
      <c r="E2161" t="s">
        <v>2272</v>
      </c>
    </row>
    <row r="2162" spans="1:5">
      <c r="A2162" s="11"/>
      <c r="B2162" s="11">
        <v>4001002</v>
      </c>
      <c r="C2162" s="11" t="s">
        <v>2077</v>
      </c>
      <c r="D2162" s="11" t="s">
        <v>2078</v>
      </c>
      <c r="E2162" t="s">
        <v>2273</v>
      </c>
    </row>
    <row r="2163" spans="1:5">
      <c r="A2163" s="11"/>
      <c r="B2163" s="11">
        <v>4002000</v>
      </c>
      <c r="C2163" s="11" t="s">
        <v>2077</v>
      </c>
      <c r="D2163" s="11" t="s">
        <v>2078</v>
      </c>
      <c r="E2163" t="s">
        <v>2273</v>
      </c>
    </row>
    <row r="2164" spans="1:5">
      <c r="A2164" s="11"/>
      <c r="B2164" s="11">
        <v>4002001</v>
      </c>
      <c r="C2164" s="11" t="s">
        <v>2077</v>
      </c>
      <c r="D2164" s="11" t="s">
        <v>2078</v>
      </c>
      <c r="E2164" t="s">
        <v>2273</v>
      </c>
    </row>
    <row r="2165" spans="1:5">
      <c r="A2165" s="11"/>
      <c r="B2165" s="11">
        <v>4002002</v>
      </c>
      <c r="C2165" s="11" t="s">
        <v>2077</v>
      </c>
      <c r="D2165" s="11" t="s">
        <v>2078</v>
      </c>
      <c r="E2165" t="s">
        <v>2273</v>
      </c>
    </row>
    <row r="2166" spans="1:5">
      <c r="A2166" s="11"/>
      <c r="B2166" s="11">
        <v>4002003</v>
      </c>
      <c r="C2166" s="11" t="s">
        <v>2077</v>
      </c>
      <c r="D2166" s="11" t="s">
        <v>2078</v>
      </c>
      <c r="E2166" t="s">
        <v>2273</v>
      </c>
    </row>
    <row r="2167" spans="1:5">
      <c r="A2167" s="11"/>
      <c r="B2167" s="11">
        <v>4002004</v>
      </c>
      <c r="C2167" s="11" t="s">
        <v>2077</v>
      </c>
      <c r="D2167" s="11" t="s">
        <v>2078</v>
      </c>
      <c r="E2167" t="s">
        <v>2273</v>
      </c>
    </row>
    <row r="2168" spans="1:5">
      <c r="A2168" s="11"/>
      <c r="B2168" s="11">
        <v>4002005</v>
      </c>
      <c r="C2168" s="11" t="s">
        <v>2077</v>
      </c>
      <c r="D2168" s="11" t="s">
        <v>2078</v>
      </c>
      <c r="E2168" t="s">
        <v>2273</v>
      </c>
    </row>
    <row r="2169" spans="1:5">
      <c r="A2169" s="11"/>
      <c r="B2169" s="11">
        <v>4002006</v>
      </c>
      <c r="C2169" s="11" t="s">
        <v>2077</v>
      </c>
      <c r="D2169" s="11" t="s">
        <v>2078</v>
      </c>
      <c r="E2169" t="s">
        <v>2273</v>
      </c>
    </row>
    <row r="2170" spans="1:5">
      <c r="A2170" s="11"/>
      <c r="B2170" s="11">
        <v>4002007</v>
      </c>
      <c r="C2170" s="11" t="s">
        <v>2077</v>
      </c>
      <c r="D2170" s="11" t="s">
        <v>2078</v>
      </c>
      <c r="E2170" t="s">
        <v>2273</v>
      </c>
    </row>
    <row r="2171" spans="1:5">
      <c r="A2171" s="11"/>
      <c r="B2171" s="11">
        <v>4002008</v>
      </c>
      <c r="C2171" s="11" t="s">
        <v>2077</v>
      </c>
      <c r="D2171" s="11" t="s">
        <v>2078</v>
      </c>
      <c r="E2171" t="s">
        <v>2273</v>
      </c>
    </row>
    <row r="2172" spans="1:5">
      <c r="A2172" s="11"/>
      <c r="B2172" s="11">
        <v>4002009</v>
      </c>
      <c r="C2172" s="11" t="s">
        <v>2077</v>
      </c>
      <c r="D2172" s="11" t="s">
        <v>2078</v>
      </c>
      <c r="E2172" t="s">
        <v>2273</v>
      </c>
    </row>
    <row r="2173" spans="1:5">
      <c r="A2173" s="11"/>
      <c r="B2173" s="11">
        <v>4002010</v>
      </c>
      <c r="C2173" s="11" t="s">
        <v>2077</v>
      </c>
      <c r="D2173" s="11" t="s">
        <v>2078</v>
      </c>
      <c r="E2173" t="s">
        <v>2273</v>
      </c>
    </row>
    <row r="2174" spans="1:5">
      <c r="A2174" s="11"/>
      <c r="B2174" s="11">
        <v>4002011</v>
      </c>
      <c r="C2174" s="11" t="s">
        <v>2077</v>
      </c>
      <c r="D2174" s="11" t="s">
        <v>2078</v>
      </c>
      <c r="E2174" t="s">
        <v>2273</v>
      </c>
    </row>
    <row r="2175" spans="1:5">
      <c r="A2175" s="11"/>
      <c r="B2175" s="11">
        <v>4002012</v>
      </c>
      <c r="C2175" s="11" t="s">
        <v>2077</v>
      </c>
      <c r="D2175" s="11" t="s">
        <v>2078</v>
      </c>
      <c r="E2175" t="s">
        <v>2273</v>
      </c>
    </row>
    <row r="2176" spans="1:5">
      <c r="A2176" s="11"/>
      <c r="B2176" s="11">
        <v>4002013</v>
      </c>
      <c r="C2176" s="11" t="s">
        <v>2077</v>
      </c>
      <c r="D2176" s="11" t="s">
        <v>2078</v>
      </c>
      <c r="E2176" t="s">
        <v>2273</v>
      </c>
    </row>
    <row r="2177" spans="1:5">
      <c r="A2177" s="11"/>
      <c r="B2177" s="11">
        <v>4002016</v>
      </c>
      <c r="C2177" s="11" t="s">
        <v>2077</v>
      </c>
      <c r="D2177" s="11" t="s">
        <v>2078</v>
      </c>
      <c r="E2177" t="s">
        <v>2273</v>
      </c>
    </row>
    <row r="2178" spans="1:5">
      <c r="A2178" s="11"/>
      <c r="B2178" s="11">
        <v>4002017</v>
      </c>
      <c r="C2178" s="11" t="s">
        <v>2077</v>
      </c>
      <c r="D2178" s="11" t="s">
        <v>2078</v>
      </c>
      <c r="E2178" t="s">
        <v>2273</v>
      </c>
    </row>
    <row r="2179" spans="1:5">
      <c r="A2179" s="11"/>
      <c r="B2179" s="11">
        <v>4002018</v>
      </c>
      <c r="C2179" s="11" t="s">
        <v>2077</v>
      </c>
      <c r="D2179" s="11" t="s">
        <v>2078</v>
      </c>
      <c r="E2179" t="s">
        <v>2273</v>
      </c>
    </row>
    <row r="2180" spans="1:5">
      <c r="A2180" s="11"/>
      <c r="B2180" s="11">
        <v>4002019</v>
      </c>
      <c r="C2180" s="11" t="s">
        <v>2077</v>
      </c>
      <c r="D2180" s="11" t="s">
        <v>2078</v>
      </c>
      <c r="E2180" t="s">
        <v>2273</v>
      </c>
    </row>
    <row r="2181" spans="1:5">
      <c r="A2181" s="11"/>
      <c r="B2181" s="11">
        <v>4002020</v>
      </c>
      <c r="C2181" s="11" t="s">
        <v>2077</v>
      </c>
      <c r="D2181" s="11" t="s">
        <v>2078</v>
      </c>
      <c r="E2181" t="s">
        <v>2273</v>
      </c>
    </row>
    <row r="2182" spans="1:5">
      <c r="A2182" s="11"/>
      <c r="B2182" s="11">
        <v>4002021</v>
      </c>
      <c r="C2182" s="11" t="s">
        <v>2077</v>
      </c>
      <c r="D2182" s="11" t="s">
        <v>2078</v>
      </c>
      <c r="E2182" t="s">
        <v>2273</v>
      </c>
    </row>
    <row r="2183" spans="1:5">
      <c r="A2183" s="11"/>
      <c r="B2183" s="11">
        <v>4002022</v>
      </c>
      <c r="C2183" s="11" t="s">
        <v>2077</v>
      </c>
      <c r="D2183" s="11" t="s">
        <v>2078</v>
      </c>
      <c r="E2183" t="s">
        <v>2273</v>
      </c>
    </row>
    <row r="2184" spans="1:5">
      <c r="A2184" s="11"/>
      <c r="B2184" s="11">
        <v>4002023</v>
      </c>
      <c r="C2184" s="11" t="s">
        <v>2077</v>
      </c>
      <c r="D2184" s="11" t="s">
        <v>2078</v>
      </c>
      <c r="E2184" t="s">
        <v>2273</v>
      </c>
    </row>
    <row r="2185" spans="1:5">
      <c r="A2185" s="11"/>
      <c r="B2185" s="11">
        <v>4002024</v>
      </c>
      <c r="C2185" s="11" t="s">
        <v>2077</v>
      </c>
      <c r="D2185" s="11" t="s">
        <v>2078</v>
      </c>
      <c r="E2185" t="s">
        <v>2273</v>
      </c>
    </row>
    <row r="2186" spans="1:5">
      <c r="A2186" s="11"/>
      <c r="B2186" s="11">
        <v>4002025</v>
      </c>
      <c r="C2186" s="11" t="s">
        <v>2077</v>
      </c>
      <c r="D2186" s="11" t="s">
        <v>2078</v>
      </c>
      <c r="E2186" t="s">
        <v>2273</v>
      </c>
    </row>
    <row r="2187" spans="1:5">
      <c r="A2187" s="11"/>
      <c r="B2187" s="11">
        <v>4002026</v>
      </c>
      <c r="C2187" s="11" t="s">
        <v>2077</v>
      </c>
      <c r="D2187" s="11" t="s">
        <v>2078</v>
      </c>
      <c r="E2187" t="s">
        <v>2273</v>
      </c>
    </row>
    <row r="2188" spans="1:5">
      <c r="A2188" s="11"/>
      <c r="B2188" s="11">
        <v>4002027</v>
      </c>
      <c r="C2188" s="11" t="s">
        <v>2077</v>
      </c>
      <c r="D2188" s="11" t="s">
        <v>2078</v>
      </c>
      <c r="E2188" t="s">
        <v>2273</v>
      </c>
    </row>
    <row r="2189" spans="1:5">
      <c r="A2189" s="11"/>
      <c r="B2189" s="11">
        <v>4002028</v>
      </c>
      <c r="C2189" s="11" t="s">
        <v>2077</v>
      </c>
      <c r="D2189" s="11" t="s">
        <v>2078</v>
      </c>
      <c r="E2189" t="s">
        <v>2273</v>
      </c>
    </row>
    <row r="2190" spans="1:5">
      <c r="A2190" s="11"/>
      <c r="B2190" s="11">
        <v>4002029</v>
      </c>
      <c r="C2190" s="11" t="s">
        <v>2077</v>
      </c>
      <c r="D2190" s="11" t="s">
        <v>2078</v>
      </c>
      <c r="E2190" t="s">
        <v>2273</v>
      </c>
    </row>
    <row r="2191" spans="1:5">
      <c r="A2191" s="11"/>
      <c r="B2191" s="11">
        <v>4002030</v>
      </c>
      <c r="C2191" s="11" t="s">
        <v>2077</v>
      </c>
      <c r="D2191" s="11" t="s">
        <v>2078</v>
      </c>
      <c r="E2191" t="s">
        <v>2273</v>
      </c>
    </row>
    <row r="2192" spans="1:5">
      <c r="A2192" s="11"/>
      <c r="B2192" s="11">
        <v>4002031</v>
      </c>
      <c r="C2192" s="11" t="s">
        <v>2077</v>
      </c>
      <c r="D2192" s="11" t="s">
        <v>2078</v>
      </c>
      <c r="E2192" t="s">
        <v>2273</v>
      </c>
    </row>
    <row r="2193" spans="1:5">
      <c r="A2193" s="11"/>
      <c r="B2193" s="11">
        <v>4002032</v>
      </c>
      <c r="C2193" s="11" t="s">
        <v>2077</v>
      </c>
      <c r="D2193" s="11" t="s">
        <v>2078</v>
      </c>
      <c r="E2193" t="s">
        <v>2273</v>
      </c>
    </row>
    <row r="2194" spans="1:5">
      <c r="A2194" s="11"/>
      <c r="B2194" s="11">
        <v>4002033</v>
      </c>
      <c r="C2194" s="11" t="s">
        <v>2077</v>
      </c>
      <c r="D2194" s="11" t="s">
        <v>2078</v>
      </c>
      <c r="E2194" t="s">
        <v>2273</v>
      </c>
    </row>
    <row r="2195" spans="1:5">
      <c r="A2195" s="11"/>
      <c r="B2195" s="11">
        <v>4002034</v>
      </c>
      <c r="C2195" s="11" t="s">
        <v>2077</v>
      </c>
      <c r="D2195" s="11" t="s">
        <v>2078</v>
      </c>
      <c r="E2195" t="s">
        <v>2273</v>
      </c>
    </row>
    <row r="2196" spans="1:5">
      <c r="A2196" s="11"/>
      <c r="B2196" s="11">
        <v>4002035</v>
      </c>
      <c r="C2196" s="11" t="s">
        <v>2077</v>
      </c>
      <c r="D2196" s="11" t="s">
        <v>2078</v>
      </c>
      <c r="E2196" t="s">
        <v>2273</v>
      </c>
    </row>
    <row r="2197" spans="1:5">
      <c r="A2197" s="11"/>
      <c r="B2197" s="11">
        <v>4002036</v>
      </c>
      <c r="C2197" s="11" t="s">
        <v>2077</v>
      </c>
      <c r="D2197" s="11" t="s">
        <v>2078</v>
      </c>
      <c r="E2197" t="s">
        <v>2273</v>
      </c>
    </row>
    <row r="2198" spans="1:5">
      <c r="A2198" s="11"/>
      <c r="B2198" s="11">
        <v>4002037</v>
      </c>
      <c r="C2198" s="11" t="s">
        <v>2077</v>
      </c>
      <c r="D2198" s="11" t="s">
        <v>2078</v>
      </c>
      <c r="E2198" t="s">
        <v>2273</v>
      </c>
    </row>
    <row r="2199" spans="1:5">
      <c r="A2199" s="11"/>
      <c r="B2199" s="11">
        <v>4003000</v>
      </c>
      <c r="C2199" s="11" t="s">
        <v>2077</v>
      </c>
      <c r="D2199" s="11" t="s">
        <v>2078</v>
      </c>
      <c r="E2199" t="s">
        <v>2273</v>
      </c>
    </row>
    <row r="2200" spans="1:5">
      <c r="A2200" s="11"/>
      <c r="B2200" s="11">
        <v>4003001</v>
      </c>
      <c r="C2200" s="11" t="s">
        <v>2077</v>
      </c>
      <c r="D2200" s="11" t="s">
        <v>2078</v>
      </c>
      <c r="E2200" t="s">
        <v>2273</v>
      </c>
    </row>
    <row r="2201" spans="1:5">
      <c r="A2201" s="11"/>
      <c r="B2201" s="11">
        <v>4003002</v>
      </c>
      <c r="C2201" s="11" t="s">
        <v>2077</v>
      </c>
      <c r="D2201" s="11" t="s">
        <v>2078</v>
      </c>
      <c r="E2201" t="s">
        <v>2273</v>
      </c>
    </row>
    <row r="2202" spans="1:5">
      <c r="A2202" s="11"/>
      <c r="B2202" s="11">
        <v>4003003</v>
      </c>
      <c r="C2202" s="11" t="s">
        <v>2077</v>
      </c>
      <c r="D2202" s="11" t="s">
        <v>2078</v>
      </c>
      <c r="E2202" t="s">
        <v>2273</v>
      </c>
    </row>
    <row r="2203" spans="1:5">
      <c r="A2203" s="11"/>
      <c r="B2203" s="11">
        <v>4003004</v>
      </c>
      <c r="C2203" s="11" t="s">
        <v>2077</v>
      </c>
      <c r="D2203" s="11" t="s">
        <v>2078</v>
      </c>
      <c r="E2203" t="s">
        <v>2273</v>
      </c>
    </row>
    <row r="2204" spans="1:5">
      <c r="A2204" s="11"/>
      <c r="B2204" s="11">
        <v>4003005</v>
      </c>
      <c r="C2204" s="11" t="s">
        <v>2077</v>
      </c>
      <c r="D2204" s="11" t="s">
        <v>2078</v>
      </c>
      <c r="E2204" t="s">
        <v>2273</v>
      </c>
    </row>
    <row r="2205" spans="1:5">
      <c r="A2205" s="11"/>
      <c r="B2205" s="11">
        <v>4003006</v>
      </c>
      <c r="C2205" s="11" t="s">
        <v>2077</v>
      </c>
      <c r="D2205" s="11" t="s">
        <v>2078</v>
      </c>
      <c r="E2205" t="s">
        <v>2273</v>
      </c>
    </row>
    <row r="2206" spans="1:5">
      <c r="A2206" s="11"/>
      <c r="B2206" s="11">
        <v>4003007</v>
      </c>
      <c r="C2206" s="11" t="s">
        <v>2077</v>
      </c>
      <c r="D2206" s="11" t="s">
        <v>2078</v>
      </c>
      <c r="E2206" t="s">
        <v>2273</v>
      </c>
    </row>
    <row r="2207" spans="1:5">
      <c r="A2207" s="11"/>
      <c r="B2207" s="11">
        <v>4003008</v>
      </c>
      <c r="C2207" s="11" t="s">
        <v>2077</v>
      </c>
      <c r="D2207" s="11" t="s">
        <v>2078</v>
      </c>
      <c r="E2207" t="s">
        <v>2273</v>
      </c>
    </row>
    <row r="2208" spans="1:5">
      <c r="A2208" s="11"/>
      <c r="B2208" s="11">
        <v>4003009</v>
      </c>
      <c r="C2208" s="11" t="s">
        <v>2077</v>
      </c>
      <c r="D2208" s="11" t="s">
        <v>2078</v>
      </c>
      <c r="E2208" t="s">
        <v>2273</v>
      </c>
    </row>
    <row r="2209" spans="1:5">
      <c r="A2209" s="11"/>
      <c r="B2209" s="11">
        <v>4003010</v>
      </c>
      <c r="C2209" s="11" t="s">
        <v>2077</v>
      </c>
      <c r="D2209" s="11" t="s">
        <v>2078</v>
      </c>
      <c r="E2209" t="s">
        <v>2273</v>
      </c>
    </row>
    <row r="2210" spans="1:5">
      <c r="A2210" s="11"/>
      <c r="B2210" s="11">
        <v>4004000</v>
      </c>
      <c r="C2210" s="11" t="s">
        <v>2077</v>
      </c>
      <c r="D2210" s="11" t="s">
        <v>2078</v>
      </c>
      <c r="E2210" t="s">
        <v>2273</v>
      </c>
    </row>
    <row r="2211" spans="1:5">
      <c r="A2211" s="11"/>
      <c r="B2211" s="11">
        <v>4004001</v>
      </c>
      <c r="C2211" s="11" t="s">
        <v>2077</v>
      </c>
      <c r="D2211" s="11" t="s">
        <v>2078</v>
      </c>
      <c r="E2211" t="s">
        <v>2273</v>
      </c>
    </row>
    <row r="2212" spans="1:5">
      <c r="A2212" s="11"/>
      <c r="B2212" s="11">
        <v>4005000</v>
      </c>
      <c r="C2212" s="11" t="s">
        <v>2077</v>
      </c>
      <c r="D2212" s="11" t="s">
        <v>2078</v>
      </c>
      <c r="E2212" t="s">
        <v>2273</v>
      </c>
    </row>
    <row r="2213" spans="1:5">
      <c r="A2213" s="11"/>
      <c r="B2213" s="11">
        <v>4005001</v>
      </c>
      <c r="C2213" s="11" t="s">
        <v>2077</v>
      </c>
      <c r="D2213" s="11" t="s">
        <v>2078</v>
      </c>
      <c r="E2213" t="s">
        <v>2273</v>
      </c>
    </row>
    <row r="2214" spans="1:5">
      <c r="A2214" s="11"/>
      <c r="B2214" s="11">
        <v>4005002</v>
      </c>
      <c r="C2214" s="11" t="s">
        <v>2077</v>
      </c>
      <c r="D2214" s="11" t="s">
        <v>2078</v>
      </c>
      <c r="E2214" t="s">
        <v>2273</v>
      </c>
    </row>
    <row r="2215" spans="1:5">
      <c r="A2215" s="11"/>
      <c r="B2215" s="11">
        <v>4005003</v>
      </c>
      <c r="C2215" s="11" t="s">
        <v>2077</v>
      </c>
      <c r="D2215" s="11" t="s">
        <v>2078</v>
      </c>
      <c r="E2215" t="s">
        <v>2273</v>
      </c>
    </row>
    <row r="2216" spans="1:5">
      <c r="A2216" s="11"/>
      <c r="B2216" s="11">
        <v>4005004</v>
      </c>
      <c r="C2216" s="11" t="s">
        <v>2077</v>
      </c>
      <c r="D2216" s="11" t="s">
        <v>2078</v>
      </c>
      <c r="E2216" t="s">
        <v>2273</v>
      </c>
    </row>
    <row r="2217" spans="1:5">
      <c r="A2217" s="11"/>
      <c r="B2217" s="11">
        <v>4005005</v>
      </c>
      <c r="C2217" s="11" t="s">
        <v>2077</v>
      </c>
      <c r="D2217" s="11" t="s">
        <v>2078</v>
      </c>
      <c r="E2217" t="s">
        <v>2273</v>
      </c>
    </row>
    <row r="2218" spans="1:5">
      <c r="A2218" s="11"/>
      <c r="B2218" s="11">
        <v>4005006</v>
      </c>
      <c r="C2218" s="11" t="s">
        <v>2077</v>
      </c>
      <c r="D2218" s="11" t="s">
        <v>2078</v>
      </c>
      <c r="E2218" t="s">
        <v>2273</v>
      </c>
    </row>
    <row r="2219" spans="1:5">
      <c r="A2219" s="11"/>
      <c r="B2219" s="11">
        <v>4005007</v>
      </c>
      <c r="C2219" s="11" t="s">
        <v>2077</v>
      </c>
      <c r="D2219" s="11" t="s">
        <v>2078</v>
      </c>
      <c r="E2219" t="s">
        <v>2273</v>
      </c>
    </row>
    <row r="2220" spans="1:5">
      <c r="A2220" s="11"/>
      <c r="B2220" s="11">
        <v>4005008</v>
      </c>
      <c r="C2220" s="11" t="s">
        <v>2077</v>
      </c>
      <c r="D2220" s="11" t="s">
        <v>2078</v>
      </c>
      <c r="E2220" t="s">
        <v>2273</v>
      </c>
    </row>
    <row r="2221" spans="1:5">
      <c r="A2221" s="11"/>
      <c r="B2221" s="11">
        <v>4005009</v>
      </c>
      <c r="C2221" s="11" t="s">
        <v>2077</v>
      </c>
      <c r="D2221" s="11" t="s">
        <v>2078</v>
      </c>
      <c r="E2221" t="s">
        <v>2273</v>
      </c>
    </row>
    <row r="2222" spans="1:5">
      <c r="A2222" s="11"/>
      <c r="B2222" s="11">
        <v>4005010</v>
      </c>
      <c r="C2222" s="11" t="s">
        <v>2077</v>
      </c>
      <c r="D2222" s="11" t="s">
        <v>2078</v>
      </c>
      <c r="E2222" t="s">
        <v>2273</v>
      </c>
    </row>
    <row r="2223" spans="1:5">
      <c r="A2223" s="11"/>
      <c r="B2223" s="11">
        <v>4005011</v>
      </c>
      <c r="C2223" s="11" t="s">
        <v>2077</v>
      </c>
      <c r="D2223" s="11" t="s">
        <v>2078</v>
      </c>
      <c r="E2223" t="s">
        <v>2273</v>
      </c>
    </row>
    <row r="2224" spans="1:5">
      <c r="A2224" s="11"/>
      <c r="B2224" s="11">
        <v>4005012</v>
      </c>
      <c r="C2224" s="11" t="s">
        <v>2077</v>
      </c>
      <c r="D2224" s="11" t="s">
        <v>2078</v>
      </c>
      <c r="E2224" t="s">
        <v>2273</v>
      </c>
    </row>
    <row r="2225" spans="1:5">
      <c r="A2225" s="11"/>
      <c r="B2225" s="11">
        <v>4005013</v>
      </c>
      <c r="C2225" s="11" t="s">
        <v>2077</v>
      </c>
      <c r="D2225" s="11" t="s">
        <v>2078</v>
      </c>
      <c r="E2225" t="s">
        <v>2273</v>
      </c>
    </row>
    <row r="2226" spans="1:5">
      <c r="A2226" s="11"/>
      <c r="B2226" s="11">
        <v>4005014</v>
      </c>
      <c r="C2226" s="11" t="s">
        <v>2077</v>
      </c>
      <c r="D2226" s="11" t="s">
        <v>2078</v>
      </c>
      <c r="E2226" t="s">
        <v>2273</v>
      </c>
    </row>
    <row r="2227" spans="1:5">
      <c r="A2227" s="11"/>
      <c r="B2227" s="11">
        <v>4005015</v>
      </c>
      <c r="C2227" s="11" t="s">
        <v>2077</v>
      </c>
      <c r="D2227" s="11" t="s">
        <v>2078</v>
      </c>
      <c r="E2227" t="s">
        <v>2273</v>
      </c>
    </row>
    <row r="2228" spans="1:5">
      <c r="A2228" s="11"/>
      <c r="B2228" s="11">
        <v>4005016</v>
      </c>
      <c r="C2228" s="11" t="s">
        <v>2077</v>
      </c>
      <c r="D2228" s="11" t="s">
        <v>2078</v>
      </c>
      <c r="E2228" t="s">
        <v>2273</v>
      </c>
    </row>
    <row r="2229" spans="1:5">
      <c r="A2229" s="11"/>
      <c r="B2229" s="11">
        <v>4005017</v>
      </c>
      <c r="C2229" s="11" t="s">
        <v>2077</v>
      </c>
      <c r="D2229" s="11" t="s">
        <v>2078</v>
      </c>
      <c r="E2229" t="s">
        <v>2273</v>
      </c>
    </row>
    <row r="2230" spans="1:5">
      <c r="A2230" s="11"/>
      <c r="B2230" s="11">
        <v>4005018</v>
      </c>
      <c r="C2230" s="11" t="s">
        <v>2077</v>
      </c>
      <c r="D2230" s="11" t="s">
        <v>2078</v>
      </c>
      <c r="E2230" t="s">
        <v>2273</v>
      </c>
    </row>
    <row r="2231" spans="1:5">
      <c r="A2231" s="11"/>
      <c r="B2231" s="11">
        <v>4005019</v>
      </c>
      <c r="C2231" s="11" t="s">
        <v>2077</v>
      </c>
      <c r="D2231" s="11" t="s">
        <v>2078</v>
      </c>
      <c r="E2231" t="s">
        <v>2273</v>
      </c>
    </row>
    <row r="2232" spans="1:5">
      <c r="A2232" s="11"/>
      <c r="B2232" s="11">
        <v>4005020</v>
      </c>
      <c r="C2232" s="11" t="s">
        <v>2077</v>
      </c>
      <c r="D2232" s="11" t="s">
        <v>2078</v>
      </c>
      <c r="E2232" t="s">
        <v>2273</v>
      </c>
    </row>
    <row r="2233" spans="1:5">
      <c r="A2233" s="11"/>
      <c r="B2233" s="11">
        <v>4005021</v>
      </c>
      <c r="C2233" s="11" t="s">
        <v>2077</v>
      </c>
      <c r="D2233" s="11" t="s">
        <v>2078</v>
      </c>
      <c r="E2233" t="s">
        <v>2273</v>
      </c>
    </row>
    <row r="2234" spans="1:5">
      <c r="A2234" s="11"/>
      <c r="B2234" s="11">
        <v>4005022</v>
      </c>
      <c r="C2234" s="11" t="s">
        <v>2077</v>
      </c>
      <c r="D2234" s="11" t="s">
        <v>2078</v>
      </c>
      <c r="E2234" t="s">
        <v>2273</v>
      </c>
    </row>
    <row r="2235" spans="1:5">
      <c r="A2235" s="11"/>
      <c r="B2235" s="11">
        <v>4005023</v>
      </c>
      <c r="C2235" s="11" t="s">
        <v>2077</v>
      </c>
      <c r="D2235" s="11" t="s">
        <v>2078</v>
      </c>
      <c r="E2235" t="s">
        <v>2273</v>
      </c>
    </row>
    <row r="2236" spans="1:5">
      <c r="A2236" s="11"/>
      <c r="B2236" s="11">
        <v>4005024</v>
      </c>
      <c r="C2236" s="11" t="s">
        <v>2077</v>
      </c>
      <c r="D2236" s="11" t="s">
        <v>2078</v>
      </c>
      <c r="E2236" t="s">
        <v>2273</v>
      </c>
    </row>
    <row r="2237" spans="1:5">
      <c r="A2237" s="11"/>
      <c r="B2237" s="11">
        <v>4005025</v>
      </c>
      <c r="C2237" s="11" t="s">
        <v>2077</v>
      </c>
      <c r="D2237" s="11" t="s">
        <v>2078</v>
      </c>
      <c r="E2237" t="s">
        <v>2273</v>
      </c>
    </row>
    <row r="2238" spans="1:5">
      <c r="A2238" s="11"/>
      <c r="B2238" s="11">
        <v>4005026</v>
      </c>
      <c r="C2238" s="11" t="s">
        <v>2077</v>
      </c>
      <c r="D2238" s="11" t="s">
        <v>2078</v>
      </c>
      <c r="E2238" t="s">
        <v>2273</v>
      </c>
    </row>
    <row r="2239" spans="1:5">
      <c r="A2239" s="11"/>
      <c r="B2239" s="11">
        <v>4005027</v>
      </c>
      <c r="C2239" s="11" t="s">
        <v>2077</v>
      </c>
      <c r="D2239" s="11" t="s">
        <v>2078</v>
      </c>
      <c r="E2239" t="s">
        <v>2273</v>
      </c>
    </row>
    <row r="2240" spans="1:5">
      <c r="A2240" s="11"/>
      <c r="B2240" s="11">
        <v>4005028</v>
      </c>
      <c r="C2240" s="11" t="s">
        <v>2077</v>
      </c>
      <c r="D2240" s="11" t="s">
        <v>2078</v>
      </c>
      <c r="E2240" t="s">
        <v>2273</v>
      </c>
    </row>
    <row r="2241" spans="1:5">
      <c r="A2241" s="11"/>
      <c r="B2241" s="11">
        <v>4005029</v>
      </c>
      <c r="C2241" s="11" t="s">
        <v>2077</v>
      </c>
      <c r="D2241" s="11" t="s">
        <v>2078</v>
      </c>
      <c r="E2241" t="s">
        <v>2273</v>
      </c>
    </row>
    <row r="2242" spans="1:5">
      <c r="A2242" s="11"/>
      <c r="B2242" s="11">
        <v>4005030</v>
      </c>
      <c r="C2242" s="11" t="s">
        <v>2077</v>
      </c>
      <c r="D2242" s="11" t="s">
        <v>2078</v>
      </c>
      <c r="E2242" t="s">
        <v>2273</v>
      </c>
    </row>
    <row r="2243" spans="1:5">
      <c r="A2243" s="11"/>
      <c r="B2243" s="11">
        <v>4005031</v>
      </c>
      <c r="C2243" s="11" t="s">
        <v>2077</v>
      </c>
      <c r="D2243" s="11" t="s">
        <v>2078</v>
      </c>
      <c r="E2243" t="s">
        <v>2273</v>
      </c>
    </row>
    <row r="2244" spans="1:5">
      <c r="A2244" s="11"/>
      <c r="B2244" s="11">
        <v>4005032</v>
      </c>
      <c r="C2244" s="11" t="s">
        <v>2077</v>
      </c>
      <c r="D2244" s="11" t="s">
        <v>2078</v>
      </c>
      <c r="E2244" t="s">
        <v>2273</v>
      </c>
    </row>
    <row r="2245" spans="1:5">
      <c r="A2245" s="11"/>
      <c r="B2245" s="11">
        <v>4005033</v>
      </c>
      <c r="C2245" s="11" t="s">
        <v>2077</v>
      </c>
      <c r="D2245" s="11" t="s">
        <v>2078</v>
      </c>
      <c r="E2245" t="s">
        <v>2273</v>
      </c>
    </row>
    <row r="2246" spans="1:5">
      <c r="A2246" s="11"/>
      <c r="B2246" s="11">
        <v>4005034</v>
      </c>
      <c r="C2246" s="11" t="s">
        <v>2077</v>
      </c>
      <c r="D2246" s="11" t="s">
        <v>2078</v>
      </c>
      <c r="E2246" t="s">
        <v>2273</v>
      </c>
    </row>
    <row r="2247" spans="1:5">
      <c r="A2247" s="11"/>
      <c r="B2247" s="11">
        <v>4005035</v>
      </c>
      <c r="C2247" s="11" t="s">
        <v>2077</v>
      </c>
      <c r="D2247" s="11" t="s">
        <v>2078</v>
      </c>
      <c r="E2247" t="s">
        <v>2273</v>
      </c>
    </row>
    <row r="2248" spans="1:5">
      <c r="A2248" s="11"/>
      <c r="B2248" s="11">
        <v>4005036</v>
      </c>
      <c r="C2248" s="11" t="s">
        <v>2077</v>
      </c>
      <c r="D2248" s="11" t="s">
        <v>2078</v>
      </c>
      <c r="E2248" t="s">
        <v>2273</v>
      </c>
    </row>
    <row r="2249" spans="1:5">
      <c r="A2249" s="11"/>
      <c r="B2249" s="11">
        <v>4005037</v>
      </c>
      <c r="C2249" s="11" t="s">
        <v>2077</v>
      </c>
      <c r="D2249" s="11" t="s">
        <v>2078</v>
      </c>
      <c r="E2249" t="s">
        <v>2273</v>
      </c>
    </row>
    <row r="2250" spans="1:5">
      <c r="A2250" s="11"/>
      <c r="B2250" s="11">
        <v>4005038</v>
      </c>
      <c r="C2250" s="11" t="s">
        <v>2077</v>
      </c>
      <c r="D2250" s="11" t="s">
        <v>2078</v>
      </c>
      <c r="E2250" t="s">
        <v>2273</v>
      </c>
    </row>
    <row r="2251" spans="1:5">
      <c r="A2251" s="11"/>
      <c r="B2251" s="11">
        <v>4005039</v>
      </c>
      <c r="C2251" s="11" t="s">
        <v>2077</v>
      </c>
      <c r="D2251" s="11" t="s">
        <v>2078</v>
      </c>
      <c r="E2251" t="s">
        <v>2273</v>
      </c>
    </row>
    <row r="2252" spans="1:5">
      <c r="A2252" s="11"/>
      <c r="B2252" s="11">
        <v>4005040</v>
      </c>
      <c r="C2252" s="11" t="s">
        <v>2077</v>
      </c>
      <c r="D2252" s="11" t="s">
        <v>2078</v>
      </c>
      <c r="E2252" t="s">
        <v>2273</v>
      </c>
    </row>
    <row r="2253" spans="1:5">
      <c r="A2253" s="11"/>
      <c r="B2253" s="11">
        <v>4005041</v>
      </c>
      <c r="C2253" s="11" t="s">
        <v>2077</v>
      </c>
      <c r="D2253" s="11" t="s">
        <v>2078</v>
      </c>
      <c r="E2253" t="s">
        <v>2273</v>
      </c>
    </row>
    <row r="2254" spans="1:5">
      <c r="A2254" s="11"/>
      <c r="B2254" s="11">
        <v>4005042</v>
      </c>
      <c r="C2254" s="11" t="s">
        <v>2077</v>
      </c>
      <c r="D2254" s="11" t="s">
        <v>2078</v>
      </c>
      <c r="E2254" t="s">
        <v>2273</v>
      </c>
    </row>
    <row r="2255" spans="1:5">
      <c r="A2255" s="11"/>
      <c r="B2255" s="11">
        <v>4005043</v>
      </c>
      <c r="C2255" s="11" t="s">
        <v>2077</v>
      </c>
      <c r="D2255" s="11" t="s">
        <v>2078</v>
      </c>
      <c r="E2255" t="s">
        <v>2273</v>
      </c>
    </row>
    <row r="2256" spans="1:5">
      <c r="A2256" s="11"/>
      <c r="B2256" s="11">
        <v>4005044</v>
      </c>
      <c r="C2256" s="11" t="s">
        <v>2077</v>
      </c>
      <c r="D2256" s="11" t="s">
        <v>2078</v>
      </c>
      <c r="E2256" t="s">
        <v>2273</v>
      </c>
    </row>
    <row r="2257" spans="1:5">
      <c r="A2257" s="11"/>
      <c r="B2257" s="11">
        <v>4005045</v>
      </c>
      <c r="C2257" s="11" t="s">
        <v>2077</v>
      </c>
      <c r="D2257" s="11" t="s">
        <v>2078</v>
      </c>
      <c r="E2257" t="s">
        <v>2273</v>
      </c>
    </row>
    <row r="2258" spans="1:5">
      <c r="A2258" s="11"/>
      <c r="B2258" s="11">
        <v>4005046</v>
      </c>
      <c r="C2258" s="11" t="s">
        <v>2077</v>
      </c>
      <c r="D2258" s="11" t="s">
        <v>2078</v>
      </c>
      <c r="E2258" t="s">
        <v>2273</v>
      </c>
    </row>
    <row r="2259" spans="1:5">
      <c r="A2259" s="11"/>
      <c r="B2259" s="11">
        <v>4005047</v>
      </c>
      <c r="C2259" s="11" t="s">
        <v>2077</v>
      </c>
      <c r="D2259" s="11" t="s">
        <v>2078</v>
      </c>
      <c r="E2259" t="s">
        <v>2273</v>
      </c>
    </row>
    <row r="2260" spans="1:5">
      <c r="A2260" s="11"/>
      <c r="B2260" s="11">
        <v>4005048</v>
      </c>
      <c r="C2260" s="11" t="s">
        <v>2077</v>
      </c>
      <c r="D2260" s="11" t="s">
        <v>2078</v>
      </c>
      <c r="E2260" t="s">
        <v>2273</v>
      </c>
    </row>
    <row r="2261" spans="1:5">
      <c r="A2261" s="11"/>
      <c r="B2261" s="11">
        <v>4005049</v>
      </c>
      <c r="C2261" s="11" t="s">
        <v>2077</v>
      </c>
      <c r="D2261" s="11" t="s">
        <v>2078</v>
      </c>
      <c r="E2261" t="s">
        <v>2273</v>
      </c>
    </row>
    <row r="2262" spans="1:5">
      <c r="A2262" s="11"/>
      <c r="B2262" s="11">
        <v>4005050</v>
      </c>
      <c r="C2262" s="11" t="s">
        <v>2077</v>
      </c>
      <c r="D2262" s="11" t="s">
        <v>2078</v>
      </c>
      <c r="E2262" t="s">
        <v>2273</v>
      </c>
    </row>
    <row r="2263" spans="1:5">
      <c r="A2263" s="11"/>
      <c r="B2263" s="11">
        <v>4005051</v>
      </c>
      <c r="C2263" s="11" t="s">
        <v>2077</v>
      </c>
      <c r="D2263" s="11" t="s">
        <v>2078</v>
      </c>
      <c r="E2263" t="s">
        <v>2273</v>
      </c>
    </row>
    <row r="2264" spans="1:5">
      <c r="A2264" s="11"/>
      <c r="B2264" s="11">
        <v>4005052</v>
      </c>
      <c r="C2264" s="11" t="s">
        <v>2077</v>
      </c>
      <c r="D2264" s="11" t="s">
        <v>2078</v>
      </c>
      <c r="E2264" t="s">
        <v>2273</v>
      </c>
    </row>
    <row r="2265" spans="1:5">
      <c r="A2265" s="11"/>
      <c r="B2265" s="11">
        <v>4005053</v>
      </c>
      <c r="C2265" s="11" t="s">
        <v>2077</v>
      </c>
      <c r="D2265" s="11" t="s">
        <v>2078</v>
      </c>
      <c r="E2265" t="s">
        <v>2273</v>
      </c>
    </row>
    <row r="2266" spans="1:5">
      <c r="A2266" s="11"/>
      <c r="B2266" s="11">
        <v>4005054</v>
      </c>
      <c r="C2266" s="11" t="s">
        <v>2077</v>
      </c>
      <c r="D2266" s="11" t="s">
        <v>2078</v>
      </c>
      <c r="E2266" t="s">
        <v>2273</v>
      </c>
    </row>
    <row r="2267" spans="1:5">
      <c r="A2267" s="11"/>
      <c r="B2267" s="11">
        <v>4005055</v>
      </c>
      <c r="C2267" s="11" t="s">
        <v>2077</v>
      </c>
      <c r="D2267" s="11" t="s">
        <v>2078</v>
      </c>
      <c r="E2267" t="s">
        <v>2273</v>
      </c>
    </row>
    <row r="2268" spans="1:5">
      <c r="A2268" s="11"/>
      <c r="B2268" s="11">
        <v>4005060</v>
      </c>
      <c r="C2268" s="11" t="s">
        <v>2077</v>
      </c>
      <c r="D2268" s="11" t="s">
        <v>2078</v>
      </c>
      <c r="E2268" t="s">
        <v>2273</v>
      </c>
    </row>
    <row r="2269" spans="1:5">
      <c r="A2269" s="11"/>
      <c r="B2269" s="11">
        <v>4100000</v>
      </c>
      <c r="C2269" s="11" t="s">
        <v>2077</v>
      </c>
      <c r="D2269" s="11" t="s">
        <v>2078</v>
      </c>
      <c r="E2269" t="s">
        <v>2273</v>
      </c>
    </row>
    <row r="2270" spans="1:5">
      <c r="A2270" s="11"/>
      <c r="B2270" s="11">
        <v>4100001</v>
      </c>
      <c r="C2270" s="11" t="s">
        <v>2077</v>
      </c>
      <c r="D2270" s="11" t="s">
        <v>2078</v>
      </c>
      <c r="E2270" t="s">
        <v>2273</v>
      </c>
    </row>
    <row r="2271" spans="1:5">
      <c r="A2271" s="11"/>
      <c r="B2271" s="11">
        <v>4100002</v>
      </c>
      <c r="C2271" s="11" t="s">
        <v>2077</v>
      </c>
      <c r="D2271" s="11" t="s">
        <v>2078</v>
      </c>
      <c r="E2271" t="s">
        <v>2273</v>
      </c>
    </row>
    <row r="2272" spans="1:5">
      <c r="A2272" s="11"/>
      <c r="B2272" s="11">
        <v>4101000</v>
      </c>
      <c r="C2272" s="11" t="s">
        <v>2077</v>
      </c>
      <c r="D2272" s="11" t="s">
        <v>2078</v>
      </c>
      <c r="E2272" t="s">
        <v>2273</v>
      </c>
    </row>
    <row r="2273" spans="1:5">
      <c r="A2273" s="11"/>
      <c r="B2273" s="11">
        <v>4101001</v>
      </c>
      <c r="C2273" s="11" t="s">
        <v>2077</v>
      </c>
      <c r="D2273" s="11" t="s">
        <v>2078</v>
      </c>
      <c r="E2273" t="s">
        <v>2273</v>
      </c>
    </row>
    <row r="2274" spans="1:5">
      <c r="A2274" s="11"/>
      <c r="B2274" s="11">
        <v>4101002</v>
      </c>
      <c r="C2274" s="11" t="s">
        <v>2077</v>
      </c>
      <c r="D2274" s="11" t="s">
        <v>2078</v>
      </c>
      <c r="E2274" t="s">
        <v>2273</v>
      </c>
    </row>
    <row r="2275" spans="1:5">
      <c r="A2275" s="11"/>
      <c r="B2275" s="11">
        <v>4101003</v>
      </c>
      <c r="C2275" s="11" t="s">
        <v>2077</v>
      </c>
      <c r="D2275" s="11" t="s">
        <v>2078</v>
      </c>
      <c r="E2275" t="s">
        <v>2273</v>
      </c>
    </row>
    <row r="2276" spans="1:5">
      <c r="A2276" s="11"/>
      <c r="B2276" s="11">
        <v>4101004</v>
      </c>
      <c r="C2276" s="11" t="s">
        <v>2077</v>
      </c>
      <c r="D2276" s="11" t="s">
        <v>2078</v>
      </c>
      <c r="E2276" t="s">
        <v>2273</v>
      </c>
    </row>
    <row r="2277" spans="1:5">
      <c r="A2277" s="11"/>
      <c r="B2277" s="11">
        <v>4101005</v>
      </c>
      <c r="C2277" s="11" t="s">
        <v>2077</v>
      </c>
      <c r="D2277" s="11" t="s">
        <v>2078</v>
      </c>
      <c r="E2277" t="s">
        <v>2273</v>
      </c>
    </row>
    <row r="2278" spans="1:5">
      <c r="A2278" s="11"/>
      <c r="B2278" s="11">
        <v>41</v>
      </c>
      <c r="C2278" s="11" t="s">
        <v>2077</v>
      </c>
      <c r="D2278" s="11" t="s">
        <v>2078</v>
      </c>
      <c r="E2278" t="s">
        <v>2273</v>
      </c>
    </row>
    <row r="2279" spans="1:5">
      <c r="A2279" s="11"/>
      <c r="B2279" s="11">
        <v>4101007</v>
      </c>
      <c r="C2279" s="11" t="s">
        <v>2077</v>
      </c>
      <c r="D2279" s="11" t="s">
        <v>2078</v>
      </c>
      <c r="E2279" t="s">
        <v>2273</v>
      </c>
    </row>
    <row r="2280" spans="1:5">
      <c r="A2280" s="11"/>
      <c r="B2280" s="11">
        <v>4101008</v>
      </c>
      <c r="C2280" s="11" t="s">
        <v>2077</v>
      </c>
      <c r="D2280" s="11" t="s">
        <v>2078</v>
      </c>
      <c r="E2280" t="s">
        <v>2273</v>
      </c>
    </row>
    <row r="2281" spans="1:5">
      <c r="A2281" s="11"/>
      <c r="B2281" s="11">
        <v>4101009</v>
      </c>
      <c r="C2281" s="11" t="s">
        <v>2077</v>
      </c>
      <c r="D2281" s="11" t="s">
        <v>2078</v>
      </c>
      <c r="E2281" t="s">
        <v>2273</v>
      </c>
    </row>
    <row r="2282" spans="1:5">
      <c r="A2282" s="11"/>
      <c r="B2282" s="11">
        <v>4101010</v>
      </c>
      <c r="C2282" s="11" t="s">
        <v>2077</v>
      </c>
      <c r="D2282" s="11" t="s">
        <v>2078</v>
      </c>
      <c r="E2282" t="s">
        <v>2273</v>
      </c>
    </row>
    <row r="2283" spans="1:5">
      <c r="A2283" s="11"/>
      <c r="B2283" s="11">
        <v>4101011</v>
      </c>
      <c r="C2283" s="11" t="s">
        <v>2077</v>
      </c>
      <c r="D2283" s="11" t="s">
        <v>2078</v>
      </c>
      <c r="E2283" t="s">
        <v>2273</v>
      </c>
    </row>
    <row r="2284" spans="1:5">
      <c r="A2284" s="11"/>
      <c r="B2284" s="11">
        <v>4101012</v>
      </c>
      <c r="C2284" s="11" t="s">
        <v>2077</v>
      </c>
      <c r="D2284" s="11" t="s">
        <v>2078</v>
      </c>
      <c r="E2284" t="s">
        <v>2273</v>
      </c>
    </row>
    <row r="2285" spans="1:5">
      <c r="A2285" s="11"/>
      <c r="B2285" s="11">
        <v>4101013</v>
      </c>
      <c r="C2285" s="11" t="s">
        <v>2077</v>
      </c>
      <c r="D2285" s="11" t="s">
        <v>2078</v>
      </c>
      <c r="E2285" t="s">
        <v>2273</v>
      </c>
    </row>
    <row r="2286" spans="1:5">
      <c r="A2286" s="11"/>
      <c r="B2286" s="11">
        <v>4102002</v>
      </c>
      <c r="C2286" s="11" t="s">
        <v>2077</v>
      </c>
      <c r="D2286" s="11" t="s">
        <v>2078</v>
      </c>
      <c r="E2286" t="s">
        <v>2273</v>
      </c>
    </row>
    <row r="2287" spans="1:5">
      <c r="A2287" s="11"/>
      <c r="B2287" s="11">
        <v>4102003</v>
      </c>
      <c r="C2287" s="11" t="s">
        <v>2077</v>
      </c>
      <c r="D2287" s="11" t="s">
        <v>2078</v>
      </c>
      <c r="E2287" t="s">
        <v>2273</v>
      </c>
    </row>
    <row r="2288" spans="1:5">
      <c r="A2288" s="11"/>
      <c r="B2288" s="11">
        <v>4102007</v>
      </c>
      <c r="C2288" s="11" t="s">
        <v>2077</v>
      </c>
      <c r="D2288" s="11" t="s">
        <v>2078</v>
      </c>
      <c r="E2288" t="s">
        <v>2273</v>
      </c>
    </row>
    <row r="2289" spans="1:5">
      <c r="A2289" s="11"/>
      <c r="B2289" s="11">
        <v>4102008</v>
      </c>
      <c r="C2289" s="11" t="s">
        <v>2077</v>
      </c>
      <c r="D2289" s="11" t="s">
        <v>2078</v>
      </c>
      <c r="E2289" t="s">
        <v>2273</v>
      </c>
    </row>
    <row r="2290" spans="1:5">
      <c r="A2290" s="11"/>
      <c r="B2290" s="11">
        <v>4103000</v>
      </c>
      <c r="C2290" s="11" t="s">
        <v>2077</v>
      </c>
      <c r="D2290" s="11" t="s">
        <v>2078</v>
      </c>
      <c r="E2290" t="s">
        <v>2273</v>
      </c>
    </row>
    <row r="2291" spans="1:5">
      <c r="A2291" s="11"/>
      <c r="B2291" s="11">
        <v>4103002</v>
      </c>
      <c r="C2291" s="11" t="s">
        <v>2077</v>
      </c>
      <c r="D2291" s="11" t="s">
        <v>2078</v>
      </c>
      <c r="E2291" t="s">
        <v>2273</v>
      </c>
    </row>
    <row r="2292" spans="1:5">
      <c r="A2292" s="11"/>
      <c r="B2292" s="11">
        <v>4103003</v>
      </c>
      <c r="C2292" s="11" t="s">
        <v>2077</v>
      </c>
      <c r="D2292" s="11" t="s">
        <v>2078</v>
      </c>
      <c r="E2292" t="s">
        <v>2273</v>
      </c>
    </row>
    <row r="2293" spans="1:5">
      <c r="A2293" s="11"/>
      <c r="B2293" s="11">
        <v>4103004</v>
      </c>
      <c r="C2293" s="11" t="s">
        <v>2077</v>
      </c>
      <c r="D2293" s="11" t="s">
        <v>2078</v>
      </c>
      <c r="E2293" t="s">
        <v>2273</v>
      </c>
    </row>
    <row r="2294" spans="1:5">
      <c r="A2294" s="11"/>
      <c r="B2294" s="11">
        <v>4103005</v>
      </c>
      <c r="C2294" s="11" t="s">
        <v>2077</v>
      </c>
      <c r="D2294" s="11" t="s">
        <v>2078</v>
      </c>
      <c r="E2294" t="s">
        <v>2273</v>
      </c>
    </row>
    <row r="2295" spans="1:5">
      <c r="A2295" s="11"/>
      <c r="B2295" s="11">
        <v>4103006</v>
      </c>
      <c r="C2295" s="11" t="s">
        <v>2077</v>
      </c>
      <c r="D2295" s="11" t="s">
        <v>2078</v>
      </c>
      <c r="E2295" t="s">
        <v>2273</v>
      </c>
    </row>
    <row r="2296" spans="1:5">
      <c r="A2296" s="11"/>
      <c r="B2296" s="11">
        <v>4103007</v>
      </c>
      <c r="C2296" s="11" t="s">
        <v>2077</v>
      </c>
      <c r="D2296" s="11" t="s">
        <v>2078</v>
      </c>
      <c r="E2296" t="s">
        <v>2273</v>
      </c>
    </row>
    <row r="2297" spans="1:5">
      <c r="A2297" s="11"/>
      <c r="B2297" s="11">
        <v>4103008</v>
      </c>
      <c r="C2297" s="11" t="s">
        <v>2077</v>
      </c>
      <c r="D2297" s="11" t="s">
        <v>2078</v>
      </c>
      <c r="E2297" t="s">
        <v>2273</v>
      </c>
    </row>
    <row r="2298" spans="1:5">
      <c r="A2298" s="11"/>
      <c r="B2298" s="11">
        <v>4103009</v>
      </c>
      <c r="C2298" s="11" t="s">
        <v>2077</v>
      </c>
      <c r="D2298" s="11" t="s">
        <v>2078</v>
      </c>
      <c r="E2298" t="s">
        <v>2273</v>
      </c>
    </row>
    <row r="2299" spans="1:5">
      <c r="A2299" s="11"/>
      <c r="B2299" s="11">
        <v>4104000</v>
      </c>
      <c r="C2299" s="11" t="s">
        <v>2077</v>
      </c>
      <c r="D2299" s="11" t="s">
        <v>2078</v>
      </c>
      <c r="E2299" t="s">
        <v>2273</v>
      </c>
    </row>
    <row r="2300" spans="1:5">
      <c r="A2300" s="11"/>
      <c r="B2300" s="11">
        <v>4104001</v>
      </c>
      <c r="C2300" s="11" t="s">
        <v>2077</v>
      </c>
      <c r="D2300" s="11" t="s">
        <v>2078</v>
      </c>
      <c r="E2300" t="s">
        <v>2273</v>
      </c>
    </row>
    <row r="2301" spans="1:5">
      <c r="A2301" s="11"/>
      <c r="B2301" s="11">
        <v>4104002</v>
      </c>
      <c r="C2301" s="11" t="s">
        <v>2077</v>
      </c>
      <c r="D2301" s="11" t="s">
        <v>2078</v>
      </c>
      <c r="E2301" t="s">
        <v>2273</v>
      </c>
    </row>
    <row r="2302" spans="1:5">
      <c r="A2302" s="11"/>
      <c r="B2302" s="11">
        <v>4104003</v>
      </c>
      <c r="C2302" s="11" t="s">
        <v>2077</v>
      </c>
      <c r="D2302" s="11" t="s">
        <v>2078</v>
      </c>
      <c r="E2302" t="s">
        <v>2273</v>
      </c>
    </row>
    <row r="2303" spans="1:5">
      <c r="A2303" s="11"/>
      <c r="B2303" s="11">
        <v>4104004</v>
      </c>
      <c r="C2303" s="11" t="s">
        <v>2077</v>
      </c>
      <c r="D2303" s="11" t="s">
        <v>2078</v>
      </c>
      <c r="E2303" t="s">
        <v>2273</v>
      </c>
    </row>
    <row r="2304" spans="1:5">
      <c r="A2304" s="11"/>
      <c r="B2304" s="11">
        <v>4104005</v>
      </c>
      <c r="C2304" s="11" t="s">
        <v>2077</v>
      </c>
      <c r="D2304" s="11" t="s">
        <v>2078</v>
      </c>
      <c r="E2304" t="s">
        <v>2273</v>
      </c>
    </row>
    <row r="2305" spans="1:5">
      <c r="A2305" s="11"/>
      <c r="B2305" s="11">
        <v>4104006</v>
      </c>
      <c r="C2305" s="11" t="s">
        <v>2077</v>
      </c>
      <c r="D2305" s="11" t="s">
        <v>2078</v>
      </c>
      <c r="E2305" t="s">
        <v>2273</v>
      </c>
    </row>
    <row r="2306" spans="1:5">
      <c r="A2306" s="11"/>
      <c r="B2306" s="11">
        <v>4104007</v>
      </c>
      <c r="C2306" s="11" t="s">
        <v>2077</v>
      </c>
      <c r="D2306" s="11" t="s">
        <v>2078</v>
      </c>
      <c r="E2306" t="s">
        <v>2273</v>
      </c>
    </row>
    <row r="2307" spans="1:5">
      <c r="A2307" s="11"/>
      <c r="B2307" s="11">
        <v>4104008</v>
      </c>
      <c r="C2307" s="11" t="s">
        <v>2077</v>
      </c>
      <c r="D2307" s="11" t="s">
        <v>2078</v>
      </c>
      <c r="E2307" t="s">
        <v>2273</v>
      </c>
    </row>
    <row r="2308" spans="1:5">
      <c r="A2308" s="11"/>
      <c r="B2308" s="11">
        <v>4104009</v>
      </c>
      <c r="C2308" s="11" t="s">
        <v>2077</v>
      </c>
      <c r="D2308" s="11" t="s">
        <v>2078</v>
      </c>
      <c r="E2308" t="s">
        <v>2273</v>
      </c>
    </row>
    <row r="2309" spans="1:5">
      <c r="A2309" s="11"/>
      <c r="B2309" s="11">
        <v>4104010</v>
      </c>
      <c r="C2309" s="11" t="s">
        <v>2077</v>
      </c>
      <c r="D2309" s="11" t="s">
        <v>2078</v>
      </c>
      <c r="E2309" t="s">
        <v>2273</v>
      </c>
    </row>
    <row r="2310" spans="1:5">
      <c r="A2310" s="11"/>
      <c r="B2310" s="11">
        <v>4104011</v>
      </c>
      <c r="C2310" s="11" t="s">
        <v>2077</v>
      </c>
      <c r="D2310" s="11" t="s">
        <v>2078</v>
      </c>
      <c r="E2310" t="s">
        <v>2273</v>
      </c>
    </row>
    <row r="2311" spans="1:5">
      <c r="A2311" s="11"/>
      <c r="B2311" s="11">
        <v>4104012</v>
      </c>
      <c r="C2311" s="11" t="s">
        <v>2077</v>
      </c>
      <c r="D2311" s="11" t="s">
        <v>2078</v>
      </c>
      <c r="E2311" t="s">
        <v>2273</v>
      </c>
    </row>
    <row r="2312" spans="1:5">
      <c r="A2312" s="11"/>
      <c r="B2312" s="11">
        <v>4104013</v>
      </c>
      <c r="C2312" s="11" t="s">
        <v>2077</v>
      </c>
      <c r="D2312" s="11" t="s">
        <v>2078</v>
      </c>
      <c r="E2312" t="s">
        <v>2273</v>
      </c>
    </row>
    <row r="2313" spans="1:5">
      <c r="A2313" s="11"/>
      <c r="B2313" s="11">
        <v>4104014</v>
      </c>
      <c r="C2313" s="11" t="s">
        <v>2077</v>
      </c>
      <c r="D2313" s="11" t="s">
        <v>2078</v>
      </c>
      <c r="E2313" t="s">
        <v>2273</v>
      </c>
    </row>
    <row r="2314" spans="1:5">
      <c r="A2314" s="11"/>
      <c r="B2314" s="11">
        <v>4104015</v>
      </c>
      <c r="C2314" s="11" t="s">
        <v>2077</v>
      </c>
      <c r="D2314" s="11" t="s">
        <v>2078</v>
      </c>
      <c r="E2314" t="s">
        <v>2273</v>
      </c>
    </row>
    <row r="2315" spans="1:5">
      <c r="A2315" s="11"/>
      <c r="B2315" s="11">
        <v>4104016</v>
      </c>
      <c r="C2315" s="11" t="s">
        <v>2077</v>
      </c>
      <c r="D2315" s="11" t="s">
        <v>2078</v>
      </c>
      <c r="E2315" t="s">
        <v>2273</v>
      </c>
    </row>
    <row r="2316" spans="1:5">
      <c r="A2316" s="11"/>
      <c r="B2316" s="11">
        <v>4104017</v>
      </c>
      <c r="C2316" s="11" t="s">
        <v>2077</v>
      </c>
      <c r="D2316" s="11" t="s">
        <v>2078</v>
      </c>
      <c r="E2316" t="s">
        <v>2273</v>
      </c>
    </row>
    <row r="2317" spans="1:5">
      <c r="A2317" s="11"/>
      <c r="B2317" s="11">
        <v>4104018</v>
      </c>
      <c r="C2317" s="11" t="s">
        <v>2077</v>
      </c>
      <c r="D2317" s="11" t="s">
        <v>2078</v>
      </c>
      <c r="E2317" t="s">
        <v>2273</v>
      </c>
    </row>
    <row r="2318" spans="1:5">
      <c r="A2318" s="11"/>
      <c r="B2318" s="11">
        <v>4104020</v>
      </c>
      <c r="C2318" s="11" t="s">
        <v>2077</v>
      </c>
      <c r="D2318" s="11" t="s">
        <v>2078</v>
      </c>
      <c r="E2318" t="s">
        <v>2273</v>
      </c>
    </row>
    <row r="2319" spans="1:5">
      <c r="A2319" s="11"/>
      <c r="B2319" s="11">
        <v>4104021</v>
      </c>
      <c r="C2319" s="11" t="s">
        <v>2077</v>
      </c>
      <c r="D2319" s="11" t="s">
        <v>2078</v>
      </c>
      <c r="E2319" t="s">
        <v>2273</v>
      </c>
    </row>
    <row r="2320" spans="1:5">
      <c r="A2320" s="11"/>
      <c r="B2320" s="11">
        <v>4104022</v>
      </c>
      <c r="C2320" s="11" t="s">
        <v>2077</v>
      </c>
      <c r="D2320" s="11" t="s">
        <v>2078</v>
      </c>
      <c r="E2320" t="s">
        <v>2273</v>
      </c>
    </row>
    <row r="2321" spans="1:5">
      <c r="A2321" s="11"/>
      <c r="B2321" s="11">
        <v>4104023</v>
      </c>
      <c r="C2321" s="11" t="s">
        <v>2077</v>
      </c>
      <c r="D2321" s="11" t="s">
        <v>2078</v>
      </c>
      <c r="E2321" t="s">
        <v>2273</v>
      </c>
    </row>
    <row r="2322" spans="1:5">
      <c r="A2322" s="11"/>
      <c r="B2322" s="11">
        <v>4104024</v>
      </c>
      <c r="C2322" s="11" t="s">
        <v>2077</v>
      </c>
      <c r="D2322" s="11" t="s">
        <v>2078</v>
      </c>
      <c r="E2322" t="s">
        <v>2273</v>
      </c>
    </row>
    <row r="2323" spans="1:5">
      <c r="A2323" s="11"/>
      <c r="B2323" s="11">
        <v>4104025</v>
      </c>
      <c r="C2323" s="11" t="s">
        <v>2077</v>
      </c>
      <c r="D2323" s="11" t="s">
        <v>2078</v>
      </c>
      <c r="E2323" t="s">
        <v>2273</v>
      </c>
    </row>
    <row r="2324" spans="1:5">
      <c r="A2324" s="11"/>
      <c r="B2324" s="11">
        <v>4104026</v>
      </c>
      <c r="C2324" s="11" t="s">
        <v>2077</v>
      </c>
      <c r="D2324" s="11" t="s">
        <v>2078</v>
      </c>
      <c r="E2324" t="s">
        <v>2273</v>
      </c>
    </row>
    <row r="2325" spans="1:5">
      <c r="A2325" s="11"/>
      <c r="B2325" s="11">
        <v>4104027</v>
      </c>
      <c r="C2325" s="11" t="s">
        <v>2077</v>
      </c>
      <c r="D2325" s="11" t="s">
        <v>2078</v>
      </c>
      <c r="E2325" t="s">
        <v>2273</v>
      </c>
    </row>
    <row r="2326" spans="1:5">
      <c r="A2326" s="11"/>
      <c r="B2326" s="11">
        <v>4104028</v>
      </c>
      <c r="C2326" s="11" t="s">
        <v>2077</v>
      </c>
      <c r="D2326" s="11" t="s">
        <v>2078</v>
      </c>
      <c r="E2326" t="s">
        <v>2273</v>
      </c>
    </row>
    <row r="2327" spans="1:5">
      <c r="A2327" s="11"/>
      <c r="B2327" s="11">
        <v>4104029</v>
      </c>
      <c r="C2327" s="11" t="s">
        <v>2077</v>
      </c>
      <c r="D2327" s="11" t="s">
        <v>2078</v>
      </c>
      <c r="E2327" t="s">
        <v>2273</v>
      </c>
    </row>
    <row r="2328" spans="1:5">
      <c r="A2328" s="11"/>
      <c r="B2328" s="11">
        <v>4104030</v>
      </c>
      <c r="C2328" s="11" t="s">
        <v>2077</v>
      </c>
      <c r="D2328" s="11" t="s">
        <v>2078</v>
      </c>
      <c r="E2328" t="s">
        <v>2273</v>
      </c>
    </row>
    <row r="2329" spans="1:5">
      <c r="A2329" s="11"/>
      <c r="B2329" s="11">
        <v>4104031</v>
      </c>
      <c r="C2329" s="11" t="s">
        <v>2077</v>
      </c>
      <c r="D2329" s="11" t="s">
        <v>2078</v>
      </c>
      <c r="E2329" t="s">
        <v>2273</v>
      </c>
    </row>
    <row r="2330" spans="1:5">
      <c r="A2330" s="11"/>
      <c r="B2330" s="11">
        <v>4104032</v>
      </c>
      <c r="C2330" s="11" t="s">
        <v>2077</v>
      </c>
      <c r="D2330" s="11" t="s">
        <v>2078</v>
      </c>
      <c r="E2330" t="s">
        <v>2273</v>
      </c>
    </row>
    <row r="2331" spans="1:5">
      <c r="A2331" s="11"/>
      <c r="B2331" s="11">
        <v>4104033</v>
      </c>
      <c r="C2331" s="11" t="s">
        <v>2077</v>
      </c>
      <c r="D2331" s="11" t="s">
        <v>2078</v>
      </c>
      <c r="E2331" t="s">
        <v>2273</v>
      </c>
    </row>
    <row r="2332" spans="1:5">
      <c r="A2332" s="11"/>
      <c r="B2332" s="11">
        <v>4104034</v>
      </c>
      <c r="C2332" s="11" t="s">
        <v>2077</v>
      </c>
      <c r="D2332" s="11" t="s">
        <v>2078</v>
      </c>
      <c r="E2332" t="s">
        <v>2273</v>
      </c>
    </row>
    <row r="2333" spans="1:5">
      <c r="A2333" s="11"/>
      <c r="B2333" s="11">
        <v>4104035</v>
      </c>
      <c r="C2333" s="11" t="s">
        <v>2077</v>
      </c>
      <c r="D2333" s="11" t="s">
        <v>2078</v>
      </c>
      <c r="E2333" t="s">
        <v>2273</v>
      </c>
    </row>
    <row r="2334" spans="1:5">
      <c r="A2334" s="11"/>
      <c r="B2334" s="11">
        <v>4104036</v>
      </c>
      <c r="C2334" s="11" t="s">
        <v>2077</v>
      </c>
      <c r="D2334" s="11" t="s">
        <v>2078</v>
      </c>
      <c r="E2334" t="s">
        <v>2273</v>
      </c>
    </row>
    <row r="2335" spans="1:5">
      <c r="A2335" s="11"/>
      <c r="B2335" s="11">
        <v>4104037</v>
      </c>
      <c r="C2335" s="11" t="s">
        <v>2077</v>
      </c>
      <c r="D2335" s="11" t="s">
        <v>2078</v>
      </c>
      <c r="E2335" t="s">
        <v>2273</v>
      </c>
    </row>
    <row r="2336" spans="1:5">
      <c r="A2336" s="11"/>
      <c r="B2336" s="11">
        <v>4104038</v>
      </c>
      <c r="C2336" s="11" t="s">
        <v>2077</v>
      </c>
      <c r="D2336" s="11" t="s">
        <v>2078</v>
      </c>
      <c r="E2336" t="s">
        <v>2273</v>
      </c>
    </row>
    <row r="2337" spans="1:5">
      <c r="A2337" s="11"/>
      <c r="B2337" s="11">
        <v>4104039</v>
      </c>
      <c r="C2337" s="11" t="s">
        <v>2077</v>
      </c>
      <c r="D2337" s="11" t="s">
        <v>2078</v>
      </c>
      <c r="E2337" t="s">
        <v>2273</v>
      </c>
    </row>
    <row r="2338" spans="1:5">
      <c r="A2338" s="11"/>
      <c r="B2338" s="11">
        <v>4104040</v>
      </c>
      <c r="C2338" s="11" t="s">
        <v>2077</v>
      </c>
      <c r="D2338" s="11" t="s">
        <v>2078</v>
      </c>
      <c r="E2338" t="s">
        <v>2273</v>
      </c>
    </row>
    <row r="2339" spans="1:5">
      <c r="A2339" s="11"/>
      <c r="B2339" s="11">
        <v>4104041</v>
      </c>
      <c r="C2339" s="11" t="s">
        <v>2077</v>
      </c>
      <c r="D2339" s="11" t="s">
        <v>2078</v>
      </c>
      <c r="E2339" t="s">
        <v>2273</v>
      </c>
    </row>
    <row r="2340" spans="1:5">
      <c r="A2340" s="11"/>
      <c r="B2340" s="11">
        <v>4104042</v>
      </c>
      <c r="C2340" s="11" t="s">
        <v>2077</v>
      </c>
      <c r="D2340" s="11" t="s">
        <v>2078</v>
      </c>
      <c r="E2340" t="s">
        <v>2273</v>
      </c>
    </row>
    <row r="2341" spans="1:5">
      <c r="A2341" s="11"/>
      <c r="B2341" s="11">
        <v>4104043</v>
      </c>
      <c r="C2341" s="11" t="s">
        <v>2077</v>
      </c>
      <c r="D2341" s="11" t="s">
        <v>2078</v>
      </c>
      <c r="E2341" t="s">
        <v>2273</v>
      </c>
    </row>
    <row r="2342" spans="1:5">
      <c r="A2342" s="11"/>
      <c r="B2342" s="11">
        <v>4104044</v>
      </c>
      <c r="C2342" s="11" t="s">
        <v>2077</v>
      </c>
      <c r="D2342" s="11" t="s">
        <v>2078</v>
      </c>
      <c r="E2342" t="s">
        <v>2273</v>
      </c>
    </row>
    <row r="2343" spans="1:5">
      <c r="A2343" s="11"/>
      <c r="B2343" s="11">
        <v>4104045</v>
      </c>
      <c r="C2343" s="11" t="s">
        <v>2077</v>
      </c>
      <c r="D2343" s="11" t="s">
        <v>2078</v>
      </c>
      <c r="E2343" t="s">
        <v>2273</v>
      </c>
    </row>
    <row r="2344" spans="1:5">
      <c r="A2344" s="11"/>
      <c r="B2344" s="11">
        <v>4104046</v>
      </c>
      <c r="C2344" s="11" t="s">
        <v>2077</v>
      </c>
      <c r="D2344" s="11" t="s">
        <v>2078</v>
      </c>
      <c r="E2344" t="s">
        <v>2273</v>
      </c>
    </row>
    <row r="2345" spans="1:5">
      <c r="A2345" s="11"/>
      <c r="B2345" s="11">
        <v>4104047</v>
      </c>
      <c r="C2345" s="11" t="s">
        <v>2077</v>
      </c>
      <c r="D2345" s="11" t="s">
        <v>2078</v>
      </c>
      <c r="E2345" t="s">
        <v>2273</v>
      </c>
    </row>
    <row r="2346" spans="1:5">
      <c r="A2346" s="11"/>
      <c r="B2346" s="11">
        <v>4104048</v>
      </c>
      <c r="C2346" s="11" t="s">
        <v>2077</v>
      </c>
      <c r="D2346" s="11" t="s">
        <v>2078</v>
      </c>
      <c r="E2346" t="s">
        <v>2273</v>
      </c>
    </row>
    <row r="2347" spans="1:5">
      <c r="A2347" s="11"/>
      <c r="B2347" s="11">
        <v>4104049</v>
      </c>
      <c r="C2347" s="11" t="s">
        <v>2077</v>
      </c>
      <c r="D2347" s="11" t="s">
        <v>2078</v>
      </c>
      <c r="E2347" t="s">
        <v>2273</v>
      </c>
    </row>
    <row r="2348" spans="1:5">
      <c r="A2348" s="11"/>
      <c r="B2348" s="11">
        <v>4104051</v>
      </c>
      <c r="C2348" s="11" t="s">
        <v>2077</v>
      </c>
      <c r="D2348" s="11" t="s">
        <v>2078</v>
      </c>
      <c r="E2348" t="s">
        <v>2273</v>
      </c>
    </row>
    <row r="2349" spans="1:5">
      <c r="A2349" s="11"/>
      <c r="B2349" s="11">
        <v>4104052</v>
      </c>
      <c r="C2349" s="11" t="s">
        <v>2077</v>
      </c>
      <c r="D2349" s="11" t="s">
        <v>2078</v>
      </c>
      <c r="E2349" t="s">
        <v>2273</v>
      </c>
    </row>
    <row r="2350" spans="1:5">
      <c r="A2350" s="11"/>
      <c r="B2350" s="11">
        <v>4104053</v>
      </c>
      <c r="C2350" s="11" t="s">
        <v>2077</v>
      </c>
      <c r="D2350" s="11" t="s">
        <v>2078</v>
      </c>
      <c r="E2350" t="s">
        <v>2273</v>
      </c>
    </row>
    <row r="2351" spans="1:5">
      <c r="A2351" s="11"/>
      <c r="B2351" s="11">
        <v>4104054</v>
      </c>
      <c r="C2351" s="11" t="s">
        <v>2077</v>
      </c>
      <c r="D2351" s="11" t="s">
        <v>2078</v>
      </c>
      <c r="E2351" t="s">
        <v>2273</v>
      </c>
    </row>
    <row r="2352" spans="1:5">
      <c r="A2352" s="11"/>
      <c r="B2352" s="11">
        <v>4104055</v>
      </c>
      <c r="C2352" s="11" t="s">
        <v>2077</v>
      </c>
      <c r="D2352" s="11" t="s">
        <v>2078</v>
      </c>
      <c r="E2352" t="s">
        <v>2273</v>
      </c>
    </row>
    <row r="2353" spans="1:5">
      <c r="A2353" s="11"/>
      <c r="B2353" s="11">
        <v>4104056</v>
      </c>
      <c r="C2353" s="11" t="s">
        <v>2077</v>
      </c>
      <c r="D2353" s="11" t="s">
        <v>2078</v>
      </c>
      <c r="E2353" t="s">
        <v>2273</v>
      </c>
    </row>
    <row r="2354" spans="1:5">
      <c r="A2354" s="11"/>
      <c r="B2354" s="11">
        <v>4104057</v>
      </c>
      <c r="C2354" s="11" t="s">
        <v>2077</v>
      </c>
      <c r="D2354" s="11" t="s">
        <v>2078</v>
      </c>
      <c r="E2354" t="s">
        <v>2273</v>
      </c>
    </row>
    <row r="2355" spans="1:5">
      <c r="A2355" s="11"/>
      <c r="B2355" s="11">
        <v>4104058</v>
      </c>
      <c r="C2355" s="11" t="s">
        <v>2077</v>
      </c>
      <c r="D2355" s="11" t="s">
        <v>2078</v>
      </c>
      <c r="E2355" t="s">
        <v>2273</v>
      </c>
    </row>
    <row r="2356" spans="1:5">
      <c r="A2356" s="11"/>
      <c r="B2356" s="11">
        <v>4104059</v>
      </c>
      <c r="C2356" s="11" t="s">
        <v>2077</v>
      </c>
      <c r="D2356" s="11" t="s">
        <v>2078</v>
      </c>
      <c r="E2356" t="s">
        <v>2273</v>
      </c>
    </row>
    <row r="2357" spans="1:5">
      <c r="A2357" s="11"/>
      <c r="B2357" s="11">
        <v>4104060</v>
      </c>
      <c r="C2357" s="11" t="s">
        <v>2077</v>
      </c>
      <c r="D2357" s="11" t="s">
        <v>2078</v>
      </c>
      <c r="E2357" t="s">
        <v>2273</v>
      </c>
    </row>
    <row r="2358" spans="1:5">
      <c r="A2358" s="11"/>
      <c r="B2358" s="11">
        <v>4104061</v>
      </c>
      <c r="C2358" s="11" t="s">
        <v>2077</v>
      </c>
      <c r="D2358" s="11" t="s">
        <v>2078</v>
      </c>
      <c r="E2358" t="s">
        <v>2273</v>
      </c>
    </row>
    <row r="2359" spans="1:5">
      <c r="A2359" s="11"/>
      <c r="B2359" s="11">
        <v>4104062</v>
      </c>
      <c r="C2359" s="11" t="s">
        <v>2077</v>
      </c>
      <c r="D2359" s="11" t="s">
        <v>2078</v>
      </c>
      <c r="E2359" t="s">
        <v>2273</v>
      </c>
    </row>
    <row r="2360" spans="1:5">
      <c r="A2360" s="11"/>
      <c r="B2360" s="11">
        <v>4104063</v>
      </c>
      <c r="C2360" s="11" t="s">
        <v>2077</v>
      </c>
      <c r="D2360" s="11" t="s">
        <v>2078</v>
      </c>
      <c r="E2360" t="s">
        <v>2273</v>
      </c>
    </row>
    <row r="2361" spans="1:5">
      <c r="A2361" s="11"/>
      <c r="B2361" s="11">
        <v>4104064</v>
      </c>
      <c r="C2361" s="11" t="s">
        <v>2077</v>
      </c>
      <c r="D2361" s="11" t="s">
        <v>2078</v>
      </c>
      <c r="E2361" t="s">
        <v>2273</v>
      </c>
    </row>
    <row r="2362" spans="1:5">
      <c r="A2362" s="11"/>
      <c r="B2362" s="11">
        <v>4104065</v>
      </c>
      <c r="C2362" s="11" t="s">
        <v>2077</v>
      </c>
      <c r="D2362" s="11" t="s">
        <v>2078</v>
      </c>
      <c r="E2362" t="s">
        <v>2273</v>
      </c>
    </row>
    <row r="2363" spans="1:5">
      <c r="A2363" s="11"/>
      <c r="B2363" s="11">
        <v>4104066</v>
      </c>
      <c r="C2363" s="11" t="s">
        <v>2077</v>
      </c>
      <c r="D2363" s="11" t="s">
        <v>2078</v>
      </c>
      <c r="E2363" t="s">
        <v>2273</v>
      </c>
    </row>
    <row r="2364" spans="1:5">
      <c r="A2364" s="11"/>
      <c r="B2364" s="11">
        <v>4104067</v>
      </c>
      <c r="C2364" s="11" t="s">
        <v>2077</v>
      </c>
      <c r="D2364" s="11" t="s">
        <v>2078</v>
      </c>
      <c r="E2364" t="s">
        <v>2273</v>
      </c>
    </row>
    <row r="2365" spans="1:5">
      <c r="A2365" s="11"/>
      <c r="B2365" s="11">
        <v>4104068</v>
      </c>
      <c r="C2365" s="11" t="s">
        <v>2077</v>
      </c>
      <c r="D2365" s="11" t="s">
        <v>2078</v>
      </c>
      <c r="E2365" t="s">
        <v>2273</v>
      </c>
    </row>
    <row r="2366" spans="1:5">
      <c r="A2366" s="11"/>
      <c r="B2366" s="11">
        <v>4104069</v>
      </c>
      <c r="C2366" s="11" t="s">
        <v>2077</v>
      </c>
      <c r="D2366" s="11" t="s">
        <v>2078</v>
      </c>
      <c r="E2366" t="s">
        <v>2273</v>
      </c>
    </row>
    <row r="2367" spans="1:5">
      <c r="A2367" s="11"/>
      <c r="B2367" s="11">
        <v>4104070</v>
      </c>
      <c r="C2367" s="11" t="s">
        <v>2077</v>
      </c>
      <c r="D2367" s="11" t="s">
        <v>2078</v>
      </c>
      <c r="E2367" t="s">
        <v>2273</v>
      </c>
    </row>
    <row r="2368" spans="1:5">
      <c r="A2368" s="11"/>
      <c r="B2368" s="11">
        <v>4104071</v>
      </c>
      <c r="C2368" s="11" t="s">
        <v>2077</v>
      </c>
      <c r="D2368" s="11" t="s">
        <v>2078</v>
      </c>
      <c r="E2368" t="s">
        <v>2273</v>
      </c>
    </row>
    <row r="2369" spans="1:5">
      <c r="A2369" s="11"/>
      <c r="B2369" s="11">
        <v>4104072</v>
      </c>
      <c r="C2369" s="11" t="s">
        <v>2077</v>
      </c>
      <c r="D2369" s="11" t="s">
        <v>2078</v>
      </c>
      <c r="E2369" t="s">
        <v>2273</v>
      </c>
    </row>
    <row r="2370" spans="1:5">
      <c r="A2370" s="11"/>
      <c r="B2370" s="11">
        <v>4104073</v>
      </c>
      <c r="C2370" s="11" t="s">
        <v>2077</v>
      </c>
      <c r="D2370" s="11" t="s">
        <v>2078</v>
      </c>
      <c r="E2370" t="s">
        <v>2273</v>
      </c>
    </row>
    <row r="2371" spans="1:5">
      <c r="A2371" s="11"/>
      <c r="B2371" s="11">
        <v>4104074</v>
      </c>
      <c r="C2371" s="11" t="s">
        <v>2077</v>
      </c>
      <c r="D2371" s="11" t="s">
        <v>2078</v>
      </c>
      <c r="E2371" t="s">
        <v>2273</v>
      </c>
    </row>
    <row r="2372" spans="1:5">
      <c r="A2372" s="11"/>
      <c r="B2372" s="11">
        <v>4201000</v>
      </c>
      <c r="C2372" s="11" t="s">
        <v>2077</v>
      </c>
      <c r="D2372" s="11" t="s">
        <v>2078</v>
      </c>
      <c r="E2372" t="s">
        <v>2273</v>
      </c>
    </row>
    <row r="2373" spans="1:5">
      <c r="A2373" s="11"/>
      <c r="B2373" s="11">
        <v>4201001</v>
      </c>
      <c r="C2373" s="11" t="s">
        <v>2077</v>
      </c>
      <c r="D2373" s="11" t="s">
        <v>2078</v>
      </c>
      <c r="E2373" t="s">
        <v>2273</v>
      </c>
    </row>
    <row r="2374" spans="1:5">
      <c r="A2374" s="11"/>
      <c r="B2374" s="11">
        <v>4201002</v>
      </c>
      <c r="C2374" s="11" t="s">
        <v>2077</v>
      </c>
      <c r="D2374" s="11" t="s">
        <v>2078</v>
      </c>
      <c r="E2374" t="s">
        <v>2273</v>
      </c>
    </row>
    <row r="2375" spans="1:5">
      <c r="A2375" s="11"/>
      <c r="B2375" s="11">
        <v>4201003</v>
      </c>
      <c r="C2375" s="11" t="s">
        <v>2077</v>
      </c>
      <c r="D2375" s="11" t="s">
        <v>2078</v>
      </c>
      <c r="E2375" t="s">
        <v>2273</v>
      </c>
    </row>
    <row r="2376" spans="1:5">
      <c r="A2376" s="11"/>
      <c r="B2376" s="11">
        <v>4201004</v>
      </c>
      <c r="C2376" s="11" t="s">
        <v>2077</v>
      </c>
      <c r="D2376" s="11" t="s">
        <v>2078</v>
      </c>
      <c r="E2376" t="s">
        <v>2273</v>
      </c>
    </row>
    <row r="2377" spans="1:5">
      <c r="A2377" s="11"/>
      <c r="B2377" s="11">
        <v>4201005</v>
      </c>
      <c r="C2377" s="11" t="s">
        <v>2077</v>
      </c>
      <c r="D2377" s="11" t="s">
        <v>2078</v>
      </c>
      <c r="E2377" t="s">
        <v>2273</v>
      </c>
    </row>
    <row r="2378" spans="1:5">
      <c r="A2378" s="11"/>
      <c r="B2378" s="11">
        <v>4201006</v>
      </c>
      <c r="C2378" s="11" t="s">
        <v>2077</v>
      </c>
      <c r="D2378" s="11" t="s">
        <v>2078</v>
      </c>
      <c r="E2378" t="s">
        <v>2273</v>
      </c>
    </row>
    <row r="2379" spans="1:5">
      <c r="A2379" s="11"/>
      <c r="B2379" s="11">
        <v>4201007</v>
      </c>
      <c r="C2379" s="11" t="s">
        <v>2077</v>
      </c>
      <c r="D2379" s="11" t="s">
        <v>2078</v>
      </c>
      <c r="E2379" t="s">
        <v>2273</v>
      </c>
    </row>
    <row r="2380" spans="1:5">
      <c r="A2380" s="11"/>
      <c r="B2380" s="11">
        <v>4201008</v>
      </c>
      <c r="C2380" s="11" t="s">
        <v>2077</v>
      </c>
      <c r="D2380" s="11" t="s">
        <v>2078</v>
      </c>
      <c r="E2380" t="s">
        <v>2273</v>
      </c>
    </row>
    <row r="2381" spans="1:5">
      <c r="A2381" s="11"/>
      <c r="B2381" s="11">
        <v>4201009</v>
      </c>
      <c r="C2381" s="11" t="s">
        <v>2077</v>
      </c>
      <c r="D2381" s="11" t="s">
        <v>2078</v>
      </c>
      <c r="E2381" t="s">
        <v>2273</v>
      </c>
    </row>
    <row r="2382" spans="1:5">
      <c r="A2382" s="11"/>
      <c r="B2382" s="11">
        <v>4201010</v>
      </c>
      <c r="C2382" s="11" t="s">
        <v>2077</v>
      </c>
      <c r="D2382" s="11" t="s">
        <v>2078</v>
      </c>
      <c r="E2382" t="s">
        <v>2273</v>
      </c>
    </row>
    <row r="2383" spans="1:5">
      <c r="A2383" s="11"/>
      <c r="B2383" s="11">
        <v>4201011</v>
      </c>
      <c r="C2383" s="11" t="s">
        <v>2077</v>
      </c>
      <c r="D2383" s="11" t="s">
        <v>2078</v>
      </c>
      <c r="E2383" t="s">
        <v>2273</v>
      </c>
    </row>
    <row r="2384" spans="1:5">
      <c r="A2384" s="11"/>
      <c r="B2384" s="11">
        <v>4201012</v>
      </c>
      <c r="C2384" s="11" t="s">
        <v>2077</v>
      </c>
      <c r="D2384" s="11" t="s">
        <v>2078</v>
      </c>
      <c r="E2384" t="s">
        <v>2273</v>
      </c>
    </row>
    <row r="2385" spans="1:5">
      <c r="A2385" s="11"/>
      <c r="B2385" s="11">
        <v>4201013</v>
      </c>
      <c r="C2385" s="11" t="s">
        <v>2077</v>
      </c>
      <c r="D2385" s="11" t="s">
        <v>2078</v>
      </c>
      <c r="E2385" t="s">
        <v>2273</v>
      </c>
    </row>
    <row r="2386" spans="1:5">
      <c r="A2386" s="11"/>
      <c r="B2386" s="11">
        <v>4201014</v>
      </c>
      <c r="C2386" s="11" t="s">
        <v>2077</v>
      </c>
      <c r="D2386" s="11" t="s">
        <v>2078</v>
      </c>
      <c r="E2386" t="s">
        <v>2273</v>
      </c>
    </row>
    <row r="2387" spans="1:5">
      <c r="A2387" s="11"/>
      <c r="B2387" s="11">
        <v>4201015</v>
      </c>
      <c r="C2387" s="11" t="s">
        <v>2077</v>
      </c>
      <c r="D2387" s="11" t="s">
        <v>2078</v>
      </c>
      <c r="E2387" t="s">
        <v>2273</v>
      </c>
    </row>
    <row r="2388" spans="1:5">
      <c r="A2388" s="11"/>
      <c r="B2388" s="11">
        <v>4201016</v>
      </c>
      <c r="C2388" s="11" t="s">
        <v>2077</v>
      </c>
      <c r="D2388" s="11" t="s">
        <v>2078</v>
      </c>
      <c r="E2388" t="s">
        <v>2273</v>
      </c>
    </row>
    <row r="2389" spans="1:5">
      <c r="A2389" s="11"/>
      <c r="B2389" s="11">
        <v>4201017</v>
      </c>
      <c r="C2389" s="11" t="s">
        <v>2077</v>
      </c>
      <c r="D2389" s="11" t="s">
        <v>2078</v>
      </c>
      <c r="E2389" t="s">
        <v>2273</v>
      </c>
    </row>
    <row r="2390" spans="1:5">
      <c r="A2390" s="11"/>
      <c r="B2390" s="11">
        <v>6990943</v>
      </c>
      <c r="C2390" s="11" t="s">
        <v>2077</v>
      </c>
      <c r="D2390" s="11" t="s">
        <v>2078</v>
      </c>
    </row>
    <row r="2391" spans="1:5">
      <c r="A2391" s="11"/>
      <c r="B2391" s="11"/>
      <c r="C2391" s="11"/>
      <c r="D2391" s="11"/>
    </row>
    <row r="2392" spans="1:5">
      <c r="A2392" s="11"/>
      <c r="B2392" s="11">
        <v>7010000</v>
      </c>
      <c r="C2392" s="11" t="s">
        <v>2077</v>
      </c>
      <c r="D2392" s="11" t="s">
        <v>2078</v>
      </c>
      <c r="E2392" t="s">
        <v>2274</v>
      </c>
    </row>
    <row r="2393" spans="1:5">
      <c r="A2393" s="11"/>
      <c r="B2393" s="11">
        <v>7010001</v>
      </c>
      <c r="C2393" s="11" t="s">
        <v>2077</v>
      </c>
      <c r="D2393" s="11" t="s">
        <v>2078</v>
      </c>
      <c r="E2393" t="s">
        <v>2274</v>
      </c>
    </row>
    <row r="2394" spans="1:5">
      <c r="A2394" s="11"/>
      <c r="B2394" s="11">
        <v>7010002</v>
      </c>
      <c r="C2394" s="11" t="s">
        <v>2077</v>
      </c>
      <c r="D2394" s="11" t="s">
        <v>2078</v>
      </c>
      <c r="E2394" t="s">
        <v>2274</v>
      </c>
    </row>
    <row r="2395" spans="1:5">
      <c r="A2395" s="11"/>
      <c r="B2395" s="11">
        <v>7010003</v>
      </c>
      <c r="C2395" s="11" t="s">
        <v>2077</v>
      </c>
      <c r="D2395" s="11" t="s">
        <v>2078</v>
      </c>
      <c r="E2395" t="s">
        <v>2274</v>
      </c>
    </row>
    <row r="2396" spans="1:5">
      <c r="A2396" s="11"/>
      <c r="B2396" s="11">
        <v>7010004</v>
      </c>
      <c r="C2396" s="11" t="s">
        <v>2077</v>
      </c>
      <c r="D2396" s="11" t="s">
        <v>2078</v>
      </c>
      <c r="E2396" t="s">
        <v>2274</v>
      </c>
    </row>
    <row r="2397" spans="1:5">
      <c r="A2397" s="11"/>
      <c r="B2397" s="11">
        <v>7010005</v>
      </c>
      <c r="C2397" s="11" t="s">
        <v>2077</v>
      </c>
      <c r="D2397" s="11" t="s">
        <v>2078</v>
      </c>
      <c r="E2397" t="s">
        <v>2274</v>
      </c>
    </row>
    <row r="2398" spans="1:5">
      <c r="A2398" s="11"/>
      <c r="B2398" s="11">
        <v>7010006</v>
      </c>
      <c r="C2398" s="11" t="s">
        <v>2077</v>
      </c>
      <c r="D2398" s="11" t="s">
        <v>2078</v>
      </c>
      <c r="E2398" t="s">
        <v>2274</v>
      </c>
    </row>
    <row r="2399" spans="1:5">
      <c r="A2399" s="11"/>
      <c r="B2399" s="11">
        <v>7010007</v>
      </c>
      <c r="C2399" s="11" t="s">
        <v>2077</v>
      </c>
      <c r="D2399" s="11" t="s">
        <v>2078</v>
      </c>
      <c r="E2399" t="s">
        <v>2274</v>
      </c>
    </row>
    <row r="2400" spans="1:5">
      <c r="A2400" s="11"/>
      <c r="B2400" s="11">
        <v>7010008</v>
      </c>
      <c r="C2400" s="11" t="s">
        <v>2077</v>
      </c>
      <c r="D2400" s="11" t="s">
        <v>2078</v>
      </c>
      <c r="E2400" t="s">
        <v>2274</v>
      </c>
    </row>
    <row r="2401" spans="1:5">
      <c r="A2401" s="11"/>
      <c r="B2401" s="11">
        <v>7010009</v>
      </c>
      <c r="C2401" s="11" t="s">
        <v>2077</v>
      </c>
      <c r="D2401" s="11" t="s">
        <v>2078</v>
      </c>
      <c r="E2401" t="s">
        <v>2274</v>
      </c>
    </row>
    <row r="2402" spans="1:5">
      <c r="A2402" s="11"/>
      <c r="B2402" s="11">
        <v>7010010</v>
      </c>
      <c r="C2402" s="11" t="s">
        <v>2077</v>
      </c>
      <c r="D2402" s="11" t="s">
        <v>2078</v>
      </c>
      <c r="E2402" t="s">
        <v>2274</v>
      </c>
    </row>
    <row r="2403" spans="1:5">
      <c r="A2403" s="11"/>
      <c r="B2403" s="11">
        <v>7010011</v>
      </c>
      <c r="C2403" s="11" t="s">
        <v>2077</v>
      </c>
      <c r="D2403" s="11" t="s">
        <v>2078</v>
      </c>
      <c r="E2403" t="s">
        <v>2274</v>
      </c>
    </row>
    <row r="2404" spans="1:5">
      <c r="A2404" s="11"/>
      <c r="B2404" s="11">
        <v>7010012</v>
      </c>
      <c r="C2404" s="11" t="s">
        <v>2077</v>
      </c>
      <c r="D2404" s="11" t="s">
        <v>2078</v>
      </c>
      <c r="E2404" t="s">
        <v>2274</v>
      </c>
    </row>
    <row r="2405" spans="1:5">
      <c r="A2405" s="11"/>
      <c r="B2405" s="11">
        <v>7010013</v>
      </c>
      <c r="C2405" s="11" t="s">
        <v>2077</v>
      </c>
      <c r="D2405" s="11" t="s">
        <v>2078</v>
      </c>
      <c r="E2405" t="s">
        <v>2274</v>
      </c>
    </row>
    <row r="2406" spans="1:5">
      <c r="A2406" s="11"/>
      <c r="B2406" s="11">
        <v>7010014</v>
      </c>
      <c r="C2406" s="11" t="s">
        <v>2077</v>
      </c>
      <c r="D2406" s="11" t="s">
        <v>2078</v>
      </c>
      <c r="E2406" t="s">
        <v>2274</v>
      </c>
    </row>
    <row r="2407" spans="1:5">
      <c r="A2407" s="11"/>
      <c r="B2407" s="11">
        <v>7010015</v>
      </c>
      <c r="C2407" s="11" t="s">
        <v>2077</v>
      </c>
      <c r="D2407" s="11" t="s">
        <v>2078</v>
      </c>
      <c r="E2407" t="s">
        <v>2274</v>
      </c>
    </row>
    <row r="2408" spans="1:5">
      <c r="A2408" s="11"/>
      <c r="B2408" s="11">
        <v>7010017</v>
      </c>
      <c r="C2408" s="11" t="s">
        <v>2077</v>
      </c>
      <c r="D2408" s="11" t="s">
        <v>2078</v>
      </c>
      <c r="E2408" t="s">
        <v>2274</v>
      </c>
    </row>
    <row r="2409" spans="1:5">
      <c r="A2409" s="11"/>
      <c r="B2409" s="11">
        <v>7010018</v>
      </c>
      <c r="C2409" s="11" t="s">
        <v>2077</v>
      </c>
      <c r="D2409" s="11" t="s">
        <v>2078</v>
      </c>
      <c r="E2409" t="s">
        <v>2274</v>
      </c>
    </row>
    <row r="2410" spans="1:5">
      <c r="A2410" s="11"/>
      <c r="B2410" s="11">
        <v>7010019</v>
      </c>
      <c r="C2410" s="11" t="s">
        <v>2077</v>
      </c>
      <c r="D2410" s="11" t="s">
        <v>2078</v>
      </c>
      <c r="E2410" t="s">
        <v>2274</v>
      </c>
    </row>
    <row r="2411" spans="1:5">
      <c r="A2411" s="11"/>
      <c r="B2411" s="11">
        <v>7010020</v>
      </c>
      <c r="C2411" s="11" t="s">
        <v>2077</v>
      </c>
      <c r="D2411" s="11" t="s">
        <v>2078</v>
      </c>
      <c r="E2411" t="s">
        <v>2274</v>
      </c>
    </row>
    <row r="2412" spans="1:5">
      <c r="A2412" s="11"/>
      <c r="B2412" s="11">
        <v>7010021</v>
      </c>
      <c r="C2412" s="11" t="s">
        <v>2077</v>
      </c>
      <c r="D2412" s="11" t="s">
        <v>2078</v>
      </c>
      <c r="E2412" t="s">
        <v>2274</v>
      </c>
    </row>
    <row r="2413" spans="1:5">
      <c r="A2413" s="11"/>
      <c r="B2413" s="11">
        <v>7010022</v>
      </c>
      <c r="C2413" s="11" t="s">
        <v>2077</v>
      </c>
      <c r="D2413" s="11" t="s">
        <v>2078</v>
      </c>
      <c r="E2413" t="s">
        <v>2274</v>
      </c>
    </row>
    <row r="2414" spans="1:5">
      <c r="A2414" s="11"/>
      <c r="B2414" s="11">
        <v>7010023</v>
      </c>
      <c r="C2414" s="11" t="s">
        <v>2077</v>
      </c>
      <c r="D2414" s="11" t="s">
        <v>2078</v>
      </c>
      <c r="E2414" t="s">
        <v>2274</v>
      </c>
    </row>
    <row r="2415" spans="1:5">
      <c r="A2415" s="11"/>
      <c r="B2415" s="11">
        <v>7010024</v>
      </c>
      <c r="C2415" s="11" t="s">
        <v>2077</v>
      </c>
      <c r="D2415" s="11" t="s">
        <v>2078</v>
      </c>
      <c r="E2415" t="s">
        <v>2274</v>
      </c>
    </row>
    <row r="2416" spans="1:5">
      <c r="A2416" s="11"/>
      <c r="B2416" s="11">
        <v>7010033</v>
      </c>
      <c r="C2416" s="11" t="s">
        <v>2077</v>
      </c>
      <c r="D2416" s="11" t="s">
        <v>2078</v>
      </c>
      <c r="E2416" t="s">
        <v>2274</v>
      </c>
    </row>
    <row r="2417" spans="1:5">
      <c r="A2417" s="11"/>
      <c r="B2417" s="11">
        <v>7010034</v>
      </c>
      <c r="C2417" s="11" t="s">
        <v>2077</v>
      </c>
      <c r="D2417" s="11" t="s">
        <v>2078</v>
      </c>
      <c r="E2417" t="s">
        <v>2274</v>
      </c>
    </row>
    <row r="2418" spans="1:5">
      <c r="A2418" s="11"/>
      <c r="B2418" s="11">
        <v>7010035</v>
      </c>
      <c r="C2418" s="11" t="s">
        <v>2077</v>
      </c>
      <c r="D2418" s="11" t="s">
        <v>2078</v>
      </c>
      <c r="E2418" t="s">
        <v>2274</v>
      </c>
    </row>
    <row r="2419" spans="1:5">
      <c r="A2419" s="11"/>
      <c r="B2419" s="11">
        <v>7010036</v>
      </c>
      <c r="C2419" s="11" t="s">
        <v>2077</v>
      </c>
      <c r="D2419" s="11" t="s">
        <v>2078</v>
      </c>
      <c r="E2419" t="s">
        <v>2274</v>
      </c>
    </row>
    <row r="2420" spans="1:5">
      <c r="A2420" s="11"/>
      <c r="B2420" s="11">
        <v>7010037</v>
      </c>
      <c r="C2420" s="11" t="s">
        <v>2077</v>
      </c>
      <c r="D2420" s="11" t="s">
        <v>2078</v>
      </c>
      <c r="E2420" t="s">
        <v>2274</v>
      </c>
    </row>
    <row r="2421" spans="1:5">
      <c r="A2421" s="11"/>
      <c r="B2421" s="11">
        <v>7010038</v>
      </c>
      <c r="C2421" s="11" t="s">
        <v>2077</v>
      </c>
      <c r="D2421" s="11" t="s">
        <v>2078</v>
      </c>
      <c r="E2421" t="s">
        <v>2274</v>
      </c>
    </row>
    <row r="2422" spans="1:5">
      <c r="A2422" s="11"/>
      <c r="B2422" s="11">
        <v>7010007</v>
      </c>
      <c r="C2422" s="11" t="s">
        <v>2077</v>
      </c>
      <c r="D2422" s="11" t="s">
        <v>2078</v>
      </c>
      <c r="E2422" t="s">
        <v>2274</v>
      </c>
    </row>
    <row r="2423" spans="1:5">
      <c r="A2423" s="11"/>
      <c r="B2423" s="11">
        <v>7011000</v>
      </c>
      <c r="C2423" s="11" t="s">
        <v>2077</v>
      </c>
      <c r="D2423" s="11" t="s">
        <v>2078</v>
      </c>
      <c r="E2423" t="s">
        <v>2274</v>
      </c>
    </row>
    <row r="2424" spans="1:5">
      <c r="A2424" s="11"/>
      <c r="B2424" s="11">
        <v>7011014</v>
      </c>
      <c r="C2424" s="11" t="s">
        <v>2077</v>
      </c>
      <c r="D2424" s="11" t="s">
        <v>2078</v>
      </c>
      <c r="E2424" t="s">
        <v>2274</v>
      </c>
    </row>
    <row r="2425" spans="1:5">
      <c r="A2425" s="11"/>
      <c r="B2425" s="11">
        <v>7011015</v>
      </c>
      <c r="C2425" s="11" t="s">
        <v>2077</v>
      </c>
      <c r="D2425" s="11" t="s">
        <v>2078</v>
      </c>
      <c r="E2425" t="s">
        <v>2274</v>
      </c>
    </row>
    <row r="2426" spans="1:5">
      <c r="A2426" s="11"/>
      <c r="B2426" s="11">
        <v>7011016</v>
      </c>
      <c r="C2426" s="11" t="s">
        <v>2077</v>
      </c>
      <c r="D2426" s="11" t="s">
        <v>2078</v>
      </c>
      <c r="E2426" t="s">
        <v>2274</v>
      </c>
    </row>
    <row r="2427" spans="1:5">
      <c r="A2427" s="11"/>
      <c r="B2427" s="11">
        <v>7011017</v>
      </c>
      <c r="C2427" s="11" t="s">
        <v>2077</v>
      </c>
      <c r="D2427" s="11" t="s">
        <v>2078</v>
      </c>
      <c r="E2427" t="s">
        <v>2274</v>
      </c>
    </row>
    <row r="2428" spans="1:5">
      <c r="A2428" s="11"/>
      <c r="B2428" s="11">
        <v>7011018</v>
      </c>
      <c r="C2428" s="11" t="s">
        <v>2077</v>
      </c>
      <c r="D2428" s="11" t="s">
        <v>2078</v>
      </c>
      <c r="E2428" t="s">
        <v>2274</v>
      </c>
    </row>
    <row r="2429" spans="1:5">
      <c r="A2429" s="11"/>
      <c r="B2429" s="11">
        <v>7011019</v>
      </c>
      <c r="C2429" s="11" t="s">
        <v>2077</v>
      </c>
      <c r="D2429" s="11" t="s">
        <v>2078</v>
      </c>
      <c r="E2429" t="s">
        <v>2274</v>
      </c>
    </row>
    <row r="2430" spans="1:5">
      <c r="A2430" s="11"/>
      <c r="B2430" s="11">
        <v>7011020</v>
      </c>
      <c r="C2430" s="11" t="s">
        <v>2077</v>
      </c>
      <c r="D2430" s="11" t="s">
        <v>2078</v>
      </c>
      <c r="E2430" t="s">
        <v>2274</v>
      </c>
    </row>
    <row r="2431" spans="1:5">
      <c r="A2431" s="11"/>
      <c r="B2431" s="11">
        <v>7011021</v>
      </c>
      <c r="C2431" s="11" t="s">
        <v>2077</v>
      </c>
      <c r="D2431" s="11" t="s">
        <v>2078</v>
      </c>
      <c r="E2431" t="s">
        <v>2274</v>
      </c>
    </row>
    <row r="2432" spans="1:5">
      <c r="A2432" s="11"/>
      <c r="B2432" s="11">
        <v>7011022</v>
      </c>
      <c r="C2432" s="11" t="s">
        <v>2077</v>
      </c>
      <c r="D2432" s="11" t="s">
        <v>2078</v>
      </c>
      <c r="E2432" t="s">
        <v>2274</v>
      </c>
    </row>
    <row r="2433" spans="1:5">
      <c r="A2433" s="11"/>
      <c r="B2433" s="11">
        <v>7011023</v>
      </c>
      <c r="C2433" s="11" t="s">
        <v>2077</v>
      </c>
      <c r="D2433" s="11" t="s">
        <v>2078</v>
      </c>
      <c r="E2433" t="s">
        <v>2274</v>
      </c>
    </row>
    <row r="2434" spans="1:5">
      <c r="A2434" s="11"/>
      <c r="B2434" s="11">
        <v>7011024</v>
      </c>
      <c r="C2434" s="11" t="s">
        <v>2077</v>
      </c>
      <c r="D2434" s="11" t="s">
        <v>2078</v>
      </c>
      <c r="E2434" t="s">
        <v>2274</v>
      </c>
    </row>
    <row r="2435" spans="1:5">
      <c r="A2435" s="11"/>
      <c r="B2435" s="11">
        <v>7011025</v>
      </c>
      <c r="C2435" s="11" t="s">
        <v>2077</v>
      </c>
      <c r="D2435" s="11" t="s">
        <v>2078</v>
      </c>
      <c r="E2435" t="s">
        <v>2274</v>
      </c>
    </row>
    <row r="2436" spans="1:5">
      <c r="A2436" s="11"/>
      <c r="B2436" s="11">
        <v>7011027</v>
      </c>
      <c r="C2436" s="11" t="s">
        <v>2077</v>
      </c>
      <c r="D2436" s="11" t="s">
        <v>2078</v>
      </c>
      <c r="E2436" t="s">
        <v>2274</v>
      </c>
    </row>
    <row r="2437" spans="1:5">
      <c r="A2437" s="11"/>
      <c r="B2437" s="11">
        <v>7011034</v>
      </c>
      <c r="C2437" s="11" t="s">
        <v>2077</v>
      </c>
      <c r="D2437" s="11" t="s">
        <v>2078</v>
      </c>
      <c r="E2437" t="s">
        <v>2274</v>
      </c>
    </row>
    <row r="2438" spans="1:5">
      <c r="A2438" s="11"/>
      <c r="B2438" s="11">
        <v>7011037</v>
      </c>
      <c r="C2438" s="11" t="s">
        <v>2077</v>
      </c>
      <c r="D2438" s="11" t="s">
        <v>2078</v>
      </c>
      <c r="E2438" t="s">
        <v>2274</v>
      </c>
    </row>
    <row r="2439" spans="1:5">
      <c r="A2439" s="11"/>
      <c r="B2439" s="11">
        <v>7011038</v>
      </c>
      <c r="C2439" s="11" t="s">
        <v>2077</v>
      </c>
      <c r="D2439" s="11" t="s">
        <v>2078</v>
      </c>
      <c r="E2439" t="s">
        <v>2274</v>
      </c>
    </row>
    <row r="2440" spans="1:5">
      <c r="A2440" s="11"/>
      <c r="B2440" s="11">
        <v>7011039</v>
      </c>
      <c r="C2440" s="11" t="s">
        <v>2077</v>
      </c>
      <c r="D2440" s="11" t="s">
        <v>2078</v>
      </c>
      <c r="E2440" t="s">
        <v>2274</v>
      </c>
    </row>
    <row r="2441" spans="1:5">
      <c r="A2441" s="11"/>
      <c r="B2441" s="11">
        <v>7011040</v>
      </c>
      <c r="C2441" s="11" t="s">
        <v>2077</v>
      </c>
      <c r="D2441" s="11" t="s">
        <v>2078</v>
      </c>
      <c r="E2441" t="s">
        <v>2274</v>
      </c>
    </row>
    <row r="2442" spans="1:5">
      <c r="A2442" s="11"/>
      <c r="B2442" s="11">
        <v>7011043</v>
      </c>
      <c r="C2442" s="11" t="s">
        <v>2077</v>
      </c>
      <c r="D2442" s="11" t="s">
        <v>2078</v>
      </c>
      <c r="E2442" t="s">
        <v>2274</v>
      </c>
    </row>
    <row r="2443" spans="1:5">
      <c r="A2443" s="11"/>
      <c r="B2443" s="11">
        <v>7011046</v>
      </c>
      <c r="C2443" s="11" t="s">
        <v>2077</v>
      </c>
      <c r="D2443" s="11" t="s">
        <v>2078</v>
      </c>
      <c r="E2443" t="s">
        <v>2274</v>
      </c>
    </row>
    <row r="2444" spans="1:5">
      <c r="A2444" s="11"/>
      <c r="B2444" s="11">
        <v>7012001</v>
      </c>
      <c r="C2444" s="11" t="s">
        <v>2077</v>
      </c>
      <c r="D2444" s="11" t="s">
        <v>2078</v>
      </c>
      <c r="E2444" t="s">
        <v>2274</v>
      </c>
    </row>
    <row r="2445" spans="1:5">
      <c r="A2445" s="11"/>
      <c r="B2445" s="11">
        <v>7012004</v>
      </c>
      <c r="C2445" s="11" t="s">
        <v>2077</v>
      </c>
      <c r="D2445" s="11" t="s">
        <v>2078</v>
      </c>
      <c r="E2445" t="s">
        <v>2274</v>
      </c>
    </row>
    <row r="2446" spans="1:5">
      <c r="A2446" s="11"/>
      <c r="B2446" s="11">
        <v>7012005</v>
      </c>
      <c r="C2446" s="11" t="s">
        <v>2077</v>
      </c>
      <c r="D2446" s="11" t="s">
        <v>2078</v>
      </c>
      <c r="E2446" t="s">
        <v>2274</v>
      </c>
    </row>
    <row r="2447" spans="1:5">
      <c r="A2447" s="11"/>
      <c r="B2447" s="11">
        <v>7012010</v>
      </c>
      <c r="C2447" s="11" t="s">
        <v>2077</v>
      </c>
      <c r="D2447" s="11" t="s">
        <v>2078</v>
      </c>
      <c r="E2447" t="s">
        <v>2274</v>
      </c>
    </row>
    <row r="2448" spans="1:5">
      <c r="A2448" s="11"/>
      <c r="B2448" s="11">
        <v>7012011</v>
      </c>
      <c r="C2448" s="11" t="s">
        <v>2077</v>
      </c>
      <c r="D2448" s="11" t="s">
        <v>2078</v>
      </c>
      <c r="E2448" t="s">
        <v>2274</v>
      </c>
    </row>
    <row r="2449" spans="1:5">
      <c r="A2449" s="11"/>
      <c r="B2449" s="11">
        <v>7012012</v>
      </c>
      <c r="C2449" s="11" t="s">
        <v>2077</v>
      </c>
      <c r="D2449" s="11" t="s">
        <v>2078</v>
      </c>
      <c r="E2449" t="s">
        <v>2274</v>
      </c>
    </row>
    <row r="2450" spans="1:5">
      <c r="A2450" s="11"/>
      <c r="B2450" s="11">
        <v>7012013</v>
      </c>
      <c r="C2450" s="11" t="s">
        <v>2077</v>
      </c>
      <c r="D2450" s="11" t="s">
        <v>2078</v>
      </c>
      <c r="E2450" t="s">
        <v>2274</v>
      </c>
    </row>
    <row r="2451" spans="1:5">
      <c r="A2451" s="11"/>
      <c r="B2451" s="11">
        <v>7012016</v>
      </c>
      <c r="C2451" s="11" t="s">
        <v>2077</v>
      </c>
      <c r="D2451" s="11" t="s">
        <v>2078</v>
      </c>
      <c r="E2451" t="s">
        <v>2274</v>
      </c>
    </row>
    <row r="2452" spans="1:5">
      <c r="A2452" s="11"/>
      <c r="B2452" s="11">
        <v>7012018</v>
      </c>
      <c r="C2452" s="11" t="s">
        <v>2077</v>
      </c>
      <c r="D2452" s="11" t="s">
        <v>2078</v>
      </c>
      <c r="E2452" t="s">
        <v>2274</v>
      </c>
    </row>
    <row r="2453" spans="1:5">
      <c r="A2453" s="11"/>
      <c r="B2453" s="11">
        <v>7012023</v>
      </c>
      <c r="C2453" s="11" t="s">
        <v>2077</v>
      </c>
      <c r="D2453" s="11" t="s">
        <v>2078</v>
      </c>
      <c r="E2453" t="s">
        <v>2274</v>
      </c>
    </row>
    <row r="2454" spans="1:5">
      <c r="A2454" s="11"/>
      <c r="B2454" s="11">
        <v>7012024</v>
      </c>
      <c r="C2454" s="11" t="s">
        <v>2077</v>
      </c>
      <c r="D2454" s="11" t="s">
        <v>2078</v>
      </c>
      <c r="E2454" t="s">
        <v>2274</v>
      </c>
    </row>
    <row r="2455" spans="1:5">
      <c r="A2455" s="11"/>
      <c r="B2455" s="11">
        <v>7012027</v>
      </c>
      <c r="C2455" s="11" t="s">
        <v>2077</v>
      </c>
      <c r="D2455" s="11" t="s">
        <v>2078</v>
      </c>
      <c r="E2455" t="s">
        <v>2274</v>
      </c>
    </row>
    <row r="2456" spans="1:5">
      <c r="A2456" s="11"/>
      <c r="B2456" s="11">
        <v>7012030</v>
      </c>
      <c r="C2456" s="11" t="s">
        <v>2077</v>
      </c>
      <c r="D2456" s="11" t="s">
        <v>2078</v>
      </c>
      <c r="E2456" t="s">
        <v>2274</v>
      </c>
    </row>
    <row r="2457" spans="1:5">
      <c r="A2457" s="11"/>
      <c r="B2457" s="11">
        <v>7012032</v>
      </c>
      <c r="C2457" s="11" t="s">
        <v>2077</v>
      </c>
      <c r="D2457" s="11" t="s">
        <v>2078</v>
      </c>
      <c r="E2457" t="s">
        <v>2274</v>
      </c>
    </row>
    <row r="2458" spans="1:5">
      <c r="A2458" s="11"/>
      <c r="B2458" s="11">
        <v>7012033</v>
      </c>
      <c r="C2458" s="11" t="s">
        <v>2077</v>
      </c>
      <c r="D2458" s="11" t="s">
        <v>2078</v>
      </c>
      <c r="E2458" t="s">
        <v>2274</v>
      </c>
    </row>
    <row r="2459" spans="1:5">
      <c r="A2459" s="11"/>
      <c r="B2459" s="11">
        <v>7012034</v>
      </c>
      <c r="C2459" s="11" t="s">
        <v>2077</v>
      </c>
      <c r="D2459" s="11" t="s">
        <v>2078</v>
      </c>
      <c r="E2459" t="s">
        <v>2274</v>
      </c>
    </row>
    <row r="2460" spans="1:5">
      <c r="A2460" s="11"/>
      <c r="B2460" s="11">
        <v>7012035</v>
      </c>
      <c r="C2460" s="11" t="s">
        <v>2077</v>
      </c>
      <c r="D2460" s="11" t="s">
        <v>2078</v>
      </c>
      <c r="E2460" t="s">
        <v>2274</v>
      </c>
    </row>
    <row r="2461" spans="1:5">
      <c r="A2461" s="11"/>
      <c r="B2461" s="11">
        <v>7012036</v>
      </c>
      <c r="C2461" s="11" t="s">
        <v>2077</v>
      </c>
      <c r="D2461" s="11" t="s">
        <v>2078</v>
      </c>
      <c r="E2461" t="s">
        <v>2274</v>
      </c>
    </row>
    <row r="2462" spans="1:5">
      <c r="A2462" s="11"/>
      <c r="B2462" s="11">
        <v>7012037</v>
      </c>
      <c r="C2462" s="11" t="s">
        <v>2077</v>
      </c>
      <c r="D2462" s="11" t="s">
        <v>2078</v>
      </c>
      <c r="E2462" t="s">
        <v>2274</v>
      </c>
    </row>
    <row r="2463" spans="1:5">
      <c r="A2463" s="11"/>
      <c r="B2463" s="11">
        <v>7012038</v>
      </c>
      <c r="C2463" s="11" t="s">
        <v>2077</v>
      </c>
      <c r="D2463" s="11" t="s">
        <v>2078</v>
      </c>
      <c r="E2463" t="s">
        <v>2274</v>
      </c>
    </row>
    <row r="2464" spans="1:5">
      <c r="A2464" s="11"/>
      <c r="B2464" s="11">
        <v>7012039</v>
      </c>
      <c r="C2464" s="11" t="s">
        <v>2077</v>
      </c>
      <c r="D2464" s="11" t="s">
        <v>2078</v>
      </c>
      <c r="E2464" t="s">
        <v>2274</v>
      </c>
    </row>
    <row r="2465" spans="1:5">
      <c r="A2465" s="11"/>
      <c r="B2465" s="11">
        <v>7012040</v>
      </c>
      <c r="C2465" s="11" t="s">
        <v>2077</v>
      </c>
      <c r="D2465" s="11" t="s">
        <v>2078</v>
      </c>
      <c r="E2465" t="s">
        <v>2274</v>
      </c>
    </row>
    <row r="2466" spans="1:5">
      <c r="A2466" s="11"/>
      <c r="B2466" s="11">
        <v>7012041</v>
      </c>
      <c r="C2466" s="11" t="s">
        <v>2077</v>
      </c>
      <c r="D2466" s="11" t="s">
        <v>2078</v>
      </c>
      <c r="E2466" t="s">
        <v>2274</v>
      </c>
    </row>
    <row r="2467" spans="1:5">
      <c r="A2467" s="11"/>
      <c r="B2467" s="11">
        <v>7012042</v>
      </c>
      <c r="C2467" s="11" t="s">
        <v>2077</v>
      </c>
      <c r="D2467" s="11" t="s">
        <v>2078</v>
      </c>
      <c r="E2467" t="s">
        <v>2274</v>
      </c>
    </row>
    <row r="2468" spans="1:5">
      <c r="A2468" s="11"/>
      <c r="B2468" s="11">
        <v>7012043</v>
      </c>
      <c r="C2468" s="11" t="s">
        <v>2077</v>
      </c>
      <c r="D2468" s="11" t="s">
        <v>2078</v>
      </c>
      <c r="E2468" t="s">
        <v>2274</v>
      </c>
    </row>
    <row r="2469" spans="1:5">
      <c r="A2469" s="11"/>
      <c r="B2469" s="11">
        <v>7012045</v>
      </c>
      <c r="C2469" s="11" t="s">
        <v>2077</v>
      </c>
      <c r="D2469" s="11" t="s">
        <v>2078</v>
      </c>
      <c r="E2469" t="s">
        <v>2274</v>
      </c>
    </row>
    <row r="2470" spans="1:5">
      <c r="A2470" s="11"/>
      <c r="B2470" s="11">
        <v>7012048</v>
      </c>
      <c r="C2470" s="11" t="s">
        <v>2077</v>
      </c>
      <c r="D2470" s="11" t="s">
        <v>2078</v>
      </c>
      <c r="E2470" t="s">
        <v>2274</v>
      </c>
    </row>
    <row r="2471" spans="1:5">
      <c r="A2471" s="11"/>
      <c r="B2471" s="11">
        <v>7012049</v>
      </c>
      <c r="C2471" s="11" t="s">
        <v>2077</v>
      </c>
      <c r="D2471" s="11" t="s">
        <v>2078</v>
      </c>
      <c r="E2471" t="s">
        <v>2274</v>
      </c>
    </row>
    <row r="2472" spans="1:5">
      <c r="A2472" s="11"/>
      <c r="B2472" s="11">
        <v>7012050</v>
      </c>
      <c r="C2472" s="11" t="s">
        <v>2077</v>
      </c>
      <c r="D2472" s="11" t="s">
        <v>2078</v>
      </c>
      <c r="E2472" t="s">
        <v>2274</v>
      </c>
    </row>
    <row r="2473" spans="1:5">
      <c r="A2473" s="11"/>
      <c r="B2473" s="11">
        <v>7012056</v>
      </c>
      <c r="C2473" s="11" t="s">
        <v>2077</v>
      </c>
      <c r="D2473" s="11" t="s">
        <v>2078</v>
      </c>
      <c r="E2473" t="s">
        <v>2274</v>
      </c>
    </row>
    <row r="2474" spans="1:5">
      <c r="A2474" s="11"/>
      <c r="B2474" s="11">
        <v>7012057</v>
      </c>
      <c r="C2474" s="11" t="s">
        <v>2077</v>
      </c>
      <c r="D2474" s="11" t="s">
        <v>2078</v>
      </c>
      <c r="E2474" t="s">
        <v>2274</v>
      </c>
    </row>
    <row r="2475" spans="1:5">
      <c r="A2475" s="11"/>
      <c r="B2475" s="11">
        <v>7012058</v>
      </c>
      <c r="C2475" s="11" t="s">
        <v>2077</v>
      </c>
      <c r="D2475" s="11" t="s">
        <v>2078</v>
      </c>
      <c r="E2475" t="s">
        <v>2274</v>
      </c>
    </row>
    <row r="2476" spans="1:5">
      <c r="A2476" s="11"/>
      <c r="B2476" s="11">
        <v>7012060</v>
      </c>
      <c r="C2476" s="11" t="s">
        <v>2077</v>
      </c>
      <c r="D2476" s="11" t="s">
        <v>2078</v>
      </c>
      <c r="E2476" t="s">
        <v>2274</v>
      </c>
    </row>
    <row r="2477" spans="1:5">
      <c r="A2477" s="11"/>
      <c r="B2477" s="11">
        <v>7012061</v>
      </c>
      <c r="C2477" s="11" t="s">
        <v>2077</v>
      </c>
      <c r="D2477" s="11" t="s">
        <v>2078</v>
      </c>
      <c r="E2477" t="s">
        <v>2274</v>
      </c>
    </row>
    <row r="2478" spans="1:5">
      <c r="A2478" s="11"/>
      <c r="B2478" s="11">
        <v>7012064</v>
      </c>
      <c r="C2478" s="11" t="s">
        <v>2077</v>
      </c>
      <c r="D2478" s="11" t="s">
        <v>2078</v>
      </c>
      <c r="E2478" t="s">
        <v>2274</v>
      </c>
    </row>
    <row r="2479" spans="1:5">
      <c r="A2479" s="11"/>
      <c r="B2479" s="11">
        <v>7013000</v>
      </c>
      <c r="C2479" s="11" t="s">
        <v>2077</v>
      </c>
      <c r="D2479" s="11" t="s">
        <v>2078</v>
      </c>
      <c r="E2479" t="s">
        <v>2274</v>
      </c>
    </row>
    <row r="2480" spans="1:5">
      <c r="A2480" s="11"/>
      <c r="B2480" s="11">
        <v>7013001</v>
      </c>
      <c r="C2480" s="11" t="s">
        <v>2077</v>
      </c>
      <c r="D2480" s="11" t="s">
        <v>2078</v>
      </c>
      <c r="E2480" t="s">
        <v>2274</v>
      </c>
    </row>
    <row r="2481" spans="1:5">
      <c r="A2481" s="11"/>
      <c r="B2481" s="11">
        <v>7013002</v>
      </c>
      <c r="C2481" s="11" t="s">
        <v>2077</v>
      </c>
      <c r="D2481" s="11" t="s">
        <v>2078</v>
      </c>
      <c r="E2481" t="s">
        <v>2274</v>
      </c>
    </row>
    <row r="2482" spans="1:5">
      <c r="A2482" s="11"/>
      <c r="B2482" s="11">
        <v>7013003</v>
      </c>
      <c r="C2482" s="11" t="s">
        <v>2077</v>
      </c>
      <c r="D2482" s="11" t="s">
        <v>2078</v>
      </c>
      <c r="E2482" t="s">
        <v>2274</v>
      </c>
    </row>
    <row r="2483" spans="1:5">
      <c r="A2483" s="11"/>
      <c r="B2483" s="11">
        <v>7013004</v>
      </c>
      <c r="C2483" s="11" t="s">
        <v>2077</v>
      </c>
      <c r="D2483" s="11" t="s">
        <v>2078</v>
      </c>
      <c r="E2483" t="s">
        <v>2274</v>
      </c>
    </row>
    <row r="2484" spans="1:5">
      <c r="A2484" s="11"/>
      <c r="B2484" s="11">
        <v>7013005</v>
      </c>
      <c r="C2484" s="11" t="s">
        <v>2077</v>
      </c>
      <c r="D2484" s="11" t="s">
        <v>2078</v>
      </c>
      <c r="E2484" t="s">
        <v>2274</v>
      </c>
    </row>
    <row r="2485" spans="1:5">
      <c r="A2485" s="11"/>
      <c r="B2485" s="11">
        <v>7013006</v>
      </c>
      <c r="C2485" s="11" t="s">
        <v>2077</v>
      </c>
      <c r="D2485" s="11" t="s">
        <v>2078</v>
      </c>
      <c r="E2485" t="s">
        <v>2274</v>
      </c>
    </row>
    <row r="2486" spans="1:5">
      <c r="A2486" s="11"/>
      <c r="B2486" s="11">
        <v>7013007</v>
      </c>
      <c r="C2486" s="11" t="s">
        <v>2077</v>
      </c>
      <c r="D2486" s="11" t="s">
        <v>2078</v>
      </c>
      <c r="E2486" t="s">
        <v>2274</v>
      </c>
    </row>
    <row r="2487" spans="1:5">
      <c r="A2487" s="11"/>
      <c r="B2487" s="11">
        <v>7013008</v>
      </c>
      <c r="C2487" s="11" t="s">
        <v>2077</v>
      </c>
      <c r="D2487" s="11" t="s">
        <v>2078</v>
      </c>
      <c r="E2487" t="s">
        <v>2274</v>
      </c>
    </row>
    <row r="2488" spans="1:5">
      <c r="A2488" s="11"/>
      <c r="B2488" s="11">
        <v>7013009</v>
      </c>
      <c r="C2488" s="11" t="s">
        <v>2077</v>
      </c>
      <c r="D2488" s="11" t="s">
        <v>2078</v>
      </c>
      <c r="E2488" t="s">
        <v>2274</v>
      </c>
    </row>
    <row r="2489" spans="1:5">
      <c r="A2489" s="11"/>
      <c r="B2489" s="11">
        <v>7013010</v>
      </c>
      <c r="C2489" s="11" t="s">
        <v>2077</v>
      </c>
      <c r="D2489" s="11" t="s">
        <v>2078</v>
      </c>
      <c r="E2489" t="s">
        <v>2274</v>
      </c>
    </row>
    <row r="2490" spans="1:5">
      <c r="A2490" s="11"/>
      <c r="B2490" s="11">
        <v>7013015</v>
      </c>
      <c r="C2490" s="11" t="s">
        <v>2077</v>
      </c>
      <c r="D2490" s="11" t="s">
        <v>2078</v>
      </c>
      <c r="E2490" t="s">
        <v>2274</v>
      </c>
    </row>
    <row r="2491" spans="1:5">
      <c r="A2491" s="11"/>
      <c r="B2491" s="11">
        <v>7013011</v>
      </c>
      <c r="C2491" s="11" t="s">
        <v>2077</v>
      </c>
      <c r="D2491" s="11" t="s">
        <v>2078</v>
      </c>
      <c r="E2491" t="s">
        <v>2274</v>
      </c>
    </row>
    <row r="2492" spans="1:5">
      <c r="A2492" s="11"/>
      <c r="B2492" s="11">
        <v>7013014</v>
      </c>
      <c r="C2492" s="11" t="s">
        <v>2077</v>
      </c>
      <c r="D2492" s="11" t="s">
        <v>2078</v>
      </c>
      <c r="E2492" t="s">
        <v>2274</v>
      </c>
    </row>
    <row r="2493" spans="1:5">
      <c r="A2493" s="11"/>
      <c r="B2493" s="11">
        <v>7013017</v>
      </c>
      <c r="C2493" s="11" t="s">
        <v>2077</v>
      </c>
      <c r="D2493" s="11" t="s">
        <v>2078</v>
      </c>
      <c r="E2493" t="s">
        <v>2274</v>
      </c>
    </row>
    <row r="2494" spans="1:5">
      <c r="A2494" s="11"/>
      <c r="B2494" s="11">
        <v>7013018</v>
      </c>
      <c r="C2494" s="11" t="s">
        <v>2077</v>
      </c>
      <c r="D2494" s="11" t="s">
        <v>2078</v>
      </c>
      <c r="E2494" t="s">
        <v>2274</v>
      </c>
    </row>
    <row r="2495" spans="1:5">
      <c r="A2495" s="11"/>
      <c r="B2495" s="11">
        <v>7013019</v>
      </c>
      <c r="C2495" s="11" t="s">
        <v>2077</v>
      </c>
      <c r="D2495" s="11" t="s">
        <v>2078</v>
      </c>
      <c r="E2495" t="s">
        <v>2274</v>
      </c>
    </row>
    <row r="2496" spans="1:5">
      <c r="A2496" s="11"/>
      <c r="B2496" s="11">
        <v>7013021</v>
      </c>
      <c r="C2496" s="11" t="s">
        <v>2077</v>
      </c>
      <c r="D2496" s="11" t="s">
        <v>2078</v>
      </c>
      <c r="E2496" t="s">
        <v>2274</v>
      </c>
    </row>
    <row r="2497" spans="1:5">
      <c r="A2497" s="11"/>
      <c r="B2497" s="11">
        <v>7013041</v>
      </c>
      <c r="C2497" s="11" t="s">
        <v>2077</v>
      </c>
      <c r="D2497" s="11" t="s">
        <v>2078</v>
      </c>
      <c r="E2497" t="s">
        <v>2274</v>
      </c>
    </row>
    <row r="2498" spans="1:5">
      <c r="A2498" s="11"/>
      <c r="B2498" s="11">
        <v>7013043</v>
      </c>
      <c r="C2498" s="11" t="s">
        <v>2077</v>
      </c>
      <c r="D2498" s="11" t="s">
        <v>2078</v>
      </c>
      <c r="E2498" t="s">
        <v>2274</v>
      </c>
    </row>
    <row r="2499" spans="1:5">
      <c r="A2499" s="11"/>
      <c r="B2499" s="11">
        <v>7013044</v>
      </c>
      <c r="C2499" s="11" t="s">
        <v>2077</v>
      </c>
      <c r="D2499" s="11" t="s">
        <v>2078</v>
      </c>
      <c r="E2499" t="s">
        <v>2274</v>
      </c>
    </row>
    <row r="2500" spans="1:5">
      <c r="A2500" s="11"/>
      <c r="B2500" s="11">
        <v>7013045</v>
      </c>
      <c r="C2500" s="11" t="s">
        <v>2077</v>
      </c>
      <c r="D2500" s="11" t="s">
        <v>2078</v>
      </c>
      <c r="E2500" t="s">
        <v>2274</v>
      </c>
    </row>
    <row r="2501" spans="1:5">
      <c r="A2501" s="11"/>
      <c r="B2501" s="11">
        <v>7013046</v>
      </c>
      <c r="C2501" s="11" t="s">
        <v>2077</v>
      </c>
      <c r="D2501" s="11" t="s">
        <v>2078</v>
      </c>
      <c r="E2501" t="s">
        <v>2274</v>
      </c>
    </row>
    <row r="2502" spans="1:5">
      <c r="A2502" s="11"/>
      <c r="B2502" s="11">
        <v>7013047</v>
      </c>
      <c r="C2502" s="11" t="s">
        <v>2077</v>
      </c>
      <c r="D2502" s="11" t="s">
        <v>2078</v>
      </c>
      <c r="E2502" t="s">
        <v>2274</v>
      </c>
    </row>
    <row r="2503" spans="1:5">
      <c r="A2503" s="11"/>
      <c r="B2503" s="11">
        <v>7013107</v>
      </c>
      <c r="C2503" s="11" t="s">
        <v>978</v>
      </c>
      <c r="D2503" s="11" t="s">
        <v>99</v>
      </c>
      <c r="E2503" t="s">
        <v>2274</v>
      </c>
    </row>
    <row r="2504" spans="1:5">
      <c r="A2504" s="11"/>
      <c r="B2504" s="11">
        <v>7014000</v>
      </c>
      <c r="C2504" s="11" t="s">
        <v>2077</v>
      </c>
      <c r="D2504" s="11" t="s">
        <v>2078</v>
      </c>
      <c r="E2504" t="s">
        <v>2274</v>
      </c>
    </row>
    <row r="2505" spans="1:5">
      <c r="A2505" s="11"/>
      <c r="B2505" s="11">
        <v>7014001</v>
      </c>
      <c r="C2505" s="11" t="s">
        <v>2077</v>
      </c>
      <c r="D2505" s="11" t="s">
        <v>2078</v>
      </c>
      <c r="E2505" t="s">
        <v>2274</v>
      </c>
    </row>
    <row r="2506" spans="1:5">
      <c r="A2506" s="11"/>
      <c r="B2506" s="11">
        <v>7014002</v>
      </c>
      <c r="C2506" s="11" t="s">
        <v>2077</v>
      </c>
      <c r="D2506" s="11" t="s">
        <v>2078</v>
      </c>
      <c r="E2506" t="s">
        <v>2274</v>
      </c>
    </row>
    <row r="2507" spans="1:5">
      <c r="A2507" s="11"/>
      <c r="B2507" s="11">
        <v>7014003</v>
      </c>
      <c r="C2507" s="11" t="s">
        <v>2077</v>
      </c>
      <c r="D2507" s="11" t="s">
        <v>2078</v>
      </c>
      <c r="E2507" t="s">
        <v>2274</v>
      </c>
    </row>
    <row r="2508" spans="1:5">
      <c r="A2508" s="11"/>
      <c r="B2508" s="11">
        <v>7014006</v>
      </c>
      <c r="C2508" s="11" t="s">
        <v>2077</v>
      </c>
      <c r="D2508" s="11" t="s">
        <v>2078</v>
      </c>
      <c r="E2508" t="s">
        <v>2274</v>
      </c>
    </row>
    <row r="2509" spans="1:5">
      <c r="A2509" s="11"/>
      <c r="B2509" s="11">
        <v>7014008</v>
      </c>
      <c r="C2509" s="11" t="s">
        <v>2077</v>
      </c>
      <c r="D2509" s="11" t="s">
        <v>2078</v>
      </c>
      <c r="E2509" t="s">
        <v>2274</v>
      </c>
    </row>
    <row r="2510" spans="1:5">
      <c r="A2510" s="11"/>
      <c r="B2510" s="11">
        <v>7014010</v>
      </c>
      <c r="C2510" s="11" t="s">
        <v>2077</v>
      </c>
      <c r="D2510" s="11" t="s">
        <v>2078</v>
      </c>
      <c r="E2510" t="s">
        <v>2274</v>
      </c>
    </row>
    <row r="2511" spans="1:5">
      <c r="A2511" s="11"/>
      <c r="B2511" s="11">
        <v>7014011</v>
      </c>
      <c r="C2511" s="11" t="s">
        <v>2077</v>
      </c>
      <c r="D2511" s="11" t="s">
        <v>2078</v>
      </c>
      <c r="E2511" t="s">
        <v>2274</v>
      </c>
    </row>
    <row r="2512" spans="1:5">
      <c r="A2512" s="11"/>
      <c r="B2512" s="11">
        <v>7014012</v>
      </c>
      <c r="C2512" s="11" t="s">
        <v>2077</v>
      </c>
      <c r="D2512" s="11" t="s">
        <v>2078</v>
      </c>
      <c r="E2512" t="s">
        <v>2274</v>
      </c>
    </row>
    <row r="2513" spans="1:5">
      <c r="A2513" s="11"/>
      <c r="B2513" s="11">
        <v>7014013</v>
      </c>
      <c r="C2513" s="11" t="s">
        <v>2077</v>
      </c>
      <c r="D2513" s="11" t="s">
        <v>2078</v>
      </c>
      <c r="E2513" t="s">
        <v>2274</v>
      </c>
    </row>
    <row r="2514" spans="1:5">
      <c r="A2514" s="11"/>
      <c r="B2514" s="11">
        <v>7014017</v>
      </c>
      <c r="C2514" s="11" t="s">
        <v>2077</v>
      </c>
      <c r="D2514" s="11" t="s">
        <v>2078</v>
      </c>
      <c r="E2514" t="s">
        <v>2274</v>
      </c>
    </row>
    <row r="2515" spans="1:5">
      <c r="A2515" s="11"/>
      <c r="B2515" s="11">
        <v>7014018</v>
      </c>
      <c r="C2515" s="11" t="s">
        <v>2077</v>
      </c>
      <c r="D2515" s="11" t="s">
        <v>2078</v>
      </c>
      <c r="E2515" t="s">
        <v>2274</v>
      </c>
    </row>
    <row r="2516" spans="1:5">
      <c r="A2516" s="11"/>
      <c r="B2516" s="11">
        <v>7014019</v>
      </c>
      <c r="C2516" s="11" t="s">
        <v>2077</v>
      </c>
      <c r="D2516" s="11" t="s">
        <v>2078</v>
      </c>
      <c r="E2516" t="s">
        <v>2274</v>
      </c>
    </row>
    <row r="2517" spans="1:5">
      <c r="A2517" s="11"/>
      <c r="B2517" s="11">
        <v>7014020</v>
      </c>
      <c r="C2517" s="11" t="s">
        <v>2077</v>
      </c>
      <c r="D2517" s="11" t="s">
        <v>2078</v>
      </c>
      <c r="E2517" t="s">
        <v>2274</v>
      </c>
    </row>
    <row r="2518" spans="1:5">
      <c r="A2518" s="11"/>
      <c r="B2518" s="11">
        <v>7014021</v>
      </c>
      <c r="C2518" s="11" t="s">
        <v>2077</v>
      </c>
      <c r="D2518" s="11" t="s">
        <v>2078</v>
      </c>
      <c r="E2518" t="s">
        <v>2274</v>
      </c>
    </row>
    <row r="2519" spans="1:5">
      <c r="A2519" s="11"/>
      <c r="B2519" s="11">
        <v>7014022</v>
      </c>
      <c r="C2519" s="11" t="s">
        <v>2077</v>
      </c>
      <c r="D2519" s="11" t="s">
        <v>2078</v>
      </c>
      <c r="E2519" t="s">
        <v>2274</v>
      </c>
    </row>
    <row r="2520" spans="1:5">
      <c r="A2520" s="11"/>
      <c r="B2520" s="11">
        <v>7014023</v>
      </c>
      <c r="C2520" s="11" t="s">
        <v>2077</v>
      </c>
      <c r="D2520" s="11" t="s">
        <v>2078</v>
      </c>
      <c r="E2520" t="s">
        <v>2274</v>
      </c>
    </row>
    <row r="2521" spans="1:5">
      <c r="A2521" s="11"/>
      <c r="B2521" s="11">
        <v>7014024</v>
      </c>
      <c r="C2521" s="11" t="s">
        <v>2077</v>
      </c>
      <c r="D2521" s="11" t="s">
        <v>2078</v>
      </c>
      <c r="E2521" t="s">
        <v>2274</v>
      </c>
    </row>
    <row r="2522" spans="1:5">
      <c r="A2522" s="11"/>
      <c r="B2522" s="11">
        <v>7014025</v>
      </c>
      <c r="C2522" s="11" t="s">
        <v>2077</v>
      </c>
      <c r="D2522" s="11" t="s">
        <v>2078</v>
      </c>
      <c r="E2522" t="s">
        <v>2274</v>
      </c>
    </row>
    <row r="2523" spans="1:5">
      <c r="A2523" s="11"/>
      <c r="B2523" s="11">
        <v>7014026</v>
      </c>
      <c r="C2523" s="11" t="s">
        <v>2077</v>
      </c>
      <c r="D2523" s="11" t="s">
        <v>2078</v>
      </c>
      <c r="E2523" t="s">
        <v>2274</v>
      </c>
    </row>
    <row r="2524" spans="1:5">
      <c r="A2524" s="11"/>
      <c r="B2524" s="11">
        <v>7014027</v>
      </c>
      <c r="C2524" s="11" t="s">
        <v>2077</v>
      </c>
      <c r="D2524" s="11" t="s">
        <v>2078</v>
      </c>
      <c r="E2524" t="s">
        <v>2274</v>
      </c>
    </row>
    <row r="2525" spans="1:5">
      <c r="A2525" s="11"/>
      <c r="B2525" s="11">
        <v>7014028</v>
      </c>
      <c r="C2525" s="11" t="s">
        <v>2077</v>
      </c>
      <c r="D2525" s="11" t="s">
        <v>2078</v>
      </c>
      <c r="E2525" t="s">
        <v>2274</v>
      </c>
    </row>
    <row r="2526" spans="1:5">
      <c r="A2526" s="11"/>
      <c r="B2526" s="11">
        <v>7014029</v>
      </c>
      <c r="C2526" s="11" t="s">
        <v>2077</v>
      </c>
      <c r="D2526" s="11" t="s">
        <v>2078</v>
      </c>
      <c r="E2526" t="s">
        <v>2274</v>
      </c>
    </row>
    <row r="2527" spans="1:5">
      <c r="A2527" s="11"/>
      <c r="B2527" s="11">
        <v>7014030</v>
      </c>
      <c r="C2527" s="11" t="s">
        <v>2077</v>
      </c>
      <c r="D2527" s="11" t="s">
        <v>2078</v>
      </c>
      <c r="E2527" t="s">
        <v>2274</v>
      </c>
    </row>
    <row r="2528" spans="1:5">
      <c r="A2528" s="11"/>
      <c r="B2528" s="11">
        <v>7014031</v>
      </c>
      <c r="C2528" s="11" t="s">
        <v>2077</v>
      </c>
      <c r="D2528" s="11" t="s">
        <v>2078</v>
      </c>
      <c r="E2528" t="s">
        <v>2274</v>
      </c>
    </row>
    <row r="2529" spans="1:5">
      <c r="A2529" s="11"/>
      <c r="B2529" s="11">
        <v>7014032</v>
      </c>
      <c r="C2529" s="11" t="s">
        <v>2077</v>
      </c>
      <c r="D2529" s="11" t="s">
        <v>2078</v>
      </c>
      <c r="E2529" t="s">
        <v>2274</v>
      </c>
    </row>
    <row r="2530" spans="1:5">
      <c r="A2530" s="11"/>
      <c r="B2530" s="11">
        <v>7014033</v>
      </c>
      <c r="C2530" s="11" t="s">
        <v>2077</v>
      </c>
      <c r="D2530" s="11" t="s">
        <v>2078</v>
      </c>
      <c r="E2530" t="s">
        <v>2274</v>
      </c>
    </row>
    <row r="2531" spans="1:5">
      <c r="A2531" s="11"/>
      <c r="B2531" s="11">
        <v>7014034</v>
      </c>
      <c r="C2531" s="11" t="s">
        <v>2077</v>
      </c>
      <c r="D2531" s="11" t="s">
        <v>2078</v>
      </c>
      <c r="E2531" t="s">
        <v>2274</v>
      </c>
    </row>
    <row r="2532" spans="1:5">
      <c r="A2532" s="11"/>
      <c r="B2532" s="11">
        <v>7014104</v>
      </c>
      <c r="C2532" s="11" t="s">
        <v>2079</v>
      </c>
      <c r="D2532" s="11" t="s">
        <v>1620</v>
      </c>
      <c r="E2532" t="s">
        <v>2274</v>
      </c>
    </row>
    <row r="2533" spans="1:5">
      <c r="A2533" s="11"/>
      <c r="B2533" s="11">
        <v>7014035</v>
      </c>
      <c r="C2533" s="11" t="s">
        <v>2077</v>
      </c>
      <c r="D2533" s="11" t="s">
        <v>2078</v>
      </c>
      <c r="E2533" t="s">
        <v>2274</v>
      </c>
    </row>
    <row r="2534" spans="1:5">
      <c r="A2534" s="11"/>
      <c r="B2534" s="11">
        <v>7015010</v>
      </c>
      <c r="C2534" s="11" t="s">
        <v>2077</v>
      </c>
      <c r="D2534" s="11" t="s">
        <v>2078</v>
      </c>
      <c r="E2534" t="s">
        <v>2274</v>
      </c>
    </row>
    <row r="2535" spans="1:5">
      <c r="A2535" s="11"/>
      <c r="B2535" s="11">
        <v>7015011</v>
      </c>
      <c r="C2535" s="11" t="s">
        <v>2077</v>
      </c>
      <c r="D2535" s="11" t="s">
        <v>2078</v>
      </c>
      <c r="E2535" t="s">
        <v>2274</v>
      </c>
    </row>
    <row r="2536" spans="1:5">
      <c r="A2536" s="11"/>
      <c r="B2536" s="11">
        <v>7015014</v>
      </c>
      <c r="C2536" s="11" t="s">
        <v>2077</v>
      </c>
      <c r="D2536" s="11" t="s">
        <v>2078</v>
      </c>
      <c r="E2536" t="s">
        <v>2274</v>
      </c>
    </row>
    <row r="2537" spans="1:5">
      <c r="A2537" s="11"/>
      <c r="B2537" s="11">
        <v>7015016</v>
      </c>
      <c r="C2537" s="11" t="s">
        <v>2077</v>
      </c>
      <c r="D2537" s="11" t="s">
        <v>2078</v>
      </c>
      <c r="E2537" t="s">
        <v>2274</v>
      </c>
    </row>
    <row r="2538" spans="1:5">
      <c r="A2538" s="11"/>
      <c r="B2538" s="11">
        <v>7015017</v>
      </c>
      <c r="C2538" s="11" t="s">
        <v>2077</v>
      </c>
      <c r="D2538" s="11" t="s">
        <v>2078</v>
      </c>
      <c r="E2538" t="s">
        <v>2274</v>
      </c>
    </row>
    <row r="2539" spans="1:5">
      <c r="A2539" s="11"/>
      <c r="B2539" s="11">
        <v>7015018</v>
      </c>
      <c r="C2539" s="11" t="s">
        <v>2077</v>
      </c>
      <c r="D2539" s="11" t="s">
        <v>2078</v>
      </c>
      <c r="E2539" t="s">
        <v>2274</v>
      </c>
    </row>
    <row r="2540" spans="1:5">
      <c r="A2540" s="11"/>
      <c r="B2540" s="11">
        <v>7015019</v>
      </c>
      <c r="C2540" s="11" t="s">
        <v>2077</v>
      </c>
      <c r="D2540" s="11" t="s">
        <v>2078</v>
      </c>
      <c r="E2540" t="s">
        <v>2274</v>
      </c>
    </row>
    <row r="2541" spans="1:5">
      <c r="A2541" s="11"/>
      <c r="B2541" s="11">
        <v>7015020</v>
      </c>
      <c r="C2541" s="11" t="s">
        <v>2077</v>
      </c>
      <c r="D2541" s="11" t="s">
        <v>2078</v>
      </c>
      <c r="E2541" t="s">
        <v>2274</v>
      </c>
    </row>
    <row r="2542" spans="1:5">
      <c r="A2542" s="11"/>
      <c r="B2542" s="11">
        <v>7015022</v>
      </c>
      <c r="C2542" s="11" t="s">
        <v>2077</v>
      </c>
      <c r="D2542" s="11" t="s">
        <v>2078</v>
      </c>
      <c r="E2542" t="s">
        <v>2274</v>
      </c>
    </row>
    <row r="2543" spans="1:5">
      <c r="A2543" s="11"/>
      <c r="B2543" s="11">
        <v>7015023</v>
      </c>
      <c r="C2543" s="11" t="s">
        <v>2077</v>
      </c>
      <c r="D2543" s="11" t="s">
        <v>2078</v>
      </c>
      <c r="E2543" t="s">
        <v>2274</v>
      </c>
    </row>
    <row r="2544" spans="1:5">
      <c r="A2544" s="11"/>
      <c r="B2544" s="11">
        <v>7016000</v>
      </c>
      <c r="C2544" s="11" t="s">
        <v>2077</v>
      </c>
      <c r="D2544" s="11" t="s">
        <v>2078</v>
      </c>
      <c r="E2544" t="s">
        <v>2274</v>
      </c>
    </row>
    <row r="2545" spans="1:5">
      <c r="A2545" s="11"/>
      <c r="B2545" s="11">
        <v>7016001</v>
      </c>
      <c r="C2545" s="11" t="s">
        <v>2077</v>
      </c>
      <c r="D2545" s="11" t="s">
        <v>2078</v>
      </c>
      <c r="E2545" t="s">
        <v>2274</v>
      </c>
    </row>
    <row r="2546" spans="1:5">
      <c r="A2546" s="11"/>
      <c r="B2546" s="11">
        <v>7016002</v>
      </c>
      <c r="C2546" s="11" t="s">
        <v>2077</v>
      </c>
      <c r="D2546" s="11" t="s">
        <v>2078</v>
      </c>
      <c r="E2546" t="s">
        <v>2274</v>
      </c>
    </row>
    <row r="2547" spans="1:5">
      <c r="A2547" s="11"/>
      <c r="B2547" s="11">
        <v>7016003</v>
      </c>
      <c r="C2547" s="11" t="s">
        <v>2077</v>
      </c>
      <c r="D2547" s="11" t="s">
        <v>2078</v>
      </c>
      <c r="E2547" t="s">
        <v>2274</v>
      </c>
    </row>
    <row r="2548" spans="1:5">
      <c r="A2548" s="11"/>
      <c r="B2548" s="11">
        <v>7016006</v>
      </c>
      <c r="C2548" s="11" t="s">
        <v>2077</v>
      </c>
      <c r="D2548" s="11" t="s">
        <v>2078</v>
      </c>
      <c r="E2548" t="s">
        <v>2274</v>
      </c>
    </row>
    <row r="2549" spans="1:5">
      <c r="A2549" s="11"/>
      <c r="B2549" s="11">
        <v>7016008</v>
      </c>
      <c r="C2549" s="11" t="s">
        <v>2077</v>
      </c>
      <c r="D2549" s="11" t="s">
        <v>2078</v>
      </c>
      <c r="E2549" t="s">
        <v>2274</v>
      </c>
    </row>
    <row r="2550" spans="1:5">
      <c r="A2550" s="11"/>
      <c r="B2550" s="11">
        <v>7016009</v>
      </c>
      <c r="C2550" s="11" t="s">
        <v>2077</v>
      </c>
      <c r="D2550" s="11" t="s">
        <v>2078</v>
      </c>
      <c r="E2550" t="s">
        <v>2274</v>
      </c>
    </row>
    <row r="2551" spans="1:5">
      <c r="A2551" s="11"/>
      <c r="B2551" s="11">
        <v>7016010</v>
      </c>
      <c r="C2551" s="11" t="s">
        <v>2077</v>
      </c>
      <c r="D2551" s="11" t="s">
        <v>2078</v>
      </c>
      <c r="E2551" t="s">
        <v>2274</v>
      </c>
    </row>
    <row r="2552" spans="1:5">
      <c r="A2552" s="11"/>
      <c r="B2552" s="11">
        <v>7016012</v>
      </c>
      <c r="C2552" s="11" t="s">
        <v>2077</v>
      </c>
      <c r="D2552" s="11" t="s">
        <v>2078</v>
      </c>
      <c r="E2552" t="s">
        <v>2274</v>
      </c>
    </row>
    <row r="2553" spans="1:5">
      <c r="A2553" s="11"/>
      <c r="B2553" s="11">
        <v>7016014</v>
      </c>
      <c r="C2553" s="11" t="s">
        <v>2077</v>
      </c>
      <c r="D2553" s="11" t="s">
        <v>2078</v>
      </c>
      <c r="E2553" t="s">
        <v>2274</v>
      </c>
    </row>
    <row r="2554" spans="1:5">
      <c r="A2554" s="11"/>
      <c r="B2554" s="11">
        <v>7016015</v>
      </c>
      <c r="C2554" s="11" t="s">
        <v>2077</v>
      </c>
      <c r="D2554" s="11" t="s">
        <v>2078</v>
      </c>
      <c r="E2554" t="s">
        <v>2274</v>
      </c>
    </row>
    <row r="2555" spans="1:5">
      <c r="A2555" s="11"/>
      <c r="B2555" s="11">
        <v>7016016</v>
      </c>
      <c r="C2555" s="11" t="s">
        <v>2077</v>
      </c>
      <c r="D2555" s="11" t="s">
        <v>2078</v>
      </c>
      <c r="E2555" t="s">
        <v>2274</v>
      </c>
    </row>
    <row r="2556" spans="1:5">
      <c r="A2556" s="11"/>
      <c r="B2556" s="11">
        <v>7016017</v>
      </c>
      <c r="C2556" s="11" t="s">
        <v>2077</v>
      </c>
      <c r="D2556" s="11" t="s">
        <v>2078</v>
      </c>
      <c r="E2556" t="s">
        <v>2274</v>
      </c>
    </row>
    <row r="2557" spans="1:5">
      <c r="A2557" s="11"/>
      <c r="B2557" s="11">
        <v>7016018</v>
      </c>
      <c r="C2557" s="11" t="s">
        <v>2077</v>
      </c>
      <c r="D2557" s="11" t="s">
        <v>2078</v>
      </c>
      <c r="E2557" t="s">
        <v>2274</v>
      </c>
    </row>
    <row r="2558" spans="1:5">
      <c r="A2558" s="11"/>
      <c r="B2558" s="11">
        <v>7016019</v>
      </c>
      <c r="C2558" s="11" t="s">
        <v>2077</v>
      </c>
      <c r="D2558" s="11" t="s">
        <v>2078</v>
      </c>
      <c r="E2558" t="s">
        <v>2274</v>
      </c>
    </row>
    <row r="2559" spans="1:5">
      <c r="A2559" s="11"/>
      <c r="B2559" s="11">
        <v>7016020</v>
      </c>
      <c r="C2559" s="11" t="s">
        <v>2077</v>
      </c>
      <c r="D2559" s="11" t="s">
        <v>2078</v>
      </c>
      <c r="E2559" t="s">
        <v>2274</v>
      </c>
    </row>
    <row r="2560" spans="1:5">
      <c r="A2560" s="11"/>
      <c r="B2560" s="11">
        <v>7016021</v>
      </c>
      <c r="C2560" s="11" t="s">
        <v>2077</v>
      </c>
      <c r="D2560" s="11" t="s">
        <v>2078</v>
      </c>
      <c r="E2560" t="s">
        <v>2274</v>
      </c>
    </row>
    <row r="2561" spans="1:5">
      <c r="A2561" s="11"/>
      <c r="B2561" s="11">
        <v>7016022</v>
      </c>
      <c r="C2561" s="11" t="s">
        <v>2077</v>
      </c>
      <c r="D2561" s="11" t="s">
        <v>2078</v>
      </c>
      <c r="E2561" t="s">
        <v>2274</v>
      </c>
    </row>
    <row r="2562" spans="1:5">
      <c r="A2562" s="11"/>
      <c r="B2562" s="11">
        <v>7016023</v>
      </c>
      <c r="C2562" s="11" t="s">
        <v>2077</v>
      </c>
      <c r="D2562" s="11" t="s">
        <v>2078</v>
      </c>
      <c r="E2562" t="s">
        <v>2274</v>
      </c>
    </row>
    <row r="2563" spans="1:5">
      <c r="A2563" s="11"/>
      <c r="B2563" s="11">
        <v>7016024</v>
      </c>
      <c r="C2563" s="11" t="s">
        <v>2077</v>
      </c>
      <c r="D2563" s="11" t="s">
        <v>2078</v>
      </c>
      <c r="E2563" t="s">
        <v>2274</v>
      </c>
    </row>
    <row r="2564" spans="1:5">
      <c r="A2564" s="11"/>
      <c r="B2564" s="11">
        <v>7016025</v>
      </c>
      <c r="C2564" s="11" t="s">
        <v>2077</v>
      </c>
      <c r="D2564" s="11" t="s">
        <v>2078</v>
      </c>
      <c r="E2564" t="s">
        <v>2274</v>
      </c>
    </row>
    <row r="2565" spans="1:5">
      <c r="A2565" s="11"/>
      <c r="B2565" s="11">
        <v>7016026</v>
      </c>
      <c r="C2565" s="11" t="s">
        <v>2077</v>
      </c>
      <c r="D2565" s="11" t="s">
        <v>2078</v>
      </c>
      <c r="E2565" t="s">
        <v>2274</v>
      </c>
    </row>
    <row r="2566" spans="1:5">
      <c r="A2566" s="11"/>
      <c r="B2566" s="11">
        <v>7016027</v>
      </c>
      <c r="C2566" s="11" t="s">
        <v>2077</v>
      </c>
      <c r="D2566" s="11" t="s">
        <v>2078</v>
      </c>
      <c r="E2566" t="s">
        <v>2274</v>
      </c>
    </row>
    <row r="2567" spans="1:5">
      <c r="A2567" s="11"/>
      <c r="B2567" s="11">
        <v>7016028</v>
      </c>
      <c r="C2567" s="11" t="s">
        <v>2077</v>
      </c>
      <c r="D2567" s="11" t="s">
        <v>2078</v>
      </c>
      <c r="E2567" t="s">
        <v>2274</v>
      </c>
    </row>
    <row r="2568" spans="1:5">
      <c r="A2568" s="11"/>
      <c r="B2568" s="11">
        <v>7016029</v>
      </c>
      <c r="C2568" s="11" t="s">
        <v>2077</v>
      </c>
      <c r="D2568" s="11" t="s">
        <v>2078</v>
      </c>
      <c r="E2568" t="s">
        <v>2274</v>
      </c>
    </row>
    <row r="2569" spans="1:5">
      <c r="A2569" s="11"/>
      <c r="B2569" s="11">
        <v>7016030</v>
      </c>
      <c r="C2569" s="11" t="s">
        <v>2077</v>
      </c>
      <c r="D2569" s="11" t="s">
        <v>2078</v>
      </c>
      <c r="E2569" t="s">
        <v>2274</v>
      </c>
    </row>
    <row r="2570" spans="1:5">
      <c r="A2570" s="11"/>
      <c r="B2570" s="11">
        <v>7016031</v>
      </c>
      <c r="C2570" s="11" t="s">
        <v>2077</v>
      </c>
      <c r="D2570" s="11" t="s">
        <v>2078</v>
      </c>
      <c r="E2570" t="s">
        <v>2274</v>
      </c>
    </row>
    <row r="2571" spans="1:5">
      <c r="A2571" s="11"/>
      <c r="B2571" s="11">
        <v>7016032</v>
      </c>
      <c r="C2571" s="11" t="s">
        <v>2077</v>
      </c>
      <c r="D2571" s="11" t="s">
        <v>2078</v>
      </c>
      <c r="E2571" t="s">
        <v>2274</v>
      </c>
    </row>
    <row r="2572" spans="1:5">
      <c r="A2572" s="11"/>
      <c r="B2572" s="11">
        <v>7016034</v>
      </c>
      <c r="C2572" s="11" t="s">
        <v>2077</v>
      </c>
      <c r="D2572" s="11" t="s">
        <v>2078</v>
      </c>
      <c r="E2572" t="s">
        <v>2274</v>
      </c>
    </row>
    <row r="2573" spans="1:5">
      <c r="A2573" s="11"/>
      <c r="B2573" s="11">
        <v>7016035</v>
      </c>
      <c r="C2573" s="11" t="s">
        <v>2077</v>
      </c>
      <c r="D2573" s="11" t="s">
        <v>2078</v>
      </c>
      <c r="E2573" t="s">
        <v>2274</v>
      </c>
    </row>
    <row r="2574" spans="1:5">
      <c r="A2574" s="11"/>
      <c r="B2574" s="11">
        <v>7016036</v>
      </c>
      <c r="C2574" s="11" t="s">
        <v>2077</v>
      </c>
      <c r="D2574" s="11" t="s">
        <v>2078</v>
      </c>
      <c r="E2574" t="s">
        <v>2274</v>
      </c>
    </row>
    <row r="2575" spans="1:5">
      <c r="A2575" s="11"/>
      <c r="B2575" s="11">
        <v>7016037</v>
      </c>
      <c r="C2575" s="11" t="s">
        <v>2077</v>
      </c>
      <c r="D2575" s="11" t="s">
        <v>2078</v>
      </c>
      <c r="E2575" t="s">
        <v>2274</v>
      </c>
    </row>
    <row r="2576" spans="1:5">
      <c r="A2576" s="11"/>
      <c r="B2576" s="11">
        <v>7016038</v>
      </c>
      <c r="C2576" s="11" t="s">
        <v>2077</v>
      </c>
      <c r="D2576" s="11" t="s">
        <v>2078</v>
      </c>
      <c r="E2576" t="s">
        <v>2274</v>
      </c>
    </row>
    <row r="2577" spans="1:5">
      <c r="A2577" s="11"/>
      <c r="B2577" s="11">
        <v>7016039</v>
      </c>
      <c r="C2577" s="11" t="s">
        <v>2077</v>
      </c>
      <c r="D2577" s="11" t="s">
        <v>2078</v>
      </c>
      <c r="E2577" t="s">
        <v>2274</v>
      </c>
    </row>
    <row r="2578" spans="1:5">
      <c r="A2578" s="11"/>
      <c r="B2578" s="11">
        <v>7016040</v>
      </c>
      <c r="C2578" s="11" t="s">
        <v>2077</v>
      </c>
      <c r="D2578" s="11" t="s">
        <v>2078</v>
      </c>
      <c r="E2578" t="s">
        <v>2274</v>
      </c>
    </row>
    <row r="2579" spans="1:5">
      <c r="A2579" s="11"/>
      <c r="B2579" s="11">
        <v>7016041</v>
      </c>
      <c r="C2579" s="11" t="s">
        <v>2077</v>
      </c>
      <c r="D2579" s="11" t="s">
        <v>2078</v>
      </c>
      <c r="E2579" t="s">
        <v>2274</v>
      </c>
    </row>
    <row r="2580" spans="1:5">
      <c r="A2580" s="11"/>
      <c r="B2580" s="11">
        <v>7016042</v>
      </c>
      <c r="C2580" s="11" t="s">
        <v>2077</v>
      </c>
      <c r="D2580" s="11" t="s">
        <v>2078</v>
      </c>
      <c r="E2580" t="s">
        <v>2274</v>
      </c>
    </row>
    <row r="2581" spans="1:5">
      <c r="A2581" s="11"/>
      <c r="B2581" s="11">
        <v>7016043</v>
      </c>
      <c r="C2581" s="11" t="s">
        <v>2077</v>
      </c>
      <c r="D2581" s="11" t="s">
        <v>2078</v>
      </c>
      <c r="E2581" t="s">
        <v>2274</v>
      </c>
    </row>
    <row r="2582" spans="1:5">
      <c r="A2582" s="11"/>
      <c r="B2582" s="11">
        <v>7016044</v>
      </c>
      <c r="C2582" s="11" t="s">
        <v>2077</v>
      </c>
      <c r="D2582" s="11" t="s">
        <v>2078</v>
      </c>
      <c r="E2582" t="s">
        <v>2274</v>
      </c>
    </row>
    <row r="2583" spans="1:5">
      <c r="A2583" s="11"/>
      <c r="B2583" s="11">
        <v>7016045</v>
      </c>
      <c r="C2583" s="11" t="s">
        <v>2077</v>
      </c>
      <c r="D2583" s="11" t="s">
        <v>2078</v>
      </c>
      <c r="E2583" t="s">
        <v>2274</v>
      </c>
    </row>
    <row r="2584" spans="1:5">
      <c r="A2584" s="11"/>
      <c r="B2584" s="11">
        <v>7016046</v>
      </c>
      <c r="C2584" s="11" t="s">
        <v>2077</v>
      </c>
      <c r="D2584" s="11" t="s">
        <v>2078</v>
      </c>
      <c r="E2584" t="s">
        <v>2274</v>
      </c>
    </row>
    <row r="2585" spans="1:5">
      <c r="A2585" s="11"/>
      <c r="B2585" s="11">
        <v>7016047</v>
      </c>
      <c r="C2585" s="11" t="s">
        <v>2077</v>
      </c>
      <c r="D2585" s="11" t="s">
        <v>2078</v>
      </c>
      <c r="E2585" t="s">
        <v>2274</v>
      </c>
    </row>
    <row r="2586" spans="1:5">
      <c r="A2586" s="11"/>
      <c r="B2586" s="11">
        <v>7016048</v>
      </c>
      <c r="C2586" s="11" t="s">
        <v>2077</v>
      </c>
      <c r="D2586" s="11" t="s">
        <v>2078</v>
      </c>
      <c r="E2586" t="s">
        <v>2274</v>
      </c>
    </row>
    <row r="2587" spans="1:5">
      <c r="A2587" s="11"/>
      <c r="B2587" s="11">
        <v>7016052</v>
      </c>
      <c r="C2587" s="11" t="s">
        <v>2077</v>
      </c>
      <c r="D2587" s="11" t="s">
        <v>2078</v>
      </c>
      <c r="E2587" t="s">
        <v>2274</v>
      </c>
    </row>
    <row r="2588" spans="1:5">
      <c r="A2588" s="11"/>
      <c r="B2588" s="11">
        <v>7016053</v>
      </c>
      <c r="C2588" s="11" t="s">
        <v>2077</v>
      </c>
      <c r="D2588" s="11" t="s">
        <v>2078</v>
      </c>
      <c r="E2588" t="s">
        <v>2274</v>
      </c>
    </row>
    <row r="2589" spans="1:5">
      <c r="A2589" s="11"/>
      <c r="B2589" s="11">
        <v>7016055</v>
      </c>
      <c r="C2589" s="11" t="s">
        <v>2077</v>
      </c>
      <c r="D2589" s="11" t="s">
        <v>2078</v>
      </c>
      <c r="E2589" t="s">
        <v>2274</v>
      </c>
    </row>
    <row r="2590" spans="1:5">
      <c r="A2590" s="11"/>
      <c r="B2590" s="11">
        <v>7016056</v>
      </c>
      <c r="C2590" s="11" t="s">
        <v>2077</v>
      </c>
      <c r="D2590" s="11" t="s">
        <v>2078</v>
      </c>
      <c r="E2590" t="s">
        <v>2274</v>
      </c>
    </row>
    <row r="2591" spans="1:5">
      <c r="A2591" s="11"/>
      <c r="B2591" s="11">
        <v>7016057</v>
      </c>
      <c r="C2591" s="11" t="s">
        <v>2077</v>
      </c>
      <c r="D2591" s="11" t="s">
        <v>2078</v>
      </c>
      <c r="E2591" t="s">
        <v>2274</v>
      </c>
    </row>
    <row r="2592" spans="1:5">
      <c r="A2592" s="11"/>
      <c r="B2592" s="11">
        <v>7017001</v>
      </c>
      <c r="C2592" s="11" t="s">
        <v>2077</v>
      </c>
      <c r="D2592" s="11" t="s">
        <v>2078</v>
      </c>
      <c r="E2592" t="s">
        <v>2274</v>
      </c>
    </row>
    <row r="2593" spans="1:5">
      <c r="A2593" s="11"/>
      <c r="B2593" s="11">
        <v>7017002</v>
      </c>
      <c r="C2593" s="11" t="s">
        <v>2077</v>
      </c>
      <c r="D2593" s="11" t="s">
        <v>2078</v>
      </c>
      <c r="E2593" t="s">
        <v>2274</v>
      </c>
    </row>
    <row r="2594" spans="1:5">
      <c r="A2594" s="11"/>
      <c r="B2594" s="11">
        <v>7017004</v>
      </c>
      <c r="C2594" s="11" t="s">
        <v>2077</v>
      </c>
      <c r="D2594" s="11" t="s">
        <v>2078</v>
      </c>
      <c r="E2594" t="s">
        <v>2274</v>
      </c>
    </row>
    <row r="2595" spans="1:5">
      <c r="A2595" s="11"/>
      <c r="B2595" s="11">
        <v>7017005</v>
      </c>
      <c r="C2595" s="11" t="s">
        <v>2077</v>
      </c>
      <c r="D2595" s="11" t="s">
        <v>2078</v>
      </c>
      <c r="E2595" t="s">
        <v>2274</v>
      </c>
    </row>
    <row r="2596" spans="1:5">
      <c r="A2596" s="11"/>
      <c r="B2596" s="11">
        <v>7017007</v>
      </c>
      <c r="C2596" s="11" t="s">
        <v>2077</v>
      </c>
      <c r="D2596" s="11" t="s">
        <v>2078</v>
      </c>
      <c r="E2596" t="s">
        <v>2274</v>
      </c>
    </row>
    <row r="2597" spans="1:5">
      <c r="A2597" s="11"/>
      <c r="B2597" s="11">
        <v>7017008</v>
      </c>
      <c r="C2597" s="11" t="s">
        <v>2077</v>
      </c>
      <c r="D2597" s="11" t="s">
        <v>2078</v>
      </c>
      <c r="E2597" t="s">
        <v>2274</v>
      </c>
    </row>
    <row r="2598" spans="1:5">
      <c r="A2598" s="11"/>
      <c r="B2598" s="11">
        <v>7017010</v>
      </c>
      <c r="C2598" s="11" t="s">
        <v>2077</v>
      </c>
      <c r="D2598" s="11" t="s">
        <v>2078</v>
      </c>
      <c r="E2598" t="s">
        <v>2274</v>
      </c>
    </row>
    <row r="2599" spans="1:5">
      <c r="A2599" s="11"/>
      <c r="B2599" s="11">
        <v>7017026</v>
      </c>
      <c r="C2599" s="11" t="s">
        <v>2077</v>
      </c>
      <c r="D2599" s="11" t="s">
        <v>2078</v>
      </c>
      <c r="E2599" t="s">
        <v>2274</v>
      </c>
    </row>
    <row r="2600" spans="1:5">
      <c r="A2600" s="11"/>
      <c r="B2600" s="11">
        <v>7018000</v>
      </c>
      <c r="C2600" s="11" t="s">
        <v>2077</v>
      </c>
      <c r="D2600" s="11" t="s">
        <v>2078</v>
      </c>
      <c r="E2600" t="s">
        <v>2274</v>
      </c>
    </row>
    <row r="2601" spans="1:5">
      <c r="A2601" s="11"/>
      <c r="B2601" s="11">
        <v>7018002</v>
      </c>
      <c r="C2601" s="11" t="s">
        <v>2077</v>
      </c>
      <c r="D2601" s="11" t="s">
        <v>2078</v>
      </c>
      <c r="E2601" t="s">
        <v>2274</v>
      </c>
    </row>
    <row r="2602" spans="1:5">
      <c r="A2602" s="11"/>
      <c r="B2602" s="11">
        <v>7018003</v>
      </c>
      <c r="C2602" s="11" t="s">
        <v>2077</v>
      </c>
      <c r="D2602" s="11" t="s">
        <v>2078</v>
      </c>
      <c r="E2602" t="s">
        <v>2274</v>
      </c>
    </row>
    <row r="2603" spans="1:5">
      <c r="A2603" s="11"/>
      <c r="B2603" s="11">
        <v>7018004</v>
      </c>
      <c r="C2603" s="11" t="s">
        <v>2077</v>
      </c>
      <c r="D2603" s="11" t="s">
        <v>2078</v>
      </c>
      <c r="E2603" t="s">
        <v>2274</v>
      </c>
    </row>
    <row r="2604" spans="1:5">
      <c r="A2604" s="11"/>
      <c r="B2604" s="11">
        <v>7018005</v>
      </c>
      <c r="C2604" s="11" t="s">
        <v>2077</v>
      </c>
      <c r="D2604" s="11" t="s">
        <v>2078</v>
      </c>
      <c r="E2604" t="s">
        <v>2274</v>
      </c>
    </row>
    <row r="2605" spans="1:5">
      <c r="A2605" s="11"/>
      <c r="B2605" s="11">
        <v>7018009</v>
      </c>
      <c r="C2605" s="11" t="s">
        <v>2077</v>
      </c>
      <c r="D2605" s="11" t="s">
        <v>2078</v>
      </c>
      <c r="E2605" t="s">
        <v>2274</v>
      </c>
    </row>
    <row r="2606" spans="1:5">
      <c r="A2606" s="11"/>
      <c r="B2606" s="11">
        <v>7018011</v>
      </c>
      <c r="C2606" s="11" t="s">
        <v>2077</v>
      </c>
      <c r="D2606" s="11" t="s">
        <v>2078</v>
      </c>
      <c r="E2606" t="s">
        <v>2274</v>
      </c>
    </row>
    <row r="2607" spans="1:5">
      <c r="A2607" s="11"/>
      <c r="B2607" s="11">
        <v>7018012</v>
      </c>
      <c r="C2607" s="11" t="s">
        <v>2077</v>
      </c>
      <c r="D2607" s="11" t="s">
        <v>2078</v>
      </c>
      <c r="E2607" t="s">
        <v>2274</v>
      </c>
    </row>
    <row r="2608" spans="1:5">
      <c r="A2608" s="11"/>
      <c r="B2608" s="11">
        <v>7018018</v>
      </c>
      <c r="C2608" s="11" t="s">
        <v>2077</v>
      </c>
      <c r="D2608" s="11" t="s">
        <v>2078</v>
      </c>
      <c r="E2608" t="s">
        <v>2274</v>
      </c>
    </row>
    <row r="2609" spans="1:5">
      <c r="A2609" s="11"/>
      <c r="B2609" s="11">
        <v>7018019</v>
      </c>
      <c r="C2609" s="11" t="s">
        <v>2077</v>
      </c>
      <c r="D2609" s="11" t="s">
        <v>2078</v>
      </c>
      <c r="E2609" t="s">
        <v>2274</v>
      </c>
    </row>
    <row r="2610" spans="1:5">
      <c r="A2610" s="11"/>
      <c r="B2610" s="11">
        <v>7018021</v>
      </c>
      <c r="C2610" s="11" t="s">
        <v>2077</v>
      </c>
      <c r="D2610" s="11" t="s">
        <v>2078</v>
      </c>
      <c r="E2610" t="s">
        <v>2274</v>
      </c>
    </row>
    <row r="2611" spans="1:5">
      <c r="A2611" s="11"/>
      <c r="B2611" s="11">
        <v>7018022</v>
      </c>
      <c r="C2611" s="11" t="s">
        <v>2077</v>
      </c>
      <c r="D2611" s="11" t="s">
        <v>2078</v>
      </c>
      <c r="E2611" t="s">
        <v>2274</v>
      </c>
    </row>
    <row r="2612" spans="1:5">
      <c r="A2612" s="11"/>
      <c r="B2612" s="11">
        <v>7018025</v>
      </c>
      <c r="C2612" s="11" t="s">
        <v>2077</v>
      </c>
      <c r="D2612" s="11" t="s">
        <v>2078</v>
      </c>
      <c r="E2612" t="s">
        <v>2274</v>
      </c>
    </row>
    <row r="2613" spans="1:5">
      <c r="A2613" s="11"/>
      <c r="B2613" s="11">
        <v>7018026</v>
      </c>
      <c r="C2613" s="11" t="s">
        <v>2077</v>
      </c>
      <c r="D2613" s="11" t="s">
        <v>2078</v>
      </c>
      <c r="E2613" t="s">
        <v>2274</v>
      </c>
    </row>
    <row r="2614" spans="1:5">
      <c r="A2614" s="11"/>
      <c r="B2614" s="11">
        <v>7018029</v>
      </c>
      <c r="C2614" s="11" t="s">
        <v>2077</v>
      </c>
      <c r="D2614" s="11" t="s">
        <v>2078</v>
      </c>
      <c r="E2614" t="s">
        <v>2274</v>
      </c>
    </row>
    <row r="2615" spans="1:5">
      <c r="A2615" s="11"/>
      <c r="B2615" s="11">
        <v>7020000</v>
      </c>
      <c r="C2615" s="11" t="s">
        <v>2077</v>
      </c>
      <c r="D2615" s="11" t="s">
        <v>2078</v>
      </c>
      <c r="E2615" t="s">
        <v>2274</v>
      </c>
    </row>
    <row r="2616" spans="1:5">
      <c r="A2616" s="11"/>
      <c r="B2616" s="11">
        <v>7020001</v>
      </c>
      <c r="C2616" s="11" t="s">
        <v>2077</v>
      </c>
      <c r="D2616" s="11" t="s">
        <v>2078</v>
      </c>
      <c r="E2616" t="s">
        <v>2274</v>
      </c>
    </row>
    <row r="2617" spans="1:5">
      <c r="A2617" s="11"/>
      <c r="B2617" s="11">
        <v>7020002</v>
      </c>
      <c r="C2617" s="11" t="s">
        <v>2077</v>
      </c>
      <c r="D2617" s="11" t="s">
        <v>2078</v>
      </c>
      <c r="E2617" t="s">
        <v>2274</v>
      </c>
    </row>
    <row r="2618" spans="1:5">
      <c r="A2618" s="11"/>
      <c r="B2618" s="11">
        <v>7020003</v>
      </c>
      <c r="C2618" s="11" t="s">
        <v>2077</v>
      </c>
      <c r="D2618" s="11" t="s">
        <v>2078</v>
      </c>
      <c r="E2618" t="s">
        <v>2274</v>
      </c>
    </row>
    <row r="2619" spans="1:5">
      <c r="A2619" s="11"/>
      <c r="B2619" s="11">
        <v>7020004</v>
      </c>
      <c r="C2619" s="11" t="s">
        <v>2077</v>
      </c>
      <c r="D2619" s="11" t="s">
        <v>2078</v>
      </c>
      <c r="E2619" t="s">
        <v>2274</v>
      </c>
    </row>
    <row r="2620" spans="1:5">
      <c r="A2620" s="11"/>
      <c r="B2620" s="11">
        <v>7020005</v>
      </c>
      <c r="C2620" s="11" t="s">
        <v>2077</v>
      </c>
      <c r="D2620" s="11" t="s">
        <v>2078</v>
      </c>
      <c r="E2620" t="s">
        <v>2274</v>
      </c>
    </row>
    <row r="2621" spans="1:5">
      <c r="A2621" s="11"/>
      <c r="B2621" s="11">
        <v>7020006</v>
      </c>
      <c r="C2621" s="11" t="s">
        <v>2077</v>
      </c>
      <c r="D2621" s="11" t="s">
        <v>2078</v>
      </c>
      <c r="E2621" t="s">
        <v>2274</v>
      </c>
    </row>
    <row r="2622" spans="1:5">
      <c r="A2622" s="11"/>
      <c r="B2622" s="11">
        <v>7020007</v>
      </c>
      <c r="C2622" s="11" t="s">
        <v>2077</v>
      </c>
      <c r="D2622" s="11" t="s">
        <v>2078</v>
      </c>
      <c r="E2622" t="s">
        <v>2274</v>
      </c>
    </row>
    <row r="2623" spans="1:5">
      <c r="A2623" s="11"/>
      <c r="B2623" s="11">
        <v>7020008</v>
      </c>
      <c r="C2623" s="11" t="s">
        <v>2077</v>
      </c>
      <c r="D2623" s="11" t="s">
        <v>2078</v>
      </c>
      <c r="E2623" t="s">
        <v>2274</v>
      </c>
    </row>
    <row r="2624" spans="1:5">
      <c r="A2624" s="11"/>
      <c r="B2624" s="11">
        <v>7020009</v>
      </c>
      <c r="C2624" s="11" t="s">
        <v>2077</v>
      </c>
      <c r="D2624" s="11" t="s">
        <v>2078</v>
      </c>
      <c r="E2624" t="s">
        <v>2274</v>
      </c>
    </row>
    <row r="2625" spans="1:5">
      <c r="A2625" s="11"/>
      <c r="B2625" s="11">
        <v>7020010</v>
      </c>
      <c r="C2625" s="11" t="s">
        <v>2077</v>
      </c>
      <c r="D2625" s="11" t="s">
        <v>2078</v>
      </c>
      <c r="E2625" t="s">
        <v>2274</v>
      </c>
    </row>
    <row r="2626" spans="1:5">
      <c r="A2626" s="11"/>
      <c r="B2626" s="11">
        <v>7020012</v>
      </c>
      <c r="C2626" s="11" t="s">
        <v>2077</v>
      </c>
      <c r="D2626" s="11" t="s">
        <v>2078</v>
      </c>
      <c r="E2626" t="s">
        <v>2274</v>
      </c>
    </row>
    <row r="2627" spans="1:5">
      <c r="A2627" s="11"/>
      <c r="B2627" s="11">
        <v>7020013</v>
      </c>
      <c r="C2627" s="11" t="s">
        <v>2077</v>
      </c>
      <c r="D2627" s="11" t="s">
        <v>2078</v>
      </c>
      <c r="E2627" t="s">
        <v>2274</v>
      </c>
    </row>
    <row r="2628" spans="1:5">
      <c r="A2628" s="11"/>
      <c r="B2628" s="11">
        <v>7020014</v>
      </c>
      <c r="C2628" s="11" t="s">
        <v>2077</v>
      </c>
      <c r="D2628" s="11" t="s">
        <v>2078</v>
      </c>
      <c r="E2628" t="s">
        <v>2274</v>
      </c>
    </row>
    <row r="2629" spans="1:5">
      <c r="A2629" s="11"/>
      <c r="B2629" s="11">
        <v>7020015</v>
      </c>
      <c r="C2629" s="11" t="s">
        <v>2077</v>
      </c>
      <c r="D2629" s="11" t="s">
        <v>2078</v>
      </c>
      <c r="E2629" t="s">
        <v>2274</v>
      </c>
    </row>
    <row r="2630" spans="1:5">
      <c r="A2630" s="11"/>
      <c r="B2630" s="11">
        <v>7020016</v>
      </c>
      <c r="C2630" s="11" t="s">
        <v>2077</v>
      </c>
      <c r="D2630" s="11" t="s">
        <v>2078</v>
      </c>
      <c r="E2630" t="s">
        <v>2274</v>
      </c>
    </row>
    <row r="2631" spans="1:5">
      <c r="A2631" s="11"/>
      <c r="B2631" s="11">
        <v>7020017</v>
      </c>
      <c r="C2631" s="11" t="s">
        <v>2077</v>
      </c>
      <c r="D2631" s="11" t="s">
        <v>2078</v>
      </c>
      <c r="E2631" t="s">
        <v>2274</v>
      </c>
    </row>
    <row r="2632" spans="1:5">
      <c r="A2632" s="11"/>
      <c r="B2632" s="11">
        <v>7020018</v>
      </c>
      <c r="C2632" s="11" t="s">
        <v>2077</v>
      </c>
      <c r="D2632" s="11" t="s">
        <v>2078</v>
      </c>
      <c r="E2632" t="s">
        <v>2274</v>
      </c>
    </row>
    <row r="2633" spans="1:5">
      <c r="A2633" s="11"/>
      <c r="B2633" s="11">
        <v>7020020</v>
      </c>
      <c r="C2633" s="11" t="s">
        <v>2077</v>
      </c>
      <c r="D2633" s="11" t="s">
        <v>2078</v>
      </c>
      <c r="E2633" t="s">
        <v>2274</v>
      </c>
    </row>
    <row r="2634" spans="1:5">
      <c r="A2634" s="11"/>
      <c r="B2634" s="11">
        <v>7020024</v>
      </c>
      <c r="C2634" s="11" t="s">
        <v>2077</v>
      </c>
      <c r="D2634" s="11" t="s">
        <v>2078</v>
      </c>
      <c r="E2634" t="s">
        <v>2274</v>
      </c>
    </row>
    <row r="2635" spans="1:5">
      <c r="A2635" s="11"/>
      <c r="B2635" s="11">
        <v>7020025</v>
      </c>
      <c r="C2635" s="11" t="s">
        <v>2077</v>
      </c>
      <c r="D2635" s="11" t="s">
        <v>2078</v>
      </c>
      <c r="E2635" t="s">
        <v>2274</v>
      </c>
    </row>
    <row r="2636" spans="1:5">
      <c r="A2636" s="11"/>
      <c r="B2636" s="11">
        <v>7020026</v>
      </c>
      <c r="C2636" s="11" t="s">
        <v>2077</v>
      </c>
      <c r="D2636" s="11" t="s">
        <v>2078</v>
      </c>
      <c r="E2636" t="s">
        <v>2274</v>
      </c>
    </row>
    <row r="2637" spans="1:5">
      <c r="A2637" s="11"/>
      <c r="B2637" s="11">
        <v>7020029</v>
      </c>
      <c r="C2637" s="11" t="s">
        <v>2077</v>
      </c>
      <c r="D2637" s="11" t="s">
        <v>2078</v>
      </c>
      <c r="E2637" t="s">
        <v>2274</v>
      </c>
    </row>
    <row r="2638" spans="1:5">
      <c r="A2638" s="11"/>
      <c r="B2638" s="11">
        <v>7020031</v>
      </c>
      <c r="C2638" s="11" t="s">
        <v>2077</v>
      </c>
      <c r="D2638" s="11" t="s">
        <v>2078</v>
      </c>
      <c r="E2638" t="s">
        <v>2274</v>
      </c>
    </row>
    <row r="2639" spans="1:5">
      <c r="A2639" s="11"/>
      <c r="B2639" s="11">
        <v>7020035</v>
      </c>
      <c r="C2639" s="11" t="s">
        <v>2077</v>
      </c>
      <c r="D2639" s="11" t="s">
        <v>2078</v>
      </c>
      <c r="E2639" t="s">
        <v>2274</v>
      </c>
    </row>
    <row r="2640" spans="1:5">
      <c r="A2640" s="11"/>
      <c r="B2640" s="11">
        <v>7020037</v>
      </c>
      <c r="C2640" s="11" t="s">
        <v>2077</v>
      </c>
      <c r="D2640" s="11" t="s">
        <v>2078</v>
      </c>
      <c r="E2640" t="s">
        <v>2274</v>
      </c>
    </row>
    <row r="2641" spans="1:5">
      <c r="A2641" s="11"/>
      <c r="B2641" s="11">
        <v>7020038</v>
      </c>
      <c r="C2641" s="11" t="s">
        <v>2077</v>
      </c>
      <c r="D2641" s="11" t="s">
        <v>2078</v>
      </c>
      <c r="E2641" t="s">
        <v>2274</v>
      </c>
    </row>
    <row r="2642" spans="1:5">
      <c r="A2642" s="11"/>
      <c r="B2642" s="11">
        <v>7020039</v>
      </c>
      <c r="C2642" s="11" t="s">
        <v>2077</v>
      </c>
      <c r="D2642" s="11" t="s">
        <v>2078</v>
      </c>
      <c r="E2642" t="s">
        <v>2274</v>
      </c>
    </row>
    <row r="2643" spans="1:5">
      <c r="A2643" s="11"/>
      <c r="B2643" s="11">
        <v>7020040</v>
      </c>
      <c r="C2643" s="11" t="s">
        <v>2077</v>
      </c>
      <c r="D2643" s="11" t="s">
        <v>2078</v>
      </c>
      <c r="E2643" t="s">
        <v>2274</v>
      </c>
    </row>
    <row r="2644" spans="1:5">
      <c r="A2644" s="11"/>
      <c r="B2644" s="11">
        <v>7020041</v>
      </c>
      <c r="C2644" s="11" t="s">
        <v>2077</v>
      </c>
      <c r="D2644" s="11" t="s">
        <v>2078</v>
      </c>
      <c r="E2644" t="s">
        <v>2274</v>
      </c>
    </row>
    <row r="2645" spans="1:5">
      <c r="A2645" s="11"/>
      <c r="B2645" s="11">
        <v>7020042</v>
      </c>
      <c r="C2645" s="11" t="s">
        <v>2077</v>
      </c>
      <c r="D2645" s="11" t="s">
        <v>2078</v>
      </c>
      <c r="E2645" t="s">
        <v>2274</v>
      </c>
    </row>
    <row r="2646" spans="1:5">
      <c r="A2646" s="11"/>
      <c r="B2646" s="11">
        <v>7020043</v>
      </c>
      <c r="C2646" s="11" t="s">
        <v>2077</v>
      </c>
      <c r="D2646" s="11" t="s">
        <v>2078</v>
      </c>
      <c r="E2646" t="s">
        <v>2274</v>
      </c>
    </row>
    <row r="2647" spans="1:5">
      <c r="A2647" s="11"/>
      <c r="B2647" s="11">
        <v>7020053</v>
      </c>
      <c r="C2647" s="11" t="s">
        <v>2077</v>
      </c>
      <c r="D2647" s="11" t="s">
        <v>2078</v>
      </c>
      <c r="E2647" t="s">
        <v>2274</v>
      </c>
    </row>
    <row r="2648" spans="1:5">
      <c r="A2648" s="11"/>
      <c r="B2648" s="11">
        <v>7020062</v>
      </c>
      <c r="C2648" s="11" t="s">
        <v>2077</v>
      </c>
      <c r="D2648" s="11" t="s">
        <v>2078</v>
      </c>
      <c r="E2648" t="s">
        <v>2274</v>
      </c>
    </row>
    <row r="2649" spans="1:5">
      <c r="A2649" s="11"/>
      <c r="B2649" s="11">
        <v>7022005</v>
      </c>
      <c r="C2649" s="11" t="s">
        <v>2077</v>
      </c>
      <c r="D2649" s="11" t="s">
        <v>2078</v>
      </c>
      <c r="E2649" t="s">
        <v>2274</v>
      </c>
    </row>
    <row r="2650" spans="1:5">
      <c r="A2650" s="11"/>
      <c r="B2650" s="11">
        <v>7022015</v>
      </c>
      <c r="C2650" s="11" t="s">
        <v>2077</v>
      </c>
      <c r="D2650" s="11" t="s">
        <v>2078</v>
      </c>
      <c r="E2650" t="s">
        <v>2274</v>
      </c>
    </row>
    <row r="2651" spans="1:5">
      <c r="A2651" s="11"/>
      <c r="B2651" s="11">
        <v>7030002</v>
      </c>
      <c r="C2651" s="11" t="s">
        <v>2077</v>
      </c>
      <c r="D2651" s="11" t="s">
        <v>2078</v>
      </c>
      <c r="E2651" t="s">
        <v>2274</v>
      </c>
    </row>
    <row r="2652" spans="1:5">
      <c r="A2652" s="11"/>
      <c r="B2652" s="11">
        <v>7030003</v>
      </c>
      <c r="C2652" s="11" t="s">
        <v>2077</v>
      </c>
      <c r="D2652" s="11" t="s">
        <v>2078</v>
      </c>
      <c r="E2652" t="s">
        <v>2274</v>
      </c>
    </row>
    <row r="2653" spans="1:5">
      <c r="A2653" s="11"/>
      <c r="B2653" s="11">
        <v>7030004</v>
      </c>
      <c r="C2653" s="11" t="s">
        <v>2077</v>
      </c>
      <c r="D2653" s="11" t="s">
        <v>2078</v>
      </c>
      <c r="E2653" t="s">
        <v>2274</v>
      </c>
    </row>
    <row r="2654" spans="1:5">
      <c r="A2654" s="11"/>
      <c r="B2654" s="11">
        <v>7030005</v>
      </c>
      <c r="C2654" s="11" t="s">
        <v>2077</v>
      </c>
      <c r="D2654" s="11" t="s">
        <v>2078</v>
      </c>
      <c r="E2654" t="s">
        <v>2274</v>
      </c>
    </row>
    <row r="2655" spans="1:5">
      <c r="A2655" s="11"/>
      <c r="B2655" s="11">
        <v>7030006</v>
      </c>
      <c r="C2655" s="11" t="s">
        <v>2077</v>
      </c>
      <c r="D2655" s="11" t="s">
        <v>2078</v>
      </c>
      <c r="E2655" t="s">
        <v>2274</v>
      </c>
    </row>
    <row r="2656" spans="1:5">
      <c r="A2656" s="11"/>
      <c r="B2656" s="11">
        <v>7030007</v>
      </c>
      <c r="C2656" s="11" t="s">
        <v>2077</v>
      </c>
      <c r="D2656" s="11" t="s">
        <v>2078</v>
      </c>
      <c r="E2656" t="s">
        <v>2274</v>
      </c>
    </row>
    <row r="2657" spans="1:5">
      <c r="A2657" s="11"/>
      <c r="B2657" s="11">
        <v>7030008</v>
      </c>
      <c r="C2657" s="11" t="s">
        <v>2077</v>
      </c>
      <c r="D2657" s="11" t="s">
        <v>2078</v>
      </c>
      <c r="E2657" t="s">
        <v>2274</v>
      </c>
    </row>
    <row r="2658" spans="1:5">
      <c r="A2658" s="11"/>
      <c r="B2658" s="11">
        <v>7030009</v>
      </c>
      <c r="C2658" s="11" t="s">
        <v>2077</v>
      </c>
      <c r="D2658" s="11" t="s">
        <v>2078</v>
      </c>
      <c r="E2658" t="s">
        <v>2274</v>
      </c>
    </row>
    <row r="2659" spans="1:5">
      <c r="A2659" s="11"/>
      <c r="B2659" s="11">
        <v>7030010</v>
      </c>
      <c r="C2659" s="11" t="s">
        <v>2077</v>
      </c>
      <c r="D2659" s="11" t="s">
        <v>2078</v>
      </c>
      <c r="E2659" t="s">
        <v>2274</v>
      </c>
    </row>
    <row r="2660" spans="1:5">
      <c r="A2660" s="11"/>
      <c r="B2660" s="11">
        <v>7030011</v>
      </c>
      <c r="C2660" s="11" t="s">
        <v>2077</v>
      </c>
      <c r="D2660" s="11" t="s">
        <v>2078</v>
      </c>
      <c r="E2660" t="s">
        <v>2274</v>
      </c>
    </row>
    <row r="2661" spans="1:5">
      <c r="A2661" s="11"/>
      <c r="B2661" s="11">
        <v>7030012</v>
      </c>
      <c r="C2661" s="11" t="s">
        <v>2077</v>
      </c>
      <c r="D2661" s="11" t="s">
        <v>2078</v>
      </c>
      <c r="E2661" t="s">
        <v>2274</v>
      </c>
    </row>
    <row r="2662" spans="1:5">
      <c r="A2662" s="11"/>
      <c r="B2662" s="11">
        <v>7032004</v>
      </c>
      <c r="C2662" s="11" t="s">
        <v>2077</v>
      </c>
      <c r="D2662" s="11" t="s">
        <v>2078</v>
      </c>
      <c r="E2662" t="s">
        <v>2274</v>
      </c>
    </row>
    <row r="2663" spans="1:5">
      <c r="A2663" s="11"/>
      <c r="B2663" s="11">
        <v>7035000</v>
      </c>
      <c r="C2663" s="11" t="s">
        <v>2077</v>
      </c>
      <c r="D2663" s="11" t="s">
        <v>2078</v>
      </c>
      <c r="E2663" t="s">
        <v>2274</v>
      </c>
    </row>
    <row r="2664" spans="1:5">
      <c r="A2664" s="11"/>
      <c r="B2664" s="11">
        <v>7035001</v>
      </c>
      <c r="C2664" s="11" t="s">
        <v>2077</v>
      </c>
      <c r="D2664" s="11" t="s">
        <v>2078</v>
      </c>
      <c r="E2664" t="s">
        <v>2274</v>
      </c>
    </row>
    <row r="2665" spans="1:5">
      <c r="A2665" s="11"/>
      <c r="B2665" s="11">
        <v>7035002</v>
      </c>
      <c r="C2665" s="11" t="s">
        <v>2077</v>
      </c>
      <c r="D2665" s="11" t="s">
        <v>2078</v>
      </c>
      <c r="E2665" t="s">
        <v>2274</v>
      </c>
    </row>
    <row r="2666" spans="1:5">
      <c r="A2666" s="11"/>
      <c r="B2666" s="11">
        <v>7035004</v>
      </c>
      <c r="C2666" s="11" t="s">
        <v>2077</v>
      </c>
      <c r="D2666" s="11" t="s">
        <v>2078</v>
      </c>
      <c r="E2666" t="s">
        <v>2274</v>
      </c>
    </row>
    <row r="2667" spans="1:5">
      <c r="A2667" s="11"/>
      <c r="B2667" s="11">
        <v>7035005</v>
      </c>
      <c r="C2667" s="11" t="s">
        <v>2077</v>
      </c>
      <c r="D2667" s="11" t="s">
        <v>2078</v>
      </c>
      <c r="E2667" t="s">
        <v>2274</v>
      </c>
    </row>
    <row r="2668" spans="1:5">
      <c r="A2668" s="11"/>
      <c r="B2668" s="11">
        <v>7035008</v>
      </c>
      <c r="C2668" s="11" t="s">
        <v>2077</v>
      </c>
      <c r="D2668" s="11" t="s">
        <v>2078</v>
      </c>
      <c r="E2668" t="s">
        <v>2274</v>
      </c>
    </row>
    <row r="2669" spans="1:5">
      <c r="A2669" s="11"/>
      <c r="B2669" s="11">
        <v>7035010</v>
      </c>
      <c r="C2669" s="11" t="s">
        <v>2077</v>
      </c>
      <c r="D2669" s="11" t="s">
        <v>2078</v>
      </c>
      <c r="E2669" t="s">
        <v>2274</v>
      </c>
    </row>
    <row r="2670" spans="1:5">
      <c r="A2670" s="11"/>
      <c r="B2670" s="11">
        <v>7035011</v>
      </c>
      <c r="C2670" s="11" t="s">
        <v>2077</v>
      </c>
      <c r="D2670" s="11" t="s">
        <v>2078</v>
      </c>
      <c r="E2670" t="s">
        <v>2274</v>
      </c>
    </row>
    <row r="2671" spans="1:5">
      <c r="A2671" s="11"/>
      <c r="B2671" s="11">
        <v>7036004</v>
      </c>
      <c r="C2671" s="11" t="s">
        <v>2077</v>
      </c>
      <c r="D2671" s="11" t="s">
        <v>2078</v>
      </c>
      <c r="E2671" t="s">
        <v>2274</v>
      </c>
    </row>
    <row r="2672" spans="1:5">
      <c r="A2672" s="11"/>
      <c r="B2672" s="11">
        <v>7036006</v>
      </c>
      <c r="C2672" s="11" t="s">
        <v>2077</v>
      </c>
      <c r="D2672" s="11" t="s">
        <v>2078</v>
      </c>
      <c r="E2672" t="s">
        <v>2274</v>
      </c>
    </row>
    <row r="2673" spans="1:5">
      <c r="A2673" s="11"/>
      <c r="B2673" s="11">
        <v>7036007</v>
      </c>
      <c r="C2673" s="11" t="s">
        <v>2077</v>
      </c>
      <c r="D2673" s="11" t="s">
        <v>2078</v>
      </c>
      <c r="E2673" t="s">
        <v>2274</v>
      </c>
    </row>
    <row r="2674" spans="1:5">
      <c r="A2674" s="11"/>
      <c r="B2674" s="11">
        <v>7036010</v>
      </c>
      <c r="C2674" s="11" t="s">
        <v>2077</v>
      </c>
      <c r="D2674" s="11" t="s">
        <v>2078</v>
      </c>
      <c r="E2674" t="s">
        <v>2274</v>
      </c>
    </row>
    <row r="2675" spans="1:5">
      <c r="A2675" s="11"/>
      <c r="B2675" s="11">
        <v>7036015</v>
      </c>
      <c r="C2675" s="11" t="s">
        <v>2077</v>
      </c>
      <c r="D2675" s="11" t="s">
        <v>2078</v>
      </c>
      <c r="E2675" t="s">
        <v>2274</v>
      </c>
    </row>
    <row r="2676" spans="1:5">
      <c r="A2676" s="11"/>
      <c r="B2676" s="11">
        <v>7036016</v>
      </c>
      <c r="C2676" s="11" t="s">
        <v>2077</v>
      </c>
      <c r="D2676" s="11" t="s">
        <v>2078</v>
      </c>
      <c r="E2676" t="s">
        <v>2274</v>
      </c>
    </row>
    <row r="2677" spans="1:5">
      <c r="A2677" s="11"/>
      <c r="B2677" s="11">
        <v>7036017</v>
      </c>
      <c r="C2677" s="11" t="s">
        <v>2077</v>
      </c>
      <c r="D2677" s="11" t="s">
        <v>2078</v>
      </c>
      <c r="E2677" t="s">
        <v>2274</v>
      </c>
    </row>
    <row r="2678" spans="1:5">
      <c r="A2678" s="11"/>
      <c r="B2678" s="11">
        <v>7036018</v>
      </c>
      <c r="C2678" s="11" t="s">
        <v>2077</v>
      </c>
      <c r="D2678" s="11" t="s">
        <v>2078</v>
      </c>
      <c r="E2678" t="s">
        <v>2274</v>
      </c>
    </row>
    <row r="2679" spans="1:5">
      <c r="A2679" s="11"/>
      <c r="B2679" s="11">
        <v>7036019</v>
      </c>
      <c r="C2679" s="11" t="s">
        <v>2077</v>
      </c>
      <c r="D2679" s="11" t="s">
        <v>2078</v>
      </c>
      <c r="E2679" t="s">
        <v>2274</v>
      </c>
    </row>
    <row r="2680" spans="1:5">
      <c r="A2680" s="11"/>
      <c r="B2680" s="11">
        <v>7036020</v>
      </c>
      <c r="C2680" s="11" t="s">
        <v>2077</v>
      </c>
      <c r="D2680" s="11" t="s">
        <v>2078</v>
      </c>
      <c r="E2680" t="s">
        <v>2274</v>
      </c>
    </row>
    <row r="2681" spans="1:5">
      <c r="A2681" s="11"/>
      <c r="B2681" s="11">
        <v>7036021</v>
      </c>
      <c r="C2681" s="11" t="s">
        <v>2077</v>
      </c>
      <c r="D2681" s="11" t="s">
        <v>2078</v>
      </c>
      <c r="E2681" t="s">
        <v>2274</v>
      </c>
    </row>
    <row r="2682" spans="1:5">
      <c r="A2682" s="11"/>
      <c r="B2682" s="11">
        <v>7036024</v>
      </c>
      <c r="C2682" s="11" t="s">
        <v>2077</v>
      </c>
      <c r="D2682" s="11" t="s">
        <v>2078</v>
      </c>
      <c r="E2682" t="s">
        <v>2274</v>
      </c>
    </row>
    <row r="2683" spans="1:5">
      <c r="A2683" s="11"/>
      <c r="B2683" s="11">
        <v>7036025</v>
      </c>
      <c r="C2683" s="11" t="s">
        <v>2077</v>
      </c>
      <c r="D2683" s="11" t="s">
        <v>2078</v>
      </c>
      <c r="E2683" t="s">
        <v>2274</v>
      </c>
    </row>
    <row r="2684" spans="1:5">
      <c r="A2684" s="11"/>
      <c r="B2684" s="11">
        <v>7036026</v>
      </c>
      <c r="C2684" s="11" t="s">
        <v>2077</v>
      </c>
      <c r="D2684" s="11" t="s">
        <v>2078</v>
      </c>
      <c r="E2684" t="s">
        <v>2274</v>
      </c>
    </row>
    <row r="2685" spans="1:5">
      <c r="A2685" s="11"/>
      <c r="B2685" s="11">
        <v>7036028</v>
      </c>
      <c r="C2685" s="11" t="s">
        <v>2077</v>
      </c>
      <c r="D2685" s="11" t="s">
        <v>2078</v>
      </c>
      <c r="E2685" t="s">
        <v>2274</v>
      </c>
    </row>
    <row r="2686" spans="1:5">
      <c r="A2686" s="11"/>
      <c r="B2686" s="11">
        <v>7036029</v>
      </c>
      <c r="C2686" s="11" t="s">
        <v>2077</v>
      </c>
      <c r="D2686" s="11" t="s">
        <v>2078</v>
      </c>
      <c r="E2686" t="s">
        <v>2274</v>
      </c>
    </row>
    <row r="2687" spans="1:5">
      <c r="A2687" s="11"/>
      <c r="B2687" s="11">
        <v>7036033</v>
      </c>
      <c r="C2687" s="11" t="s">
        <v>2077</v>
      </c>
      <c r="D2687" s="11" t="s">
        <v>2078</v>
      </c>
      <c r="E2687" t="s">
        <v>2274</v>
      </c>
    </row>
    <row r="2688" spans="1:5">
      <c r="A2688" s="11"/>
      <c r="B2688" s="11">
        <v>7037000</v>
      </c>
      <c r="C2688" s="11" t="s">
        <v>2077</v>
      </c>
      <c r="D2688" s="11" t="s">
        <v>2078</v>
      </c>
      <c r="E2688" t="s">
        <v>2274</v>
      </c>
    </row>
    <row r="2689" spans="1:5">
      <c r="A2689" s="11"/>
      <c r="B2689" s="11">
        <v>7037003</v>
      </c>
      <c r="C2689" s="11" t="s">
        <v>2077</v>
      </c>
      <c r="D2689" s="11" t="s">
        <v>2078</v>
      </c>
      <c r="E2689" t="s">
        <v>2274</v>
      </c>
    </row>
    <row r="2690" spans="1:5">
      <c r="A2690" s="11"/>
      <c r="B2690" s="11">
        <v>7037004</v>
      </c>
      <c r="C2690" s="11" t="s">
        <v>2077</v>
      </c>
      <c r="D2690" s="11" t="s">
        <v>2078</v>
      </c>
      <c r="E2690" t="s">
        <v>2274</v>
      </c>
    </row>
    <row r="2691" spans="1:5">
      <c r="A2691" s="11"/>
      <c r="B2691" s="11">
        <v>7037005</v>
      </c>
      <c r="C2691" s="11" t="s">
        <v>2077</v>
      </c>
      <c r="D2691" s="11" t="s">
        <v>2078</v>
      </c>
      <c r="E2691" t="s">
        <v>2274</v>
      </c>
    </row>
    <row r="2692" spans="1:5">
      <c r="A2692" s="11"/>
      <c r="B2692" s="11">
        <v>7037009</v>
      </c>
      <c r="C2692" s="11" t="s">
        <v>2077</v>
      </c>
      <c r="D2692" s="11" t="s">
        <v>2078</v>
      </c>
      <c r="E2692" t="s">
        <v>2274</v>
      </c>
    </row>
    <row r="2693" spans="1:5">
      <c r="A2693" s="11"/>
      <c r="B2693" s="11">
        <v>7037010</v>
      </c>
      <c r="C2693" s="11" t="s">
        <v>2077</v>
      </c>
      <c r="D2693" s="11" t="s">
        <v>2078</v>
      </c>
      <c r="E2693" t="s">
        <v>2274</v>
      </c>
    </row>
    <row r="2694" spans="1:5">
      <c r="A2694" s="11"/>
      <c r="B2694" s="11">
        <v>7037011</v>
      </c>
      <c r="C2694" s="11" t="s">
        <v>2077</v>
      </c>
      <c r="D2694" s="11" t="s">
        <v>2078</v>
      </c>
      <c r="E2694" t="s">
        <v>2274</v>
      </c>
    </row>
    <row r="2695" spans="1:5">
      <c r="A2695" s="11"/>
      <c r="B2695" s="11">
        <v>7037016</v>
      </c>
      <c r="C2695" s="11" t="s">
        <v>2077</v>
      </c>
      <c r="D2695" s="11" t="s">
        <v>2078</v>
      </c>
      <c r="E2695" t="s">
        <v>2274</v>
      </c>
    </row>
    <row r="2696" spans="1:5">
      <c r="A2696" s="11"/>
      <c r="B2696" s="11">
        <v>7037017</v>
      </c>
      <c r="C2696" s="11" t="s">
        <v>2077</v>
      </c>
      <c r="D2696" s="11" t="s">
        <v>2078</v>
      </c>
      <c r="E2696" t="s">
        <v>2274</v>
      </c>
    </row>
    <row r="2697" spans="1:5">
      <c r="A2697" s="11"/>
      <c r="B2697" s="11">
        <v>7037018</v>
      </c>
      <c r="C2697" s="11" t="s">
        <v>2077</v>
      </c>
      <c r="D2697" s="11" t="s">
        <v>2078</v>
      </c>
      <c r="E2697" t="s">
        <v>2274</v>
      </c>
    </row>
    <row r="2698" spans="1:5">
      <c r="A2698" s="11"/>
      <c r="B2698" s="11">
        <v>7037019</v>
      </c>
      <c r="C2698" s="11" t="s">
        <v>2077</v>
      </c>
      <c r="D2698" s="11" t="s">
        <v>2078</v>
      </c>
      <c r="E2698" t="s">
        <v>2274</v>
      </c>
    </row>
    <row r="2699" spans="1:5">
      <c r="A2699" s="11"/>
      <c r="B2699" s="11">
        <v>7037020</v>
      </c>
      <c r="C2699" s="11" t="s">
        <v>2077</v>
      </c>
      <c r="D2699" s="11" t="s">
        <v>2078</v>
      </c>
      <c r="E2699" t="s">
        <v>2274</v>
      </c>
    </row>
    <row r="2700" spans="1:5">
      <c r="A2700" s="11"/>
      <c r="B2700" s="11">
        <v>7037021</v>
      </c>
      <c r="C2700" s="11" t="s">
        <v>2077</v>
      </c>
      <c r="D2700" s="11" t="s">
        <v>2078</v>
      </c>
      <c r="E2700" t="s">
        <v>2274</v>
      </c>
    </row>
    <row r="2701" spans="1:5">
      <c r="A2701" s="11"/>
      <c r="B2701" s="11">
        <v>7037022</v>
      </c>
      <c r="C2701" s="11" t="s">
        <v>2077</v>
      </c>
      <c r="D2701" s="11" t="s">
        <v>2078</v>
      </c>
      <c r="E2701" t="s">
        <v>2274</v>
      </c>
    </row>
    <row r="2702" spans="1:5">
      <c r="A2702" s="11"/>
      <c r="B2702" s="11">
        <v>7037023</v>
      </c>
      <c r="C2702" s="11" t="s">
        <v>2077</v>
      </c>
      <c r="D2702" s="11" t="s">
        <v>2078</v>
      </c>
      <c r="E2702" t="s">
        <v>2274</v>
      </c>
    </row>
    <row r="2703" spans="1:5">
      <c r="A2703" s="11"/>
      <c r="B2703" s="11">
        <v>7037024</v>
      </c>
      <c r="C2703" s="11" t="s">
        <v>2077</v>
      </c>
      <c r="D2703" s="11" t="s">
        <v>2078</v>
      </c>
      <c r="E2703" t="s">
        <v>2274</v>
      </c>
    </row>
    <row r="2704" spans="1:5">
      <c r="A2704" s="11"/>
      <c r="B2704" s="11">
        <v>7037025</v>
      </c>
      <c r="C2704" s="11" t="s">
        <v>2077</v>
      </c>
      <c r="D2704" s="11" t="s">
        <v>2078</v>
      </c>
      <c r="E2704" t="s">
        <v>2274</v>
      </c>
    </row>
    <row r="2705" spans="1:5">
      <c r="A2705" s="11"/>
      <c r="B2705" s="11">
        <v>7037026</v>
      </c>
      <c r="C2705" s="11" t="s">
        <v>2077</v>
      </c>
      <c r="D2705" s="11" t="s">
        <v>2078</v>
      </c>
      <c r="E2705" t="s">
        <v>2274</v>
      </c>
    </row>
    <row r="2706" spans="1:5">
      <c r="A2706" s="11"/>
      <c r="B2706" s="11">
        <v>7037027</v>
      </c>
      <c r="C2706" s="11" t="s">
        <v>2077</v>
      </c>
      <c r="D2706" s="11" t="s">
        <v>2078</v>
      </c>
      <c r="E2706" t="s">
        <v>2274</v>
      </c>
    </row>
    <row r="2707" spans="1:5">
      <c r="A2707" s="11"/>
      <c r="B2707" s="11">
        <v>7037028</v>
      </c>
      <c r="C2707" s="11" t="s">
        <v>2077</v>
      </c>
      <c r="D2707" s="11" t="s">
        <v>2078</v>
      </c>
      <c r="E2707" t="s">
        <v>2274</v>
      </c>
    </row>
    <row r="2708" spans="1:5">
      <c r="A2708" s="11"/>
      <c r="B2708" s="11">
        <v>7037029</v>
      </c>
      <c r="C2708" s="11" t="s">
        <v>2077</v>
      </c>
      <c r="D2708" s="11" t="s">
        <v>2078</v>
      </c>
      <c r="E2708" t="s">
        <v>2274</v>
      </c>
    </row>
    <row r="2709" spans="1:5">
      <c r="A2709" s="11"/>
      <c r="B2709" s="11">
        <v>7037031</v>
      </c>
      <c r="C2709" s="11" t="s">
        <v>2077</v>
      </c>
      <c r="D2709" s="11" t="s">
        <v>2078</v>
      </c>
      <c r="E2709" t="s">
        <v>2274</v>
      </c>
    </row>
    <row r="2710" spans="1:5">
      <c r="A2710" s="11"/>
      <c r="B2710" s="11">
        <v>7050000</v>
      </c>
      <c r="C2710" s="11" t="s">
        <v>2077</v>
      </c>
      <c r="D2710" s="11" t="s">
        <v>2078</v>
      </c>
      <c r="E2710" t="s">
        <v>2274</v>
      </c>
    </row>
    <row r="2711" spans="1:5">
      <c r="A2711" s="11"/>
      <c r="B2711" s="11">
        <v>7050001</v>
      </c>
      <c r="C2711" s="11" t="s">
        <v>2077</v>
      </c>
      <c r="D2711" s="11" t="s">
        <v>2078</v>
      </c>
      <c r="E2711" t="s">
        <v>2274</v>
      </c>
    </row>
    <row r="2712" spans="1:5">
      <c r="A2712" s="11"/>
      <c r="B2712" s="11">
        <v>7050002</v>
      </c>
      <c r="C2712" s="11" t="s">
        <v>2077</v>
      </c>
      <c r="D2712" s="11" t="s">
        <v>2078</v>
      </c>
      <c r="E2712" t="s">
        <v>2274</v>
      </c>
    </row>
    <row r="2713" spans="1:5">
      <c r="A2713" s="11"/>
      <c r="B2713" s="11">
        <v>7050003</v>
      </c>
      <c r="C2713" s="11" t="s">
        <v>2077</v>
      </c>
      <c r="D2713" s="11" t="s">
        <v>2078</v>
      </c>
      <c r="E2713" t="s">
        <v>2274</v>
      </c>
    </row>
    <row r="2714" spans="1:5">
      <c r="A2714" s="11"/>
      <c r="B2714" s="11">
        <v>7050004</v>
      </c>
      <c r="C2714" s="11" t="s">
        <v>2077</v>
      </c>
      <c r="D2714" s="11" t="s">
        <v>2078</v>
      </c>
      <c r="E2714" t="s">
        <v>2274</v>
      </c>
    </row>
    <row r="2715" spans="1:5">
      <c r="A2715" s="11"/>
      <c r="B2715" s="11">
        <v>7050005</v>
      </c>
      <c r="C2715" s="11" t="s">
        <v>2077</v>
      </c>
      <c r="D2715" s="11" t="s">
        <v>2078</v>
      </c>
      <c r="E2715" t="s">
        <v>2274</v>
      </c>
    </row>
    <row r="2716" spans="1:5">
      <c r="A2716" s="11"/>
      <c r="B2716" s="11">
        <v>7050006</v>
      </c>
      <c r="C2716" s="11" t="s">
        <v>2077</v>
      </c>
      <c r="D2716" s="11" t="s">
        <v>2078</v>
      </c>
      <c r="E2716" t="s">
        <v>2274</v>
      </c>
    </row>
    <row r="2717" spans="1:5">
      <c r="A2717" s="11"/>
      <c r="B2717" s="11">
        <v>7050007</v>
      </c>
      <c r="C2717" s="11" t="s">
        <v>2077</v>
      </c>
      <c r="D2717" s="11" t="s">
        <v>2078</v>
      </c>
      <c r="E2717" t="s">
        <v>2274</v>
      </c>
    </row>
    <row r="2718" spans="1:5">
      <c r="A2718" s="11"/>
      <c r="B2718" s="11">
        <v>7050008</v>
      </c>
      <c r="C2718" s="11" t="s">
        <v>2077</v>
      </c>
      <c r="D2718" s="11" t="s">
        <v>2078</v>
      </c>
      <c r="E2718" t="s">
        <v>2274</v>
      </c>
    </row>
    <row r="2719" spans="1:5">
      <c r="A2719" s="11"/>
      <c r="B2719" s="11">
        <v>7050009</v>
      </c>
      <c r="C2719" s="11" t="s">
        <v>2077</v>
      </c>
      <c r="D2719" s="11" t="s">
        <v>2078</v>
      </c>
      <c r="E2719" t="s">
        <v>2274</v>
      </c>
    </row>
    <row r="2720" spans="1:5">
      <c r="A2720" s="11"/>
      <c r="B2720" s="11">
        <v>7050010</v>
      </c>
      <c r="C2720" s="11" t="s">
        <v>2077</v>
      </c>
      <c r="D2720" s="11" t="s">
        <v>2078</v>
      </c>
      <c r="E2720" t="s">
        <v>2274</v>
      </c>
    </row>
    <row r="2721" spans="1:5">
      <c r="A2721" s="11"/>
      <c r="B2721" s="11">
        <v>7050011</v>
      </c>
      <c r="C2721" s="11" t="s">
        <v>2077</v>
      </c>
      <c r="D2721" s="11" t="s">
        <v>2078</v>
      </c>
      <c r="E2721" t="s">
        <v>2274</v>
      </c>
    </row>
    <row r="2722" spans="1:5">
      <c r="A2722" s="11"/>
      <c r="B2722" s="11">
        <v>7051001</v>
      </c>
      <c r="C2722" s="11" t="s">
        <v>2077</v>
      </c>
      <c r="D2722" s="11" t="s">
        <v>2078</v>
      </c>
      <c r="E2722" t="s">
        <v>2274</v>
      </c>
    </row>
    <row r="2723" spans="1:5">
      <c r="A2723" s="11"/>
      <c r="B2723" s="11">
        <v>7051003</v>
      </c>
      <c r="C2723" s="11" t="s">
        <v>2077</v>
      </c>
      <c r="D2723" s="11" t="s">
        <v>2078</v>
      </c>
      <c r="E2723" t="s">
        <v>2274</v>
      </c>
    </row>
    <row r="2724" spans="1:5">
      <c r="A2724" s="11"/>
      <c r="B2724" s="11">
        <v>7051005</v>
      </c>
      <c r="C2724" s="11" t="s">
        <v>2077</v>
      </c>
      <c r="D2724" s="11" t="s">
        <v>2078</v>
      </c>
      <c r="E2724" t="s">
        <v>2274</v>
      </c>
    </row>
    <row r="2725" spans="1:5">
      <c r="A2725" s="11"/>
      <c r="B2725" s="11">
        <v>7051009</v>
      </c>
      <c r="C2725" s="11" t="s">
        <v>2077</v>
      </c>
      <c r="D2725" s="11" t="s">
        <v>2078</v>
      </c>
      <c r="E2725" t="s">
        <v>2274</v>
      </c>
    </row>
    <row r="2726" spans="1:5">
      <c r="A2726" s="11"/>
      <c r="B2726" s="11">
        <v>7051010</v>
      </c>
      <c r="C2726" s="11" t="s">
        <v>2077</v>
      </c>
      <c r="D2726" s="11" t="s">
        <v>2078</v>
      </c>
      <c r="E2726" t="s">
        <v>2274</v>
      </c>
    </row>
    <row r="2727" spans="1:5">
      <c r="A2727" s="11"/>
      <c r="B2727" s="11">
        <v>7051014</v>
      </c>
      <c r="C2727" s="11" t="s">
        <v>2077</v>
      </c>
      <c r="D2727" s="11" t="s">
        <v>2078</v>
      </c>
      <c r="E2727" t="s">
        <v>2274</v>
      </c>
    </row>
    <row r="2728" spans="1:5">
      <c r="A2728" s="11"/>
      <c r="B2728" s="11">
        <v>7051018</v>
      </c>
      <c r="C2728" s="11" t="s">
        <v>2077</v>
      </c>
      <c r="D2728" s="11" t="s">
        <v>2078</v>
      </c>
      <c r="E2728" t="s">
        <v>2274</v>
      </c>
    </row>
    <row r="2729" spans="1:5">
      <c r="A2729" s="11"/>
      <c r="B2729" s="11">
        <v>7051019</v>
      </c>
      <c r="C2729" s="11" t="s">
        <v>2077</v>
      </c>
      <c r="D2729" s="11" t="s">
        <v>2078</v>
      </c>
      <c r="E2729" t="s">
        <v>2274</v>
      </c>
    </row>
    <row r="2730" spans="1:5">
      <c r="A2730" s="11"/>
      <c r="B2730" s="11">
        <v>7051020</v>
      </c>
      <c r="C2730" s="11" t="s">
        <v>2077</v>
      </c>
      <c r="D2730" s="11" t="s">
        <v>2078</v>
      </c>
      <c r="E2730" t="s">
        <v>2274</v>
      </c>
    </row>
    <row r="2731" spans="1:5">
      <c r="A2731" s="11"/>
      <c r="B2731" s="11">
        <v>7051025</v>
      </c>
      <c r="C2731" s="11" t="s">
        <v>2077</v>
      </c>
      <c r="D2731" s="11" t="s">
        <v>2078</v>
      </c>
      <c r="E2731" t="s">
        <v>2274</v>
      </c>
    </row>
    <row r="2732" spans="1:5">
      <c r="A2732" s="11"/>
      <c r="B2732" s="11">
        <v>7052001</v>
      </c>
      <c r="C2732" s="11" t="s">
        <v>2077</v>
      </c>
      <c r="D2732" s="11" t="s">
        <v>2078</v>
      </c>
      <c r="E2732" t="s">
        <v>2274</v>
      </c>
    </row>
    <row r="2733" spans="1:5">
      <c r="A2733" s="11"/>
      <c r="B2733" s="11">
        <v>7052004</v>
      </c>
      <c r="C2733" s="11" t="s">
        <v>2077</v>
      </c>
      <c r="D2733" s="11" t="s">
        <v>2078</v>
      </c>
      <c r="E2733" t="s">
        <v>2274</v>
      </c>
    </row>
    <row r="2734" spans="1:5">
      <c r="A2734" s="11"/>
      <c r="B2734" s="11">
        <v>7052005</v>
      </c>
      <c r="C2734" s="11" t="s">
        <v>2077</v>
      </c>
      <c r="D2734" s="11" t="s">
        <v>2078</v>
      </c>
      <c r="E2734" t="s">
        <v>2274</v>
      </c>
    </row>
    <row r="2735" spans="1:5">
      <c r="A2735" s="11"/>
      <c r="B2735" s="11">
        <v>7052006</v>
      </c>
      <c r="C2735" s="11" t="s">
        <v>2077</v>
      </c>
      <c r="D2735" s="11" t="s">
        <v>2078</v>
      </c>
      <c r="E2735" t="s">
        <v>2274</v>
      </c>
    </row>
    <row r="2736" spans="1:5">
      <c r="A2736" s="11"/>
      <c r="B2736" s="11">
        <v>7052012</v>
      </c>
      <c r="C2736" s="11" t="s">
        <v>2077</v>
      </c>
      <c r="D2736" s="11" t="s">
        <v>2078</v>
      </c>
      <c r="E2736" t="s">
        <v>2274</v>
      </c>
    </row>
    <row r="2737" spans="1:5">
      <c r="A2737" s="11"/>
      <c r="B2737" s="11">
        <v>7053003</v>
      </c>
      <c r="C2737" s="11" t="s">
        <v>2077</v>
      </c>
      <c r="D2737" s="11" t="s">
        <v>2078</v>
      </c>
      <c r="E2737" t="s">
        <v>2274</v>
      </c>
    </row>
    <row r="2738" spans="1:5">
      <c r="A2738" s="11"/>
      <c r="B2738" s="11">
        <v>7053004</v>
      </c>
      <c r="C2738" s="11" t="s">
        <v>2077</v>
      </c>
      <c r="D2738" s="11" t="s">
        <v>2078</v>
      </c>
      <c r="E2738" t="s">
        <v>2274</v>
      </c>
    </row>
    <row r="2739" spans="1:5">
      <c r="A2739" s="11"/>
      <c r="B2739" s="11">
        <v>7053005</v>
      </c>
      <c r="C2739" s="11" t="s">
        <v>2077</v>
      </c>
      <c r="D2739" s="11" t="s">
        <v>2078</v>
      </c>
      <c r="E2739" t="s">
        <v>2274</v>
      </c>
    </row>
    <row r="2740" spans="1:5">
      <c r="A2740" s="11"/>
      <c r="B2740" s="11">
        <v>7053006</v>
      </c>
      <c r="C2740" s="11" t="s">
        <v>2077</v>
      </c>
      <c r="D2740" s="11" t="s">
        <v>2078</v>
      </c>
      <c r="E2740" t="s">
        <v>2274</v>
      </c>
    </row>
    <row r="2741" spans="1:5">
      <c r="A2741" s="11"/>
      <c r="B2741" s="11">
        <v>7053007</v>
      </c>
      <c r="C2741" s="11" t="s">
        <v>2077</v>
      </c>
      <c r="D2741" s="11" t="s">
        <v>2078</v>
      </c>
      <c r="E2741" t="s">
        <v>2274</v>
      </c>
    </row>
    <row r="2742" spans="1:5">
      <c r="A2742" s="11"/>
      <c r="B2742" s="11">
        <v>7053008</v>
      </c>
      <c r="C2742" s="11" t="s">
        <v>2077</v>
      </c>
      <c r="D2742" s="11" t="s">
        <v>2078</v>
      </c>
      <c r="E2742" t="s">
        <v>2274</v>
      </c>
    </row>
    <row r="2743" spans="1:5">
      <c r="A2743" s="11"/>
      <c r="B2743" s="11">
        <v>7053009</v>
      </c>
      <c r="C2743" s="11" t="s">
        <v>2077</v>
      </c>
      <c r="D2743" s="11" t="s">
        <v>2078</v>
      </c>
      <c r="E2743" t="s">
        <v>2274</v>
      </c>
    </row>
    <row r="2744" spans="1:5">
      <c r="A2744" s="11"/>
      <c r="B2744" s="11">
        <v>7053010</v>
      </c>
      <c r="C2744" s="11" t="s">
        <v>2077</v>
      </c>
      <c r="D2744" s="11" t="s">
        <v>2078</v>
      </c>
      <c r="E2744" t="s">
        <v>2274</v>
      </c>
    </row>
    <row r="2745" spans="1:5">
      <c r="A2745" s="11"/>
      <c r="B2745" s="11">
        <v>7053011</v>
      </c>
      <c r="C2745" s="11" t="s">
        <v>2077</v>
      </c>
      <c r="D2745" s="11" t="s">
        <v>2078</v>
      </c>
      <c r="E2745" t="s">
        <v>2274</v>
      </c>
    </row>
    <row r="2746" spans="1:5">
      <c r="A2746" s="11"/>
      <c r="B2746" s="11">
        <v>7053012</v>
      </c>
      <c r="C2746" s="11" t="s">
        <v>2077</v>
      </c>
      <c r="D2746" s="11" t="s">
        <v>2078</v>
      </c>
      <c r="E2746" t="s">
        <v>2274</v>
      </c>
    </row>
    <row r="2747" spans="1:5">
      <c r="A2747" s="11"/>
      <c r="B2747" s="11">
        <v>7053014</v>
      </c>
      <c r="C2747" s="11" t="s">
        <v>2077</v>
      </c>
      <c r="D2747" s="11" t="s">
        <v>2078</v>
      </c>
      <c r="E2747" t="s">
        <v>2274</v>
      </c>
    </row>
    <row r="2748" spans="1:5">
      <c r="A2748" s="11"/>
      <c r="B2748" s="11">
        <v>7053016</v>
      </c>
      <c r="C2748" s="11" t="s">
        <v>2077</v>
      </c>
      <c r="D2748" s="11" t="s">
        <v>2078</v>
      </c>
      <c r="E2748" t="s">
        <v>2274</v>
      </c>
    </row>
    <row r="2749" spans="1:5">
      <c r="A2749" s="11"/>
      <c r="B2749" s="11">
        <v>7053017</v>
      </c>
      <c r="C2749" s="11" t="s">
        <v>2077</v>
      </c>
      <c r="D2749" s="11" t="s">
        <v>2078</v>
      </c>
      <c r="E2749" t="s">
        <v>2274</v>
      </c>
    </row>
    <row r="2750" spans="1:5">
      <c r="A2750" s="11"/>
      <c r="B2750" s="11">
        <v>7053019</v>
      </c>
      <c r="C2750" s="11" t="s">
        <v>2077</v>
      </c>
      <c r="D2750" s="11" t="s">
        <v>2078</v>
      </c>
      <c r="E2750" t="s">
        <v>2274</v>
      </c>
    </row>
    <row r="2751" spans="1:5">
      <c r="A2751" s="11"/>
      <c r="B2751" s="11">
        <v>7053022</v>
      </c>
      <c r="C2751" s="11" t="s">
        <v>2077</v>
      </c>
      <c r="D2751" s="11" t="s">
        <v>2078</v>
      </c>
      <c r="E2751" t="s">
        <v>2274</v>
      </c>
    </row>
    <row r="2752" spans="1:5">
      <c r="A2752" s="11"/>
      <c r="B2752" s="11">
        <v>7053024</v>
      </c>
      <c r="C2752" s="11" t="s">
        <v>2077</v>
      </c>
      <c r="D2752" s="11" t="s">
        <v>2078</v>
      </c>
      <c r="E2752" t="s">
        <v>2274</v>
      </c>
    </row>
    <row r="2753" spans="1:5">
      <c r="A2753" s="11"/>
      <c r="B2753" s="11">
        <v>7053026</v>
      </c>
      <c r="C2753" s="11" t="s">
        <v>2077</v>
      </c>
      <c r="D2753" s="11" t="s">
        <v>2078</v>
      </c>
      <c r="E2753" t="s">
        <v>2274</v>
      </c>
    </row>
    <row r="2754" spans="1:5">
      <c r="A2754" s="11"/>
      <c r="B2754" s="11">
        <v>7053027</v>
      </c>
      <c r="C2754" s="11" t="s">
        <v>2077</v>
      </c>
      <c r="D2754" s="11" t="s">
        <v>2078</v>
      </c>
      <c r="E2754" t="s">
        <v>2274</v>
      </c>
    </row>
    <row r="2755" spans="1:5">
      <c r="A2755" s="11"/>
      <c r="B2755" s="11">
        <v>7053030</v>
      </c>
      <c r="C2755" s="11" t="s">
        <v>2077</v>
      </c>
      <c r="D2755" s="11" t="s">
        <v>2078</v>
      </c>
      <c r="E2755" t="s">
        <v>2274</v>
      </c>
    </row>
    <row r="2756" spans="1:5">
      <c r="A2756" s="11"/>
      <c r="B2756" s="11">
        <v>7053031</v>
      </c>
      <c r="C2756" s="11" t="s">
        <v>2077</v>
      </c>
      <c r="D2756" s="11" t="s">
        <v>2078</v>
      </c>
      <c r="E2756" t="s">
        <v>2274</v>
      </c>
    </row>
    <row r="2757" spans="1:5">
      <c r="A2757" s="11"/>
      <c r="B2757" s="11">
        <v>7053032</v>
      </c>
      <c r="C2757" s="11" t="s">
        <v>2077</v>
      </c>
      <c r="D2757" s="11" t="s">
        <v>2078</v>
      </c>
      <c r="E2757" t="s">
        <v>2274</v>
      </c>
    </row>
    <row r="2758" spans="1:5">
      <c r="A2758" s="11"/>
      <c r="B2758" s="11">
        <v>7053033</v>
      </c>
      <c r="C2758" s="11" t="s">
        <v>2077</v>
      </c>
      <c r="D2758" s="11" t="s">
        <v>2078</v>
      </c>
      <c r="E2758" t="s">
        <v>2274</v>
      </c>
    </row>
    <row r="2759" spans="1:5">
      <c r="A2759" s="11"/>
      <c r="B2759" s="11">
        <v>7053034</v>
      </c>
      <c r="C2759" s="11" t="s">
        <v>2077</v>
      </c>
      <c r="D2759" s="11" t="s">
        <v>2078</v>
      </c>
      <c r="E2759" t="s">
        <v>2274</v>
      </c>
    </row>
    <row r="2760" spans="1:5">
      <c r="A2760" s="11"/>
      <c r="B2760" s="11">
        <v>7070003</v>
      </c>
      <c r="C2760" s="11" t="s">
        <v>2077</v>
      </c>
      <c r="D2760" s="11" t="s">
        <v>2078</v>
      </c>
      <c r="E2760" t="s">
        <v>2274</v>
      </c>
    </row>
    <row r="2761" spans="1:5">
      <c r="A2761" s="11"/>
      <c r="B2761" s="11">
        <v>7070004</v>
      </c>
      <c r="C2761" s="11" t="s">
        <v>2077</v>
      </c>
      <c r="D2761" s="11" t="s">
        <v>2078</v>
      </c>
      <c r="E2761" t="s">
        <v>2274</v>
      </c>
    </row>
    <row r="2762" spans="1:5">
      <c r="A2762" s="11"/>
      <c r="B2762" s="11">
        <v>7070008</v>
      </c>
      <c r="C2762" s="11" t="s">
        <v>2077</v>
      </c>
      <c r="D2762" s="11" t="s">
        <v>2078</v>
      </c>
      <c r="E2762" t="s">
        <v>2274</v>
      </c>
    </row>
    <row r="2763" spans="1:5">
      <c r="A2763" s="11"/>
      <c r="B2763" s="11">
        <v>7070009</v>
      </c>
      <c r="C2763" s="11" t="s">
        <v>2077</v>
      </c>
      <c r="D2763" s="11" t="s">
        <v>2078</v>
      </c>
      <c r="E2763" t="s">
        <v>2274</v>
      </c>
    </row>
    <row r="2764" spans="1:5">
      <c r="A2764" s="11"/>
      <c r="B2764" s="11">
        <v>7070014</v>
      </c>
      <c r="C2764" s="11" t="s">
        <v>2077</v>
      </c>
      <c r="D2764" s="11" t="s">
        <v>2078</v>
      </c>
      <c r="E2764" t="s">
        <v>2274</v>
      </c>
    </row>
    <row r="2765" spans="1:5">
      <c r="A2765" s="11"/>
      <c r="B2765" s="11">
        <v>7070015</v>
      </c>
      <c r="C2765" s="11" t="s">
        <v>2077</v>
      </c>
      <c r="D2765" s="11" t="s">
        <v>2078</v>
      </c>
      <c r="E2765" t="s">
        <v>2274</v>
      </c>
    </row>
    <row r="2766" spans="1:5">
      <c r="A2766" s="11"/>
      <c r="B2766" s="11">
        <v>7070016</v>
      </c>
      <c r="C2766" s="11" t="s">
        <v>2077</v>
      </c>
      <c r="D2766" s="11" t="s">
        <v>2078</v>
      </c>
      <c r="E2766" t="s">
        <v>2274</v>
      </c>
    </row>
    <row r="2767" spans="1:5">
      <c r="A2767" s="11"/>
      <c r="B2767" s="11">
        <v>7070019</v>
      </c>
      <c r="C2767" s="11" t="s">
        <v>2077</v>
      </c>
      <c r="D2767" s="11" t="s">
        <v>2078</v>
      </c>
      <c r="E2767" t="s">
        <v>2274</v>
      </c>
    </row>
    <row r="2768" spans="1:5">
      <c r="A2768" s="11"/>
      <c r="B2768" s="11">
        <v>7070021</v>
      </c>
      <c r="C2768" s="11" t="s">
        <v>2077</v>
      </c>
      <c r="D2768" s="11" t="s">
        <v>2078</v>
      </c>
      <c r="E2768" t="s">
        <v>2274</v>
      </c>
    </row>
    <row r="2769" spans="1:5">
      <c r="A2769" s="11"/>
      <c r="B2769" s="11">
        <v>7070022</v>
      </c>
      <c r="C2769" s="11" t="s">
        <v>2077</v>
      </c>
      <c r="D2769" s="11" t="s">
        <v>2078</v>
      </c>
      <c r="E2769" t="s">
        <v>2274</v>
      </c>
    </row>
    <row r="2770" spans="1:5">
      <c r="A2770" s="11"/>
      <c r="B2770" s="11">
        <v>7070023</v>
      </c>
      <c r="C2770" s="11" t="s">
        <v>2077</v>
      </c>
      <c r="D2770" s="11" t="s">
        <v>2078</v>
      </c>
      <c r="E2770" t="s">
        <v>2274</v>
      </c>
    </row>
    <row r="2771" spans="1:5">
      <c r="A2771" s="11"/>
      <c r="B2771" s="11">
        <v>7070024</v>
      </c>
      <c r="C2771" s="11" t="s">
        <v>2077</v>
      </c>
      <c r="D2771" s="11" t="s">
        <v>2078</v>
      </c>
      <c r="E2771" t="s">
        <v>2274</v>
      </c>
    </row>
    <row r="2772" spans="1:5">
      <c r="A2772" s="11"/>
      <c r="B2772" s="11">
        <v>7070025</v>
      </c>
      <c r="C2772" s="11" t="s">
        <v>2077</v>
      </c>
      <c r="D2772" s="11" t="s">
        <v>2078</v>
      </c>
      <c r="E2772" t="s">
        <v>2274</v>
      </c>
    </row>
    <row r="2773" spans="1:5">
      <c r="A2773" s="11"/>
      <c r="B2773" s="11">
        <v>7070034</v>
      </c>
      <c r="C2773" s="11" t="s">
        <v>2077</v>
      </c>
      <c r="D2773" s="11" t="s">
        <v>2078</v>
      </c>
      <c r="E2773" t="s">
        <v>2274</v>
      </c>
    </row>
    <row r="2774" spans="1:5">
      <c r="A2774" s="11"/>
      <c r="B2774" s="11">
        <v>7070042</v>
      </c>
      <c r="C2774" s="11" t="s">
        <v>2077</v>
      </c>
      <c r="D2774" s="11" t="s">
        <v>2078</v>
      </c>
      <c r="E2774" t="s">
        <v>2274</v>
      </c>
    </row>
    <row r="2775" spans="1:5">
      <c r="A2775" s="11"/>
      <c r="B2775" s="11">
        <v>7070043</v>
      </c>
      <c r="C2775" s="11" t="s">
        <v>2077</v>
      </c>
      <c r="D2775" s="11" t="s">
        <v>2078</v>
      </c>
      <c r="E2775" t="s">
        <v>2274</v>
      </c>
    </row>
    <row r="2776" spans="1:5">
      <c r="A2776" s="11"/>
      <c r="B2776" s="11">
        <v>7070044</v>
      </c>
      <c r="C2776" s="11" t="s">
        <v>2077</v>
      </c>
      <c r="D2776" s="11" t="s">
        <v>2078</v>
      </c>
      <c r="E2776" t="s">
        <v>2274</v>
      </c>
    </row>
    <row r="2777" spans="1:5">
      <c r="A2777" s="11"/>
      <c r="B2777" s="11">
        <v>7070045</v>
      </c>
      <c r="C2777" s="11" t="s">
        <v>2077</v>
      </c>
      <c r="D2777" s="11" t="s">
        <v>2078</v>
      </c>
      <c r="E2777" t="s">
        <v>2274</v>
      </c>
    </row>
    <row r="2778" spans="1:5">
      <c r="A2778" s="11"/>
      <c r="B2778" s="11">
        <v>7070048</v>
      </c>
      <c r="C2778" s="11" t="s">
        <v>2077</v>
      </c>
      <c r="D2778" s="11" t="s">
        <v>2078</v>
      </c>
      <c r="E2778" t="s">
        <v>2274</v>
      </c>
    </row>
    <row r="2779" spans="1:5">
      <c r="A2779" s="11"/>
      <c r="B2779" s="11">
        <v>7070054</v>
      </c>
      <c r="C2779" s="11" t="s">
        <v>2077</v>
      </c>
      <c r="D2779" s="11" t="s">
        <v>2078</v>
      </c>
      <c r="E2779" t="s">
        <v>2274</v>
      </c>
    </row>
    <row r="2780" spans="1:5">
      <c r="A2780" s="11"/>
      <c r="B2780" s="11">
        <v>7070055</v>
      </c>
      <c r="C2780" s="11" t="s">
        <v>2077</v>
      </c>
      <c r="D2780" s="11" t="s">
        <v>2078</v>
      </c>
      <c r="E2780" t="s">
        <v>2274</v>
      </c>
    </row>
    <row r="2781" spans="1:5">
      <c r="A2781" s="11"/>
      <c r="B2781" s="11">
        <v>7070056</v>
      </c>
      <c r="C2781" s="11" t="s">
        <v>2077</v>
      </c>
      <c r="D2781" s="11" t="s">
        <v>2078</v>
      </c>
      <c r="E2781" t="s">
        <v>2274</v>
      </c>
    </row>
    <row r="2782" spans="1:5">
      <c r="A2782" s="11"/>
      <c r="B2782" s="11">
        <v>7070058</v>
      </c>
      <c r="C2782" s="11" t="s">
        <v>2077</v>
      </c>
      <c r="D2782" s="11" t="s">
        <v>2078</v>
      </c>
      <c r="E2782" t="s">
        <v>2274</v>
      </c>
    </row>
    <row r="2783" spans="1:5">
      <c r="A2783" s="11"/>
      <c r="B2783" s="11">
        <v>7070062</v>
      </c>
      <c r="C2783" s="11" t="s">
        <v>2077</v>
      </c>
      <c r="D2783" s="11" t="s">
        <v>2078</v>
      </c>
      <c r="E2783" t="s">
        <v>2274</v>
      </c>
    </row>
    <row r="2784" spans="1:5">
      <c r="A2784" s="11"/>
      <c r="B2784" s="11">
        <v>7070065</v>
      </c>
      <c r="C2784" s="11" t="s">
        <v>2077</v>
      </c>
      <c r="D2784" s="11" t="s">
        <v>2078</v>
      </c>
      <c r="E2784" t="s">
        <v>2274</v>
      </c>
    </row>
    <row r="2785" spans="1:5">
      <c r="A2785" s="11"/>
      <c r="B2785" s="11">
        <v>7070066</v>
      </c>
      <c r="C2785" s="11" t="s">
        <v>2077</v>
      </c>
      <c r="D2785" s="11" t="s">
        <v>2078</v>
      </c>
      <c r="E2785" t="s">
        <v>2274</v>
      </c>
    </row>
    <row r="2786" spans="1:5">
      <c r="A2786" s="11"/>
      <c r="B2786" s="11">
        <v>7070067</v>
      </c>
      <c r="C2786" s="11" t="s">
        <v>2077</v>
      </c>
      <c r="D2786" s="11" t="s">
        <v>2078</v>
      </c>
      <c r="E2786" t="s">
        <v>2274</v>
      </c>
    </row>
    <row r="2787" spans="1:5">
      <c r="A2787" s="11"/>
      <c r="B2787" s="11">
        <v>7070068</v>
      </c>
      <c r="C2787" s="11" t="s">
        <v>2077</v>
      </c>
      <c r="D2787" s="11" t="s">
        <v>2078</v>
      </c>
      <c r="E2787" t="s">
        <v>2274</v>
      </c>
    </row>
    <row r="2788" spans="1:5">
      <c r="A2788" s="11"/>
      <c r="B2788" s="11">
        <v>7070081</v>
      </c>
      <c r="C2788" s="11" t="s">
        <v>2077</v>
      </c>
      <c r="D2788" s="11" t="s">
        <v>2078</v>
      </c>
      <c r="E2788" t="s">
        <v>2274</v>
      </c>
    </row>
    <row r="2789" spans="1:5">
      <c r="A2789" s="11"/>
      <c r="B2789" s="11">
        <v>7071000</v>
      </c>
      <c r="C2789" s="11" t="s">
        <v>2077</v>
      </c>
      <c r="D2789" s="11" t="s">
        <v>2078</v>
      </c>
      <c r="E2789" t="s">
        <v>2274</v>
      </c>
    </row>
    <row r="2790" spans="1:5">
      <c r="A2790" s="11"/>
      <c r="B2790" s="11">
        <v>7071002</v>
      </c>
      <c r="C2790" s="11" t="s">
        <v>2077</v>
      </c>
      <c r="D2790" s="11" t="s">
        <v>2078</v>
      </c>
      <c r="E2790" t="s">
        <v>2274</v>
      </c>
    </row>
    <row r="2791" spans="1:5">
      <c r="A2791" s="11"/>
      <c r="B2791" s="11">
        <v>7071009</v>
      </c>
      <c r="C2791" s="11" t="s">
        <v>2077</v>
      </c>
      <c r="D2791" s="11" t="s">
        <v>2078</v>
      </c>
      <c r="E2791" t="s">
        <v>2274</v>
      </c>
    </row>
    <row r="2792" spans="1:5">
      <c r="A2792" s="11"/>
      <c r="B2792" s="11">
        <v>7071012</v>
      </c>
      <c r="C2792" s="11" t="s">
        <v>2077</v>
      </c>
      <c r="D2792" s="11" t="s">
        <v>2078</v>
      </c>
      <c r="E2792" t="s">
        <v>2274</v>
      </c>
    </row>
    <row r="2793" spans="1:5">
      <c r="A2793" s="11"/>
      <c r="B2793" s="11">
        <v>7071013</v>
      </c>
      <c r="C2793" s="11" t="s">
        <v>2077</v>
      </c>
      <c r="D2793" s="11" t="s">
        <v>2078</v>
      </c>
      <c r="E2793" t="s">
        <v>2274</v>
      </c>
    </row>
    <row r="2794" spans="1:5">
      <c r="A2794" s="11"/>
      <c r="B2794" s="11">
        <v>7071015</v>
      </c>
      <c r="C2794" s="11" t="s">
        <v>2077</v>
      </c>
      <c r="D2794" s="11" t="s">
        <v>2078</v>
      </c>
      <c r="E2794" t="s">
        <v>2274</v>
      </c>
    </row>
    <row r="2795" spans="1:5">
      <c r="A2795" s="11"/>
      <c r="B2795" s="11">
        <v>7071017</v>
      </c>
      <c r="C2795" s="11" t="s">
        <v>2077</v>
      </c>
      <c r="D2795" s="11" t="s">
        <v>2078</v>
      </c>
      <c r="E2795" t="s">
        <v>2274</v>
      </c>
    </row>
    <row r="2796" spans="1:5">
      <c r="A2796" s="11"/>
      <c r="B2796" s="11">
        <v>7071020</v>
      </c>
      <c r="C2796" s="11" t="s">
        <v>2077</v>
      </c>
      <c r="D2796" s="11" t="s">
        <v>2078</v>
      </c>
      <c r="E2796" t="s">
        <v>2274</v>
      </c>
    </row>
    <row r="2797" spans="1:5">
      <c r="A2797" s="11"/>
      <c r="B2797" s="11">
        <v>7071021</v>
      </c>
      <c r="C2797" s="11" t="s">
        <v>2077</v>
      </c>
      <c r="D2797" s="11" t="s">
        <v>2078</v>
      </c>
      <c r="E2797" t="s">
        <v>2274</v>
      </c>
    </row>
    <row r="2798" spans="1:5">
      <c r="A2798" s="11"/>
      <c r="B2798" s="11">
        <v>7071024</v>
      </c>
      <c r="C2798" s="11" t="s">
        <v>2077</v>
      </c>
      <c r="D2798" s="11" t="s">
        <v>2078</v>
      </c>
      <c r="E2798" t="s">
        <v>2274</v>
      </c>
    </row>
    <row r="2799" spans="1:5">
      <c r="A2799" s="11"/>
      <c r="B2799" s="11">
        <v>7071026</v>
      </c>
      <c r="C2799" s="11" t="s">
        <v>2077</v>
      </c>
      <c r="D2799" s="11" t="s">
        <v>2078</v>
      </c>
      <c r="E2799" t="s">
        <v>2274</v>
      </c>
    </row>
    <row r="2800" spans="1:5">
      <c r="A2800" s="11"/>
      <c r="B2800" s="11">
        <v>7071029</v>
      </c>
      <c r="C2800" s="11" t="s">
        <v>2077</v>
      </c>
      <c r="D2800" s="11" t="s">
        <v>2078</v>
      </c>
      <c r="E2800" t="s">
        <v>2274</v>
      </c>
    </row>
    <row r="2801" spans="1:5">
      <c r="A2801" s="11"/>
      <c r="B2801" s="11">
        <v>7071032</v>
      </c>
      <c r="C2801" s="11" t="s">
        <v>2077</v>
      </c>
      <c r="D2801" s="11" t="s">
        <v>2078</v>
      </c>
      <c r="E2801" t="s">
        <v>2274</v>
      </c>
    </row>
    <row r="2802" spans="1:5">
      <c r="A2802" s="11"/>
      <c r="B2802" s="11">
        <v>7071035</v>
      </c>
      <c r="C2802" s="11" t="s">
        <v>2077</v>
      </c>
      <c r="D2802" s="11" t="s">
        <v>2078</v>
      </c>
      <c r="E2802" t="s">
        <v>2274</v>
      </c>
    </row>
    <row r="2803" spans="1:5">
      <c r="A2803" s="11"/>
      <c r="B2803" s="11">
        <v>7071039</v>
      </c>
      <c r="C2803" s="11" t="s">
        <v>2077</v>
      </c>
      <c r="D2803" s="11" t="s">
        <v>2078</v>
      </c>
      <c r="E2803" t="s">
        <v>2274</v>
      </c>
    </row>
    <row r="2804" spans="1:5">
      <c r="A2804" s="11"/>
      <c r="B2804" s="11">
        <v>7071044</v>
      </c>
      <c r="C2804" s="11" t="s">
        <v>2077</v>
      </c>
      <c r="D2804" s="11" t="s">
        <v>2078</v>
      </c>
      <c r="E2804" t="s">
        <v>2274</v>
      </c>
    </row>
    <row r="2805" spans="1:5">
      <c r="A2805" s="11"/>
      <c r="B2805" s="11">
        <v>7071045</v>
      </c>
      <c r="C2805" s="11" t="s">
        <v>2077</v>
      </c>
      <c r="D2805" s="11" t="s">
        <v>2078</v>
      </c>
      <c r="E2805" t="s">
        <v>2274</v>
      </c>
    </row>
    <row r="2806" spans="1:5">
      <c r="A2806" s="11"/>
      <c r="B2806" s="11">
        <v>7071046</v>
      </c>
      <c r="C2806" s="11" t="s">
        <v>2077</v>
      </c>
      <c r="D2806" s="11" t="s">
        <v>2078</v>
      </c>
      <c r="E2806" t="s">
        <v>2274</v>
      </c>
    </row>
    <row r="2807" spans="1:5">
      <c r="A2807" s="11"/>
      <c r="B2807" s="11">
        <v>7071047</v>
      </c>
      <c r="C2807" s="11" t="s">
        <v>2077</v>
      </c>
      <c r="D2807" s="11" t="s">
        <v>2078</v>
      </c>
      <c r="E2807" t="s">
        <v>2274</v>
      </c>
    </row>
    <row r="2808" spans="1:5">
      <c r="A2808" s="11"/>
      <c r="B2808" s="11">
        <v>7071048</v>
      </c>
      <c r="C2808" s="11" t="s">
        <v>2077</v>
      </c>
      <c r="D2808" s="11" t="s">
        <v>2078</v>
      </c>
      <c r="E2808" t="s">
        <v>2274</v>
      </c>
    </row>
    <row r="2809" spans="1:5">
      <c r="A2809" s="11"/>
      <c r="B2809" s="11">
        <v>7072001</v>
      </c>
      <c r="C2809" s="11" t="s">
        <v>2077</v>
      </c>
      <c r="D2809" s="11" t="s">
        <v>2078</v>
      </c>
      <c r="E2809" t="s">
        <v>2274</v>
      </c>
    </row>
    <row r="2810" spans="1:5">
      <c r="A2810" s="11"/>
      <c r="B2810" s="11">
        <v>7072002</v>
      </c>
      <c r="C2810" s="11" t="s">
        <v>2077</v>
      </c>
      <c r="D2810" s="11" t="s">
        <v>2078</v>
      </c>
      <c r="E2810" t="s">
        <v>2274</v>
      </c>
    </row>
    <row r="2811" spans="1:5">
      <c r="A2811" s="11"/>
      <c r="B2811" s="16">
        <v>7070136</v>
      </c>
      <c r="C2811" s="16" t="s">
        <v>2080</v>
      </c>
      <c r="D2811" s="16" t="s">
        <v>102</v>
      </c>
      <c r="E2811" t="s">
        <v>2274</v>
      </c>
    </row>
    <row r="2812" spans="1:5">
      <c r="A2812" s="11"/>
      <c r="B2812" s="16">
        <v>7070137</v>
      </c>
      <c r="C2812" s="16" t="s">
        <v>1494</v>
      </c>
      <c r="D2812" s="16" t="s">
        <v>102</v>
      </c>
      <c r="E2812" t="s">
        <v>2274</v>
      </c>
    </row>
    <row r="2813" spans="1:5">
      <c r="A2813" s="11"/>
      <c r="B2813" s="11">
        <v>7070183</v>
      </c>
      <c r="C2813" s="11" t="s">
        <v>2081</v>
      </c>
      <c r="D2813" s="11" t="s">
        <v>102</v>
      </c>
      <c r="E2813" t="s">
        <v>2274</v>
      </c>
    </row>
    <row r="2814" spans="1:5">
      <c r="A2814" s="11"/>
      <c r="B2814" s="11">
        <v>90111036</v>
      </c>
      <c r="C2814" s="11" t="s">
        <v>2082</v>
      </c>
      <c r="D2814" s="11" t="s">
        <v>102</v>
      </c>
      <c r="E2814" t="s">
        <v>2275</v>
      </c>
    </row>
    <row r="2815" spans="1:5">
      <c r="A2815" s="11"/>
      <c r="B2815" s="11">
        <v>7016143</v>
      </c>
      <c r="C2815" s="11" t="s">
        <v>2083</v>
      </c>
      <c r="D2815" s="11" t="s">
        <v>2084</v>
      </c>
      <c r="E2815" t="s">
        <v>2274</v>
      </c>
    </row>
    <row r="2816" spans="1:5">
      <c r="A2816" s="11"/>
      <c r="B2816" s="11">
        <v>7013095</v>
      </c>
      <c r="C2816" s="11" t="s">
        <v>2085</v>
      </c>
      <c r="D2816" s="11" t="s">
        <v>201</v>
      </c>
      <c r="E2816" t="s">
        <v>2274</v>
      </c>
    </row>
    <row r="2817" spans="1:5">
      <c r="A2817" s="11"/>
      <c r="B2817" s="11">
        <v>130201594</v>
      </c>
      <c r="C2817" s="11" t="s">
        <v>2086</v>
      </c>
      <c r="D2817" s="11" t="s">
        <v>1125</v>
      </c>
      <c r="E2817" t="s">
        <v>2275</v>
      </c>
    </row>
    <row r="2818" spans="1:5">
      <c r="A2818" s="11"/>
      <c r="B2818" s="11">
        <v>130201596</v>
      </c>
      <c r="C2818" s="11" t="s">
        <v>2087</v>
      </c>
      <c r="D2818" s="11" t="s">
        <v>102</v>
      </c>
      <c r="E2818" t="s">
        <v>2275</v>
      </c>
    </row>
    <row r="2819" spans="1:5">
      <c r="A2819" s="11"/>
      <c r="B2819" s="11">
        <v>130201621</v>
      </c>
      <c r="C2819" s="11" t="s">
        <v>2088</v>
      </c>
      <c r="D2819" s="11" t="s">
        <v>102</v>
      </c>
      <c r="E2819" t="s">
        <v>2275</v>
      </c>
    </row>
    <row r="2820" spans="1:5">
      <c r="A2820" s="11"/>
      <c r="B2820" s="11">
        <v>130201438</v>
      </c>
      <c r="C2820" s="11" t="s">
        <v>2089</v>
      </c>
      <c r="D2820" s="11" t="s">
        <v>1125</v>
      </c>
      <c r="E2820" t="s">
        <v>2275</v>
      </c>
    </row>
    <row r="2821" spans="1:5">
      <c r="A2821" s="11"/>
      <c r="B2821" s="11">
        <v>90101015</v>
      </c>
      <c r="C2821" s="11" t="s">
        <v>2090</v>
      </c>
      <c r="D2821" s="11" t="s">
        <v>1595</v>
      </c>
      <c r="E2821" t="s">
        <v>2275</v>
      </c>
    </row>
    <row r="2822" spans="1:5">
      <c r="A2822" s="11"/>
      <c r="B2822" s="11" t="s">
        <v>2091</v>
      </c>
      <c r="C2822" s="11" t="s">
        <v>2092</v>
      </c>
      <c r="D2822" s="11" t="s">
        <v>102</v>
      </c>
      <c r="E2822" t="s">
        <v>2275</v>
      </c>
    </row>
    <row r="2823" spans="1:5">
      <c r="A2823" s="11"/>
      <c r="B2823" s="11" t="s">
        <v>2093</v>
      </c>
      <c r="C2823" s="11" t="s">
        <v>2094</v>
      </c>
      <c r="D2823" s="11" t="s">
        <v>102</v>
      </c>
      <c r="E2823" t="s">
        <v>2275</v>
      </c>
    </row>
    <row r="2824" spans="1:5">
      <c r="A2824" s="11"/>
      <c r="B2824" s="11" t="s">
        <v>2095</v>
      </c>
      <c r="C2824" s="11" t="s">
        <v>2096</v>
      </c>
      <c r="D2824" s="11" t="s">
        <v>102</v>
      </c>
      <c r="E2824" t="s">
        <v>2275</v>
      </c>
    </row>
    <row r="2825" spans="1:5">
      <c r="A2825" s="11"/>
      <c r="B2825" s="11" t="s">
        <v>2097</v>
      </c>
      <c r="C2825" s="11" t="s">
        <v>2098</v>
      </c>
      <c r="D2825" s="11" t="s">
        <v>102</v>
      </c>
      <c r="E2825" t="s">
        <v>2275</v>
      </c>
    </row>
    <row r="2826" spans="1:5">
      <c r="A2826" s="11"/>
      <c r="B2826" s="11">
        <v>150101003</v>
      </c>
      <c r="C2826" s="11" t="s">
        <v>2099</v>
      </c>
      <c r="D2826" s="11" t="s">
        <v>102</v>
      </c>
      <c r="E2826" t="s">
        <v>2275</v>
      </c>
    </row>
    <row r="2827" spans="1:5">
      <c r="A2827" s="11"/>
      <c r="B2827" s="11">
        <v>150106004</v>
      </c>
      <c r="C2827" s="11" t="s">
        <v>2100</v>
      </c>
      <c r="D2827" s="11" t="s">
        <v>102</v>
      </c>
      <c r="E2827" t="s">
        <v>2275</v>
      </c>
    </row>
    <row r="2828" spans="1:5">
      <c r="A2828" s="11"/>
      <c r="B2828" s="11">
        <v>150114001</v>
      </c>
      <c r="C2828" s="11" t="s">
        <v>2101</v>
      </c>
      <c r="D2828" s="11" t="s">
        <v>102</v>
      </c>
      <c r="E2828" t="s">
        <v>2275</v>
      </c>
    </row>
    <row r="2829" spans="1:5">
      <c r="A2829" s="11"/>
      <c r="B2829" s="11">
        <v>150115004</v>
      </c>
      <c r="C2829" s="11" t="s">
        <v>2102</v>
      </c>
      <c r="D2829" s="11" t="s">
        <v>102</v>
      </c>
      <c r="E2829" t="s">
        <v>2275</v>
      </c>
    </row>
    <row r="2830" spans="1:5">
      <c r="A2830" s="11"/>
      <c r="B2830" s="11">
        <v>150101002</v>
      </c>
      <c r="C2830" s="11" t="s">
        <v>2103</v>
      </c>
      <c r="D2830" s="11" t="s">
        <v>102</v>
      </c>
      <c r="E2830" t="s">
        <v>2275</v>
      </c>
    </row>
    <row r="2831" spans="1:5">
      <c r="A2831" s="11"/>
      <c r="B2831" s="11">
        <v>150103002</v>
      </c>
      <c r="C2831" s="11" t="s">
        <v>2104</v>
      </c>
      <c r="D2831" s="11" t="s">
        <v>102</v>
      </c>
      <c r="E2831" t="s">
        <v>2275</v>
      </c>
    </row>
    <row r="2832" spans="1:5">
      <c r="A2832" s="11"/>
      <c r="B2832" s="11">
        <v>150103003</v>
      </c>
      <c r="C2832" s="11" t="s">
        <v>2105</v>
      </c>
      <c r="D2832" s="11" t="s">
        <v>102</v>
      </c>
      <c r="E2832" t="s">
        <v>2275</v>
      </c>
    </row>
    <row r="2833" spans="1:5">
      <c r="A2833" s="11"/>
      <c r="B2833" s="11">
        <v>150106003</v>
      </c>
      <c r="C2833" s="11" t="s">
        <v>2106</v>
      </c>
      <c r="D2833" s="11" t="s">
        <v>102</v>
      </c>
      <c r="E2833" t="s">
        <v>2275</v>
      </c>
    </row>
    <row r="2834" spans="1:5">
      <c r="A2834" s="11"/>
      <c r="B2834" s="11">
        <v>150106007</v>
      </c>
      <c r="C2834" s="11" t="s">
        <v>2107</v>
      </c>
      <c r="D2834" s="11" t="s">
        <v>102</v>
      </c>
      <c r="E2834" t="s">
        <v>2275</v>
      </c>
    </row>
    <row r="2835" spans="1:5">
      <c r="A2835" s="11"/>
      <c r="B2835" s="11">
        <v>150115006</v>
      </c>
      <c r="C2835" s="11" t="s">
        <v>2108</v>
      </c>
      <c r="D2835" s="11" t="s">
        <v>102</v>
      </c>
      <c r="E2835" t="s">
        <v>2275</v>
      </c>
    </row>
    <row r="2836" spans="1:5">
      <c r="A2836" s="11"/>
      <c r="B2836" s="11">
        <v>150115008</v>
      </c>
      <c r="C2836" s="11" t="s">
        <v>2109</v>
      </c>
      <c r="D2836" s="11" t="s">
        <v>102</v>
      </c>
      <c r="E2836" t="s">
        <v>2275</v>
      </c>
    </row>
    <row r="2837" spans="1:5">
      <c r="A2837" s="11"/>
      <c r="B2837" s="11">
        <v>150117000</v>
      </c>
      <c r="C2837" s="11" t="s">
        <v>2110</v>
      </c>
      <c r="D2837" s="11" t="s">
        <v>102</v>
      </c>
      <c r="E2837" t="s">
        <v>2275</v>
      </c>
    </row>
    <row r="2838" spans="1:5">
      <c r="A2838" s="11"/>
      <c r="B2838" s="11">
        <v>150118000</v>
      </c>
      <c r="C2838" s="11" t="s">
        <v>2111</v>
      </c>
      <c r="D2838" s="11" t="s">
        <v>102</v>
      </c>
      <c r="E2838" t="s">
        <v>2275</v>
      </c>
    </row>
    <row r="2839" spans="1:5">
      <c r="B2839" s="14">
        <v>150119000</v>
      </c>
      <c r="C2839" s="14" t="s">
        <v>2112</v>
      </c>
      <c r="D2839" s="14" t="s">
        <v>102</v>
      </c>
      <c r="E2839" t="s">
        <v>2275</v>
      </c>
    </row>
    <row r="2840" spans="1:5">
      <c r="B2840" s="14">
        <v>150119001</v>
      </c>
      <c r="C2840" s="14" t="s">
        <v>2113</v>
      </c>
      <c r="D2840" s="14" t="s">
        <v>102</v>
      </c>
      <c r="E2840" t="s">
        <v>2275</v>
      </c>
    </row>
    <row r="2841" spans="1:5">
      <c r="B2841" s="14">
        <v>2102093</v>
      </c>
      <c r="C2841" s="14" t="s">
        <v>2114</v>
      </c>
      <c r="D2841" s="14" t="s">
        <v>102</v>
      </c>
      <c r="E2841" t="s">
        <v>2272</v>
      </c>
    </row>
    <row r="2842" spans="1:5">
      <c r="B2842" s="14">
        <v>2102097</v>
      </c>
      <c r="C2842" s="14" t="s">
        <v>2115</v>
      </c>
      <c r="D2842" s="14" t="s">
        <v>109</v>
      </c>
      <c r="E2842" t="s">
        <v>2272</v>
      </c>
    </row>
    <row r="2843" spans="1:5">
      <c r="B2843" s="14">
        <v>2102128</v>
      </c>
      <c r="C2843" s="14" t="s">
        <v>2116</v>
      </c>
      <c r="D2843" s="14" t="s">
        <v>2117</v>
      </c>
      <c r="E2843" t="s">
        <v>2272</v>
      </c>
    </row>
    <row r="2844" spans="1:5">
      <c r="B2844" s="14">
        <v>90202074</v>
      </c>
      <c r="C2844" s="14" t="s">
        <v>2118</v>
      </c>
      <c r="D2844" s="14" t="s">
        <v>506</v>
      </c>
      <c r="E2844" t="s">
        <v>2275</v>
      </c>
    </row>
    <row r="2845" spans="1:5">
      <c r="B2845" s="14">
        <v>90202056</v>
      </c>
      <c r="C2845" s="14" t="s">
        <v>2119</v>
      </c>
      <c r="D2845" s="14" t="s">
        <v>493</v>
      </c>
      <c r="E2845" t="s">
        <v>2275</v>
      </c>
    </row>
    <row r="2846" spans="1:5">
      <c r="B2846" s="14">
        <v>90202048</v>
      </c>
      <c r="C2846" s="14" t="s">
        <v>2120</v>
      </c>
      <c r="D2846" s="14" t="s">
        <v>493</v>
      </c>
      <c r="E2846" t="s">
        <v>2275</v>
      </c>
    </row>
    <row r="2847" spans="1:5">
      <c r="B2847" s="14">
        <v>90202057</v>
      </c>
      <c r="C2847" s="14" t="s">
        <v>1758</v>
      </c>
      <c r="D2847" s="14" t="s">
        <v>102</v>
      </c>
      <c r="E2847" t="s">
        <v>2275</v>
      </c>
    </row>
    <row r="2848" spans="1:5">
      <c r="B2848" s="14">
        <v>90202078</v>
      </c>
      <c r="C2848" s="14" t="s">
        <v>2121</v>
      </c>
      <c r="D2848" s="14" t="s">
        <v>749</v>
      </c>
      <c r="E2848" t="s">
        <v>2275</v>
      </c>
    </row>
    <row r="2849" spans="2:5">
      <c r="B2849" s="14">
        <v>4990143</v>
      </c>
      <c r="C2849" s="14" t="s">
        <v>2122</v>
      </c>
      <c r="D2849" s="14" t="s">
        <v>102</v>
      </c>
      <c r="E2849" t="s">
        <v>2273</v>
      </c>
    </row>
    <row r="2850" spans="2:5">
      <c r="B2850" s="14">
        <v>130201216</v>
      </c>
      <c r="C2850" s="14" t="s">
        <v>2123</v>
      </c>
      <c r="D2850" s="14" t="s">
        <v>102</v>
      </c>
      <c r="E2850" t="s">
        <v>2275</v>
      </c>
    </row>
    <row r="2851" spans="2:5">
      <c r="B2851" s="14">
        <v>130201217</v>
      </c>
      <c r="C2851" s="14" t="s">
        <v>2124</v>
      </c>
      <c r="D2851" s="14" t="s">
        <v>102</v>
      </c>
      <c r="E2851" t="s">
        <v>2275</v>
      </c>
    </row>
    <row r="2852" spans="2:5">
      <c r="B2852" s="14">
        <v>130201584</v>
      </c>
      <c r="C2852" s="17" t="s">
        <v>2125</v>
      </c>
      <c r="D2852" s="17" t="s">
        <v>1125</v>
      </c>
      <c r="E2852" t="s">
        <v>2275</v>
      </c>
    </row>
    <row r="2853" spans="2:5">
      <c r="B2853" s="14">
        <v>130201586</v>
      </c>
      <c r="C2853" s="13" t="s">
        <v>2126</v>
      </c>
      <c r="D2853" s="17" t="s">
        <v>1125</v>
      </c>
      <c r="E2853" t="s">
        <v>2275</v>
      </c>
    </row>
    <row r="2854" spans="2:5">
      <c r="B2854" s="14">
        <v>130201588</v>
      </c>
      <c r="C2854" s="17" t="s">
        <v>2127</v>
      </c>
      <c r="D2854" s="3" t="s">
        <v>1125</v>
      </c>
      <c r="E2854" t="s">
        <v>2275</v>
      </c>
    </row>
    <row r="2855" spans="2:5">
      <c r="B2855" s="14">
        <v>130201638</v>
      </c>
      <c r="C2855" s="17" t="s">
        <v>2128</v>
      </c>
      <c r="D2855" s="4" t="s">
        <v>1125</v>
      </c>
      <c r="E2855" t="s">
        <v>2275</v>
      </c>
    </row>
    <row r="2856" spans="2:5">
      <c r="B2856" s="14">
        <v>130201639</v>
      </c>
      <c r="C2856" s="17" t="s">
        <v>2129</v>
      </c>
      <c r="D2856" s="4" t="s">
        <v>1125</v>
      </c>
      <c r="E2856" t="s">
        <v>2275</v>
      </c>
    </row>
    <row r="2857" spans="2:5">
      <c r="B2857" s="14">
        <v>90103046</v>
      </c>
      <c r="C2857" s="13" t="s">
        <v>2130</v>
      </c>
      <c r="E2857" t="s">
        <v>2275</v>
      </c>
    </row>
    <row r="2858" spans="2:5">
      <c r="B2858" s="14">
        <v>7014102</v>
      </c>
      <c r="C2858" s="13" t="s">
        <v>2131</v>
      </c>
      <c r="D2858" t="s">
        <v>102</v>
      </c>
      <c r="E2858" t="s">
        <v>2274</v>
      </c>
    </row>
    <row r="2859" spans="2:5">
      <c r="B2859" s="14">
        <v>7014103</v>
      </c>
      <c r="C2859" s="13" t="s">
        <v>2132</v>
      </c>
      <c r="D2859" t="s">
        <v>102</v>
      </c>
      <c r="E2859" t="s">
        <v>2274</v>
      </c>
    </row>
    <row r="2860" spans="2:5">
      <c r="B2860" s="14">
        <v>90103090</v>
      </c>
      <c r="C2860" s="13" t="s">
        <v>1676</v>
      </c>
      <c r="D2860" t="s">
        <v>102</v>
      </c>
      <c r="E2860" t="s">
        <v>2275</v>
      </c>
    </row>
    <row r="2861" spans="2:5">
      <c r="B2861" s="14">
        <v>7013108</v>
      </c>
      <c r="C2861" s="13" t="s">
        <v>2133</v>
      </c>
      <c r="D2861" t="s">
        <v>99</v>
      </c>
      <c r="E2861" t="s">
        <v>2274</v>
      </c>
    </row>
    <row r="2862" spans="2:5">
      <c r="B2862" s="14">
        <v>90110019</v>
      </c>
      <c r="C2862" s="13" t="s">
        <v>2134</v>
      </c>
      <c r="D2862" t="s">
        <v>102</v>
      </c>
      <c r="E2862" t="s">
        <v>2275</v>
      </c>
    </row>
    <row r="2863" spans="2:5">
      <c r="B2863" s="14">
        <v>130201598</v>
      </c>
      <c r="C2863" s="13" t="s">
        <v>2135</v>
      </c>
      <c r="D2863" t="s">
        <v>1125</v>
      </c>
      <c r="E2863" t="s">
        <v>2275</v>
      </c>
    </row>
    <row r="2864" spans="2:5">
      <c r="B2864" s="14">
        <v>7011109</v>
      </c>
      <c r="C2864" s="13" t="s">
        <v>2136</v>
      </c>
      <c r="D2864" t="s">
        <v>102</v>
      </c>
      <c r="E2864" t="s">
        <v>2275</v>
      </c>
    </row>
    <row r="2865" spans="2:5">
      <c r="B2865" s="14">
        <v>90202001</v>
      </c>
      <c r="C2865" s="13" t="s">
        <v>2137</v>
      </c>
      <c r="D2865" t="s">
        <v>102</v>
      </c>
      <c r="E2865" t="s">
        <v>2275</v>
      </c>
    </row>
    <row r="2866" spans="2:5">
      <c r="B2866" s="14">
        <v>90202070</v>
      </c>
      <c r="C2866" s="13" t="s">
        <v>2138</v>
      </c>
      <c r="D2866" t="s">
        <v>102</v>
      </c>
      <c r="E2866" t="s">
        <v>2275</v>
      </c>
    </row>
    <row r="2867" spans="2:5">
      <c r="B2867" s="14">
        <v>90202079</v>
      </c>
      <c r="C2867" s="13" t="s">
        <v>2139</v>
      </c>
      <c r="D2867" t="s">
        <v>102</v>
      </c>
      <c r="E2867" t="s">
        <v>2275</v>
      </c>
    </row>
    <row r="2868" spans="2:5">
      <c r="B2868" s="14">
        <v>2102115</v>
      </c>
      <c r="C2868" s="13" t="s">
        <v>2140</v>
      </c>
      <c r="D2868" t="s">
        <v>102</v>
      </c>
      <c r="E2868" t="s">
        <v>2272</v>
      </c>
    </row>
    <row r="2869" spans="2:5">
      <c r="B2869" s="14">
        <v>130201517</v>
      </c>
      <c r="C2869" s="13" t="s">
        <v>2141</v>
      </c>
      <c r="D2869" t="s">
        <v>102</v>
      </c>
      <c r="E2869" t="s">
        <v>2275</v>
      </c>
    </row>
    <row r="2870" spans="2:5">
      <c r="B2870" s="14">
        <v>90101006</v>
      </c>
      <c r="C2870" s="13" t="s">
        <v>2142</v>
      </c>
      <c r="D2870" t="s">
        <v>102</v>
      </c>
      <c r="E2870" t="s">
        <v>2275</v>
      </c>
    </row>
    <row r="2871" spans="2:5">
      <c r="B2871" s="14">
        <v>90503026</v>
      </c>
      <c r="C2871" s="13" t="s">
        <v>2143</v>
      </c>
      <c r="D2871" t="s">
        <v>102</v>
      </c>
      <c r="E2871" t="s">
        <v>2275</v>
      </c>
    </row>
    <row r="2872" spans="2:5">
      <c r="B2872" s="14">
        <v>130201414</v>
      </c>
      <c r="C2872" s="13" t="s">
        <v>2144</v>
      </c>
      <c r="D2872" s="3" t="s">
        <v>1125</v>
      </c>
      <c r="E2872" t="s">
        <v>2275</v>
      </c>
    </row>
    <row r="2873" spans="2:5">
      <c r="B2873" s="14">
        <v>130201434</v>
      </c>
      <c r="C2873" s="13" t="s">
        <v>2145</v>
      </c>
      <c r="D2873" s="3" t="s">
        <v>1125</v>
      </c>
      <c r="E2873" t="s">
        <v>2275</v>
      </c>
    </row>
    <row r="2874" spans="2:5">
      <c r="B2874" s="14">
        <v>7013105</v>
      </c>
      <c r="C2874" s="13" t="s">
        <v>2146</v>
      </c>
      <c r="D2874" s="3" t="s">
        <v>99</v>
      </c>
      <c r="E2874" t="s">
        <v>2274</v>
      </c>
    </row>
    <row r="2875" spans="2:5">
      <c r="B2875" s="14">
        <v>6990944</v>
      </c>
      <c r="C2875" s="13" t="s">
        <v>2147</v>
      </c>
      <c r="D2875" s="3" t="s">
        <v>102</v>
      </c>
      <c r="E2875" t="s">
        <v>2274</v>
      </c>
    </row>
    <row r="2876" spans="2:5">
      <c r="B2876" s="14">
        <v>9990007</v>
      </c>
      <c r="C2876" s="13" t="s">
        <v>2148</v>
      </c>
      <c r="D2876" s="3" t="s">
        <v>1125</v>
      </c>
      <c r="E2876" t="s">
        <v>2275</v>
      </c>
    </row>
    <row r="2877" spans="2:5">
      <c r="B2877" s="14">
        <v>7050034</v>
      </c>
      <c r="C2877" s="13" t="s">
        <v>2149</v>
      </c>
      <c r="D2877" s="3" t="s">
        <v>781</v>
      </c>
      <c r="E2877" t="s">
        <v>2274</v>
      </c>
    </row>
    <row r="2878" spans="2:5">
      <c r="B2878" s="14">
        <v>90110019</v>
      </c>
      <c r="C2878" s="13" t="s">
        <v>2150</v>
      </c>
      <c r="D2878" s="3" t="s">
        <v>102</v>
      </c>
      <c r="E2878" t="s">
        <v>2275</v>
      </c>
    </row>
    <row r="2879" spans="2:5">
      <c r="B2879" s="14">
        <v>130201641</v>
      </c>
      <c r="C2879" s="13" t="s">
        <v>2151</v>
      </c>
      <c r="D2879" s="3" t="s">
        <v>1125</v>
      </c>
      <c r="E2879" t="s">
        <v>2275</v>
      </c>
    </row>
    <row r="2880" spans="2:5">
      <c r="B2880" s="14">
        <v>130201375</v>
      </c>
      <c r="C2880" s="13" t="s">
        <v>2152</v>
      </c>
      <c r="D2880" s="3" t="s">
        <v>1821</v>
      </c>
      <c r="E2880" t="s">
        <v>2275</v>
      </c>
    </row>
    <row r="2881" spans="2:5">
      <c r="B2881" s="14">
        <v>90202044</v>
      </c>
      <c r="C2881" s="13" t="s">
        <v>2153</v>
      </c>
      <c r="D2881" s="3" t="s">
        <v>102</v>
      </c>
      <c r="E2881" t="s">
        <v>2275</v>
      </c>
    </row>
    <row r="2882" spans="2:5">
      <c r="B2882" s="14">
        <v>90304012</v>
      </c>
      <c r="C2882" s="13" t="s">
        <v>2154</v>
      </c>
      <c r="D2882" s="3" t="s">
        <v>102</v>
      </c>
      <c r="E2882" t="s">
        <v>2275</v>
      </c>
    </row>
    <row r="2883" spans="2:5">
      <c r="B2883" s="14">
        <v>6990547</v>
      </c>
      <c r="C2883" s="13" t="s">
        <v>2155</v>
      </c>
      <c r="D2883" s="3" t="s">
        <v>102</v>
      </c>
      <c r="E2883" t="s">
        <v>2274</v>
      </c>
    </row>
    <row r="2884" spans="2:5">
      <c r="B2884" s="14">
        <v>2007020</v>
      </c>
      <c r="C2884" s="13" t="s">
        <v>2156</v>
      </c>
      <c r="D2884" s="3" t="s">
        <v>2157</v>
      </c>
      <c r="E2884" t="s">
        <v>2272</v>
      </c>
    </row>
    <row r="2885" spans="2:5">
      <c r="B2885" s="14">
        <v>2007022</v>
      </c>
      <c r="C2885" s="13" t="s">
        <v>2158</v>
      </c>
      <c r="D2885" s="3" t="s">
        <v>2157</v>
      </c>
      <c r="E2885" t="s">
        <v>2272</v>
      </c>
    </row>
    <row r="2886" spans="2:5">
      <c r="B2886" s="14">
        <v>2102086</v>
      </c>
      <c r="C2886" s="13" t="s">
        <v>2159</v>
      </c>
      <c r="D2886" s="3" t="s">
        <v>146</v>
      </c>
      <c r="E2886" t="s">
        <v>2272</v>
      </c>
    </row>
    <row r="2887" spans="2:5">
      <c r="B2887" s="14">
        <v>7012156</v>
      </c>
      <c r="C2887" s="13" t="s">
        <v>2160</v>
      </c>
      <c r="D2887" s="3" t="s">
        <v>102</v>
      </c>
      <c r="E2887" t="s">
        <v>2274</v>
      </c>
    </row>
    <row r="2888" spans="2:5">
      <c r="B2888" s="14">
        <v>7016201</v>
      </c>
      <c r="C2888" s="13" t="s">
        <v>2161</v>
      </c>
      <c r="D2888" s="3" t="s">
        <v>109</v>
      </c>
      <c r="E2888" t="s">
        <v>2274</v>
      </c>
    </row>
    <row r="2889" spans="2:5">
      <c r="B2889" s="14">
        <v>90110021</v>
      </c>
      <c r="C2889" s="13" t="s">
        <v>2162</v>
      </c>
      <c r="D2889" s="3" t="s">
        <v>102</v>
      </c>
      <c r="E2889" t="s">
        <v>2275</v>
      </c>
    </row>
    <row r="2890" spans="2:5">
      <c r="B2890" s="14">
        <v>90401002</v>
      </c>
      <c r="C2890" s="13" t="s">
        <v>2163</v>
      </c>
      <c r="D2890" s="3" t="s">
        <v>102</v>
      </c>
      <c r="E2890" t="s">
        <v>2275</v>
      </c>
    </row>
    <row r="2891" spans="2:5">
      <c r="B2891" s="14">
        <v>150401026</v>
      </c>
      <c r="C2891" s="13" t="s">
        <v>2164</v>
      </c>
      <c r="D2891" s="3" t="s">
        <v>102</v>
      </c>
      <c r="E2891" t="s">
        <v>2275</v>
      </c>
    </row>
    <row r="2892" spans="2:5">
      <c r="B2892" s="14">
        <v>7018076</v>
      </c>
      <c r="C2892" s="13" t="s">
        <v>2165</v>
      </c>
      <c r="D2892" s="3" t="s">
        <v>102</v>
      </c>
      <c r="E2892" t="s">
        <v>2274</v>
      </c>
    </row>
    <row r="2893" spans="2:5">
      <c r="B2893" s="14">
        <v>7090123</v>
      </c>
      <c r="C2893" s="13" t="s">
        <v>2166</v>
      </c>
      <c r="D2893" s="3" t="s">
        <v>516</v>
      </c>
      <c r="E2893" t="s">
        <v>2274</v>
      </c>
    </row>
    <row r="2894" spans="2:5">
      <c r="B2894" s="14">
        <v>7090092</v>
      </c>
      <c r="C2894" s="13" t="s">
        <v>2167</v>
      </c>
      <c r="D2894" s="3" t="s">
        <v>102</v>
      </c>
      <c r="E2894" t="s">
        <v>2274</v>
      </c>
    </row>
    <row r="2895" spans="2:5">
      <c r="B2895" s="14">
        <v>7090093</v>
      </c>
      <c r="C2895" s="13" t="s">
        <v>2168</v>
      </c>
      <c r="D2895" s="3" t="s">
        <v>102</v>
      </c>
      <c r="E2895" t="s">
        <v>2274</v>
      </c>
    </row>
    <row r="2896" spans="2:5">
      <c r="B2896" s="14">
        <v>7016108</v>
      </c>
      <c r="C2896" s="13" t="s">
        <v>2169</v>
      </c>
      <c r="D2896" s="3" t="s">
        <v>102</v>
      </c>
      <c r="E2896" t="s">
        <v>2274</v>
      </c>
    </row>
    <row r="2897" spans="2:5">
      <c r="B2897" t="s">
        <v>2170</v>
      </c>
      <c r="C2897" s="13" t="s">
        <v>2171</v>
      </c>
      <c r="D2897" s="3" t="s">
        <v>102</v>
      </c>
      <c r="E2897" t="s">
        <v>2275</v>
      </c>
    </row>
    <row r="2898" spans="2:5">
      <c r="B2898">
        <v>7090114</v>
      </c>
      <c r="C2898" s="13" t="s">
        <v>2172</v>
      </c>
      <c r="D2898" s="3" t="s">
        <v>102</v>
      </c>
      <c r="E2898" t="s">
        <v>2274</v>
      </c>
    </row>
    <row r="2899" spans="2:5">
      <c r="B2899">
        <v>7090115</v>
      </c>
      <c r="C2899" s="13" t="s">
        <v>2173</v>
      </c>
      <c r="D2899" s="3" t="s">
        <v>102</v>
      </c>
      <c r="E2899" t="s">
        <v>2274</v>
      </c>
    </row>
    <row r="2900" spans="2:5">
      <c r="B2900">
        <v>7090124</v>
      </c>
      <c r="C2900" s="13" t="s">
        <v>2174</v>
      </c>
      <c r="D2900" s="3" t="s">
        <v>516</v>
      </c>
      <c r="E2900" t="s">
        <v>2274</v>
      </c>
    </row>
    <row r="2901" spans="2:5">
      <c r="B2901">
        <v>4104169</v>
      </c>
      <c r="C2901" s="13" t="s">
        <v>2175</v>
      </c>
      <c r="D2901" s="3" t="s">
        <v>102</v>
      </c>
      <c r="E2901" t="s">
        <v>2273</v>
      </c>
    </row>
    <row r="2902" spans="2:5">
      <c r="B2902">
        <v>90501043</v>
      </c>
      <c r="C2902" s="13" t="s">
        <v>2176</v>
      </c>
      <c r="D2902" s="3" t="s">
        <v>102</v>
      </c>
      <c r="E2902" t="s">
        <v>2275</v>
      </c>
    </row>
    <row r="2903" spans="2:5">
      <c r="B2903">
        <v>7038080</v>
      </c>
      <c r="C2903" s="13" t="s">
        <v>2177</v>
      </c>
      <c r="D2903" s="3" t="s">
        <v>102</v>
      </c>
      <c r="E2903" t="s">
        <v>2274</v>
      </c>
    </row>
    <row r="2904" spans="2:5">
      <c r="B2904">
        <v>2007021</v>
      </c>
      <c r="C2904" s="13" t="s">
        <v>2178</v>
      </c>
      <c r="D2904" s="3" t="s">
        <v>102</v>
      </c>
      <c r="E2904" t="s">
        <v>2272</v>
      </c>
    </row>
    <row r="2905" spans="2:5">
      <c r="B2905">
        <v>90202014</v>
      </c>
      <c r="C2905" s="13" t="s">
        <v>2179</v>
      </c>
      <c r="D2905" s="3" t="s">
        <v>102</v>
      </c>
      <c r="E2905" t="s">
        <v>2275</v>
      </c>
    </row>
    <row r="2906" spans="2:5">
      <c r="B2906">
        <v>90305056</v>
      </c>
      <c r="C2906" s="13" t="s">
        <v>2180</v>
      </c>
      <c r="D2906" s="3" t="s">
        <v>102</v>
      </c>
      <c r="E2906" t="s">
        <v>2275</v>
      </c>
    </row>
    <row r="2907" spans="2:5">
      <c r="B2907">
        <v>130201554</v>
      </c>
      <c r="C2907" s="13" t="s">
        <v>2181</v>
      </c>
      <c r="D2907" s="3" t="s">
        <v>102</v>
      </c>
      <c r="E2907" t="s">
        <v>2275</v>
      </c>
    </row>
    <row r="2908" spans="2:5">
      <c r="B2908">
        <v>4001020</v>
      </c>
      <c r="C2908" s="13" t="s">
        <v>2182</v>
      </c>
      <c r="D2908" s="3" t="s">
        <v>102</v>
      </c>
      <c r="E2908" t="s">
        <v>2273</v>
      </c>
    </row>
    <row r="2909" spans="2:5">
      <c r="B2909">
        <v>7016165</v>
      </c>
      <c r="C2909" s="13" t="s">
        <v>2183</v>
      </c>
      <c r="D2909" s="3" t="s">
        <v>102</v>
      </c>
      <c r="E2909" t="s">
        <v>2274</v>
      </c>
    </row>
    <row r="2910" spans="2:5">
      <c r="B2910">
        <v>90108001</v>
      </c>
      <c r="C2910" s="13" t="s">
        <v>2184</v>
      </c>
      <c r="D2910" s="3" t="s">
        <v>102</v>
      </c>
      <c r="E2910" t="s">
        <v>2275</v>
      </c>
    </row>
    <row r="2911" spans="2:5">
      <c r="B2911">
        <v>90112006</v>
      </c>
      <c r="C2911" s="13" t="s">
        <v>2185</v>
      </c>
      <c r="D2911" s="3" t="s">
        <v>102</v>
      </c>
      <c r="E2911" t="s">
        <v>2275</v>
      </c>
    </row>
    <row r="2912" spans="2:5">
      <c r="B2912">
        <v>90501030</v>
      </c>
      <c r="C2912" s="13" t="s">
        <v>2186</v>
      </c>
      <c r="D2912" s="3" t="s">
        <v>102</v>
      </c>
      <c r="E2912" t="s">
        <v>2275</v>
      </c>
    </row>
    <row r="2913" spans="2:5">
      <c r="B2913" t="s">
        <v>2187</v>
      </c>
      <c r="C2913" s="13" t="s">
        <v>2188</v>
      </c>
      <c r="D2913" s="3" t="s">
        <v>102</v>
      </c>
      <c r="E2913" t="s">
        <v>2275</v>
      </c>
    </row>
    <row r="2914" spans="2:5">
      <c r="B2914">
        <v>130201527</v>
      </c>
      <c r="C2914" s="13" t="s">
        <v>2189</v>
      </c>
      <c r="D2914" s="3" t="s">
        <v>1125</v>
      </c>
      <c r="E2914" t="s">
        <v>2275</v>
      </c>
    </row>
    <row r="2915" spans="2:5">
      <c r="B2915">
        <v>90102024</v>
      </c>
      <c r="C2915" s="13" t="s">
        <v>2190</v>
      </c>
      <c r="D2915" s="3" t="s">
        <v>102</v>
      </c>
      <c r="E2915" t="s">
        <v>2275</v>
      </c>
    </row>
    <row r="2916" spans="2:5">
      <c r="B2916">
        <v>130201432</v>
      </c>
      <c r="C2916" s="13" t="s">
        <v>2191</v>
      </c>
      <c r="D2916" s="3" t="s">
        <v>1125</v>
      </c>
      <c r="E2916" t="s">
        <v>2275</v>
      </c>
    </row>
    <row r="2917" spans="2:5">
      <c r="B2917">
        <v>90104001</v>
      </c>
      <c r="C2917" s="13" t="s">
        <v>2192</v>
      </c>
      <c r="D2917" s="3" t="s">
        <v>102</v>
      </c>
      <c r="E2917" t="s">
        <v>2275</v>
      </c>
    </row>
    <row r="2918" spans="2:5">
      <c r="B2918">
        <v>90501023</v>
      </c>
      <c r="C2918" s="13" t="s">
        <v>2193</v>
      </c>
      <c r="D2918" s="3" t="s">
        <v>102</v>
      </c>
      <c r="E2918" t="s">
        <v>2275</v>
      </c>
    </row>
    <row r="2919" spans="2:5">
      <c r="B2919">
        <v>90502074</v>
      </c>
      <c r="C2919" s="13" t="s">
        <v>2194</v>
      </c>
      <c r="D2919" s="3" t="s">
        <v>102</v>
      </c>
      <c r="E2919" t="s">
        <v>2275</v>
      </c>
    </row>
    <row r="2920" spans="2:5">
      <c r="B2920">
        <v>7112069</v>
      </c>
      <c r="C2920" s="13" t="s">
        <v>2195</v>
      </c>
      <c r="D2920" t="s">
        <v>102</v>
      </c>
      <c r="E2920" t="s">
        <v>2274</v>
      </c>
    </row>
    <row r="2921" spans="2:5">
      <c r="B2921">
        <v>130201098</v>
      </c>
      <c r="C2921" s="13" t="s">
        <v>2196</v>
      </c>
      <c r="D2921" t="s">
        <v>1125</v>
      </c>
      <c r="E2921" t="s">
        <v>2275</v>
      </c>
    </row>
    <row r="2922" spans="2:5">
      <c r="B2922">
        <v>90106013</v>
      </c>
      <c r="C2922" s="13" t="s">
        <v>2197</v>
      </c>
      <c r="D2922" t="s">
        <v>102</v>
      </c>
      <c r="E2922" t="s">
        <v>2275</v>
      </c>
    </row>
    <row r="2923" spans="2:5">
      <c r="B2923">
        <v>90502074</v>
      </c>
      <c r="C2923" s="13" t="s">
        <v>2194</v>
      </c>
      <c r="D2923" t="s">
        <v>102</v>
      </c>
      <c r="E2923" t="s">
        <v>2275</v>
      </c>
    </row>
    <row r="2924" spans="2:5">
      <c r="B2924">
        <v>90304015</v>
      </c>
      <c r="C2924" s="13" t="s">
        <v>2198</v>
      </c>
      <c r="D2924" t="s">
        <v>102</v>
      </c>
      <c r="E2924" t="s">
        <v>2275</v>
      </c>
    </row>
    <row r="2925" spans="2:5">
      <c r="B2925">
        <v>130201587</v>
      </c>
      <c r="C2925" s="13" t="s">
        <v>2199</v>
      </c>
      <c r="D2925" t="s">
        <v>1125</v>
      </c>
      <c r="E2925" t="s">
        <v>2275</v>
      </c>
    </row>
    <row r="2926" spans="2:5">
      <c r="B2926">
        <v>130201535</v>
      </c>
      <c r="C2926" s="13" t="s">
        <v>2200</v>
      </c>
      <c r="D2926" t="s">
        <v>1125</v>
      </c>
      <c r="E2926" t="s">
        <v>2275</v>
      </c>
    </row>
    <row r="2927" spans="2:5">
      <c r="B2927">
        <v>7050030</v>
      </c>
      <c r="C2927" s="13" t="s">
        <v>2201</v>
      </c>
      <c r="D2927" t="s">
        <v>781</v>
      </c>
      <c r="E2927" t="s">
        <v>2274</v>
      </c>
    </row>
    <row r="2928" spans="2:5">
      <c r="B2928">
        <v>130201525</v>
      </c>
      <c r="C2928" s="13" t="s">
        <v>2202</v>
      </c>
      <c r="D2928" t="s">
        <v>1125</v>
      </c>
      <c r="E2928" t="s">
        <v>2274</v>
      </c>
    </row>
    <row r="2929" spans="2:5">
      <c r="B2929">
        <v>7013091</v>
      </c>
      <c r="C2929" s="13" t="s">
        <v>2203</v>
      </c>
      <c r="D2929" t="s">
        <v>102</v>
      </c>
      <c r="E2929" t="s">
        <v>2274</v>
      </c>
    </row>
    <row r="2930" spans="2:5">
      <c r="B2930">
        <v>7011092</v>
      </c>
      <c r="C2930" s="13" t="s">
        <v>2204</v>
      </c>
      <c r="D2930" t="s">
        <v>102</v>
      </c>
      <c r="E2930" t="s">
        <v>2274</v>
      </c>
    </row>
    <row r="2931" spans="2:5">
      <c r="B2931">
        <v>130201222</v>
      </c>
      <c r="C2931" s="13" t="s">
        <v>2205</v>
      </c>
      <c r="D2931" t="s">
        <v>1821</v>
      </c>
      <c r="E2931" t="s">
        <v>2275</v>
      </c>
    </row>
    <row r="2932" spans="2:5">
      <c r="B2932" t="s">
        <v>2206</v>
      </c>
      <c r="C2932" s="13" t="s">
        <v>2207</v>
      </c>
      <c r="D2932" t="s">
        <v>102</v>
      </c>
      <c r="E2932" t="s">
        <v>2275</v>
      </c>
    </row>
    <row r="2933" spans="2:5">
      <c r="B2933">
        <v>90501121</v>
      </c>
      <c r="C2933" s="13" t="s">
        <v>2208</v>
      </c>
      <c r="D2933" t="s">
        <v>102</v>
      </c>
      <c r="E2933" t="s">
        <v>2275</v>
      </c>
    </row>
    <row r="2934" spans="2:5">
      <c r="B2934">
        <v>130201629</v>
      </c>
      <c r="C2934" s="13" t="s">
        <v>2209</v>
      </c>
      <c r="D2934" s="3" t="s">
        <v>1125</v>
      </c>
      <c r="E2934" t="s">
        <v>2275</v>
      </c>
    </row>
    <row r="2935" spans="2:5">
      <c r="B2935">
        <v>130201161</v>
      </c>
      <c r="C2935" s="13" t="s">
        <v>2210</v>
      </c>
      <c r="D2935" s="3" t="s">
        <v>1125</v>
      </c>
      <c r="E2935" t="s">
        <v>2275</v>
      </c>
    </row>
    <row r="2936" spans="2:5">
      <c r="B2936">
        <v>7037095</v>
      </c>
      <c r="C2936" s="13" t="s">
        <v>2211</v>
      </c>
      <c r="D2936" s="3" t="s">
        <v>102</v>
      </c>
      <c r="E2936" t="s">
        <v>2275</v>
      </c>
    </row>
    <row r="2937" spans="2:5">
      <c r="B2937">
        <v>150122000</v>
      </c>
      <c r="C2937" s="13" t="s">
        <v>2212</v>
      </c>
      <c r="D2937" s="3" t="s">
        <v>102</v>
      </c>
      <c r="E2937" t="s">
        <v>2275</v>
      </c>
    </row>
    <row r="2938" spans="2:5">
      <c r="B2938">
        <v>130201662</v>
      </c>
      <c r="C2938" s="13" t="s">
        <v>2213</v>
      </c>
      <c r="D2938" s="3" t="s">
        <v>1821</v>
      </c>
      <c r="E2938" t="s">
        <v>2275</v>
      </c>
    </row>
    <row r="2939" spans="2:5">
      <c r="B2939">
        <v>130201663</v>
      </c>
      <c r="C2939" s="13" t="s">
        <v>2214</v>
      </c>
      <c r="D2939" s="3" t="s">
        <v>1821</v>
      </c>
      <c r="E2939" t="s">
        <v>2275</v>
      </c>
    </row>
    <row r="2940" spans="2:5">
      <c r="B2940">
        <v>90305036</v>
      </c>
      <c r="C2940" s="13" t="s">
        <v>2215</v>
      </c>
      <c r="D2940" s="3" t="s">
        <v>102</v>
      </c>
      <c r="E2940" t="s">
        <v>2275</v>
      </c>
    </row>
    <row r="2941" spans="2:5">
      <c r="B2941" t="s">
        <v>2216</v>
      </c>
      <c r="C2941" s="13" t="s">
        <v>2217</v>
      </c>
      <c r="D2941" s="3" t="s">
        <v>102</v>
      </c>
      <c r="E2941" t="s">
        <v>2275</v>
      </c>
    </row>
    <row r="2942" spans="2:5">
      <c r="B2942" s="98" t="s">
        <v>2218</v>
      </c>
      <c r="C2942" s="13" t="s">
        <v>2219</v>
      </c>
      <c r="D2942" s="3" t="s">
        <v>2220</v>
      </c>
      <c r="E2942" t="s">
        <v>2220</v>
      </c>
    </row>
    <row r="2943" spans="2:5">
      <c r="B2943" s="98">
        <v>130201491</v>
      </c>
      <c r="C2943" s="17" t="s">
        <v>2288</v>
      </c>
      <c r="D2943" s="98" t="s">
        <v>1125</v>
      </c>
      <c r="E2943" t="s">
        <v>2275</v>
      </c>
    </row>
    <row r="2944" spans="2:5">
      <c r="B2944" s="98">
        <v>130201518</v>
      </c>
      <c r="C2944" s="17" t="s">
        <v>2289</v>
      </c>
      <c r="D2944" s="98" t="s">
        <v>1125</v>
      </c>
      <c r="E2944" t="s">
        <v>2275</v>
      </c>
    </row>
    <row r="2945" spans="2:5">
      <c r="B2945" s="98">
        <v>130201523</v>
      </c>
      <c r="C2945" s="17" t="s">
        <v>2290</v>
      </c>
      <c r="D2945" s="98" t="s">
        <v>1125</v>
      </c>
      <c r="E2945" t="s">
        <v>2275</v>
      </c>
    </row>
    <row r="2946" spans="2:5">
      <c r="B2946" s="98">
        <v>130201374</v>
      </c>
      <c r="C2946" s="17" t="s">
        <v>2291</v>
      </c>
      <c r="D2946" s="98" t="s">
        <v>1125</v>
      </c>
      <c r="E2946" t="s">
        <v>2275</v>
      </c>
    </row>
    <row r="2947" spans="2:5">
      <c r="B2947" s="98">
        <v>130201049</v>
      </c>
      <c r="C2947" t="s">
        <v>2292</v>
      </c>
      <c r="D2947" s="98" t="s">
        <v>1821</v>
      </c>
      <c r="E2947" t="s">
        <v>2275</v>
      </c>
    </row>
    <row r="2948" spans="2:5">
      <c r="B2948" s="105">
        <v>130201050</v>
      </c>
      <c r="C2948" t="s">
        <v>2293</v>
      </c>
      <c r="D2948" s="105" t="s">
        <v>1821</v>
      </c>
      <c r="E2948" t="s">
        <v>2275</v>
      </c>
    </row>
    <row r="2949" spans="2:5">
      <c r="B2949" s="105">
        <v>130201066</v>
      </c>
      <c r="C2949" t="s">
        <v>2294</v>
      </c>
      <c r="D2949" s="105" t="s">
        <v>1125</v>
      </c>
      <c r="E2949" t="s">
        <v>2275</v>
      </c>
    </row>
    <row r="2950" spans="2:5">
      <c r="B2950" s="105">
        <v>130201229</v>
      </c>
      <c r="C2950" t="s">
        <v>2295</v>
      </c>
      <c r="D2950" s="105" t="s">
        <v>1125</v>
      </c>
      <c r="E2950" t="s">
        <v>2275</v>
      </c>
    </row>
    <row r="2951" spans="2:5">
      <c r="B2951" s="105">
        <v>130201328</v>
      </c>
      <c r="C2951" t="s">
        <v>2296</v>
      </c>
      <c r="D2951" s="105" t="s">
        <v>1125</v>
      </c>
      <c r="E2951" t="s">
        <v>2275</v>
      </c>
    </row>
    <row r="2952" spans="2:5">
      <c r="B2952" s="98">
        <v>7011123</v>
      </c>
      <c r="C2952" s="17" t="s">
        <v>2297</v>
      </c>
      <c r="D2952" s="98" t="s">
        <v>102</v>
      </c>
      <c r="E2952" t="s">
        <v>2274</v>
      </c>
    </row>
    <row r="2953" spans="2:5">
      <c r="B2953" t="s">
        <v>2301</v>
      </c>
      <c r="C2953" s="105" t="s">
        <v>2302</v>
      </c>
      <c r="D2953" s="105" t="s">
        <v>102</v>
      </c>
      <c r="E2953" s="105" t="s">
        <v>2275</v>
      </c>
    </row>
    <row r="2954" spans="2:5">
      <c r="B2954">
        <v>4201050</v>
      </c>
      <c r="C2954" s="105" t="s">
        <v>2304</v>
      </c>
      <c r="D2954" s="105" t="s">
        <v>102</v>
      </c>
      <c r="E2954" s="105" t="s">
        <v>2273</v>
      </c>
    </row>
    <row r="2955" spans="2:5">
      <c r="B2955" s="105">
        <v>7020065</v>
      </c>
      <c r="C2955" s="105" t="s">
        <v>2305</v>
      </c>
      <c r="D2955" s="105" t="s">
        <v>102</v>
      </c>
      <c r="E2955" t="s">
        <v>2306</v>
      </c>
    </row>
    <row r="2956" spans="2:5">
      <c r="B2956" s="105">
        <v>7020066</v>
      </c>
      <c r="C2956" s="105" t="s">
        <v>2307</v>
      </c>
      <c r="D2956" s="105" t="s">
        <v>102</v>
      </c>
      <c r="E2956" t="s">
        <v>2306</v>
      </c>
    </row>
    <row r="2957" spans="2:5">
      <c r="B2957" s="105">
        <v>7020067</v>
      </c>
      <c r="C2957" s="105" t="s">
        <v>2308</v>
      </c>
      <c r="D2957" s="105" t="s">
        <v>102</v>
      </c>
      <c r="E2957" t="s">
        <v>2306</v>
      </c>
    </row>
    <row r="2958" spans="2:5">
      <c r="B2958" s="105">
        <v>90503012</v>
      </c>
      <c r="C2958" t="s">
        <v>2309</v>
      </c>
      <c r="D2958" s="105" t="s">
        <v>102</v>
      </c>
      <c r="E2958" t="s">
        <v>2275</v>
      </c>
    </row>
    <row r="2959" spans="2:5">
      <c r="B2959" s="105">
        <v>2005000</v>
      </c>
      <c r="C2959" t="s">
        <v>2311</v>
      </c>
      <c r="D2959" s="105" t="s">
        <v>102</v>
      </c>
      <c r="E2959" t="s">
        <v>2275</v>
      </c>
    </row>
    <row r="2960" spans="2:5">
      <c r="B2960" s="105">
        <v>4104181</v>
      </c>
      <c r="C2960" t="s">
        <v>2312</v>
      </c>
      <c r="D2960" s="105" t="s">
        <v>102</v>
      </c>
      <c r="E2960" t="s">
        <v>2273</v>
      </c>
    </row>
    <row r="2961" spans="2:5">
      <c r="B2961" s="105">
        <v>4104180</v>
      </c>
      <c r="C2961" t="s">
        <v>2313</v>
      </c>
      <c r="D2961" s="105" t="s">
        <v>102</v>
      </c>
      <c r="E2961" t="s">
        <v>2273</v>
      </c>
    </row>
    <row r="2962" spans="2:5">
      <c r="B2962" s="107">
        <v>4104077</v>
      </c>
      <c r="C2962" s="107" t="s">
        <v>2319</v>
      </c>
      <c r="D2962" s="107" t="s">
        <v>102</v>
      </c>
      <c r="E2962" s="107" t="s">
        <v>2273</v>
      </c>
    </row>
    <row r="2963" spans="2:5">
      <c r="B2963" s="105">
        <v>130201295</v>
      </c>
      <c r="C2963" t="s">
        <v>2320</v>
      </c>
      <c r="D2963" s="105" t="s">
        <v>1125</v>
      </c>
      <c r="E2963" t="s">
        <v>2275</v>
      </c>
    </row>
    <row r="2964" spans="2:5">
      <c r="B2964" s="105">
        <v>90308003</v>
      </c>
      <c r="C2964" t="s">
        <v>2321</v>
      </c>
      <c r="D2964" s="105" t="s">
        <v>102</v>
      </c>
      <c r="E2964" t="s">
        <v>2275</v>
      </c>
    </row>
    <row r="2965" spans="2:5">
      <c r="B2965" s="105">
        <v>90308004</v>
      </c>
      <c r="C2965" t="s">
        <v>2322</v>
      </c>
      <c r="D2965" s="105" t="s">
        <v>102</v>
      </c>
      <c r="E2965" t="s">
        <v>2275</v>
      </c>
    </row>
    <row r="2966" spans="2:5">
      <c r="B2966" s="105">
        <v>130201622</v>
      </c>
      <c r="C2966" t="s">
        <v>2323</v>
      </c>
      <c r="D2966" s="105" t="s">
        <v>1125</v>
      </c>
      <c r="E2966" t="s">
        <v>2275</v>
      </c>
    </row>
    <row r="2967" spans="2:5">
      <c r="B2967" s="105">
        <v>2006029</v>
      </c>
      <c r="C2967" t="s">
        <v>2324</v>
      </c>
      <c r="D2967" s="105" t="s">
        <v>102</v>
      </c>
      <c r="E2967" t="s">
        <v>2272</v>
      </c>
    </row>
    <row r="2968" spans="2:5">
      <c r="B2968" s="105">
        <v>2102009</v>
      </c>
      <c r="C2968" t="s">
        <v>2325</v>
      </c>
      <c r="D2968" s="105" t="s">
        <v>2117</v>
      </c>
      <c r="E2968" t="s">
        <v>2272</v>
      </c>
    </row>
    <row r="2969" spans="2:5">
      <c r="B2969" s="105">
        <v>90202094</v>
      </c>
      <c r="C2969" t="s">
        <v>2326</v>
      </c>
      <c r="D2969" s="105" t="s">
        <v>102</v>
      </c>
      <c r="E2969" t="s">
        <v>2275</v>
      </c>
    </row>
    <row r="2970" spans="2:5">
      <c r="B2970" s="105">
        <v>7013031</v>
      </c>
      <c r="C2970" t="s">
        <v>2327</v>
      </c>
      <c r="D2970" s="105" t="s">
        <v>99</v>
      </c>
      <c r="E2970" t="s">
        <v>2274</v>
      </c>
    </row>
    <row r="2971" spans="2:5">
      <c r="B2971" s="105">
        <v>7016221</v>
      </c>
      <c r="C2971" t="s">
        <v>2328</v>
      </c>
      <c r="D2971" s="105" t="s">
        <v>102</v>
      </c>
      <c r="E2971" t="s">
        <v>2274</v>
      </c>
    </row>
    <row r="2972" spans="2:5" ht="15">
      <c r="B2972" s="109">
        <v>7016225</v>
      </c>
      <c r="C2972" s="108" t="s">
        <v>2329</v>
      </c>
      <c r="D2972" s="105" t="s">
        <v>102</v>
      </c>
      <c r="E2972" t="s">
        <v>2274</v>
      </c>
    </row>
    <row r="2973" spans="2:5">
      <c r="B2973" s="105">
        <v>7071101</v>
      </c>
      <c r="C2973" s="110" t="s">
        <v>2330</v>
      </c>
      <c r="D2973" s="105" t="s">
        <v>102</v>
      </c>
      <c r="E2973" t="s">
        <v>2274</v>
      </c>
    </row>
    <row r="2974" spans="2:5">
      <c r="B2974" s="75">
        <v>7071102</v>
      </c>
      <c r="C2974" s="75" t="s">
        <v>2331</v>
      </c>
      <c r="D2974" s="105" t="s">
        <v>102</v>
      </c>
      <c r="E2974" t="s">
        <v>2274</v>
      </c>
    </row>
    <row r="2975" spans="2:5">
      <c r="B2975">
        <v>7071104</v>
      </c>
      <c r="C2975" t="s">
        <v>2332</v>
      </c>
      <c r="D2975" s="105" t="s">
        <v>102</v>
      </c>
      <c r="E2975" t="s">
        <v>2274</v>
      </c>
    </row>
    <row r="2976" spans="2:5">
      <c r="B2976">
        <v>7071109</v>
      </c>
      <c r="C2976" t="s">
        <v>2333</v>
      </c>
      <c r="D2976" s="105" t="s">
        <v>102</v>
      </c>
      <c r="E2976" t="s">
        <v>2274</v>
      </c>
    </row>
    <row r="2977" spans="2:5">
      <c r="B2977">
        <v>7071110</v>
      </c>
      <c r="C2977" t="s">
        <v>2334</v>
      </c>
      <c r="D2977" s="105" t="s">
        <v>102</v>
      </c>
      <c r="E2977" t="s">
        <v>2274</v>
      </c>
    </row>
    <row r="2978" spans="2:5">
      <c r="B2978">
        <v>7011105</v>
      </c>
      <c r="C2978" t="s">
        <v>3077</v>
      </c>
      <c r="D2978" s="105" t="s">
        <v>102</v>
      </c>
      <c r="E2978" t="s">
        <v>2274</v>
      </c>
    </row>
    <row r="2979" spans="2:5">
      <c r="B2979">
        <v>7013053</v>
      </c>
      <c r="C2979" t="s">
        <v>3081</v>
      </c>
      <c r="D2979" s="105" t="s">
        <v>99</v>
      </c>
      <c r="E2979" t="s">
        <v>2274</v>
      </c>
    </row>
  </sheetData>
  <autoFilter ref="A4:D2810"/>
  <mergeCells count="3">
    <mergeCell ref="A1:D1"/>
    <mergeCell ref="A2:D2"/>
    <mergeCell ref="A3:D3"/>
  </mergeCells>
  <pageMargins left="0.75" right="0.75" top="1" bottom="1" header="0" footer="0"/>
  <pageSetup paperSize="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indexed="53"/>
  </sheetPr>
  <dimension ref="A1:O40"/>
  <sheetViews>
    <sheetView workbookViewId="0">
      <selection activeCell="A19" sqref="A19"/>
    </sheetView>
  </sheetViews>
  <sheetFormatPr baseColWidth="10" defaultRowHeight="12.75"/>
  <cols>
    <col min="1" max="1" width="37.7109375" customWidth="1"/>
    <col min="2" max="2" width="11.7109375" customWidth="1"/>
    <col min="3" max="3" width="45.7109375" customWidth="1"/>
    <col min="4" max="4" width="37.42578125" customWidth="1"/>
    <col min="5" max="5" width="30" customWidth="1"/>
    <col min="8" max="8" width="31.7109375" customWidth="1"/>
  </cols>
  <sheetData>
    <row r="1" spans="1:15" ht="38.25">
      <c r="A1" s="1" t="s">
        <v>0</v>
      </c>
      <c r="B1" s="83" t="s">
        <v>1</v>
      </c>
      <c r="C1" s="85" t="s">
        <v>2</v>
      </c>
      <c r="D1" s="86" t="s">
        <v>3</v>
      </c>
      <c r="E1" s="87" t="s">
        <v>4</v>
      </c>
      <c r="F1" s="88"/>
      <c r="G1" s="82" t="s">
        <v>2263</v>
      </c>
      <c r="H1" s="82" t="s">
        <v>2264</v>
      </c>
      <c r="I1" s="82" t="s">
        <v>2265</v>
      </c>
      <c r="J1" s="82" t="s">
        <v>2266</v>
      </c>
      <c r="K1" s="88"/>
      <c r="L1" s="88"/>
      <c r="M1" s="88"/>
      <c r="N1" s="88"/>
      <c r="O1" s="89"/>
    </row>
    <row r="2" spans="1:15">
      <c r="A2" s="2" t="s">
        <v>5</v>
      </c>
      <c r="B2" s="84">
        <v>538001</v>
      </c>
      <c r="C2" s="90" t="s">
        <v>6</v>
      </c>
      <c r="D2" s="91" t="s">
        <v>7</v>
      </c>
      <c r="E2" s="91" t="s">
        <v>7</v>
      </c>
      <c r="F2" s="91"/>
      <c r="G2" s="92">
        <v>1</v>
      </c>
      <c r="H2" s="93" t="str">
        <f>C2</f>
        <v>Luz Adela Larreynaga</v>
      </c>
      <c r="I2" s="91">
        <f>IF(H2=0,MAX($G$2:$G$35)+1,G2)</f>
        <v>1</v>
      </c>
      <c r="J2" s="91" t="str">
        <f>IFERROR(VLOOKUP(SMALL($I$2:$I$35,G2),$G$2:$H$35,2,FALSE),"X")</f>
        <v>Luz Adela Larreynaga</v>
      </c>
      <c r="K2" s="91"/>
      <c r="L2" s="91"/>
      <c r="M2" s="91"/>
      <c r="N2" s="91"/>
      <c r="O2" s="94"/>
    </row>
    <row r="3" spans="1:15">
      <c r="A3" s="2" t="s">
        <v>8</v>
      </c>
      <c r="B3" s="84">
        <v>538101</v>
      </c>
      <c r="C3" s="90" t="s">
        <v>9</v>
      </c>
      <c r="D3" s="91" t="s">
        <v>10</v>
      </c>
      <c r="E3" s="91" t="s">
        <v>11</v>
      </c>
      <c r="F3" s="91"/>
      <c r="G3" s="92">
        <v>2</v>
      </c>
      <c r="H3" s="93" t="str">
        <f t="shared" ref="H3:H35" si="0">C3</f>
        <v xml:space="preserve">Zuleyma Choco </v>
      </c>
      <c r="I3" s="91">
        <f t="shared" ref="I3:I35" si="1">IF(H3=0,MAX($G$2:$G$35)+1,G3)</f>
        <v>2</v>
      </c>
      <c r="J3" s="91" t="str">
        <f t="shared" ref="J3:J35" si="2">IFERROR(VLOOKUP(SMALL($I$2:$I$35,G3),$G$2:$H$35,2,FALSE),"X")</f>
        <v xml:space="preserve">Zuleyma Choco </v>
      </c>
      <c r="K3" s="91"/>
      <c r="L3" s="91"/>
      <c r="M3" s="91"/>
      <c r="N3" s="91"/>
      <c r="O3" s="94"/>
    </row>
    <row r="4" spans="1:15">
      <c r="A4" s="2" t="s">
        <v>12</v>
      </c>
      <c r="B4" s="84">
        <v>538102</v>
      </c>
      <c r="C4" s="90" t="s">
        <v>13</v>
      </c>
      <c r="D4" s="91" t="s">
        <v>13</v>
      </c>
      <c r="E4" s="91"/>
      <c r="F4" s="91"/>
      <c r="G4" s="92">
        <v>3</v>
      </c>
      <c r="H4" s="93" t="str">
        <f t="shared" si="0"/>
        <v>Lic. Atilio Gonzalez</v>
      </c>
      <c r="I4" s="91">
        <f t="shared" si="1"/>
        <v>3</v>
      </c>
      <c r="J4" s="91" t="str">
        <f t="shared" si="2"/>
        <v>Lic. Atilio Gonzalez</v>
      </c>
      <c r="K4" s="91"/>
      <c r="L4" s="91"/>
      <c r="M4" s="91"/>
      <c r="N4" s="91"/>
      <c r="O4" s="94"/>
    </row>
    <row r="5" spans="1:15">
      <c r="A5" s="2" t="s">
        <v>14</v>
      </c>
      <c r="B5" s="84">
        <v>538103</v>
      </c>
      <c r="C5" s="90" t="s">
        <v>15</v>
      </c>
      <c r="D5" s="91" t="s">
        <v>16</v>
      </c>
      <c r="E5" s="91"/>
      <c r="F5" s="91"/>
      <c r="G5" s="92">
        <v>4</v>
      </c>
      <c r="H5" s="93" t="str">
        <f t="shared" si="0"/>
        <v>Iluana Peblis Avendaño</v>
      </c>
      <c r="I5" s="91">
        <f t="shared" si="1"/>
        <v>4</v>
      </c>
      <c r="J5" s="91" t="str">
        <f t="shared" si="2"/>
        <v>Iluana Peblis Avendaño</v>
      </c>
      <c r="K5" s="91"/>
      <c r="L5" s="91"/>
      <c r="M5" s="91"/>
      <c r="N5" s="91"/>
      <c r="O5" s="94"/>
    </row>
    <row r="6" spans="1:15">
      <c r="A6" s="2" t="s">
        <v>17</v>
      </c>
      <c r="B6" s="84">
        <v>538104</v>
      </c>
      <c r="C6" s="90"/>
      <c r="D6" s="91"/>
      <c r="E6" s="91"/>
      <c r="F6" s="91"/>
      <c r="G6" s="92">
        <v>5</v>
      </c>
      <c r="H6" s="93">
        <f t="shared" si="0"/>
        <v>0</v>
      </c>
      <c r="I6" s="91">
        <f t="shared" si="1"/>
        <v>35</v>
      </c>
      <c r="J6" s="91" t="str">
        <f t="shared" si="2"/>
        <v>Licda. Xiomara Machuca</v>
      </c>
      <c r="K6" s="91"/>
      <c r="L6" s="91"/>
      <c r="M6" s="91"/>
      <c r="N6" s="91"/>
      <c r="O6" s="94"/>
    </row>
    <row r="7" spans="1:15">
      <c r="A7" s="2" t="s">
        <v>18</v>
      </c>
      <c r="B7" s="84">
        <v>538105</v>
      </c>
      <c r="C7" s="90"/>
      <c r="D7" s="91"/>
      <c r="E7" s="91"/>
      <c r="F7" s="91"/>
      <c r="G7" s="92">
        <v>6</v>
      </c>
      <c r="H7" s="93">
        <f t="shared" si="0"/>
        <v>0</v>
      </c>
      <c r="I7" s="91">
        <f t="shared" si="1"/>
        <v>35</v>
      </c>
      <c r="J7" s="91" t="str">
        <f t="shared" si="2"/>
        <v>Licda. Jeannette de Calderón</v>
      </c>
      <c r="K7" s="91"/>
      <c r="L7" s="91"/>
      <c r="M7" s="91"/>
      <c r="N7" s="91"/>
      <c r="O7" s="94"/>
    </row>
    <row r="8" spans="1:15">
      <c r="A8" s="2" t="s">
        <v>19</v>
      </c>
      <c r="B8" s="84">
        <v>538107</v>
      </c>
      <c r="C8" s="90" t="s">
        <v>20</v>
      </c>
      <c r="D8" s="91"/>
      <c r="E8" s="91"/>
      <c r="F8" s="91"/>
      <c r="G8" s="92">
        <v>7</v>
      </c>
      <c r="H8" s="93" t="str">
        <f t="shared" si="0"/>
        <v>Licda. Xiomara Machuca</v>
      </c>
      <c r="I8" s="91">
        <f t="shared" si="1"/>
        <v>7</v>
      </c>
      <c r="J8" s="91" t="str">
        <f t="shared" si="2"/>
        <v>Merlin Aparicio</v>
      </c>
      <c r="K8" s="91"/>
      <c r="L8" s="91"/>
      <c r="M8" s="91"/>
      <c r="N8" s="91"/>
      <c r="O8" s="94"/>
    </row>
    <row r="9" spans="1:15">
      <c r="A9" s="2" t="s">
        <v>21</v>
      </c>
      <c r="B9" s="84" t="s">
        <v>22</v>
      </c>
      <c r="C9" s="90" t="s">
        <v>23</v>
      </c>
      <c r="D9" s="91" t="s">
        <v>23</v>
      </c>
      <c r="E9" s="91"/>
      <c r="F9" s="91"/>
      <c r="G9" s="92">
        <v>8</v>
      </c>
      <c r="H9" s="93" t="str">
        <f t="shared" si="0"/>
        <v>Licda. Jeannette de Calderón</v>
      </c>
      <c r="I9" s="91">
        <f t="shared" si="1"/>
        <v>8</v>
      </c>
      <c r="J9" s="91" t="str">
        <f t="shared" si="2"/>
        <v>Licda. Helen Massiel Martinez</v>
      </c>
      <c r="K9" s="91"/>
      <c r="L9" s="91"/>
      <c r="M9" s="91" t="s">
        <v>2268</v>
      </c>
      <c r="N9" s="91"/>
      <c r="O9" s="94"/>
    </row>
    <row r="10" spans="1:15">
      <c r="A10" s="2" t="s">
        <v>24</v>
      </c>
      <c r="B10" s="84" t="s">
        <v>25</v>
      </c>
      <c r="C10" s="90" t="s">
        <v>26</v>
      </c>
      <c r="D10" s="91" t="s">
        <v>27</v>
      </c>
      <c r="E10" s="91"/>
      <c r="F10" s="91"/>
      <c r="G10" s="92">
        <v>9</v>
      </c>
      <c r="H10" s="93" t="str">
        <f t="shared" si="0"/>
        <v>Merlin Aparicio</v>
      </c>
      <c r="I10" s="91">
        <f t="shared" si="1"/>
        <v>9</v>
      </c>
      <c r="J10" s="91" t="str">
        <f t="shared" si="2"/>
        <v>Xiomara Alberto</v>
      </c>
      <c r="K10" s="91"/>
      <c r="L10" s="91"/>
      <c r="M10" s="91"/>
      <c r="N10" s="91"/>
      <c r="O10" s="94"/>
    </row>
    <row r="11" spans="1:15">
      <c r="A11" s="2" t="s">
        <v>28</v>
      </c>
      <c r="B11" s="84" t="s">
        <v>29</v>
      </c>
      <c r="C11" s="90" t="s">
        <v>30</v>
      </c>
      <c r="D11" s="91" t="s">
        <v>30</v>
      </c>
      <c r="E11" s="91"/>
      <c r="F11" s="91"/>
      <c r="G11" s="92">
        <v>10</v>
      </c>
      <c r="H11" s="93" t="str">
        <f t="shared" si="0"/>
        <v>Licda. Helen Massiel Martinez</v>
      </c>
      <c r="I11" s="91">
        <f t="shared" si="1"/>
        <v>10</v>
      </c>
      <c r="J11" s="91" t="str">
        <f t="shared" si="2"/>
        <v>Ing. Yohana Laug</v>
      </c>
      <c r="K11" s="91"/>
      <c r="L11" s="91"/>
      <c r="M11" s="91"/>
      <c r="N11" s="91"/>
      <c r="O11" s="94"/>
    </row>
    <row r="12" spans="1:15">
      <c r="A12" s="2" t="s">
        <v>31</v>
      </c>
      <c r="B12" s="84" t="s">
        <v>32</v>
      </c>
      <c r="C12" s="90" t="s">
        <v>33</v>
      </c>
      <c r="D12" s="91"/>
      <c r="E12" s="91"/>
      <c r="F12" s="91"/>
      <c r="G12" s="92">
        <v>11</v>
      </c>
      <c r="H12" s="93" t="str">
        <f t="shared" si="0"/>
        <v>Xiomara Alberto</v>
      </c>
      <c r="I12" s="91">
        <f t="shared" si="1"/>
        <v>11</v>
      </c>
      <c r="J12" s="91" t="str">
        <f t="shared" si="2"/>
        <v>Licdo. Daniel Hernandez</v>
      </c>
      <c r="K12" s="91"/>
      <c r="L12" s="91"/>
      <c r="M12" s="91"/>
      <c r="N12" s="91"/>
      <c r="O12" s="94"/>
    </row>
    <row r="13" spans="1:15">
      <c r="A13" s="2" t="s">
        <v>34</v>
      </c>
      <c r="B13" s="84" t="s">
        <v>35</v>
      </c>
      <c r="C13" s="90" t="s">
        <v>36</v>
      </c>
      <c r="D13" s="91"/>
      <c r="E13" s="91"/>
      <c r="F13" s="91"/>
      <c r="G13" s="92">
        <v>12</v>
      </c>
      <c r="H13" s="93" t="str">
        <f t="shared" si="0"/>
        <v>Ing. Yohana Laug</v>
      </c>
      <c r="I13" s="91">
        <f t="shared" si="1"/>
        <v>12</v>
      </c>
      <c r="J13" s="91" t="str">
        <f t="shared" si="2"/>
        <v>Licda. Yolanda Oporto</v>
      </c>
      <c r="K13" s="91"/>
      <c r="L13" s="91"/>
      <c r="M13" s="91"/>
      <c r="N13" s="91"/>
      <c r="O13" s="94"/>
    </row>
    <row r="14" spans="1:15">
      <c r="A14" s="2" t="s">
        <v>37</v>
      </c>
      <c r="B14" s="84" t="s">
        <v>38</v>
      </c>
      <c r="C14" s="90" t="s">
        <v>39</v>
      </c>
      <c r="D14" s="91"/>
      <c r="E14" s="91"/>
      <c r="F14" s="91"/>
      <c r="G14" s="92">
        <v>13</v>
      </c>
      <c r="H14" s="93" t="str">
        <f t="shared" si="0"/>
        <v>Licdo. Daniel Hernandez</v>
      </c>
      <c r="I14" s="91">
        <f t="shared" si="1"/>
        <v>13</v>
      </c>
      <c r="J14" s="91" t="str">
        <f t="shared" si="2"/>
        <v>Dania Mejia</v>
      </c>
      <c r="K14" s="91"/>
      <c r="L14" s="91"/>
      <c r="M14" s="91" t="str">
        <f ca="1">OFFSET(J2,0,,COUNTIF(listado,"&lt;&gt;x"))</f>
        <v>Dania Mejia</v>
      </c>
      <c r="N14" s="91"/>
      <c r="O14" s="94"/>
    </row>
    <row r="15" spans="1:15">
      <c r="A15" s="2" t="s">
        <v>40</v>
      </c>
      <c r="B15" s="84" t="s">
        <v>41</v>
      </c>
      <c r="C15" s="90" t="s">
        <v>42</v>
      </c>
      <c r="D15" s="91" t="s">
        <v>43</v>
      </c>
      <c r="E15" s="91"/>
      <c r="F15" s="91"/>
      <c r="G15" s="92">
        <v>14</v>
      </c>
      <c r="H15" s="93" t="str">
        <f t="shared" si="0"/>
        <v>Licda. Yolanda Oporto</v>
      </c>
      <c r="I15" s="91">
        <f t="shared" si="1"/>
        <v>14</v>
      </c>
      <c r="J15" s="91" t="str">
        <f t="shared" si="2"/>
        <v>Claudia Perez</v>
      </c>
      <c r="K15" s="91"/>
      <c r="L15" s="91"/>
      <c r="M15" s="91"/>
      <c r="N15" s="91"/>
      <c r="O15" s="94"/>
    </row>
    <row r="16" spans="1:15">
      <c r="A16" s="2" t="s">
        <v>3079</v>
      </c>
      <c r="B16" s="84" t="s">
        <v>3078</v>
      </c>
      <c r="C16" s="90"/>
      <c r="D16" s="91"/>
      <c r="E16" s="91"/>
      <c r="F16" s="91"/>
      <c r="G16" s="92">
        <v>15</v>
      </c>
      <c r="H16" s="93">
        <f t="shared" si="0"/>
        <v>0</v>
      </c>
      <c r="I16" s="91">
        <f t="shared" si="1"/>
        <v>35</v>
      </c>
      <c r="J16" s="91" t="str">
        <f t="shared" si="2"/>
        <v>Debora Escobar</v>
      </c>
      <c r="K16" s="91"/>
      <c r="L16" s="91"/>
      <c r="M16" s="91"/>
      <c r="N16" s="91"/>
      <c r="O16" s="94"/>
    </row>
    <row r="17" spans="1:15" ht="25.5">
      <c r="A17" s="2" t="s">
        <v>44</v>
      </c>
      <c r="B17" s="84" t="s">
        <v>45</v>
      </c>
      <c r="C17" s="90" t="s">
        <v>46</v>
      </c>
      <c r="D17" s="91"/>
      <c r="E17" s="91"/>
      <c r="F17" s="91"/>
      <c r="G17" s="92">
        <v>16</v>
      </c>
      <c r="H17" s="93" t="str">
        <f t="shared" si="0"/>
        <v>Dania Mejia</v>
      </c>
      <c r="I17" s="91">
        <f t="shared" si="1"/>
        <v>16</v>
      </c>
      <c r="J17" s="91" t="str">
        <f t="shared" si="2"/>
        <v>Claudia Iris Torrento</v>
      </c>
      <c r="K17" s="91"/>
      <c r="L17" s="91"/>
      <c r="M17" s="91"/>
      <c r="N17" s="91"/>
      <c r="O17" s="94"/>
    </row>
    <row r="18" spans="1:15">
      <c r="A18" s="2" t="s">
        <v>47</v>
      </c>
      <c r="B18" s="84" t="s">
        <v>48</v>
      </c>
      <c r="C18" s="90" t="s">
        <v>49</v>
      </c>
      <c r="D18" s="91"/>
      <c r="E18" s="91"/>
      <c r="F18" s="91"/>
      <c r="G18" s="92">
        <v>17</v>
      </c>
      <c r="H18" s="93" t="str">
        <f t="shared" si="0"/>
        <v>Claudia Perez</v>
      </c>
      <c r="I18" s="91">
        <f t="shared" si="1"/>
        <v>17</v>
      </c>
      <c r="J18" s="91" t="str">
        <f t="shared" si="2"/>
        <v>Licda. Lino</v>
      </c>
      <c r="K18" s="91"/>
      <c r="L18" s="91"/>
      <c r="M18" s="91"/>
      <c r="N18" s="91"/>
      <c r="O18" s="94"/>
    </row>
    <row r="19" spans="1:15">
      <c r="A19" s="2" t="s">
        <v>50</v>
      </c>
      <c r="B19" s="84" t="s">
        <v>51</v>
      </c>
      <c r="C19" s="90" t="s">
        <v>2267</v>
      </c>
      <c r="D19" s="91" t="s">
        <v>52</v>
      </c>
      <c r="E19" s="91"/>
      <c r="F19" s="91"/>
      <c r="G19" s="92">
        <v>18</v>
      </c>
      <c r="H19" s="93" t="str">
        <f t="shared" si="0"/>
        <v>Debora Escobar</v>
      </c>
      <c r="I19" s="91">
        <f t="shared" si="1"/>
        <v>18</v>
      </c>
      <c r="J19" s="91" t="str">
        <f t="shared" si="2"/>
        <v>Licda. Mercedes Hidalgo</v>
      </c>
      <c r="K19" s="91"/>
      <c r="L19" s="91"/>
      <c r="M19" s="91"/>
      <c r="N19" s="91"/>
      <c r="O19" s="94"/>
    </row>
    <row r="20" spans="1:15">
      <c r="A20" s="2" t="s">
        <v>53</v>
      </c>
      <c r="B20" s="84" t="s">
        <v>54</v>
      </c>
      <c r="C20" s="90" t="s">
        <v>55</v>
      </c>
      <c r="D20" s="91"/>
      <c r="E20" s="91"/>
      <c r="F20" s="91"/>
      <c r="G20" s="92">
        <v>19</v>
      </c>
      <c r="H20" s="93" t="str">
        <f t="shared" si="0"/>
        <v>Claudia Iris Torrento</v>
      </c>
      <c r="I20" s="91">
        <f t="shared" si="1"/>
        <v>19</v>
      </c>
      <c r="J20" s="91" t="str">
        <f t="shared" si="2"/>
        <v>Celina Martínez</v>
      </c>
      <c r="K20" s="91"/>
      <c r="L20" s="91"/>
      <c r="M20" s="91"/>
      <c r="N20" s="91"/>
      <c r="O20" s="94"/>
    </row>
    <row r="21" spans="1:15">
      <c r="A21" s="2" t="s">
        <v>56</v>
      </c>
      <c r="B21" s="84">
        <v>538202</v>
      </c>
      <c r="C21" s="90"/>
      <c r="D21" s="91"/>
      <c r="E21" s="91"/>
      <c r="F21" s="91"/>
      <c r="G21" s="92">
        <v>20</v>
      </c>
      <c r="H21" s="93">
        <f t="shared" si="0"/>
        <v>0</v>
      </c>
      <c r="I21" s="91">
        <f t="shared" si="1"/>
        <v>35</v>
      </c>
      <c r="J21" s="91" t="str">
        <f t="shared" si="2"/>
        <v>Licda. Mayra Acosta</v>
      </c>
      <c r="K21" s="91"/>
      <c r="L21" s="91"/>
      <c r="M21" s="91"/>
      <c r="N21" s="91"/>
      <c r="O21" s="94"/>
    </row>
    <row r="22" spans="1:15">
      <c r="A22" s="2" t="s">
        <v>57</v>
      </c>
      <c r="B22" s="84">
        <v>538213</v>
      </c>
      <c r="C22" s="90"/>
      <c r="D22" s="91"/>
      <c r="E22" s="91"/>
      <c r="F22" s="91"/>
      <c r="G22" s="92">
        <v>21</v>
      </c>
      <c r="H22" s="93">
        <f t="shared" si="0"/>
        <v>0</v>
      </c>
      <c r="I22" s="91">
        <f t="shared" si="1"/>
        <v>35</v>
      </c>
      <c r="J22" s="91" t="str">
        <f t="shared" si="2"/>
        <v>Licda. Iris Vivas</v>
      </c>
      <c r="K22" s="91"/>
      <c r="L22" s="91"/>
      <c r="M22" s="91"/>
      <c r="N22" s="91"/>
      <c r="O22" s="94"/>
    </row>
    <row r="23" spans="1:15">
      <c r="A23" s="2" t="s">
        <v>58</v>
      </c>
      <c r="B23" s="84">
        <v>538214</v>
      </c>
      <c r="C23" s="90" t="s">
        <v>59</v>
      </c>
      <c r="D23" s="91"/>
      <c r="E23" s="91"/>
      <c r="F23" s="91"/>
      <c r="G23" s="92">
        <v>22</v>
      </c>
      <c r="H23" s="93" t="str">
        <f t="shared" si="0"/>
        <v>Licda. Lino</v>
      </c>
      <c r="I23" s="91">
        <f t="shared" si="1"/>
        <v>22</v>
      </c>
      <c r="J23" s="91" t="str">
        <f t="shared" si="2"/>
        <v>Silvia Flamenco</v>
      </c>
      <c r="K23" s="91"/>
      <c r="L23" s="91"/>
      <c r="M23" s="91"/>
      <c r="N23" s="91"/>
      <c r="O23" s="94"/>
    </row>
    <row r="24" spans="1:15">
      <c r="A24" s="2" t="s">
        <v>60</v>
      </c>
      <c r="B24" s="84">
        <v>538217</v>
      </c>
      <c r="C24" s="90" t="s">
        <v>61</v>
      </c>
      <c r="D24" s="91"/>
      <c r="E24" s="91"/>
      <c r="F24" s="91"/>
      <c r="G24" s="92">
        <v>23</v>
      </c>
      <c r="H24" s="93" t="str">
        <f t="shared" si="0"/>
        <v>Licda. Mercedes Hidalgo</v>
      </c>
      <c r="I24" s="91">
        <f t="shared" si="1"/>
        <v>23</v>
      </c>
      <c r="J24" s="91" t="str">
        <f t="shared" si="2"/>
        <v>Karla Menjivar</v>
      </c>
      <c r="K24" s="91"/>
      <c r="L24" s="91"/>
      <c r="M24" s="91"/>
      <c r="N24" s="91"/>
      <c r="O24" s="94"/>
    </row>
    <row r="25" spans="1:15">
      <c r="A25" s="2" t="s">
        <v>62</v>
      </c>
      <c r="B25" s="84">
        <v>538504</v>
      </c>
      <c r="C25" s="90"/>
      <c r="D25" s="91"/>
      <c r="E25" s="91"/>
      <c r="F25" s="91"/>
      <c r="G25" s="92">
        <v>24</v>
      </c>
      <c r="H25" s="93">
        <f t="shared" si="0"/>
        <v>0</v>
      </c>
      <c r="I25" s="91">
        <f t="shared" si="1"/>
        <v>35</v>
      </c>
      <c r="J25" s="91" t="str">
        <f t="shared" si="2"/>
        <v>Dra. Hernandez</v>
      </c>
      <c r="K25" s="91"/>
      <c r="L25" s="91"/>
      <c r="M25" s="91"/>
      <c r="N25" s="91"/>
      <c r="O25" s="94"/>
    </row>
    <row r="26" spans="1:15">
      <c r="A26" s="2" t="s">
        <v>63</v>
      </c>
      <c r="B26" s="84">
        <v>538304</v>
      </c>
      <c r="C26" s="90" t="s">
        <v>64</v>
      </c>
      <c r="D26" s="91"/>
      <c r="E26" s="91"/>
      <c r="F26" s="91"/>
      <c r="G26" s="92">
        <v>25</v>
      </c>
      <c r="H26" s="93" t="str">
        <f t="shared" si="0"/>
        <v>Celina Martínez</v>
      </c>
      <c r="I26" s="91">
        <f t="shared" si="1"/>
        <v>25</v>
      </c>
      <c r="J26" s="91" t="str">
        <f t="shared" si="2"/>
        <v>Licdo. Geovvani Torres</v>
      </c>
      <c r="K26" s="91"/>
      <c r="L26" s="91"/>
      <c r="M26" s="91"/>
      <c r="N26" s="91"/>
      <c r="O26" s="94"/>
    </row>
    <row r="27" spans="1:15">
      <c r="A27" s="2" t="s">
        <v>65</v>
      </c>
      <c r="B27" s="84">
        <v>538307</v>
      </c>
      <c r="C27" s="90"/>
      <c r="D27" s="91"/>
      <c r="E27" s="91"/>
      <c r="F27" s="91"/>
      <c r="G27" s="92">
        <v>26</v>
      </c>
      <c r="H27" s="93">
        <f t="shared" si="0"/>
        <v>0</v>
      </c>
      <c r="I27" s="91">
        <f t="shared" si="1"/>
        <v>35</v>
      </c>
      <c r="J27" s="91" t="str">
        <f t="shared" si="2"/>
        <v>X</v>
      </c>
      <c r="K27" s="91"/>
      <c r="L27" s="91"/>
      <c r="M27" s="91"/>
      <c r="N27" s="91"/>
      <c r="O27" s="94"/>
    </row>
    <row r="28" spans="1:15">
      <c r="A28" s="2" t="s">
        <v>66</v>
      </c>
      <c r="B28" s="84">
        <v>538308</v>
      </c>
      <c r="C28" s="90"/>
      <c r="D28" s="91"/>
      <c r="E28" s="91"/>
      <c r="F28" s="91"/>
      <c r="G28" s="92">
        <v>27</v>
      </c>
      <c r="H28" s="93">
        <f t="shared" si="0"/>
        <v>0</v>
      </c>
      <c r="I28" s="91">
        <f t="shared" si="1"/>
        <v>35</v>
      </c>
      <c r="J28" s="91" t="str">
        <f t="shared" si="2"/>
        <v>X</v>
      </c>
      <c r="K28" s="91"/>
      <c r="L28" s="91"/>
      <c r="M28" s="91"/>
      <c r="N28" s="91"/>
      <c r="O28" s="94"/>
    </row>
    <row r="29" spans="1:15">
      <c r="A29" s="2" t="s">
        <v>67</v>
      </c>
      <c r="B29" s="84">
        <v>538402</v>
      </c>
      <c r="C29" s="90" t="s">
        <v>68</v>
      </c>
      <c r="D29" s="91"/>
      <c r="E29" s="91"/>
      <c r="F29" s="91"/>
      <c r="G29" s="92">
        <v>28</v>
      </c>
      <c r="H29" s="93" t="str">
        <f t="shared" si="0"/>
        <v>Licda. Mayra Acosta</v>
      </c>
      <c r="I29" s="91">
        <f t="shared" si="1"/>
        <v>28</v>
      </c>
      <c r="J29" s="91" t="str">
        <f t="shared" si="2"/>
        <v>X</v>
      </c>
      <c r="K29" s="91"/>
      <c r="L29" s="91"/>
      <c r="M29" s="91"/>
      <c r="N29" s="91"/>
      <c r="O29" s="94"/>
    </row>
    <row r="30" spans="1:15">
      <c r="A30" s="2" t="s">
        <v>69</v>
      </c>
      <c r="B30" s="84">
        <v>538502</v>
      </c>
      <c r="C30" s="90" t="s">
        <v>70</v>
      </c>
      <c r="D30" s="91"/>
      <c r="E30" s="91"/>
      <c r="F30" s="91"/>
      <c r="G30" s="92">
        <v>29</v>
      </c>
      <c r="H30" s="93" t="str">
        <f t="shared" si="0"/>
        <v>Licda. Iris Vivas</v>
      </c>
      <c r="I30" s="91">
        <f t="shared" si="1"/>
        <v>29</v>
      </c>
      <c r="J30" s="91" t="str">
        <f t="shared" si="2"/>
        <v>X</v>
      </c>
      <c r="K30" s="91"/>
      <c r="L30" s="91"/>
      <c r="M30" s="91"/>
      <c r="N30" s="91"/>
      <c r="O30" s="94"/>
    </row>
    <row r="31" spans="1:15">
      <c r="A31" s="2" t="s">
        <v>71</v>
      </c>
      <c r="B31" s="84">
        <v>538702</v>
      </c>
      <c r="C31" s="90" t="s">
        <v>72</v>
      </c>
      <c r="D31" s="91" t="s">
        <v>73</v>
      </c>
      <c r="E31" s="91"/>
      <c r="F31" s="91"/>
      <c r="G31" s="92">
        <v>30</v>
      </c>
      <c r="H31" s="93" t="str">
        <f t="shared" si="0"/>
        <v>Silvia Flamenco</v>
      </c>
      <c r="I31" s="91">
        <f t="shared" si="1"/>
        <v>30</v>
      </c>
      <c r="J31" s="91" t="str">
        <f t="shared" si="2"/>
        <v>X</v>
      </c>
      <c r="K31" s="91"/>
      <c r="L31" s="91"/>
      <c r="M31" s="91"/>
      <c r="N31" s="91"/>
      <c r="O31" s="94"/>
    </row>
    <row r="32" spans="1:15">
      <c r="A32" s="2" t="s">
        <v>74</v>
      </c>
      <c r="B32" s="84" t="s">
        <v>75</v>
      </c>
      <c r="C32" s="90" t="s">
        <v>76</v>
      </c>
      <c r="D32" s="91" t="s">
        <v>77</v>
      </c>
      <c r="E32" s="91"/>
      <c r="F32" s="91"/>
      <c r="G32" s="92">
        <v>31</v>
      </c>
      <c r="H32" s="93" t="str">
        <f t="shared" si="0"/>
        <v>Karla Menjivar</v>
      </c>
      <c r="I32" s="91">
        <f t="shared" si="1"/>
        <v>31</v>
      </c>
      <c r="J32" s="91" t="str">
        <f t="shared" si="2"/>
        <v>X</v>
      </c>
      <c r="K32" s="91"/>
      <c r="L32" s="91"/>
      <c r="M32" s="91"/>
      <c r="N32" s="91"/>
      <c r="O32" s="94"/>
    </row>
    <row r="33" spans="1:15" ht="38.25">
      <c r="A33" s="2" t="s">
        <v>78</v>
      </c>
      <c r="B33" s="84" t="s">
        <v>79</v>
      </c>
      <c r="C33" s="90"/>
      <c r="D33" s="91"/>
      <c r="E33" s="91"/>
      <c r="F33" s="91"/>
      <c r="G33" s="92">
        <v>32</v>
      </c>
      <c r="H33" s="93">
        <f t="shared" si="0"/>
        <v>0</v>
      </c>
      <c r="I33" s="91">
        <f t="shared" si="1"/>
        <v>35</v>
      </c>
      <c r="J33" s="91" t="str">
        <f t="shared" si="2"/>
        <v>X</v>
      </c>
      <c r="K33" s="91"/>
      <c r="L33" s="91"/>
      <c r="M33" s="91"/>
      <c r="N33" s="91"/>
      <c r="O33" s="94"/>
    </row>
    <row r="34" spans="1:15">
      <c r="A34" s="2" t="s">
        <v>80</v>
      </c>
      <c r="B34" s="84" t="s">
        <v>81</v>
      </c>
      <c r="C34" s="90" t="s">
        <v>82</v>
      </c>
      <c r="D34" s="91" t="s">
        <v>83</v>
      </c>
      <c r="E34" s="91"/>
      <c r="F34" s="91"/>
      <c r="G34" s="92">
        <v>33</v>
      </c>
      <c r="H34" s="93" t="str">
        <f t="shared" si="0"/>
        <v>Dra. Hernandez</v>
      </c>
      <c r="I34" s="91">
        <f t="shared" si="1"/>
        <v>33</v>
      </c>
      <c r="J34" s="91" t="str">
        <f t="shared" si="2"/>
        <v>X</v>
      </c>
      <c r="K34" s="91"/>
      <c r="L34" s="91"/>
      <c r="M34" s="91"/>
      <c r="N34" s="91"/>
      <c r="O34" s="94"/>
    </row>
    <row r="35" spans="1:15">
      <c r="A35" s="5" t="s">
        <v>84</v>
      </c>
      <c r="B35" s="6">
        <v>538506</v>
      </c>
      <c r="C35" s="90" t="s">
        <v>85</v>
      </c>
      <c r="D35" s="91"/>
      <c r="E35" s="91"/>
      <c r="F35" s="91"/>
      <c r="G35" s="92">
        <v>34</v>
      </c>
      <c r="H35" s="93" t="str">
        <f t="shared" si="0"/>
        <v>Licdo. Geovvani Torres</v>
      </c>
      <c r="I35" s="91">
        <f t="shared" si="1"/>
        <v>34</v>
      </c>
      <c r="J35" s="91" t="str">
        <f t="shared" si="2"/>
        <v>X</v>
      </c>
      <c r="K35" s="91"/>
      <c r="L35" s="91"/>
      <c r="M35" s="91"/>
      <c r="N35" s="91"/>
      <c r="O35" s="94"/>
    </row>
    <row r="36" spans="1:15">
      <c r="A36" s="5" t="s">
        <v>86</v>
      </c>
      <c r="C36" s="90"/>
      <c r="D36" s="91"/>
      <c r="E36" s="91"/>
      <c r="F36" s="91"/>
      <c r="G36" s="91"/>
      <c r="H36" s="91"/>
      <c r="I36" s="91"/>
      <c r="J36" s="91"/>
      <c r="K36" s="91"/>
      <c r="L36" s="91"/>
      <c r="M36" s="91"/>
      <c r="N36" s="91"/>
      <c r="O36" s="94"/>
    </row>
    <row r="37" spans="1:15">
      <c r="C37" s="90"/>
      <c r="D37" s="91"/>
      <c r="E37" s="91"/>
      <c r="F37" s="91"/>
      <c r="G37" s="91"/>
      <c r="H37" s="91"/>
      <c r="I37" s="91"/>
      <c r="J37" s="91"/>
      <c r="K37" s="91"/>
      <c r="L37" s="91"/>
      <c r="M37" s="91"/>
      <c r="N37" s="91"/>
      <c r="O37" s="94"/>
    </row>
    <row r="38" spans="1:15">
      <c r="C38" s="90"/>
      <c r="D38" s="91"/>
      <c r="E38" s="91"/>
      <c r="F38" s="91"/>
      <c r="G38" s="91"/>
      <c r="H38" s="91"/>
      <c r="I38" s="91"/>
      <c r="J38" s="91"/>
      <c r="K38" s="91"/>
      <c r="L38" s="91"/>
      <c r="M38" s="91"/>
      <c r="N38" s="91"/>
      <c r="O38" s="94"/>
    </row>
    <row r="39" spans="1:15">
      <c r="C39" s="90"/>
      <c r="D39" s="91"/>
      <c r="E39" s="91"/>
      <c r="F39" s="91"/>
      <c r="G39" s="91"/>
      <c r="H39" s="91"/>
      <c r="I39" s="91"/>
      <c r="J39" s="91"/>
      <c r="K39" s="91"/>
      <c r="L39" s="91"/>
      <c r="M39" s="91"/>
      <c r="N39" s="91"/>
      <c r="O39" s="94"/>
    </row>
    <row r="40" spans="1:15" ht="13.5" thickBot="1">
      <c r="C40" s="95"/>
      <c r="D40" s="96"/>
      <c r="E40" s="96"/>
      <c r="F40" s="96"/>
      <c r="G40" s="96"/>
      <c r="H40" s="96"/>
      <c r="I40" s="96"/>
      <c r="J40" s="96"/>
      <c r="K40" s="96"/>
      <c r="L40" s="96"/>
      <c r="M40" s="96"/>
      <c r="N40" s="96"/>
      <c r="O40" s="97"/>
    </row>
  </sheetData>
  <sheetProtection sheet="1" objects="1" scenarios="1"/>
  <pageMargins left="0.75" right="0.75" top="1" bottom="1" header="0" footer="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dimension ref="A1:I8055"/>
  <sheetViews>
    <sheetView workbookViewId="0">
      <pane ySplit="1" topLeftCell="A2" activePane="bottomLeft" state="frozen"/>
      <selection pane="bottomLeft" activeCell="A2" sqref="A2"/>
    </sheetView>
  </sheetViews>
  <sheetFormatPr baseColWidth="10" defaultRowHeight="15"/>
  <cols>
    <col min="1" max="1" width="12" style="113" customWidth="1"/>
    <col min="2" max="2" width="74.5703125" style="113" customWidth="1"/>
    <col min="3" max="3" width="14.28515625" style="113" customWidth="1"/>
    <col min="4" max="4" width="10" style="113" customWidth="1"/>
    <col min="5" max="5" width="14.42578125" style="113" customWidth="1"/>
    <col min="6" max="6" width="22.42578125" style="112" customWidth="1"/>
    <col min="7" max="16384" width="11.42578125" style="112"/>
  </cols>
  <sheetData>
    <row r="1" spans="1:9">
      <c r="A1" s="111" t="s">
        <v>7132</v>
      </c>
      <c r="B1" s="111" t="s">
        <v>7133</v>
      </c>
      <c r="C1" s="111" t="s">
        <v>7134</v>
      </c>
      <c r="D1" s="111" t="s">
        <v>7149</v>
      </c>
      <c r="E1" s="111" t="s">
        <v>7150</v>
      </c>
      <c r="F1" s="111" t="s">
        <v>7135</v>
      </c>
      <c r="G1" s="111" t="s">
        <v>7136</v>
      </c>
      <c r="H1" s="162" t="s">
        <v>7137</v>
      </c>
      <c r="I1" s="162" t="s">
        <v>7147</v>
      </c>
    </row>
    <row r="2" spans="1:9">
      <c r="A2" s="113">
        <v>100100001</v>
      </c>
      <c r="B2" s="113" t="s">
        <v>3088</v>
      </c>
      <c r="C2" s="113">
        <v>7015093</v>
      </c>
      <c r="D2" s="113" t="s">
        <v>3093</v>
      </c>
      <c r="E2" s="113" t="s">
        <v>1620</v>
      </c>
      <c r="F2" s="113" t="s">
        <v>3093</v>
      </c>
      <c r="G2" s="115" t="s">
        <v>3093</v>
      </c>
      <c r="H2" s="161">
        <v>11500</v>
      </c>
      <c r="I2" s="161" t="s">
        <v>7138</v>
      </c>
    </row>
    <row r="3" spans="1:9">
      <c r="A3" s="113">
        <v>100100002</v>
      </c>
      <c r="B3" s="113" t="s">
        <v>3089</v>
      </c>
      <c r="C3" s="113">
        <v>7015094</v>
      </c>
      <c r="D3" s="113" t="s">
        <v>3093</v>
      </c>
      <c r="E3" s="113" t="s">
        <v>1620</v>
      </c>
      <c r="F3" s="113" t="s">
        <v>3093</v>
      </c>
      <c r="G3" s="115" t="s">
        <v>3093</v>
      </c>
      <c r="H3" s="161">
        <v>0</v>
      </c>
      <c r="I3" s="161" t="s">
        <v>7138</v>
      </c>
    </row>
    <row r="4" spans="1:9">
      <c r="A4" s="113">
        <v>100100003</v>
      </c>
      <c r="B4" s="113" t="s">
        <v>3090</v>
      </c>
      <c r="C4" s="113">
        <v>7015097</v>
      </c>
      <c r="D4" s="113" t="s">
        <v>3093</v>
      </c>
      <c r="E4" s="113" t="s">
        <v>1620</v>
      </c>
      <c r="F4" s="113" t="s">
        <v>3093</v>
      </c>
      <c r="G4" s="115" t="s">
        <v>3093</v>
      </c>
      <c r="H4" s="161">
        <v>875</v>
      </c>
      <c r="I4" s="161" t="s">
        <v>7138</v>
      </c>
    </row>
    <row r="5" spans="1:9">
      <c r="A5" s="113">
        <v>100100004</v>
      </c>
      <c r="B5" s="113" t="s">
        <v>3091</v>
      </c>
      <c r="C5" s="113">
        <v>7015098</v>
      </c>
      <c r="D5" s="113" t="s">
        <v>3093</v>
      </c>
      <c r="E5" s="113" t="s">
        <v>1620</v>
      </c>
      <c r="F5" s="113" t="s">
        <v>3093</v>
      </c>
      <c r="G5" s="115" t="s">
        <v>3093</v>
      </c>
      <c r="H5" s="161">
        <v>17029.099999999999</v>
      </c>
      <c r="I5" s="161">
        <v>20</v>
      </c>
    </row>
    <row r="6" spans="1:9">
      <c r="A6" s="113">
        <v>100100005</v>
      </c>
      <c r="B6" s="113" t="s">
        <v>3092</v>
      </c>
      <c r="C6" s="113" t="s">
        <v>3093</v>
      </c>
      <c r="D6" s="113" t="s">
        <v>3093</v>
      </c>
      <c r="E6" s="113" t="s">
        <v>1620</v>
      </c>
      <c r="F6" s="113" t="s">
        <v>3093</v>
      </c>
      <c r="G6" s="115" t="s">
        <v>3093</v>
      </c>
      <c r="H6" s="161">
        <v>0</v>
      </c>
      <c r="I6" s="161" t="s">
        <v>7138</v>
      </c>
    </row>
    <row r="7" spans="1:9">
      <c r="A7" s="113">
        <v>100100006</v>
      </c>
      <c r="B7" s="113" t="s">
        <v>3094</v>
      </c>
      <c r="C7" s="113" t="s">
        <v>3093</v>
      </c>
      <c r="D7" s="113" t="s">
        <v>3093</v>
      </c>
      <c r="E7" s="113" t="s">
        <v>1620</v>
      </c>
      <c r="F7" s="113" t="s">
        <v>3093</v>
      </c>
      <c r="G7" s="115" t="s">
        <v>3093</v>
      </c>
      <c r="H7" s="161">
        <v>0</v>
      </c>
      <c r="I7" s="161" t="s">
        <v>7138</v>
      </c>
    </row>
    <row r="8" spans="1:9">
      <c r="A8" s="113">
        <v>100100007</v>
      </c>
      <c r="B8" s="113" t="s">
        <v>3095</v>
      </c>
      <c r="C8" s="113" t="s">
        <v>3093</v>
      </c>
      <c r="D8" s="113" t="s">
        <v>3093</v>
      </c>
      <c r="E8" s="113" t="s">
        <v>1620</v>
      </c>
      <c r="F8" s="113" t="s">
        <v>3093</v>
      </c>
      <c r="G8" s="115" t="s">
        <v>3093</v>
      </c>
      <c r="H8" s="161">
        <v>0</v>
      </c>
      <c r="I8" s="161" t="s">
        <v>7138</v>
      </c>
    </row>
    <row r="9" spans="1:9">
      <c r="A9" s="113">
        <v>100100008</v>
      </c>
      <c r="B9" s="113" t="s">
        <v>3096</v>
      </c>
      <c r="C9" s="113" t="s">
        <v>3093</v>
      </c>
      <c r="D9" s="113" t="s">
        <v>3093</v>
      </c>
      <c r="E9" s="113" t="s">
        <v>1620</v>
      </c>
      <c r="F9" s="113" t="s">
        <v>3093</v>
      </c>
      <c r="G9" s="115" t="s">
        <v>3093</v>
      </c>
      <c r="H9" s="161">
        <v>0</v>
      </c>
      <c r="I9" s="161" t="s">
        <v>7138</v>
      </c>
    </row>
    <row r="10" spans="1:9">
      <c r="A10" s="113">
        <v>100100009</v>
      </c>
      <c r="B10" s="113" t="s">
        <v>3097</v>
      </c>
      <c r="C10" s="113" t="s">
        <v>3093</v>
      </c>
      <c r="D10" s="113" t="s">
        <v>3093</v>
      </c>
      <c r="E10" s="113" t="s">
        <v>1620</v>
      </c>
      <c r="F10" s="113" t="s">
        <v>3093</v>
      </c>
      <c r="G10" s="115" t="s">
        <v>3093</v>
      </c>
      <c r="H10" s="161">
        <v>0</v>
      </c>
      <c r="I10" s="161" t="s">
        <v>7138</v>
      </c>
    </row>
    <row r="11" spans="1:9">
      <c r="A11" s="113">
        <v>100100010</v>
      </c>
      <c r="B11" s="113" t="s">
        <v>3098</v>
      </c>
      <c r="C11" s="113" t="s">
        <v>3093</v>
      </c>
      <c r="D11" s="113" t="s">
        <v>3093</v>
      </c>
      <c r="E11" s="113" t="s">
        <v>1620</v>
      </c>
      <c r="F11" s="113" t="s">
        <v>3093</v>
      </c>
      <c r="G11" s="115" t="s">
        <v>3093</v>
      </c>
      <c r="H11" s="161">
        <v>0</v>
      </c>
      <c r="I11" s="161" t="s">
        <v>7138</v>
      </c>
    </row>
    <row r="12" spans="1:9">
      <c r="A12" s="113">
        <v>100100011</v>
      </c>
      <c r="B12" s="113" t="s">
        <v>3099</v>
      </c>
      <c r="C12" s="113" t="s">
        <v>3093</v>
      </c>
      <c r="D12" s="113" t="s">
        <v>3093</v>
      </c>
      <c r="E12" s="113" t="s">
        <v>1620</v>
      </c>
      <c r="F12" s="113" t="s">
        <v>3093</v>
      </c>
      <c r="G12" s="115" t="s">
        <v>3093</v>
      </c>
      <c r="H12" s="161">
        <v>0</v>
      </c>
      <c r="I12" s="161" t="s">
        <v>7138</v>
      </c>
    </row>
    <row r="13" spans="1:9">
      <c r="A13" s="113">
        <v>100100015</v>
      </c>
      <c r="B13" s="113" t="s">
        <v>3100</v>
      </c>
      <c r="C13" s="113" t="s">
        <v>3093</v>
      </c>
      <c r="D13" s="113" t="s">
        <v>3093</v>
      </c>
      <c r="E13" s="113" t="s">
        <v>1620</v>
      </c>
      <c r="F13" s="113" t="s">
        <v>3093</v>
      </c>
      <c r="G13" s="115" t="s">
        <v>3093</v>
      </c>
      <c r="H13" s="161">
        <v>0</v>
      </c>
      <c r="I13" s="161" t="s">
        <v>7138</v>
      </c>
    </row>
    <row r="14" spans="1:9">
      <c r="A14" s="113">
        <v>100200001</v>
      </c>
      <c r="B14" s="113" t="s">
        <v>3101</v>
      </c>
      <c r="C14" s="113">
        <v>7015071</v>
      </c>
      <c r="D14" s="113" t="s">
        <v>3093</v>
      </c>
      <c r="E14" s="113" t="s">
        <v>1620</v>
      </c>
      <c r="F14" s="113" t="s">
        <v>3093</v>
      </c>
      <c r="G14" s="115" t="s">
        <v>3093</v>
      </c>
      <c r="H14" s="161">
        <v>15.89</v>
      </c>
      <c r="I14" s="161">
        <v>0</v>
      </c>
    </row>
    <row r="15" spans="1:9">
      <c r="A15" s="113">
        <v>100200002</v>
      </c>
      <c r="B15" s="113" t="s">
        <v>3102</v>
      </c>
      <c r="C15" s="113">
        <v>7015127</v>
      </c>
      <c r="D15" s="113" t="s">
        <v>7139</v>
      </c>
      <c r="E15" s="113" t="s">
        <v>1620</v>
      </c>
      <c r="F15" s="113" t="s">
        <v>7139</v>
      </c>
      <c r="G15" s="115" t="s">
        <v>3093</v>
      </c>
      <c r="H15" s="161">
        <v>14.84</v>
      </c>
      <c r="I15" s="161">
        <v>750</v>
      </c>
    </row>
    <row r="16" spans="1:9">
      <c r="A16" s="113">
        <v>100200003</v>
      </c>
      <c r="B16" s="113" t="s">
        <v>3103</v>
      </c>
      <c r="C16" s="113">
        <v>7035014</v>
      </c>
      <c r="D16" s="113" t="s">
        <v>3093</v>
      </c>
      <c r="E16" s="113" t="s">
        <v>1620</v>
      </c>
      <c r="F16" s="113" t="s">
        <v>3093</v>
      </c>
      <c r="G16" s="115" t="s">
        <v>3093</v>
      </c>
      <c r="H16" s="161">
        <v>6.99</v>
      </c>
      <c r="I16" s="161">
        <v>5800</v>
      </c>
    </row>
    <row r="17" spans="1:9">
      <c r="A17" s="113">
        <v>100200004</v>
      </c>
      <c r="B17" s="113" t="s">
        <v>3104</v>
      </c>
      <c r="C17" s="113">
        <v>7035023</v>
      </c>
      <c r="D17" s="113" t="s">
        <v>3093</v>
      </c>
      <c r="E17" s="113" t="s">
        <v>1620</v>
      </c>
      <c r="F17" s="113" t="s">
        <v>3093</v>
      </c>
      <c r="G17" s="115" t="s">
        <v>3093</v>
      </c>
      <c r="H17" s="161">
        <v>34.94</v>
      </c>
      <c r="I17" s="161">
        <v>160</v>
      </c>
    </row>
    <row r="18" spans="1:9">
      <c r="A18" s="113">
        <v>100200005</v>
      </c>
      <c r="B18" s="113" t="s">
        <v>3105</v>
      </c>
      <c r="C18" s="113">
        <v>7035024</v>
      </c>
      <c r="D18" s="113" t="s">
        <v>3093</v>
      </c>
      <c r="E18" s="113" t="s">
        <v>1620</v>
      </c>
      <c r="F18" s="113" t="s">
        <v>3093</v>
      </c>
      <c r="G18" s="115" t="s">
        <v>3093</v>
      </c>
      <c r="H18" s="161">
        <v>40</v>
      </c>
      <c r="I18" s="161">
        <v>60</v>
      </c>
    </row>
    <row r="19" spans="1:9">
      <c r="A19" s="113">
        <v>100200006</v>
      </c>
      <c r="B19" s="113" t="s">
        <v>3106</v>
      </c>
      <c r="C19" s="113">
        <v>7035030</v>
      </c>
      <c r="D19" s="113" t="s">
        <v>3093</v>
      </c>
      <c r="E19" s="113" t="s">
        <v>1620</v>
      </c>
      <c r="F19" s="113" t="s">
        <v>3093</v>
      </c>
      <c r="G19" s="115" t="s">
        <v>3093</v>
      </c>
      <c r="H19" s="161">
        <v>93.63</v>
      </c>
      <c r="I19" s="161">
        <v>190</v>
      </c>
    </row>
    <row r="20" spans="1:9">
      <c r="A20" s="113">
        <v>100200007</v>
      </c>
      <c r="B20" s="113" t="s">
        <v>3107</v>
      </c>
      <c r="C20" s="113">
        <v>7035039</v>
      </c>
      <c r="D20" s="113" t="s">
        <v>3093</v>
      </c>
      <c r="E20" s="113" t="s">
        <v>1620</v>
      </c>
      <c r="F20" s="113" t="s">
        <v>3093</v>
      </c>
      <c r="G20" s="115" t="s">
        <v>3093</v>
      </c>
      <c r="H20" s="161">
        <v>320</v>
      </c>
      <c r="I20" s="161">
        <v>120</v>
      </c>
    </row>
    <row r="21" spans="1:9">
      <c r="A21" s="113">
        <v>100200008</v>
      </c>
      <c r="B21" s="113" t="s">
        <v>3108</v>
      </c>
      <c r="C21" s="113">
        <v>7035040</v>
      </c>
      <c r="D21" s="113" t="s">
        <v>3093</v>
      </c>
      <c r="E21" s="113" t="s">
        <v>1620</v>
      </c>
      <c r="F21" s="113" t="s">
        <v>3093</v>
      </c>
      <c r="G21" s="115" t="s">
        <v>3093</v>
      </c>
      <c r="H21" s="161">
        <v>275</v>
      </c>
      <c r="I21" s="161">
        <v>36</v>
      </c>
    </row>
    <row r="22" spans="1:9">
      <c r="A22" s="113">
        <v>100200009</v>
      </c>
      <c r="B22" s="113" t="s">
        <v>3109</v>
      </c>
      <c r="C22" s="113">
        <v>7035041</v>
      </c>
      <c r="D22" s="113" t="s">
        <v>3093</v>
      </c>
      <c r="E22" s="113" t="s">
        <v>1620</v>
      </c>
      <c r="F22" s="113" t="s">
        <v>3093</v>
      </c>
      <c r="G22" s="115" t="s">
        <v>3093</v>
      </c>
      <c r="H22" s="161">
        <v>1800</v>
      </c>
      <c r="I22" s="161">
        <v>180</v>
      </c>
    </row>
    <row r="23" spans="1:9">
      <c r="A23" s="113">
        <v>100200010</v>
      </c>
      <c r="B23" s="113" t="s">
        <v>3110</v>
      </c>
      <c r="C23" s="113">
        <v>7054133</v>
      </c>
      <c r="D23" s="113" t="s">
        <v>3093</v>
      </c>
      <c r="E23" s="113" t="s">
        <v>1620</v>
      </c>
      <c r="F23" s="113" t="s">
        <v>3093</v>
      </c>
      <c r="G23" s="115" t="s">
        <v>3093</v>
      </c>
      <c r="H23" s="161">
        <v>0.26</v>
      </c>
      <c r="I23" s="161">
        <v>700</v>
      </c>
    </row>
    <row r="24" spans="1:9">
      <c r="A24" s="113">
        <v>100200011</v>
      </c>
      <c r="B24" s="113" t="s">
        <v>3111</v>
      </c>
      <c r="C24" s="113">
        <v>7054142</v>
      </c>
      <c r="D24" s="113" t="s">
        <v>3093</v>
      </c>
      <c r="E24" s="113" t="s">
        <v>1620</v>
      </c>
      <c r="F24" s="113" t="s">
        <v>3093</v>
      </c>
      <c r="G24" s="115" t="s">
        <v>3093</v>
      </c>
      <c r="H24" s="161">
        <v>2020.06</v>
      </c>
      <c r="I24" s="161">
        <v>80</v>
      </c>
    </row>
    <row r="25" spans="1:9">
      <c r="A25" s="113">
        <v>100200012</v>
      </c>
      <c r="B25" s="113" t="s">
        <v>3112</v>
      </c>
      <c r="C25" s="113">
        <v>7080148</v>
      </c>
      <c r="D25" s="113" t="s">
        <v>3093</v>
      </c>
      <c r="E25" s="113" t="s">
        <v>1620</v>
      </c>
      <c r="F25" s="113" t="s">
        <v>3093</v>
      </c>
      <c r="G25" s="115" t="s">
        <v>3093</v>
      </c>
      <c r="H25" s="161">
        <v>349</v>
      </c>
      <c r="I25" s="161">
        <v>50</v>
      </c>
    </row>
    <row r="26" spans="1:9">
      <c r="A26" s="113">
        <v>100200013</v>
      </c>
      <c r="B26" s="113" t="s">
        <v>3113</v>
      </c>
      <c r="C26" s="113">
        <v>7080188</v>
      </c>
      <c r="D26" s="113" t="s">
        <v>3093</v>
      </c>
      <c r="E26" s="113" t="s">
        <v>1620</v>
      </c>
      <c r="F26" s="113" t="s">
        <v>3093</v>
      </c>
      <c r="G26" s="115" t="s">
        <v>3093</v>
      </c>
      <c r="H26" s="161">
        <v>582</v>
      </c>
      <c r="I26" s="161">
        <v>156</v>
      </c>
    </row>
    <row r="27" spans="1:9">
      <c r="A27" s="113">
        <v>100200014</v>
      </c>
      <c r="B27" s="113" t="s">
        <v>3114</v>
      </c>
      <c r="C27" s="113">
        <v>7080207</v>
      </c>
      <c r="D27" s="113" t="s">
        <v>3093</v>
      </c>
      <c r="E27" s="113" t="s">
        <v>1620</v>
      </c>
      <c r="F27" s="113" t="s">
        <v>3093</v>
      </c>
      <c r="G27" s="115" t="s">
        <v>3093</v>
      </c>
      <c r="H27" s="161">
        <v>0</v>
      </c>
      <c r="I27" s="161" t="s">
        <v>7138</v>
      </c>
    </row>
    <row r="28" spans="1:9">
      <c r="A28" s="113">
        <v>100200015</v>
      </c>
      <c r="B28" s="113" t="s">
        <v>3115</v>
      </c>
      <c r="C28" s="113">
        <v>7080208</v>
      </c>
      <c r="D28" s="113" t="s">
        <v>3093</v>
      </c>
      <c r="E28" s="113" t="s">
        <v>1620</v>
      </c>
      <c r="F28" s="113" t="s">
        <v>3093</v>
      </c>
      <c r="G28" s="115" t="s">
        <v>3093</v>
      </c>
      <c r="H28" s="161">
        <v>945</v>
      </c>
      <c r="I28" s="161">
        <v>156</v>
      </c>
    </row>
    <row r="29" spans="1:9">
      <c r="A29" s="113">
        <v>100200016</v>
      </c>
      <c r="B29" s="113" t="s">
        <v>3116</v>
      </c>
      <c r="C29" s="113">
        <v>7080210</v>
      </c>
      <c r="D29" s="113" t="s">
        <v>3093</v>
      </c>
      <c r="E29" s="113" t="s">
        <v>1620</v>
      </c>
      <c r="F29" s="113" t="s">
        <v>3093</v>
      </c>
      <c r="G29" s="115" t="s">
        <v>3093</v>
      </c>
      <c r="H29" s="161">
        <v>0</v>
      </c>
      <c r="I29" s="161" t="s">
        <v>7138</v>
      </c>
    </row>
    <row r="30" spans="1:9">
      <c r="A30" s="113">
        <v>100300001</v>
      </c>
      <c r="B30" s="113" t="s">
        <v>3117</v>
      </c>
      <c r="C30" s="113">
        <v>4005072</v>
      </c>
      <c r="D30" s="113" t="s">
        <v>3093</v>
      </c>
      <c r="E30" s="113" t="s">
        <v>1620</v>
      </c>
      <c r="F30" s="113" t="s">
        <v>3093</v>
      </c>
      <c r="G30" s="115" t="s">
        <v>3093</v>
      </c>
      <c r="H30" s="161">
        <v>0.09</v>
      </c>
      <c r="I30" s="161">
        <v>2</v>
      </c>
    </row>
    <row r="31" spans="1:9">
      <c r="A31" s="113">
        <v>100300002</v>
      </c>
      <c r="B31" s="113" t="s">
        <v>3118</v>
      </c>
      <c r="C31" s="113">
        <v>4005073</v>
      </c>
      <c r="D31" s="113" t="s">
        <v>3093</v>
      </c>
      <c r="E31" s="113" t="s">
        <v>1620</v>
      </c>
      <c r="F31" s="113" t="s">
        <v>3093</v>
      </c>
      <c r="G31" s="115" t="s">
        <v>3093</v>
      </c>
      <c r="H31" s="161">
        <v>0.08</v>
      </c>
      <c r="I31" s="161">
        <v>4</v>
      </c>
    </row>
    <row r="32" spans="1:9">
      <c r="A32" s="113">
        <v>100300003</v>
      </c>
      <c r="B32" s="113" t="s">
        <v>3119</v>
      </c>
      <c r="C32" s="113">
        <v>4005074</v>
      </c>
      <c r="D32" s="113" t="s">
        <v>3093</v>
      </c>
      <c r="E32" s="113" t="s">
        <v>1620</v>
      </c>
      <c r="F32" s="113" t="s">
        <v>3093</v>
      </c>
      <c r="G32" s="115" t="s">
        <v>3093</v>
      </c>
      <c r="H32" s="161">
        <v>0.08</v>
      </c>
      <c r="I32" s="161">
        <v>1</v>
      </c>
    </row>
    <row r="33" spans="1:9">
      <c r="A33" s="113">
        <v>100300004</v>
      </c>
      <c r="B33" s="113" t="s">
        <v>3120</v>
      </c>
      <c r="C33" s="113">
        <v>4006000</v>
      </c>
      <c r="D33" s="113" t="s">
        <v>3093</v>
      </c>
      <c r="E33" s="113" t="s">
        <v>1620</v>
      </c>
      <c r="F33" s="113" t="s">
        <v>3093</v>
      </c>
      <c r="G33" s="115" t="s">
        <v>3093</v>
      </c>
      <c r="H33" s="161">
        <v>0.121</v>
      </c>
      <c r="I33" s="161">
        <v>200</v>
      </c>
    </row>
    <row r="34" spans="1:9">
      <c r="A34" s="113">
        <v>100300005</v>
      </c>
      <c r="B34" s="113" t="s">
        <v>2671</v>
      </c>
      <c r="C34" s="113">
        <v>4201056</v>
      </c>
      <c r="D34" s="113" t="s">
        <v>3093</v>
      </c>
      <c r="E34" s="113" t="s">
        <v>1620</v>
      </c>
      <c r="F34" s="113" t="s">
        <v>3093</v>
      </c>
      <c r="G34" s="115" t="s">
        <v>3093</v>
      </c>
      <c r="H34" s="161">
        <v>10.3</v>
      </c>
      <c r="I34" s="161">
        <v>6</v>
      </c>
    </row>
    <row r="35" spans="1:9">
      <c r="A35" s="113">
        <v>100300006</v>
      </c>
      <c r="B35" s="113" t="s">
        <v>3121</v>
      </c>
      <c r="C35" s="113">
        <v>7010041</v>
      </c>
      <c r="D35" s="113" t="s">
        <v>3093</v>
      </c>
      <c r="E35" s="113" t="s">
        <v>1620</v>
      </c>
      <c r="F35" s="113" t="s">
        <v>3093</v>
      </c>
      <c r="G35" s="115" t="s">
        <v>3093</v>
      </c>
      <c r="H35" s="161">
        <v>0</v>
      </c>
      <c r="I35" s="161" t="s">
        <v>7138</v>
      </c>
    </row>
    <row r="36" spans="1:9">
      <c r="A36" s="113">
        <v>100300007</v>
      </c>
      <c r="B36" s="113" t="s">
        <v>3122</v>
      </c>
      <c r="C36" s="113">
        <v>7010117</v>
      </c>
      <c r="D36" s="113" t="s">
        <v>3093</v>
      </c>
      <c r="E36" s="113" t="s">
        <v>1620</v>
      </c>
      <c r="F36" s="113" t="s">
        <v>3093</v>
      </c>
      <c r="G36" s="115" t="s">
        <v>3093</v>
      </c>
      <c r="H36" s="161">
        <v>18</v>
      </c>
      <c r="I36" s="161">
        <v>41</v>
      </c>
    </row>
    <row r="37" spans="1:9">
      <c r="A37" s="113">
        <v>100300008</v>
      </c>
      <c r="B37" s="113" t="s">
        <v>3123</v>
      </c>
      <c r="C37" s="113">
        <v>7010118</v>
      </c>
      <c r="D37" s="113" t="s">
        <v>3093</v>
      </c>
      <c r="E37" s="113" t="s">
        <v>1620</v>
      </c>
      <c r="F37" s="113" t="s">
        <v>3093</v>
      </c>
      <c r="G37" s="115" t="s">
        <v>3093</v>
      </c>
      <c r="H37" s="161">
        <v>42</v>
      </c>
      <c r="I37" s="161">
        <v>36</v>
      </c>
    </row>
    <row r="38" spans="1:9">
      <c r="A38" s="113">
        <v>100300009</v>
      </c>
      <c r="B38" s="113" t="s">
        <v>3124</v>
      </c>
      <c r="C38" s="113">
        <v>7010122</v>
      </c>
      <c r="D38" s="113" t="s">
        <v>3093</v>
      </c>
      <c r="E38" s="113" t="s">
        <v>1620</v>
      </c>
      <c r="F38" s="113" t="s">
        <v>3093</v>
      </c>
      <c r="G38" s="115" t="s">
        <v>3093</v>
      </c>
      <c r="H38" s="161">
        <v>30</v>
      </c>
      <c r="I38" s="161">
        <v>50</v>
      </c>
    </row>
    <row r="39" spans="1:9">
      <c r="A39" s="113">
        <v>100300010</v>
      </c>
      <c r="B39" s="113" t="s">
        <v>3125</v>
      </c>
      <c r="C39" s="113">
        <v>7010123</v>
      </c>
      <c r="D39" s="113" t="s">
        <v>3093</v>
      </c>
      <c r="E39" s="113" t="s">
        <v>1620</v>
      </c>
      <c r="F39" s="113" t="s">
        <v>3093</v>
      </c>
      <c r="G39" s="115" t="s">
        <v>3093</v>
      </c>
      <c r="H39" s="161">
        <v>6</v>
      </c>
      <c r="I39" s="161">
        <v>45</v>
      </c>
    </row>
    <row r="40" spans="1:9">
      <c r="A40" s="113">
        <v>100300011</v>
      </c>
      <c r="B40" s="113" t="s">
        <v>3126</v>
      </c>
      <c r="C40" s="113">
        <v>7010132</v>
      </c>
      <c r="D40" s="113" t="s">
        <v>3093</v>
      </c>
      <c r="E40" s="113" t="s">
        <v>1620</v>
      </c>
      <c r="F40" s="113" t="s">
        <v>3093</v>
      </c>
      <c r="G40" s="115" t="s">
        <v>3093</v>
      </c>
      <c r="H40" s="161">
        <v>50</v>
      </c>
      <c r="I40" s="161">
        <v>428</v>
      </c>
    </row>
    <row r="41" spans="1:9">
      <c r="A41" s="113">
        <v>100300013</v>
      </c>
      <c r="B41" s="113" t="s">
        <v>3127</v>
      </c>
      <c r="C41" s="113">
        <v>7010134</v>
      </c>
      <c r="D41" s="113" t="s">
        <v>3093</v>
      </c>
      <c r="E41" s="113" t="s">
        <v>1620</v>
      </c>
      <c r="F41" s="113" t="s">
        <v>3093</v>
      </c>
      <c r="G41" s="115" t="s">
        <v>3093</v>
      </c>
      <c r="H41" s="161">
        <v>1.25</v>
      </c>
      <c r="I41" s="161">
        <v>0</v>
      </c>
    </row>
    <row r="42" spans="1:9">
      <c r="A42" s="113">
        <v>100300014</v>
      </c>
      <c r="B42" s="113" t="s">
        <v>3128</v>
      </c>
      <c r="C42" s="113">
        <v>7010135</v>
      </c>
      <c r="D42" s="113" t="s">
        <v>3093</v>
      </c>
      <c r="E42" s="113" t="s">
        <v>1620</v>
      </c>
      <c r="F42" s="113" t="s">
        <v>3093</v>
      </c>
      <c r="G42" s="115" t="s">
        <v>3093</v>
      </c>
      <c r="H42" s="161">
        <v>3</v>
      </c>
      <c r="I42" s="161">
        <v>50</v>
      </c>
    </row>
    <row r="43" spans="1:9">
      <c r="A43" s="113">
        <v>100300015</v>
      </c>
      <c r="B43" s="113" t="s">
        <v>3129</v>
      </c>
      <c r="C43" s="113">
        <v>7010136</v>
      </c>
      <c r="D43" s="113" t="s">
        <v>3093</v>
      </c>
      <c r="E43" s="113" t="s">
        <v>1620</v>
      </c>
      <c r="F43" s="113" t="s">
        <v>3093</v>
      </c>
      <c r="G43" s="115" t="s">
        <v>3093</v>
      </c>
      <c r="H43" s="161">
        <v>1.5</v>
      </c>
      <c r="I43" s="161">
        <v>20</v>
      </c>
    </row>
    <row r="44" spans="1:9">
      <c r="A44" s="113">
        <v>100300016</v>
      </c>
      <c r="B44" s="113" t="s">
        <v>3130</v>
      </c>
      <c r="C44" s="113">
        <v>7010137</v>
      </c>
      <c r="D44" s="113" t="s">
        <v>3093</v>
      </c>
      <c r="E44" s="113" t="s">
        <v>1620</v>
      </c>
      <c r="F44" s="113" t="s">
        <v>3093</v>
      </c>
      <c r="G44" s="115" t="s">
        <v>3093</v>
      </c>
      <c r="H44" s="161">
        <v>4.25</v>
      </c>
      <c r="I44" s="161">
        <v>250</v>
      </c>
    </row>
    <row r="45" spans="1:9">
      <c r="A45" s="113">
        <v>100300017</v>
      </c>
      <c r="B45" s="113" t="s">
        <v>3131</v>
      </c>
      <c r="C45" s="113">
        <v>7010138</v>
      </c>
      <c r="D45" s="113" t="s">
        <v>3093</v>
      </c>
      <c r="E45" s="113" t="s">
        <v>1620</v>
      </c>
      <c r="F45" s="113" t="s">
        <v>3093</v>
      </c>
      <c r="G45" s="115" t="s">
        <v>3093</v>
      </c>
      <c r="H45" s="161">
        <v>2.25</v>
      </c>
      <c r="I45" s="161">
        <v>1000</v>
      </c>
    </row>
    <row r="46" spans="1:9">
      <c r="A46" s="113">
        <v>100300018</v>
      </c>
      <c r="B46" s="113" t="s">
        <v>3132</v>
      </c>
      <c r="C46" s="113">
        <v>7010139</v>
      </c>
      <c r="D46" s="113" t="s">
        <v>3093</v>
      </c>
      <c r="E46" s="113" t="s">
        <v>1620</v>
      </c>
      <c r="F46" s="113" t="s">
        <v>3093</v>
      </c>
      <c r="G46" s="115" t="s">
        <v>3093</v>
      </c>
      <c r="H46" s="161">
        <v>3.55</v>
      </c>
      <c r="I46" s="161">
        <v>300</v>
      </c>
    </row>
    <row r="47" spans="1:9">
      <c r="A47" s="113">
        <v>100300019</v>
      </c>
      <c r="B47" s="113" t="s">
        <v>3133</v>
      </c>
      <c r="C47" s="113">
        <v>7010140</v>
      </c>
      <c r="D47" s="113" t="s">
        <v>3093</v>
      </c>
      <c r="E47" s="113" t="s">
        <v>1620</v>
      </c>
      <c r="F47" s="113" t="s">
        <v>3093</v>
      </c>
      <c r="G47" s="115" t="s">
        <v>3093</v>
      </c>
      <c r="H47" s="161">
        <v>1.25</v>
      </c>
      <c r="I47" s="161">
        <v>36</v>
      </c>
    </row>
    <row r="48" spans="1:9">
      <c r="A48" s="113">
        <v>100300020</v>
      </c>
      <c r="B48" s="113" t="s">
        <v>3134</v>
      </c>
      <c r="C48" s="113">
        <v>7010141</v>
      </c>
      <c r="D48" s="113" t="s">
        <v>3093</v>
      </c>
      <c r="E48" s="113" t="s">
        <v>1620</v>
      </c>
      <c r="F48" s="113" t="s">
        <v>3093</v>
      </c>
      <c r="G48" s="115" t="s">
        <v>3093</v>
      </c>
      <c r="H48" s="161">
        <v>3</v>
      </c>
      <c r="I48" s="161">
        <v>700</v>
      </c>
    </row>
    <row r="49" spans="1:9">
      <c r="A49" s="113">
        <v>100300021</v>
      </c>
      <c r="B49" s="113" t="s">
        <v>3135</v>
      </c>
      <c r="C49" s="113">
        <v>7010142</v>
      </c>
      <c r="D49" s="113" t="s">
        <v>3093</v>
      </c>
      <c r="E49" s="113" t="s">
        <v>1620</v>
      </c>
      <c r="F49" s="113" t="s">
        <v>3093</v>
      </c>
      <c r="G49" s="115" t="s">
        <v>3093</v>
      </c>
      <c r="H49" s="161">
        <v>5.75</v>
      </c>
      <c r="I49" s="161">
        <v>0</v>
      </c>
    </row>
    <row r="50" spans="1:9">
      <c r="A50" s="113">
        <v>100300022</v>
      </c>
      <c r="B50" s="113" t="s">
        <v>3136</v>
      </c>
      <c r="C50" s="113">
        <v>7015039</v>
      </c>
      <c r="D50" s="113" t="s">
        <v>3093</v>
      </c>
      <c r="E50" s="113" t="s">
        <v>1620</v>
      </c>
      <c r="F50" s="113" t="s">
        <v>3093</v>
      </c>
      <c r="G50" s="115" t="s">
        <v>3093</v>
      </c>
      <c r="H50" s="161">
        <v>15980</v>
      </c>
      <c r="I50" s="161">
        <v>6</v>
      </c>
    </row>
    <row r="51" spans="1:9">
      <c r="A51" s="113">
        <v>100300023</v>
      </c>
      <c r="B51" s="113" t="s">
        <v>3137</v>
      </c>
      <c r="C51" s="113">
        <v>7015113</v>
      </c>
      <c r="D51" s="113" t="s">
        <v>3093</v>
      </c>
      <c r="E51" s="113" t="s">
        <v>1620</v>
      </c>
      <c r="F51" s="113" t="s">
        <v>3093</v>
      </c>
      <c r="G51" s="115" t="s">
        <v>3093</v>
      </c>
      <c r="H51" s="161">
        <v>0</v>
      </c>
      <c r="I51" s="161" t="s">
        <v>7138</v>
      </c>
    </row>
    <row r="52" spans="1:9">
      <c r="A52" s="113">
        <v>100300024</v>
      </c>
      <c r="B52" s="113" t="s">
        <v>3138</v>
      </c>
      <c r="C52" s="113">
        <v>7015114</v>
      </c>
      <c r="D52" s="113" t="s">
        <v>3093</v>
      </c>
      <c r="E52" s="113" t="s">
        <v>1620</v>
      </c>
      <c r="F52" s="113" t="s">
        <v>3093</v>
      </c>
      <c r="G52" s="115" t="s">
        <v>3093</v>
      </c>
      <c r="H52" s="161">
        <v>28.85</v>
      </c>
      <c r="I52" s="161">
        <v>750</v>
      </c>
    </row>
    <row r="53" spans="1:9">
      <c r="A53" s="113">
        <v>100300025</v>
      </c>
      <c r="B53" s="113" t="s">
        <v>3139</v>
      </c>
      <c r="C53" s="113">
        <v>7016102</v>
      </c>
      <c r="D53" s="113" t="s">
        <v>3093</v>
      </c>
      <c r="E53" s="113" t="s">
        <v>1620</v>
      </c>
      <c r="F53" s="113" t="s">
        <v>3093</v>
      </c>
      <c r="G53" s="115" t="s">
        <v>3093</v>
      </c>
      <c r="H53" s="161">
        <v>0</v>
      </c>
      <c r="I53" s="161" t="s">
        <v>7138</v>
      </c>
    </row>
    <row r="54" spans="1:9">
      <c r="A54" s="113">
        <v>100300026</v>
      </c>
      <c r="B54" s="113" t="s">
        <v>3140</v>
      </c>
      <c r="C54" s="113">
        <v>7016103</v>
      </c>
      <c r="D54" s="113" t="s">
        <v>3093</v>
      </c>
      <c r="E54" s="113" t="s">
        <v>1620</v>
      </c>
      <c r="F54" s="113" t="s">
        <v>3093</v>
      </c>
      <c r="G54" s="115" t="s">
        <v>3093</v>
      </c>
      <c r="H54" s="161">
        <v>0</v>
      </c>
      <c r="I54" s="161" t="s">
        <v>7138</v>
      </c>
    </row>
    <row r="55" spans="1:9">
      <c r="A55" s="113">
        <v>100300027</v>
      </c>
      <c r="B55" s="113" t="s">
        <v>3141</v>
      </c>
      <c r="C55" s="113">
        <v>7016105</v>
      </c>
      <c r="D55" s="113" t="s">
        <v>3093</v>
      </c>
      <c r="E55" s="113" t="s">
        <v>1620</v>
      </c>
      <c r="F55" s="113" t="s">
        <v>3093</v>
      </c>
      <c r="G55" s="115" t="s">
        <v>3093</v>
      </c>
      <c r="H55" s="161">
        <v>475</v>
      </c>
      <c r="I55" s="161" t="s">
        <v>7138</v>
      </c>
    </row>
    <row r="56" spans="1:9">
      <c r="A56" s="113">
        <v>100300028</v>
      </c>
      <c r="B56" s="113" t="s">
        <v>3142</v>
      </c>
      <c r="C56" s="113">
        <v>7016106</v>
      </c>
      <c r="D56" s="113" t="s">
        <v>3093</v>
      </c>
      <c r="E56" s="113" t="s">
        <v>1620</v>
      </c>
      <c r="F56" s="113" t="s">
        <v>3093</v>
      </c>
      <c r="G56" s="115" t="s">
        <v>3093</v>
      </c>
      <c r="H56" s="161">
        <v>500</v>
      </c>
      <c r="I56" s="161" t="s">
        <v>7138</v>
      </c>
    </row>
    <row r="57" spans="1:9">
      <c r="A57" s="113">
        <v>100300029</v>
      </c>
      <c r="B57" s="113" t="s">
        <v>3143</v>
      </c>
      <c r="C57" s="113">
        <v>7016107</v>
      </c>
      <c r="D57" s="113" t="s">
        <v>3093</v>
      </c>
      <c r="E57" s="113" t="s">
        <v>1620</v>
      </c>
      <c r="F57" s="113" t="s">
        <v>3093</v>
      </c>
      <c r="G57" s="115" t="s">
        <v>3093</v>
      </c>
      <c r="H57" s="161">
        <v>95</v>
      </c>
      <c r="I57" s="161" t="s">
        <v>7138</v>
      </c>
    </row>
    <row r="58" spans="1:9">
      <c r="A58" s="113">
        <v>100300030</v>
      </c>
      <c r="B58" s="113" t="s">
        <v>3144</v>
      </c>
      <c r="C58" s="113">
        <v>7016108</v>
      </c>
      <c r="D58" s="113" t="s">
        <v>3093</v>
      </c>
      <c r="E58" s="113" t="s">
        <v>1620</v>
      </c>
      <c r="F58" s="113" t="s">
        <v>3093</v>
      </c>
      <c r="G58" s="115" t="s">
        <v>3093</v>
      </c>
      <c r="H58" s="161">
        <v>1.01</v>
      </c>
      <c r="I58" s="161">
        <v>0</v>
      </c>
    </row>
    <row r="59" spans="1:9">
      <c r="A59" s="113">
        <v>100300031</v>
      </c>
      <c r="B59" s="113" t="s">
        <v>3145</v>
      </c>
      <c r="C59" s="113">
        <v>7016121</v>
      </c>
      <c r="D59" s="113" t="s">
        <v>3093</v>
      </c>
      <c r="E59" s="113" t="s">
        <v>1620</v>
      </c>
      <c r="F59" s="113" t="s">
        <v>3093</v>
      </c>
      <c r="G59" s="115" t="s">
        <v>3093</v>
      </c>
      <c r="H59" s="161">
        <v>1.37</v>
      </c>
      <c r="I59" s="161">
        <v>5</v>
      </c>
    </row>
    <row r="60" spans="1:9">
      <c r="A60" s="113">
        <v>100300032</v>
      </c>
      <c r="B60" s="113" t="s">
        <v>3146</v>
      </c>
      <c r="C60" s="113">
        <v>7016122</v>
      </c>
      <c r="D60" s="113" t="s">
        <v>3093</v>
      </c>
      <c r="E60" s="113" t="s">
        <v>1620</v>
      </c>
      <c r="F60" s="113" t="s">
        <v>3093</v>
      </c>
      <c r="G60" s="115" t="s">
        <v>3093</v>
      </c>
      <c r="H60" s="161">
        <v>0.5</v>
      </c>
      <c r="I60" s="161">
        <v>0</v>
      </c>
    </row>
    <row r="61" spans="1:9">
      <c r="A61" s="113">
        <v>100300033</v>
      </c>
      <c r="B61" s="113" t="s">
        <v>3147</v>
      </c>
      <c r="C61" s="113">
        <v>7016123</v>
      </c>
      <c r="D61" s="113" t="s">
        <v>3093</v>
      </c>
      <c r="E61" s="113" t="s">
        <v>1620</v>
      </c>
      <c r="F61" s="113" t="s">
        <v>3093</v>
      </c>
      <c r="G61" s="115" t="s">
        <v>3093</v>
      </c>
      <c r="H61" s="161">
        <v>3</v>
      </c>
      <c r="I61" s="161">
        <v>0</v>
      </c>
    </row>
    <row r="62" spans="1:9">
      <c r="A62" s="113">
        <v>100300034</v>
      </c>
      <c r="B62" s="113" t="s">
        <v>3148</v>
      </c>
      <c r="C62" s="113">
        <v>7016170</v>
      </c>
      <c r="D62" s="113" t="s">
        <v>3093</v>
      </c>
      <c r="E62" s="113" t="s">
        <v>1620</v>
      </c>
      <c r="F62" s="113" t="s">
        <v>3093</v>
      </c>
      <c r="G62" s="115" t="s">
        <v>3093</v>
      </c>
      <c r="H62" s="161">
        <v>131.97999999999999</v>
      </c>
      <c r="I62" s="161">
        <v>60</v>
      </c>
    </row>
    <row r="63" spans="1:9">
      <c r="A63" s="113">
        <v>100300035</v>
      </c>
      <c r="B63" s="113" t="s">
        <v>3149</v>
      </c>
      <c r="C63" s="113">
        <v>7016172</v>
      </c>
      <c r="D63" s="113" t="s">
        <v>3093</v>
      </c>
      <c r="E63" s="113" t="s">
        <v>7140</v>
      </c>
      <c r="F63" s="113" t="s">
        <v>3093</v>
      </c>
      <c r="G63" s="115" t="s">
        <v>3093</v>
      </c>
      <c r="H63" s="161">
        <v>2.35</v>
      </c>
      <c r="I63" s="161">
        <v>2400</v>
      </c>
    </row>
    <row r="64" spans="1:9">
      <c r="A64" s="113">
        <v>100300037</v>
      </c>
      <c r="B64" s="113" t="s">
        <v>3150</v>
      </c>
      <c r="C64" s="113">
        <v>7016187</v>
      </c>
      <c r="D64" s="113" t="s">
        <v>3093</v>
      </c>
      <c r="E64" s="113" t="s">
        <v>1620</v>
      </c>
      <c r="F64" s="113" t="s">
        <v>3093</v>
      </c>
      <c r="G64" s="115" t="s">
        <v>3093</v>
      </c>
      <c r="H64" s="161">
        <v>0</v>
      </c>
      <c r="I64" s="161" t="s">
        <v>7138</v>
      </c>
    </row>
    <row r="65" spans="1:9">
      <c r="A65" s="113">
        <v>100300038</v>
      </c>
      <c r="B65" s="113" t="s">
        <v>3151</v>
      </c>
      <c r="C65" s="113">
        <v>7016211</v>
      </c>
      <c r="D65" s="113" t="s">
        <v>3093</v>
      </c>
      <c r="E65" s="113" t="s">
        <v>1620</v>
      </c>
      <c r="F65" s="113" t="s">
        <v>3093</v>
      </c>
      <c r="G65" s="115" t="s">
        <v>3093</v>
      </c>
      <c r="H65" s="161">
        <v>650</v>
      </c>
      <c r="I65" s="161">
        <v>16</v>
      </c>
    </row>
    <row r="66" spans="1:9">
      <c r="A66" s="113">
        <v>100300039</v>
      </c>
      <c r="B66" s="113" t="s">
        <v>3152</v>
      </c>
      <c r="C66" s="113">
        <v>7016221</v>
      </c>
      <c r="D66" s="113" t="s">
        <v>3093</v>
      </c>
      <c r="E66" s="113" t="s">
        <v>1620</v>
      </c>
      <c r="F66" s="113" t="s">
        <v>3093</v>
      </c>
      <c r="G66" s="115" t="s">
        <v>3093</v>
      </c>
      <c r="H66" s="161">
        <v>3</v>
      </c>
      <c r="I66" s="161">
        <v>75</v>
      </c>
    </row>
    <row r="67" spans="1:9">
      <c r="A67" s="113">
        <v>100300040</v>
      </c>
      <c r="B67" s="113" t="s">
        <v>3153</v>
      </c>
      <c r="C67" s="113">
        <v>7016225</v>
      </c>
      <c r="D67" s="113" t="s">
        <v>3093</v>
      </c>
      <c r="E67" s="113" t="s">
        <v>1620</v>
      </c>
      <c r="F67" s="113" t="s">
        <v>3093</v>
      </c>
      <c r="G67" s="115" t="s">
        <v>3093</v>
      </c>
      <c r="H67" s="161">
        <v>1.25</v>
      </c>
      <c r="I67" s="161">
        <v>75</v>
      </c>
    </row>
    <row r="68" spans="1:9">
      <c r="A68" s="113">
        <v>100300041</v>
      </c>
      <c r="B68" s="113" t="s">
        <v>3154</v>
      </c>
      <c r="C68" s="113">
        <v>7016230</v>
      </c>
      <c r="D68" s="113" t="s">
        <v>3093</v>
      </c>
      <c r="E68" s="113" t="s">
        <v>1620</v>
      </c>
      <c r="F68" s="113" t="s">
        <v>3093</v>
      </c>
      <c r="G68" s="115" t="s">
        <v>3093</v>
      </c>
      <c r="H68" s="161">
        <v>0.32</v>
      </c>
      <c r="I68" s="161">
        <v>700</v>
      </c>
    </row>
    <row r="69" spans="1:9">
      <c r="A69" s="113">
        <v>100300042</v>
      </c>
      <c r="B69" s="113" t="s">
        <v>3155</v>
      </c>
      <c r="C69" s="113">
        <v>7016233</v>
      </c>
      <c r="D69" s="113" t="s">
        <v>3093</v>
      </c>
      <c r="E69" s="113" t="s">
        <v>1620</v>
      </c>
      <c r="F69" s="113" t="s">
        <v>3093</v>
      </c>
      <c r="G69" s="115" t="s">
        <v>3093</v>
      </c>
      <c r="H69" s="161">
        <v>65</v>
      </c>
      <c r="I69" s="161">
        <v>0</v>
      </c>
    </row>
    <row r="70" spans="1:9">
      <c r="A70" s="113">
        <v>100300043</v>
      </c>
      <c r="B70" s="113" t="s">
        <v>2672</v>
      </c>
      <c r="C70" s="113">
        <v>7016234</v>
      </c>
      <c r="D70" s="113" t="s">
        <v>3093</v>
      </c>
      <c r="E70" s="113" t="s">
        <v>1620</v>
      </c>
      <c r="F70" s="113" t="s">
        <v>3093</v>
      </c>
      <c r="G70" s="115" t="s">
        <v>3093</v>
      </c>
      <c r="H70" s="161">
        <v>22.6</v>
      </c>
      <c r="I70" s="161">
        <v>195</v>
      </c>
    </row>
    <row r="71" spans="1:9">
      <c r="A71" s="113">
        <v>100300044</v>
      </c>
      <c r="B71" s="113" t="s">
        <v>3156</v>
      </c>
      <c r="C71" s="113">
        <v>7016235</v>
      </c>
      <c r="D71" s="113" t="s">
        <v>3093</v>
      </c>
      <c r="E71" s="113" t="s">
        <v>1620</v>
      </c>
      <c r="F71" s="113" t="s">
        <v>3093</v>
      </c>
      <c r="G71" s="115" t="s">
        <v>3093</v>
      </c>
      <c r="H71" s="161">
        <v>65</v>
      </c>
      <c r="I71" s="161">
        <v>0</v>
      </c>
    </row>
    <row r="72" spans="1:9">
      <c r="A72" s="113">
        <v>100300045</v>
      </c>
      <c r="B72" s="113" t="s">
        <v>3157</v>
      </c>
      <c r="C72" s="113">
        <v>7016236</v>
      </c>
      <c r="D72" s="113" t="s">
        <v>3093</v>
      </c>
      <c r="E72" s="113" t="s">
        <v>1620</v>
      </c>
      <c r="F72" s="113" t="s">
        <v>3093</v>
      </c>
      <c r="G72" s="115" t="s">
        <v>3093</v>
      </c>
      <c r="H72" s="161">
        <v>65</v>
      </c>
      <c r="I72" s="161">
        <v>48</v>
      </c>
    </row>
    <row r="73" spans="1:9">
      <c r="A73" s="113">
        <v>100300046</v>
      </c>
      <c r="B73" s="113" t="s">
        <v>3158</v>
      </c>
      <c r="C73" s="113">
        <v>7016238</v>
      </c>
      <c r="D73" s="113" t="s">
        <v>3093</v>
      </c>
      <c r="E73" s="113" t="s">
        <v>1620</v>
      </c>
      <c r="F73" s="113" t="s">
        <v>3093</v>
      </c>
      <c r="G73" s="115" t="s">
        <v>3093</v>
      </c>
      <c r="H73" s="161">
        <v>89.68</v>
      </c>
      <c r="I73" s="161">
        <v>48</v>
      </c>
    </row>
    <row r="74" spans="1:9">
      <c r="A74" s="113">
        <v>100300047</v>
      </c>
      <c r="B74" s="113" t="s">
        <v>3159</v>
      </c>
      <c r="C74" s="113">
        <v>7016240</v>
      </c>
      <c r="D74" s="113" t="s">
        <v>3093</v>
      </c>
      <c r="E74" s="113" t="s">
        <v>1620</v>
      </c>
      <c r="F74" s="113" t="s">
        <v>3093</v>
      </c>
      <c r="G74" s="115" t="s">
        <v>3093</v>
      </c>
      <c r="H74" s="161">
        <v>35</v>
      </c>
      <c r="I74" s="161">
        <v>480</v>
      </c>
    </row>
    <row r="75" spans="1:9">
      <c r="A75" s="113">
        <v>100300048</v>
      </c>
      <c r="B75" s="113" t="s">
        <v>3160</v>
      </c>
      <c r="C75" s="113">
        <v>7016250</v>
      </c>
      <c r="D75" s="113" t="s">
        <v>3093</v>
      </c>
      <c r="E75" s="113" t="s">
        <v>1620</v>
      </c>
      <c r="F75" s="113" t="s">
        <v>3093</v>
      </c>
      <c r="G75" s="115" t="s">
        <v>3093</v>
      </c>
      <c r="H75" s="161">
        <v>16</v>
      </c>
      <c r="I75" s="161">
        <v>390</v>
      </c>
    </row>
    <row r="76" spans="1:9">
      <c r="A76" s="113">
        <v>100300049</v>
      </c>
      <c r="B76" s="113" t="s">
        <v>3161</v>
      </c>
      <c r="C76" s="113">
        <v>7016252</v>
      </c>
      <c r="D76" s="113" t="s">
        <v>3093</v>
      </c>
      <c r="E76" s="113" t="s">
        <v>1620</v>
      </c>
      <c r="F76" s="113" t="s">
        <v>3093</v>
      </c>
      <c r="G76" s="115" t="s">
        <v>3093</v>
      </c>
      <c r="H76" s="161">
        <v>15.5</v>
      </c>
      <c r="I76" s="161">
        <v>750</v>
      </c>
    </row>
    <row r="77" spans="1:9">
      <c r="A77" s="113">
        <v>100300050</v>
      </c>
      <c r="B77" s="113" t="s">
        <v>3162</v>
      </c>
      <c r="C77" s="113">
        <v>7016268</v>
      </c>
      <c r="D77" s="113" t="s">
        <v>3093</v>
      </c>
      <c r="E77" s="113" t="s">
        <v>1620</v>
      </c>
      <c r="F77" s="113" t="s">
        <v>3093</v>
      </c>
      <c r="G77" s="115" t="s">
        <v>3093</v>
      </c>
      <c r="H77" s="161">
        <v>245</v>
      </c>
      <c r="I77" s="161">
        <v>4</v>
      </c>
    </row>
    <row r="78" spans="1:9">
      <c r="A78" s="113">
        <v>100300051</v>
      </c>
      <c r="B78" s="113" t="s">
        <v>3163</v>
      </c>
      <c r="C78" s="113">
        <v>7016288</v>
      </c>
      <c r="D78" s="113" t="s">
        <v>3093</v>
      </c>
      <c r="E78" s="113" t="s">
        <v>1620</v>
      </c>
      <c r="F78" s="113" t="s">
        <v>3093</v>
      </c>
      <c r="G78" s="115" t="s">
        <v>3093</v>
      </c>
      <c r="H78" s="161">
        <v>46.33</v>
      </c>
      <c r="I78" s="161" t="s">
        <v>7138</v>
      </c>
    </row>
    <row r="79" spans="1:9">
      <c r="A79" s="113">
        <v>100300052</v>
      </c>
      <c r="B79" s="113" t="s">
        <v>3164</v>
      </c>
      <c r="C79" s="113">
        <v>7016289</v>
      </c>
      <c r="D79" s="113" t="s">
        <v>3093</v>
      </c>
      <c r="E79" s="113" t="s">
        <v>1620</v>
      </c>
      <c r="F79" s="113" t="s">
        <v>3093</v>
      </c>
      <c r="G79" s="115" t="s">
        <v>3093</v>
      </c>
      <c r="H79" s="161">
        <v>18.63</v>
      </c>
      <c r="I79" s="161">
        <v>700</v>
      </c>
    </row>
    <row r="80" spans="1:9">
      <c r="A80" s="113">
        <v>100300053</v>
      </c>
      <c r="B80" s="113" t="s">
        <v>3165</v>
      </c>
      <c r="C80" s="113">
        <v>7016290</v>
      </c>
      <c r="D80" s="113" t="s">
        <v>3093</v>
      </c>
      <c r="E80" s="113" t="s">
        <v>1620</v>
      </c>
      <c r="F80" s="113" t="s">
        <v>3093</v>
      </c>
      <c r="G80" s="115" t="s">
        <v>3093</v>
      </c>
      <c r="H80" s="161">
        <v>18.63</v>
      </c>
      <c r="I80" s="161">
        <v>620</v>
      </c>
    </row>
    <row r="81" spans="1:9">
      <c r="A81" s="113">
        <v>100300054</v>
      </c>
      <c r="B81" s="113" t="s">
        <v>3166</v>
      </c>
      <c r="C81" s="113">
        <v>7016291</v>
      </c>
      <c r="D81" s="113" t="s">
        <v>3093</v>
      </c>
      <c r="E81" s="113" t="s">
        <v>1620</v>
      </c>
      <c r="F81" s="113" t="s">
        <v>3093</v>
      </c>
      <c r="G81" s="115" t="s">
        <v>3093</v>
      </c>
      <c r="H81" s="161">
        <v>38.5</v>
      </c>
      <c r="I81" s="161">
        <v>400</v>
      </c>
    </row>
    <row r="82" spans="1:9">
      <c r="A82" s="113">
        <v>100300055</v>
      </c>
      <c r="B82" s="113" t="s">
        <v>1274</v>
      </c>
      <c r="C82" s="113">
        <v>7022065</v>
      </c>
      <c r="D82" s="113" t="s">
        <v>3093</v>
      </c>
      <c r="E82" s="113" t="s">
        <v>1620</v>
      </c>
      <c r="F82" s="113" t="s">
        <v>3093</v>
      </c>
      <c r="G82" s="115" t="s">
        <v>3093</v>
      </c>
      <c r="H82" s="161">
        <v>0</v>
      </c>
      <c r="I82" s="161" t="s">
        <v>7138</v>
      </c>
    </row>
    <row r="83" spans="1:9">
      <c r="A83" s="113">
        <v>100300056</v>
      </c>
      <c r="B83" s="113" t="s">
        <v>3167</v>
      </c>
      <c r="C83" s="113">
        <v>7040017</v>
      </c>
      <c r="D83" s="113" t="s">
        <v>3093</v>
      </c>
      <c r="E83" s="113" t="s">
        <v>1620</v>
      </c>
      <c r="F83" s="113" t="s">
        <v>3093</v>
      </c>
      <c r="G83" s="115" t="s">
        <v>3093</v>
      </c>
      <c r="H83" s="161">
        <v>400</v>
      </c>
      <c r="I83" s="161">
        <v>30</v>
      </c>
    </row>
    <row r="84" spans="1:9">
      <c r="A84" s="113">
        <v>100300057</v>
      </c>
      <c r="B84" s="113" t="s">
        <v>3168</v>
      </c>
      <c r="C84" s="113">
        <v>7040018</v>
      </c>
      <c r="D84" s="113" t="s">
        <v>3093</v>
      </c>
      <c r="E84" s="113" t="s">
        <v>1620</v>
      </c>
      <c r="F84" s="113" t="s">
        <v>3093</v>
      </c>
      <c r="G84" s="115" t="s">
        <v>3093</v>
      </c>
      <c r="H84" s="161">
        <v>0</v>
      </c>
      <c r="I84" s="161" t="s">
        <v>7138</v>
      </c>
    </row>
    <row r="85" spans="1:9">
      <c r="A85" s="113">
        <v>100300060</v>
      </c>
      <c r="B85" s="113" t="s">
        <v>2674</v>
      </c>
      <c r="C85" s="113">
        <v>7040026</v>
      </c>
      <c r="D85" s="113" t="s">
        <v>3093</v>
      </c>
      <c r="E85" s="113" t="s">
        <v>1620</v>
      </c>
      <c r="F85" s="113" t="s">
        <v>3093</v>
      </c>
      <c r="G85" s="115" t="s">
        <v>3093</v>
      </c>
      <c r="H85" s="161">
        <v>0</v>
      </c>
      <c r="I85" s="161" t="s">
        <v>7138</v>
      </c>
    </row>
    <row r="86" spans="1:9">
      <c r="A86" s="113">
        <v>100300061</v>
      </c>
      <c r="B86" s="113" t="s">
        <v>3169</v>
      </c>
      <c r="C86" s="113">
        <v>7040027</v>
      </c>
      <c r="D86" s="113" t="s">
        <v>3093</v>
      </c>
      <c r="E86" s="113" t="s">
        <v>1620</v>
      </c>
      <c r="F86" s="113" t="s">
        <v>3093</v>
      </c>
      <c r="G86" s="115" t="s">
        <v>3093</v>
      </c>
      <c r="H86" s="161">
        <v>62.5</v>
      </c>
      <c r="I86" s="161">
        <v>0</v>
      </c>
    </row>
    <row r="87" spans="1:9">
      <c r="A87" s="113">
        <v>100300062</v>
      </c>
      <c r="B87" s="113" t="s">
        <v>3170</v>
      </c>
      <c r="C87" s="113">
        <v>7040028</v>
      </c>
      <c r="D87" s="113" t="s">
        <v>3093</v>
      </c>
      <c r="E87" s="113" t="s">
        <v>1620</v>
      </c>
      <c r="F87" s="113" t="s">
        <v>3093</v>
      </c>
      <c r="G87" s="115" t="s">
        <v>3093</v>
      </c>
      <c r="H87" s="161">
        <v>56.89</v>
      </c>
      <c r="I87" s="161">
        <v>21</v>
      </c>
    </row>
    <row r="88" spans="1:9">
      <c r="A88" s="113">
        <v>100300063</v>
      </c>
      <c r="B88" s="113" t="s">
        <v>3171</v>
      </c>
      <c r="C88" s="113">
        <v>7040030</v>
      </c>
      <c r="D88" s="113" t="s">
        <v>3093</v>
      </c>
      <c r="E88" s="113" t="s">
        <v>1620</v>
      </c>
      <c r="F88" s="113" t="s">
        <v>3093</v>
      </c>
      <c r="G88" s="115" t="s">
        <v>3093</v>
      </c>
      <c r="H88" s="161">
        <v>59.5</v>
      </c>
      <c r="I88" s="161">
        <v>4</v>
      </c>
    </row>
    <row r="89" spans="1:9">
      <c r="A89" s="113">
        <v>100300064</v>
      </c>
      <c r="B89" s="113" t="s">
        <v>3172</v>
      </c>
      <c r="C89" s="113">
        <v>7040031</v>
      </c>
      <c r="D89" s="113" t="s">
        <v>3093</v>
      </c>
      <c r="E89" s="113" t="s">
        <v>1620</v>
      </c>
      <c r="F89" s="113" t="s">
        <v>3093</v>
      </c>
      <c r="G89" s="115" t="s">
        <v>3093</v>
      </c>
      <c r="H89" s="161">
        <v>57.25</v>
      </c>
      <c r="I89" s="161">
        <v>15</v>
      </c>
    </row>
    <row r="90" spans="1:9">
      <c r="A90" s="113">
        <v>100300065</v>
      </c>
      <c r="B90" s="113" t="s">
        <v>3173</v>
      </c>
      <c r="C90" s="113">
        <v>7040032</v>
      </c>
      <c r="D90" s="113" t="s">
        <v>3093</v>
      </c>
      <c r="E90" s="113" t="s">
        <v>1620</v>
      </c>
      <c r="F90" s="113" t="s">
        <v>3093</v>
      </c>
      <c r="G90" s="115" t="s">
        <v>3093</v>
      </c>
      <c r="H90" s="161">
        <v>65.5</v>
      </c>
      <c r="I90" s="161">
        <v>4</v>
      </c>
    </row>
    <row r="91" spans="1:9">
      <c r="A91" s="113">
        <v>100300066</v>
      </c>
      <c r="B91" s="113" t="s">
        <v>3174</v>
      </c>
      <c r="C91" s="113">
        <v>7040035</v>
      </c>
      <c r="D91" s="113" t="s">
        <v>3093</v>
      </c>
      <c r="E91" s="113" t="s">
        <v>1620</v>
      </c>
      <c r="F91" s="113" t="s">
        <v>3093</v>
      </c>
      <c r="G91" s="115" t="s">
        <v>3093</v>
      </c>
      <c r="H91" s="161">
        <v>30.85</v>
      </c>
      <c r="I91" s="161">
        <v>184</v>
      </c>
    </row>
    <row r="92" spans="1:9">
      <c r="A92" s="113">
        <v>100300067</v>
      </c>
      <c r="B92" s="113" t="s">
        <v>2675</v>
      </c>
      <c r="C92" s="113">
        <v>7040036</v>
      </c>
      <c r="D92" s="113" t="s">
        <v>3093</v>
      </c>
      <c r="E92" s="113" t="s">
        <v>1620</v>
      </c>
      <c r="F92" s="113" t="s">
        <v>3093</v>
      </c>
      <c r="G92" s="115" t="s">
        <v>3093</v>
      </c>
      <c r="H92" s="161">
        <v>265</v>
      </c>
      <c r="I92" s="161">
        <v>10</v>
      </c>
    </row>
    <row r="93" spans="1:9">
      <c r="A93" s="113">
        <v>100300068</v>
      </c>
      <c r="B93" s="113" t="s">
        <v>2676</v>
      </c>
      <c r="C93" s="113">
        <v>7040037</v>
      </c>
      <c r="D93" s="113" t="s">
        <v>3093</v>
      </c>
      <c r="E93" s="113" t="s">
        <v>1620</v>
      </c>
      <c r="F93" s="113" t="s">
        <v>3093</v>
      </c>
      <c r="G93" s="115" t="s">
        <v>3093</v>
      </c>
      <c r="H93" s="161">
        <v>395.5</v>
      </c>
      <c r="I93" s="161">
        <v>10</v>
      </c>
    </row>
    <row r="94" spans="1:9">
      <c r="A94" s="113">
        <v>100300069</v>
      </c>
      <c r="B94" s="113" t="s">
        <v>2677</v>
      </c>
      <c r="C94" s="113">
        <v>7040038</v>
      </c>
      <c r="D94" s="113" t="s">
        <v>3093</v>
      </c>
      <c r="E94" s="113" t="s">
        <v>1620</v>
      </c>
      <c r="F94" s="113" t="s">
        <v>3093</v>
      </c>
      <c r="G94" s="115" t="s">
        <v>3093</v>
      </c>
      <c r="H94" s="161">
        <v>0</v>
      </c>
      <c r="I94" s="161" t="s">
        <v>7138</v>
      </c>
    </row>
    <row r="95" spans="1:9">
      <c r="A95" s="113">
        <v>100300070</v>
      </c>
      <c r="B95" s="113" t="s">
        <v>3175</v>
      </c>
      <c r="C95" s="113">
        <v>7040042</v>
      </c>
      <c r="D95" s="113" t="s">
        <v>3093</v>
      </c>
      <c r="E95" s="113" t="s">
        <v>1620</v>
      </c>
      <c r="F95" s="113" t="s">
        <v>3093</v>
      </c>
      <c r="G95" s="115" t="s">
        <v>3093</v>
      </c>
      <c r="H95" s="161">
        <v>9.9499999999999993</v>
      </c>
      <c r="I95" s="161">
        <v>500</v>
      </c>
    </row>
    <row r="96" spans="1:9">
      <c r="A96" s="113">
        <v>100300071</v>
      </c>
      <c r="B96" s="113" t="s">
        <v>3176</v>
      </c>
      <c r="C96" s="113">
        <v>7041057</v>
      </c>
      <c r="D96" s="113" t="s">
        <v>3093</v>
      </c>
      <c r="E96" s="113" t="s">
        <v>1620</v>
      </c>
      <c r="F96" s="113" t="s">
        <v>3093</v>
      </c>
      <c r="G96" s="115" t="s">
        <v>3093</v>
      </c>
      <c r="H96" s="161">
        <v>146.9</v>
      </c>
      <c r="I96" s="161">
        <v>11</v>
      </c>
    </row>
    <row r="97" spans="1:9">
      <c r="A97" s="113">
        <v>100300072</v>
      </c>
      <c r="B97" s="113" t="s">
        <v>3177</v>
      </c>
      <c r="C97" s="113">
        <v>7041059</v>
      </c>
      <c r="D97" s="113" t="s">
        <v>3093</v>
      </c>
      <c r="E97" s="113" t="s">
        <v>1620</v>
      </c>
      <c r="F97" s="113" t="s">
        <v>3093</v>
      </c>
      <c r="G97" s="115" t="s">
        <v>3093</v>
      </c>
      <c r="H97" s="161">
        <v>139.09059999999999</v>
      </c>
      <c r="I97" s="161">
        <v>15</v>
      </c>
    </row>
    <row r="98" spans="1:9">
      <c r="A98" s="113">
        <v>100300073</v>
      </c>
      <c r="B98" s="113" t="s">
        <v>3178</v>
      </c>
      <c r="C98" s="113">
        <v>7041061</v>
      </c>
      <c r="D98" s="113" t="s">
        <v>3093</v>
      </c>
      <c r="E98" s="113" t="s">
        <v>1620</v>
      </c>
      <c r="F98" s="113" t="s">
        <v>3093</v>
      </c>
      <c r="G98" s="115" t="s">
        <v>3093</v>
      </c>
      <c r="H98" s="161">
        <v>139.09059999999999</v>
      </c>
      <c r="I98" s="161">
        <v>10</v>
      </c>
    </row>
    <row r="99" spans="1:9">
      <c r="A99" s="113">
        <v>100300074</v>
      </c>
      <c r="B99" s="113" t="s">
        <v>3179</v>
      </c>
      <c r="C99" s="113">
        <v>7054037</v>
      </c>
      <c r="D99" s="113" t="s">
        <v>3093</v>
      </c>
      <c r="E99" s="113" t="s">
        <v>1620</v>
      </c>
      <c r="F99" s="113" t="s">
        <v>3093</v>
      </c>
      <c r="G99" s="115" t="s">
        <v>3093</v>
      </c>
      <c r="H99" s="161">
        <v>559.35</v>
      </c>
      <c r="I99" s="161">
        <v>96</v>
      </c>
    </row>
    <row r="100" spans="1:9">
      <c r="A100" s="113">
        <v>100300075</v>
      </c>
      <c r="B100" s="113" t="s">
        <v>3180</v>
      </c>
      <c r="C100" s="113">
        <v>7054089</v>
      </c>
      <c r="D100" s="113" t="s">
        <v>3093</v>
      </c>
      <c r="E100" s="113" t="s">
        <v>1620</v>
      </c>
      <c r="F100" s="113" t="s">
        <v>3093</v>
      </c>
      <c r="G100" s="115" t="s">
        <v>3093</v>
      </c>
      <c r="H100" s="161">
        <v>0</v>
      </c>
      <c r="I100" s="161" t="s">
        <v>7138</v>
      </c>
    </row>
    <row r="101" spans="1:9">
      <c r="A101" s="113">
        <v>100300076</v>
      </c>
      <c r="B101" s="113" t="s">
        <v>3181</v>
      </c>
      <c r="C101" s="113">
        <v>7054090</v>
      </c>
      <c r="D101" s="113" t="s">
        <v>3093</v>
      </c>
      <c r="E101" s="113" t="s">
        <v>1620</v>
      </c>
      <c r="F101" s="113" t="s">
        <v>3093</v>
      </c>
      <c r="G101" s="115" t="s">
        <v>3093</v>
      </c>
      <c r="H101" s="161">
        <v>466.56</v>
      </c>
      <c r="I101" s="161">
        <v>5</v>
      </c>
    </row>
    <row r="102" spans="1:9">
      <c r="A102" s="113">
        <v>100300077</v>
      </c>
      <c r="B102" s="113" t="s">
        <v>3182</v>
      </c>
      <c r="C102" s="113">
        <v>7054091</v>
      </c>
      <c r="D102" s="113" t="s">
        <v>3093</v>
      </c>
      <c r="E102" s="113" t="s">
        <v>1620</v>
      </c>
      <c r="F102" s="113" t="s">
        <v>3093</v>
      </c>
      <c r="G102" s="115" t="s">
        <v>3093</v>
      </c>
      <c r="H102" s="161">
        <v>466.56</v>
      </c>
      <c r="I102" s="161">
        <v>5</v>
      </c>
    </row>
    <row r="103" spans="1:9">
      <c r="A103" s="113">
        <v>100300078</v>
      </c>
      <c r="B103" s="113" t="s">
        <v>3183</v>
      </c>
      <c r="C103" s="113">
        <v>7054092</v>
      </c>
      <c r="D103" s="113" t="s">
        <v>3093</v>
      </c>
      <c r="E103" s="113" t="s">
        <v>1620</v>
      </c>
      <c r="F103" s="113" t="s">
        <v>3093</v>
      </c>
      <c r="G103" s="115" t="s">
        <v>3093</v>
      </c>
      <c r="H103" s="161">
        <v>466.56</v>
      </c>
      <c r="I103" s="161">
        <v>5</v>
      </c>
    </row>
    <row r="104" spans="1:9">
      <c r="A104" s="113">
        <v>100300079</v>
      </c>
      <c r="B104" s="113" t="s">
        <v>3184</v>
      </c>
      <c r="C104" s="113">
        <v>7054093</v>
      </c>
      <c r="D104" s="113" t="s">
        <v>3093</v>
      </c>
      <c r="E104" s="113" t="s">
        <v>1620</v>
      </c>
      <c r="F104" s="113" t="s">
        <v>3093</v>
      </c>
      <c r="G104" s="115" t="s">
        <v>3093</v>
      </c>
      <c r="H104" s="161">
        <v>466.56</v>
      </c>
      <c r="I104" s="161">
        <v>12</v>
      </c>
    </row>
    <row r="105" spans="1:9">
      <c r="A105" s="113">
        <v>100300080</v>
      </c>
      <c r="B105" s="113" t="s">
        <v>3185</v>
      </c>
      <c r="C105" s="113">
        <v>7054094</v>
      </c>
      <c r="D105" s="113" t="s">
        <v>3093</v>
      </c>
      <c r="E105" s="113" t="s">
        <v>1620</v>
      </c>
      <c r="F105" s="113" t="s">
        <v>3093</v>
      </c>
      <c r="G105" s="115" t="s">
        <v>3093</v>
      </c>
      <c r="H105" s="161">
        <v>466.56</v>
      </c>
      <c r="I105" s="161">
        <v>12</v>
      </c>
    </row>
    <row r="106" spans="1:9">
      <c r="A106" s="113">
        <v>100300081</v>
      </c>
      <c r="B106" s="113" t="s">
        <v>3186</v>
      </c>
      <c r="C106" s="113">
        <v>7054095</v>
      </c>
      <c r="D106" s="113" t="s">
        <v>3093</v>
      </c>
      <c r="E106" s="113" t="s">
        <v>1620</v>
      </c>
      <c r="F106" s="113" t="s">
        <v>3093</v>
      </c>
      <c r="G106" s="115" t="s">
        <v>3093</v>
      </c>
      <c r="H106" s="161">
        <v>466.56</v>
      </c>
      <c r="I106" s="161">
        <v>5</v>
      </c>
    </row>
    <row r="107" spans="1:9">
      <c r="A107" s="113">
        <v>100300082</v>
      </c>
      <c r="B107" s="113" t="s">
        <v>3187</v>
      </c>
      <c r="C107" s="113">
        <v>7054096</v>
      </c>
      <c r="D107" s="113" t="s">
        <v>3093</v>
      </c>
      <c r="E107" s="113" t="s">
        <v>1620</v>
      </c>
      <c r="F107" s="113" t="s">
        <v>3093</v>
      </c>
      <c r="G107" s="115" t="s">
        <v>3093</v>
      </c>
      <c r="H107" s="161">
        <v>466.56</v>
      </c>
      <c r="I107" s="161">
        <v>5</v>
      </c>
    </row>
    <row r="108" spans="1:9">
      <c r="A108" s="113">
        <v>100300083</v>
      </c>
      <c r="B108" s="113" t="s">
        <v>3188</v>
      </c>
      <c r="C108" s="113">
        <v>7054097</v>
      </c>
      <c r="D108" s="113" t="s">
        <v>3093</v>
      </c>
      <c r="E108" s="113" t="s">
        <v>1620</v>
      </c>
      <c r="F108" s="113" t="s">
        <v>3093</v>
      </c>
      <c r="G108" s="115" t="s">
        <v>3093</v>
      </c>
      <c r="H108" s="161">
        <v>466.56</v>
      </c>
      <c r="I108" s="161">
        <v>5</v>
      </c>
    </row>
    <row r="109" spans="1:9">
      <c r="A109" s="113">
        <v>100300084</v>
      </c>
      <c r="B109" s="113" t="s">
        <v>3189</v>
      </c>
      <c r="C109" s="113">
        <v>7054098</v>
      </c>
      <c r="D109" s="113" t="s">
        <v>3093</v>
      </c>
      <c r="E109" s="113" t="s">
        <v>1620</v>
      </c>
      <c r="F109" s="113" t="s">
        <v>3093</v>
      </c>
      <c r="G109" s="115" t="s">
        <v>3093</v>
      </c>
      <c r="H109" s="161">
        <v>466.56</v>
      </c>
      <c r="I109" s="161">
        <v>5</v>
      </c>
    </row>
    <row r="110" spans="1:9">
      <c r="A110" s="113">
        <v>100300085</v>
      </c>
      <c r="B110" s="113" t="s">
        <v>3190</v>
      </c>
      <c r="C110" s="113">
        <v>7054099</v>
      </c>
      <c r="D110" s="113" t="s">
        <v>3093</v>
      </c>
      <c r="E110" s="113" t="s">
        <v>1620</v>
      </c>
      <c r="F110" s="113" t="s">
        <v>3093</v>
      </c>
      <c r="G110" s="115" t="s">
        <v>3093</v>
      </c>
      <c r="H110" s="161">
        <v>466.56</v>
      </c>
      <c r="I110" s="161">
        <v>24</v>
      </c>
    </row>
    <row r="111" spans="1:9">
      <c r="A111" s="113">
        <v>100300086</v>
      </c>
      <c r="B111" s="113" t="s">
        <v>3191</v>
      </c>
      <c r="C111" s="113">
        <v>7054100</v>
      </c>
      <c r="D111" s="113" t="s">
        <v>3093</v>
      </c>
      <c r="E111" s="113" t="s">
        <v>1620</v>
      </c>
      <c r="F111" s="113" t="s">
        <v>3093</v>
      </c>
      <c r="G111" s="115" t="s">
        <v>3093</v>
      </c>
      <c r="H111" s="161">
        <v>466.56</v>
      </c>
      <c r="I111" s="161">
        <v>24</v>
      </c>
    </row>
    <row r="112" spans="1:9">
      <c r="A112" s="113">
        <v>100300087</v>
      </c>
      <c r="B112" s="113" t="s">
        <v>3192</v>
      </c>
      <c r="C112" s="113">
        <v>7054101</v>
      </c>
      <c r="D112" s="113" t="s">
        <v>3093</v>
      </c>
      <c r="E112" s="113" t="s">
        <v>1620</v>
      </c>
      <c r="F112" s="113" t="s">
        <v>3093</v>
      </c>
      <c r="G112" s="115" t="s">
        <v>3093</v>
      </c>
      <c r="H112" s="161">
        <v>466.56</v>
      </c>
      <c r="I112" s="161">
        <v>5</v>
      </c>
    </row>
    <row r="113" spans="1:9">
      <c r="A113" s="113">
        <v>100300088</v>
      </c>
      <c r="B113" s="113" t="s">
        <v>3193</v>
      </c>
      <c r="C113" s="113">
        <v>7054102</v>
      </c>
      <c r="D113" s="113" t="s">
        <v>3093</v>
      </c>
      <c r="E113" s="113" t="s">
        <v>1620</v>
      </c>
      <c r="F113" s="113" t="s">
        <v>3093</v>
      </c>
      <c r="G113" s="115" t="s">
        <v>3093</v>
      </c>
      <c r="H113" s="161">
        <v>466.56</v>
      </c>
      <c r="I113" s="161">
        <v>5</v>
      </c>
    </row>
    <row r="114" spans="1:9">
      <c r="A114" s="113">
        <v>100300089</v>
      </c>
      <c r="B114" s="113" t="s">
        <v>3194</v>
      </c>
      <c r="C114" s="113">
        <v>7054103</v>
      </c>
      <c r="D114" s="113" t="s">
        <v>3093</v>
      </c>
      <c r="E114" s="113" t="s">
        <v>1620</v>
      </c>
      <c r="F114" s="113" t="s">
        <v>3093</v>
      </c>
      <c r="G114" s="115" t="s">
        <v>3093</v>
      </c>
      <c r="H114" s="161">
        <v>466.56</v>
      </c>
      <c r="I114" s="161">
        <v>5</v>
      </c>
    </row>
    <row r="115" spans="1:9">
      <c r="A115" s="113">
        <v>100300090</v>
      </c>
      <c r="B115" s="113" t="s">
        <v>3195</v>
      </c>
      <c r="C115" s="113">
        <v>7054104</v>
      </c>
      <c r="D115" s="113" t="s">
        <v>3093</v>
      </c>
      <c r="E115" s="113" t="s">
        <v>1620</v>
      </c>
      <c r="F115" s="113" t="s">
        <v>3093</v>
      </c>
      <c r="G115" s="115" t="s">
        <v>3093</v>
      </c>
      <c r="H115" s="161">
        <v>466.56</v>
      </c>
      <c r="I115" s="161">
        <v>5</v>
      </c>
    </row>
    <row r="116" spans="1:9">
      <c r="A116" s="113">
        <v>100300091</v>
      </c>
      <c r="B116" s="113" t="s">
        <v>3196</v>
      </c>
      <c r="C116" s="113">
        <v>7054105</v>
      </c>
      <c r="D116" s="113" t="s">
        <v>3093</v>
      </c>
      <c r="E116" s="113" t="s">
        <v>1620</v>
      </c>
      <c r="F116" s="113" t="s">
        <v>3093</v>
      </c>
      <c r="G116" s="115" t="s">
        <v>3093</v>
      </c>
      <c r="H116" s="161">
        <v>466.56</v>
      </c>
      <c r="I116" s="161">
        <v>5</v>
      </c>
    </row>
    <row r="117" spans="1:9">
      <c r="A117" s="113">
        <v>100300092</v>
      </c>
      <c r="B117" s="113" t="s">
        <v>3197</v>
      </c>
      <c r="C117" s="113">
        <v>7054106</v>
      </c>
      <c r="D117" s="113" t="s">
        <v>3093</v>
      </c>
      <c r="E117" s="113" t="s">
        <v>1620</v>
      </c>
      <c r="F117" s="113" t="s">
        <v>3093</v>
      </c>
      <c r="G117" s="115" t="s">
        <v>3093</v>
      </c>
      <c r="H117" s="161">
        <v>466.56</v>
      </c>
      <c r="I117" s="161">
        <v>5</v>
      </c>
    </row>
    <row r="118" spans="1:9">
      <c r="A118" s="113">
        <v>100300093</v>
      </c>
      <c r="B118" s="113" t="s">
        <v>3198</v>
      </c>
      <c r="C118" s="113">
        <v>7054107</v>
      </c>
      <c r="D118" s="113" t="s">
        <v>3093</v>
      </c>
      <c r="E118" s="113" t="s">
        <v>1620</v>
      </c>
      <c r="F118" s="113" t="s">
        <v>3093</v>
      </c>
      <c r="G118" s="115" t="s">
        <v>3093</v>
      </c>
      <c r="H118" s="161">
        <v>466.56</v>
      </c>
      <c r="I118" s="161">
        <v>5</v>
      </c>
    </row>
    <row r="119" spans="1:9">
      <c r="A119" s="113">
        <v>100300094</v>
      </c>
      <c r="B119" s="113" t="s">
        <v>3199</v>
      </c>
      <c r="C119" s="113">
        <v>7054108</v>
      </c>
      <c r="D119" s="113" t="s">
        <v>3093</v>
      </c>
      <c r="E119" s="113" t="s">
        <v>1620</v>
      </c>
      <c r="F119" s="113" t="s">
        <v>3093</v>
      </c>
      <c r="G119" s="115" t="s">
        <v>3093</v>
      </c>
      <c r="H119" s="161">
        <v>466.56</v>
      </c>
      <c r="I119" s="161">
        <v>5</v>
      </c>
    </row>
    <row r="120" spans="1:9">
      <c r="A120" s="113">
        <v>100300095</v>
      </c>
      <c r="B120" s="113" t="s">
        <v>3200</v>
      </c>
      <c r="C120" s="113">
        <v>7054109</v>
      </c>
      <c r="D120" s="113" t="s">
        <v>3093</v>
      </c>
      <c r="E120" s="113" t="s">
        <v>1620</v>
      </c>
      <c r="F120" s="113" t="s">
        <v>3093</v>
      </c>
      <c r="G120" s="115" t="s">
        <v>3093</v>
      </c>
      <c r="H120" s="161">
        <v>466.56</v>
      </c>
      <c r="I120" s="161">
        <v>5</v>
      </c>
    </row>
    <row r="121" spans="1:9">
      <c r="A121" s="113">
        <v>100300096</v>
      </c>
      <c r="B121" s="113" t="s">
        <v>3201</v>
      </c>
      <c r="C121" s="113">
        <v>7054110</v>
      </c>
      <c r="D121" s="113" t="s">
        <v>3093</v>
      </c>
      <c r="E121" s="113" t="s">
        <v>1620</v>
      </c>
      <c r="F121" s="113" t="s">
        <v>3093</v>
      </c>
      <c r="G121" s="115" t="s">
        <v>3093</v>
      </c>
      <c r="H121" s="161">
        <v>466.56</v>
      </c>
      <c r="I121" s="161">
        <v>10</v>
      </c>
    </row>
    <row r="122" spans="1:9">
      <c r="A122" s="113">
        <v>100300097</v>
      </c>
      <c r="B122" s="113" t="s">
        <v>3202</v>
      </c>
      <c r="C122" s="113">
        <v>7070071</v>
      </c>
      <c r="D122" s="113" t="s">
        <v>3093</v>
      </c>
      <c r="E122" s="113" t="s">
        <v>1620</v>
      </c>
      <c r="F122" s="113" t="s">
        <v>3093</v>
      </c>
      <c r="G122" s="115" t="s">
        <v>3093</v>
      </c>
      <c r="H122" s="161">
        <v>2</v>
      </c>
      <c r="I122" s="161">
        <v>60</v>
      </c>
    </row>
    <row r="123" spans="1:9">
      <c r="A123" s="113">
        <v>100300098</v>
      </c>
      <c r="B123" s="113" t="s">
        <v>3203</v>
      </c>
      <c r="C123" s="113">
        <v>7070072</v>
      </c>
      <c r="D123" s="113" t="s">
        <v>3093</v>
      </c>
      <c r="E123" s="113" t="s">
        <v>1620</v>
      </c>
      <c r="F123" s="113" t="s">
        <v>3093</v>
      </c>
      <c r="G123" s="115" t="s">
        <v>3093</v>
      </c>
      <c r="H123" s="161">
        <v>170</v>
      </c>
      <c r="I123" s="161">
        <v>150</v>
      </c>
    </row>
    <row r="124" spans="1:9">
      <c r="A124" s="113">
        <v>100300099</v>
      </c>
      <c r="B124" s="113" t="s">
        <v>3204</v>
      </c>
      <c r="C124" s="113">
        <v>7070073</v>
      </c>
      <c r="D124" s="113" t="s">
        <v>3093</v>
      </c>
      <c r="E124" s="113" t="s">
        <v>1620</v>
      </c>
      <c r="F124" s="113" t="s">
        <v>3093</v>
      </c>
      <c r="G124" s="115" t="s">
        <v>3093</v>
      </c>
      <c r="H124" s="161">
        <v>150.53</v>
      </c>
      <c r="I124" s="161">
        <v>24</v>
      </c>
    </row>
    <row r="125" spans="1:9">
      <c r="A125" s="113">
        <v>100300100</v>
      </c>
      <c r="B125" s="113" t="s">
        <v>3205</v>
      </c>
      <c r="C125" s="113">
        <v>7070074</v>
      </c>
      <c r="D125" s="113" t="s">
        <v>3093</v>
      </c>
      <c r="E125" s="113" t="s">
        <v>1620</v>
      </c>
      <c r="F125" s="113" t="s">
        <v>3093</v>
      </c>
      <c r="G125" s="115" t="s">
        <v>3093</v>
      </c>
      <c r="H125" s="161">
        <v>170</v>
      </c>
      <c r="I125" s="161">
        <v>20</v>
      </c>
    </row>
    <row r="126" spans="1:9">
      <c r="A126" s="113">
        <v>100300101</v>
      </c>
      <c r="B126" s="113" t="s">
        <v>3206</v>
      </c>
      <c r="C126" s="113">
        <v>7070075</v>
      </c>
      <c r="D126" s="113" t="s">
        <v>3093</v>
      </c>
      <c r="E126" s="113" t="s">
        <v>1620</v>
      </c>
      <c r="F126" s="113" t="s">
        <v>3093</v>
      </c>
      <c r="G126" s="115" t="s">
        <v>3093</v>
      </c>
      <c r="H126" s="161">
        <v>200</v>
      </c>
      <c r="I126" s="161">
        <v>24</v>
      </c>
    </row>
    <row r="127" spans="1:9">
      <c r="A127" s="113">
        <v>100300102</v>
      </c>
      <c r="B127" s="113" t="s">
        <v>3207</v>
      </c>
      <c r="C127" s="113">
        <v>7070076</v>
      </c>
      <c r="D127" s="113" t="s">
        <v>3093</v>
      </c>
      <c r="E127" s="113" t="s">
        <v>1620</v>
      </c>
      <c r="F127" s="113" t="s">
        <v>3093</v>
      </c>
      <c r="G127" s="115" t="s">
        <v>3093</v>
      </c>
      <c r="H127" s="161">
        <v>240</v>
      </c>
      <c r="I127" s="161">
        <v>3</v>
      </c>
    </row>
    <row r="128" spans="1:9">
      <c r="A128" s="113">
        <v>100300103</v>
      </c>
      <c r="B128" s="113" t="s">
        <v>3208</v>
      </c>
      <c r="C128" s="113">
        <v>7070079</v>
      </c>
      <c r="D128" s="113" t="s">
        <v>3093</v>
      </c>
      <c r="E128" s="113" t="s">
        <v>1620</v>
      </c>
      <c r="F128" s="113" t="s">
        <v>3093</v>
      </c>
      <c r="G128" s="115" t="s">
        <v>3093</v>
      </c>
      <c r="H128" s="161">
        <v>210</v>
      </c>
      <c r="I128" s="161">
        <v>72</v>
      </c>
    </row>
    <row r="129" spans="1:9">
      <c r="A129" s="113">
        <v>100300104</v>
      </c>
      <c r="B129" s="113" t="s">
        <v>3209</v>
      </c>
      <c r="C129" s="113">
        <v>7070082</v>
      </c>
      <c r="D129" s="113" t="s">
        <v>3093</v>
      </c>
      <c r="E129" s="113" t="s">
        <v>1620</v>
      </c>
      <c r="F129" s="113" t="s">
        <v>3093</v>
      </c>
      <c r="G129" s="115" t="s">
        <v>3093</v>
      </c>
      <c r="H129" s="161">
        <v>106.95</v>
      </c>
      <c r="I129" s="161">
        <v>0</v>
      </c>
    </row>
    <row r="130" spans="1:9">
      <c r="A130" s="113">
        <v>100300105</v>
      </c>
      <c r="B130" s="113" t="s">
        <v>3210</v>
      </c>
      <c r="C130" s="113">
        <v>7070083</v>
      </c>
      <c r="D130" s="113" t="s">
        <v>3093</v>
      </c>
      <c r="E130" s="113" t="s">
        <v>1620</v>
      </c>
      <c r="F130" s="113" t="s">
        <v>3093</v>
      </c>
      <c r="G130" s="115" t="s">
        <v>3093</v>
      </c>
      <c r="H130" s="161">
        <v>110</v>
      </c>
      <c r="I130" s="161">
        <v>29</v>
      </c>
    </row>
    <row r="131" spans="1:9">
      <c r="A131" s="113">
        <v>100300106</v>
      </c>
      <c r="B131" s="113" t="s">
        <v>3211</v>
      </c>
      <c r="C131" s="113">
        <v>7070084</v>
      </c>
      <c r="D131" s="113" t="s">
        <v>3093</v>
      </c>
      <c r="E131" s="113" t="s">
        <v>1620</v>
      </c>
      <c r="F131" s="113" t="s">
        <v>3093</v>
      </c>
      <c r="G131" s="115" t="s">
        <v>3093</v>
      </c>
      <c r="H131" s="161">
        <v>2.8</v>
      </c>
      <c r="I131" s="161">
        <v>20</v>
      </c>
    </row>
    <row r="132" spans="1:9">
      <c r="A132" s="113">
        <v>100300107</v>
      </c>
      <c r="B132" s="113" t="s">
        <v>3212</v>
      </c>
      <c r="C132" s="113">
        <v>7070085</v>
      </c>
      <c r="D132" s="113" t="s">
        <v>3093</v>
      </c>
      <c r="E132" s="113" t="s">
        <v>1620</v>
      </c>
      <c r="F132" s="113" t="s">
        <v>3093</v>
      </c>
      <c r="G132" s="115" t="s">
        <v>3093</v>
      </c>
      <c r="H132" s="161">
        <v>1.55</v>
      </c>
      <c r="I132" s="161">
        <v>24</v>
      </c>
    </row>
    <row r="133" spans="1:9">
      <c r="A133" s="113">
        <v>100300108</v>
      </c>
      <c r="B133" s="113" t="s">
        <v>3213</v>
      </c>
      <c r="C133" s="113">
        <v>7070086</v>
      </c>
      <c r="D133" s="113" t="s">
        <v>3093</v>
      </c>
      <c r="E133" s="113" t="s">
        <v>1620</v>
      </c>
      <c r="F133" s="113" t="s">
        <v>3093</v>
      </c>
      <c r="G133" s="115" t="s">
        <v>3093</v>
      </c>
      <c r="H133" s="161">
        <v>1.55</v>
      </c>
      <c r="I133" s="161">
        <v>0</v>
      </c>
    </row>
    <row r="134" spans="1:9">
      <c r="A134" s="113">
        <v>100300109</v>
      </c>
      <c r="B134" s="113" t="s">
        <v>3214</v>
      </c>
      <c r="C134" s="113">
        <v>7070087</v>
      </c>
      <c r="D134" s="113" t="s">
        <v>3093</v>
      </c>
      <c r="E134" s="113" t="s">
        <v>1620</v>
      </c>
      <c r="F134" s="113" t="s">
        <v>3093</v>
      </c>
      <c r="G134" s="115" t="s">
        <v>3093</v>
      </c>
      <c r="H134" s="161">
        <v>85</v>
      </c>
      <c r="I134" s="161">
        <v>24</v>
      </c>
    </row>
    <row r="135" spans="1:9">
      <c r="A135" s="113">
        <v>100300110</v>
      </c>
      <c r="B135" s="113" t="s">
        <v>3215</v>
      </c>
      <c r="C135" s="113">
        <v>7070090</v>
      </c>
      <c r="D135" s="113" t="s">
        <v>3093</v>
      </c>
      <c r="E135" s="113" t="s">
        <v>1620</v>
      </c>
      <c r="F135" s="113" t="s">
        <v>3093</v>
      </c>
      <c r="G135" s="115" t="s">
        <v>3093</v>
      </c>
      <c r="H135" s="161">
        <v>85.964299999999994</v>
      </c>
      <c r="I135" s="161">
        <v>1</v>
      </c>
    </row>
    <row r="136" spans="1:9">
      <c r="A136" s="113">
        <v>100300111</v>
      </c>
      <c r="B136" s="113" t="s">
        <v>3216</v>
      </c>
      <c r="C136" s="113">
        <v>7070091</v>
      </c>
      <c r="D136" s="113" t="s">
        <v>3093</v>
      </c>
      <c r="E136" s="113" t="s">
        <v>1620</v>
      </c>
      <c r="F136" s="113" t="s">
        <v>3093</v>
      </c>
      <c r="G136" s="115" t="s">
        <v>3093</v>
      </c>
      <c r="H136" s="161">
        <v>30</v>
      </c>
      <c r="I136" s="161">
        <v>12</v>
      </c>
    </row>
    <row r="137" spans="1:9">
      <c r="A137" s="113">
        <v>100300112</v>
      </c>
      <c r="B137" s="113" t="s">
        <v>3217</v>
      </c>
      <c r="C137" s="113">
        <v>7070092</v>
      </c>
      <c r="D137" s="113" t="s">
        <v>3093</v>
      </c>
      <c r="E137" s="113" t="s">
        <v>1620</v>
      </c>
      <c r="F137" s="113" t="s">
        <v>3093</v>
      </c>
      <c r="G137" s="115" t="s">
        <v>3093</v>
      </c>
      <c r="H137" s="161">
        <v>30</v>
      </c>
      <c r="I137" s="161">
        <v>30</v>
      </c>
    </row>
    <row r="138" spans="1:9">
      <c r="A138" s="113">
        <v>100300113</v>
      </c>
      <c r="B138" s="113" t="s">
        <v>3218</v>
      </c>
      <c r="C138" s="113">
        <v>7070093</v>
      </c>
      <c r="D138" s="113" t="s">
        <v>3093</v>
      </c>
      <c r="E138" s="113" t="s">
        <v>1620</v>
      </c>
      <c r="F138" s="113" t="s">
        <v>3093</v>
      </c>
      <c r="G138" s="115" t="s">
        <v>3093</v>
      </c>
      <c r="H138" s="161">
        <v>12.83</v>
      </c>
      <c r="I138" s="161">
        <v>0</v>
      </c>
    </row>
    <row r="139" spans="1:9">
      <c r="A139" s="113">
        <v>100300114</v>
      </c>
      <c r="B139" s="113" t="s">
        <v>3219</v>
      </c>
      <c r="C139" s="113">
        <v>7070095</v>
      </c>
      <c r="D139" s="113" t="s">
        <v>3093</v>
      </c>
      <c r="E139" s="113" t="s">
        <v>1620</v>
      </c>
      <c r="F139" s="113" t="s">
        <v>3093</v>
      </c>
      <c r="G139" s="115" t="s">
        <v>3093</v>
      </c>
      <c r="H139" s="161">
        <v>2</v>
      </c>
      <c r="I139" s="161">
        <v>1446</v>
      </c>
    </row>
    <row r="140" spans="1:9">
      <c r="A140" s="113">
        <v>100300115</v>
      </c>
      <c r="B140" s="113" t="s">
        <v>3220</v>
      </c>
      <c r="C140" s="113">
        <v>7070096</v>
      </c>
      <c r="D140" s="113" t="s">
        <v>3093</v>
      </c>
      <c r="E140" s="113" t="s">
        <v>1620</v>
      </c>
      <c r="F140" s="113" t="s">
        <v>3093</v>
      </c>
      <c r="G140" s="115" t="s">
        <v>3093</v>
      </c>
      <c r="H140" s="161">
        <v>2.9</v>
      </c>
      <c r="I140" s="161">
        <v>0</v>
      </c>
    </row>
    <row r="141" spans="1:9">
      <c r="A141" s="113">
        <v>100300116</v>
      </c>
      <c r="B141" s="113" t="s">
        <v>3221</v>
      </c>
      <c r="C141" s="113">
        <v>7070097</v>
      </c>
      <c r="D141" s="113" t="s">
        <v>3093</v>
      </c>
      <c r="E141" s="113" t="s">
        <v>1620</v>
      </c>
      <c r="F141" s="113" t="s">
        <v>3093</v>
      </c>
      <c r="G141" s="115" t="s">
        <v>3093</v>
      </c>
      <c r="H141" s="161">
        <v>11.3</v>
      </c>
      <c r="I141" s="161">
        <v>120</v>
      </c>
    </row>
    <row r="142" spans="1:9">
      <c r="A142" s="113">
        <v>100300117</v>
      </c>
      <c r="B142" s="113" t="s">
        <v>3222</v>
      </c>
      <c r="C142" s="113">
        <v>7070098</v>
      </c>
      <c r="D142" s="113" t="s">
        <v>3093</v>
      </c>
      <c r="E142" s="113" t="s">
        <v>1620</v>
      </c>
      <c r="F142" s="113" t="s">
        <v>3093</v>
      </c>
      <c r="G142" s="115" t="s">
        <v>3093</v>
      </c>
      <c r="H142" s="161">
        <v>2.5</v>
      </c>
      <c r="I142" s="161">
        <v>0</v>
      </c>
    </row>
    <row r="143" spans="1:9">
      <c r="A143" s="113">
        <v>100300118</v>
      </c>
      <c r="B143" s="113" t="s">
        <v>3223</v>
      </c>
      <c r="C143" s="113">
        <v>7070099</v>
      </c>
      <c r="D143" s="113" t="s">
        <v>3093</v>
      </c>
      <c r="E143" s="113" t="s">
        <v>1620</v>
      </c>
      <c r="F143" s="113" t="s">
        <v>3093</v>
      </c>
      <c r="G143" s="115" t="s">
        <v>3093</v>
      </c>
      <c r="H143" s="161">
        <v>5.65</v>
      </c>
      <c r="I143" s="161">
        <v>0</v>
      </c>
    </row>
    <row r="144" spans="1:9">
      <c r="A144" s="113">
        <v>100300119</v>
      </c>
      <c r="B144" s="113" t="s">
        <v>3224</v>
      </c>
      <c r="C144" s="113">
        <v>7070103</v>
      </c>
      <c r="D144" s="113" t="s">
        <v>3093</v>
      </c>
      <c r="E144" s="113" t="s">
        <v>1620</v>
      </c>
      <c r="F144" s="113" t="s">
        <v>3093</v>
      </c>
      <c r="G144" s="115" t="s">
        <v>3093</v>
      </c>
      <c r="H144" s="161">
        <v>3</v>
      </c>
      <c r="I144" s="161">
        <v>60</v>
      </c>
    </row>
    <row r="145" spans="1:9">
      <c r="A145" s="113">
        <v>100300120</v>
      </c>
      <c r="B145" s="113" t="s">
        <v>3225</v>
      </c>
      <c r="C145" s="113">
        <v>7070118</v>
      </c>
      <c r="D145" s="113" t="s">
        <v>3093</v>
      </c>
      <c r="E145" s="113" t="s">
        <v>1620</v>
      </c>
      <c r="F145" s="113" t="s">
        <v>3093</v>
      </c>
      <c r="G145" s="115" t="s">
        <v>3093</v>
      </c>
      <c r="H145" s="161">
        <v>1.7</v>
      </c>
      <c r="I145" s="161">
        <v>6</v>
      </c>
    </row>
    <row r="146" spans="1:9">
      <c r="A146" s="113">
        <v>100300121</v>
      </c>
      <c r="B146" s="113" t="s">
        <v>3226</v>
      </c>
      <c r="C146" s="113">
        <v>7070119</v>
      </c>
      <c r="D146" s="113" t="s">
        <v>3093</v>
      </c>
      <c r="E146" s="113" t="s">
        <v>1620</v>
      </c>
      <c r="F146" s="113" t="s">
        <v>3093</v>
      </c>
      <c r="G146" s="115" t="s">
        <v>3093</v>
      </c>
      <c r="H146" s="161">
        <v>0</v>
      </c>
      <c r="I146" s="161" t="s">
        <v>7138</v>
      </c>
    </row>
    <row r="147" spans="1:9">
      <c r="A147" s="113">
        <v>100300122</v>
      </c>
      <c r="B147" s="113" t="s">
        <v>3227</v>
      </c>
      <c r="C147" s="113">
        <v>7070121</v>
      </c>
      <c r="D147" s="113" t="s">
        <v>3093</v>
      </c>
      <c r="E147" s="113" t="s">
        <v>1620</v>
      </c>
      <c r="F147" s="113" t="s">
        <v>3093</v>
      </c>
      <c r="G147" s="115" t="s">
        <v>3093</v>
      </c>
      <c r="H147" s="161">
        <v>2.9</v>
      </c>
      <c r="I147" s="161">
        <v>48</v>
      </c>
    </row>
    <row r="148" spans="1:9">
      <c r="A148" s="113">
        <v>100300123</v>
      </c>
      <c r="B148" s="113" t="s">
        <v>3228</v>
      </c>
      <c r="C148" s="113">
        <v>7070122</v>
      </c>
      <c r="D148" s="113" t="s">
        <v>3093</v>
      </c>
      <c r="E148" s="113" t="s">
        <v>1620</v>
      </c>
      <c r="F148" s="113" t="s">
        <v>3093</v>
      </c>
      <c r="G148" s="115" t="s">
        <v>3093</v>
      </c>
      <c r="H148" s="161">
        <v>2.1</v>
      </c>
      <c r="I148" s="161">
        <v>18</v>
      </c>
    </row>
    <row r="149" spans="1:9">
      <c r="A149" s="113">
        <v>100300124</v>
      </c>
      <c r="B149" s="113" t="s">
        <v>3229</v>
      </c>
      <c r="C149" s="113">
        <v>7070123</v>
      </c>
      <c r="D149" s="113" t="s">
        <v>3093</v>
      </c>
      <c r="E149" s="113" t="s">
        <v>1620</v>
      </c>
      <c r="F149" s="113" t="s">
        <v>3093</v>
      </c>
      <c r="G149" s="115" t="s">
        <v>3093</v>
      </c>
      <c r="H149" s="161">
        <v>2.1</v>
      </c>
      <c r="I149" s="161">
        <v>18</v>
      </c>
    </row>
    <row r="150" spans="1:9">
      <c r="A150" s="113">
        <v>100300125</v>
      </c>
      <c r="B150" s="113" t="s">
        <v>3230</v>
      </c>
      <c r="C150" s="113">
        <v>7070124</v>
      </c>
      <c r="D150" s="113" t="s">
        <v>3093</v>
      </c>
      <c r="E150" s="113" t="s">
        <v>1620</v>
      </c>
      <c r="F150" s="113" t="s">
        <v>3093</v>
      </c>
      <c r="G150" s="115" t="s">
        <v>3093</v>
      </c>
      <c r="H150" s="161">
        <v>2.1</v>
      </c>
      <c r="I150" s="161">
        <v>18</v>
      </c>
    </row>
    <row r="151" spans="1:9">
      <c r="A151" s="113">
        <v>100300126</v>
      </c>
      <c r="B151" s="113" t="s">
        <v>3231</v>
      </c>
      <c r="C151" s="113">
        <v>7070125</v>
      </c>
      <c r="D151" s="113" t="s">
        <v>3093</v>
      </c>
      <c r="E151" s="113" t="s">
        <v>1620</v>
      </c>
      <c r="F151" s="113" t="s">
        <v>3093</v>
      </c>
      <c r="G151" s="115" t="s">
        <v>3093</v>
      </c>
      <c r="H151" s="161">
        <v>2.1</v>
      </c>
      <c r="I151" s="161">
        <v>6</v>
      </c>
    </row>
    <row r="152" spans="1:9">
      <c r="A152" s="113">
        <v>100300127</v>
      </c>
      <c r="B152" s="113" t="s">
        <v>3232</v>
      </c>
      <c r="C152" s="113">
        <v>7070126</v>
      </c>
      <c r="D152" s="113" t="s">
        <v>3093</v>
      </c>
      <c r="E152" s="113" t="s">
        <v>1620</v>
      </c>
      <c r="F152" s="113" t="s">
        <v>3093</v>
      </c>
      <c r="G152" s="115" t="s">
        <v>3093</v>
      </c>
      <c r="H152" s="161">
        <v>2.35</v>
      </c>
      <c r="I152" s="161">
        <v>72</v>
      </c>
    </row>
    <row r="153" spans="1:9">
      <c r="A153" s="113">
        <v>100300128</v>
      </c>
      <c r="B153" s="113" t="s">
        <v>3233</v>
      </c>
      <c r="C153" s="113">
        <v>7070127</v>
      </c>
      <c r="D153" s="113" t="s">
        <v>3093</v>
      </c>
      <c r="E153" s="113" t="s">
        <v>1620</v>
      </c>
      <c r="F153" s="113" t="s">
        <v>3093</v>
      </c>
      <c r="G153" s="115" t="s">
        <v>3093</v>
      </c>
      <c r="H153" s="161">
        <v>2.9</v>
      </c>
      <c r="I153" s="161">
        <v>72</v>
      </c>
    </row>
    <row r="154" spans="1:9">
      <c r="A154" s="113">
        <v>100300129</v>
      </c>
      <c r="B154" s="113" t="s">
        <v>3234</v>
      </c>
      <c r="C154" s="113">
        <v>7070128</v>
      </c>
      <c r="D154" s="113" t="s">
        <v>3093</v>
      </c>
      <c r="E154" s="113" t="s">
        <v>1620</v>
      </c>
      <c r="F154" s="113" t="s">
        <v>3093</v>
      </c>
      <c r="G154" s="115" t="s">
        <v>3093</v>
      </c>
      <c r="H154" s="161">
        <v>2.9</v>
      </c>
      <c r="I154" s="161">
        <v>60</v>
      </c>
    </row>
    <row r="155" spans="1:9">
      <c r="A155" s="113">
        <v>100300130</v>
      </c>
      <c r="B155" s="113" t="s">
        <v>3235</v>
      </c>
      <c r="C155" s="113">
        <v>7070129</v>
      </c>
      <c r="D155" s="113" t="s">
        <v>3093</v>
      </c>
      <c r="E155" s="113" t="s">
        <v>1620</v>
      </c>
      <c r="F155" s="113" t="s">
        <v>3093</v>
      </c>
      <c r="G155" s="115" t="s">
        <v>3093</v>
      </c>
      <c r="H155" s="161">
        <v>4.83</v>
      </c>
      <c r="I155" s="161">
        <v>5</v>
      </c>
    </row>
    <row r="156" spans="1:9">
      <c r="A156" s="113">
        <v>100300131</v>
      </c>
      <c r="B156" s="113" t="s">
        <v>3236</v>
      </c>
      <c r="C156" s="113">
        <v>7070131</v>
      </c>
      <c r="D156" s="113" t="s">
        <v>3093</v>
      </c>
      <c r="E156" s="113" t="s">
        <v>1620</v>
      </c>
      <c r="F156" s="113" t="s">
        <v>3093</v>
      </c>
      <c r="G156" s="115" t="s">
        <v>3093</v>
      </c>
      <c r="H156" s="161">
        <v>2.75</v>
      </c>
      <c r="I156" s="161">
        <v>1200</v>
      </c>
    </row>
    <row r="157" spans="1:9">
      <c r="A157" s="113">
        <v>100300132</v>
      </c>
      <c r="B157" s="113" t="s">
        <v>3237</v>
      </c>
      <c r="C157" s="113">
        <v>7070132</v>
      </c>
      <c r="D157" s="113" t="s">
        <v>3093</v>
      </c>
      <c r="E157" s="113" t="s">
        <v>1620</v>
      </c>
      <c r="F157" s="113" t="s">
        <v>3093</v>
      </c>
      <c r="G157" s="115" t="s">
        <v>3093</v>
      </c>
      <c r="H157" s="161">
        <v>25</v>
      </c>
      <c r="I157" s="161">
        <v>10</v>
      </c>
    </row>
    <row r="158" spans="1:9">
      <c r="A158" s="113">
        <v>100300133</v>
      </c>
      <c r="B158" s="113" t="s">
        <v>3238</v>
      </c>
      <c r="C158" s="113">
        <v>7070133</v>
      </c>
      <c r="D158" s="113" t="s">
        <v>3093</v>
      </c>
      <c r="E158" s="113" t="s">
        <v>1620</v>
      </c>
      <c r="F158" s="113" t="s">
        <v>3093</v>
      </c>
      <c r="G158" s="115" t="s">
        <v>3093</v>
      </c>
      <c r="H158" s="161">
        <v>4.5</v>
      </c>
      <c r="I158" s="161">
        <v>20</v>
      </c>
    </row>
    <row r="159" spans="1:9">
      <c r="A159" s="113">
        <v>100300134</v>
      </c>
      <c r="B159" s="113" t="s">
        <v>3239</v>
      </c>
      <c r="C159" s="113">
        <v>7070134</v>
      </c>
      <c r="D159" s="113" t="s">
        <v>3093</v>
      </c>
      <c r="E159" s="113" t="s">
        <v>1620</v>
      </c>
      <c r="F159" s="113" t="s">
        <v>3093</v>
      </c>
      <c r="G159" s="115" t="s">
        <v>3093</v>
      </c>
      <c r="H159" s="161">
        <v>48.07</v>
      </c>
      <c r="I159" s="161">
        <v>2</v>
      </c>
    </row>
    <row r="160" spans="1:9">
      <c r="A160" s="113">
        <v>100300135</v>
      </c>
      <c r="B160" s="113" t="s">
        <v>3240</v>
      </c>
      <c r="C160" s="113">
        <v>7070135</v>
      </c>
      <c r="D160" s="113" t="s">
        <v>3093</v>
      </c>
      <c r="E160" s="113" t="s">
        <v>1620</v>
      </c>
      <c r="F160" s="113" t="s">
        <v>3093</v>
      </c>
      <c r="G160" s="115" t="s">
        <v>3093</v>
      </c>
      <c r="H160" s="161">
        <v>20.48</v>
      </c>
      <c r="I160" s="161">
        <v>6</v>
      </c>
    </row>
    <row r="161" spans="1:9">
      <c r="A161" s="113">
        <v>100300136</v>
      </c>
      <c r="B161" s="113" t="s">
        <v>3241</v>
      </c>
      <c r="C161" s="113">
        <v>7070136</v>
      </c>
      <c r="D161" s="113" t="s">
        <v>3093</v>
      </c>
      <c r="E161" s="113" t="s">
        <v>1620</v>
      </c>
      <c r="F161" s="113" t="s">
        <v>3093</v>
      </c>
      <c r="G161" s="115" t="s">
        <v>3093</v>
      </c>
      <c r="H161" s="161">
        <v>135</v>
      </c>
      <c r="I161" s="161">
        <v>90</v>
      </c>
    </row>
    <row r="162" spans="1:9">
      <c r="A162" s="113">
        <v>100300137</v>
      </c>
      <c r="B162" s="113" t="s">
        <v>1494</v>
      </c>
      <c r="C162" s="113">
        <v>7070137</v>
      </c>
      <c r="D162" s="113" t="s">
        <v>3093</v>
      </c>
      <c r="E162" s="113" t="s">
        <v>1620</v>
      </c>
      <c r="F162" s="113" t="s">
        <v>3093</v>
      </c>
      <c r="G162" s="115" t="s">
        <v>3093</v>
      </c>
      <c r="H162" s="161">
        <v>7.8</v>
      </c>
      <c r="I162" s="161">
        <v>120</v>
      </c>
    </row>
    <row r="163" spans="1:9">
      <c r="A163" s="113">
        <v>100300138</v>
      </c>
      <c r="B163" s="113" t="s">
        <v>3242</v>
      </c>
      <c r="C163" s="113">
        <v>7070138</v>
      </c>
      <c r="D163" s="113" t="s">
        <v>3093</v>
      </c>
      <c r="E163" s="113" t="s">
        <v>1620</v>
      </c>
      <c r="F163" s="113" t="s">
        <v>3093</v>
      </c>
      <c r="G163" s="115" t="s">
        <v>3093</v>
      </c>
      <c r="H163" s="161">
        <v>5</v>
      </c>
      <c r="I163" s="161">
        <v>0</v>
      </c>
    </row>
    <row r="164" spans="1:9">
      <c r="A164" s="113">
        <v>100300139</v>
      </c>
      <c r="B164" s="113" t="s">
        <v>3243</v>
      </c>
      <c r="C164" s="113">
        <v>7070139</v>
      </c>
      <c r="D164" s="113" t="s">
        <v>3093</v>
      </c>
      <c r="E164" s="113" t="s">
        <v>1620</v>
      </c>
      <c r="F164" s="113" t="s">
        <v>3093</v>
      </c>
      <c r="G164" s="115" t="s">
        <v>3093</v>
      </c>
      <c r="H164" s="161">
        <v>5.93</v>
      </c>
      <c r="I164" s="161">
        <v>300</v>
      </c>
    </row>
    <row r="165" spans="1:9">
      <c r="A165" s="113">
        <v>100300140</v>
      </c>
      <c r="B165" s="113" t="s">
        <v>3244</v>
      </c>
      <c r="C165" s="113">
        <v>7070140</v>
      </c>
      <c r="D165" s="113" t="s">
        <v>3093</v>
      </c>
      <c r="E165" s="113" t="s">
        <v>1620</v>
      </c>
      <c r="F165" s="113" t="s">
        <v>3093</v>
      </c>
      <c r="G165" s="115" t="s">
        <v>3093</v>
      </c>
      <c r="H165" s="161">
        <v>5</v>
      </c>
      <c r="I165" s="161">
        <v>10</v>
      </c>
    </row>
    <row r="166" spans="1:9">
      <c r="A166" s="113">
        <v>100300141</v>
      </c>
      <c r="B166" s="113" t="s">
        <v>3245</v>
      </c>
      <c r="C166" s="113">
        <v>7070141</v>
      </c>
      <c r="D166" s="113" t="s">
        <v>3093</v>
      </c>
      <c r="E166" s="113" t="s">
        <v>1620</v>
      </c>
      <c r="F166" s="113" t="s">
        <v>3093</v>
      </c>
      <c r="G166" s="115" t="s">
        <v>3093</v>
      </c>
      <c r="H166" s="161">
        <v>27</v>
      </c>
      <c r="I166" s="161">
        <v>300</v>
      </c>
    </row>
    <row r="167" spans="1:9">
      <c r="A167" s="113">
        <v>100300142</v>
      </c>
      <c r="B167" s="113" t="s">
        <v>3246</v>
      </c>
      <c r="C167" s="113">
        <v>7070142</v>
      </c>
      <c r="D167" s="113" t="s">
        <v>3093</v>
      </c>
      <c r="E167" s="113" t="s">
        <v>1620</v>
      </c>
      <c r="F167" s="113" t="s">
        <v>3093</v>
      </c>
      <c r="G167" s="115" t="s">
        <v>3093</v>
      </c>
      <c r="H167" s="161">
        <v>5</v>
      </c>
      <c r="I167" s="161">
        <v>40</v>
      </c>
    </row>
    <row r="168" spans="1:9">
      <c r="A168" s="113">
        <v>100300143</v>
      </c>
      <c r="B168" s="113" t="s">
        <v>3247</v>
      </c>
      <c r="C168" s="113">
        <v>7070143</v>
      </c>
      <c r="D168" s="113" t="s">
        <v>3093</v>
      </c>
      <c r="E168" s="113" t="s">
        <v>1620</v>
      </c>
      <c r="F168" s="113" t="s">
        <v>3093</v>
      </c>
      <c r="G168" s="115" t="s">
        <v>3093</v>
      </c>
      <c r="H168" s="161">
        <v>11</v>
      </c>
      <c r="I168" s="161">
        <v>30</v>
      </c>
    </row>
    <row r="169" spans="1:9">
      <c r="A169" s="113">
        <v>100300144</v>
      </c>
      <c r="B169" s="113" t="s">
        <v>3248</v>
      </c>
      <c r="C169" s="113">
        <v>7070144</v>
      </c>
      <c r="D169" s="113" t="s">
        <v>3093</v>
      </c>
      <c r="E169" s="113" t="s">
        <v>1620</v>
      </c>
      <c r="F169" s="113" t="s">
        <v>3093</v>
      </c>
      <c r="G169" s="115" t="s">
        <v>3093</v>
      </c>
      <c r="H169" s="161">
        <v>3.15</v>
      </c>
      <c r="I169" s="161">
        <v>260</v>
      </c>
    </row>
    <row r="170" spans="1:9">
      <c r="A170" s="113">
        <v>100300145</v>
      </c>
      <c r="B170" s="113" t="s">
        <v>3249</v>
      </c>
      <c r="C170" s="113">
        <v>7070145</v>
      </c>
      <c r="D170" s="113" t="s">
        <v>3093</v>
      </c>
      <c r="E170" s="113" t="s">
        <v>1620</v>
      </c>
      <c r="F170" s="113" t="s">
        <v>3093</v>
      </c>
      <c r="G170" s="115" t="s">
        <v>3093</v>
      </c>
      <c r="H170" s="161">
        <v>7</v>
      </c>
      <c r="I170" s="161">
        <v>186</v>
      </c>
    </row>
    <row r="171" spans="1:9">
      <c r="A171" s="113">
        <v>100300146</v>
      </c>
      <c r="B171" s="113" t="s">
        <v>3250</v>
      </c>
      <c r="C171" s="113">
        <v>7070146</v>
      </c>
      <c r="D171" s="113" t="s">
        <v>3093</v>
      </c>
      <c r="E171" s="113" t="s">
        <v>1620</v>
      </c>
      <c r="F171" s="113" t="s">
        <v>3093</v>
      </c>
      <c r="G171" s="115" t="s">
        <v>3093</v>
      </c>
      <c r="H171" s="161">
        <v>3.48</v>
      </c>
      <c r="I171" s="161">
        <v>0</v>
      </c>
    </row>
    <row r="172" spans="1:9">
      <c r="A172" s="113">
        <v>100300147</v>
      </c>
      <c r="B172" s="113" t="s">
        <v>3251</v>
      </c>
      <c r="C172" s="113">
        <v>7070147</v>
      </c>
      <c r="D172" s="113" t="s">
        <v>3093</v>
      </c>
      <c r="E172" s="113" t="s">
        <v>1620</v>
      </c>
      <c r="F172" s="113" t="s">
        <v>3093</v>
      </c>
      <c r="G172" s="115" t="s">
        <v>3093</v>
      </c>
      <c r="H172" s="161">
        <v>3.69</v>
      </c>
      <c r="I172" s="161">
        <v>1200</v>
      </c>
    </row>
    <row r="173" spans="1:9">
      <c r="A173" s="113">
        <v>100300148</v>
      </c>
      <c r="B173" s="113" t="s">
        <v>3252</v>
      </c>
      <c r="C173" s="113">
        <v>7070150</v>
      </c>
      <c r="D173" s="113" t="s">
        <v>3093</v>
      </c>
      <c r="E173" s="113" t="s">
        <v>1620</v>
      </c>
      <c r="F173" s="113" t="s">
        <v>3093</v>
      </c>
      <c r="G173" s="115" t="s">
        <v>3093</v>
      </c>
      <c r="H173" s="161">
        <v>2.6</v>
      </c>
      <c r="I173" s="161">
        <v>0</v>
      </c>
    </row>
    <row r="174" spans="1:9">
      <c r="A174" s="113">
        <v>100300149</v>
      </c>
      <c r="B174" s="113" t="s">
        <v>3253</v>
      </c>
      <c r="C174" s="113">
        <v>7070151</v>
      </c>
      <c r="D174" s="113" t="s">
        <v>3093</v>
      </c>
      <c r="E174" s="113" t="s">
        <v>1620</v>
      </c>
      <c r="F174" s="113" t="s">
        <v>3093</v>
      </c>
      <c r="G174" s="115" t="s">
        <v>3093</v>
      </c>
      <c r="H174" s="161">
        <v>5.9</v>
      </c>
      <c r="I174" s="161">
        <v>2120</v>
      </c>
    </row>
    <row r="175" spans="1:9">
      <c r="A175" s="113">
        <v>100300150</v>
      </c>
      <c r="B175" s="113" t="s">
        <v>3254</v>
      </c>
      <c r="C175" s="113">
        <v>7070156</v>
      </c>
      <c r="D175" s="113" t="s">
        <v>3093</v>
      </c>
      <c r="E175" s="113" t="s">
        <v>1620</v>
      </c>
      <c r="F175" s="113" t="s">
        <v>3093</v>
      </c>
      <c r="G175" s="115" t="s">
        <v>3093</v>
      </c>
      <c r="H175" s="161">
        <v>2433</v>
      </c>
      <c r="I175" s="161">
        <v>0</v>
      </c>
    </row>
    <row r="176" spans="1:9">
      <c r="A176" s="113">
        <v>100300151</v>
      </c>
      <c r="B176" s="113" t="s">
        <v>3255</v>
      </c>
      <c r="C176" s="113">
        <v>7070157</v>
      </c>
      <c r="D176" s="113" t="s">
        <v>3093</v>
      </c>
      <c r="E176" s="113" t="s">
        <v>1620</v>
      </c>
      <c r="F176" s="113" t="s">
        <v>3093</v>
      </c>
      <c r="G176" s="115" t="s">
        <v>3093</v>
      </c>
      <c r="H176" s="161">
        <v>240.97</v>
      </c>
      <c r="I176" s="161">
        <v>3</v>
      </c>
    </row>
    <row r="177" spans="1:9">
      <c r="A177" s="113">
        <v>100300152</v>
      </c>
      <c r="B177" s="113" t="s">
        <v>3256</v>
      </c>
      <c r="C177" s="113">
        <v>7070158</v>
      </c>
      <c r="D177" s="113" t="s">
        <v>3093</v>
      </c>
      <c r="E177" s="113" t="s">
        <v>1620</v>
      </c>
      <c r="F177" s="113" t="s">
        <v>3093</v>
      </c>
      <c r="G177" s="115" t="s">
        <v>3093</v>
      </c>
      <c r="H177" s="161">
        <v>240.97</v>
      </c>
      <c r="I177" s="161">
        <v>0</v>
      </c>
    </row>
    <row r="178" spans="1:9">
      <c r="A178" s="113">
        <v>100300153</v>
      </c>
      <c r="B178" s="113" t="s">
        <v>3257</v>
      </c>
      <c r="C178" s="113">
        <v>7070159</v>
      </c>
      <c r="D178" s="113" t="s">
        <v>3093</v>
      </c>
      <c r="E178" s="113" t="s">
        <v>1620</v>
      </c>
      <c r="F178" s="113" t="s">
        <v>3093</v>
      </c>
      <c r="G178" s="115" t="s">
        <v>3093</v>
      </c>
      <c r="H178" s="161">
        <v>2.82</v>
      </c>
      <c r="I178" s="161">
        <v>48</v>
      </c>
    </row>
    <row r="179" spans="1:9">
      <c r="A179" s="113">
        <v>100300154</v>
      </c>
      <c r="B179" s="113" t="s">
        <v>3258</v>
      </c>
      <c r="C179" s="113">
        <v>7070160</v>
      </c>
      <c r="D179" s="113" t="s">
        <v>3093</v>
      </c>
      <c r="E179" s="113" t="s">
        <v>1620</v>
      </c>
      <c r="F179" s="113" t="s">
        <v>3093</v>
      </c>
      <c r="G179" s="115" t="s">
        <v>3093</v>
      </c>
      <c r="H179" s="161">
        <v>2.2599999999999998</v>
      </c>
      <c r="I179" s="161">
        <v>0</v>
      </c>
    </row>
    <row r="180" spans="1:9">
      <c r="A180" s="113">
        <v>100300155</v>
      </c>
      <c r="B180" s="113" t="s">
        <v>3259</v>
      </c>
      <c r="C180" s="113">
        <v>7070162</v>
      </c>
      <c r="D180" s="113" t="s">
        <v>3093</v>
      </c>
      <c r="E180" s="113" t="s">
        <v>1620</v>
      </c>
      <c r="F180" s="113" t="s">
        <v>3093</v>
      </c>
      <c r="G180" s="115" t="s">
        <v>3093</v>
      </c>
      <c r="H180" s="161">
        <v>6</v>
      </c>
      <c r="I180" s="161">
        <v>2</v>
      </c>
    </row>
    <row r="181" spans="1:9">
      <c r="A181" s="113">
        <v>100300156</v>
      </c>
      <c r="B181" s="113" t="s">
        <v>3260</v>
      </c>
      <c r="C181" s="113">
        <v>7070163</v>
      </c>
      <c r="D181" s="113" t="s">
        <v>3093</v>
      </c>
      <c r="E181" s="113" t="s">
        <v>1620</v>
      </c>
      <c r="F181" s="113" t="s">
        <v>3093</v>
      </c>
      <c r="G181" s="115" t="s">
        <v>3093</v>
      </c>
      <c r="H181" s="161">
        <v>5</v>
      </c>
      <c r="I181" s="161">
        <v>5</v>
      </c>
    </row>
    <row r="182" spans="1:9">
      <c r="A182" s="113">
        <v>100300157</v>
      </c>
      <c r="B182" s="113" t="s">
        <v>3261</v>
      </c>
      <c r="C182" s="113">
        <v>7070164</v>
      </c>
      <c r="D182" s="113" t="s">
        <v>3093</v>
      </c>
      <c r="E182" s="113" t="s">
        <v>1620</v>
      </c>
      <c r="F182" s="113" t="s">
        <v>3093</v>
      </c>
      <c r="G182" s="115" t="s">
        <v>3093</v>
      </c>
      <c r="H182" s="161">
        <v>6</v>
      </c>
      <c r="I182" s="161">
        <v>36</v>
      </c>
    </row>
    <row r="183" spans="1:9">
      <c r="A183" s="113">
        <v>100300158</v>
      </c>
      <c r="B183" s="113" t="s">
        <v>3262</v>
      </c>
      <c r="C183" s="113">
        <v>7070165</v>
      </c>
      <c r="D183" s="113" t="s">
        <v>3093</v>
      </c>
      <c r="E183" s="113" t="s">
        <v>1620</v>
      </c>
      <c r="F183" s="113" t="s">
        <v>3093</v>
      </c>
      <c r="G183" s="115" t="s">
        <v>3093</v>
      </c>
      <c r="H183" s="161">
        <v>6</v>
      </c>
      <c r="I183" s="161">
        <v>132</v>
      </c>
    </row>
    <row r="184" spans="1:9">
      <c r="A184" s="113">
        <v>100300159</v>
      </c>
      <c r="B184" s="113" t="s">
        <v>3263</v>
      </c>
      <c r="C184" s="113">
        <v>7070166</v>
      </c>
      <c r="D184" s="113" t="s">
        <v>3093</v>
      </c>
      <c r="E184" s="113" t="s">
        <v>1620</v>
      </c>
      <c r="F184" s="113" t="s">
        <v>3093</v>
      </c>
      <c r="G184" s="115" t="s">
        <v>3093</v>
      </c>
      <c r="H184" s="161">
        <v>26.56</v>
      </c>
      <c r="I184" s="161">
        <v>0</v>
      </c>
    </row>
    <row r="185" spans="1:9">
      <c r="A185" s="113">
        <v>100300160</v>
      </c>
      <c r="B185" s="113" t="s">
        <v>3264</v>
      </c>
      <c r="C185" s="113">
        <v>7070167</v>
      </c>
      <c r="D185" s="113" t="s">
        <v>3093</v>
      </c>
      <c r="E185" s="113" t="s">
        <v>1620</v>
      </c>
      <c r="F185" s="113" t="s">
        <v>3093</v>
      </c>
      <c r="G185" s="115" t="s">
        <v>3093</v>
      </c>
      <c r="H185" s="161">
        <v>1.1000000000000001</v>
      </c>
      <c r="I185" s="161">
        <v>120</v>
      </c>
    </row>
    <row r="186" spans="1:9">
      <c r="A186" s="113">
        <v>100300161</v>
      </c>
      <c r="B186" s="113" t="s">
        <v>3265</v>
      </c>
      <c r="C186" s="113">
        <v>7070168</v>
      </c>
      <c r="D186" s="113" t="s">
        <v>3093</v>
      </c>
      <c r="E186" s="113" t="s">
        <v>1620</v>
      </c>
      <c r="F186" s="113" t="s">
        <v>3093</v>
      </c>
      <c r="G186" s="115" t="s">
        <v>3093</v>
      </c>
      <c r="H186" s="161">
        <v>1.1000000000000001</v>
      </c>
      <c r="I186" s="161">
        <v>50</v>
      </c>
    </row>
    <row r="187" spans="1:9">
      <c r="A187" s="113">
        <v>100300162</v>
      </c>
      <c r="B187" s="113" t="s">
        <v>3266</v>
      </c>
      <c r="C187" s="113">
        <v>7070169</v>
      </c>
      <c r="D187" s="113" t="s">
        <v>3093</v>
      </c>
      <c r="E187" s="113" t="s">
        <v>1620</v>
      </c>
      <c r="F187" s="113" t="s">
        <v>3093</v>
      </c>
      <c r="G187" s="115" t="s">
        <v>3093</v>
      </c>
      <c r="H187" s="161">
        <v>1.1000000000000001</v>
      </c>
      <c r="I187" s="161">
        <v>200</v>
      </c>
    </row>
    <row r="188" spans="1:9">
      <c r="A188" s="113">
        <v>100300163</v>
      </c>
      <c r="B188" s="113" t="s">
        <v>3267</v>
      </c>
      <c r="C188" s="113">
        <v>7070170</v>
      </c>
      <c r="D188" s="113" t="s">
        <v>3093</v>
      </c>
      <c r="E188" s="113" t="s">
        <v>1620</v>
      </c>
      <c r="F188" s="113" t="s">
        <v>3093</v>
      </c>
      <c r="G188" s="115" t="s">
        <v>3093</v>
      </c>
      <c r="H188" s="161">
        <v>1.1000000000000001</v>
      </c>
      <c r="I188" s="161">
        <v>200</v>
      </c>
    </row>
    <row r="189" spans="1:9">
      <c r="A189" s="113">
        <v>100300164</v>
      </c>
      <c r="B189" s="113" t="s">
        <v>3268</v>
      </c>
      <c r="C189" s="113">
        <v>7070171</v>
      </c>
      <c r="D189" s="113" t="s">
        <v>3093</v>
      </c>
      <c r="E189" s="113" t="s">
        <v>1620</v>
      </c>
      <c r="F189" s="113" t="s">
        <v>3093</v>
      </c>
      <c r="G189" s="115" t="s">
        <v>3093</v>
      </c>
      <c r="H189" s="161">
        <v>1.25</v>
      </c>
      <c r="I189" s="161">
        <v>0</v>
      </c>
    </row>
    <row r="190" spans="1:9">
      <c r="A190" s="113">
        <v>100300165</v>
      </c>
      <c r="B190" s="113" t="s">
        <v>3269</v>
      </c>
      <c r="C190" s="113">
        <v>7070172</v>
      </c>
      <c r="D190" s="113" t="s">
        <v>3093</v>
      </c>
      <c r="E190" s="113" t="s">
        <v>1620</v>
      </c>
      <c r="F190" s="113" t="s">
        <v>3093</v>
      </c>
      <c r="G190" s="115" t="s">
        <v>3093</v>
      </c>
      <c r="H190" s="161">
        <v>1.5</v>
      </c>
      <c r="I190" s="161">
        <v>1143</v>
      </c>
    </row>
    <row r="191" spans="1:9">
      <c r="A191" s="113">
        <v>100300166</v>
      </c>
      <c r="B191" s="113" t="s">
        <v>3270</v>
      </c>
      <c r="C191" s="113">
        <v>7070174</v>
      </c>
      <c r="D191" s="113" t="s">
        <v>3093</v>
      </c>
      <c r="E191" s="113" t="s">
        <v>1620</v>
      </c>
      <c r="F191" s="113" t="s">
        <v>3093</v>
      </c>
      <c r="G191" s="115" t="s">
        <v>3093</v>
      </c>
      <c r="H191" s="161">
        <v>4.21</v>
      </c>
      <c r="I191" s="161">
        <v>0</v>
      </c>
    </row>
    <row r="192" spans="1:9">
      <c r="A192" s="113">
        <v>100300167</v>
      </c>
      <c r="B192" s="113" t="s">
        <v>3271</v>
      </c>
      <c r="C192" s="113">
        <v>7070177</v>
      </c>
      <c r="D192" s="113" t="s">
        <v>3093</v>
      </c>
      <c r="E192" s="113" t="s">
        <v>1620</v>
      </c>
      <c r="F192" s="113" t="s">
        <v>3093</v>
      </c>
      <c r="G192" s="115" t="s">
        <v>3093</v>
      </c>
      <c r="H192" s="161">
        <v>0.77</v>
      </c>
      <c r="I192" s="161">
        <v>240</v>
      </c>
    </row>
    <row r="193" spans="1:9">
      <c r="A193" s="113">
        <v>100300168</v>
      </c>
      <c r="B193" s="113" t="s">
        <v>3272</v>
      </c>
      <c r="C193" s="113">
        <v>7070179</v>
      </c>
      <c r="D193" s="113" t="s">
        <v>3093</v>
      </c>
      <c r="E193" s="113" t="s">
        <v>1620</v>
      </c>
      <c r="F193" s="113" t="s">
        <v>3093</v>
      </c>
      <c r="G193" s="115" t="s">
        <v>3093</v>
      </c>
      <c r="H193" s="161">
        <v>113.25</v>
      </c>
      <c r="I193" s="161">
        <v>2</v>
      </c>
    </row>
    <row r="194" spans="1:9">
      <c r="A194" s="113">
        <v>100300169</v>
      </c>
      <c r="B194" s="113" t="s">
        <v>3273</v>
      </c>
      <c r="C194" s="113">
        <v>7070180</v>
      </c>
      <c r="D194" s="113" t="s">
        <v>3093</v>
      </c>
      <c r="E194" s="113" t="s">
        <v>1620</v>
      </c>
      <c r="F194" s="113" t="s">
        <v>3093</v>
      </c>
      <c r="G194" s="115" t="s">
        <v>3093</v>
      </c>
      <c r="H194" s="161">
        <v>266.58</v>
      </c>
      <c r="I194" s="161">
        <v>0</v>
      </c>
    </row>
    <row r="195" spans="1:9">
      <c r="A195" s="113">
        <v>100300170</v>
      </c>
      <c r="B195" s="113" t="s">
        <v>3274</v>
      </c>
      <c r="C195" s="113">
        <v>7070181</v>
      </c>
      <c r="D195" s="113" t="s">
        <v>3093</v>
      </c>
      <c r="E195" s="113" t="s">
        <v>1620</v>
      </c>
      <c r="F195" s="113" t="s">
        <v>3093</v>
      </c>
      <c r="G195" s="115" t="s">
        <v>3093</v>
      </c>
      <c r="H195" s="161">
        <v>60</v>
      </c>
      <c r="I195" s="161">
        <v>0</v>
      </c>
    </row>
    <row r="196" spans="1:9">
      <c r="A196" s="113">
        <v>100300171</v>
      </c>
      <c r="B196" s="113" t="s">
        <v>3275</v>
      </c>
      <c r="C196" s="113">
        <v>7070182</v>
      </c>
      <c r="D196" s="113" t="s">
        <v>3093</v>
      </c>
      <c r="E196" s="113" t="s">
        <v>1620</v>
      </c>
      <c r="F196" s="113" t="s">
        <v>3093</v>
      </c>
      <c r="G196" s="115" t="s">
        <v>3093</v>
      </c>
      <c r="H196" s="161">
        <v>60</v>
      </c>
      <c r="I196" s="161">
        <v>0</v>
      </c>
    </row>
    <row r="197" spans="1:9">
      <c r="A197" s="113">
        <v>100300172</v>
      </c>
      <c r="B197" s="113" t="s">
        <v>3276</v>
      </c>
      <c r="C197" s="113">
        <v>7070183</v>
      </c>
      <c r="D197" s="113" t="s">
        <v>3093</v>
      </c>
      <c r="E197" s="113" t="s">
        <v>1620</v>
      </c>
      <c r="F197" s="113" t="s">
        <v>3093</v>
      </c>
      <c r="G197" s="115" t="s">
        <v>3093</v>
      </c>
      <c r="H197" s="161">
        <v>60</v>
      </c>
      <c r="I197" s="161">
        <v>0</v>
      </c>
    </row>
    <row r="198" spans="1:9">
      <c r="A198" s="113">
        <v>100300173</v>
      </c>
      <c r="B198" s="113" t="s">
        <v>3277</v>
      </c>
      <c r="C198" s="113">
        <v>7070184</v>
      </c>
      <c r="D198" s="113" t="s">
        <v>3093</v>
      </c>
      <c r="E198" s="113" t="s">
        <v>1620</v>
      </c>
      <c r="F198" s="113" t="s">
        <v>3093</v>
      </c>
      <c r="G198" s="115" t="s">
        <v>3093</v>
      </c>
      <c r="H198" s="161">
        <v>2.5</v>
      </c>
      <c r="I198" s="161">
        <v>66</v>
      </c>
    </row>
    <row r="199" spans="1:9">
      <c r="A199" s="113">
        <v>100300174</v>
      </c>
      <c r="B199" s="113" t="s">
        <v>3278</v>
      </c>
      <c r="C199" s="113">
        <v>7070186</v>
      </c>
      <c r="D199" s="113" t="s">
        <v>3093</v>
      </c>
      <c r="E199" s="113" t="s">
        <v>1620</v>
      </c>
      <c r="F199" s="113" t="s">
        <v>3093</v>
      </c>
      <c r="G199" s="115" t="s">
        <v>3093</v>
      </c>
      <c r="H199" s="161">
        <v>380</v>
      </c>
      <c r="I199" s="161">
        <v>0</v>
      </c>
    </row>
    <row r="200" spans="1:9">
      <c r="A200" s="113">
        <v>100300175</v>
      </c>
      <c r="B200" s="113" t="s">
        <v>3279</v>
      </c>
      <c r="C200" s="113">
        <v>7070187</v>
      </c>
      <c r="D200" s="113" t="s">
        <v>3093</v>
      </c>
      <c r="E200" s="113" t="s">
        <v>1620</v>
      </c>
      <c r="F200" s="113" t="s">
        <v>3093</v>
      </c>
      <c r="G200" s="115" t="s">
        <v>3093</v>
      </c>
      <c r="H200" s="161">
        <v>6</v>
      </c>
      <c r="I200" s="161">
        <v>0</v>
      </c>
    </row>
    <row r="201" spans="1:9">
      <c r="A201" s="113">
        <v>100300176</v>
      </c>
      <c r="B201" s="113" t="s">
        <v>3280</v>
      </c>
      <c r="C201" s="113">
        <v>7070188</v>
      </c>
      <c r="D201" s="113" t="s">
        <v>3093</v>
      </c>
      <c r="E201" s="113" t="s">
        <v>1620</v>
      </c>
      <c r="F201" s="113" t="s">
        <v>3093</v>
      </c>
      <c r="G201" s="115" t="s">
        <v>3093</v>
      </c>
      <c r="H201" s="161">
        <v>15</v>
      </c>
      <c r="I201" s="161">
        <v>1580</v>
      </c>
    </row>
    <row r="202" spans="1:9">
      <c r="A202" s="113">
        <v>100300177</v>
      </c>
      <c r="B202" s="113" t="s">
        <v>3281</v>
      </c>
      <c r="C202" s="113">
        <v>7070189</v>
      </c>
      <c r="D202" s="113" t="s">
        <v>3093</v>
      </c>
      <c r="E202" s="113" t="s">
        <v>1620</v>
      </c>
      <c r="F202" s="113" t="s">
        <v>3093</v>
      </c>
      <c r="G202" s="115" t="s">
        <v>3093</v>
      </c>
      <c r="H202" s="161">
        <v>12.75</v>
      </c>
      <c r="I202" s="161">
        <v>30</v>
      </c>
    </row>
    <row r="203" spans="1:9">
      <c r="A203" s="113">
        <v>100300178</v>
      </c>
      <c r="B203" s="113" t="s">
        <v>3282</v>
      </c>
      <c r="C203" s="113">
        <v>7070190</v>
      </c>
      <c r="D203" s="113" t="s">
        <v>3093</v>
      </c>
      <c r="E203" s="113" t="s">
        <v>1620</v>
      </c>
      <c r="F203" s="113" t="s">
        <v>3093</v>
      </c>
      <c r="G203" s="115" t="s">
        <v>3093</v>
      </c>
      <c r="H203" s="161">
        <v>12.75</v>
      </c>
      <c r="I203" s="161">
        <v>70</v>
      </c>
    </row>
    <row r="204" spans="1:9">
      <c r="A204" s="113">
        <v>100300179</v>
      </c>
      <c r="B204" s="113" t="s">
        <v>3283</v>
      </c>
      <c r="C204" s="113">
        <v>7070191</v>
      </c>
      <c r="D204" s="113" t="s">
        <v>3093</v>
      </c>
      <c r="E204" s="113" t="s">
        <v>1620</v>
      </c>
      <c r="F204" s="113" t="s">
        <v>3093</v>
      </c>
      <c r="G204" s="115" t="s">
        <v>3093</v>
      </c>
      <c r="H204" s="161">
        <v>67</v>
      </c>
      <c r="I204" s="161">
        <v>180</v>
      </c>
    </row>
    <row r="205" spans="1:9">
      <c r="A205" s="113">
        <v>100300180</v>
      </c>
      <c r="B205" s="113" t="s">
        <v>1476</v>
      </c>
      <c r="C205" s="113">
        <v>7070192</v>
      </c>
      <c r="D205" s="113" t="s">
        <v>3093</v>
      </c>
      <c r="E205" s="113" t="s">
        <v>1620</v>
      </c>
      <c r="F205" s="113" t="s">
        <v>3093</v>
      </c>
      <c r="G205" s="115" t="s">
        <v>3093</v>
      </c>
      <c r="H205" s="161">
        <v>6.79</v>
      </c>
      <c r="I205" s="161">
        <v>0</v>
      </c>
    </row>
    <row r="206" spans="1:9">
      <c r="A206" s="113">
        <v>100300181</v>
      </c>
      <c r="B206" s="113" t="s">
        <v>3284</v>
      </c>
      <c r="C206" s="113">
        <v>7070195</v>
      </c>
      <c r="D206" s="113" t="s">
        <v>3093</v>
      </c>
      <c r="E206" s="113" t="s">
        <v>1620</v>
      </c>
      <c r="F206" s="113" t="s">
        <v>3093</v>
      </c>
      <c r="G206" s="115" t="s">
        <v>3093</v>
      </c>
      <c r="H206" s="161">
        <v>15.7</v>
      </c>
      <c r="I206" s="161">
        <v>120</v>
      </c>
    </row>
    <row r="207" spans="1:9">
      <c r="A207" s="113">
        <v>100300182</v>
      </c>
      <c r="B207" s="113" t="s">
        <v>1527</v>
      </c>
      <c r="C207" s="113">
        <v>7070196</v>
      </c>
      <c r="D207" s="113" t="s">
        <v>3093</v>
      </c>
      <c r="E207" s="113" t="s">
        <v>1620</v>
      </c>
      <c r="F207" s="113" t="s">
        <v>3093</v>
      </c>
      <c r="G207" s="115" t="s">
        <v>3093</v>
      </c>
      <c r="H207" s="161">
        <v>35</v>
      </c>
      <c r="I207" s="161">
        <v>80</v>
      </c>
    </row>
    <row r="208" spans="1:9">
      <c r="A208" s="113">
        <v>100300183</v>
      </c>
      <c r="B208" s="113" t="s">
        <v>3285</v>
      </c>
      <c r="C208" s="113">
        <v>7070198</v>
      </c>
      <c r="D208" s="113" t="s">
        <v>3093</v>
      </c>
      <c r="E208" s="113" t="s">
        <v>1620</v>
      </c>
      <c r="F208" s="113" t="s">
        <v>3093</v>
      </c>
      <c r="G208" s="115" t="s">
        <v>3093</v>
      </c>
      <c r="H208" s="161">
        <v>16.760000000000002</v>
      </c>
      <c r="I208" s="161">
        <v>0</v>
      </c>
    </row>
    <row r="209" spans="1:9">
      <c r="A209" s="113">
        <v>100300184</v>
      </c>
      <c r="B209" s="113" t="s">
        <v>3286</v>
      </c>
      <c r="C209" s="113">
        <v>7070199</v>
      </c>
      <c r="D209" s="113" t="s">
        <v>3093</v>
      </c>
      <c r="E209" s="113" t="s">
        <v>1620</v>
      </c>
      <c r="F209" s="113" t="s">
        <v>3093</v>
      </c>
      <c r="G209" s="115" t="s">
        <v>3093</v>
      </c>
      <c r="H209" s="161">
        <v>16.760000000000002</v>
      </c>
      <c r="I209" s="161">
        <v>0</v>
      </c>
    </row>
    <row r="210" spans="1:9">
      <c r="A210" s="113">
        <v>100300185</v>
      </c>
      <c r="B210" s="113" t="s">
        <v>3287</v>
      </c>
      <c r="C210" s="113">
        <v>7070200</v>
      </c>
      <c r="D210" s="113" t="s">
        <v>3093</v>
      </c>
      <c r="E210" s="113" t="s">
        <v>1620</v>
      </c>
      <c r="F210" s="113" t="s">
        <v>3093</v>
      </c>
      <c r="G210" s="115" t="s">
        <v>3093</v>
      </c>
      <c r="H210" s="161">
        <v>16.760000000000002</v>
      </c>
      <c r="I210" s="161">
        <v>0</v>
      </c>
    </row>
    <row r="211" spans="1:9">
      <c r="A211" s="113">
        <v>100300186</v>
      </c>
      <c r="B211" s="113" t="s">
        <v>3288</v>
      </c>
      <c r="C211" s="113">
        <v>7070201</v>
      </c>
      <c r="D211" s="113" t="s">
        <v>3093</v>
      </c>
      <c r="E211" s="113" t="s">
        <v>1620</v>
      </c>
      <c r="F211" s="113" t="s">
        <v>3093</v>
      </c>
      <c r="G211" s="115" t="s">
        <v>3093</v>
      </c>
      <c r="H211" s="161">
        <v>16.760000000000002</v>
      </c>
      <c r="I211" s="161">
        <v>0</v>
      </c>
    </row>
    <row r="212" spans="1:9">
      <c r="A212" s="113">
        <v>100300187</v>
      </c>
      <c r="B212" s="113" t="s">
        <v>3289</v>
      </c>
      <c r="C212" s="113">
        <v>7070202</v>
      </c>
      <c r="D212" s="113" t="s">
        <v>3093</v>
      </c>
      <c r="E212" s="113" t="s">
        <v>1620</v>
      </c>
      <c r="F212" s="113" t="s">
        <v>3093</v>
      </c>
      <c r="G212" s="115" t="s">
        <v>3093</v>
      </c>
      <c r="H212" s="161">
        <v>495</v>
      </c>
      <c r="I212" s="161">
        <v>12</v>
      </c>
    </row>
    <row r="213" spans="1:9">
      <c r="A213" s="113">
        <v>100300188</v>
      </c>
      <c r="B213" s="113" t="s">
        <v>3290</v>
      </c>
      <c r="C213" s="113">
        <v>7070204</v>
      </c>
      <c r="D213" s="113" t="s">
        <v>3093</v>
      </c>
      <c r="E213" s="113" t="s">
        <v>1620</v>
      </c>
      <c r="F213" s="113" t="s">
        <v>3093</v>
      </c>
      <c r="G213" s="115" t="s">
        <v>3093</v>
      </c>
      <c r="H213" s="161">
        <v>5.35</v>
      </c>
      <c r="I213" s="161">
        <v>30</v>
      </c>
    </row>
    <row r="214" spans="1:9">
      <c r="A214" s="113">
        <v>100300189</v>
      </c>
      <c r="B214" s="113" t="s">
        <v>3291</v>
      </c>
      <c r="C214" s="113">
        <v>7070205</v>
      </c>
      <c r="D214" s="113" t="s">
        <v>3093</v>
      </c>
      <c r="E214" s="113" t="s">
        <v>1620</v>
      </c>
      <c r="F214" s="113" t="s">
        <v>3093</v>
      </c>
      <c r="G214" s="115" t="s">
        <v>3093</v>
      </c>
      <c r="H214" s="161">
        <v>0.35</v>
      </c>
      <c r="I214" s="161" t="s">
        <v>7138</v>
      </c>
    </row>
    <row r="215" spans="1:9">
      <c r="A215" s="113">
        <v>100300190</v>
      </c>
      <c r="B215" s="113" t="s">
        <v>3292</v>
      </c>
      <c r="C215" s="113">
        <v>7070206</v>
      </c>
      <c r="D215" s="113" t="s">
        <v>3093</v>
      </c>
      <c r="E215" s="113" t="s">
        <v>1620</v>
      </c>
      <c r="F215" s="113" t="s">
        <v>3093</v>
      </c>
      <c r="G215" s="115" t="s">
        <v>3093</v>
      </c>
      <c r="H215" s="161">
        <v>0.91</v>
      </c>
      <c r="I215" s="161">
        <v>60</v>
      </c>
    </row>
    <row r="216" spans="1:9">
      <c r="A216" s="113">
        <v>100300191</v>
      </c>
      <c r="B216" s="113" t="s">
        <v>3293</v>
      </c>
      <c r="C216" s="113">
        <v>7070207</v>
      </c>
      <c r="D216" s="113" t="s">
        <v>3093</v>
      </c>
      <c r="E216" s="113" t="s">
        <v>1620</v>
      </c>
      <c r="F216" s="113" t="s">
        <v>3093</v>
      </c>
      <c r="G216" s="115" t="s">
        <v>3093</v>
      </c>
      <c r="H216" s="161">
        <v>220.15</v>
      </c>
      <c r="I216" s="161">
        <v>20</v>
      </c>
    </row>
    <row r="217" spans="1:9">
      <c r="A217" s="113">
        <v>100300192</v>
      </c>
      <c r="B217" s="113" t="s">
        <v>3294</v>
      </c>
      <c r="C217" s="113">
        <v>7070208</v>
      </c>
      <c r="D217" s="113" t="s">
        <v>3093</v>
      </c>
      <c r="E217" s="113" t="s">
        <v>1620</v>
      </c>
      <c r="F217" s="113" t="s">
        <v>3093</v>
      </c>
      <c r="G217" s="115" t="s">
        <v>3093</v>
      </c>
      <c r="H217" s="161">
        <v>0</v>
      </c>
      <c r="I217" s="161" t="s">
        <v>7138</v>
      </c>
    </row>
    <row r="218" spans="1:9">
      <c r="A218" s="113">
        <v>100300193</v>
      </c>
      <c r="B218" s="113" t="s">
        <v>3295</v>
      </c>
      <c r="C218" s="113">
        <v>7070209</v>
      </c>
      <c r="D218" s="113" t="s">
        <v>3093</v>
      </c>
      <c r="E218" s="113" t="s">
        <v>1620</v>
      </c>
      <c r="F218" s="113" t="s">
        <v>3093</v>
      </c>
      <c r="G218" s="115" t="s">
        <v>3093</v>
      </c>
      <c r="H218" s="161">
        <v>0</v>
      </c>
      <c r="I218" s="161" t="s">
        <v>7138</v>
      </c>
    </row>
    <row r="219" spans="1:9">
      <c r="A219" s="113">
        <v>100300194</v>
      </c>
      <c r="B219" s="113" t="s">
        <v>3296</v>
      </c>
      <c r="C219" s="113">
        <v>7070210</v>
      </c>
      <c r="D219" s="113" t="s">
        <v>3093</v>
      </c>
      <c r="E219" s="113" t="s">
        <v>1620</v>
      </c>
      <c r="F219" s="113" t="s">
        <v>3093</v>
      </c>
      <c r="G219" s="115" t="s">
        <v>3093</v>
      </c>
      <c r="H219" s="161">
        <v>3.8</v>
      </c>
      <c r="I219" s="161">
        <v>300</v>
      </c>
    </row>
    <row r="220" spans="1:9">
      <c r="A220" s="113">
        <v>100300195</v>
      </c>
      <c r="B220" s="113" t="s">
        <v>3297</v>
      </c>
      <c r="C220" s="113">
        <v>7070212</v>
      </c>
      <c r="D220" s="113" t="s">
        <v>3093</v>
      </c>
      <c r="E220" s="113" t="s">
        <v>1620</v>
      </c>
      <c r="F220" s="113" t="s">
        <v>3093</v>
      </c>
      <c r="G220" s="115" t="s">
        <v>3093</v>
      </c>
      <c r="H220" s="161">
        <v>165</v>
      </c>
      <c r="I220" s="161">
        <v>12</v>
      </c>
    </row>
    <row r="221" spans="1:9">
      <c r="A221" s="113">
        <v>100300196</v>
      </c>
      <c r="B221" s="113" t="s">
        <v>3298</v>
      </c>
      <c r="C221" s="113">
        <v>7070213</v>
      </c>
      <c r="D221" s="113" t="s">
        <v>3093</v>
      </c>
      <c r="E221" s="113" t="s">
        <v>1620</v>
      </c>
      <c r="F221" s="113" t="s">
        <v>3093</v>
      </c>
      <c r="G221" s="115" t="s">
        <v>3093</v>
      </c>
      <c r="H221" s="161">
        <v>100</v>
      </c>
      <c r="I221" s="161">
        <v>12</v>
      </c>
    </row>
    <row r="222" spans="1:9">
      <c r="A222" s="113">
        <v>100300197</v>
      </c>
      <c r="B222" s="113" t="s">
        <v>3299</v>
      </c>
      <c r="C222" s="113">
        <v>7070214</v>
      </c>
      <c r="D222" s="113" t="s">
        <v>3093</v>
      </c>
      <c r="E222" s="113" t="s">
        <v>1620</v>
      </c>
      <c r="F222" s="113" t="s">
        <v>3093</v>
      </c>
      <c r="G222" s="115" t="s">
        <v>3093</v>
      </c>
      <c r="H222" s="161">
        <v>259.89999999999998</v>
      </c>
      <c r="I222" s="161">
        <v>120</v>
      </c>
    </row>
    <row r="223" spans="1:9">
      <c r="A223" s="113">
        <v>100300198</v>
      </c>
      <c r="B223" s="113" t="s">
        <v>3300</v>
      </c>
      <c r="C223" s="113">
        <v>7070215</v>
      </c>
      <c r="D223" s="113" t="s">
        <v>3093</v>
      </c>
      <c r="E223" s="113" t="s">
        <v>1620</v>
      </c>
      <c r="F223" s="113" t="s">
        <v>3093</v>
      </c>
      <c r="G223" s="115" t="s">
        <v>3093</v>
      </c>
      <c r="H223" s="161">
        <v>210</v>
      </c>
      <c r="I223" s="161">
        <v>12</v>
      </c>
    </row>
    <row r="224" spans="1:9">
      <c r="A224" s="113">
        <v>100300199</v>
      </c>
      <c r="B224" s="113" t="s">
        <v>3301</v>
      </c>
      <c r="C224" s="113">
        <v>7070216</v>
      </c>
      <c r="D224" s="113" t="s">
        <v>3093</v>
      </c>
      <c r="E224" s="113" t="s">
        <v>1620</v>
      </c>
      <c r="F224" s="113" t="s">
        <v>3093</v>
      </c>
      <c r="G224" s="115" t="s">
        <v>3093</v>
      </c>
      <c r="H224" s="161">
        <v>0</v>
      </c>
      <c r="I224" s="161" t="s">
        <v>7138</v>
      </c>
    </row>
    <row r="225" spans="1:9">
      <c r="A225" s="113">
        <v>100300200</v>
      </c>
      <c r="B225" s="113" t="s">
        <v>3302</v>
      </c>
      <c r="C225" s="113">
        <v>7070217</v>
      </c>
      <c r="D225" s="113" t="s">
        <v>3093</v>
      </c>
      <c r="E225" s="113" t="s">
        <v>1620</v>
      </c>
      <c r="F225" s="113" t="s">
        <v>3093</v>
      </c>
      <c r="G225" s="115" t="s">
        <v>3093</v>
      </c>
      <c r="H225" s="161">
        <v>95</v>
      </c>
      <c r="I225" s="161" t="s">
        <v>7138</v>
      </c>
    </row>
    <row r="226" spans="1:9">
      <c r="A226" s="113">
        <v>100300201</v>
      </c>
      <c r="B226" s="113" t="s">
        <v>3303</v>
      </c>
      <c r="C226" s="113">
        <v>7071054</v>
      </c>
      <c r="D226" s="113" t="s">
        <v>3093</v>
      </c>
      <c r="E226" s="113" t="s">
        <v>1620</v>
      </c>
      <c r="F226" s="113" t="s">
        <v>3093</v>
      </c>
      <c r="G226" s="115" t="s">
        <v>3093</v>
      </c>
      <c r="H226" s="161">
        <v>96</v>
      </c>
      <c r="I226" s="161">
        <v>16</v>
      </c>
    </row>
    <row r="227" spans="1:9">
      <c r="A227" s="113">
        <v>100300202</v>
      </c>
      <c r="B227" s="113" t="s">
        <v>3304</v>
      </c>
      <c r="C227" s="113">
        <v>7071055</v>
      </c>
      <c r="D227" s="113" t="s">
        <v>3093</v>
      </c>
      <c r="E227" s="113" t="s">
        <v>1620</v>
      </c>
      <c r="F227" s="113" t="s">
        <v>3093</v>
      </c>
      <c r="G227" s="115" t="s">
        <v>3093</v>
      </c>
      <c r="H227" s="161">
        <v>1.5</v>
      </c>
      <c r="I227" s="161">
        <v>24</v>
      </c>
    </row>
    <row r="228" spans="1:9">
      <c r="A228" s="113">
        <v>100300203</v>
      </c>
      <c r="B228" s="113" t="s">
        <v>3305</v>
      </c>
      <c r="C228" s="113">
        <v>7071056</v>
      </c>
      <c r="D228" s="113" t="s">
        <v>3093</v>
      </c>
      <c r="E228" s="113" t="s">
        <v>1620</v>
      </c>
      <c r="F228" s="113" t="s">
        <v>3093</v>
      </c>
      <c r="G228" s="115" t="s">
        <v>3093</v>
      </c>
      <c r="H228" s="161">
        <v>76</v>
      </c>
      <c r="I228" s="161">
        <v>0</v>
      </c>
    </row>
    <row r="229" spans="1:9">
      <c r="A229" s="113">
        <v>100300204</v>
      </c>
      <c r="B229" s="113" t="s">
        <v>3306</v>
      </c>
      <c r="C229" s="113">
        <v>7071057</v>
      </c>
      <c r="D229" s="113" t="s">
        <v>3093</v>
      </c>
      <c r="E229" s="113" t="s">
        <v>1620</v>
      </c>
      <c r="F229" s="113" t="s">
        <v>3093</v>
      </c>
      <c r="G229" s="115" t="s">
        <v>3093</v>
      </c>
      <c r="H229" s="161">
        <v>43</v>
      </c>
      <c r="I229" s="161">
        <v>300</v>
      </c>
    </row>
    <row r="230" spans="1:9">
      <c r="A230" s="113">
        <v>100300205</v>
      </c>
      <c r="B230" s="113" t="s">
        <v>3307</v>
      </c>
      <c r="C230" s="113">
        <v>7071064</v>
      </c>
      <c r="D230" s="113" t="s">
        <v>3093</v>
      </c>
      <c r="E230" s="113" t="s">
        <v>2521</v>
      </c>
      <c r="F230" s="113" t="s">
        <v>3093</v>
      </c>
      <c r="G230" s="115" t="s">
        <v>3093</v>
      </c>
      <c r="H230" s="161">
        <v>0.01</v>
      </c>
      <c r="I230" s="161">
        <v>250000</v>
      </c>
    </row>
    <row r="231" spans="1:9">
      <c r="A231" s="113">
        <v>100300206</v>
      </c>
      <c r="B231" s="113" t="s">
        <v>3308</v>
      </c>
      <c r="C231" s="113">
        <v>7071065</v>
      </c>
      <c r="D231" s="113" t="s">
        <v>3093</v>
      </c>
      <c r="E231" s="113" t="s">
        <v>1620</v>
      </c>
      <c r="F231" s="113" t="s">
        <v>3093</v>
      </c>
      <c r="G231" s="115" t="s">
        <v>3093</v>
      </c>
      <c r="H231" s="161">
        <v>0</v>
      </c>
      <c r="I231" s="161" t="s">
        <v>7138</v>
      </c>
    </row>
    <row r="232" spans="1:9">
      <c r="A232" s="113">
        <v>100300207</v>
      </c>
      <c r="B232" s="113" t="s">
        <v>3309</v>
      </c>
      <c r="C232" s="113">
        <v>7071066</v>
      </c>
      <c r="D232" s="113" t="s">
        <v>3093</v>
      </c>
      <c r="E232" s="113" t="s">
        <v>1620</v>
      </c>
      <c r="F232" s="113" t="s">
        <v>3093</v>
      </c>
      <c r="G232" s="115" t="s">
        <v>3093</v>
      </c>
      <c r="H232" s="161">
        <v>100</v>
      </c>
      <c r="I232" s="161">
        <v>5</v>
      </c>
    </row>
    <row r="233" spans="1:9">
      <c r="A233" s="113">
        <v>100300208</v>
      </c>
      <c r="B233" s="113" t="s">
        <v>3310</v>
      </c>
      <c r="C233" s="113">
        <v>7071067</v>
      </c>
      <c r="D233" s="113" t="s">
        <v>3093</v>
      </c>
      <c r="E233" s="113" t="s">
        <v>1620</v>
      </c>
      <c r="F233" s="113" t="s">
        <v>3093</v>
      </c>
      <c r="G233" s="115" t="s">
        <v>3093</v>
      </c>
      <c r="H233" s="161">
        <v>4.63</v>
      </c>
      <c r="I233" s="161">
        <v>5</v>
      </c>
    </row>
    <row r="234" spans="1:9">
      <c r="A234" s="113">
        <v>100300209</v>
      </c>
      <c r="B234" s="113" t="s">
        <v>3311</v>
      </c>
      <c r="C234" s="113">
        <v>7071069</v>
      </c>
      <c r="D234" s="113" t="s">
        <v>3093</v>
      </c>
      <c r="E234" s="113" t="s">
        <v>1620</v>
      </c>
      <c r="F234" s="113" t="s">
        <v>3093</v>
      </c>
      <c r="G234" s="115" t="s">
        <v>3093</v>
      </c>
      <c r="H234" s="161">
        <v>4.63</v>
      </c>
      <c r="I234" s="161">
        <v>5</v>
      </c>
    </row>
    <row r="235" spans="1:9">
      <c r="A235" s="113">
        <v>100300210</v>
      </c>
      <c r="B235" s="113" t="s">
        <v>3312</v>
      </c>
      <c r="C235" s="113">
        <v>7071072</v>
      </c>
      <c r="D235" s="113" t="s">
        <v>3093</v>
      </c>
      <c r="E235" s="113" t="s">
        <v>1620</v>
      </c>
      <c r="F235" s="113" t="s">
        <v>3093</v>
      </c>
      <c r="G235" s="115" t="s">
        <v>3093</v>
      </c>
      <c r="H235" s="161">
        <v>0</v>
      </c>
      <c r="I235" s="161" t="s">
        <v>7138</v>
      </c>
    </row>
    <row r="236" spans="1:9">
      <c r="A236" s="113">
        <v>100300211</v>
      </c>
      <c r="B236" s="113" t="s">
        <v>3313</v>
      </c>
      <c r="C236" s="113">
        <v>7071074</v>
      </c>
      <c r="D236" s="113" t="s">
        <v>3093</v>
      </c>
      <c r="E236" s="113" t="s">
        <v>1620</v>
      </c>
      <c r="F236" s="113" t="s">
        <v>3093</v>
      </c>
      <c r="G236" s="115" t="s">
        <v>3093</v>
      </c>
      <c r="H236" s="161">
        <v>395</v>
      </c>
      <c r="I236" s="161">
        <v>15</v>
      </c>
    </row>
    <row r="237" spans="1:9">
      <c r="A237" s="113">
        <v>100300212</v>
      </c>
      <c r="B237" s="113" t="s">
        <v>3314</v>
      </c>
      <c r="C237" s="113">
        <v>7071075</v>
      </c>
      <c r="D237" s="113" t="s">
        <v>3093</v>
      </c>
      <c r="E237" s="113" t="s">
        <v>1620</v>
      </c>
      <c r="F237" s="113" t="s">
        <v>3093</v>
      </c>
      <c r="G237" s="115" t="s">
        <v>3093</v>
      </c>
      <c r="H237" s="161">
        <v>905</v>
      </c>
      <c r="I237" s="161">
        <v>5</v>
      </c>
    </row>
    <row r="238" spans="1:9">
      <c r="A238" s="113">
        <v>100300213</v>
      </c>
      <c r="B238" s="113" t="s">
        <v>3315</v>
      </c>
      <c r="C238" s="113">
        <v>7071076</v>
      </c>
      <c r="D238" s="113" t="s">
        <v>3093</v>
      </c>
      <c r="E238" s="113" t="s">
        <v>1620</v>
      </c>
      <c r="F238" s="113" t="s">
        <v>3093</v>
      </c>
      <c r="G238" s="115" t="s">
        <v>3093</v>
      </c>
      <c r="H238" s="161">
        <v>395</v>
      </c>
      <c r="I238" s="161">
        <v>10</v>
      </c>
    </row>
    <row r="239" spans="1:9">
      <c r="A239" s="113">
        <v>100300214</v>
      </c>
      <c r="B239" s="113" t="s">
        <v>3316</v>
      </c>
      <c r="C239" s="113">
        <v>7071077</v>
      </c>
      <c r="D239" s="113" t="s">
        <v>3093</v>
      </c>
      <c r="E239" s="113" t="s">
        <v>1620</v>
      </c>
      <c r="F239" s="113" t="s">
        <v>3093</v>
      </c>
      <c r="G239" s="115" t="s">
        <v>3093</v>
      </c>
      <c r="H239" s="161">
        <v>905</v>
      </c>
      <c r="I239" s="161">
        <v>10</v>
      </c>
    </row>
    <row r="240" spans="1:9">
      <c r="A240" s="113">
        <v>100300215</v>
      </c>
      <c r="B240" s="113" t="s">
        <v>3317</v>
      </c>
      <c r="C240" s="113">
        <v>7071078</v>
      </c>
      <c r="D240" s="113" t="s">
        <v>3093</v>
      </c>
      <c r="E240" s="113" t="s">
        <v>1620</v>
      </c>
      <c r="F240" s="113" t="s">
        <v>3093</v>
      </c>
      <c r="G240" s="115" t="s">
        <v>3093</v>
      </c>
      <c r="H240" s="161">
        <v>395</v>
      </c>
      <c r="I240" s="161">
        <v>10</v>
      </c>
    </row>
    <row r="241" spans="1:9">
      <c r="A241" s="113">
        <v>100300216</v>
      </c>
      <c r="B241" s="113" t="s">
        <v>3318</v>
      </c>
      <c r="C241" s="113">
        <v>7071079</v>
      </c>
      <c r="D241" s="113" t="s">
        <v>3093</v>
      </c>
      <c r="E241" s="113" t="s">
        <v>1620</v>
      </c>
      <c r="F241" s="113" t="s">
        <v>3093</v>
      </c>
      <c r="G241" s="115" t="s">
        <v>3093</v>
      </c>
      <c r="H241" s="161">
        <v>905</v>
      </c>
      <c r="I241" s="161">
        <v>9</v>
      </c>
    </row>
    <row r="242" spans="1:9">
      <c r="A242" s="113">
        <v>100300217</v>
      </c>
      <c r="B242" s="113" t="s">
        <v>3319</v>
      </c>
      <c r="C242" s="113">
        <v>7071083</v>
      </c>
      <c r="D242" s="113" t="s">
        <v>3093</v>
      </c>
      <c r="E242" s="113" t="s">
        <v>1620</v>
      </c>
      <c r="F242" s="113" t="s">
        <v>3093</v>
      </c>
      <c r="G242" s="115" t="s">
        <v>3093</v>
      </c>
      <c r="H242" s="161">
        <v>0</v>
      </c>
      <c r="I242" s="161" t="s">
        <v>7138</v>
      </c>
    </row>
    <row r="243" spans="1:9">
      <c r="A243" s="113">
        <v>100300218</v>
      </c>
      <c r="B243" s="113" t="s">
        <v>3320</v>
      </c>
      <c r="C243" s="113">
        <v>7071086</v>
      </c>
      <c r="D243" s="113" t="s">
        <v>3093</v>
      </c>
      <c r="E243" s="113" t="s">
        <v>1620</v>
      </c>
      <c r="F243" s="113" t="s">
        <v>3093</v>
      </c>
      <c r="G243" s="115" t="s">
        <v>3093</v>
      </c>
      <c r="H243" s="161">
        <v>12.9</v>
      </c>
      <c r="I243" s="161">
        <v>20</v>
      </c>
    </row>
    <row r="244" spans="1:9">
      <c r="A244" s="113">
        <v>100300219</v>
      </c>
      <c r="B244" s="113" t="s">
        <v>3321</v>
      </c>
      <c r="C244" s="113">
        <v>7071087</v>
      </c>
      <c r="D244" s="113" t="s">
        <v>3093</v>
      </c>
      <c r="E244" s="113" t="s">
        <v>1620</v>
      </c>
      <c r="F244" s="113" t="s">
        <v>3093</v>
      </c>
      <c r="G244" s="115" t="s">
        <v>3093</v>
      </c>
      <c r="H244" s="161">
        <v>16</v>
      </c>
      <c r="I244" s="161">
        <v>125</v>
      </c>
    </row>
    <row r="245" spans="1:9">
      <c r="A245" s="113">
        <v>100300220</v>
      </c>
      <c r="B245" s="113" t="s">
        <v>3322</v>
      </c>
      <c r="C245" s="113">
        <v>7071088</v>
      </c>
      <c r="D245" s="113" t="s">
        <v>3093</v>
      </c>
      <c r="E245" s="113" t="s">
        <v>1620</v>
      </c>
      <c r="F245" s="113" t="s">
        <v>3093</v>
      </c>
      <c r="G245" s="115" t="s">
        <v>3093</v>
      </c>
      <c r="H245" s="161">
        <v>15</v>
      </c>
      <c r="I245" s="161">
        <v>1000</v>
      </c>
    </row>
    <row r="246" spans="1:9">
      <c r="A246" s="113">
        <v>100300221</v>
      </c>
      <c r="B246" s="113" t="s">
        <v>2678</v>
      </c>
      <c r="C246" s="113">
        <v>7071089</v>
      </c>
      <c r="D246" s="113" t="s">
        <v>3093</v>
      </c>
      <c r="E246" s="113" t="s">
        <v>1620</v>
      </c>
      <c r="F246" s="113" t="s">
        <v>3093</v>
      </c>
      <c r="G246" s="115" t="s">
        <v>3093</v>
      </c>
      <c r="H246" s="161">
        <v>0</v>
      </c>
      <c r="I246" s="161" t="s">
        <v>7138</v>
      </c>
    </row>
    <row r="247" spans="1:9">
      <c r="A247" s="113">
        <v>100300222</v>
      </c>
      <c r="B247" s="113" t="s">
        <v>2679</v>
      </c>
      <c r="C247" s="113">
        <v>7071090</v>
      </c>
      <c r="D247" s="113" t="s">
        <v>3093</v>
      </c>
      <c r="E247" s="113" t="s">
        <v>1620</v>
      </c>
      <c r="F247" s="113" t="s">
        <v>3093</v>
      </c>
      <c r="G247" s="115" t="s">
        <v>3093</v>
      </c>
      <c r="H247" s="161">
        <v>0</v>
      </c>
      <c r="I247" s="161" t="s">
        <v>7138</v>
      </c>
    </row>
    <row r="248" spans="1:9">
      <c r="A248" s="113">
        <v>100300223</v>
      </c>
      <c r="B248" s="113" t="s">
        <v>3323</v>
      </c>
      <c r="C248" s="113">
        <v>7071091</v>
      </c>
      <c r="D248" s="113" t="s">
        <v>3093</v>
      </c>
      <c r="E248" s="113" t="s">
        <v>1620</v>
      </c>
      <c r="F248" s="113" t="s">
        <v>3093</v>
      </c>
      <c r="G248" s="115" t="s">
        <v>3093</v>
      </c>
      <c r="H248" s="161">
        <v>25.67</v>
      </c>
      <c r="I248" s="161">
        <v>24</v>
      </c>
    </row>
    <row r="249" spans="1:9">
      <c r="A249" s="113">
        <v>100300224</v>
      </c>
      <c r="B249" s="113" t="s">
        <v>3324</v>
      </c>
      <c r="C249" s="113">
        <v>7071092</v>
      </c>
      <c r="D249" s="113" t="s">
        <v>3093</v>
      </c>
      <c r="E249" s="113" t="s">
        <v>1620</v>
      </c>
      <c r="F249" s="113" t="s">
        <v>3093</v>
      </c>
      <c r="G249" s="115" t="s">
        <v>3093</v>
      </c>
      <c r="H249" s="161">
        <v>25.67</v>
      </c>
      <c r="I249" s="161">
        <v>100</v>
      </c>
    </row>
    <row r="250" spans="1:9">
      <c r="A250" s="113">
        <v>100300225</v>
      </c>
      <c r="B250" s="113" t="s">
        <v>3325</v>
      </c>
      <c r="C250" s="113">
        <v>7071093</v>
      </c>
      <c r="D250" s="113" t="s">
        <v>3093</v>
      </c>
      <c r="E250" s="113" t="s">
        <v>1620</v>
      </c>
      <c r="F250" s="113" t="s">
        <v>3093</v>
      </c>
      <c r="G250" s="115" t="s">
        <v>3093</v>
      </c>
      <c r="H250" s="161">
        <v>25.67</v>
      </c>
      <c r="I250" s="161">
        <v>175</v>
      </c>
    </row>
    <row r="251" spans="1:9">
      <c r="A251" s="113">
        <v>100300226</v>
      </c>
      <c r="B251" s="113" t="s">
        <v>3326</v>
      </c>
      <c r="C251" s="113">
        <v>7071094</v>
      </c>
      <c r="D251" s="113" t="s">
        <v>3093</v>
      </c>
      <c r="E251" s="113" t="s">
        <v>1620</v>
      </c>
      <c r="F251" s="113" t="s">
        <v>3093</v>
      </c>
      <c r="G251" s="115" t="s">
        <v>3093</v>
      </c>
      <c r="H251" s="161">
        <v>25.67</v>
      </c>
      <c r="I251" s="161">
        <v>337</v>
      </c>
    </row>
    <row r="252" spans="1:9">
      <c r="A252" s="113">
        <v>100300227</v>
      </c>
      <c r="B252" s="113" t="s">
        <v>3327</v>
      </c>
      <c r="C252" s="113">
        <v>7071095</v>
      </c>
      <c r="D252" s="113" t="s">
        <v>3093</v>
      </c>
      <c r="E252" s="113" t="s">
        <v>1620</v>
      </c>
      <c r="F252" s="113" t="s">
        <v>3093</v>
      </c>
      <c r="G252" s="115" t="s">
        <v>3093</v>
      </c>
      <c r="H252" s="161">
        <v>150</v>
      </c>
      <c r="I252" s="161">
        <v>23</v>
      </c>
    </row>
    <row r="253" spans="1:9">
      <c r="A253" s="113">
        <v>100300228</v>
      </c>
      <c r="B253" s="113" t="s">
        <v>3328</v>
      </c>
      <c r="C253" s="113">
        <v>7071096</v>
      </c>
      <c r="D253" s="113" t="s">
        <v>3093</v>
      </c>
      <c r="E253" s="113" t="s">
        <v>1620</v>
      </c>
      <c r="F253" s="113" t="s">
        <v>3093</v>
      </c>
      <c r="G253" s="115" t="s">
        <v>3093</v>
      </c>
      <c r="H253" s="161">
        <v>145</v>
      </c>
      <c r="I253" s="161">
        <v>18</v>
      </c>
    </row>
    <row r="254" spans="1:9">
      <c r="A254" s="113">
        <v>100300229</v>
      </c>
      <c r="B254" s="113" t="s">
        <v>3329</v>
      </c>
      <c r="C254" s="113">
        <v>7071097</v>
      </c>
      <c r="D254" s="113" t="s">
        <v>3093</v>
      </c>
      <c r="E254" s="113" t="s">
        <v>1620</v>
      </c>
      <c r="F254" s="113" t="s">
        <v>3093</v>
      </c>
      <c r="G254" s="115" t="s">
        <v>3093</v>
      </c>
      <c r="H254" s="161">
        <v>150</v>
      </c>
      <c r="I254" s="161">
        <v>30</v>
      </c>
    </row>
    <row r="255" spans="1:9">
      <c r="A255" s="113">
        <v>100300230</v>
      </c>
      <c r="B255" s="113" t="s">
        <v>3330</v>
      </c>
      <c r="C255" s="113">
        <v>7071099</v>
      </c>
      <c r="D255" s="113" t="s">
        <v>3093</v>
      </c>
      <c r="E255" s="113" t="s">
        <v>1620</v>
      </c>
      <c r="F255" s="113" t="s">
        <v>3093</v>
      </c>
      <c r="G255" s="115" t="s">
        <v>3093</v>
      </c>
      <c r="H255" s="161">
        <v>1.5</v>
      </c>
      <c r="I255" s="161">
        <v>72</v>
      </c>
    </row>
    <row r="256" spans="1:9">
      <c r="A256" s="113">
        <v>100300231</v>
      </c>
      <c r="B256" s="113" t="s">
        <v>3331</v>
      </c>
      <c r="C256" s="113">
        <v>7071100</v>
      </c>
      <c r="D256" s="113" t="s">
        <v>3093</v>
      </c>
      <c r="E256" s="113" t="s">
        <v>1620</v>
      </c>
      <c r="F256" s="113" t="s">
        <v>3093</v>
      </c>
      <c r="G256" s="115" t="s">
        <v>3093</v>
      </c>
      <c r="H256" s="161">
        <v>0.99</v>
      </c>
      <c r="I256" s="161">
        <v>0</v>
      </c>
    </row>
    <row r="257" spans="1:9">
      <c r="A257" s="113">
        <v>100300232</v>
      </c>
      <c r="B257" s="113" t="s">
        <v>3332</v>
      </c>
      <c r="C257" s="113">
        <v>7071101</v>
      </c>
      <c r="D257" s="113" t="s">
        <v>3093</v>
      </c>
      <c r="E257" s="113" t="s">
        <v>1620</v>
      </c>
      <c r="F257" s="113" t="s">
        <v>3093</v>
      </c>
      <c r="G257" s="115" t="s">
        <v>3093</v>
      </c>
      <c r="H257" s="161">
        <v>0.99</v>
      </c>
      <c r="I257" s="161">
        <v>0</v>
      </c>
    </row>
    <row r="258" spans="1:9">
      <c r="A258" s="113">
        <v>100300233</v>
      </c>
      <c r="B258" s="113" t="s">
        <v>3333</v>
      </c>
      <c r="C258" s="113">
        <v>7071102</v>
      </c>
      <c r="D258" s="113" t="s">
        <v>3093</v>
      </c>
      <c r="E258" s="113" t="s">
        <v>1620</v>
      </c>
      <c r="F258" s="113" t="s">
        <v>3093</v>
      </c>
      <c r="G258" s="115" t="s">
        <v>3093</v>
      </c>
      <c r="H258" s="161">
        <v>1.5</v>
      </c>
      <c r="I258" s="161">
        <v>48</v>
      </c>
    </row>
    <row r="259" spans="1:9">
      <c r="A259" s="113">
        <v>100300234</v>
      </c>
      <c r="B259" s="113" t="s">
        <v>3334</v>
      </c>
      <c r="C259" s="113">
        <v>7071103</v>
      </c>
      <c r="D259" s="113" t="s">
        <v>3093</v>
      </c>
      <c r="E259" s="113" t="s">
        <v>1620</v>
      </c>
      <c r="F259" s="113" t="s">
        <v>3093</v>
      </c>
      <c r="G259" s="115" t="s">
        <v>3093</v>
      </c>
      <c r="H259" s="161">
        <v>1.25</v>
      </c>
      <c r="I259" s="161">
        <v>18</v>
      </c>
    </row>
    <row r="260" spans="1:9">
      <c r="A260" s="113">
        <v>100300235</v>
      </c>
      <c r="B260" s="113" t="s">
        <v>3335</v>
      </c>
      <c r="C260" s="113">
        <v>7071104</v>
      </c>
      <c r="D260" s="113" t="s">
        <v>3093</v>
      </c>
      <c r="E260" s="113" t="s">
        <v>1620</v>
      </c>
      <c r="F260" s="113" t="s">
        <v>3093</v>
      </c>
      <c r="G260" s="115" t="s">
        <v>3093</v>
      </c>
      <c r="H260" s="161">
        <v>1.25</v>
      </c>
      <c r="I260" s="161">
        <v>12</v>
      </c>
    </row>
    <row r="261" spans="1:9">
      <c r="A261" s="113">
        <v>100300236</v>
      </c>
      <c r="B261" s="113" t="s">
        <v>3336</v>
      </c>
      <c r="C261" s="113">
        <v>7071105</v>
      </c>
      <c r="D261" s="113" t="s">
        <v>3093</v>
      </c>
      <c r="E261" s="113" t="s">
        <v>1620</v>
      </c>
      <c r="F261" s="113" t="s">
        <v>3093</v>
      </c>
      <c r="G261" s="115" t="s">
        <v>3093</v>
      </c>
      <c r="H261" s="161">
        <v>1.25</v>
      </c>
      <c r="I261" s="161">
        <v>12</v>
      </c>
    </row>
    <row r="262" spans="1:9">
      <c r="A262" s="113">
        <v>100300237</v>
      </c>
      <c r="B262" s="113" t="s">
        <v>3337</v>
      </c>
      <c r="C262" s="113">
        <v>7071106</v>
      </c>
      <c r="D262" s="113" t="s">
        <v>3093</v>
      </c>
      <c r="E262" s="113" t="s">
        <v>1620</v>
      </c>
      <c r="F262" s="113" t="s">
        <v>3093</v>
      </c>
      <c r="G262" s="115" t="s">
        <v>3093</v>
      </c>
      <c r="H262" s="161">
        <v>1.5</v>
      </c>
      <c r="I262" s="161">
        <v>24</v>
      </c>
    </row>
    <row r="263" spans="1:9">
      <c r="A263" s="113">
        <v>100300238</v>
      </c>
      <c r="B263" s="113" t="s">
        <v>3338</v>
      </c>
      <c r="C263" s="113">
        <v>7071107</v>
      </c>
      <c r="D263" s="113" t="s">
        <v>3093</v>
      </c>
      <c r="E263" s="113" t="s">
        <v>1620</v>
      </c>
      <c r="F263" s="113" t="s">
        <v>3093</v>
      </c>
      <c r="G263" s="115" t="s">
        <v>3093</v>
      </c>
      <c r="H263" s="161">
        <v>1.5</v>
      </c>
      <c r="I263" s="161">
        <v>0</v>
      </c>
    </row>
    <row r="264" spans="1:9">
      <c r="A264" s="113">
        <v>100300239</v>
      </c>
      <c r="B264" s="113" t="s">
        <v>3339</v>
      </c>
      <c r="C264" s="113">
        <v>7071108</v>
      </c>
      <c r="D264" s="113" t="s">
        <v>3093</v>
      </c>
      <c r="E264" s="113" t="s">
        <v>1620</v>
      </c>
      <c r="F264" s="113" t="s">
        <v>3093</v>
      </c>
      <c r="G264" s="115" t="s">
        <v>3093</v>
      </c>
      <c r="H264" s="161">
        <v>0.9</v>
      </c>
      <c r="I264" s="161">
        <v>10</v>
      </c>
    </row>
    <row r="265" spans="1:9">
      <c r="A265" s="113">
        <v>100300240</v>
      </c>
      <c r="B265" s="113" t="s">
        <v>3340</v>
      </c>
      <c r="C265" s="113">
        <v>7071109</v>
      </c>
      <c r="D265" s="113" t="s">
        <v>3093</v>
      </c>
      <c r="E265" s="113" t="s">
        <v>1620</v>
      </c>
      <c r="F265" s="113" t="s">
        <v>3093</v>
      </c>
      <c r="G265" s="115" t="s">
        <v>3093</v>
      </c>
      <c r="H265" s="161">
        <v>5.5</v>
      </c>
      <c r="I265" s="161">
        <v>10</v>
      </c>
    </row>
    <row r="266" spans="1:9">
      <c r="A266" s="113">
        <v>100300241</v>
      </c>
      <c r="B266" s="113" t="s">
        <v>3341</v>
      </c>
      <c r="C266" s="113">
        <v>7071110</v>
      </c>
      <c r="D266" s="113" t="s">
        <v>3093</v>
      </c>
      <c r="E266" s="113" t="s">
        <v>1620</v>
      </c>
      <c r="F266" s="113" t="s">
        <v>3093</v>
      </c>
      <c r="G266" s="115" t="s">
        <v>3093</v>
      </c>
      <c r="H266" s="161">
        <v>2.25</v>
      </c>
      <c r="I266" s="161">
        <v>10</v>
      </c>
    </row>
    <row r="267" spans="1:9">
      <c r="A267" s="113">
        <v>100300242</v>
      </c>
      <c r="B267" s="113" t="s">
        <v>3342</v>
      </c>
      <c r="C267" s="113">
        <v>7071111</v>
      </c>
      <c r="D267" s="113" t="s">
        <v>3093</v>
      </c>
      <c r="E267" s="113" t="s">
        <v>1620</v>
      </c>
      <c r="F267" s="113" t="s">
        <v>3093</v>
      </c>
      <c r="G267" s="115" t="s">
        <v>3093</v>
      </c>
      <c r="H267" s="161">
        <v>2.5</v>
      </c>
      <c r="I267" s="161">
        <v>50</v>
      </c>
    </row>
    <row r="268" spans="1:9">
      <c r="A268" s="113">
        <v>100300243</v>
      </c>
      <c r="B268" s="113" t="s">
        <v>3343</v>
      </c>
      <c r="C268" s="113">
        <v>7071112</v>
      </c>
      <c r="D268" s="113" t="s">
        <v>3093</v>
      </c>
      <c r="E268" s="113" t="s">
        <v>1620</v>
      </c>
      <c r="F268" s="113" t="s">
        <v>3093</v>
      </c>
      <c r="G268" s="115" t="s">
        <v>3093</v>
      </c>
      <c r="H268" s="161">
        <v>0.9</v>
      </c>
      <c r="I268" s="161">
        <v>50</v>
      </c>
    </row>
    <row r="269" spans="1:9">
      <c r="A269" s="113">
        <v>100300244</v>
      </c>
      <c r="B269" s="113" t="s">
        <v>3344</v>
      </c>
      <c r="C269" s="113">
        <v>7071113</v>
      </c>
      <c r="D269" s="113" t="s">
        <v>3093</v>
      </c>
      <c r="E269" s="113" t="s">
        <v>1620</v>
      </c>
      <c r="F269" s="113" t="s">
        <v>3093</v>
      </c>
      <c r="G269" s="115" t="s">
        <v>3093</v>
      </c>
      <c r="H269" s="161">
        <v>3</v>
      </c>
      <c r="I269" s="161">
        <v>312</v>
      </c>
    </row>
    <row r="270" spans="1:9">
      <c r="A270" s="113">
        <v>100300245</v>
      </c>
      <c r="B270" s="113" t="s">
        <v>3345</v>
      </c>
      <c r="C270" s="113">
        <v>7071118</v>
      </c>
      <c r="D270" s="113" t="s">
        <v>3093</v>
      </c>
      <c r="E270" s="113" t="s">
        <v>1620</v>
      </c>
      <c r="F270" s="113" t="s">
        <v>3093</v>
      </c>
      <c r="G270" s="115" t="s">
        <v>3093</v>
      </c>
      <c r="H270" s="161">
        <v>0</v>
      </c>
      <c r="I270" s="161" t="s">
        <v>7138</v>
      </c>
    </row>
    <row r="271" spans="1:9">
      <c r="A271" s="113">
        <v>100300246</v>
      </c>
      <c r="B271" s="113" t="s">
        <v>3346</v>
      </c>
      <c r="C271" s="113">
        <v>7071119</v>
      </c>
      <c r="D271" s="113" t="s">
        <v>3093</v>
      </c>
      <c r="E271" s="113" t="s">
        <v>1620</v>
      </c>
      <c r="F271" s="113" t="s">
        <v>3093</v>
      </c>
      <c r="G271" s="115" t="s">
        <v>3093</v>
      </c>
      <c r="H271" s="161">
        <v>25.65</v>
      </c>
      <c r="I271" s="161">
        <v>26</v>
      </c>
    </row>
    <row r="272" spans="1:9">
      <c r="A272" s="113">
        <v>100300247</v>
      </c>
      <c r="B272" s="113" t="s">
        <v>3347</v>
      </c>
      <c r="C272" s="113">
        <v>7071120</v>
      </c>
      <c r="D272" s="113" t="s">
        <v>3093</v>
      </c>
      <c r="E272" s="113" t="s">
        <v>1620</v>
      </c>
      <c r="F272" s="113" t="s">
        <v>3093</v>
      </c>
      <c r="G272" s="115" t="s">
        <v>3093</v>
      </c>
      <c r="H272" s="161">
        <v>98.56</v>
      </c>
      <c r="I272" s="161">
        <v>12</v>
      </c>
    </row>
    <row r="273" spans="1:9">
      <c r="A273" s="113">
        <v>100300248</v>
      </c>
      <c r="B273" s="113" t="s">
        <v>3348</v>
      </c>
      <c r="C273" s="113">
        <v>7071121</v>
      </c>
      <c r="D273" s="113" t="s">
        <v>3093</v>
      </c>
      <c r="E273" s="113" t="s">
        <v>1620</v>
      </c>
      <c r="F273" s="113" t="s">
        <v>3093</v>
      </c>
      <c r="G273" s="115" t="s">
        <v>3093</v>
      </c>
      <c r="H273" s="161">
        <v>119</v>
      </c>
      <c r="I273" s="161">
        <v>15</v>
      </c>
    </row>
    <row r="274" spans="1:9">
      <c r="A274" s="113">
        <v>100300249</v>
      </c>
      <c r="B274" s="113" t="s">
        <v>3349</v>
      </c>
      <c r="C274" s="113">
        <v>7071122</v>
      </c>
      <c r="D274" s="113" t="s">
        <v>3093</v>
      </c>
      <c r="E274" s="113" t="s">
        <v>1620</v>
      </c>
      <c r="F274" s="113" t="s">
        <v>3093</v>
      </c>
      <c r="G274" s="115" t="s">
        <v>3093</v>
      </c>
      <c r="H274" s="161">
        <v>105</v>
      </c>
      <c r="I274" s="161">
        <v>0</v>
      </c>
    </row>
    <row r="275" spans="1:9">
      <c r="A275" s="113">
        <v>100300250</v>
      </c>
      <c r="B275" s="113" t="s">
        <v>3350</v>
      </c>
      <c r="C275" s="113">
        <v>7071123</v>
      </c>
      <c r="D275" s="113" t="s">
        <v>3093</v>
      </c>
      <c r="E275" s="113" t="s">
        <v>1620</v>
      </c>
      <c r="F275" s="113" t="s">
        <v>3093</v>
      </c>
      <c r="G275" s="115" t="s">
        <v>3093</v>
      </c>
      <c r="H275" s="161">
        <v>98.56</v>
      </c>
      <c r="I275" s="161">
        <v>12</v>
      </c>
    </row>
    <row r="276" spans="1:9">
      <c r="A276" s="113">
        <v>100300251</v>
      </c>
      <c r="B276" s="113" t="s">
        <v>3351</v>
      </c>
      <c r="C276" s="113">
        <v>7071124</v>
      </c>
      <c r="D276" s="113" t="s">
        <v>3093</v>
      </c>
      <c r="E276" s="113" t="s">
        <v>1620</v>
      </c>
      <c r="F276" s="113" t="s">
        <v>3093</v>
      </c>
      <c r="G276" s="115" t="s">
        <v>3093</v>
      </c>
      <c r="H276" s="161">
        <v>119</v>
      </c>
      <c r="I276" s="161" t="s">
        <v>7138</v>
      </c>
    </row>
    <row r="277" spans="1:9">
      <c r="A277" s="113">
        <v>100300252</v>
      </c>
      <c r="B277" s="113" t="s">
        <v>3352</v>
      </c>
      <c r="C277" s="113">
        <v>7071125</v>
      </c>
      <c r="D277" s="113" t="s">
        <v>3093</v>
      </c>
      <c r="E277" s="113" t="s">
        <v>1620</v>
      </c>
      <c r="F277" s="113" t="s">
        <v>3093</v>
      </c>
      <c r="G277" s="115" t="s">
        <v>3093</v>
      </c>
      <c r="H277" s="161">
        <v>105</v>
      </c>
      <c r="I277" s="161">
        <v>0</v>
      </c>
    </row>
    <row r="278" spans="1:9">
      <c r="A278" s="113">
        <v>100300253</v>
      </c>
      <c r="B278" s="113" t="s">
        <v>3353</v>
      </c>
      <c r="C278" s="113">
        <v>7071126</v>
      </c>
      <c r="D278" s="113" t="s">
        <v>3093</v>
      </c>
      <c r="E278" s="113" t="s">
        <v>1620</v>
      </c>
      <c r="F278" s="113" t="s">
        <v>3093</v>
      </c>
      <c r="G278" s="115" t="s">
        <v>3093</v>
      </c>
      <c r="H278" s="161">
        <v>96</v>
      </c>
      <c r="I278" s="161">
        <v>12</v>
      </c>
    </row>
    <row r="279" spans="1:9">
      <c r="A279" s="113">
        <v>100300254</v>
      </c>
      <c r="B279" s="113" t="s">
        <v>3354</v>
      </c>
      <c r="C279" s="113">
        <v>7071129</v>
      </c>
      <c r="D279" s="113" t="s">
        <v>3093</v>
      </c>
      <c r="E279" s="113" t="s">
        <v>1620</v>
      </c>
      <c r="F279" s="113" t="s">
        <v>3093</v>
      </c>
      <c r="G279" s="115" t="s">
        <v>3093</v>
      </c>
      <c r="H279" s="161">
        <v>473</v>
      </c>
      <c r="I279" s="161">
        <v>6</v>
      </c>
    </row>
    <row r="280" spans="1:9">
      <c r="A280" s="113">
        <v>100300255</v>
      </c>
      <c r="B280" s="113" t="s">
        <v>3355</v>
      </c>
      <c r="C280" s="113">
        <v>7071131</v>
      </c>
      <c r="D280" s="113" t="s">
        <v>3093</v>
      </c>
      <c r="E280" s="113" t="s">
        <v>1620</v>
      </c>
      <c r="F280" s="113" t="s">
        <v>3093</v>
      </c>
      <c r="G280" s="115" t="s">
        <v>3093</v>
      </c>
      <c r="H280" s="161">
        <v>25</v>
      </c>
      <c r="I280" s="161">
        <v>30</v>
      </c>
    </row>
    <row r="281" spans="1:9">
      <c r="A281" s="113">
        <v>100300256</v>
      </c>
      <c r="B281" s="113" t="s">
        <v>3356</v>
      </c>
      <c r="C281" s="113">
        <v>7071132</v>
      </c>
      <c r="D281" s="113" t="s">
        <v>3093</v>
      </c>
      <c r="E281" s="113" t="s">
        <v>1620</v>
      </c>
      <c r="F281" s="113" t="s">
        <v>3093</v>
      </c>
      <c r="G281" s="115" t="s">
        <v>3093</v>
      </c>
      <c r="H281" s="161">
        <v>88</v>
      </c>
      <c r="I281" s="161">
        <v>30</v>
      </c>
    </row>
    <row r="282" spans="1:9">
      <c r="A282" s="113">
        <v>100300257</v>
      </c>
      <c r="B282" s="113" t="s">
        <v>3357</v>
      </c>
      <c r="C282" s="113">
        <v>7071133</v>
      </c>
      <c r="D282" s="113" t="s">
        <v>3093</v>
      </c>
      <c r="E282" s="113" t="s">
        <v>1620</v>
      </c>
      <c r="F282" s="113" t="s">
        <v>3093</v>
      </c>
      <c r="G282" s="115" t="s">
        <v>3093</v>
      </c>
      <c r="H282" s="161">
        <v>300.8</v>
      </c>
      <c r="I282" s="161">
        <v>0</v>
      </c>
    </row>
    <row r="283" spans="1:9">
      <c r="A283" s="113">
        <v>100300258</v>
      </c>
      <c r="B283" s="113" t="s">
        <v>3358</v>
      </c>
      <c r="C283" s="113">
        <v>7071134</v>
      </c>
      <c r="D283" s="113" t="s">
        <v>3093</v>
      </c>
      <c r="E283" s="113" t="s">
        <v>1620</v>
      </c>
      <c r="F283" s="113" t="s">
        <v>3093</v>
      </c>
      <c r="G283" s="115" t="s">
        <v>3093</v>
      </c>
      <c r="H283" s="161">
        <v>395</v>
      </c>
      <c r="I283" s="161">
        <v>0</v>
      </c>
    </row>
    <row r="284" spans="1:9">
      <c r="A284" s="113">
        <v>100300259</v>
      </c>
      <c r="B284" s="113" t="s">
        <v>3359</v>
      </c>
      <c r="C284" s="113">
        <v>7071135</v>
      </c>
      <c r="D284" s="113" t="s">
        <v>3093</v>
      </c>
      <c r="E284" s="113" t="s">
        <v>1620</v>
      </c>
      <c r="F284" s="113" t="s">
        <v>3093</v>
      </c>
      <c r="G284" s="115" t="s">
        <v>3093</v>
      </c>
      <c r="H284" s="161">
        <v>395</v>
      </c>
      <c r="I284" s="161">
        <v>0</v>
      </c>
    </row>
    <row r="285" spans="1:9">
      <c r="A285" s="113">
        <v>100300260</v>
      </c>
      <c r="B285" s="113" t="s">
        <v>3360</v>
      </c>
      <c r="C285" s="113">
        <v>7071136</v>
      </c>
      <c r="D285" s="113" t="s">
        <v>3093</v>
      </c>
      <c r="E285" s="113" t="s">
        <v>1620</v>
      </c>
      <c r="F285" s="113" t="s">
        <v>3093</v>
      </c>
      <c r="G285" s="115" t="s">
        <v>3093</v>
      </c>
      <c r="H285" s="161">
        <v>395</v>
      </c>
      <c r="I285" s="161">
        <v>0</v>
      </c>
    </row>
    <row r="286" spans="1:9">
      <c r="A286" s="113">
        <v>100300261</v>
      </c>
      <c r="B286" s="113" t="s">
        <v>3361</v>
      </c>
      <c r="C286" s="113">
        <v>7071137</v>
      </c>
      <c r="D286" s="113" t="s">
        <v>3093</v>
      </c>
      <c r="E286" s="113" t="s">
        <v>1620</v>
      </c>
      <c r="F286" s="113" t="s">
        <v>3093</v>
      </c>
      <c r="G286" s="115" t="s">
        <v>3093</v>
      </c>
      <c r="H286" s="161">
        <v>6.79</v>
      </c>
      <c r="I286" s="161">
        <v>150</v>
      </c>
    </row>
    <row r="287" spans="1:9">
      <c r="A287" s="113">
        <v>100300262</v>
      </c>
      <c r="B287" s="113" t="s">
        <v>3362</v>
      </c>
      <c r="C287" s="113">
        <v>7072013</v>
      </c>
      <c r="D287" s="113" t="s">
        <v>3093</v>
      </c>
      <c r="E287" s="113" t="s">
        <v>1620</v>
      </c>
      <c r="F287" s="113" t="s">
        <v>3093</v>
      </c>
      <c r="G287" s="115" t="s">
        <v>3093</v>
      </c>
      <c r="H287" s="161">
        <v>0</v>
      </c>
      <c r="I287" s="161" t="s">
        <v>7138</v>
      </c>
    </row>
    <row r="288" spans="1:9">
      <c r="A288" s="113">
        <v>100300263</v>
      </c>
      <c r="B288" s="113" t="s">
        <v>3363</v>
      </c>
      <c r="C288" s="113">
        <v>7074019</v>
      </c>
      <c r="D288" s="113" t="s">
        <v>3093</v>
      </c>
      <c r="E288" s="113" t="s">
        <v>1620</v>
      </c>
      <c r="F288" s="113" t="s">
        <v>3093</v>
      </c>
      <c r="G288" s="115" t="s">
        <v>3093</v>
      </c>
      <c r="H288" s="161">
        <v>48</v>
      </c>
      <c r="I288" s="161">
        <v>500</v>
      </c>
    </row>
    <row r="289" spans="1:9">
      <c r="A289" s="113">
        <v>100300264</v>
      </c>
      <c r="B289" s="113" t="s">
        <v>3364</v>
      </c>
      <c r="C289" s="113">
        <v>7074023</v>
      </c>
      <c r="D289" s="113" t="s">
        <v>3093</v>
      </c>
      <c r="E289" s="113" t="s">
        <v>1620</v>
      </c>
      <c r="F289" s="113" t="s">
        <v>3093</v>
      </c>
      <c r="G289" s="115" t="s">
        <v>3093</v>
      </c>
      <c r="H289" s="161">
        <v>206.5</v>
      </c>
      <c r="I289" s="161">
        <v>0</v>
      </c>
    </row>
    <row r="290" spans="1:9">
      <c r="A290" s="113">
        <v>100300265</v>
      </c>
      <c r="B290" s="113" t="s">
        <v>3365</v>
      </c>
      <c r="C290" s="113">
        <v>7074024</v>
      </c>
      <c r="D290" s="113" t="s">
        <v>3093</v>
      </c>
      <c r="E290" s="113" t="s">
        <v>1620</v>
      </c>
      <c r="F290" s="113" t="s">
        <v>3093</v>
      </c>
      <c r="G290" s="115" t="s">
        <v>3093</v>
      </c>
      <c r="H290" s="161">
        <v>206.5</v>
      </c>
      <c r="I290" s="161">
        <v>6</v>
      </c>
    </row>
    <row r="291" spans="1:9">
      <c r="A291" s="113">
        <v>100300266</v>
      </c>
      <c r="B291" s="113" t="s">
        <v>3366</v>
      </c>
      <c r="C291" s="113">
        <v>7074025</v>
      </c>
      <c r="D291" s="113" t="s">
        <v>3093</v>
      </c>
      <c r="E291" s="113" t="s">
        <v>1620</v>
      </c>
      <c r="F291" s="113" t="s">
        <v>3093</v>
      </c>
      <c r="G291" s="115" t="s">
        <v>3093</v>
      </c>
      <c r="H291" s="161">
        <v>733.65</v>
      </c>
      <c r="I291" s="161">
        <v>0</v>
      </c>
    </row>
    <row r="292" spans="1:9">
      <c r="A292" s="113">
        <v>100300267</v>
      </c>
      <c r="B292" s="113" t="s">
        <v>3367</v>
      </c>
      <c r="C292" s="113">
        <v>7074028</v>
      </c>
      <c r="D292" s="113" t="s">
        <v>3093</v>
      </c>
      <c r="E292" s="113" t="s">
        <v>1620</v>
      </c>
      <c r="F292" s="113" t="s">
        <v>3093</v>
      </c>
      <c r="G292" s="115" t="s">
        <v>3093</v>
      </c>
      <c r="H292" s="161">
        <v>283</v>
      </c>
      <c r="I292" s="161">
        <v>0</v>
      </c>
    </row>
    <row r="293" spans="1:9">
      <c r="A293" s="113">
        <v>100300268</v>
      </c>
      <c r="B293" s="113" t="s">
        <v>3368</v>
      </c>
      <c r="C293" s="113">
        <v>7074029</v>
      </c>
      <c r="D293" s="113" t="s">
        <v>3093</v>
      </c>
      <c r="E293" s="113" t="s">
        <v>1620</v>
      </c>
      <c r="F293" s="113" t="s">
        <v>3093</v>
      </c>
      <c r="G293" s="115" t="s">
        <v>3093</v>
      </c>
      <c r="H293" s="161">
        <v>283</v>
      </c>
      <c r="I293" s="161">
        <v>0</v>
      </c>
    </row>
    <row r="294" spans="1:9">
      <c r="A294" s="113">
        <v>100300269</v>
      </c>
      <c r="B294" s="113" t="s">
        <v>3369</v>
      </c>
      <c r="C294" s="113">
        <v>7074036</v>
      </c>
      <c r="D294" s="113" t="s">
        <v>3093</v>
      </c>
      <c r="E294" s="113" t="s">
        <v>1620</v>
      </c>
      <c r="F294" s="113" t="s">
        <v>3093</v>
      </c>
      <c r="G294" s="115" t="s">
        <v>3093</v>
      </c>
      <c r="H294" s="161">
        <v>225.04</v>
      </c>
      <c r="I294" s="161">
        <v>0</v>
      </c>
    </row>
    <row r="295" spans="1:9">
      <c r="A295" s="113">
        <v>100300270</v>
      </c>
      <c r="B295" s="113" t="s">
        <v>3370</v>
      </c>
      <c r="C295" s="113">
        <v>7074037</v>
      </c>
      <c r="D295" s="113" t="s">
        <v>3093</v>
      </c>
      <c r="E295" s="113" t="s">
        <v>1620</v>
      </c>
      <c r="F295" s="113" t="s">
        <v>3093</v>
      </c>
      <c r="G295" s="115" t="s">
        <v>3093</v>
      </c>
      <c r="H295" s="161">
        <v>215</v>
      </c>
      <c r="I295" s="161">
        <v>0</v>
      </c>
    </row>
    <row r="296" spans="1:9">
      <c r="A296" s="113">
        <v>100300271</v>
      </c>
      <c r="B296" s="113" t="s">
        <v>3371</v>
      </c>
      <c r="C296" s="113">
        <v>7074038</v>
      </c>
      <c r="D296" s="113" t="s">
        <v>3093</v>
      </c>
      <c r="E296" s="113" t="s">
        <v>1620</v>
      </c>
      <c r="F296" s="113" t="s">
        <v>3093</v>
      </c>
      <c r="G296" s="115" t="s">
        <v>3093</v>
      </c>
      <c r="H296" s="161">
        <v>4.67</v>
      </c>
      <c r="I296" s="161">
        <v>680</v>
      </c>
    </row>
    <row r="297" spans="1:9">
      <c r="A297" s="113">
        <v>100300272</v>
      </c>
      <c r="B297" s="113" t="s">
        <v>3372</v>
      </c>
      <c r="C297" s="113">
        <v>7074039</v>
      </c>
      <c r="D297" s="113" t="s">
        <v>3093</v>
      </c>
      <c r="E297" s="113" t="s">
        <v>1620</v>
      </c>
      <c r="F297" s="113" t="s">
        <v>3093</v>
      </c>
      <c r="G297" s="115" t="s">
        <v>3093</v>
      </c>
      <c r="H297" s="161">
        <v>596</v>
      </c>
      <c r="I297" s="161">
        <v>17</v>
      </c>
    </row>
    <row r="298" spans="1:9">
      <c r="A298" s="113">
        <v>100300273</v>
      </c>
      <c r="B298" s="113" t="s">
        <v>3373</v>
      </c>
      <c r="C298" s="113">
        <v>7074040</v>
      </c>
      <c r="D298" s="113" t="s">
        <v>3093</v>
      </c>
      <c r="E298" s="113" t="s">
        <v>1620</v>
      </c>
      <c r="F298" s="113" t="s">
        <v>3093</v>
      </c>
      <c r="G298" s="115" t="s">
        <v>3093</v>
      </c>
      <c r="H298" s="161">
        <v>1.1499999999999999</v>
      </c>
      <c r="I298" s="161">
        <v>0</v>
      </c>
    </row>
    <row r="299" spans="1:9">
      <c r="A299" s="113">
        <v>100300274</v>
      </c>
      <c r="B299" s="113" t="s">
        <v>3374</v>
      </c>
      <c r="C299" s="113">
        <v>7074041</v>
      </c>
      <c r="D299" s="113" t="s">
        <v>3093</v>
      </c>
      <c r="E299" s="113" t="s">
        <v>1620</v>
      </c>
      <c r="F299" s="113" t="s">
        <v>3093</v>
      </c>
      <c r="G299" s="115" t="s">
        <v>3093</v>
      </c>
      <c r="H299" s="161">
        <v>3.5</v>
      </c>
      <c r="I299" s="161">
        <v>5000</v>
      </c>
    </row>
    <row r="300" spans="1:9">
      <c r="A300" s="113">
        <v>100300275</v>
      </c>
      <c r="B300" s="113" t="s">
        <v>3375</v>
      </c>
      <c r="C300" s="113">
        <v>7074042</v>
      </c>
      <c r="D300" s="113" t="s">
        <v>3093</v>
      </c>
      <c r="E300" s="113" t="s">
        <v>1620</v>
      </c>
      <c r="F300" s="113" t="s">
        <v>3093</v>
      </c>
      <c r="G300" s="115" t="s">
        <v>3093</v>
      </c>
      <c r="H300" s="161">
        <v>11</v>
      </c>
      <c r="I300" s="161">
        <v>120</v>
      </c>
    </row>
    <row r="301" spans="1:9">
      <c r="A301" s="113">
        <v>100300276</v>
      </c>
      <c r="B301" s="113" t="s">
        <v>3376</v>
      </c>
      <c r="C301" s="113">
        <v>7074043</v>
      </c>
      <c r="D301" s="113" t="s">
        <v>3093</v>
      </c>
      <c r="E301" s="113" t="s">
        <v>1620</v>
      </c>
      <c r="F301" s="113" t="s">
        <v>3093</v>
      </c>
      <c r="G301" s="115" t="s">
        <v>3093</v>
      </c>
      <c r="H301" s="161">
        <v>730</v>
      </c>
      <c r="I301" s="161">
        <v>15</v>
      </c>
    </row>
    <row r="302" spans="1:9">
      <c r="A302" s="113">
        <v>100300277</v>
      </c>
      <c r="B302" s="113" t="s">
        <v>3377</v>
      </c>
      <c r="C302" s="113">
        <v>7074044</v>
      </c>
      <c r="D302" s="113" t="s">
        <v>3093</v>
      </c>
      <c r="E302" s="113" t="s">
        <v>1620</v>
      </c>
      <c r="F302" s="113" t="s">
        <v>3093</v>
      </c>
      <c r="G302" s="115" t="s">
        <v>3093</v>
      </c>
      <c r="H302" s="161">
        <v>13.75</v>
      </c>
      <c r="I302" s="161">
        <v>30</v>
      </c>
    </row>
    <row r="303" spans="1:9">
      <c r="A303" s="113">
        <v>100300278</v>
      </c>
      <c r="B303" s="113" t="s">
        <v>3378</v>
      </c>
      <c r="C303" s="113">
        <v>7074045</v>
      </c>
      <c r="D303" s="113" t="s">
        <v>3093</v>
      </c>
      <c r="E303" s="113" t="s">
        <v>1620</v>
      </c>
      <c r="F303" s="113" t="s">
        <v>3093</v>
      </c>
      <c r="G303" s="115" t="s">
        <v>3093</v>
      </c>
      <c r="H303" s="161">
        <v>67.8</v>
      </c>
      <c r="I303" s="161">
        <v>30</v>
      </c>
    </row>
    <row r="304" spans="1:9">
      <c r="A304" s="113">
        <v>100300279</v>
      </c>
      <c r="B304" s="113" t="s">
        <v>3379</v>
      </c>
      <c r="C304" s="113">
        <v>7074046</v>
      </c>
      <c r="D304" s="113" t="s">
        <v>3093</v>
      </c>
      <c r="E304" s="113" t="s">
        <v>1620</v>
      </c>
      <c r="F304" s="113" t="s">
        <v>3093</v>
      </c>
      <c r="G304" s="115" t="s">
        <v>3093</v>
      </c>
      <c r="H304" s="161">
        <v>95.4</v>
      </c>
      <c r="I304" s="161">
        <v>0</v>
      </c>
    </row>
    <row r="305" spans="1:9">
      <c r="A305" s="113">
        <v>100300280</v>
      </c>
      <c r="B305" s="113" t="s">
        <v>3380</v>
      </c>
      <c r="C305" s="113">
        <v>7074048</v>
      </c>
      <c r="D305" s="113" t="s">
        <v>3093</v>
      </c>
      <c r="E305" s="113" t="s">
        <v>1620</v>
      </c>
      <c r="F305" s="113" t="s">
        <v>3093</v>
      </c>
      <c r="G305" s="115" t="s">
        <v>3093</v>
      </c>
      <c r="H305" s="161">
        <v>8.5</v>
      </c>
      <c r="I305" s="161">
        <v>289</v>
      </c>
    </row>
    <row r="306" spans="1:9">
      <c r="A306" s="113">
        <v>100300281</v>
      </c>
      <c r="B306" s="113" t="s">
        <v>3381</v>
      </c>
      <c r="C306" s="113">
        <v>7074049</v>
      </c>
      <c r="D306" s="113" t="s">
        <v>3093</v>
      </c>
      <c r="E306" s="113" t="s">
        <v>1620</v>
      </c>
      <c r="F306" s="113" t="s">
        <v>3093</v>
      </c>
      <c r="G306" s="115" t="s">
        <v>3093</v>
      </c>
      <c r="H306" s="161">
        <v>40</v>
      </c>
      <c r="I306" s="161">
        <v>1500</v>
      </c>
    </row>
    <row r="307" spans="1:9">
      <c r="A307" s="113">
        <v>100300282</v>
      </c>
      <c r="B307" s="113" t="s">
        <v>3382</v>
      </c>
      <c r="C307" s="113">
        <v>7074050</v>
      </c>
      <c r="D307" s="113" t="s">
        <v>3093</v>
      </c>
      <c r="E307" s="113" t="s">
        <v>1620</v>
      </c>
      <c r="F307" s="113" t="s">
        <v>3093</v>
      </c>
      <c r="G307" s="115" t="s">
        <v>3093</v>
      </c>
      <c r="H307" s="161">
        <v>3.8</v>
      </c>
      <c r="I307" s="161">
        <v>3500</v>
      </c>
    </row>
    <row r="308" spans="1:9">
      <c r="A308" s="113">
        <v>100300283</v>
      </c>
      <c r="B308" s="113" t="s">
        <v>3383</v>
      </c>
      <c r="C308" s="113">
        <v>7074051</v>
      </c>
      <c r="D308" s="113" t="s">
        <v>3093</v>
      </c>
      <c r="E308" s="113" t="s">
        <v>1620</v>
      </c>
      <c r="F308" s="113" t="s">
        <v>3093</v>
      </c>
      <c r="G308" s="115" t="s">
        <v>3093</v>
      </c>
      <c r="H308" s="161">
        <v>3.5</v>
      </c>
      <c r="I308" s="161">
        <v>0</v>
      </c>
    </row>
    <row r="309" spans="1:9">
      <c r="A309" s="113">
        <v>100300284</v>
      </c>
      <c r="B309" s="113" t="s">
        <v>3384</v>
      </c>
      <c r="C309" s="113">
        <v>7074053</v>
      </c>
      <c r="D309" s="113" t="s">
        <v>3093</v>
      </c>
      <c r="E309" s="113" t="s">
        <v>1620</v>
      </c>
      <c r="F309" s="113" t="s">
        <v>3093</v>
      </c>
      <c r="G309" s="115" t="s">
        <v>3093</v>
      </c>
      <c r="H309" s="161">
        <v>170</v>
      </c>
      <c r="I309" s="161">
        <v>6</v>
      </c>
    </row>
    <row r="310" spans="1:9">
      <c r="A310" s="113">
        <v>100300285</v>
      </c>
      <c r="B310" s="113" t="s">
        <v>3385</v>
      </c>
      <c r="C310" s="113">
        <v>7074054</v>
      </c>
      <c r="D310" s="113" t="s">
        <v>3093</v>
      </c>
      <c r="E310" s="113" t="s">
        <v>1620</v>
      </c>
      <c r="F310" s="113" t="s">
        <v>3093</v>
      </c>
      <c r="G310" s="115" t="s">
        <v>3093</v>
      </c>
      <c r="H310" s="161">
        <v>150.66</v>
      </c>
      <c r="I310" s="161">
        <v>0</v>
      </c>
    </row>
    <row r="311" spans="1:9">
      <c r="A311" s="113">
        <v>100300286</v>
      </c>
      <c r="B311" s="113" t="s">
        <v>3386</v>
      </c>
      <c r="C311" s="113">
        <v>7074055</v>
      </c>
      <c r="D311" s="113" t="s">
        <v>3093</v>
      </c>
      <c r="E311" s="113" t="s">
        <v>1620</v>
      </c>
      <c r="F311" s="113" t="s">
        <v>3093</v>
      </c>
      <c r="G311" s="115" t="s">
        <v>3093</v>
      </c>
      <c r="H311" s="161">
        <v>150.66</v>
      </c>
      <c r="I311" s="161">
        <v>100</v>
      </c>
    </row>
    <row r="312" spans="1:9">
      <c r="A312" s="113">
        <v>100300287</v>
      </c>
      <c r="B312" s="113" t="s">
        <v>3387</v>
      </c>
      <c r="C312" s="113">
        <v>7074056</v>
      </c>
      <c r="D312" s="113" t="s">
        <v>3093</v>
      </c>
      <c r="E312" s="113" t="s">
        <v>1620</v>
      </c>
      <c r="F312" s="113" t="s">
        <v>3093</v>
      </c>
      <c r="G312" s="115" t="s">
        <v>3093</v>
      </c>
      <c r="H312" s="161">
        <v>195</v>
      </c>
      <c r="I312" s="161">
        <v>2</v>
      </c>
    </row>
    <row r="313" spans="1:9">
      <c r="A313" s="113">
        <v>100300288</v>
      </c>
      <c r="B313" s="113" t="s">
        <v>3388</v>
      </c>
      <c r="C313" s="113">
        <v>7074058</v>
      </c>
      <c r="D313" s="113" t="s">
        <v>3093</v>
      </c>
      <c r="E313" s="113" t="s">
        <v>1620</v>
      </c>
      <c r="F313" s="113" t="s">
        <v>3093</v>
      </c>
      <c r="G313" s="115" t="s">
        <v>3093</v>
      </c>
      <c r="H313" s="161">
        <v>55</v>
      </c>
      <c r="I313" s="161">
        <v>0</v>
      </c>
    </row>
    <row r="314" spans="1:9">
      <c r="A314" s="113">
        <v>100300289</v>
      </c>
      <c r="B314" s="113" t="s">
        <v>3389</v>
      </c>
      <c r="C314" s="113">
        <v>7074059</v>
      </c>
      <c r="D314" s="113" t="s">
        <v>3093</v>
      </c>
      <c r="E314" s="113" t="s">
        <v>1620</v>
      </c>
      <c r="F314" s="113" t="s">
        <v>3093</v>
      </c>
      <c r="G314" s="115" t="s">
        <v>3093</v>
      </c>
      <c r="H314" s="161">
        <v>282.5</v>
      </c>
      <c r="I314" s="161">
        <v>0</v>
      </c>
    </row>
    <row r="315" spans="1:9">
      <c r="A315" s="113">
        <v>100300290</v>
      </c>
      <c r="B315" s="113" t="s">
        <v>3390</v>
      </c>
      <c r="C315" s="113">
        <v>7074062</v>
      </c>
      <c r="D315" s="113" t="s">
        <v>3093</v>
      </c>
      <c r="E315" s="113" t="s">
        <v>1620</v>
      </c>
      <c r="F315" s="113" t="s">
        <v>3093</v>
      </c>
      <c r="G315" s="115" t="s">
        <v>3093</v>
      </c>
      <c r="H315" s="161">
        <v>22.26</v>
      </c>
      <c r="I315" s="161">
        <v>4</v>
      </c>
    </row>
    <row r="316" spans="1:9">
      <c r="A316" s="113">
        <v>100300291</v>
      </c>
      <c r="B316" s="113" t="s">
        <v>3391</v>
      </c>
      <c r="C316" s="113">
        <v>7074063</v>
      </c>
      <c r="D316" s="113" t="s">
        <v>3093</v>
      </c>
      <c r="E316" s="113" t="s">
        <v>1620</v>
      </c>
      <c r="F316" s="113" t="s">
        <v>3093</v>
      </c>
      <c r="G316" s="115" t="s">
        <v>3093</v>
      </c>
      <c r="H316" s="161">
        <v>130</v>
      </c>
      <c r="I316" s="161">
        <v>0</v>
      </c>
    </row>
    <row r="317" spans="1:9">
      <c r="A317" s="113">
        <v>100300292</v>
      </c>
      <c r="B317" s="113" t="s">
        <v>3392</v>
      </c>
      <c r="C317" s="113">
        <v>7074064</v>
      </c>
      <c r="D317" s="113" t="s">
        <v>3093</v>
      </c>
      <c r="E317" s="113" t="s">
        <v>1620</v>
      </c>
      <c r="F317" s="113" t="s">
        <v>3093</v>
      </c>
      <c r="G317" s="115" t="s">
        <v>3093</v>
      </c>
      <c r="H317" s="161">
        <v>130</v>
      </c>
      <c r="I317" s="161">
        <v>0</v>
      </c>
    </row>
    <row r="318" spans="1:9">
      <c r="A318" s="113">
        <v>100300293</v>
      </c>
      <c r="B318" s="113" t="s">
        <v>3393</v>
      </c>
      <c r="C318" s="113">
        <v>7074065</v>
      </c>
      <c r="D318" s="113" t="s">
        <v>3093</v>
      </c>
      <c r="E318" s="113" t="s">
        <v>1620</v>
      </c>
      <c r="F318" s="113" t="s">
        <v>3093</v>
      </c>
      <c r="G318" s="115" t="s">
        <v>3093</v>
      </c>
      <c r="H318" s="161">
        <v>130</v>
      </c>
      <c r="I318" s="161">
        <v>540</v>
      </c>
    </row>
    <row r="319" spans="1:9">
      <c r="A319" s="113">
        <v>100300294</v>
      </c>
      <c r="B319" s="113" t="s">
        <v>3394</v>
      </c>
      <c r="C319" s="113">
        <v>7074066</v>
      </c>
      <c r="D319" s="113" t="s">
        <v>3093</v>
      </c>
      <c r="E319" s="113" t="s">
        <v>1620</v>
      </c>
      <c r="F319" s="113" t="s">
        <v>3093</v>
      </c>
      <c r="G319" s="115" t="s">
        <v>3093</v>
      </c>
      <c r="H319" s="161">
        <v>130</v>
      </c>
      <c r="I319" s="161">
        <v>48</v>
      </c>
    </row>
    <row r="320" spans="1:9">
      <c r="A320" s="113">
        <v>100300295</v>
      </c>
      <c r="B320" s="113" t="s">
        <v>3395</v>
      </c>
      <c r="C320" s="113">
        <v>7074069</v>
      </c>
      <c r="D320" s="113" t="s">
        <v>3093</v>
      </c>
      <c r="E320" s="113" t="s">
        <v>1620</v>
      </c>
      <c r="F320" s="113" t="s">
        <v>3093</v>
      </c>
      <c r="G320" s="115" t="s">
        <v>3093</v>
      </c>
      <c r="H320" s="161">
        <v>343</v>
      </c>
      <c r="I320" s="161">
        <v>18</v>
      </c>
    </row>
    <row r="321" spans="1:9">
      <c r="A321" s="113">
        <v>100300296</v>
      </c>
      <c r="B321" s="113" t="s">
        <v>3396</v>
      </c>
      <c r="C321" s="113">
        <v>7074072</v>
      </c>
      <c r="D321" s="113" t="s">
        <v>3093</v>
      </c>
      <c r="E321" s="113" t="s">
        <v>1620</v>
      </c>
      <c r="F321" s="113" t="s">
        <v>3093</v>
      </c>
      <c r="G321" s="115" t="s">
        <v>3093</v>
      </c>
      <c r="H321" s="161">
        <v>227.07</v>
      </c>
      <c r="I321" s="161">
        <v>0</v>
      </c>
    </row>
    <row r="322" spans="1:9">
      <c r="A322" s="113">
        <v>100300297</v>
      </c>
      <c r="B322" s="113" t="s">
        <v>3397</v>
      </c>
      <c r="C322" s="113">
        <v>7074073</v>
      </c>
      <c r="D322" s="113" t="s">
        <v>3093</v>
      </c>
      <c r="E322" s="113" t="s">
        <v>1620</v>
      </c>
      <c r="F322" s="113" t="s">
        <v>3093</v>
      </c>
      <c r="G322" s="115" t="s">
        <v>3093</v>
      </c>
      <c r="H322" s="161">
        <v>28.93</v>
      </c>
      <c r="I322" s="161">
        <v>4</v>
      </c>
    </row>
    <row r="323" spans="1:9">
      <c r="A323" s="113">
        <v>100300298</v>
      </c>
      <c r="B323" s="113" t="s">
        <v>3398</v>
      </c>
      <c r="C323" s="113">
        <v>7074074</v>
      </c>
      <c r="D323" s="113" t="s">
        <v>3093</v>
      </c>
      <c r="E323" s="113" t="s">
        <v>1620</v>
      </c>
      <c r="F323" s="113" t="s">
        <v>3093</v>
      </c>
      <c r="G323" s="115" t="s">
        <v>3093</v>
      </c>
      <c r="H323" s="161">
        <v>447.61</v>
      </c>
      <c r="I323" s="161">
        <v>0</v>
      </c>
    </row>
    <row r="324" spans="1:9">
      <c r="A324" s="113">
        <v>100300299</v>
      </c>
      <c r="B324" s="113" t="s">
        <v>3399</v>
      </c>
      <c r="C324" s="113">
        <v>7074075</v>
      </c>
      <c r="D324" s="113" t="s">
        <v>3093</v>
      </c>
      <c r="E324" s="113" t="s">
        <v>1620</v>
      </c>
      <c r="F324" s="113" t="s">
        <v>3093</v>
      </c>
      <c r="G324" s="115" t="s">
        <v>3093</v>
      </c>
      <c r="H324" s="161">
        <v>255</v>
      </c>
      <c r="I324" s="161">
        <v>0</v>
      </c>
    </row>
    <row r="325" spans="1:9">
      <c r="A325" s="113">
        <v>100300300</v>
      </c>
      <c r="B325" s="113" t="s">
        <v>3400</v>
      </c>
      <c r="C325" s="113">
        <v>7074076</v>
      </c>
      <c r="D325" s="113" t="s">
        <v>3093</v>
      </c>
      <c r="E325" s="113" t="s">
        <v>1620</v>
      </c>
      <c r="F325" s="113" t="s">
        <v>3093</v>
      </c>
      <c r="G325" s="115" t="s">
        <v>3093</v>
      </c>
      <c r="H325" s="161">
        <v>76.25</v>
      </c>
      <c r="I325" s="161">
        <v>36</v>
      </c>
    </row>
    <row r="326" spans="1:9">
      <c r="A326" s="113">
        <v>100300301</v>
      </c>
      <c r="B326" s="113" t="s">
        <v>3401</v>
      </c>
      <c r="C326" s="113">
        <v>7074077</v>
      </c>
      <c r="D326" s="113" t="s">
        <v>3093</v>
      </c>
      <c r="E326" s="113" t="s">
        <v>1620</v>
      </c>
      <c r="F326" s="113" t="s">
        <v>3093</v>
      </c>
      <c r="G326" s="115" t="s">
        <v>3093</v>
      </c>
      <c r="H326" s="161">
        <v>399</v>
      </c>
      <c r="I326" s="161">
        <v>0</v>
      </c>
    </row>
    <row r="327" spans="1:9">
      <c r="A327" s="113">
        <v>100300302</v>
      </c>
      <c r="B327" s="113" t="s">
        <v>3402</v>
      </c>
      <c r="C327" s="113">
        <v>7074078</v>
      </c>
      <c r="D327" s="113" t="s">
        <v>3093</v>
      </c>
      <c r="E327" s="113" t="s">
        <v>1620</v>
      </c>
      <c r="F327" s="113" t="s">
        <v>3093</v>
      </c>
      <c r="G327" s="115" t="s">
        <v>3093</v>
      </c>
      <c r="H327" s="161">
        <v>0</v>
      </c>
      <c r="I327" s="161" t="s">
        <v>7138</v>
      </c>
    </row>
    <row r="328" spans="1:9">
      <c r="A328" s="113">
        <v>100300303</v>
      </c>
      <c r="B328" s="113" t="s">
        <v>3403</v>
      </c>
      <c r="C328" s="113">
        <v>7074079</v>
      </c>
      <c r="D328" s="113" t="s">
        <v>3093</v>
      </c>
      <c r="E328" s="113" t="s">
        <v>1620</v>
      </c>
      <c r="F328" s="113" t="s">
        <v>3093</v>
      </c>
      <c r="G328" s="115" t="s">
        <v>3093</v>
      </c>
      <c r="H328" s="161">
        <v>495.62</v>
      </c>
      <c r="I328" s="161">
        <v>0</v>
      </c>
    </row>
    <row r="329" spans="1:9">
      <c r="A329" s="113">
        <v>100300304</v>
      </c>
      <c r="B329" s="113" t="s">
        <v>3404</v>
      </c>
      <c r="C329" s="113">
        <v>7074080</v>
      </c>
      <c r="D329" s="113" t="s">
        <v>3093</v>
      </c>
      <c r="E329" s="113" t="s">
        <v>1620</v>
      </c>
      <c r="F329" s="113" t="s">
        <v>3093</v>
      </c>
      <c r="G329" s="115" t="s">
        <v>3093</v>
      </c>
      <c r="H329" s="161">
        <v>23.5</v>
      </c>
      <c r="I329" s="161">
        <v>0</v>
      </c>
    </row>
    <row r="330" spans="1:9">
      <c r="A330" s="113">
        <v>100300305</v>
      </c>
      <c r="B330" s="113" t="s">
        <v>3405</v>
      </c>
      <c r="C330" s="113">
        <v>7074081</v>
      </c>
      <c r="D330" s="113" t="s">
        <v>3093</v>
      </c>
      <c r="E330" s="113" t="s">
        <v>1620</v>
      </c>
      <c r="F330" s="113" t="s">
        <v>3093</v>
      </c>
      <c r="G330" s="115" t="s">
        <v>3093</v>
      </c>
      <c r="H330" s="161">
        <v>165</v>
      </c>
      <c r="I330" s="161">
        <v>69</v>
      </c>
    </row>
    <row r="331" spans="1:9">
      <c r="A331" s="113">
        <v>100300306</v>
      </c>
      <c r="B331" s="113" t="s">
        <v>3406</v>
      </c>
      <c r="C331" s="113">
        <v>7074082</v>
      </c>
      <c r="D331" s="113" t="s">
        <v>3093</v>
      </c>
      <c r="E331" s="113" t="s">
        <v>1620</v>
      </c>
      <c r="F331" s="113" t="s">
        <v>3093</v>
      </c>
      <c r="G331" s="115" t="s">
        <v>3093</v>
      </c>
      <c r="H331" s="161">
        <v>165</v>
      </c>
      <c r="I331" s="161">
        <v>0</v>
      </c>
    </row>
    <row r="332" spans="1:9">
      <c r="A332" s="113">
        <v>100300307</v>
      </c>
      <c r="B332" s="113" t="s">
        <v>3407</v>
      </c>
      <c r="C332" s="113">
        <v>7074083</v>
      </c>
      <c r="D332" s="113" t="s">
        <v>3093</v>
      </c>
      <c r="E332" s="113" t="s">
        <v>1620</v>
      </c>
      <c r="F332" s="113" t="s">
        <v>3093</v>
      </c>
      <c r="G332" s="115" t="s">
        <v>3093</v>
      </c>
      <c r="H332" s="161">
        <v>0</v>
      </c>
      <c r="I332" s="161" t="s">
        <v>7138</v>
      </c>
    </row>
    <row r="333" spans="1:9">
      <c r="A333" s="113">
        <v>100300308</v>
      </c>
      <c r="B333" s="113" t="s">
        <v>3408</v>
      </c>
      <c r="C333" s="113">
        <v>7074084</v>
      </c>
      <c r="D333" s="113" t="s">
        <v>3093</v>
      </c>
      <c r="E333" s="113" t="s">
        <v>1620</v>
      </c>
      <c r="F333" s="113" t="s">
        <v>3093</v>
      </c>
      <c r="G333" s="115" t="s">
        <v>3093</v>
      </c>
      <c r="H333" s="161">
        <v>36.049999999999997</v>
      </c>
      <c r="I333" s="161">
        <v>0</v>
      </c>
    </row>
    <row r="334" spans="1:9">
      <c r="A334" s="113">
        <v>100300309</v>
      </c>
      <c r="B334" s="113" t="s">
        <v>3409</v>
      </c>
      <c r="C334" s="113">
        <v>7074085</v>
      </c>
      <c r="D334" s="113" t="s">
        <v>3093</v>
      </c>
      <c r="E334" s="113" t="s">
        <v>1620</v>
      </c>
      <c r="F334" s="113" t="s">
        <v>3093</v>
      </c>
      <c r="G334" s="115" t="s">
        <v>3093</v>
      </c>
      <c r="H334" s="161">
        <v>21</v>
      </c>
      <c r="I334" s="161">
        <v>0</v>
      </c>
    </row>
    <row r="335" spans="1:9">
      <c r="A335" s="113">
        <v>100300310</v>
      </c>
      <c r="B335" s="113" t="s">
        <v>3410</v>
      </c>
      <c r="C335" s="113">
        <v>7074086</v>
      </c>
      <c r="D335" s="113" t="s">
        <v>3093</v>
      </c>
      <c r="E335" s="113" t="s">
        <v>1620</v>
      </c>
      <c r="F335" s="113" t="s">
        <v>3093</v>
      </c>
      <c r="G335" s="115" t="s">
        <v>3093</v>
      </c>
      <c r="H335" s="161">
        <v>21</v>
      </c>
      <c r="I335" s="161">
        <v>0</v>
      </c>
    </row>
    <row r="336" spans="1:9">
      <c r="A336" s="113">
        <v>100300311</v>
      </c>
      <c r="B336" s="113" t="s">
        <v>3411</v>
      </c>
      <c r="C336" s="113">
        <v>7074087</v>
      </c>
      <c r="D336" s="113" t="s">
        <v>3093</v>
      </c>
      <c r="E336" s="113" t="s">
        <v>1620</v>
      </c>
      <c r="F336" s="113" t="s">
        <v>3093</v>
      </c>
      <c r="G336" s="115" t="s">
        <v>3093</v>
      </c>
      <c r="H336" s="161">
        <v>21</v>
      </c>
      <c r="I336" s="161">
        <v>0</v>
      </c>
    </row>
    <row r="337" spans="1:9">
      <c r="A337" s="113">
        <v>100300312</v>
      </c>
      <c r="B337" s="113" t="s">
        <v>3412</v>
      </c>
      <c r="C337" s="113">
        <v>7074088</v>
      </c>
      <c r="D337" s="113" t="s">
        <v>3093</v>
      </c>
      <c r="E337" s="113" t="s">
        <v>1620</v>
      </c>
      <c r="F337" s="113" t="s">
        <v>3093</v>
      </c>
      <c r="G337" s="115" t="s">
        <v>3093</v>
      </c>
      <c r="H337" s="161">
        <v>8.99</v>
      </c>
      <c r="I337" s="161">
        <v>24</v>
      </c>
    </row>
    <row r="338" spans="1:9">
      <c r="A338" s="113">
        <v>100300313</v>
      </c>
      <c r="B338" s="113" t="s">
        <v>3413</v>
      </c>
      <c r="C338" s="113">
        <v>7074090</v>
      </c>
      <c r="D338" s="113" t="s">
        <v>3093</v>
      </c>
      <c r="E338" s="113" t="s">
        <v>1620</v>
      </c>
      <c r="F338" s="113" t="s">
        <v>3093</v>
      </c>
      <c r="G338" s="115" t="s">
        <v>3093</v>
      </c>
      <c r="H338" s="161">
        <v>2252</v>
      </c>
      <c r="I338" s="161">
        <v>0</v>
      </c>
    </row>
    <row r="339" spans="1:9">
      <c r="A339" s="113">
        <v>100300314</v>
      </c>
      <c r="B339" s="113" t="s">
        <v>3414</v>
      </c>
      <c r="C339" s="113">
        <v>7074091</v>
      </c>
      <c r="D339" s="113" t="s">
        <v>3093</v>
      </c>
      <c r="E339" s="113" t="s">
        <v>1620</v>
      </c>
      <c r="F339" s="113" t="s">
        <v>3093</v>
      </c>
      <c r="G339" s="115" t="s">
        <v>3093</v>
      </c>
      <c r="H339" s="161">
        <v>275</v>
      </c>
      <c r="I339" s="161">
        <v>0</v>
      </c>
    </row>
    <row r="340" spans="1:9">
      <c r="A340" s="113">
        <v>100300315</v>
      </c>
      <c r="B340" s="113" t="s">
        <v>3415</v>
      </c>
      <c r="C340" s="113">
        <v>7074093</v>
      </c>
      <c r="D340" s="113" t="s">
        <v>3093</v>
      </c>
      <c r="E340" s="113" t="s">
        <v>1620</v>
      </c>
      <c r="F340" s="113" t="s">
        <v>3093</v>
      </c>
      <c r="G340" s="115" t="s">
        <v>3093</v>
      </c>
      <c r="H340" s="161">
        <v>275</v>
      </c>
      <c r="I340" s="161">
        <v>40</v>
      </c>
    </row>
    <row r="341" spans="1:9">
      <c r="A341" s="113">
        <v>100300316</v>
      </c>
      <c r="B341" s="113" t="s">
        <v>3416</v>
      </c>
      <c r="C341" s="113">
        <v>7074094</v>
      </c>
      <c r="D341" s="113" t="s">
        <v>3093</v>
      </c>
      <c r="E341" s="113" t="s">
        <v>1620</v>
      </c>
      <c r="F341" s="113" t="s">
        <v>3093</v>
      </c>
      <c r="G341" s="115" t="s">
        <v>3093</v>
      </c>
      <c r="H341" s="161">
        <v>0</v>
      </c>
      <c r="I341" s="161" t="s">
        <v>7138</v>
      </c>
    </row>
    <row r="342" spans="1:9">
      <c r="A342" s="113">
        <v>100300317</v>
      </c>
      <c r="B342" s="113" t="s">
        <v>3417</v>
      </c>
      <c r="C342" s="113">
        <v>7074096</v>
      </c>
      <c r="D342" s="113" t="s">
        <v>3093</v>
      </c>
      <c r="E342" s="113" t="s">
        <v>1620</v>
      </c>
      <c r="F342" s="113" t="s">
        <v>3093</v>
      </c>
      <c r="G342" s="115" t="s">
        <v>3093</v>
      </c>
      <c r="H342" s="161">
        <v>18.25</v>
      </c>
      <c r="I342" s="161">
        <v>0</v>
      </c>
    </row>
    <row r="343" spans="1:9">
      <c r="A343" s="113">
        <v>100300318</v>
      </c>
      <c r="B343" s="113" t="s">
        <v>3418</v>
      </c>
      <c r="C343" s="113">
        <v>7074099</v>
      </c>
      <c r="D343" s="113" t="s">
        <v>3093</v>
      </c>
      <c r="E343" s="113" t="s">
        <v>1620</v>
      </c>
      <c r="F343" s="113" t="s">
        <v>3093</v>
      </c>
      <c r="G343" s="115" t="s">
        <v>3093</v>
      </c>
      <c r="H343" s="161">
        <v>21.25</v>
      </c>
      <c r="I343" s="161">
        <v>50</v>
      </c>
    </row>
    <row r="344" spans="1:9">
      <c r="A344" s="113">
        <v>100300319</v>
      </c>
      <c r="B344" s="113" t="s">
        <v>3419</v>
      </c>
      <c r="C344" s="113">
        <v>7074100</v>
      </c>
      <c r="D344" s="113" t="s">
        <v>3093</v>
      </c>
      <c r="E344" s="113" t="s">
        <v>1620</v>
      </c>
      <c r="F344" s="113" t="s">
        <v>3093</v>
      </c>
      <c r="G344" s="115" t="s">
        <v>3093</v>
      </c>
      <c r="H344" s="161">
        <v>40</v>
      </c>
      <c r="I344" s="161">
        <v>216</v>
      </c>
    </row>
    <row r="345" spans="1:9">
      <c r="A345" s="113">
        <v>100300320</v>
      </c>
      <c r="B345" s="113" t="s">
        <v>3420</v>
      </c>
      <c r="C345" s="113">
        <v>7074101</v>
      </c>
      <c r="D345" s="113" t="s">
        <v>3093</v>
      </c>
      <c r="E345" s="113" t="s">
        <v>1620</v>
      </c>
      <c r="F345" s="113" t="s">
        <v>3093</v>
      </c>
      <c r="G345" s="115" t="s">
        <v>3093</v>
      </c>
      <c r="H345" s="161">
        <v>125</v>
      </c>
      <c r="I345" s="161">
        <v>36</v>
      </c>
    </row>
    <row r="346" spans="1:9">
      <c r="A346" s="113">
        <v>100300321</v>
      </c>
      <c r="B346" s="113" t="s">
        <v>3421</v>
      </c>
      <c r="C346" s="113">
        <v>7074102</v>
      </c>
      <c r="D346" s="113" t="s">
        <v>3093</v>
      </c>
      <c r="E346" s="113" t="s">
        <v>1620</v>
      </c>
      <c r="F346" s="113" t="s">
        <v>3093</v>
      </c>
      <c r="G346" s="115" t="s">
        <v>3093</v>
      </c>
      <c r="H346" s="161">
        <v>1025</v>
      </c>
      <c r="I346" s="161">
        <v>0</v>
      </c>
    </row>
    <row r="347" spans="1:9">
      <c r="A347" s="113">
        <v>100300322</v>
      </c>
      <c r="B347" s="113" t="s">
        <v>3422</v>
      </c>
      <c r="C347" s="113">
        <v>7074103</v>
      </c>
      <c r="D347" s="113" t="s">
        <v>3093</v>
      </c>
      <c r="E347" s="113" t="s">
        <v>1620</v>
      </c>
      <c r="F347" s="113" t="s">
        <v>3093</v>
      </c>
      <c r="G347" s="115" t="s">
        <v>3093</v>
      </c>
      <c r="H347" s="161">
        <v>16.79</v>
      </c>
      <c r="I347" s="161">
        <v>0</v>
      </c>
    </row>
    <row r="348" spans="1:9">
      <c r="A348" s="113">
        <v>100300323</v>
      </c>
      <c r="B348" s="113" t="s">
        <v>3423</v>
      </c>
      <c r="C348" s="113">
        <v>7074106</v>
      </c>
      <c r="D348" s="113" t="s">
        <v>3093</v>
      </c>
      <c r="E348" s="113" t="s">
        <v>1620</v>
      </c>
      <c r="F348" s="113" t="s">
        <v>3093</v>
      </c>
      <c r="G348" s="115" t="s">
        <v>3093</v>
      </c>
      <c r="H348" s="161">
        <v>104.73</v>
      </c>
      <c r="I348" s="161">
        <v>0</v>
      </c>
    </row>
    <row r="349" spans="1:9">
      <c r="A349" s="113">
        <v>100300324</v>
      </c>
      <c r="B349" s="113" t="s">
        <v>3424</v>
      </c>
      <c r="C349" s="113">
        <v>7074107</v>
      </c>
      <c r="D349" s="113" t="s">
        <v>3093</v>
      </c>
      <c r="E349" s="113" t="s">
        <v>1620</v>
      </c>
      <c r="F349" s="113" t="s">
        <v>3093</v>
      </c>
      <c r="G349" s="115" t="s">
        <v>3093</v>
      </c>
      <c r="H349" s="161">
        <v>102.21</v>
      </c>
      <c r="I349" s="161">
        <v>24</v>
      </c>
    </row>
    <row r="350" spans="1:9">
      <c r="A350" s="113">
        <v>100300325</v>
      </c>
      <c r="B350" s="113" t="s">
        <v>3425</v>
      </c>
      <c r="C350" s="113">
        <v>7074108</v>
      </c>
      <c r="D350" s="113" t="s">
        <v>3093</v>
      </c>
      <c r="E350" s="113" t="s">
        <v>1620</v>
      </c>
      <c r="F350" s="113" t="s">
        <v>3093</v>
      </c>
      <c r="G350" s="115" t="s">
        <v>3093</v>
      </c>
      <c r="H350" s="161">
        <v>92.81</v>
      </c>
      <c r="I350" s="161">
        <v>0</v>
      </c>
    </row>
    <row r="351" spans="1:9">
      <c r="A351" s="113">
        <v>100300326</v>
      </c>
      <c r="B351" s="113" t="s">
        <v>3426</v>
      </c>
      <c r="C351" s="113">
        <v>7074109</v>
      </c>
      <c r="D351" s="113" t="s">
        <v>3093</v>
      </c>
      <c r="E351" s="113" t="s">
        <v>1620</v>
      </c>
      <c r="F351" s="113" t="s">
        <v>3093</v>
      </c>
      <c r="G351" s="115" t="s">
        <v>3093</v>
      </c>
      <c r="H351" s="161">
        <v>85</v>
      </c>
      <c r="I351" s="161">
        <v>0</v>
      </c>
    </row>
    <row r="352" spans="1:9">
      <c r="A352" s="113">
        <v>100300327</v>
      </c>
      <c r="B352" s="113" t="s">
        <v>3427</v>
      </c>
      <c r="C352" s="113">
        <v>7074110</v>
      </c>
      <c r="D352" s="113" t="s">
        <v>3093</v>
      </c>
      <c r="E352" s="113" t="s">
        <v>1620</v>
      </c>
      <c r="F352" s="113" t="s">
        <v>3093</v>
      </c>
      <c r="G352" s="115" t="s">
        <v>3093</v>
      </c>
      <c r="H352" s="161">
        <v>46.57</v>
      </c>
      <c r="I352" s="161">
        <v>0</v>
      </c>
    </row>
    <row r="353" spans="1:9">
      <c r="A353" s="113">
        <v>100300328</v>
      </c>
      <c r="B353" s="113" t="s">
        <v>3428</v>
      </c>
      <c r="C353" s="113">
        <v>7074111</v>
      </c>
      <c r="D353" s="113" t="s">
        <v>3093</v>
      </c>
      <c r="E353" s="113" t="s">
        <v>1620</v>
      </c>
      <c r="F353" s="113" t="s">
        <v>3093</v>
      </c>
      <c r="G353" s="115" t="s">
        <v>3093</v>
      </c>
      <c r="H353" s="161">
        <v>0</v>
      </c>
      <c r="I353" s="161" t="s">
        <v>7138</v>
      </c>
    </row>
    <row r="354" spans="1:9">
      <c r="A354" s="113">
        <v>100300329</v>
      </c>
      <c r="B354" s="113" t="s">
        <v>3429</v>
      </c>
      <c r="C354" s="113">
        <v>7074112</v>
      </c>
      <c r="D354" s="113" t="s">
        <v>3093</v>
      </c>
      <c r="E354" s="113" t="s">
        <v>1620</v>
      </c>
      <c r="F354" s="113" t="s">
        <v>3093</v>
      </c>
      <c r="G354" s="115" t="s">
        <v>3093</v>
      </c>
      <c r="H354" s="161">
        <v>0</v>
      </c>
      <c r="I354" s="161" t="s">
        <v>7138</v>
      </c>
    </row>
    <row r="355" spans="1:9">
      <c r="A355" s="113">
        <v>100300330</v>
      </c>
      <c r="B355" s="113" t="s">
        <v>3430</v>
      </c>
      <c r="C355" s="113">
        <v>7074113</v>
      </c>
      <c r="D355" s="113" t="s">
        <v>3093</v>
      </c>
      <c r="E355" s="113" t="s">
        <v>1620</v>
      </c>
      <c r="F355" s="113" t="s">
        <v>3093</v>
      </c>
      <c r="G355" s="115" t="s">
        <v>3093</v>
      </c>
      <c r="H355" s="161">
        <v>35</v>
      </c>
      <c r="I355" s="161">
        <v>240</v>
      </c>
    </row>
    <row r="356" spans="1:9">
      <c r="A356" s="113">
        <v>100300331</v>
      </c>
      <c r="B356" s="113" t="s">
        <v>3431</v>
      </c>
      <c r="C356" s="113">
        <v>7074114</v>
      </c>
      <c r="D356" s="113" t="s">
        <v>3093</v>
      </c>
      <c r="E356" s="113" t="s">
        <v>1620</v>
      </c>
      <c r="F356" s="113" t="s">
        <v>3093</v>
      </c>
      <c r="G356" s="115" t="s">
        <v>3093</v>
      </c>
      <c r="H356" s="161">
        <v>2.8250000000000002</v>
      </c>
      <c r="I356" s="161">
        <v>6000</v>
      </c>
    </row>
    <row r="357" spans="1:9">
      <c r="A357" s="113">
        <v>100300332</v>
      </c>
      <c r="B357" s="113" t="s">
        <v>3432</v>
      </c>
      <c r="C357" s="113">
        <v>7080056</v>
      </c>
      <c r="D357" s="113" t="s">
        <v>3093</v>
      </c>
      <c r="E357" s="113" t="s">
        <v>1620</v>
      </c>
      <c r="F357" s="113" t="s">
        <v>3093</v>
      </c>
      <c r="G357" s="115" t="s">
        <v>3093</v>
      </c>
      <c r="H357" s="161">
        <v>0</v>
      </c>
      <c r="I357" s="161" t="s">
        <v>7138</v>
      </c>
    </row>
    <row r="358" spans="1:9">
      <c r="A358" s="113">
        <v>100300333</v>
      </c>
      <c r="B358" s="113" t="s">
        <v>3433</v>
      </c>
      <c r="C358" s="113">
        <v>7080173</v>
      </c>
      <c r="D358" s="113" t="s">
        <v>3093</v>
      </c>
      <c r="E358" s="113" t="s">
        <v>1620</v>
      </c>
      <c r="F358" s="113" t="s">
        <v>3093</v>
      </c>
      <c r="G358" s="115" t="s">
        <v>3093</v>
      </c>
      <c r="H358" s="161">
        <v>106</v>
      </c>
      <c r="I358" s="161">
        <v>80</v>
      </c>
    </row>
    <row r="359" spans="1:9">
      <c r="A359" s="113">
        <v>100300334</v>
      </c>
      <c r="B359" s="113" t="s">
        <v>3434</v>
      </c>
      <c r="C359" s="113">
        <v>7080196</v>
      </c>
      <c r="D359" s="113" t="s">
        <v>3093</v>
      </c>
      <c r="E359" s="113" t="s">
        <v>1620</v>
      </c>
      <c r="F359" s="113" t="s">
        <v>3093</v>
      </c>
      <c r="G359" s="115" t="s">
        <v>3093</v>
      </c>
      <c r="H359" s="161">
        <v>0</v>
      </c>
      <c r="I359" s="161" t="s">
        <v>7138</v>
      </c>
    </row>
    <row r="360" spans="1:9">
      <c r="A360" s="113">
        <v>100300335</v>
      </c>
      <c r="B360" s="113" t="s">
        <v>3435</v>
      </c>
      <c r="C360" s="113">
        <v>7091063</v>
      </c>
      <c r="D360" s="113" t="s">
        <v>3093</v>
      </c>
      <c r="E360" s="113" t="s">
        <v>1620</v>
      </c>
      <c r="F360" s="113" t="s">
        <v>3093</v>
      </c>
      <c r="G360" s="115" t="s">
        <v>3093</v>
      </c>
      <c r="H360" s="161">
        <v>0</v>
      </c>
      <c r="I360" s="161" t="s">
        <v>7138</v>
      </c>
    </row>
    <row r="361" spans="1:9">
      <c r="A361" s="113">
        <v>100300336</v>
      </c>
      <c r="B361" s="113" t="s">
        <v>3436</v>
      </c>
      <c r="C361" s="113">
        <v>7091064</v>
      </c>
      <c r="D361" s="113" t="s">
        <v>3093</v>
      </c>
      <c r="E361" s="113" t="s">
        <v>1620</v>
      </c>
      <c r="F361" s="113" t="s">
        <v>3093</v>
      </c>
      <c r="G361" s="115" t="s">
        <v>3093</v>
      </c>
      <c r="H361" s="161">
        <v>0</v>
      </c>
      <c r="I361" s="161" t="s">
        <v>7138</v>
      </c>
    </row>
    <row r="362" spans="1:9">
      <c r="A362" s="113">
        <v>100300337</v>
      </c>
      <c r="B362" s="113" t="s">
        <v>3437</v>
      </c>
      <c r="C362" s="113">
        <v>7016173</v>
      </c>
      <c r="D362" s="113" t="s">
        <v>3093</v>
      </c>
      <c r="E362" s="113" t="s">
        <v>7140</v>
      </c>
      <c r="F362" s="113" t="s">
        <v>3093</v>
      </c>
      <c r="G362" s="115" t="s">
        <v>3093</v>
      </c>
      <c r="H362" s="161">
        <v>0.25</v>
      </c>
      <c r="I362" s="161">
        <v>1135</v>
      </c>
    </row>
    <row r="363" spans="1:9">
      <c r="A363" s="113">
        <v>100300347</v>
      </c>
      <c r="B363" s="113" t="s">
        <v>3438</v>
      </c>
      <c r="C363" s="113" t="s">
        <v>3093</v>
      </c>
      <c r="D363" s="113" t="s">
        <v>3093</v>
      </c>
      <c r="E363" s="113" t="s">
        <v>1620</v>
      </c>
      <c r="F363" s="113" t="s">
        <v>3093</v>
      </c>
      <c r="G363" s="115" t="s">
        <v>3093</v>
      </c>
      <c r="H363" s="161">
        <v>12</v>
      </c>
      <c r="I363" s="161">
        <v>1200</v>
      </c>
    </row>
    <row r="364" spans="1:9">
      <c r="A364" s="113">
        <v>100400001</v>
      </c>
      <c r="B364" s="113" t="s">
        <v>3439</v>
      </c>
      <c r="C364" s="113">
        <v>4002071</v>
      </c>
      <c r="D364" s="113" t="s">
        <v>3093</v>
      </c>
      <c r="E364" s="113" t="s">
        <v>1620</v>
      </c>
      <c r="F364" s="113" t="s">
        <v>3093</v>
      </c>
      <c r="G364" s="115" t="s">
        <v>3093</v>
      </c>
      <c r="H364" s="161">
        <v>45</v>
      </c>
      <c r="I364" s="161">
        <v>0</v>
      </c>
    </row>
    <row r="365" spans="1:9">
      <c r="A365" s="113">
        <v>100400002</v>
      </c>
      <c r="B365" s="113" t="s">
        <v>3440</v>
      </c>
      <c r="C365" s="113">
        <v>4002072</v>
      </c>
      <c r="D365" s="113" t="s">
        <v>3093</v>
      </c>
      <c r="E365" s="113" t="s">
        <v>1620</v>
      </c>
      <c r="F365" s="113" t="s">
        <v>3093</v>
      </c>
      <c r="G365" s="115" t="s">
        <v>3093</v>
      </c>
      <c r="H365" s="161">
        <v>10.45</v>
      </c>
      <c r="I365" s="161">
        <v>0</v>
      </c>
    </row>
    <row r="366" spans="1:9">
      <c r="A366" s="113">
        <v>100400003</v>
      </c>
      <c r="B366" s="113" t="s">
        <v>3441</v>
      </c>
      <c r="C366" s="113">
        <v>4002073</v>
      </c>
      <c r="D366" s="113" t="s">
        <v>3093</v>
      </c>
      <c r="E366" s="113" t="s">
        <v>1620</v>
      </c>
      <c r="F366" s="113" t="s">
        <v>3093</v>
      </c>
      <c r="G366" s="115" t="s">
        <v>3093</v>
      </c>
      <c r="H366" s="161">
        <v>10.45</v>
      </c>
      <c r="I366" s="161">
        <v>0</v>
      </c>
    </row>
    <row r="367" spans="1:9">
      <c r="A367" s="113">
        <v>100400004</v>
      </c>
      <c r="B367" s="113" t="s">
        <v>3442</v>
      </c>
      <c r="C367" s="113">
        <v>4002074</v>
      </c>
      <c r="D367" s="113" t="s">
        <v>3093</v>
      </c>
      <c r="E367" s="113" t="s">
        <v>1620</v>
      </c>
      <c r="F367" s="113" t="s">
        <v>3093</v>
      </c>
      <c r="G367" s="115" t="s">
        <v>3093</v>
      </c>
      <c r="H367" s="161">
        <v>11.7</v>
      </c>
      <c r="I367" s="161">
        <v>0</v>
      </c>
    </row>
    <row r="368" spans="1:9">
      <c r="A368" s="113">
        <v>100400005</v>
      </c>
      <c r="B368" s="113" t="s">
        <v>3443</v>
      </c>
      <c r="C368" s="113">
        <v>4002075</v>
      </c>
      <c r="D368" s="113" t="s">
        <v>3093</v>
      </c>
      <c r="E368" s="113" t="s">
        <v>1620</v>
      </c>
      <c r="F368" s="113" t="s">
        <v>3093</v>
      </c>
      <c r="G368" s="115" t="s">
        <v>3093</v>
      </c>
      <c r="H368" s="161">
        <v>11.7</v>
      </c>
      <c r="I368" s="161">
        <v>0</v>
      </c>
    </row>
    <row r="369" spans="1:9">
      <c r="A369" s="113">
        <v>100400006</v>
      </c>
      <c r="B369" s="113" t="s">
        <v>3444</v>
      </c>
      <c r="C369" s="113">
        <v>4002076</v>
      </c>
      <c r="D369" s="113" t="s">
        <v>3093</v>
      </c>
      <c r="E369" s="113" t="s">
        <v>1620</v>
      </c>
      <c r="F369" s="113" t="s">
        <v>3093</v>
      </c>
      <c r="G369" s="115" t="s">
        <v>3093</v>
      </c>
      <c r="H369" s="161">
        <v>10.45</v>
      </c>
      <c r="I369" s="161">
        <v>0</v>
      </c>
    </row>
    <row r="370" spans="1:9">
      <c r="A370" s="113">
        <v>100400007</v>
      </c>
      <c r="B370" s="113" t="s">
        <v>3445</v>
      </c>
      <c r="C370" s="113">
        <v>4002077</v>
      </c>
      <c r="D370" s="113" t="s">
        <v>3093</v>
      </c>
      <c r="E370" s="113" t="s">
        <v>1620</v>
      </c>
      <c r="F370" s="113" t="s">
        <v>3093</v>
      </c>
      <c r="G370" s="115" t="s">
        <v>3093</v>
      </c>
      <c r="H370" s="161">
        <v>11.7</v>
      </c>
      <c r="I370" s="161">
        <v>0</v>
      </c>
    </row>
    <row r="371" spans="1:9">
      <c r="A371" s="113">
        <v>100400008</v>
      </c>
      <c r="B371" s="113" t="s">
        <v>3446</v>
      </c>
      <c r="C371" s="113">
        <v>4002078</v>
      </c>
      <c r="D371" s="113" t="s">
        <v>3093</v>
      </c>
      <c r="E371" s="113" t="s">
        <v>1620</v>
      </c>
      <c r="F371" s="113" t="s">
        <v>3093</v>
      </c>
      <c r="G371" s="115" t="s">
        <v>3093</v>
      </c>
      <c r="H371" s="161">
        <v>9.6050000000000004</v>
      </c>
      <c r="I371" s="161">
        <v>0</v>
      </c>
    </row>
    <row r="372" spans="1:9">
      <c r="A372" s="113">
        <v>100400009</v>
      </c>
      <c r="B372" s="113" t="s">
        <v>3447</v>
      </c>
      <c r="C372" s="113">
        <v>4002079</v>
      </c>
      <c r="D372" s="113" t="s">
        <v>3093</v>
      </c>
      <c r="E372" s="113" t="s">
        <v>1620</v>
      </c>
      <c r="F372" s="113" t="s">
        <v>3093</v>
      </c>
      <c r="G372" s="115" t="s">
        <v>3093</v>
      </c>
      <c r="H372" s="161">
        <v>10.8</v>
      </c>
      <c r="I372" s="161">
        <v>0</v>
      </c>
    </row>
    <row r="373" spans="1:9">
      <c r="A373" s="113">
        <v>100400010</v>
      </c>
      <c r="B373" s="113" t="s">
        <v>3448</v>
      </c>
      <c r="C373" s="113">
        <v>4002080</v>
      </c>
      <c r="D373" s="113" t="s">
        <v>3093</v>
      </c>
      <c r="E373" s="113" t="s">
        <v>1620</v>
      </c>
      <c r="F373" s="113" t="s">
        <v>3093</v>
      </c>
      <c r="G373" s="115" t="s">
        <v>3093</v>
      </c>
      <c r="H373" s="161">
        <v>11.15</v>
      </c>
      <c r="I373" s="161">
        <v>0</v>
      </c>
    </row>
    <row r="374" spans="1:9">
      <c r="A374" s="113">
        <v>100400011</v>
      </c>
      <c r="B374" s="113" t="s">
        <v>3449</v>
      </c>
      <c r="C374" s="113">
        <v>4002081</v>
      </c>
      <c r="D374" s="113" t="s">
        <v>3093</v>
      </c>
      <c r="E374" s="113" t="s">
        <v>1620</v>
      </c>
      <c r="F374" s="113" t="s">
        <v>3093</v>
      </c>
      <c r="G374" s="115" t="s">
        <v>3093</v>
      </c>
      <c r="H374" s="161">
        <v>11.15</v>
      </c>
      <c r="I374" s="161">
        <v>0</v>
      </c>
    </row>
    <row r="375" spans="1:9">
      <c r="A375" s="113">
        <v>100400012</v>
      </c>
      <c r="B375" s="113" t="s">
        <v>3450</v>
      </c>
      <c r="C375" s="113">
        <v>4002090</v>
      </c>
      <c r="D375" s="113" t="s">
        <v>3093</v>
      </c>
      <c r="E375" s="113" t="s">
        <v>1620</v>
      </c>
      <c r="F375" s="113" t="s">
        <v>3093</v>
      </c>
      <c r="G375" s="115" t="s">
        <v>3093</v>
      </c>
      <c r="H375" s="161">
        <v>8.9</v>
      </c>
      <c r="I375" s="161">
        <v>0</v>
      </c>
    </row>
    <row r="376" spans="1:9">
      <c r="A376" s="113">
        <v>100400013</v>
      </c>
      <c r="B376" s="113" t="s">
        <v>3451</v>
      </c>
      <c r="C376" s="113">
        <v>4002091</v>
      </c>
      <c r="D376" s="113" t="s">
        <v>3093</v>
      </c>
      <c r="E376" s="113" t="s">
        <v>1620</v>
      </c>
      <c r="F376" s="113" t="s">
        <v>3093</v>
      </c>
      <c r="G376" s="115" t="s">
        <v>3093</v>
      </c>
      <c r="H376" s="161">
        <v>8.9</v>
      </c>
      <c r="I376" s="161">
        <v>0</v>
      </c>
    </row>
    <row r="377" spans="1:9">
      <c r="A377" s="113">
        <v>100400014</v>
      </c>
      <c r="B377" s="113" t="s">
        <v>3452</v>
      </c>
      <c r="C377" s="113">
        <v>4002106</v>
      </c>
      <c r="D377" s="113" t="s">
        <v>3093</v>
      </c>
      <c r="E377" s="113" t="s">
        <v>1620</v>
      </c>
      <c r="F377" s="113" t="s">
        <v>3093</v>
      </c>
      <c r="G377" s="115" t="s">
        <v>3093</v>
      </c>
      <c r="H377" s="161">
        <v>11.7</v>
      </c>
      <c r="I377" s="161">
        <v>24</v>
      </c>
    </row>
    <row r="378" spans="1:9">
      <c r="A378" s="113">
        <v>100400015</v>
      </c>
      <c r="B378" s="113" t="s">
        <v>3453</v>
      </c>
      <c r="C378" s="113">
        <v>4002107</v>
      </c>
      <c r="D378" s="113" t="s">
        <v>3093</v>
      </c>
      <c r="E378" s="113" t="s">
        <v>1620</v>
      </c>
      <c r="F378" s="113" t="s">
        <v>3093</v>
      </c>
      <c r="G378" s="115" t="s">
        <v>3093</v>
      </c>
      <c r="H378" s="161">
        <v>11.7</v>
      </c>
      <c r="I378" s="161">
        <v>24</v>
      </c>
    </row>
    <row r="379" spans="1:9">
      <c r="A379" s="113">
        <v>100400016</v>
      </c>
      <c r="B379" s="113" t="s">
        <v>3454</v>
      </c>
      <c r="C379" s="113">
        <v>4005057</v>
      </c>
      <c r="D379" s="113" t="s">
        <v>3093</v>
      </c>
      <c r="E379" s="113" t="s">
        <v>1620</v>
      </c>
      <c r="F379" s="113" t="s">
        <v>3093</v>
      </c>
      <c r="G379" s="115" t="s">
        <v>3093</v>
      </c>
      <c r="H379" s="161">
        <v>0.04</v>
      </c>
      <c r="I379" s="161">
        <v>0</v>
      </c>
    </row>
    <row r="380" spans="1:9">
      <c r="A380" s="113">
        <v>100400017</v>
      </c>
      <c r="B380" s="113" t="s">
        <v>3455</v>
      </c>
      <c r="C380" s="113">
        <v>4005069</v>
      </c>
      <c r="D380" s="113" t="s">
        <v>3093</v>
      </c>
      <c r="E380" s="113" t="s">
        <v>1620</v>
      </c>
      <c r="F380" s="113" t="s">
        <v>3093</v>
      </c>
      <c r="G380" s="115" t="s">
        <v>3093</v>
      </c>
      <c r="H380" s="161">
        <v>11.15</v>
      </c>
      <c r="I380" s="161">
        <v>0</v>
      </c>
    </row>
    <row r="381" spans="1:9">
      <c r="A381" s="113">
        <v>100400018</v>
      </c>
      <c r="B381" s="113" t="s">
        <v>3456</v>
      </c>
      <c r="C381" s="113">
        <v>4005077</v>
      </c>
      <c r="D381" s="113" t="s">
        <v>3093</v>
      </c>
      <c r="E381" s="113" t="s">
        <v>1620</v>
      </c>
      <c r="F381" s="113" t="s">
        <v>3093</v>
      </c>
      <c r="G381" s="115" t="s">
        <v>3093</v>
      </c>
      <c r="H381" s="161">
        <v>0.05</v>
      </c>
      <c r="I381" s="161">
        <v>0</v>
      </c>
    </row>
    <row r="382" spans="1:9">
      <c r="A382" s="113">
        <v>100400019</v>
      </c>
      <c r="B382" s="113" t="s">
        <v>3457</v>
      </c>
      <c r="C382" s="113">
        <v>4005085</v>
      </c>
      <c r="D382" s="113" t="s">
        <v>3093</v>
      </c>
      <c r="E382" s="113" t="s">
        <v>1620</v>
      </c>
      <c r="F382" s="113" t="s">
        <v>3093</v>
      </c>
      <c r="G382" s="115" t="s">
        <v>3093</v>
      </c>
      <c r="H382" s="161">
        <v>20</v>
      </c>
      <c r="I382" s="161">
        <v>4</v>
      </c>
    </row>
    <row r="383" spans="1:9">
      <c r="A383" s="113">
        <v>100400020</v>
      </c>
      <c r="B383" s="113" t="s">
        <v>3458</v>
      </c>
      <c r="C383" s="113">
        <v>4005086</v>
      </c>
      <c r="D383" s="113" t="s">
        <v>3093</v>
      </c>
      <c r="E383" s="113" t="s">
        <v>1620</v>
      </c>
      <c r="F383" s="113" t="s">
        <v>3093</v>
      </c>
      <c r="G383" s="115" t="s">
        <v>3093</v>
      </c>
      <c r="H383" s="161">
        <v>4.5</v>
      </c>
      <c r="I383" s="161">
        <v>2</v>
      </c>
    </row>
    <row r="384" spans="1:9">
      <c r="A384" s="113">
        <v>100400021</v>
      </c>
      <c r="B384" s="113" t="s">
        <v>3459</v>
      </c>
      <c r="C384" s="113">
        <v>4005087</v>
      </c>
      <c r="D384" s="113" t="s">
        <v>3093</v>
      </c>
      <c r="E384" s="113" t="s">
        <v>1620</v>
      </c>
      <c r="F384" s="113" t="s">
        <v>3093</v>
      </c>
      <c r="G384" s="115" t="s">
        <v>3093</v>
      </c>
      <c r="H384" s="161">
        <v>8.42</v>
      </c>
      <c r="I384" s="161">
        <v>3</v>
      </c>
    </row>
    <row r="385" spans="1:9">
      <c r="A385" s="113">
        <v>100400022</v>
      </c>
      <c r="B385" s="113" t="s">
        <v>2680</v>
      </c>
      <c r="C385" s="113">
        <v>4005089</v>
      </c>
      <c r="D385" s="113" t="s">
        <v>3093</v>
      </c>
      <c r="E385" s="113" t="s">
        <v>1620</v>
      </c>
      <c r="F385" s="113" t="s">
        <v>3093</v>
      </c>
      <c r="G385" s="115" t="s">
        <v>3093</v>
      </c>
      <c r="H385" s="161">
        <v>0.28000000000000003</v>
      </c>
      <c r="I385" s="161">
        <v>12</v>
      </c>
    </row>
    <row r="386" spans="1:9">
      <c r="A386" s="113">
        <v>100400023</v>
      </c>
      <c r="B386" s="113" t="s">
        <v>591</v>
      </c>
      <c r="C386" s="113">
        <v>4005090</v>
      </c>
      <c r="D386" s="113" t="s">
        <v>3093</v>
      </c>
      <c r="E386" s="113" t="s">
        <v>1620</v>
      </c>
      <c r="F386" s="113" t="s">
        <v>3093</v>
      </c>
      <c r="G386" s="115" t="s">
        <v>3093</v>
      </c>
      <c r="H386" s="161">
        <v>3.65</v>
      </c>
      <c r="I386" s="161">
        <v>3</v>
      </c>
    </row>
    <row r="387" spans="1:9">
      <c r="A387" s="113">
        <v>100400024</v>
      </c>
      <c r="B387" s="113" t="s">
        <v>2681</v>
      </c>
      <c r="C387" s="113">
        <v>4005092</v>
      </c>
      <c r="D387" s="113" t="s">
        <v>3093</v>
      </c>
      <c r="E387" s="113" t="s">
        <v>1620</v>
      </c>
      <c r="F387" s="113" t="s">
        <v>3093</v>
      </c>
      <c r="G387" s="115" t="s">
        <v>3093</v>
      </c>
      <c r="H387" s="161">
        <v>0.04</v>
      </c>
      <c r="I387" s="161">
        <v>5000</v>
      </c>
    </row>
    <row r="388" spans="1:9">
      <c r="A388" s="113">
        <v>100400025</v>
      </c>
      <c r="B388" s="113" t="s">
        <v>3460</v>
      </c>
      <c r="C388" s="113">
        <v>4005124</v>
      </c>
      <c r="D388" s="113" t="s">
        <v>3093</v>
      </c>
      <c r="E388" s="113" t="s">
        <v>1620</v>
      </c>
      <c r="F388" s="113" t="s">
        <v>3093</v>
      </c>
      <c r="G388" s="115" t="s">
        <v>3093</v>
      </c>
      <c r="H388" s="161">
        <v>19.899999999999999</v>
      </c>
      <c r="I388" s="161">
        <v>1</v>
      </c>
    </row>
    <row r="389" spans="1:9">
      <c r="A389" s="113">
        <v>100400026</v>
      </c>
      <c r="B389" s="113" t="s">
        <v>2682</v>
      </c>
      <c r="C389" s="113">
        <v>4005125</v>
      </c>
      <c r="D389" s="113" t="s">
        <v>3093</v>
      </c>
      <c r="E389" s="113" t="s">
        <v>1620</v>
      </c>
      <c r="F389" s="113" t="s">
        <v>3093</v>
      </c>
      <c r="G389" s="115" t="s">
        <v>3093</v>
      </c>
      <c r="H389" s="161">
        <v>0.15</v>
      </c>
      <c r="I389" s="161">
        <v>322</v>
      </c>
    </row>
    <row r="390" spans="1:9">
      <c r="A390" s="113">
        <v>100400027</v>
      </c>
      <c r="B390" s="113" t="s">
        <v>3461</v>
      </c>
      <c r="C390" s="113">
        <v>4005135</v>
      </c>
      <c r="D390" s="113" t="s">
        <v>3093</v>
      </c>
      <c r="E390" s="113" t="s">
        <v>1620</v>
      </c>
      <c r="F390" s="113" t="s">
        <v>3093</v>
      </c>
      <c r="G390" s="115" t="s">
        <v>3093</v>
      </c>
      <c r="H390" s="161">
        <v>8.6</v>
      </c>
      <c r="I390" s="161">
        <v>0</v>
      </c>
    </row>
    <row r="391" spans="1:9">
      <c r="A391" s="113">
        <v>100400028</v>
      </c>
      <c r="B391" s="113" t="s">
        <v>3462</v>
      </c>
      <c r="C391" s="113">
        <v>4005137</v>
      </c>
      <c r="D391" s="113" t="s">
        <v>3093</v>
      </c>
      <c r="E391" s="113" t="s">
        <v>1620</v>
      </c>
      <c r="F391" s="113" t="s">
        <v>3093</v>
      </c>
      <c r="G391" s="115" t="s">
        <v>3093</v>
      </c>
      <c r="H391" s="161">
        <v>13.84</v>
      </c>
      <c r="I391" s="161">
        <v>0</v>
      </c>
    </row>
    <row r="392" spans="1:9">
      <c r="A392" s="113">
        <v>100400029</v>
      </c>
      <c r="B392" s="113" t="s">
        <v>3463</v>
      </c>
      <c r="C392" s="113">
        <v>4005138</v>
      </c>
      <c r="D392" s="113" t="s">
        <v>3093</v>
      </c>
      <c r="E392" s="113" t="s">
        <v>1620</v>
      </c>
      <c r="F392" s="113" t="s">
        <v>3093</v>
      </c>
      <c r="G392" s="115" t="s">
        <v>3093</v>
      </c>
      <c r="H392" s="161">
        <v>35</v>
      </c>
      <c r="I392" s="161">
        <v>0</v>
      </c>
    </row>
    <row r="393" spans="1:9">
      <c r="A393" s="113">
        <v>100400030</v>
      </c>
      <c r="B393" s="113" t="s">
        <v>3464</v>
      </c>
      <c r="C393" s="113">
        <v>4005147</v>
      </c>
      <c r="D393" s="113" t="s">
        <v>3093</v>
      </c>
      <c r="E393" s="113" t="s">
        <v>1620</v>
      </c>
      <c r="F393" s="113" t="s">
        <v>3093</v>
      </c>
      <c r="G393" s="115" t="s">
        <v>3093</v>
      </c>
      <c r="H393" s="161">
        <v>37</v>
      </c>
      <c r="I393" s="161">
        <v>0</v>
      </c>
    </row>
    <row r="394" spans="1:9">
      <c r="A394" s="113">
        <v>100400031</v>
      </c>
      <c r="B394" s="113" t="s">
        <v>3465</v>
      </c>
      <c r="C394" s="113">
        <v>4005148</v>
      </c>
      <c r="D394" s="113" t="s">
        <v>3093</v>
      </c>
      <c r="E394" s="113" t="s">
        <v>1620</v>
      </c>
      <c r="F394" s="113" t="s">
        <v>3093</v>
      </c>
      <c r="G394" s="115" t="s">
        <v>3093</v>
      </c>
      <c r="H394" s="161">
        <v>10.5</v>
      </c>
      <c r="I394" s="161">
        <v>0</v>
      </c>
    </row>
    <row r="395" spans="1:9">
      <c r="A395" s="113">
        <v>100400032</v>
      </c>
      <c r="B395" s="113" t="s">
        <v>3466</v>
      </c>
      <c r="C395" s="113">
        <v>4005149</v>
      </c>
      <c r="D395" s="113" t="s">
        <v>3093</v>
      </c>
      <c r="E395" s="113" t="s">
        <v>1620</v>
      </c>
      <c r="F395" s="113" t="s">
        <v>3093</v>
      </c>
      <c r="G395" s="115" t="s">
        <v>3093</v>
      </c>
      <c r="H395" s="161">
        <v>0.5</v>
      </c>
      <c r="I395" s="161">
        <v>0</v>
      </c>
    </row>
    <row r="396" spans="1:9">
      <c r="A396" s="113">
        <v>100400033</v>
      </c>
      <c r="B396" s="113" t="s">
        <v>3467</v>
      </c>
      <c r="C396" s="113">
        <v>4005158</v>
      </c>
      <c r="D396" s="113" t="s">
        <v>3093</v>
      </c>
      <c r="E396" s="113" t="s">
        <v>1620</v>
      </c>
      <c r="F396" s="113" t="s">
        <v>3093</v>
      </c>
      <c r="G396" s="115" t="s">
        <v>3093</v>
      </c>
      <c r="H396" s="161">
        <v>0.31</v>
      </c>
      <c r="I396" s="161">
        <v>0</v>
      </c>
    </row>
    <row r="397" spans="1:9">
      <c r="A397" s="113">
        <v>100400034</v>
      </c>
      <c r="B397" s="113" t="s">
        <v>3468</v>
      </c>
      <c r="C397" s="113">
        <v>4005159</v>
      </c>
      <c r="D397" s="113" t="s">
        <v>3093</v>
      </c>
      <c r="E397" s="113" t="s">
        <v>1620</v>
      </c>
      <c r="F397" s="113" t="s">
        <v>3093</v>
      </c>
      <c r="G397" s="115" t="s">
        <v>3093</v>
      </c>
      <c r="H397" s="161">
        <v>0.3</v>
      </c>
      <c r="I397" s="161">
        <v>0</v>
      </c>
    </row>
    <row r="398" spans="1:9">
      <c r="A398" s="113">
        <v>100400035</v>
      </c>
      <c r="B398" s="113" t="s">
        <v>2683</v>
      </c>
      <c r="C398" s="113">
        <v>4005188</v>
      </c>
      <c r="D398" s="113" t="s">
        <v>3093</v>
      </c>
      <c r="E398" s="113" t="s">
        <v>1620</v>
      </c>
      <c r="F398" s="113" t="s">
        <v>3093</v>
      </c>
      <c r="G398" s="115" t="s">
        <v>3093</v>
      </c>
      <c r="H398" s="161">
        <v>0.51</v>
      </c>
      <c r="I398" s="161">
        <v>12</v>
      </c>
    </row>
    <row r="399" spans="1:9">
      <c r="A399" s="113">
        <v>100400036</v>
      </c>
      <c r="B399" s="113" t="s">
        <v>3469</v>
      </c>
      <c r="C399" s="113">
        <v>4005189</v>
      </c>
      <c r="D399" s="113" t="s">
        <v>3093</v>
      </c>
      <c r="E399" s="113" t="s">
        <v>1620</v>
      </c>
      <c r="F399" s="113" t="s">
        <v>3093</v>
      </c>
      <c r="G399" s="115" t="s">
        <v>3093</v>
      </c>
      <c r="H399" s="161">
        <v>10</v>
      </c>
      <c r="I399" s="161">
        <v>2</v>
      </c>
    </row>
    <row r="400" spans="1:9">
      <c r="A400" s="113">
        <v>100400037</v>
      </c>
      <c r="B400" s="113" t="s">
        <v>3470</v>
      </c>
      <c r="C400" s="113">
        <v>4005190</v>
      </c>
      <c r="D400" s="113" t="s">
        <v>3093</v>
      </c>
      <c r="E400" s="113" t="s">
        <v>1620</v>
      </c>
      <c r="F400" s="113" t="s">
        <v>3093</v>
      </c>
      <c r="G400" s="115" t="s">
        <v>3093</v>
      </c>
      <c r="H400" s="161">
        <v>0.3</v>
      </c>
      <c r="I400" s="161">
        <v>3</v>
      </c>
    </row>
    <row r="401" spans="1:9">
      <c r="A401" s="113">
        <v>100400038</v>
      </c>
      <c r="B401" s="113" t="s">
        <v>3471</v>
      </c>
      <c r="C401" s="113">
        <v>4006005</v>
      </c>
      <c r="D401" s="113" t="s">
        <v>3093</v>
      </c>
      <c r="E401" s="113" t="s">
        <v>1620</v>
      </c>
      <c r="F401" s="113" t="s">
        <v>3093</v>
      </c>
      <c r="G401" s="115" t="s">
        <v>3093</v>
      </c>
      <c r="H401" s="161">
        <v>23.7</v>
      </c>
      <c r="I401" s="161">
        <v>108</v>
      </c>
    </row>
    <row r="402" spans="1:9">
      <c r="A402" s="113">
        <v>100400039</v>
      </c>
      <c r="B402" s="113" t="s">
        <v>2684</v>
      </c>
      <c r="C402" s="113">
        <v>4200002</v>
      </c>
      <c r="D402" s="113" t="s">
        <v>3093</v>
      </c>
      <c r="E402" s="113" t="s">
        <v>1620</v>
      </c>
      <c r="F402" s="113" t="s">
        <v>3093</v>
      </c>
      <c r="G402" s="115" t="s">
        <v>3093</v>
      </c>
      <c r="H402" s="161">
        <v>49.15</v>
      </c>
      <c r="I402" s="161">
        <v>24</v>
      </c>
    </row>
    <row r="403" spans="1:9">
      <c r="A403" s="113">
        <v>100400040</v>
      </c>
      <c r="B403" s="113" t="s">
        <v>3472</v>
      </c>
      <c r="C403" s="113">
        <v>4200003</v>
      </c>
      <c r="D403" s="113" t="s">
        <v>3093</v>
      </c>
      <c r="E403" s="113" t="s">
        <v>1620</v>
      </c>
      <c r="F403" s="113" t="s">
        <v>3093</v>
      </c>
      <c r="G403" s="115" t="s">
        <v>3093</v>
      </c>
      <c r="H403" s="161">
        <v>3.5</v>
      </c>
      <c r="I403" s="161">
        <v>8</v>
      </c>
    </row>
    <row r="404" spans="1:9">
      <c r="A404" s="113">
        <v>100400041</v>
      </c>
      <c r="B404" s="113" t="s">
        <v>2685</v>
      </c>
      <c r="C404" s="113">
        <v>4200004</v>
      </c>
      <c r="D404" s="113" t="s">
        <v>3093</v>
      </c>
      <c r="E404" s="113" t="s">
        <v>1620</v>
      </c>
      <c r="F404" s="113" t="s">
        <v>3093</v>
      </c>
      <c r="G404" s="115" t="s">
        <v>3093</v>
      </c>
      <c r="H404" s="161">
        <v>7.53</v>
      </c>
      <c r="I404" s="161">
        <v>2</v>
      </c>
    </row>
    <row r="405" spans="1:9">
      <c r="A405" s="113">
        <v>100400042</v>
      </c>
      <c r="B405" s="113" t="s">
        <v>3473</v>
      </c>
      <c r="C405" s="113">
        <v>4200010</v>
      </c>
      <c r="D405" s="113" t="s">
        <v>3093</v>
      </c>
      <c r="E405" s="113" t="s">
        <v>1620</v>
      </c>
      <c r="F405" s="113" t="s">
        <v>3093</v>
      </c>
      <c r="G405" s="115" t="s">
        <v>3093</v>
      </c>
      <c r="H405" s="161">
        <v>1275</v>
      </c>
      <c r="I405" s="161">
        <v>2</v>
      </c>
    </row>
    <row r="406" spans="1:9">
      <c r="A406" s="113">
        <v>100400043</v>
      </c>
      <c r="B406" s="113" t="s">
        <v>683</v>
      </c>
      <c r="C406" s="113">
        <v>4201028</v>
      </c>
      <c r="D406" s="113" t="s">
        <v>3093</v>
      </c>
      <c r="E406" s="113" t="s">
        <v>1620</v>
      </c>
      <c r="F406" s="113" t="s">
        <v>3093</v>
      </c>
      <c r="G406" s="115" t="s">
        <v>3093</v>
      </c>
      <c r="H406" s="161">
        <v>77</v>
      </c>
      <c r="I406" s="161">
        <v>2</v>
      </c>
    </row>
    <row r="407" spans="1:9">
      <c r="A407" s="113">
        <v>100400044</v>
      </c>
      <c r="B407" s="113" t="s">
        <v>2686</v>
      </c>
      <c r="C407" s="113">
        <v>4201029</v>
      </c>
      <c r="D407" s="113" t="s">
        <v>3093</v>
      </c>
      <c r="E407" s="113" t="s">
        <v>1620</v>
      </c>
      <c r="F407" s="113" t="s">
        <v>3093</v>
      </c>
      <c r="G407" s="115" t="s">
        <v>3093</v>
      </c>
      <c r="H407" s="161">
        <v>82.5</v>
      </c>
      <c r="I407" s="161">
        <v>1</v>
      </c>
    </row>
    <row r="408" spans="1:9">
      <c r="A408" s="113">
        <v>100400045</v>
      </c>
      <c r="B408" s="113" t="s">
        <v>3474</v>
      </c>
      <c r="C408" s="113">
        <v>4201038</v>
      </c>
      <c r="D408" s="113" t="s">
        <v>3093</v>
      </c>
      <c r="E408" s="113" t="s">
        <v>1620</v>
      </c>
      <c r="F408" s="113" t="s">
        <v>3093</v>
      </c>
      <c r="G408" s="115" t="s">
        <v>3093</v>
      </c>
      <c r="H408" s="161">
        <v>3.13</v>
      </c>
      <c r="I408" s="161">
        <v>1</v>
      </c>
    </row>
    <row r="409" spans="1:9">
      <c r="A409" s="113">
        <v>100400046</v>
      </c>
      <c r="B409" s="113" t="s">
        <v>3475</v>
      </c>
      <c r="C409" s="113">
        <v>4201039</v>
      </c>
      <c r="D409" s="113" t="s">
        <v>3093</v>
      </c>
      <c r="E409" s="113" t="s">
        <v>1620</v>
      </c>
      <c r="F409" s="113" t="s">
        <v>3093</v>
      </c>
      <c r="G409" s="115" t="s">
        <v>3093</v>
      </c>
      <c r="H409" s="161">
        <v>150</v>
      </c>
      <c r="I409" s="161">
        <v>4</v>
      </c>
    </row>
    <row r="410" spans="1:9">
      <c r="A410" s="113">
        <v>100400047</v>
      </c>
      <c r="B410" s="113" t="s">
        <v>3476</v>
      </c>
      <c r="C410" s="113">
        <v>4201043</v>
      </c>
      <c r="D410" s="113" t="s">
        <v>3093</v>
      </c>
      <c r="E410" s="113" t="s">
        <v>1620</v>
      </c>
      <c r="F410" s="113" t="s">
        <v>3093</v>
      </c>
      <c r="G410" s="115" t="s">
        <v>3093</v>
      </c>
      <c r="H410" s="161">
        <v>97</v>
      </c>
      <c r="I410" s="161">
        <v>0</v>
      </c>
    </row>
    <row r="411" spans="1:9">
      <c r="A411" s="113">
        <v>100400048</v>
      </c>
      <c r="B411" s="113" t="s">
        <v>759</v>
      </c>
      <c r="C411" s="113">
        <v>4201045</v>
      </c>
      <c r="D411" s="113" t="s">
        <v>3093</v>
      </c>
      <c r="E411" s="113" t="s">
        <v>1620</v>
      </c>
      <c r="F411" s="113" t="s">
        <v>3093</v>
      </c>
      <c r="G411" s="115" t="s">
        <v>3093</v>
      </c>
      <c r="H411" s="161">
        <v>46.55</v>
      </c>
      <c r="I411" s="161">
        <v>2</v>
      </c>
    </row>
    <row r="412" spans="1:9">
      <c r="A412" s="113">
        <v>100400049</v>
      </c>
      <c r="B412" s="113" t="s">
        <v>3477</v>
      </c>
      <c r="C412" s="113">
        <v>4201048</v>
      </c>
      <c r="D412" s="113" t="s">
        <v>3093</v>
      </c>
      <c r="E412" s="113" t="s">
        <v>1620</v>
      </c>
      <c r="F412" s="113" t="s">
        <v>3093</v>
      </c>
      <c r="G412" s="115" t="s">
        <v>3093</v>
      </c>
      <c r="H412" s="161">
        <v>6.6</v>
      </c>
      <c r="I412" s="161">
        <v>1</v>
      </c>
    </row>
    <row r="413" spans="1:9">
      <c r="A413" s="113">
        <v>100400050</v>
      </c>
      <c r="B413" s="113" t="s">
        <v>3478</v>
      </c>
      <c r="C413" s="113">
        <v>4201052</v>
      </c>
      <c r="D413" s="113" t="s">
        <v>3093</v>
      </c>
      <c r="E413" s="113" t="s">
        <v>1620</v>
      </c>
      <c r="F413" s="113" t="s">
        <v>3093</v>
      </c>
      <c r="G413" s="115" t="s">
        <v>3093</v>
      </c>
      <c r="H413" s="161">
        <v>35</v>
      </c>
      <c r="I413" s="161">
        <v>3</v>
      </c>
    </row>
    <row r="414" spans="1:9">
      <c r="A414" s="113">
        <v>100400051</v>
      </c>
      <c r="B414" s="113" t="s">
        <v>3479</v>
      </c>
      <c r="C414" s="113">
        <v>4201053</v>
      </c>
      <c r="D414" s="113" t="s">
        <v>3093</v>
      </c>
      <c r="E414" s="113" t="s">
        <v>1620</v>
      </c>
      <c r="F414" s="113" t="s">
        <v>3093</v>
      </c>
      <c r="G414" s="115" t="s">
        <v>3093</v>
      </c>
      <c r="H414" s="161">
        <v>35</v>
      </c>
      <c r="I414" s="161">
        <v>3</v>
      </c>
    </row>
    <row r="415" spans="1:9">
      <c r="A415" s="113">
        <v>100400052</v>
      </c>
      <c r="B415" s="113" t="s">
        <v>3480</v>
      </c>
      <c r="C415" s="113">
        <v>4201054</v>
      </c>
      <c r="D415" s="113" t="s">
        <v>3093</v>
      </c>
      <c r="E415" s="113" t="s">
        <v>1620</v>
      </c>
      <c r="F415" s="113" t="s">
        <v>3093</v>
      </c>
      <c r="G415" s="115" t="s">
        <v>3093</v>
      </c>
      <c r="H415" s="161">
        <v>35</v>
      </c>
      <c r="I415" s="161">
        <v>3</v>
      </c>
    </row>
    <row r="416" spans="1:9">
      <c r="A416" s="113">
        <v>100400053</v>
      </c>
      <c r="B416" s="113" t="s">
        <v>3481</v>
      </c>
      <c r="C416" s="113">
        <v>4201058</v>
      </c>
      <c r="D416" s="113" t="s">
        <v>3093</v>
      </c>
      <c r="E416" s="113" t="s">
        <v>1620</v>
      </c>
      <c r="F416" s="113" t="s">
        <v>3093</v>
      </c>
      <c r="G416" s="115" t="s">
        <v>3093</v>
      </c>
      <c r="H416" s="161">
        <v>65</v>
      </c>
      <c r="I416" s="161">
        <v>2</v>
      </c>
    </row>
    <row r="417" spans="1:9">
      <c r="A417" s="113">
        <v>100400054</v>
      </c>
      <c r="B417" s="113" t="s">
        <v>3482</v>
      </c>
      <c r="C417" s="113">
        <v>4201059</v>
      </c>
      <c r="D417" s="113" t="s">
        <v>3093</v>
      </c>
      <c r="E417" s="113" t="s">
        <v>1620</v>
      </c>
      <c r="F417" s="113" t="s">
        <v>3093</v>
      </c>
      <c r="G417" s="115" t="s">
        <v>3093</v>
      </c>
      <c r="H417" s="161">
        <v>18.8</v>
      </c>
      <c r="I417" s="161">
        <v>1</v>
      </c>
    </row>
    <row r="418" spans="1:9">
      <c r="A418" s="113">
        <v>100400055</v>
      </c>
      <c r="B418" s="113" t="s">
        <v>3483</v>
      </c>
      <c r="C418" s="113">
        <v>4201060</v>
      </c>
      <c r="D418" s="113" t="s">
        <v>3093</v>
      </c>
      <c r="E418" s="113" t="s">
        <v>1620</v>
      </c>
      <c r="F418" s="113" t="s">
        <v>3093</v>
      </c>
      <c r="G418" s="115" t="s">
        <v>3093</v>
      </c>
      <c r="H418" s="161">
        <v>11</v>
      </c>
      <c r="I418" s="161">
        <v>6</v>
      </c>
    </row>
    <row r="419" spans="1:9">
      <c r="A419" s="113">
        <v>100400056</v>
      </c>
      <c r="B419" s="113" t="s">
        <v>3484</v>
      </c>
      <c r="C419" s="113">
        <v>6000007</v>
      </c>
      <c r="D419" s="113" t="s">
        <v>3093</v>
      </c>
      <c r="E419" s="113" t="s">
        <v>1620</v>
      </c>
      <c r="F419" s="113" t="s">
        <v>3093</v>
      </c>
      <c r="G419" s="115" t="s">
        <v>3093</v>
      </c>
      <c r="H419" s="161">
        <v>0</v>
      </c>
      <c r="I419" s="161" t="s">
        <v>7138</v>
      </c>
    </row>
    <row r="420" spans="1:9">
      <c r="A420" s="113">
        <v>100400057</v>
      </c>
      <c r="B420" s="113" t="s">
        <v>3485</v>
      </c>
      <c r="C420" s="113">
        <v>6000008</v>
      </c>
      <c r="D420" s="113" t="s">
        <v>3093</v>
      </c>
      <c r="E420" s="113" t="s">
        <v>1620</v>
      </c>
      <c r="F420" s="113" t="s">
        <v>3093</v>
      </c>
      <c r="G420" s="115" t="s">
        <v>3093</v>
      </c>
      <c r="H420" s="161">
        <v>0</v>
      </c>
      <c r="I420" s="161" t="s">
        <v>7138</v>
      </c>
    </row>
    <row r="421" spans="1:9">
      <c r="A421" s="113">
        <v>100400058</v>
      </c>
      <c r="B421" s="113" t="s">
        <v>3486</v>
      </c>
      <c r="C421" s="113">
        <v>6000009</v>
      </c>
      <c r="D421" s="113" t="s">
        <v>3093</v>
      </c>
      <c r="E421" s="113" t="s">
        <v>1620</v>
      </c>
      <c r="F421" s="113" t="s">
        <v>3093</v>
      </c>
      <c r="G421" s="115" t="s">
        <v>3093</v>
      </c>
      <c r="H421" s="161">
        <v>0</v>
      </c>
      <c r="I421" s="161" t="s">
        <v>7138</v>
      </c>
    </row>
    <row r="422" spans="1:9">
      <c r="A422" s="113">
        <v>100400059</v>
      </c>
      <c r="B422" s="113" t="s">
        <v>3487</v>
      </c>
      <c r="C422" s="113">
        <v>6000010</v>
      </c>
      <c r="D422" s="113" t="s">
        <v>3093</v>
      </c>
      <c r="E422" s="113" t="s">
        <v>1620</v>
      </c>
      <c r="F422" s="113" t="s">
        <v>3093</v>
      </c>
      <c r="G422" s="115" t="s">
        <v>3093</v>
      </c>
      <c r="H422" s="161">
        <v>0</v>
      </c>
      <c r="I422" s="161" t="s">
        <v>7138</v>
      </c>
    </row>
    <row r="423" spans="1:9">
      <c r="A423" s="113">
        <v>100400060</v>
      </c>
      <c r="B423" s="113" t="s">
        <v>3488</v>
      </c>
      <c r="C423" s="113">
        <v>6000011</v>
      </c>
      <c r="D423" s="113" t="s">
        <v>3093</v>
      </c>
      <c r="E423" s="113" t="s">
        <v>1620</v>
      </c>
      <c r="F423" s="113" t="s">
        <v>3093</v>
      </c>
      <c r="G423" s="115" t="s">
        <v>3093</v>
      </c>
      <c r="H423" s="161">
        <v>99.96</v>
      </c>
      <c r="I423" s="161">
        <v>10</v>
      </c>
    </row>
    <row r="424" spans="1:9">
      <c r="A424" s="113">
        <v>100400061</v>
      </c>
      <c r="B424" s="113" t="s">
        <v>3489</v>
      </c>
      <c r="C424" s="113">
        <v>6000013</v>
      </c>
      <c r="D424" s="113" t="s">
        <v>3093</v>
      </c>
      <c r="E424" s="113" t="s">
        <v>1620</v>
      </c>
      <c r="F424" s="113" t="s">
        <v>3093</v>
      </c>
      <c r="G424" s="115" t="s">
        <v>3093</v>
      </c>
      <c r="H424" s="161">
        <v>65.099999999999994</v>
      </c>
      <c r="I424" s="161">
        <v>10</v>
      </c>
    </row>
    <row r="425" spans="1:9">
      <c r="A425" s="113">
        <v>100400062</v>
      </c>
      <c r="B425" s="113" t="s">
        <v>3490</v>
      </c>
      <c r="C425" s="113">
        <v>6000014</v>
      </c>
      <c r="D425" s="113" t="s">
        <v>3093</v>
      </c>
      <c r="E425" s="113" t="s">
        <v>1620</v>
      </c>
      <c r="F425" s="113" t="s">
        <v>3093</v>
      </c>
      <c r="G425" s="115" t="s">
        <v>3093</v>
      </c>
      <c r="H425" s="161">
        <v>24.3</v>
      </c>
      <c r="I425" s="161">
        <v>10</v>
      </c>
    </row>
    <row r="426" spans="1:9">
      <c r="A426" s="113">
        <v>100400063</v>
      </c>
      <c r="B426" s="113" t="s">
        <v>2687</v>
      </c>
      <c r="C426" s="113">
        <v>6000015</v>
      </c>
      <c r="D426" s="113" t="s">
        <v>3093</v>
      </c>
      <c r="E426" s="113" t="s">
        <v>1620</v>
      </c>
      <c r="F426" s="113" t="s">
        <v>3093</v>
      </c>
      <c r="G426" s="115" t="s">
        <v>3093</v>
      </c>
      <c r="H426" s="161">
        <v>0</v>
      </c>
      <c r="I426" s="161" t="s">
        <v>7138</v>
      </c>
    </row>
    <row r="427" spans="1:9">
      <c r="A427" s="113">
        <v>100400064</v>
      </c>
      <c r="B427" s="113" t="s">
        <v>3491</v>
      </c>
      <c r="C427" s="113">
        <v>6000016</v>
      </c>
      <c r="D427" s="113" t="s">
        <v>3093</v>
      </c>
      <c r="E427" s="113" t="s">
        <v>1620</v>
      </c>
      <c r="F427" s="113" t="s">
        <v>3093</v>
      </c>
      <c r="G427" s="115" t="s">
        <v>3093</v>
      </c>
      <c r="H427" s="161">
        <v>0</v>
      </c>
      <c r="I427" s="161" t="s">
        <v>7138</v>
      </c>
    </row>
    <row r="428" spans="1:9">
      <c r="A428" s="113">
        <v>100400065</v>
      </c>
      <c r="B428" s="113" t="s">
        <v>3492</v>
      </c>
      <c r="C428" s="113">
        <v>6000017</v>
      </c>
      <c r="D428" s="113" t="s">
        <v>3093</v>
      </c>
      <c r="E428" s="113" t="s">
        <v>1620</v>
      </c>
      <c r="F428" s="113" t="s">
        <v>3093</v>
      </c>
      <c r="G428" s="115" t="s">
        <v>3093</v>
      </c>
      <c r="H428" s="161">
        <v>0</v>
      </c>
      <c r="I428" s="161" t="s">
        <v>7138</v>
      </c>
    </row>
    <row r="429" spans="1:9">
      <c r="A429" s="113">
        <v>100400066</v>
      </c>
      <c r="B429" s="113" t="s">
        <v>3493</v>
      </c>
      <c r="C429" s="113">
        <v>6000018</v>
      </c>
      <c r="D429" s="113" t="s">
        <v>3093</v>
      </c>
      <c r="E429" s="113" t="s">
        <v>1620</v>
      </c>
      <c r="F429" s="113" t="s">
        <v>3093</v>
      </c>
      <c r="G429" s="115" t="s">
        <v>3093</v>
      </c>
      <c r="H429" s="161">
        <v>0</v>
      </c>
      <c r="I429" s="161" t="s">
        <v>7138</v>
      </c>
    </row>
    <row r="430" spans="1:9">
      <c r="A430" s="113">
        <v>100400067</v>
      </c>
      <c r="B430" s="113" t="s">
        <v>3494</v>
      </c>
      <c r="C430" s="113">
        <v>6000019</v>
      </c>
      <c r="D430" s="113" t="s">
        <v>3093</v>
      </c>
      <c r="E430" s="113" t="s">
        <v>1620</v>
      </c>
      <c r="F430" s="113" t="s">
        <v>3093</v>
      </c>
      <c r="G430" s="115" t="s">
        <v>3093</v>
      </c>
      <c r="H430" s="161">
        <v>0</v>
      </c>
      <c r="I430" s="161" t="s">
        <v>7138</v>
      </c>
    </row>
    <row r="431" spans="1:9">
      <c r="A431" s="113">
        <v>100400068</v>
      </c>
      <c r="B431" s="113" t="s">
        <v>3495</v>
      </c>
      <c r="C431" s="113">
        <v>6000020</v>
      </c>
      <c r="D431" s="113" t="s">
        <v>3093</v>
      </c>
      <c r="E431" s="113" t="s">
        <v>1620</v>
      </c>
      <c r="F431" s="113" t="s">
        <v>3093</v>
      </c>
      <c r="G431" s="115" t="s">
        <v>3093</v>
      </c>
      <c r="H431" s="161">
        <v>0</v>
      </c>
      <c r="I431" s="161" t="s">
        <v>7138</v>
      </c>
    </row>
    <row r="432" spans="1:9">
      <c r="A432" s="113">
        <v>100400069</v>
      </c>
      <c r="B432" s="113" t="s">
        <v>3496</v>
      </c>
      <c r="C432" s="113">
        <v>6001008</v>
      </c>
      <c r="D432" s="113" t="s">
        <v>3093</v>
      </c>
      <c r="E432" s="113" t="s">
        <v>1620</v>
      </c>
      <c r="F432" s="113" t="s">
        <v>3093</v>
      </c>
      <c r="G432" s="115" t="s">
        <v>3093</v>
      </c>
      <c r="H432" s="161">
        <v>36.86</v>
      </c>
      <c r="I432" s="161">
        <v>0</v>
      </c>
    </row>
    <row r="433" spans="1:9">
      <c r="A433" s="113">
        <v>100400070</v>
      </c>
      <c r="B433" s="113" t="s">
        <v>3497</v>
      </c>
      <c r="C433" s="113">
        <v>6001015</v>
      </c>
      <c r="D433" s="113" t="s">
        <v>3093</v>
      </c>
      <c r="E433" s="113" t="s">
        <v>1620</v>
      </c>
      <c r="F433" s="113" t="s">
        <v>3093</v>
      </c>
      <c r="G433" s="115" t="s">
        <v>3093</v>
      </c>
      <c r="H433" s="161">
        <v>29.66</v>
      </c>
      <c r="I433" s="161">
        <v>2</v>
      </c>
    </row>
    <row r="434" spans="1:9">
      <c r="A434" s="113">
        <v>100400071</v>
      </c>
      <c r="B434" s="113" t="s">
        <v>3498</v>
      </c>
      <c r="C434" s="113">
        <v>6001017</v>
      </c>
      <c r="D434" s="113" t="s">
        <v>3093</v>
      </c>
      <c r="E434" s="113" t="s">
        <v>1620</v>
      </c>
      <c r="F434" s="113" t="s">
        <v>3093</v>
      </c>
      <c r="G434" s="115" t="s">
        <v>3093</v>
      </c>
      <c r="H434" s="161">
        <v>35.03</v>
      </c>
      <c r="I434" s="161">
        <v>5</v>
      </c>
    </row>
    <row r="435" spans="1:9">
      <c r="A435" s="113">
        <v>100400072</v>
      </c>
      <c r="B435" s="113" t="s">
        <v>3499</v>
      </c>
      <c r="C435" s="113">
        <v>6001018</v>
      </c>
      <c r="D435" s="113" t="s">
        <v>3093</v>
      </c>
      <c r="E435" s="113" t="s">
        <v>1620</v>
      </c>
      <c r="F435" s="113" t="s">
        <v>3093</v>
      </c>
      <c r="G435" s="115" t="s">
        <v>3093</v>
      </c>
      <c r="H435" s="161">
        <v>34.39</v>
      </c>
      <c r="I435" s="161">
        <v>10</v>
      </c>
    </row>
    <row r="436" spans="1:9">
      <c r="A436" s="113">
        <v>100400073</v>
      </c>
      <c r="B436" s="113" t="s">
        <v>3500</v>
      </c>
      <c r="C436" s="113">
        <v>6001020</v>
      </c>
      <c r="D436" s="113" t="s">
        <v>3093</v>
      </c>
      <c r="E436" s="113" t="s">
        <v>1620</v>
      </c>
      <c r="F436" s="113" t="s">
        <v>3093</v>
      </c>
      <c r="G436" s="115" t="s">
        <v>3093</v>
      </c>
      <c r="H436" s="161">
        <v>107.35</v>
      </c>
      <c r="I436" s="161" t="s">
        <v>7138</v>
      </c>
    </row>
    <row r="437" spans="1:9">
      <c r="A437" s="113">
        <v>100400074</v>
      </c>
      <c r="B437" s="113" t="s">
        <v>3501</v>
      </c>
      <c r="C437" s="113">
        <v>6001021</v>
      </c>
      <c r="D437" s="113" t="s">
        <v>3093</v>
      </c>
      <c r="E437" s="113" t="s">
        <v>1620</v>
      </c>
      <c r="F437" s="113" t="s">
        <v>3093</v>
      </c>
      <c r="G437" s="115" t="s">
        <v>3093</v>
      </c>
      <c r="H437" s="161">
        <v>0</v>
      </c>
      <c r="I437" s="161" t="s">
        <v>7138</v>
      </c>
    </row>
    <row r="438" spans="1:9">
      <c r="A438" s="113">
        <v>100400075</v>
      </c>
      <c r="B438" s="113" t="s">
        <v>3502</v>
      </c>
      <c r="C438" s="113">
        <v>6001022</v>
      </c>
      <c r="D438" s="113" t="s">
        <v>3093</v>
      </c>
      <c r="E438" s="113" t="s">
        <v>1620</v>
      </c>
      <c r="F438" s="113" t="s">
        <v>3093</v>
      </c>
      <c r="G438" s="115" t="s">
        <v>3093</v>
      </c>
      <c r="H438" s="161">
        <v>0</v>
      </c>
      <c r="I438" s="161" t="s">
        <v>7138</v>
      </c>
    </row>
    <row r="439" spans="1:9">
      <c r="A439" s="113">
        <v>100400076</v>
      </c>
      <c r="B439" s="113" t="s">
        <v>3503</v>
      </c>
      <c r="C439" s="113">
        <v>6001037</v>
      </c>
      <c r="D439" s="113" t="s">
        <v>3093</v>
      </c>
      <c r="E439" s="113" t="s">
        <v>1620</v>
      </c>
      <c r="F439" s="113" t="s">
        <v>3093</v>
      </c>
      <c r="G439" s="115" t="s">
        <v>3093</v>
      </c>
      <c r="H439" s="161">
        <v>0</v>
      </c>
      <c r="I439" s="161" t="s">
        <v>7138</v>
      </c>
    </row>
    <row r="440" spans="1:9">
      <c r="A440" s="113">
        <v>100400077</v>
      </c>
      <c r="B440" s="113" t="s">
        <v>3504</v>
      </c>
      <c r="C440" s="113">
        <v>6001038</v>
      </c>
      <c r="D440" s="113" t="s">
        <v>3093</v>
      </c>
      <c r="E440" s="113" t="s">
        <v>1620</v>
      </c>
      <c r="F440" s="113" t="s">
        <v>3093</v>
      </c>
      <c r="G440" s="115" t="s">
        <v>3093</v>
      </c>
      <c r="H440" s="161">
        <v>0</v>
      </c>
      <c r="I440" s="161" t="s">
        <v>7138</v>
      </c>
    </row>
    <row r="441" spans="1:9">
      <c r="A441" s="113">
        <v>100400078</v>
      </c>
      <c r="B441" s="113" t="s">
        <v>3505</v>
      </c>
      <c r="C441" s="113">
        <v>6001039</v>
      </c>
      <c r="D441" s="113" t="s">
        <v>3093</v>
      </c>
      <c r="E441" s="113" t="s">
        <v>1620</v>
      </c>
      <c r="F441" s="113" t="s">
        <v>3093</v>
      </c>
      <c r="G441" s="115" t="s">
        <v>3093</v>
      </c>
      <c r="H441" s="161">
        <v>0</v>
      </c>
      <c r="I441" s="161" t="s">
        <v>7138</v>
      </c>
    </row>
    <row r="442" spans="1:9">
      <c r="A442" s="113">
        <v>100400079</v>
      </c>
      <c r="B442" s="113" t="s">
        <v>3506</v>
      </c>
      <c r="C442" s="113">
        <v>6001040</v>
      </c>
      <c r="D442" s="113" t="s">
        <v>3093</v>
      </c>
      <c r="E442" s="113" t="s">
        <v>1620</v>
      </c>
      <c r="F442" s="113" t="s">
        <v>3093</v>
      </c>
      <c r="G442" s="115" t="s">
        <v>3093</v>
      </c>
      <c r="H442" s="161">
        <v>92.43</v>
      </c>
      <c r="I442" s="161">
        <v>1</v>
      </c>
    </row>
    <row r="443" spans="1:9">
      <c r="A443" s="113">
        <v>100400080</v>
      </c>
      <c r="B443" s="113" t="s">
        <v>3507</v>
      </c>
      <c r="C443" s="113">
        <v>6001042</v>
      </c>
      <c r="D443" s="113" t="s">
        <v>3093</v>
      </c>
      <c r="E443" s="113" t="s">
        <v>1620</v>
      </c>
      <c r="F443" s="113" t="s">
        <v>3093</v>
      </c>
      <c r="G443" s="115" t="s">
        <v>3093</v>
      </c>
      <c r="H443" s="161">
        <v>0</v>
      </c>
      <c r="I443" s="161" t="s">
        <v>7138</v>
      </c>
    </row>
    <row r="444" spans="1:9">
      <c r="A444" s="113">
        <v>100400081</v>
      </c>
      <c r="B444" s="113" t="s">
        <v>2688</v>
      </c>
      <c r="C444" s="113">
        <v>6001060</v>
      </c>
      <c r="D444" s="113" t="s">
        <v>3093</v>
      </c>
      <c r="E444" s="113" t="s">
        <v>1620</v>
      </c>
      <c r="F444" s="113" t="s">
        <v>3093</v>
      </c>
      <c r="G444" s="115" t="s">
        <v>3093</v>
      </c>
      <c r="H444" s="161">
        <v>0</v>
      </c>
      <c r="I444" s="161" t="s">
        <v>7138</v>
      </c>
    </row>
    <row r="445" spans="1:9">
      <c r="A445" s="113">
        <v>100400082</v>
      </c>
      <c r="B445" s="113" t="s">
        <v>2689</v>
      </c>
      <c r="C445" s="113">
        <v>6001061</v>
      </c>
      <c r="D445" s="113" t="s">
        <v>3093</v>
      </c>
      <c r="E445" s="113" t="s">
        <v>1620</v>
      </c>
      <c r="F445" s="113" t="s">
        <v>3093</v>
      </c>
      <c r="G445" s="115" t="s">
        <v>3093</v>
      </c>
      <c r="H445" s="161">
        <v>0</v>
      </c>
      <c r="I445" s="161" t="s">
        <v>7138</v>
      </c>
    </row>
    <row r="446" spans="1:9">
      <c r="A446" s="113">
        <v>100400083</v>
      </c>
      <c r="B446" s="113" t="s">
        <v>3508</v>
      </c>
      <c r="C446" s="113">
        <v>6001062</v>
      </c>
      <c r="D446" s="113" t="s">
        <v>3093</v>
      </c>
      <c r="E446" s="113" t="s">
        <v>1620</v>
      </c>
      <c r="F446" s="113" t="s">
        <v>3093</v>
      </c>
      <c r="G446" s="115" t="s">
        <v>3093</v>
      </c>
      <c r="H446" s="161">
        <v>0</v>
      </c>
      <c r="I446" s="161" t="s">
        <v>7138</v>
      </c>
    </row>
    <row r="447" spans="1:9">
      <c r="A447" s="113">
        <v>100400084</v>
      </c>
      <c r="B447" s="113" t="s">
        <v>3509</v>
      </c>
      <c r="C447" s="113">
        <v>6001063</v>
      </c>
      <c r="D447" s="113" t="s">
        <v>3093</v>
      </c>
      <c r="E447" s="113" t="s">
        <v>1620</v>
      </c>
      <c r="F447" s="113" t="s">
        <v>3093</v>
      </c>
      <c r="G447" s="115" t="s">
        <v>3093</v>
      </c>
      <c r="H447" s="161">
        <v>229.15</v>
      </c>
      <c r="I447" s="161">
        <v>4</v>
      </c>
    </row>
    <row r="448" spans="1:9">
      <c r="A448" s="113">
        <v>100400085</v>
      </c>
      <c r="B448" s="113" t="s">
        <v>3510</v>
      </c>
      <c r="C448" s="113">
        <v>6001064</v>
      </c>
      <c r="D448" s="113" t="s">
        <v>3093</v>
      </c>
      <c r="E448" s="113" t="s">
        <v>1620</v>
      </c>
      <c r="F448" s="113" t="s">
        <v>3093</v>
      </c>
      <c r="G448" s="115" t="s">
        <v>3093</v>
      </c>
      <c r="H448" s="161">
        <v>89</v>
      </c>
      <c r="I448" s="161">
        <v>4</v>
      </c>
    </row>
    <row r="449" spans="1:9">
      <c r="A449" s="113">
        <v>100400087</v>
      </c>
      <c r="B449" s="113" t="s">
        <v>3511</v>
      </c>
      <c r="C449" s="113">
        <v>6001066</v>
      </c>
      <c r="D449" s="113" t="s">
        <v>3093</v>
      </c>
      <c r="E449" s="113" t="s">
        <v>1620</v>
      </c>
      <c r="F449" s="113" t="s">
        <v>3093</v>
      </c>
      <c r="G449" s="115" t="s">
        <v>3093</v>
      </c>
      <c r="H449" s="161">
        <v>0</v>
      </c>
      <c r="I449" s="161" t="s">
        <v>7138</v>
      </c>
    </row>
    <row r="450" spans="1:9">
      <c r="A450" s="113">
        <v>100400088</v>
      </c>
      <c r="B450" s="113" t="s">
        <v>3512</v>
      </c>
      <c r="C450" s="113">
        <v>6001067</v>
      </c>
      <c r="D450" s="113" t="s">
        <v>3093</v>
      </c>
      <c r="E450" s="113" t="s">
        <v>1620</v>
      </c>
      <c r="F450" s="113" t="s">
        <v>3093</v>
      </c>
      <c r="G450" s="115" t="s">
        <v>3093</v>
      </c>
      <c r="H450" s="161">
        <v>0</v>
      </c>
      <c r="I450" s="161" t="s">
        <v>7138</v>
      </c>
    </row>
    <row r="451" spans="1:9">
      <c r="A451" s="113">
        <v>100400089</v>
      </c>
      <c r="B451" s="113" t="s">
        <v>3513</v>
      </c>
      <c r="C451" s="113">
        <v>6001068</v>
      </c>
      <c r="D451" s="113" t="s">
        <v>3093</v>
      </c>
      <c r="E451" s="113" t="s">
        <v>1620</v>
      </c>
      <c r="F451" s="113" t="s">
        <v>3093</v>
      </c>
      <c r="G451" s="115" t="s">
        <v>3093</v>
      </c>
      <c r="H451" s="161">
        <v>0</v>
      </c>
      <c r="I451" s="161" t="s">
        <v>7138</v>
      </c>
    </row>
    <row r="452" spans="1:9">
      <c r="A452" s="113">
        <v>100400090</v>
      </c>
      <c r="B452" s="113" t="s">
        <v>3514</v>
      </c>
      <c r="C452" s="113">
        <v>6001070</v>
      </c>
      <c r="D452" s="113" t="s">
        <v>3093</v>
      </c>
      <c r="E452" s="113" t="s">
        <v>1620</v>
      </c>
      <c r="F452" s="113" t="s">
        <v>3093</v>
      </c>
      <c r="G452" s="115" t="s">
        <v>3093</v>
      </c>
      <c r="H452" s="161">
        <v>35.03</v>
      </c>
      <c r="I452" s="161">
        <v>2</v>
      </c>
    </row>
    <row r="453" spans="1:9">
      <c r="A453" s="113">
        <v>100400091</v>
      </c>
      <c r="B453" s="113" t="s">
        <v>3515</v>
      </c>
      <c r="C453" s="113">
        <v>6001071</v>
      </c>
      <c r="D453" s="113" t="s">
        <v>3093</v>
      </c>
      <c r="E453" s="113" t="s">
        <v>1620</v>
      </c>
      <c r="F453" s="113" t="s">
        <v>3093</v>
      </c>
      <c r="G453" s="115" t="s">
        <v>3093</v>
      </c>
      <c r="H453" s="161">
        <v>30.67</v>
      </c>
      <c r="I453" s="161">
        <v>0</v>
      </c>
    </row>
    <row r="454" spans="1:9">
      <c r="A454" s="113">
        <v>100400092</v>
      </c>
      <c r="B454" s="113" t="s">
        <v>3516</v>
      </c>
      <c r="C454" s="113">
        <v>6001072</v>
      </c>
      <c r="D454" s="113" t="s">
        <v>3093</v>
      </c>
      <c r="E454" s="113" t="s">
        <v>1620</v>
      </c>
      <c r="F454" s="113" t="s">
        <v>3093</v>
      </c>
      <c r="G454" s="115" t="s">
        <v>3093</v>
      </c>
      <c r="H454" s="161">
        <v>34.39</v>
      </c>
      <c r="I454" s="161">
        <v>1</v>
      </c>
    </row>
    <row r="455" spans="1:9">
      <c r="A455" s="113">
        <v>100400093</v>
      </c>
      <c r="B455" s="113" t="s">
        <v>3517</v>
      </c>
      <c r="C455" s="113">
        <v>6001073</v>
      </c>
      <c r="D455" s="113" t="s">
        <v>3093</v>
      </c>
      <c r="E455" s="113" t="s">
        <v>1620</v>
      </c>
      <c r="F455" s="113" t="s">
        <v>3093</v>
      </c>
      <c r="G455" s="115" t="s">
        <v>3093</v>
      </c>
      <c r="H455" s="161">
        <v>0</v>
      </c>
      <c r="I455" s="161" t="s">
        <v>7138</v>
      </c>
    </row>
    <row r="456" spans="1:9">
      <c r="A456" s="113">
        <v>100400094</v>
      </c>
      <c r="B456" s="113" t="s">
        <v>3518</v>
      </c>
      <c r="C456" s="113">
        <v>6001074</v>
      </c>
      <c r="D456" s="113" t="s">
        <v>3093</v>
      </c>
      <c r="E456" s="113" t="s">
        <v>1620</v>
      </c>
      <c r="F456" s="113" t="s">
        <v>3093</v>
      </c>
      <c r="G456" s="115" t="s">
        <v>3093</v>
      </c>
      <c r="H456" s="161">
        <v>0</v>
      </c>
      <c r="I456" s="161" t="s">
        <v>7138</v>
      </c>
    </row>
    <row r="457" spans="1:9">
      <c r="A457" s="113">
        <v>100400095</v>
      </c>
      <c r="B457" s="113" t="s">
        <v>3519</v>
      </c>
      <c r="C457" s="113">
        <v>6001078</v>
      </c>
      <c r="D457" s="113" t="s">
        <v>3093</v>
      </c>
      <c r="E457" s="113" t="s">
        <v>1620</v>
      </c>
      <c r="F457" s="113" t="s">
        <v>3093</v>
      </c>
      <c r="G457" s="115" t="s">
        <v>3093</v>
      </c>
      <c r="H457" s="161">
        <v>0</v>
      </c>
      <c r="I457" s="161" t="s">
        <v>7138</v>
      </c>
    </row>
    <row r="458" spans="1:9">
      <c r="A458" s="113">
        <v>100400096</v>
      </c>
      <c r="B458" s="113" t="s">
        <v>3520</v>
      </c>
      <c r="C458" s="113">
        <v>6001079</v>
      </c>
      <c r="D458" s="113" t="s">
        <v>3093</v>
      </c>
      <c r="E458" s="113" t="s">
        <v>1620</v>
      </c>
      <c r="F458" s="113" t="s">
        <v>3093</v>
      </c>
      <c r="G458" s="115" t="s">
        <v>3093</v>
      </c>
      <c r="H458" s="161">
        <v>0</v>
      </c>
      <c r="I458" s="161" t="s">
        <v>7138</v>
      </c>
    </row>
    <row r="459" spans="1:9">
      <c r="A459" s="113">
        <v>100400097</v>
      </c>
      <c r="B459" s="113" t="s">
        <v>3521</v>
      </c>
      <c r="C459" s="113">
        <v>6001080</v>
      </c>
      <c r="D459" s="113" t="s">
        <v>3093</v>
      </c>
      <c r="E459" s="113" t="s">
        <v>1620</v>
      </c>
      <c r="F459" s="113" t="s">
        <v>3093</v>
      </c>
      <c r="G459" s="115" t="s">
        <v>3093</v>
      </c>
      <c r="H459" s="161">
        <v>0</v>
      </c>
      <c r="I459" s="161" t="s">
        <v>7138</v>
      </c>
    </row>
    <row r="460" spans="1:9">
      <c r="A460" s="113">
        <v>100400098</v>
      </c>
      <c r="B460" s="113" t="s">
        <v>3522</v>
      </c>
      <c r="C460" s="113">
        <v>6001081</v>
      </c>
      <c r="D460" s="113" t="s">
        <v>3093</v>
      </c>
      <c r="E460" s="113" t="s">
        <v>1620</v>
      </c>
      <c r="F460" s="113" t="s">
        <v>3093</v>
      </c>
      <c r="G460" s="115" t="s">
        <v>3093</v>
      </c>
      <c r="H460" s="161">
        <v>0</v>
      </c>
      <c r="I460" s="161" t="s">
        <v>7138</v>
      </c>
    </row>
    <row r="461" spans="1:9">
      <c r="A461" s="113">
        <v>100400099</v>
      </c>
      <c r="B461" s="113" t="s">
        <v>3523</v>
      </c>
      <c r="C461" s="113">
        <v>6001082</v>
      </c>
      <c r="D461" s="113" t="s">
        <v>3093</v>
      </c>
      <c r="E461" s="113" t="s">
        <v>1620</v>
      </c>
      <c r="F461" s="113" t="s">
        <v>3093</v>
      </c>
      <c r="G461" s="115" t="s">
        <v>3093</v>
      </c>
      <c r="H461" s="161">
        <v>72.61</v>
      </c>
      <c r="I461" s="161">
        <v>2</v>
      </c>
    </row>
    <row r="462" spans="1:9">
      <c r="A462" s="113">
        <v>100400100</v>
      </c>
      <c r="B462" s="113" t="s">
        <v>3524</v>
      </c>
      <c r="C462" s="113">
        <v>6001083</v>
      </c>
      <c r="D462" s="113" t="s">
        <v>3093</v>
      </c>
      <c r="E462" s="113" t="s">
        <v>1620</v>
      </c>
      <c r="F462" s="113" t="s">
        <v>3093</v>
      </c>
      <c r="G462" s="115" t="s">
        <v>3093</v>
      </c>
      <c r="H462" s="161">
        <v>72.61</v>
      </c>
      <c r="I462" s="161">
        <v>2</v>
      </c>
    </row>
    <row r="463" spans="1:9">
      <c r="A463" s="113">
        <v>100400101</v>
      </c>
      <c r="B463" s="113" t="s">
        <v>3525</v>
      </c>
      <c r="C463" s="113">
        <v>6001084</v>
      </c>
      <c r="D463" s="113" t="s">
        <v>3093</v>
      </c>
      <c r="E463" s="113" t="s">
        <v>1620</v>
      </c>
      <c r="F463" s="113" t="s">
        <v>3093</v>
      </c>
      <c r="G463" s="115" t="s">
        <v>3093</v>
      </c>
      <c r="H463" s="161">
        <v>0</v>
      </c>
      <c r="I463" s="161" t="s">
        <v>7138</v>
      </c>
    </row>
    <row r="464" spans="1:9">
      <c r="A464" s="113">
        <v>100400102</v>
      </c>
      <c r="B464" s="113" t="s">
        <v>3526</v>
      </c>
      <c r="C464" s="113">
        <v>6001085</v>
      </c>
      <c r="D464" s="113" t="s">
        <v>3093</v>
      </c>
      <c r="E464" s="113" t="s">
        <v>1620</v>
      </c>
      <c r="F464" s="113" t="s">
        <v>3093</v>
      </c>
      <c r="G464" s="115" t="s">
        <v>3093</v>
      </c>
      <c r="H464" s="161">
        <v>0</v>
      </c>
      <c r="I464" s="161" t="s">
        <v>7138</v>
      </c>
    </row>
    <row r="465" spans="1:9">
      <c r="A465" s="113">
        <v>100400103</v>
      </c>
      <c r="B465" s="113" t="s">
        <v>3527</v>
      </c>
      <c r="C465" s="113">
        <v>6001086</v>
      </c>
      <c r="D465" s="113" t="s">
        <v>3093</v>
      </c>
      <c r="E465" s="113" t="s">
        <v>1620</v>
      </c>
      <c r="F465" s="113" t="s">
        <v>3093</v>
      </c>
      <c r="G465" s="115" t="s">
        <v>3093</v>
      </c>
      <c r="H465" s="161">
        <v>17.989999999999998</v>
      </c>
      <c r="I465" s="161">
        <v>10</v>
      </c>
    </row>
    <row r="466" spans="1:9">
      <c r="A466" s="113">
        <v>100400104</v>
      </c>
      <c r="B466" s="113" t="s">
        <v>3528</v>
      </c>
      <c r="C466" s="113">
        <v>6001087</v>
      </c>
      <c r="D466" s="113" t="s">
        <v>3093</v>
      </c>
      <c r="E466" s="113" t="s">
        <v>1620</v>
      </c>
      <c r="F466" s="113" t="s">
        <v>3093</v>
      </c>
      <c r="G466" s="115" t="s">
        <v>3093</v>
      </c>
      <c r="H466" s="161">
        <v>17.989999999999998</v>
      </c>
      <c r="I466" s="161">
        <v>10</v>
      </c>
    </row>
    <row r="467" spans="1:9">
      <c r="A467" s="113">
        <v>100400105</v>
      </c>
      <c r="B467" s="113" t="s">
        <v>3529</v>
      </c>
      <c r="C467" s="113">
        <v>6001088</v>
      </c>
      <c r="D467" s="113" t="s">
        <v>3093</v>
      </c>
      <c r="E467" s="113" t="s">
        <v>1620</v>
      </c>
      <c r="F467" s="113" t="s">
        <v>3093</v>
      </c>
      <c r="G467" s="115" t="s">
        <v>3093</v>
      </c>
      <c r="H467" s="161">
        <v>42.1</v>
      </c>
      <c r="I467" s="161">
        <v>3</v>
      </c>
    </row>
    <row r="468" spans="1:9">
      <c r="A468" s="113">
        <v>100400106</v>
      </c>
      <c r="B468" s="113" t="s">
        <v>3530</v>
      </c>
      <c r="C468" s="113">
        <v>6001089</v>
      </c>
      <c r="D468" s="113" t="s">
        <v>3093</v>
      </c>
      <c r="E468" s="113" t="s">
        <v>1620</v>
      </c>
      <c r="F468" s="113" t="s">
        <v>3093</v>
      </c>
      <c r="G468" s="115" t="s">
        <v>3093</v>
      </c>
      <c r="H468" s="161">
        <v>12</v>
      </c>
      <c r="I468" s="161">
        <v>6</v>
      </c>
    </row>
    <row r="469" spans="1:9">
      <c r="A469" s="113">
        <v>100400107</v>
      </c>
      <c r="B469" s="113" t="s">
        <v>3531</v>
      </c>
      <c r="C469" s="113">
        <v>6001090</v>
      </c>
      <c r="D469" s="113" t="s">
        <v>3093</v>
      </c>
      <c r="E469" s="113" t="s">
        <v>1620</v>
      </c>
      <c r="F469" s="113" t="s">
        <v>3093</v>
      </c>
      <c r="G469" s="115" t="s">
        <v>3093</v>
      </c>
      <c r="H469" s="161">
        <v>32.770000000000003</v>
      </c>
      <c r="I469" s="161">
        <v>2</v>
      </c>
    </row>
    <row r="470" spans="1:9">
      <c r="A470" s="113">
        <v>100400108</v>
      </c>
      <c r="B470" s="113" t="s">
        <v>3532</v>
      </c>
      <c r="C470" s="113">
        <v>6001091</v>
      </c>
      <c r="D470" s="113" t="s">
        <v>3093</v>
      </c>
      <c r="E470" s="113" t="s">
        <v>1620</v>
      </c>
      <c r="F470" s="113" t="s">
        <v>3093</v>
      </c>
      <c r="G470" s="115" t="s">
        <v>3093</v>
      </c>
      <c r="H470" s="161">
        <v>39.31</v>
      </c>
      <c r="I470" s="161">
        <v>10</v>
      </c>
    </row>
    <row r="471" spans="1:9">
      <c r="A471" s="113">
        <v>100400109</v>
      </c>
      <c r="B471" s="113" t="s">
        <v>3533</v>
      </c>
      <c r="C471" s="113">
        <v>6002001</v>
      </c>
      <c r="D471" s="113" t="s">
        <v>3093</v>
      </c>
      <c r="E471" s="113" t="s">
        <v>1620</v>
      </c>
      <c r="F471" s="113" t="s">
        <v>3093</v>
      </c>
      <c r="G471" s="115" t="s">
        <v>3093</v>
      </c>
      <c r="H471" s="161">
        <v>0</v>
      </c>
      <c r="I471" s="161" t="s">
        <v>7138</v>
      </c>
    </row>
    <row r="472" spans="1:9">
      <c r="A472" s="113">
        <v>100400110</v>
      </c>
      <c r="B472" s="113" t="s">
        <v>2690</v>
      </c>
      <c r="C472" s="113">
        <v>6002010</v>
      </c>
      <c r="D472" s="113" t="s">
        <v>3093</v>
      </c>
      <c r="E472" s="113" t="s">
        <v>1620</v>
      </c>
      <c r="F472" s="113" t="s">
        <v>3093</v>
      </c>
      <c r="G472" s="115" t="s">
        <v>3093</v>
      </c>
      <c r="H472" s="161">
        <v>0</v>
      </c>
      <c r="I472" s="161" t="s">
        <v>7138</v>
      </c>
    </row>
    <row r="473" spans="1:9">
      <c r="A473" s="113">
        <v>100400111</v>
      </c>
      <c r="B473" s="113" t="s">
        <v>2691</v>
      </c>
      <c r="C473" s="113">
        <v>6003014</v>
      </c>
      <c r="D473" s="113" t="s">
        <v>3093</v>
      </c>
      <c r="E473" s="113" t="s">
        <v>1620</v>
      </c>
      <c r="F473" s="113" t="s">
        <v>3093</v>
      </c>
      <c r="G473" s="115" t="s">
        <v>3093</v>
      </c>
      <c r="H473" s="161">
        <v>0</v>
      </c>
      <c r="I473" s="161" t="s">
        <v>7138</v>
      </c>
    </row>
    <row r="474" spans="1:9">
      <c r="A474" s="113">
        <v>100400112</v>
      </c>
      <c r="B474" s="113" t="s">
        <v>3534</v>
      </c>
      <c r="C474" s="113">
        <v>6003034</v>
      </c>
      <c r="D474" s="113" t="s">
        <v>3093</v>
      </c>
      <c r="E474" s="113" t="s">
        <v>1620</v>
      </c>
      <c r="F474" s="113" t="s">
        <v>3093</v>
      </c>
      <c r="G474" s="115" t="s">
        <v>3093</v>
      </c>
      <c r="H474" s="161">
        <v>0</v>
      </c>
      <c r="I474" s="161" t="s">
        <v>7138</v>
      </c>
    </row>
    <row r="475" spans="1:9">
      <c r="A475" s="113">
        <v>100400128</v>
      </c>
      <c r="B475" s="113" t="s">
        <v>3535</v>
      </c>
      <c r="C475" s="113">
        <v>6003122</v>
      </c>
      <c r="D475" s="113" t="s">
        <v>3093</v>
      </c>
      <c r="E475" s="113" t="s">
        <v>1620</v>
      </c>
      <c r="F475" s="113" t="s">
        <v>3093</v>
      </c>
      <c r="G475" s="115" t="s">
        <v>3093</v>
      </c>
      <c r="H475" s="161">
        <v>0</v>
      </c>
      <c r="I475" s="161" t="s">
        <v>7138</v>
      </c>
    </row>
    <row r="476" spans="1:9">
      <c r="A476" s="113">
        <v>100400136</v>
      </c>
      <c r="B476" s="113" t="s">
        <v>3536</v>
      </c>
      <c r="C476" s="113">
        <v>6003138</v>
      </c>
      <c r="D476" s="113" t="s">
        <v>3093</v>
      </c>
      <c r="E476" s="113" t="s">
        <v>1620</v>
      </c>
      <c r="F476" s="113" t="s">
        <v>3093</v>
      </c>
      <c r="G476" s="115" t="s">
        <v>3093</v>
      </c>
      <c r="H476" s="161">
        <v>0</v>
      </c>
      <c r="I476" s="161" t="s">
        <v>7138</v>
      </c>
    </row>
    <row r="477" spans="1:9">
      <c r="A477" s="113">
        <v>100400137</v>
      </c>
      <c r="B477" s="113" t="s">
        <v>3537</v>
      </c>
      <c r="C477" s="113">
        <v>6003139</v>
      </c>
      <c r="D477" s="113" t="s">
        <v>3093</v>
      </c>
      <c r="E477" s="113" t="s">
        <v>1620</v>
      </c>
      <c r="F477" s="113" t="s">
        <v>3093</v>
      </c>
      <c r="G477" s="115" t="s">
        <v>3093</v>
      </c>
      <c r="H477" s="161">
        <v>0</v>
      </c>
      <c r="I477" s="161" t="s">
        <v>7138</v>
      </c>
    </row>
    <row r="478" spans="1:9">
      <c r="A478" s="113">
        <v>100400138</v>
      </c>
      <c r="B478" s="113" t="s">
        <v>3538</v>
      </c>
      <c r="C478" s="113">
        <v>6003144</v>
      </c>
      <c r="D478" s="113" t="s">
        <v>3093</v>
      </c>
      <c r="E478" s="113" t="s">
        <v>1620</v>
      </c>
      <c r="F478" s="113" t="s">
        <v>3093</v>
      </c>
      <c r="G478" s="115" t="s">
        <v>3093</v>
      </c>
      <c r="H478" s="161">
        <v>0</v>
      </c>
      <c r="I478" s="161" t="s">
        <v>7138</v>
      </c>
    </row>
    <row r="479" spans="1:9">
      <c r="A479" s="113">
        <v>100400139</v>
      </c>
      <c r="B479" s="113" t="s">
        <v>3539</v>
      </c>
      <c r="C479" s="113">
        <v>6003145</v>
      </c>
      <c r="D479" s="113" t="s">
        <v>3093</v>
      </c>
      <c r="E479" s="113" t="s">
        <v>1620</v>
      </c>
      <c r="F479" s="113" t="s">
        <v>3093</v>
      </c>
      <c r="G479" s="115" t="s">
        <v>3093</v>
      </c>
      <c r="H479" s="161">
        <v>0</v>
      </c>
      <c r="I479" s="161" t="s">
        <v>7138</v>
      </c>
    </row>
    <row r="480" spans="1:9">
      <c r="A480" s="113">
        <v>100400140</v>
      </c>
      <c r="B480" s="113" t="s">
        <v>3540</v>
      </c>
      <c r="C480" s="113">
        <v>6003146</v>
      </c>
      <c r="D480" s="113" t="s">
        <v>3093</v>
      </c>
      <c r="E480" s="113" t="s">
        <v>1620</v>
      </c>
      <c r="F480" s="113" t="s">
        <v>3093</v>
      </c>
      <c r="G480" s="115" t="s">
        <v>3093</v>
      </c>
      <c r="H480" s="161">
        <v>0</v>
      </c>
      <c r="I480" s="161" t="s">
        <v>7138</v>
      </c>
    </row>
    <row r="481" spans="1:9">
      <c r="A481" s="113">
        <v>100400141</v>
      </c>
      <c r="B481" s="113" t="s">
        <v>3541</v>
      </c>
      <c r="C481" s="113">
        <v>6003147</v>
      </c>
      <c r="D481" s="113" t="s">
        <v>3093</v>
      </c>
      <c r="E481" s="113" t="s">
        <v>1620</v>
      </c>
      <c r="F481" s="113" t="s">
        <v>3093</v>
      </c>
      <c r="G481" s="115" t="s">
        <v>3093</v>
      </c>
      <c r="H481" s="161">
        <v>0</v>
      </c>
      <c r="I481" s="161" t="s">
        <v>7138</v>
      </c>
    </row>
    <row r="482" spans="1:9">
      <c r="A482" s="113">
        <v>100400142</v>
      </c>
      <c r="B482" s="113" t="s">
        <v>3542</v>
      </c>
      <c r="C482" s="113">
        <v>6003148</v>
      </c>
      <c r="D482" s="113" t="s">
        <v>3093</v>
      </c>
      <c r="E482" s="113" t="s">
        <v>1620</v>
      </c>
      <c r="F482" s="113" t="s">
        <v>3093</v>
      </c>
      <c r="G482" s="115" t="s">
        <v>3093</v>
      </c>
      <c r="H482" s="161">
        <v>260.97000000000003</v>
      </c>
      <c r="I482" s="161" t="s">
        <v>7138</v>
      </c>
    </row>
    <row r="483" spans="1:9">
      <c r="A483" s="113">
        <v>100400143</v>
      </c>
      <c r="B483" s="113" t="s">
        <v>2692</v>
      </c>
      <c r="C483" s="113">
        <v>6003160</v>
      </c>
      <c r="D483" s="113" t="s">
        <v>3093</v>
      </c>
      <c r="E483" s="113" t="s">
        <v>1620</v>
      </c>
      <c r="F483" s="113" t="s">
        <v>3093</v>
      </c>
      <c r="G483" s="115" t="s">
        <v>3093</v>
      </c>
      <c r="H483" s="161">
        <v>0</v>
      </c>
      <c r="I483" s="161" t="s">
        <v>7138</v>
      </c>
    </row>
    <row r="484" spans="1:9">
      <c r="A484" s="113">
        <v>100400144</v>
      </c>
      <c r="B484" s="113" t="s">
        <v>2693</v>
      </c>
      <c r="C484" s="113">
        <v>6003161</v>
      </c>
      <c r="D484" s="113" t="s">
        <v>3093</v>
      </c>
      <c r="E484" s="113" t="s">
        <v>1620</v>
      </c>
      <c r="F484" s="113" t="s">
        <v>3093</v>
      </c>
      <c r="G484" s="115" t="s">
        <v>3093</v>
      </c>
      <c r="H484" s="161">
        <v>0</v>
      </c>
      <c r="I484" s="161" t="s">
        <v>7138</v>
      </c>
    </row>
    <row r="485" spans="1:9">
      <c r="A485" s="113">
        <v>100400145</v>
      </c>
      <c r="B485" s="113" t="s">
        <v>2694</v>
      </c>
      <c r="C485" s="113">
        <v>6003162</v>
      </c>
      <c r="D485" s="113" t="s">
        <v>3093</v>
      </c>
      <c r="E485" s="113" t="s">
        <v>1620</v>
      </c>
      <c r="F485" s="113" t="s">
        <v>3093</v>
      </c>
      <c r="G485" s="115" t="s">
        <v>3093</v>
      </c>
      <c r="H485" s="161">
        <v>0</v>
      </c>
      <c r="I485" s="161" t="s">
        <v>7138</v>
      </c>
    </row>
    <row r="486" spans="1:9">
      <c r="A486" s="113">
        <v>100400146</v>
      </c>
      <c r="B486" s="113" t="s">
        <v>2695</v>
      </c>
      <c r="C486" s="113">
        <v>6003163</v>
      </c>
      <c r="D486" s="113" t="s">
        <v>3093</v>
      </c>
      <c r="E486" s="113" t="s">
        <v>1620</v>
      </c>
      <c r="F486" s="113" t="s">
        <v>3093</v>
      </c>
      <c r="G486" s="115" t="s">
        <v>3093</v>
      </c>
      <c r="H486" s="161">
        <v>0</v>
      </c>
      <c r="I486" s="161" t="s">
        <v>7138</v>
      </c>
    </row>
    <row r="487" spans="1:9">
      <c r="A487" s="113">
        <v>100400147</v>
      </c>
      <c r="B487" s="113" t="s">
        <v>2696</v>
      </c>
      <c r="C487" s="113">
        <v>6003164</v>
      </c>
      <c r="D487" s="113" t="s">
        <v>3093</v>
      </c>
      <c r="E487" s="113" t="s">
        <v>1620</v>
      </c>
      <c r="F487" s="113" t="s">
        <v>3093</v>
      </c>
      <c r="G487" s="115" t="s">
        <v>3093</v>
      </c>
      <c r="H487" s="161">
        <v>0</v>
      </c>
      <c r="I487" s="161" t="s">
        <v>7138</v>
      </c>
    </row>
    <row r="488" spans="1:9">
      <c r="A488" s="113">
        <v>100400148</v>
      </c>
      <c r="B488" s="113" t="s">
        <v>2697</v>
      </c>
      <c r="C488" s="113">
        <v>6003165</v>
      </c>
      <c r="D488" s="113" t="s">
        <v>3093</v>
      </c>
      <c r="E488" s="113" t="s">
        <v>1620</v>
      </c>
      <c r="F488" s="113" t="s">
        <v>3093</v>
      </c>
      <c r="G488" s="115" t="s">
        <v>3093</v>
      </c>
      <c r="H488" s="161">
        <v>0</v>
      </c>
      <c r="I488" s="161" t="s">
        <v>7138</v>
      </c>
    </row>
    <row r="489" spans="1:9">
      <c r="A489" s="113">
        <v>100400149</v>
      </c>
      <c r="B489" s="113" t="s">
        <v>2698</v>
      </c>
      <c r="C489" s="113">
        <v>6003166</v>
      </c>
      <c r="D489" s="113" t="s">
        <v>3093</v>
      </c>
      <c r="E489" s="113" t="s">
        <v>1620</v>
      </c>
      <c r="F489" s="113" t="s">
        <v>3093</v>
      </c>
      <c r="G489" s="115" t="s">
        <v>3093</v>
      </c>
      <c r="H489" s="161">
        <v>0</v>
      </c>
      <c r="I489" s="161" t="s">
        <v>7138</v>
      </c>
    </row>
    <row r="490" spans="1:9">
      <c r="A490" s="113">
        <v>100400150</v>
      </c>
      <c r="B490" s="113" t="s">
        <v>2699</v>
      </c>
      <c r="C490" s="113">
        <v>6003167</v>
      </c>
      <c r="D490" s="113" t="s">
        <v>3093</v>
      </c>
      <c r="E490" s="113" t="s">
        <v>1620</v>
      </c>
      <c r="F490" s="113" t="s">
        <v>3093</v>
      </c>
      <c r="G490" s="115" t="s">
        <v>3093</v>
      </c>
      <c r="H490" s="161">
        <v>0</v>
      </c>
      <c r="I490" s="161" t="s">
        <v>7138</v>
      </c>
    </row>
    <row r="491" spans="1:9">
      <c r="A491" s="113">
        <v>100400151</v>
      </c>
      <c r="B491" s="113" t="s">
        <v>2700</v>
      </c>
      <c r="C491" s="113">
        <v>6003168</v>
      </c>
      <c r="D491" s="113" t="s">
        <v>3093</v>
      </c>
      <c r="E491" s="113" t="s">
        <v>1620</v>
      </c>
      <c r="F491" s="113" t="s">
        <v>3093</v>
      </c>
      <c r="G491" s="115" t="s">
        <v>3093</v>
      </c>
      <c r="H491" s="161">
        <v>0</v>
      </c>
      <c r="I491" s="161" t="s">
        <v>7138</v>
      </c>
    </row>
    <row r="492" spans="1:9">
      <c r="A492" s="113">
        <v>100400152</v>
      </c>
      <c r="B492" s="113" t="s">
        <v>2701</v>
      </c>
      <c r="C492" s="113">
        <v>6003169</v>
      </c>
      <c r="D492" s="113" t="s">
        <v>3093</v>
      </c>
      <c r="E492" s="113" t="s">
        <v>1620</v>
      </c>
      <c r="F492" s="113" t="s">
        <v>3093</v>
      </c>
      <c r="G492" s="115" t="s">
        <v>3093</v>
      </c>
      <c r="H492" s="161">
        <v>0</v>
      </c>
      <c r="I492" s="161" t="s">
        <v>7138</v>
      </c>
    </row>
    <row r="493" spans="1:9">
      <c r="A493" s="113">
        <v>100400153</v>
      </c>
      <c r="B493" s="113" t="s">
        <v>2702</v>
      </c>
      <c r="C493" s="113">
        <v>6003170</v>
      </c>
      <c r="D493" s="113" t="s">
        <v>3093</v>
      </c>
      <c r="E493" s="113" t="s">
        <v>1620</v>
      </c>
      <c r="F493" s="113" t="s">
        <v>3093</v>
      </c>
      <c r="G493" s="115" t="s">
        <v>3093</v>
      </c>
      <c r="H493" s="161">
        <v>0</v>
      </c>
      <c r="I493" s="161" t="s">
        <v>7138</v>
      </c>
    </row>
    <row r="494" spans="1:9">
      <c r="A494" s="113">
        <v>100400154</v>
      </c>
      <c r="B494" s="113" t="s">
        <v>2703</v>
      </c>
      <c r="C494" s="113">
        <v>6003171</v>
      </c>
      <c r="D494" s="113" t="s">
        <v>3093</v>
      </c>
      <c r="E494" s="113" t="s">
        <v>1620</v>
      </c>
      <c r="F494" s="113" t="s">
        <v>3093</v>
      </c>
      <c r="G494" s="115" t="s">
        <v>3093</v>
      </c>
      <c r="H494" s="161">
        <v>0</v>
      </c>
      <c r="I494" s="161" t="s">
        <v>7138</v>
      </c>
    </row>
    <row r="495" spans="1:9">
      <c r="A495" s="113">
        <v>100400155</v>
      </c>
      <c r="B495" s="113" t="s">
        <v>2704</v>
      </c>
      <c r="C495" s="113">
        <v>6003172</v>
      </c>
      <c r="D495" s="113" t="s">
        <v>3093</v>
      </c>
      <c r="E495" s="113" t="s">
        <v>1620</v>
      </c>
      <c r="F495" s="113" t="s">
        <v>3093</v>
      </c>
      <c r="G495" s="115" t="s">
        <v>3093</v>
      </c>
      <c r="H495" s="161">
        <v>0</v>
      </c>
      <c r="I495" s="161" t="s">
        <v>7138</v>
      </c>
    </row>
    <row r="496" spans="1:9">
      <c r="A496" s="113">
        <v>100400156</v>
      </c>
      <c r="B496" s="113" t="s">
        <v>2705</v>
      </c>
      <c r="C496" s="113">
        <v>6003173</v>
      </c>
      <c r="D496" s="113" t="s">
        <v>3093</v>
      </c>
      <c r="E496" s="113" t="s">
        <v>1620</v>
      </c>
      <c r="F496" s="113" t="s">
        <v>3093</v>
      </c>
      <c r="G496" s="115" t="s">
        <v>3093</v>
      </c>
      <c r="H496" s="161">
        <v>0</v>
      </c>
      <c r="I496" s="161" t="s">
        <v>7138</v>
      </c>
    </row>
    <row r="497" spans="1:9">
      <c r="A497" s="113">
        <v>100400157</v>
      </c>
      <c r="B497" s="113" t="s">
        <v>3543</v>
      </c>
      <c r="C497" s="113">
        <v>6003174</v>
      </c>
      <c r="D497" s="113" t="s">
        <v>3093</v>
      </c>
      <c r="E497" s="113" t="s">
        <v>1620</v>
      </c>
      <c r="F497" s="113" t="s">
        <v>3093</v>
      </c>
      <c r="G497" s="115" t="s">
        <v>3093</v>
      </c>
      <c r="H497" s="161">
        <v>0</v>
      </c>
      <c r="I497" s="161" t="s">
        <v>7138</v>
      </c>
    </row>
    <row r="498" spans="1:9">
      <c r="A498" s="113">
        <v>100400158</v>
      </c>
      <c r="B498" s="113" t="s">
        <v>2706</v>
      </c>
      <c r="C498" s="113">
        <v>6003175</v>
      </c>
      <c r="D498" s="113" t="s">
        <v>3093</v>
      </c>
      <c r="E498" s="113" t="s">
        <v>1620</v>
      </c>
      <c r="F498" s="113" t="s">
        <v>3093</v>
      </c>
      <c r="G498" s="115" t="s">
        <v>3093</v>
      </c>
      <c r="H498" s="161">
        <v>0</v>
      </c>
      <c r="I498" s="161" t="s">
        <v>7138</v>
      </c>
    </row>
    <row r="499" spans="1:9">
      <c r="A499" s="113">
        <v>100400159</v>
      </c>
      <c r="B499" s="113" t="s">
        <v>2707</v>
      </c>
      <c r="C499" s="113">
        <v>6003176</v>
      </c>
      <c r="D499" s="113" t="s">
        <v>3093</v>
      </c>
      <c r="E499" s="113" t="s">
        <v>1620</v>
      </c>
      <c r="F499" s="113" t="s">
        <v>3093</v>
      </c>
      <c r="G499" s="115" t="s">
        <v>3093</v>
      </c>
      <c r="H499" s="161">
        <v>0</v>
      </c>
      <c r="I499" s="161" t="s">
        <v>7138</v>
      </c>
    </row>
    <row r="500" spans="1:9">
      <c r="A500" s="113">
        <v>100400160</v>
      </c>
      <c r="B500" s="113" t="s">
        <v>2708</v>
      </c>
      <c r="C500" s="113">
        <v>6003177</v>
      </c>
      <c r="D500" s="113" t="s">
        <v>3093</v>
      </c>
      <c r="E500" s="113" t="s">
        <v>1620</v>
      </c>
      <c r="F500" s="113" t="s">
        <v>3093</v>
      </c>
      <c r="G500" s="115" t="s">
        <v>3093</v>
      </c>
      <c r="H500" s="161">
        <v>8.99</v>
      </c>
      <c r="I500" s="161">
        <v>5</v>
      </c>
    </row>
    <row r="501" spans="1:9">
      <c r="A501" s="113">
        <v>100400161</v>
      </c>
      <c r="B501" s="113" t="s">
        <v>2709</v>
      </c>
      <c r="C501" s="113">
        <v>6003178</v>
      </c>
      <c r="D501" s="113" t="s">
        <v>3093</v>
      </c>
      <c r="E501" s="113" t="s">
        <v>1620</v>
      </c>
      <c r="F501" s="113" t="s">
        <v>3093</v>
      </c>
      <c r="G501" s="115" t="s">
        <v>3093</v>
      </c>
      <c r="H501" s="161">
        <v>0</v>
      </c>
      <c r="I501" s="161" t="s">
        <v>7138</v>
      </c>
    </row>
    <row r="502" spans="1:9">
      <c r="A502" s="113">
        <v>100400162</v>
      </c>
      <c r="B502" s="113" t="s">
        <v>2710</v>
      </c>
      <c r="C502" s="113">
        <v>6003179</v>
      </c>
      <c r="D502" s="113" t="s">
        <v>3093</v>
      </c>
      <c r="E502" s="113" t="s">
        <v>1620</v>
      </c>
      <c r="F502" s="113" t="s">
        <v>3093</v>
      </c>
      <c r="G502" s="115" t="s">
        <v>3093</v>
      </c>
      <c r="H502" s="161">
        <v>0</v>
      </c>
      <c r="I502" s="161" t="s">
        <v>7138</v>
      </c>
    </row>
    <row r="503" spans="1:9">
      <c r="A503" s="113">
        <v>100400163</v>
      </c>
      <c r="B503" s="113" t="s">
        <v>3544</v>
      </c>
      <c r="C503" s="113">
        <v>6003180</v>
      </c>
      <c r="D503" s="113" t="s">
        <v>3093</v>
      </c>
      <c r="E503" s="113" t="s">
        <v>1620</v>
      </c>
      <c r="F503" s="113" t="s">
        <v>3093</v>
      </c>
      <c r="G503" s="115" t="s">
        <v>3093</v>
      </c>
      <c r="H503" s="161">
        <v>0</v>
      </c>
      <c r="I503" s="161" t="s">
        <v>7138</v>
      </c>
    </row>
    <row r="504" spans="1:9">
      <c r="A504" s="113">
        <v>100400164</v>
      </c>
      <c r="B504" s="113" t="s">
        <v>3545</v>
      </c>
      <c r="C504" s="113">
        <v>6003181</v>
      </c>
      <c r="D504" s="113" t="s">
        <v>3093</v>
      </c>
      <c r="E504" s="113" t="s">
        <v>1620</v>
      </c>
      <c r="F504" s="113" t="s">
        <v>3093</v>
      </c>
      <c r="G504" s="115" t="s">
        <v>3093</v>
      </c>
      <c r="H504" s="161">
        <v>0</v>
      </c>
      <c r="I504" s="161" t="s">
        <v>7138</v>
      </c>
    </row>
    <row r="505" spans="1:9">
      <c r="A505" s="113">
        <v>100400165</v>
      </c>
      <c r="B505" s="113" t="s">
        <v>2711</v>
      </c>
      <c r="C505" s="113">
        <v>6003182</v>
      </c>
      <c r="D505" s="113" t="s">
        <v>3093</v>
      </c>
      <c r="E505" s="113" t="s">
        <v>1620</v>
      </c>
      <c r="F505" s="113" t="s">
        <v>3093</v>
      </c>
      <c r="G505" s="115" t="s">
        <v>3093</v>
      </c>
      <c r="H505" s="161">
        <v>36.950000000000003</v>
      </c>
      <c r="I505" s="161">
        <v>1</v>
      </c>
    </row>
    <row r="506" spans="1:9">
      <c r="A506" s="113">
        <v>100400166</v>
      </c>
      <c r="B506" s="113" t="s">
        <v>2712</v>
      </c>
      <c r="C506" s="113">
        <v>6003185</v>
      </c>
      <c r="D506" s="113" t="s">
        <v>3093</v>
      </c>
      <c r="E506" s="113" t="s">
        <v>1620</v>
      </c>
      <c r="F506" s="113" t="s">
        <v>3093</v>
      </c>
      <c r="G506" s="115" t="s">
        <v>3093</v>
      </c>
      <c r="H506" s="161">
        <v>55.25</v>
      </c>
      <c r="I506" s="161">
        <v>1</v>
      </c>
    </row>
    <row r="507" spans="1:9">
      <c r="A507" s="113">
        <v>100400167</v>
      </c>
      <c r="B507" s="113" t="s">
        <v>3546</v>
      </c>
      <c r="C507" s="113">
        <v>6003186</v>
      </c>
      <c r="D507" s="113" t="s">
        <v>3093</v>
      </c>
      <c r="E507" s="113" t="s">
        <v>1620</v>
      </c>
      <c r="F507" s="113" t="s">
        <v>3093</v>
      </c>
      <c r="G507" s="115" t="s">
        <v>3093</v>
      </c>
      <c r="H507" s="161">
        <v>30.87</v>
      </c>
      <c r="I507" s="161">
        <v>1</v>
      </c>
    </row>
    <row r="508" spans="1:9">
      <c r="A508" s="113">
        <v>100400168</v>
      </c>
      <c r="B508" s="113" t="s">
        <v>3547</v>
      </c>
      <c r="C508" s="113">
        <v>6003187</v>
      </c>
      <c r="D508" s="113" t="s">
        <v>3093</v>
      </c>
      <c r="E508" s="113" t="s">
        <v>1620</v>
      </c>
      <c r="F508" s="113" t="s">
        <v>3093</v>
      </c>
      <c r="G508" s="115" t="s">
        <v>3093</v>
      </c>
      <c r="H508" s="161">
        <v>30.87</v>
      </c>
      <c r="I508" s="161">
        <v>4</v>
      </c>
    </row>
    <row r="509" spans="1:9">
      <c r="A509" s="113">
        <v>100400169</v>
      </c>
      <c r="B509" s="113" t="s">
        <v>3548</v>
      </c>
      <c r="C509" s="113">
        <v>6003188</v>
      </c>
      <c r="D509" s="113" t="s">
        <v>3093</v>
      </c>
      <c r="E509" s="113" t="s">
        <v>1620</v>
      </c>
      <c r="F509" s="113" t="s">
        <v>3093</v>
      </c>
      <c r="G509" s="115" t="s">
        <v>3093</v>
      </c>
      <c r="H509" s="161">
        <v>30.87</v>
      </c>
      <c r="I509" s="161">
        <v>2</v>
      </c>
    </row>
    <row r="510" spans="1:9">
      <c r="A510" s="113">
        <v>100400170</v>
      </c>
      <c r="B510" s="113" t="s">
        <v>3549</v>
      </c>
      <c r="C510" s="113">
        <v>6003189</v>
      </c>
      <c r="D510" s="113" t="s">
        <v>3093</v>
      </c>
      <c r="E510" s="113" t="s">
        <v>1620</v>
      </c>
      <c r="F510" s="113" t="s">
        <v>3093</v>
      </c>
      <c r="G510" s="115" t="s">
        <v>3093</v>
      </c>
      <c r="H510" s="161">
        <v>30.87</v>
      </c>
      <c r="I510" s="161">
        <v>2</v>
      </c>
    </row>
    <row r="511" spans="1:9">
      <c r="A511" s="113">
        <v>100400171</v>
      </c>
      <c r="B511" s="113" t="s">
        <v>3550</v>
      </c>
      <c r="C511" s="113">
        <v>6003190</v>
      </c>
      <c r="D511" s="113" t="s">
        <v>3093</v>
      </c>
      <c r="E511" s="113" t="s">
        <v>1620</v>
      </c>
      <c r="F511" s="113" t="s">
        <v>3093</v>
      </c>
      <c r="G511" s="115" t="s">
        <v>3093</v>
      </c>
      <c r="H511" s="161">
        <v>30.87</v>
      </c>
      <c r="I511" s="161">
        <v>2</v>
      </c>
    </row>
    <row r="512" spans="1:9">
      <c r="A512" s="113">
        <v>100400172</v>
      </c>
      <c r="B512" s="113" t="s">
        <v>3551</v>
      </c>
      <c r="C512" s="113">
        <v>6003191</v>
      </c>
      <c r="D512" s="113" t="s">
        <v>3093</v>
      </c>
      <c r="E512" s="113" t="s">
        <v>1620</v>
      </c>
      <c r="F512" s="113" t="s">
        <v>3093</v>
      </c>
      <c r="G512" s="115" t="s">
        <v>3093</v>
      </c>
      <c r="H512" s="161">
        <v>26.99</v>
      </c>
      <c r="I512" s="161">
        <v>2</v>
      </c>
    </row>
    <row r="513" spans="1:9">
      <c r="A513" s="113">
        <v>100400173</v>
      </c>
      <c r="B513" s="113" t="s">
        <v>3552</v>
      </c>
      <c r="C513" s="113">
        <v>6003192</v>
      </c>
      <c r="D513" s="113" t="s">
        <v>3093</v>
      </c>
      <c r="E513" s="113" t="s">
        <v>1620</v>
      </c>
      <c r="F513" s="113" t="s">
        <v>3093</v>
      </c>
      <c r="G513" s="115" t="s">
        <v>3093</v>
      </c>
      <c r="H513" s="161">
        <v>85</v>
      </c>
      <c r="I513" s="161">
        <v>4</v>
      </c>
    </row>
    <row r="514" spans="1:9">
      <c r="A514" s="113">
        <v>100400174</v>
      </c>
      <c r="B514" s="113" t="s">
        <v>3553</v>
      </c>
      <c r="C514" s="113">
        <v>6003193</v>
      </c>
      <c r="D514" s="113" t="s">
        <v>3093</v>
      </c>
      <c r="E514" s="113" t="s">
        <v>1620</v>
      </c>
      <c r="F514" s="113" t="s">
        <v>3093</v>
      </c>
      <c r="G514" s="115" t="s">
        <v>3093</v>
      </c>
      <c r="H514" s="161">
        <v>0</v>
      </c>
      <c r="I514" s="161" t="s">
        <v>7138</v>
      </c>
    </row>
    <row r="515" spans="1:9">
      <c r="A515" s="113">
        <v>100400175</v>
      </c>
      <c r="B515" s="113" t="s">
        <v>3554</v>
      </c>
      <c r="C515" s="113">
        <v>6003194</v>
      </c>
      <c r="D515" s="113" t="s">
        <v>3093</v>
      </c>
      <c r="E515" s="113" t="s">
        <v>1620</v>
      </c>
      <c r="F515" s="113" t="s">
        <v>3093</v>
      </c>
      <c r="G515" s="115" t="s">
        <v>3093</v>
      </c>
      <c r="H515" s="161">
        <v>0</v>
      </c>
      <c r="I515" s="161" t="s">
        <v>7138</v>
      </c>
    </row>
    <row r="516" spans="1:9">
      <c r="A516" s="113">
        <v>100400176</v>
      </c>
      <c r="B516" s="113" t="s">
        <v>3555</v>
      </c>
      <c r="C516" s="113">
        <v>6003195</v>
      </c>
      <c r="D516" s="113" t="s">
        <v>3093</v>
      </c>
      <c r="E516" s="113" t="s">
        <v>1620</v>
      </c>
      <c r="F516" s="113" t="s">
        <v>3093</v>
      </c>
      <c r="G516" s="115" t="s">
        <v>3093</v>
      </c>
      <c r="H516" s="161">
        <v>0</v>
      </c>
      <c r="I516" s="161" t="s">
        <v>7138</v>
      </c>
    </row>
    <row r="517" spans="1:9">
      <c r="A517" s="113">
        <v>100400177</v>
      </c>
      <c r="B517" s="113" t="s">
        <v>3556</v>
      </c>
      <c r="C517" s="113">
        <v>6003196</v>
      </c>
      <c r="D517" s="113" t="s">
        <v>3093</v>
      </c>
      <c r="E517" s="113" t="s">
        <v>1620</v>
      </c>
      <c r="F517" s="113" t="s">
        <v>3093</v>
      </c>
      <c r="G517" s="115" t="s">
        <v>3093</v>
      </c>
      <c r="H517" s="161">
        <v>0</v>
      </c>
      <c r="I517" s="161" t="s">
        <v>7138</v>
      </c>
    </row>
    <row r="518" spans="1:9">
      <c r="A518" s="113">
        <v>100400178</v>
      </c>
      <c r="B518" s="113" t="s">
        <v>3557</v>
      </c>
      <c r="C518" s="113">
        <v>6003197</v>
      </c>
      <c r="D518" s="113" t="s">
        <v>3093</v>
      </c>
      <c r="E518" s="113" t="s">
        <v>1620</v>
      </c>
      <c r="F518" s="113" t="s">
        <v>3093</v>
      </c>
      <c r="G518" s="115" t="s">
        <v>3093</v>
      </c>
      <c r="H518" s="161">
        <v>0</v>
      </c>
      <c r="I518" s="161" t="s">
        <v>7138</v>
      </c>
    </row>
    <row r="519" spans="1:9">
      <c r="A519" s="113">
        <v>100400179</v>
      </c>
      <c r="B519" s="113" t="s">
        <v>3558</v>
      </c>
      <c r="C519" s="113">
        <v>6003198</v>
      </c>
      <c r="D519" s="113" t="s">
        <v>3093</v>
      </c>
      <c r="E519" s="113" t="s">
        <v>1620</v>
      </c>
      <c r="F519" s="113" t="s">
        <v>3093</v>
      </c>
      <c r="G519" s="115" t="s">
        <v>3093</v>
      </c>
      <c r="H519" s="161">
        <v>0</v>
      </c>
      <c r="I519" s="161" t="s">
        <v>7138</v>
      </c>
    </row>
    <row r="520" spans="1:9">
      <c r="A520" s="113">
        <v>100400180</v>
      </c>
      <c r="B520" s="113" t="s">
        <v>3559</v>
      </c>
      <c r="C520" s="113">
        <v>6003199</v>
      </c>
      <c r="D520" s="113" t="s">
        <v>3093</v>
      </c>
      <c r="E520" s="113" t="s">
        <v>1620</v>
      </c>
      <c r="F520" s="113" t="s">
        <v>3093</v>
      </c>
      <c r="G520" s="115" t="s">
        <v>3093</v>
      </c>
      <c r="H520" s="161">
        <v>0</v>
      </c>
      <c r="I520" s="161" t="s">
        <v>7138</v>
      </c>
    </row>
    <row r="521" spans="1:9">
      <c r="A521" s="113">
        <v>100400181</v>
      </c>
      <c r="B521" s="113" t="s">
        <v>3560</v>
      </c>
      <c r="C521" s="113">
        <v>6003200</v>
      </c>
      <c r="D521" s="113" t="s">
        <v>3093</v>
      </c>
      <c r="E521" s="113" t="s">
        <v>1620</v>
      </c>
      <c r="F521" s="113" t="s">
        <v>3093</v>
      </c>
      <c r="G521" s="115" t="s">
        <v>3093</v>
      </c>
      <c r="H521" s="161">
        <v>0</v>
      </c>
      <c r="I521" s="161" t="s">
        <v>7138</v>
      </c>
    </row>
    <row r="522" spans="1:9">
      <c r="A522" s="113">
        <v>100400182</v>
      </c>
      <c r="B522" s="113" t="s">
        <v>3561</v>
      </c>
      <c r="C522" s="113">
        <v>6003201</v>
      </c>
      <c r="D522" s="113" t="s">
        <v>3093</v>
      </c>
      <c r="E522" s="113" t="s">
        <v>1620</v>
      </c>
      <c r="F522" s="113" t="s">
        <v>3093</v>
      </c>
      <c r="G522" s="115" t="s">
        <v>3093</v>
      </c>
      <c r="H522" s="161">
        <v>0</v>
      </c>
      <c r="I522" s="161" t="s">
        <v>7138</v>
      </c>
    </row>
    <row r="523" spans="1:9">
      <c r="A523" s="113">
        <v>100400183</v>
      </c>
      <c r="B523" s="113" t="s">
        <v>3562</v>
      </c>
      <c r="C523" s="113">
        <v>6003202</v>
      </c>
      <c r="D523" s="113" t="s">
        <v>3093</v>
      </c>
      <c r="E523" s="113" t="s">
        <v>1620</v>
      </c>
      <c r="F523" s="113" t="s">
        <v>3093</v>
      </c>
      <c r="G523" s="115" t="s">
        <v>3093</v>
      </c>
      <c r="H523" s="161">
        <v>0</v>
      </c>
      <c r="I523" s="161" t="s">
        <v>7138</v>
      </c>
    </row>
    <row r="524" spans="1:9">
      <c r="A524" s="113">
        <v>100400184</v>
      </c>
      <c r="B524" s="113" t="s">
        <v>3563</v>
      </c>
      <c r="C524" s="113">
        <v>6003203</v>
      </c>
      <c r="D524" s="113" t="s">
        <v>3093</v>
      </c>
      <c r="E524" s="113" t="s">
        <v>1620</v>
      </c>
      <c r="F524" s="113" t="s">
        <v>3093</v>
      </c>
      <c r="G524" s="115" t="s">
        <v>3093</v>
      </c>
      <c r="H524" s="161">
        <v>0</v>
      </c>
      <c r="I524" s="161" t="s">
        <v>7138</v>
      </c>
    </row>
    <row r="525" spans="1:9">
      <c r="A525" s="113">
        <v>100400185</v>
      </c>
      <c r="B525" s="113" t="s">
        <v>3564</v>
      </c>
      <c r="C525" s="113">
        <v>6003204</v>
      </c>
      <c r="D525" s="113" t="s">
        <v>3093</v>
      </c>
      <c r="E525" s="113" t="s">
        <v>1620</v>
      </c>
      <c r="F525" s="113" t="s">
        <v>3093</v>
      </c>
      <c r="G525" s="115" t="s">
        <v>3093</v>
      </c>
      <c r="H525" s="161">
        <v>0</v>
      </c>
      <c r="I525" s="161" t="s">
        <v>7138</v>
      </c>
    </row>
    <row r="526" spans="1:9">
      <c r="A526" s="113">
        <v>100400186</v>
      </c>
      <c r="B526" s="113" t="s">
        <v>3565</v>
      </c>
      <c r="C526" s="113">
        <v>6003207</v>
      </c>
      <c r="D526" s="113" t="s">
        <v>3093</v>
      </c>
      <c r="E526" s="113" t="s">
        <v>1620</v>
      </c>
      <c r="F526" s="113" t="s">
        <v>3093</v>
      </c>
      <c r="G526" s="115" t="s">
        <v>3093</v>
      </c>
      <c r="H526" s="161">
        <v>0</v>
      </c>
      <c r="I526" s="161" t="s">
        <v>7138</v>
      </c>
    </row>
    <row r="527" spans="1:9">
      <c r="A527" s="113">
        <v>100400187</v>
      </c>
      <c r="B527" s="113" t="s">
        <v>3566</v>
      </c>
      <c r="C527" s="113">
        <v>6003208</v>
      </c>
      <c r="D527" s="113" t="s">
        <v>3093</v>
      </c>
      <c r="E527" s="113" t="s">
        <v>1620</v>
      </c>
      <c r="F527" s="113" t="s">
        <v>3093</v>
      </c>
      <c r="G527" s="115" t="s">
        <v>3093</v>
      </c>
      <c r="H527" s="161">
        <v>0</v>
      </c>
      <c r="I527" s="161" t="s">
        <v>7138</v>
      </c>
    </row>
    <row r="528" spans="1:9">
      <c r="A528" s="113">
        <v>100400188</v>
      </c>
      <c r="B528" s="113" t="s">
        <v>3567</v>
      </c>
      <c r="C528" s="113">
        <v>6003209</v>
      </c>
      <c r="D528" s="113" t="s">
        <v>3093</v>
      </c>
      <c r="E528" s="113" t="s">
        <v>1620</v>
      </c>
      <c r="F528" s="113" t="s">
        <v>3093</v>
      </c>
      <c r="G528" s="115" t="s">
        <v>3093</v>
      </c>
      <c r="H528" s="161">
        <v>5.98</v>
      </c>
      <c r="I528" s="161">
        <v>5</v>
      </c>
    </row>
    <row r="529" spans="1:9">
      <c r="A529" s="113">
        <v>100400189</v>
      </c>
      <c r="B529" s="113" t="s">
        <v>3568</v>
      </c>
      <c r="C529" s="113">
        <v>6003210</v>
      </c>
      <c r="D529" s="113" t="s">
        <v>3093</v>
      </c>
      <c r="E529" s="113" t="s">
        <v>1620</v>
      </c>
      <c r="F529" s="113" t="s">
        <v>3093</v>
      </c>
      <c r="G529" s="115" t="s">
        <v>3093</v>
      </c>
      <c r="H529" s="161">
        <v>5.65</v>
      </c>
      <c r="I529" s="161">
        <v>2</v>
      </c>
    </row>
    <row r="530" spans="1:9">
      <c r="A530" s="113">
        <v>100400190</v>
      </c>
      <c r="B530" s="113" t="s">
        <v>2713</v>
      </c>
      <c r="C530" s="113">
        <v>6003211</v>
      </c>
      <c r="D530" s="113" t="s">
        <v>3093</v>
      </c>
      <c r="E530" s="113" t="s">
        <v>1620</v>
      </c>
      <c r="F530" s="113" t="s">
        <v>3093</v>
      </c>
      <c r="G530" s="115" t="s">
        <v>3093</v>
      </c>
      <c r="H530" s="161">
        <v>23</v>
      </c>
      <c r="I530" s="161">
        <v>20</v>
      </c>
    </row>
    <row r="531" spans="1:9">
      <c r="A531" s="113">
        <v>100400191</v>
      </c>
      <c r="B531" s="113" t="s">
        <v>3569</v>
      </c>
      <c r="C531" s="113">
        <v>6003214</v>
      </c>
      <c r="D531" s="113" t="s">
        <v>3093</v>
      </c>
      <c r="E531" s="113" t="s">
        <v>1620</v>
      </c>
      <c r="F531" s="113" t="s">
        <v>3093</v>
      </c>
      <c r="G531" s="115" t="s">
        <v>3093</v>
      </c>
      <c r="H531" s="161">
        <v>6.2</v>
      </c>
      <c r="I531" s="161">
        <v>2</v>
      </c>
    </row>
    <row r="532" spans="1:9">
      <c r="A532" s="113">
        <v>100400192</v>
      </c>
      <c r="B532" s="113" t="s">
        <v>3570</v>
      </c>
      <c r="C532" s="113">
        <v>6003215</v>
      </c>
      <c r="D532" s="113" t="s">
        <v>3093</v>
      </c>
      <c r="E532" s="113" t="s">
        <v>1620</v>
      </c>
      <c r="F532" s="113" t="s">
        <v>3093</v>
      </c>
      <c r="G532" s="115" t="s">
        <v>3093</v>
      </c>
      <c r="H532" s="161">
        <v>6.2</v>
      </c>
      <c r="I532" s="161">
        <v>2</v>
      </c>
    </row>
    <row r="533" spans="1:9">
      <c r="A533" s="113">
        <v>100400193</v>
      </c>
      <c r="B533" s="113" t="s">
        <v>3571</v>
      </c>
      <c r="C533" s="113">
        <v>6003216</v>
      </c>
      <c r="D533" s="113" t="s">
        <v>3093</v>
      </c>
      <c r="E533" s="113" t="s">
        <v>1620</v>
      </c>
      <c r="F533" s="113" t="s">
        <v>3093</v>
      </c>
      <c r="G533" s="115" t="s">
        <v>3093</v>
      </c>
      <c r="H533" s="161">
        <v>6.2</v>
      </c>
      <c r="I533" s="161">
        <v>2</v>
      </c>
    </row>
    <row r="534" spans="1:9">
      <c r="A534" s="113">
        <v>100400194</v>
      </c>
      <c r="B534" s="113" t="s">
        <v>3572</v>
      </c>
      <c r="C534" s="113">
        <v>6003217</v>
      </c>
      <c r="D534" s="113" t="s">
        <v>3093</v>
      </c>
      <c r="E534" s="113" t="s">
        <v>1620</v>
      </c>
      <c r="F534" s="113" t="s">
        <v>3093</v>
      </c>
      <c r="G534" s="115" t="s">
        <v>3093</v>
      </c>
      <c r="H534" s="161">
        <v>6.2</v>
      </c>
      <c r="I534" s="161">
        <v>2</v>
      </c>
    </row>
    <row r="535" spans="1:9">
      <c r="A535" s="113">
        <v>100400195</v>
      </c>
      <c r="B535" s="113" t="s">
        <v>3573</v>
      </c>
      <c r="C535" s="113">
        <v>6003218</v>
      </c>
      <c r="D535" s="113" t="s">
        <v>3093</v>
      </c>
      <c r="E535" s="113" t="s">
        <v>1620</v>
      </c>
      <c r="F535" s="113" t="s">
        <v>3093</v>
      </c>
      <c r="G535" s="115" t="s">
        <v>3093</v>
      </c>
      <c r="H535" s="161">
        <v>6.2</v>
      </c>
      <c r="I535" s="161">
        <v>2</v>
      </c>
    </row>
    <row r="536" spans="1:9">
      <c r="A536" s="113">
        <v>100400196</v>
      </c>
      <c r="B536" s="113" t="s">
        <v>3574</v>
      </c>
      <c r="C536" s="113">
        <v>6003219</v>
      </c>
      <c r="D536" s="113" t="s">
        <v>3093</v>
      </c>
      <c r="E536" s="113" t="s">
        <v>1620</v>
      </c>
      <c r="F536" s="113" t="s">
        <v>3093</v>
      </c>
      <c r="G536" s="115" t="s">
        <v>3093</v>
      </c>
      <c r="H536" s="161">
        <v>0</v>
      </c>
      <c r="I536" s="161" t="s">
        <v>7138</v>
      </c>
    </row>
    <row r="537" spans="1:9">
      <c r="A537" s="113">
        <v>100400197</v>
      </c>
      <c r="B537" s="113" t="s">
        <v>3575</v>
      </c>
      <c r="C537" s="113">
        <v>6003220</v>
      </c>
      <c r="D537" s="113" t="s">
        <v>3093</v>
      </c>
      <c r="E537" s="113" t="s">
        <v>1620</v>
      </c>
      <c r="F537" s="113" t="s">
        <v>3093</v>
      </c>
      <c r="G537" s="115" t="s">
        <v>3093</v>
      </c>
      <c r="H537" s="161">
        <v>0</v>
      </c>
      <c r="I537" s="161" t="s">
        <v>7138</v>
      </c>
    </row>
    <row r="538" spans="1:9">
      <c r="A538" s="113">
        <v>100400198</v>
      </c>
      <c r="B538" s="113" t="s">
        <v>3576</v>
      </c>
      <c r="C538" s="113">
        <v>6003221</v>
      </c>
      <c r="D538" s="113" t="s">
        <v>3093</v>
      </c>
      <c r="E538" s="113" t="s">
        <v>1620</v>
      </c>
      <c r="F538" s="113" t="s">
        <v>3093</v>
      </c>
      <c r="G538" s="115" t="s">
        <v>3093</v>
      </c>
      <c r="H538" s="161">
        <v>0</v>
      </c>
      <c r="I538" s="161" t="s">
        <v>7138</v>
      </c>
    </row>
    <row r="539" spans="1:9">
      <c r="A539" s="113">
        <v>100400199</v>
      </c>
      <c r="B539" s="113" t="s">
        <v>3577</v>
      </c>
      <c r="C539" s="113">
        <v>6003222</v>
      </c>
      <c r="D539" s="113" t="s">
        <v>3093</v>
      </c>
      <c r="E539" s="113" t="s">
        <v>1620</v>
      </c>
      <c r="F539" s="113" t="s">
        <v>3093</v>
      </c>
      <c r="G539" s="115" t="s">
        <v>3093</v>
      </c>
      <c r="H539" s="161">
        <v>0</v>
      </c>
      <c r="I539" s="161" t="s">
        <v>7138</v>
      </c>
    </row>
    <row r="540" spans="1:9">
      <c r="A540" s="113">
        <v>100400200</v>
      </c>
      <c r="B540" s="113" t="s">
        <v>3578</v>
      </c>
      <c r="C540" s="113">
        <v>6003223</v>
      </c>
      <c r="D540" s="113" t="s">
        <v>3093</v>
      </c>
      <c r="E540" s="113" t="s">
        <v>1620</v>
      </c>
      <c r="F540" s="113" t="s">
        <v>3093</v>
      </c>
      <c r="G540" s="115" t="s">
        <v>3093</v>
      </c>
      <c r="H540" s="161">
        <v>0</v>
      </c>
      <c r="I540" s="161" t="s">
        <v>7138</v>
      </c>
    </row>
    <row r="541" spans="1:9">
      <c r="A541" s="113">
        <v>100400201</v>
      </c>
      <c r="B541" s="113" t="s">
        <v>3579</v>
      </c>
      <c r="C541" s="113">
        <v>6003224</v>
      </c>
      <c r="D541" s="113" t="s">
        <v>3093</v>
      </c>
      <c r="E541" s="113" t="s">
        <v>1620</v>
      </c>
      <c r="F541" s="113" t="s">
        <v>3093</v>
      </c>
      <c r="G541" s="115" t="s">
        <v>3093</v>
      </c>
      <c r="H541" s="161">
        <v>6.2</v>
      </c>
      <c r="I541" s="161">
        <v>2</v>
      </c>
    </row>
    <row r="542" spans="1:9">
      <c r="A542" s="113">
        <v>100400202</v>
      </c>
      <c r="B542" s="113" t="s">
        <v>3580</v>
      </c>
      <c r="C542" s="113">
        <v>6003225</v>
      </c>
      <c r="D542" s="113" t="s">
        <v>3093</v>
      </c>
      <c r="E542" s="113" t="s">
        <v>1620</v>
      </c>
      <c r="F542" s="113" t="s">
        <v>3093</v>
      </c>
      <c r="G542" s="115" t="s">
        <v>3093</v>
      </c>
      <c r="H542" s="161">
        <v>6.2</v>
      </c>
      <c r="I542" s="161">
        <v>2</v>
      </c>
    </row>
    <row r="543" spans="1:9">
      <c r="A543" s="113">
        <v>100400203</v>
      </c>
      <c r="B543" s="113" t="s">
        <v>3581</v>
      </c>
      <c r="C543" s="113">
        <v>6003303</v>
      </c>
      <c r="D543" s="113" t="s">
        <v>3093</v>
      </c>
      <c r="E543" s="113" t="s">
        <v>1620</v>
      </c>
      <c r="F543" s="113" t="s">
        <v>3093</v>
      </c>
      <c r="G543" s="115" t="s">
        <v>3093</v>
      </c>
      <c r="H543" s="161">
        <v>0</v>
      </c>
      <c r="I543" s="161" t="s">
        <v>7138</v>
      </c>
    </row>
    <row r="544" spans="1:9">
      <c r="A544" s="113">
        <v>100400204</v>
      </c>
      <c r="B544" s="113" t="s">
        <v>3582</v>
      </c>
      <c r="C544" s="113">
        <v>6003314</v>
      </c>
      <c r="D544" s="113" t="s">
        <v>3093</v>
      </c>
      <c r="E544" s="113" t="s">
        <v>1620</v>
      </c>
      <c r="F544" s="113" t="s">
        <v>3093</v>
      </c>
      <c r="G544" s="115" t="s">
        <v>3093</v>
      </c>
      <c r="H544" s="161">
        <v>0</v>
      </c>
      <c r="I544" s="161" t="s">
        <v>7138</v>
      </c>
    </row>
    <row r="545" spans="1:9">
      <c r="A545" s="113">
        <v>100400205</v>
      </c>
      <c r="B545" s="113" t="s">
        <v>3583</v>
      </c>
      <c r="C545" s="113">
        <v>6003315</v>
      </c>
      <c r="D545" s="113" t="s">
        <v>3093</v>
      </c>
      <c r="E545" s="113" t="s">
        <v>1620</v>
      </c>
      <c r="F545" s="113" t="s">
        <v>3093</v>
      </c>
      <c r="G545" s="115" t="s">
        <v>3093</v>
      </c>
      <c r="H545" s="161">
        <v>0</v>
      </c>
      <c r="I545" s="161" t="s">
        <v>7138</v>
      </c>
    </row>
    <row r="546" spans="1:9">
      <c r="A546" s="113">
        <v>100400206</v>
      </c>
      <c r="B546" s="113" t="s">
        <v>3584</v>
      </c>
      <c r="C546" s="113">
        <v>6003316</v>
      </c>
      <c r="D546" s="113" t="s">
        <v>3093</v>
      </c>
      <c r="E546" s="113" t="s">
        <v>1620</v>
      </c>
      <c r="F546" s="113" t="s">
        <v>3093</v>
      </c>
      <c r="G546" s="115" t="s">
        <v>3093</v>
      </c>
      <c r="H546" s="161">
        <v>0</v>
      </c>
      <c r="I546" s="161" t="s">
        <v>7138</v>
      </c>
    </row>
    <row r="547" spans="1:9">
      <c r="A547" s="113">
        <v>100400207</v>
      </c>
      <c r="B547" s="113" t="s">
        <v>2714</v>
      </c>
      <c r="C547" s="113">
        <v>6003317</v>
      </c>
      <c r="D547" s="113" t="s">
        <v>3093</v>
      </c>
      <c r="E547" s="113" t="s">
        <v>1620</v>
      </c>
      <c r="F547" s="113" t="s">
        <v>3093</v>
      </c>
      <c r="G547" s="115" t="s">
        <v>3093</v>
      </c>
      <c r="H547" s="161">
        <v>6.2</v>
      </c>
      <c r="I547" s="161">
        <v>3</v>
      </c>
    </row>
    <row r="548" spans="1:9">
      <c r="A548" s="113">
        <v>100400208</v>
      </c>
      <c r="B548" s="113" t="s">
        <v>3585</v>
      </c>
      <c r="C548" s="113">
        <v>6010009</v>
      </c>
      <c r="D548" s="113" t="s">
        <v>3093</v>
      </c>
      <c r="E548" s="113" t="s">
        <v>1620</v>
      </c>
      <c r="F548" s="113" t="s">
        <v>3093</v>
      </c>
      <c r="G548" s="115" t="s">
        <v>3093</v>
      </c>
      <c r="H548" s="161">
        <v>0</v>
      </c>
      <c r="I548" s="161" t="s">
        <v>7138</v>
      </c>
    </row>
    <row r="549" spans="1:9">
      <c r="A549" s="113">
        <v>100400209</v>
      </c>
      <c r="B549" s="113" t="s">
        <v>3586</v>
      </c>
      <c r="C549" s="113">
        <v>6010012</v>
      </c>
      <c r="D549" s="113" t="s">
        <v>3093</v>
      </c>
      <c r="E549" s="113" t="s">
        <v>1620</v>
      </c>
      <c r="F549" s="113" t="s">
        <v>3093</v>
      </c>
      <c r="G549" s="115" t="s">
        <v>3093</v>
      </c>
      <c r="H549" s="161">
        <v>90</v>
      </c>
      <c r="I549" s="161">
        <v>0</v>
      </c>
    </row>
    <row r="550" spans="1:9">
      <c r="A550" s="113">
        <v>100400210</v>
      </c>
      <c r="B550" s="113" t="s">
        <v>3587</v>
      </c>
      <c r="C550" s="113">
        <v>6010013</v>
      </c>
      <c r="D550" s="113" t="s">
        <v>3093</v>
      </c>
      <c r="E550" s="113" t="s">
        <v>1620</v>
      </c>
      <c r="F550" s="113" t="s">
        <v>3093</v>
      </c>
      <c r="G550" s="115" t="s">
        <v>3093</v>
      </c>
      <c r="H550" s="161">
        <v>0</v>
      </c>
      <c r="I550" s="161" t="s">
        <v>7138</v>
      </c>
    </row>
    <row r="551" spans="1:9">
      <c r="A551" s="113">
        <v>100400211</v>
      </c>
      <c r="B551" s="113" t="s">
        <v>3588</v>
      </c>
      <c r="C551" s="113">
        <v>6010014</v>
      </c>
      <c r="D551" s="113" t="s">
        <v>3093</v>
      </c>
      <c r="E551" s="113" t="s">
        <v>1620</v>
      </c>
      <c r="F551" s="113" t="s">
        <v>3093</v>
      </c>
      <c r="G551" s="115" t="s">
        <v>3093</v>
      </c>
      <c r="H551" s="161">
        <v>0</v>
      </c>
      <c r="I551" s="161" t="s">
        <v>7138</v>
      </c>
    </row>
    <row r="552" spans="1:9">
      <c r="A552" s="113">
        <v>100400212</v>
      </c>
      <c r="B552" s="113" t="s">
        <v>3589</v>
      </c>
      <c r="C552" s="113">
        <v>6010015</v>
      </c>
      <c r="D552" s="113" t="s">
        <v>3093</v>
      </c>
      <c r="E552" s="113" t="s">
        <v>1620</v>
      </c>
      <c r="F552" s="113" t="s">
        <v>3093</v>
      </c>
      <c r="G552" s="115" t="s">
        <v>3093</v>
      </c>
      <c r="H552" s="161">
        <v>0</v>
      </c>
      <c r="I552" s="161" t="s">
        <v>7138</v>
      </c>
    </row>
    <row r="553" spans="1:9">
      <c r="A553" s="113">
        <v>100400213</v>
      </c>
      <c r="B553" s="113" t="s">
        <v>3590</v>
      </c>
      <c r="C553" s="113">
        <v>6010016</v>
      </c>
      <c r="D553" s="113" t="s">
        <v>3093</v>
      </c>
      <c r="E553" s="113" t="s">
        <v>1620</v>
      </c>
      <c r="F553" s="113" t="s">
        <v>3093</v>
      </c>
      <c r="G553" s="115" t="s">
        <v>3093</v>
      </c>
      <c r="H553" s="161">
        <v>0</v>
      </c>
      <c r="I553" s="161" t="s">
        <v>7138</v>
      </c>
    </row>
    <row r="554" spans="1:9">
      <c r="A554" s="113">
        <v>100400214</v>
      </c>
      <c r="B554" s="113" t="s">
        <v>3591</v>
      </c>
      <c r="C554" s="113">
        <v>6010017</v>
      </c>
      <c r="D554" s="113" t="s">
        <v>3093</v>
      </c>
      <c r="E554" s="113" t="s">
        <v>1620</v>
      </c>
      <c r="F554" s="113" t="s">
        <v>3093</v>
      </c>
      <c r="G554" s="115" t="s">
        <v>3093</v>
      </c>
      <c r="H554" s="161">
        <v>0</v>
      </c>
      <c r="I554" s="161" t="s">
        <v>7138</v>
      </c>
    </row>
    <row r="555" spans="1:9">
      <c r="A555" s="113">
        <v>100400215</v>
      </c>
      <c r="B555" s="113" t="s">
        <v>3592</v>
      </c>
      <c r="C555" s="113">
        <v>6010018</v>
      </c>
      <c r="D555" s="113" t="s">
        <v>3093</v>
      </c>
      <c r="E555" s="113" t="s">
        <v>1620</v>
      </c>
      <c r="F555" s="113" t="s">
        <v>3093</v>
      </c>
      <c r="G555" s="115" t="s">
        <v>3093</v>
      </c>
      <c r="H555" s="161">
        <v>0</v>
      </c>
      <c r="I555" s="161" t="s">
        <v>7138</v>
      </c>
    </row>
    <row r="556" spans="1:9">
      <c r="A556" s="113">
        <v>100400216</v>
      </c>
      <c r="B556" s="113" t="s">
        <v>3593</v>
      </c>
      <c r="C556" s="113">
        <v>6010019</v>
      </c>
      <c r="D556" s="113" t="s">
        <v>3093</v>
      </c>
      <c r="E556" s="113" t="s">
        <v>1620</v>
      </c>
      <c r="F556" s="113" t="s">
        <v>3093</v>
      </c>
      <c r="G556" s="115" t="s">
        <v>3093</v>
      </c>
      <c r="H556" s="161">
        <v>0</v>
      </c>
      <c r="I556" s="161" t="s">
        <v>7138</v>
      </c>
    </row>
    <row r="557" spans="1:9">
      <c r="A557" s="113">
        <v>100400217</v>
      </c>
      <c r="B557" s="113" t="s">
        <v>3594</v>
      </c>
      <c r="C557" s="113">
        <v>6011053</v>
      </c>
      <c r="D557" s="113" t="s">
        <v>3093</v>
      </c>
      <c r="E557" s="113" t="s">
        <v>1620</v>
      </c>
      <c r="F557" s="113" t="s">
        <v>3093</v>
      </c>
      <c r="G557" s="115" t="s">
        <v>3093</v>
      </c>
      <c r="H557" s="161">
        <v>0</v>
      </c>
      <c r="I557" s="161" t="s">
        <v>7138</v>
      </c>
    </row>
    <row r="558" spans="1:9">
      <c r="A558" s="113">
        <v>100400218</v>
      </c>
      <c r="B558" s="113" t="s">
        <v>3595</v>
      </c>
      <c r="C558" s="113">
        <v>6011085</v>
      </c>
      <c r="D558" s="113" t="s">
        <v>3093</v>
      </c>
      <c r="E558" s="113" t="s">
        <v>1620</v>
      </c>
      <c r="F558" s="113" t="s">
        <v>3093</v>
      </c>
      <c r="G558" s="115" t="s">
        <v>3093</v>
      </c>
      <c r="H558" s="161">
        <v>30</v>
      </c>
      <c r="I558" s="161">
        <v>1</v>
      </c>
    </row>
    <row r="559" spans="1:9">
      <c r="A559" s="113">
        <v>100400219</v>
      </c>
      <c r="B559" s="113" t="s">
        <v>3596</v>
      </c>
      <c r="C559" s="113">
        <v>6011086</v>
      </c>
      <c r="D559" s="113" t="s">
        <v>3093</v>
      </c>
      <c r="E559" s="113" t="s">
        <v>1620</v>
      </c>
      <c r="F559" s="113" t="s">
        <v>3093</v>
      </c>
      <c r="G559" s="115" t="s">
        <v>3093</v>
      </c>
      <c r="H559" s="161">
        <v>30</v>
      </c>
      <c r="I559" s="161">
        <v>10</v>
      </c>
    </row>
    <row r="560" spans="1:9">
      <c r="A560" s="113">
        <v>100400220</v>
      </c>
      <c r="B560" s="113" t="s">
        <v>3597</v>
      </c>
      <c r="C560" s="113">
        <v>6011087</v>
      </c>
      <c r="D560" s="113" t="s">
        <v>3093</v>
      </c>
      <c r="E560" s="113" t="s">
        <v>1620</v>
      </c>
      <c r="F560" s="113" t="s">
        <v>3093</v>
      </c>
      <c r="G560" s="115" t="s">
        <v>3093</v>
      </c>
      <c r="H560" s="161">
        <v>51.98</v>
      </c>
      <c r="I560" s="161">
        <v>0</v>
      </c>
    </row>
    <row r="561" spans="1:9">
      <c r="A561" s="113">
        <v>100400221</v>
      </c>
      <c r="B561" s="113" t="s">
        <v>3598</v>
      </c>
      <c r="C561" s="113">
        <v>6011088</v>
      </c>
      <c r="D561" s="113" t="s">
        <v>3093</v>
      </c>
      <c r="E561" s="113" t="s">
        <v>1620</v>
      </c>
      <c r="F561" s="113" t="s">
        <v>3093</v>
      </c>
      <c r="G561" s="115" t="s">
        <v>3093</v>
      </c>
      <c r="H561" s="161">
        <v>22.55</v>
      </c>
      <c r="I561" s="161">
        <v>6</v>
      </c>
    </row>
    <row r="562" spans="1:9">
      <c r="A562" s="113">
        <v>100400222</v>
      </c>
      <c r="B562" s="113" t="s">
        <v>3599</v>
      </c>
      <c r="C562" s="113">
        <v>6011089</v>
      </c>
      <c r="D562" s="113" t="s">
        <v>3093</v>
      </c>
      <c r="E562" s="113" t="s">
        <v>1620</v>
      </c>
      <c r="F562" s="113" t="s">
        <v>3093</v>
      </c>
      <c r="G562" s="115" t="s">
        <v>3093</v>
      </c>
      <c r="H562" s="161">
        <v>33</v>
      </c>
      <c r="I562" s="161">
        <v>24</v>
      </c>
    </row>
    <row r="563" spans="1:9">
      <c r="A563" s="113">
        <v>100400223</v>
      </c>
      <c r="B563" s="113" t="s">
        <v>2715</v>
      </c>
      <c r="C563" s="113">
        <v>6011090</v>
      </c>
      <c r="D563" s="113" t="s">
        <v>3093</v>
      </c>
      <c r="E563" s="113" t="s">
        <v>1620</v>
      </c>
      <c r="F563" s="113" t="s">
        <v>3093</v>
      </c>
      <c r="G563" s="115" t="s">
        <v>3093</v>
      </c>
      <c r="H563" s="161">
        <v>0</v>
      </c>
      <c r="I563" s="161" t="s">
        <v>7138</v>
      </c>
    </row>
    <row r="564" spans="1:9">
      <c r="A564" s="113">
        <v>100400224</v>
      </c>
      <c r="B564" s="113" t="s">
        <v>2716</v>
      </c>
      <c r="C564" s="113">
        <v>6011091</v>
      </c>
      <c r="D564" s="113" t="s">
        <v>3093</v>
      </c>
      <c r="E564" s="113" t="s">
        <v>1620</v>
      </c>
      <c r="F564" s="113" t="s">
        <v>3093</v>
      </c>
      <c r="G564" s="115" t="s">
        <v>3093</v>
      </c>
      <c r="H564" s="161">
        <v>0</v>
      </c>
      <c r="I564" s="161" t="s">
        <v>7138</v>
      </c>
    </row>
    <row r="565" spans="1:9">
      <c r="A565" s="113">
        <v>100400225</v>
      </c>
      <c r="B565" s="113" t="s">
        <v>2717</v>
      </c>
      <c r="C565" s="113">
        <v>6011092</v>
      </c>
      <c r="D565" s="113" t="s">
        <v>3093</v>
      </c>
      <c r="E565" s="113" t="s">
        <v>1620</v>
      </c>
      <c r="F565" s="113" t="s">
        <v>3093</v>
      </c>
      <c r="G565" s="115" t="s">
        <v>3093</v>
      </c>
      <c r="H565" s="161">
        <v>0</v>
      </c>
      <c r="I565" s="161" t="s">
        <v>7138</v>
      </c>
    </row>
    <row r="566" spans="1:9">
      <c r="A566" s="113">
        <v>100400226</v>
      </c>
      <c r="B566" s="113" t="s">
        <v>2718</v>
      </c>
      <c r="C566" s="113">
        <v>6011093</v>
      </c>
      <c r="D566" s="113" t="s">
        <v>3093</v>
      </c>
      <c r="E566" s="113" t="s">
        <v>1620</v>
      </c>
      <c r="F566" s="113" t="s">
        <v>3093</v>
      </c>
      <c r="G566" s="115" t="s">
        <v>3093</v>
      </c>
      <c r="H566" s="161">
        <v>0</v>
      </c>
      <c r="I566" s="161" t="s">
        <v>7138</v>
      </c>
    </row>
    <row r="567" spans="1:9">
      <c r="A567" s="113">
        <v>100400227</v>
      </c>
      <c r="B567" s="113" t="s">
        <v>3600</v>
      </c>
      <c r="C567" s="113">
        <v>6011094</v>
      </c>
      <c r="D567" s="113" t="s">
        <v>3093</v>
      </c>
      <c r="E567" s="113" t="s">
        <v>1620</v>
      </c>
      <c r="F567" s="113" t="s">
        <v>3093</v>
      </c>
      <c r="G567" s="115" t="s">
        <v>3093</v>
      </c>
      <c r="H567" s="161">
        <v>0</v>
      </c>
      <c r="I567" s="161" t="s">
        <v>7138</v>
      </c>
    </row>
    <row r="568" spans="1:9">
      <c r="A568" s="113">
        <v>100400228</v>
      </c>
      <c r="B568" s="113" t="s">
        <v>2719</v>
      </c>
      <c r="C568" s="113">
        <v>6011098</v>
      </c>
      <c r="D568" s="113" t="s">
        <v>3093</v>
      </c>
      <c r="E568" s="113" t="s">
        <v>1620</v>
      </c>
      <c r="F568" s="113" t="s">
        <v>3093</v>
      </c>
      <c r="G568" s="115" t="s">
        <v>3093</v>
      </c>
      <c r="H568" s="161">
        <v>0</v>
      </c>
      <c r="I568" s="161" t="s">
        <v>7138</v>
      </c>
    </row>
    <row r="569" spans="1:9">
      <c r="A569" s="113">
        <v>100400229</v>
      </c>
      <c r="B569" s="113" t="s">
        <v>2720</v>
      </c>
      <c r="C569" s="113">
        <v>6011099</v>
      </c>
      <c r="D569" s="113" t="s">
        <v>3093</v>
      </c>
      <c r="E569" s="113" t="s">
        <v>1620</v>
      </c>
      <c r="F569" s="113" t="s">
        <v>3093</v>
      </c>
      <c r="G569" s="115" t="s">
        <v>3093</v>
      </c>
      <c r="H569" s="161">
        <v>0</v>
      </c>
      <c r="I569" s="161" t="s">
        <v>7138</v>
      </c>
    </row>
    <row r="570" spans="1:9">
      <c r="A570" s="113">
        <v>100400230</v>
      </c>
      <c r="B570" s="113" t="s">
        <v>2721</v>
      </c>
      <c r="C570" s="113">
        <v>6011100</v>
      </c>
      <c r="D570" s="113" t="s">
        <v>3093</v>
      </c>
      <c r="E570" s="113" t="s">
        <v>1620</v>
      </c>
      <c r="F570" s="113" t="s">
        <v>3093</v>
      </c>
      <c r="G570" s="115" t="s">
        <v>3093</v>
      </c>
      <c r="H570" s="161">
        <v>0</v>
      </c>
      <c r="I570" s="161" t="s">
        <v>7138</v>
      </c>
    </row>
    <row r="571" spans="1:9">
      <c r="A571" s="113">
        <v>100400231</v>
      </c>
      <c r="B571" s="113" t="s">
        <v>2722</v>
      </c>
      <c r="C571" s="113">
        <v>6011101</v>
      </c>
      <c r="D571" s="113" t="s">
        <v>3093</v>
      </c>
      <c r="E571" s="113" t="s">
        <v>1620</v>
      </c>
      <c r="F571" s="113" t="s">
        <v>3093</v>
      </c>
      <c r="G571" s="115" t="s">
        <v>3093</v>
      </c>
      <c r="H571" s="161">
        <v>0</v>
      </c>
      <c r="I571" s="161" t="s">
        <v>7138</v>
      </c>
    </row>
    <row r="572" spans="1:9">
      <c r="A572" s="113">
        <v>100400232</v>
      </c>
      <c r="B572" s="113" t="s">
        <v>2723</v>
      </c>
      <c r="C572" s="113">
        <v>6011102</v>
      </c>
      <c r="D572" s="113" t="s">
        <v>3093</v>
      </c>
      <c r="E572" s="113" t="s">
        <v>1620</v>
      </c>
      <c r="F572" s="113" t="s">
        <v>3093</v>
      </c>
      <c r="G572" s="115" t="s">
        <v>3093</v>
      </c>
      <c r="H572" s="161">
        <v>0</v>
      </c>
      <c r="I572" s="161" t="s">
        <v>7138</v>
      </c>
    </row>
    <row r="573" spans="1:9">
      <c r="A573" s="113">
        <v>100400233</v>
      </c>
      <c r="B573" s="113" t="s">
        <v>2724</v>
      </c>
      <c r="C573" s="113">
        <v>6011103</v>
      </c>
      <c r="D573" s="113" t="s">
        <v>3093</v>
      </c>
      <c r="E573" s="113" t="s">
        <v>1620</v>
      </c>
      <c r="F573" s="113" t="s">
        <v>3093</v>
      </c>
      <c r="G573" s="115" t="s">
        <v>3093</v>
      </c>
      <c r="H573" s="161">
        <v>0</v>
      </c>
      <c r="I573" s="161" t="s">
        <v>7138</v>
      </c>
    </row>
    <row r="574" spans="1:9">
      <c r="A574" s="113">
        <v>100400234</v>
      </c>
      <c r="B574" s="113" t="s">
        <v>2725</v>
      </c>
      <c r="C574" s="113">
        <v>6011105</v>
      </c>
      <c r="D574" s="113" t="s">
        <v>3093</v>
      </c>
      <c r="E574" s="113" t="s">
        <v>1620</v>
      </c>
      <c r="F574" s="113" t="s">
        <v>3093</v>
      </c>
      <c r="G574" s="115" t="s">
        <v>3093</v>
      </c>
      <c r="H574" s="161">
        <v>0</v>
      </c>
      <c r="I574" s="161" t="s">
        <v>7138</v>
      </c>
    </row>
    <row r="575" spans="1:9">
      <c r="A575" s="113">
        <v>100400235</v>
      </c>
      <c r="B575" s="113" t="s">
        <v>2726</v>
      </c>
      <c r="C575" s="113">
        <v>6011106</v>
      </c>
      <c r="D575" s="113" t="s">
        <v>3093</v>
      </c>
      <c r="E575" s="113" t="s">
        <v>1620</v>
      </c>
      <c r="F575" s="113" t="s">
        <v>3093</v>
      </c>
      <c r="G575" s="115" t="s">
        <v>3093</v>
      </c>
      <c r="H575" s="161">
        <v>0</v>
      </c>
      <c r="I575" s="161" t="s">
        <v>7138</v>
      </c>
    </row>
    <row r="576" spans="1:9">
      <c r="A576" s="113">
        <v>100400236</v>
      </c>
      <c r="B576" s="113" t="s">
        <v>2727</v>
      </c>
      <c r="C576" s="113">
        <v>6011107</v>
      </c>
      <c r="D576" s="113" t="s">
        <v>3093</v>
      </c>
      <c r="E576" s="113" t="s">
        <v>1620</v>
      </c>
      <c r="F576" s="113" t="s">
        <v>3093</v>
      </c>
      <c r="G576" s="115" t="s">
        <v>3093</v>
      </c>
      <c r="H576" s="161">
        <v>59.69</v>
      </c>
      <c r="I576" s="161">
        <v>1</v>
      </c>
    </row>
    <row r="577" spans="1:9">
      <c r="A577" s="113">
        <v>100400237</v>
      </c>
      <c r="B577" s="113" t="s">
        <v>2728</v>
      </c>
      <c r="C577" s="113">
        <v>6011108</v>
      </c>
      <c r="D577" s="113" t="s">
        <v>3093</v>
      </c>
      <c r="E577" s="113" t="s">
        <v>1620</v>
      </c>
      <c r="F577" s="113" t="s">
        <v>3093</v>
      </c>
      <c r="G577" s="115" t="s">
        <v>3093</v>
      </c>
      <c r="H577" s="161">
        <v>59.69</v>
      </c>
      <c r="I577" s="161">
        <v>1</v>
      </c>
    </row>
    <row r="578" spans="1:9">
      <c r="A578" s="113">
        <v>100400238</v>
      </c>
      <c r="B578" s="113" t="s">
        <v>2729</v>
      </c>
      <c r="C578" s="113">
        <v>6011109</v>
      </c>
      <c r="D578" s="113" t="s">
        <v>3093</v>
      </c>
      <c r="E578" s="113" t="s">
        <v>1620</v>
      </c>
      <c r="F578" s="113" t="s">
        <v>3093</v>
      </c>
      <c r="G578" s="115" t="s">
        <v>3093</v>
      </c>
      <c r="H578" s="161">
        <v>0</v>
      </c>
      <c r="I578" s="161" t="s">
        <v>7138</v>
      </c>
    </row>
    <row r="579" spans="1:9">
      <c r="A579" s="113">
        <v>100400239</v>
      </c>
      <c r="B579" s="113" t="s">
        <v>2730</v>
      </c>
      <c r="C579" s="113">
        <v>6011110</v>
      </c>
      <c r="D579" s="113" t="s">
        <v>3093</v>
      </c>
      <c r="E579" s="113" t="s">
        <v>1620</v>
      </c>
      <c r="F579" s="113" t="s">
        <v>3093</v>
      </c>
      <c r="G579" s="115" t="s">
        <v>3093</v>
      </c>
      <c r="H579" s="161">
        <v>0</v>
      </c>
      <c r="I579" s="161" t="s">
        <v>7138</v>
      </c>
    </row>
    <row r="580" spans="1:9">
      <c r="A580" s="113">
        <v>100400240</v>
      </c>
      <c r="B580" s="113" t="s">
        <v>2731</v>
      </c>
      <c r="C580" s="113">
        <v>6011111</v>
      </c>
      <c r="D580" s="113" t="s">
        <v>3093</v>
      </c>
      <c r="E580" s="113" t="s">
        <v>1620</v>
      </c>
      <c r="F580" s="113" t="s">
        <v>3093</v>
      </c>
      <c r="G580" s="115" t="s">
        <v>3093</v>
      </c>
      <c r="H580" s="161">
        <v>0</v>
      </c>
      <c r="I580" s="161" t="s">
        <v>7138</v>
      </c>
    </row>
    <row r="581" spans="1:9">
      <c r="A581" s="113">
        <v>100400241</v>
      </c>
      <c r="B581" s="113" t="s">
        <v>2732</v>
      </c>
      <c r="C581" s="113">
        <v>6011112</v>
      </c>
      <c r="D581" s="113" t="s">
        <v>3093</v>
      </c>
      <c r="E581" s="113" t="s">
        <v>1620</v>
      </c>
      <c r="F581" s="113" t="s">
        <v>3093</v>
      </c>
      <c r="G581" s="115" t="s">
        <v>3093</v>
      </c>
      <c r="H581" s="161">
        <v>0</v>
      </c>
      <c r="I581" s="161" t="s">
        <v>7138</v>
      </c>
    </row>
    <row r="582" spans="1:9">
      <c r="A582" s="113">
        <v>100400242</v>
      </c>
      <c r="B582" s="113" t="s">
        <v>2733</v>
      </c>
      <c r="C582" s="113">
        <v>6011113</v>
      </c>
      <c r="D582" s="113" t="s">
        <v>3093</v>
      </c>
      <c r="E582" s="113" t="s">
        <v>1620</v>
      </c>
      <c r="F582" s="113" t="s">
        <v>3093</v>
      </c>
      <c r="G582" s="115" t="s">
        <v>3093</v>
      </c>
      <c r="H582" s="161">
        <v>0</v>
      </c>
      <c r="I582" s="161" t="s">
        <v>7138</v>
      </c>
    </row>
    <row r="583" spans="1:9">
      <c r="A583" s="113">
        <v>100400243</v>
      </c>
      <c r="B583" s="113" t="s">
        <v>2734</v>
      </c>
      <c r="C583" s="113">
        <v>6011114</v>
      </c>
      <c r="D583" s="113" t="s">
        <v>3093</v>
      </c>
      <c r="E583" s="113" t="s">
        <v>1620</v>
      </c>
      <c r="F583" s="113" t="s">
        <v>3093</v>
      </c>
      <c r="G583" s="115" t="s">
        <v>3093</v>
      </c>
      <c r="H583" s="161">
        <v>0</v>
      </c>
      <c r="I583" s="161" t="s">
        <v>7138</v>
      </c>
    </row>
    <row r="584" spans="1:9">
      <c r="A584" s="113">
        <v>100400244</v>
      </c>
      <c r="B584" s="113" t="s">
        <v>2735</v>
      </c>
      <c r="C584" s="113">
        <v>6011115</v>
      </c>
      <c r="D584" s="113" t="s">
        <v>3093</v>
      </c>
      <c r="E584" s="113" t="s">
        <v>1620</v>
      </c>
      <c r="F584" s="113" t="s">
        <v>3093</v>
      </c>
      <c r="G584" s="115" t="s">
        <v>3093</v>
      </c>
      <c r="H584" s="161">
        <v>0</v>
      </c>
      <c r="I584" s="161" t="s">
        <v>7138</v>
      </c>
    </row>
    <row r="585" spans="1:9">
      <c r="A585" s="113">
        <v>100400245</v>
      </c>
      <c r="B585" s="113" t="s">
        <v>2736</v>
      </c>
      <c r="C585" s="113">
        <v>6011116</v>
      </c>
      <c r="D585" s="113" t="s">
        <v>3093</v>
      </c>
      <c r="E585" s="113" t="s">
        <v>1620</v>
      </c>
      <c r="F585" s="113" t="s">
        <v>3093</v>
      </c>
      <c r="G585" s="115" t="s">
        <v>3093</v>
      </c>
      <c r="H585" s="161">
        <v>0</v>
      </c>
      <c r="I585" s="161" t="s">
        <v>7138</v>
      </c>
    </row>
    <row r="586" spans="1:9">
      <c r="A586" s="113">
        <v>100400246</v>
      </c>
      <c r="B586" s="113" t="s">
        <v>2737</v>
      </c>
      <c r="C586" s="113">
        <v>6011117</v>
      </c>
      <c r="D586" s="113" t="s">
        <v>3093</v>
      </c>
      <c r="E586" s="113" t="s">
        <v>1620</v>
      </c>
      <c r="F586" s="113" t="s">
        <v>3093</v>
      </c>
      <c r="G586" s="115" t="s">
        <v>3093</v>
      </c>
      <c r="H586" s="161">
        <v>0</v>
      </c>
      <c r="I586" s="161" t="s">
        <v>7138</v>
      </c>
    </row>
    <row r="587" spans="1:9">
      <c r="A587" s="113">
        <v>100400247</v>
      </c>
      <c r="B587" s="113" t="s">
        <v>2738</v>
      </c>
      <c r="C587" s="113">
        <v>6011118</v>
      </c>
      <c r="D587" s="113" t="s">
        <v>3093</v>
      </c>
      <c r="E587" s="113" t="s">
        <v>1620</v>
      </c>
      <c r="F587" s="113" t="s">
        <v>3093</v>
      </c>
      <c r="G587" s="115" t="s">
        <v>3093</v>
      </c>
      <c r="H587" s="161">
        <v>228.09</v>
      </c>
      <c r="I587" s="161">
        <v>1</v>
      </c>
    </row>
    <row r="588" spans="1:9">
      <c r="A588" s="113">
        <v>100400248</v>
      </c>
      <c r="B588" s="113" t="s">
        <v>2739</v>
      </c>
      <c r="C588" s="113">
        <v>6011119</v>
      </c>
      <c r="D588" s="113" t="s">
        <v>3093</v>
      </c>
      <c r="E588" s="113" t="s">
        <v>1620</v>
      </c>
      <c r="F588" s="113" t="s">
        <v>3093</v>
      </c>
      <c r="G588" s="115" t="s">
        <v>3093</v>
      </c>
      <c r="H588" s="161">
        <v>0</v>
      </c>
      <c r="I588" s="161" t="s">
        <v>7138</v>
      </c>
    </row>
    <row r="589" spans="1:9">
      <c r="A589" s="113">
        <v>100400249</v>
      </c>
      <c r="B589" s="113" t="s">
        <v>3601</v>
      </c>
      <c r="C589" s="113">
        <v>6011120</v>
      </c>
      <c r="D589" s="113" t="s">
        <v>3093</v>
      </c>
      <c r="E589" s="113" t="s">
        <v>1620</v>
      </c>
      <c r="F589" s="113" t="s">
        <v>3093</v>
      </c>
      <c r="G589" s="115" t="s">
        <v>3093</v>
      </c>
      <c r="H589" s="161">
        <v>0</v>
      </c>
      <c r="I589" s="161" t="s">
        <v>7138</v>
      </c>
    </row>
    <row r="590" spans="1:9">
      <c r="A590" s="113">
        <v>100400250</v>
      </c>
      <c r="B590" s="113" t="s">
        <v>3602</v>
      </c>
      <c r="C590" s="113">
        <v>6011121</v>
      </c>
      <c r="D590" s="113" t="s">
        <v>3093</v>
      </c>
      <c r="E590" s="113" t="s">
        <v>1620</v>
      </c>
      <c r="F590" s="113" t="s">
        <v>3093</v>
      </c>
      <c r="G590" s="115" t="s">
        <v>3093</v>
      </c>
      <c r="H590" s="161">
        <v>0</v>
      </c>
      <c r="I590" s="161" t="s">
        <v>7138</v>
      </c>
    </row>
    <row r="591" spans="1:9">
      <c r="A591" s="113">
        <v>100400251</v>
      </c>
      <c r="B591" s="113" t="s">
        <v>3603</v>
      </c>
      <c r="C591" s="113">
        <v>6011122</v>
      </c>
      <c r="D591" s="113" t="s">
        <v>3093</v>
      </c>
      <c r="E591" s="113" t="s">
        <v>1620</v>
      </c>
      <c r="F591" s="113" t="s">
        <v>3093</v>
      </c>
      <c r="G591" s="115" t="s">
        <v>3093</v>
      </c>
      <c r="H591" s="161">
        <v>0</v>
      </c>
      <c r="I591" s="161" t="s">
        <v>7138</v>
      </c>
    </row>
    <row r="592" spans="1:9">
      <c r="A592" s="113">
        <v>100400252</v>
      </c>
      <c r="B592" s="113" t="s">
        <v>3604</v>
      </c>
      <c r="C592" s="113">
        <v>6011123</v>
      </c>
      <c r="D592" s="113" t="s">
        <v>3093</v>
      </c>
      <c r="E592" s="113" t="s">
        <v>1620</v>
      </c>
      <c r="F592" s="113" t="s">
        <v>3093</v>
      </c>
      <c r="G592" s="115" t="s">
        <v>3093</v>
      </c>
      <c r="H592" s="161">
        <v>0</v>
      </c>
      <c r="I592" s="161" t="s">
        <v>7138</v>
      </c>
    </row>
    <row r="593" spans="1:9">
      <c r="A593" s="113">
        <v>100400253</v>
      </c>
      <c r="B593" s="113" t="s">
        <v>3605</v>
      </c>
      <c r="C593" s="113">
        <v>6011124</v>
      </c>
      <c r="D593" s="113" t="s">
        <v>3093</v>
      </c>
      <c r="E593" s="113" t="s">
        <v>1620</v>
      </c>
      <c r="F593" s="113" t="s">
        <v>3093</v>
      </c>
      <c r="G593" s="115" t="s">
        <v>3093</v>
      </c>
      <c r="H593" s="161">
        <v>0</v>
      </c>
      <c r="I593" s="161" t="s">
        <v>7138</v>
      </c>
    </row>
    <row r="594" spans="1:9">
      <c r="A594" s="113">
        <v>100400254</v>
      </c>
      <c r="B594" s="113" t="s">
        <v>3606</v>
      </c>
      <c r="C594" s="113">
        <v>6011125</v>
      </c>
      <c r="D594" s="113" t="s">
        <v>3093</v>
      </c>
      <c r="E594" s="113" t="s">
        <v>1620</v>
      </c>
      <c r="F594" s="113" t="s">
        <v>3093</v>
      </c>
      <c r="G594" s="115" t="s">
        <v>3093</v>
      </c>
      <c r="H594" s="161">
        <v>0</v>
      </c>
      <c r="I594" s="161" t="s">
        <v>7138</v>
      </c>
    </row>
    <row r="595" spans="1:9">
      <c r="A595" s="113">
        <v>100400255</v>
      </c>
      <c r="B595" s="113" t="s">
        <v>3607</v>
      </c>
      <c r="C595" s="113">
        <v>6011126</v>
      </c>
      <c r="D595" s="113" t="s">
        <v>3093</v>
      </c>
      <c r="E595" s="113" t="s">
        <v>1620</v>
      </c>
      <c r="F595" s="113" t="s">
        <v>3093</v>
      </c>
      <c r="G595" s="115" t="s">
        <v>3093</v>
      </c>
      <c r="H595" s="161">
        <v>0</v>
      </c>
      <c r="I595" s="161" t="s">
        <v>7138</v>
      </c>
    </row>
    <row r="596" spans="1:9">
      <c r="A596" s="113">
        <v>100400256</v>
      </c>
      <c r="B596" s="113" t="s">
        <v>3608</v>
      </c>
      <c r="C596" s="113">
        <v>6011127</v>
      </c>
      <c r="D596" s="113" t="s">
        <v>3093</v>
      </c>
      <c r="E596" s="113" t="s">
        <v>1620</v>
      </c>
      <c r="F596" s="113" t="s">
        <v>3093</v>
      </c>
      <c r="G596" s="115" t="s">
        <v>3093</v>
      </c>
      <c r="H596" s="161">
        <v>0</v>
      </c>
      <c r="I596" s="161" t="s">
        <v>7138</v>
      </c>
    </row>
    <row r="597" spans="1:9">
      <c r="A597" s="113">
        <v>100400257</v>
      </c>
      <c r="B597" s="113" t="s">
        <v>3609</v>
      </c>
      <c r="C597" s="113">
        <v>6011128</v>
      </c>
      <c r="D597" s="113" t="s">
        <v>3093</v>
      </c>
      <c r="E597" s="113" t="s">
        <v>1620</v>
      </c>
      <c r="F597" s="113" t="s">
        <v>3093</v>
      </c>
      <c r="G597" s="115" t="s">
        <v>3093</v>
      </c>
      <c r="H597" s="161">
        <v>0</v>
      </c>
      <c r="I597" s="161" t="s">
        <v>7138</v>
      </c>
    </row>
    <row r="598" spans="1:9">
      <c r="A598" s="113">
        <v>100400258</v>
      </c>
      <c r="B598" s="113" t="s">
        <v>2740</v>
      </c>
      <c r="C598" s="113">
        <v>6011129</v>
      </c>
      <c r="D598" s="113" t="s">
        <v>3093</v>
      </c>
      <c r="E598" s="113" t="s">
        <v>1620</v>
      </c>
      <c r="F598" s="113" t="s">
        <v>3093</v>
      </c>
      <c r="G598" s="115" t="s">
        <v>3093</v>
      </c>
      <c r="H598" s="161">
        <v>228.09</v>
      </c>
      <c r="I598" s="161">
        <v>6</v>
      </c>
    </row>
    <row r="599" spans="1:9">
      <c r="A599" s="113">
        <v>100400259</v>
      </c>
      <c r="B599" s="113" t="s">
        <v>2741</v>
      </c>
      <c r="C599" s="113">
        <v>6011130</v>
      </c>
      <c r="D599" s="113" t="s">
        <v>3093</v>
      </c>
      <c r="E599" s="113" t="s">
        <v>1620</v>
      </c>
      <c r="F599" s="113" t="s">
        <v>3093</v>
      </c>
      <c r="G599" s="115" t="s">
        <v>3093</v>
      </c>
      <c r="H599" s="161">
        <v>228.09</v>
      </c>
      <c r="I599" s="161">
        <v>2</v>
      </c>
    </row>
    <row r="600" spans="1:9">
      <c r="A600" s="113">
        <v>100400260</v>
      </c>
      <c r="B600" s="113" t="s">
        <v>2742</v>
      </c>
      <c r="C600" s="113">
        <v>6011131</v>
      </c>
      <c r="D600" s="113" t="s">
        <v>3093</v>
      </c>
      <c r="E600" s="113" t="s">
        <v>1620</v>
      </c>
      <c r="F600" s="113" t="s">
        <v>3093</v>
      </c>
      <c r="G600" s="115" t="s">
        <v>3093</v>
      </c>
      <c r="H600" s="161">
        <v>228.09</v>
      </c>
      <c r="I600" s="161">
        <v>2</v>
      </c>
    </row>
    <row r="601" spans="1:9">
      <c r="A601" s="113">
        <v>100400261</v>
      </c>
      <c r="B601" s="113" t="s">
        <v>2743</v>
      </c>
      <c r="C601" s="113">
        <v>6011132</v>
      </c>
      <c r="D601" s="113" t="s">
        <v>3093</v>
      </c>
      <c r="E601" s="113" t="s">
        <v>1620</v>
      </c>
      <c r="F601" s="113" t="s">
        <v>3093</v>
      </c>
      <c r="G601" s="115" t="s">
        <v>3093</v>
      </c>
      <c r="H601" s="161">
        <v>228.09</v>
      </c>
      <c r="I601" s="161">
        <v>2</v>
      </c>
    </row>
    <row r="602" spans="1:9">
      <c r="A602" s="113">
        <v>100400262</v>
      </c>
      <c r="B602" s="113" t="s">
        <v>2744</v>
      </c>
      <c r="C602" s="113">
        <v>6011133</v>
      </c>
      <c r="D602" s="113" t="s">
        <v>3093</v>
      </c>
      <c r="E602" s="113" t="s">
        <v>1620</v>
      </c>
      <c r="F602" s="113" t="s">
        <v>3093</v>
      </c>
      <c r="G602" s="115" t="s">
        <v>3093</v>
      </c>
      <c r="H602" s="161">
        <v>0</v>
      </c>
      <c r="I602" s="161" t="s">
        <v>7138</v>
      </c>
    </row>
    <row r="603" spans="1:9">
      <c r="A603" s="113">
        <v>100400263</v>
      </c>
      <c r="B603" s="113" t="s">
        <v>2745</v>
      </c>
      <c r="C603" s="113">
        <v>6011134</v>
      </c>
      <c r="D603" s="113" t="s">
        <v>3093</v>
      </c>
      <c r="E603" s="113" t="s">
        <v>1620</v>
      </c>
      <c r="F603" s="113" t="s">
        <v>3093</v>
      </c>
      <c r="G603" s="115" t="s">
        <v>3093</v>
      </c>
      <c r="H603" s="161">
        <v>0</v>
      </c>
      <c r="I603" s="161" t="s">
        <v>7138</v>
      </c>
    </row>
    <row r="604" spans="1:9">
      <c r="A604" s="113">
        <v>100400264</v>
      </c>
      <c r="B604" s="113" t="s">
        <v>2746</v>
      </c>
      <c r="C604" s="113">
        <v>6011135</v>
      </c>
      <c r="D604" s="113" t="s">
        <v>3093</v>
      </c>
      <c r="E604" s="113" t="s">
        <v>1620</v>
      </c>
      <c r="F604" s="113" t="s">
        <v>3093</v>
      </c>
      <c r="G604" s="115" t="s">
        <v>3093</v>
      </c>
      <c r="H604" s="161">
        <v>0</v>
      </c>
      <c r="I604" s="161" t="s">
        <v>7138</v>
      </c>
    </row>
    <row r="605" spans="1:9">
      <c r="A605" s="113">
        <v>100400265</v>
      </c>
      <c r="B605" s="113" t="s">
        <v>2747</v>
      </c>
      <c r="C605" s="113">
        <v>6011136</v>
      </c>
      <c r="D605" s="113" t="s">
        <v>3093</v>
      </c>
      <c r="E605" s="113" t="s">
        <v>1620</v>
      </c>
      <c r="F605" s="113" t="s">
        <v>3093</v>
      </c>
      <c r="G605" s="115" t="s">
        <v>3093</v>
      </c>
      <c r="H605" s="161">
        <v>0</v>
      </c>
      <c r="I605" s="161" t="s">
        <v>7138</v>
      </c>
    </row>
    <row r="606" spans="1:9">
      <c r="A606" s="113">
        <v>100400266</v>
      </c>
      <c r="B606" s="113" t="s">
        <v>2748</v>
      </c>
      <c r="C606" s="113">
        <v>6011137</v>
      </c>
      <c r="D606" s="113" t="s">
        <v>3093</v>
      </c>
      <c r="E606" s="113" t="s">
        <v>1620</v>
      </c>
      <c r="F606" s="113" t="s">
        <v>3093</v>
      </c>
      <c r="G606" s="115" t="s">
        <v>3093</v>
      </c>
      <c r="H606" s="161">
        <v>0</v>
      </c>
      <c r="I606" s="161" t="s">
        <v>7138</v>
      </c>
    </row>
    <row r="607" spans="1:9">
      <c r="A607" s="113">
        <v>100400267</v>
      </c>
      <c r="B607" s="113" t="s">
        <v>3610</v>
      </c>
      <c r="C607" s="113">
        <v>6011138</v>
      </c>
      <c r="D607" s="113" t="s">
        <v>3093</v>
      </c>
      <c r="E607" s="113" t="s">
        <v>1620</v>
      </c>
      <c r="F607" s="113" t="s">
        <v>3093</v>
      </c>
      <c r="G607" s="115" t="s">
        <v>3093</v>
      </c>
      <c r="H607" s="161">
        <v>0</v>
      </c>
      <c r="I607" s="161" t="s">
        <v>7138</v>
      </c>
    </row>
    <row r="608" spans="1:9">
      <c r="A608" s="113">
        <v>100400268</v>
      </c>
      <c r="B608" s="113" t="s">
        <v>2749</v>
      </c>
      <c r="C608" s="113">
        <v>6011139</v>
      </c>
      <c r="D608" s="113" t="s">
        <v>3093</v>
      </c>
      <c r="E608" s="113" t="s">
        <v>1620</v>
      </c>
      <c r="F608" s="113" t="s">
        <v>3093</v>
      </c>
      <c r="G608" s="115" t="s">
        <v>3093</v>
      </c>
      <c r="H608" s="161">
        <v>0</v>
      </c>
      <c r="I608" s="161" t="s">
        <v>7138</v>
      </c>
    </row>
    <row r="609" spans="1:9">
      <c r="A609" s="113">
        <v>100400269</v>
      </c>
      <c r="B609" s="113" t="s">
        <v>2750</v>
      </c>
      <c r="C609" s="113">
        <v>6011140</v>
      </c>
      <c r="D609" s="113" t="s">
        <v>3093</v>
      </c>
      <c r="E609" s="113" t="s">
        <v>1620</v>
      </c>
      <c r="F609" s="113" t="s">
        <v>3093</v>
      </c>
      <c r="G609" s="115" t="s">
        <v>3093</v>
      </c>
      <c r="H609" s="161">
        <v>0</v>
      </c>
      <c r="I609" s="161" t="s">
        <v>7138</v>
      </c>
    </row>
    <row r="610" spans="1:9">
      <c r="A610" s="113">
        <v>100400270</v>
      </c>
      <c r="B610" s="113" t="s">
        <v>3611</v>
      </c>
      <c r="C610" s="113">
        <v>6011141</v>
      </c>
      <c r="D610" s="113" t="s">
        <v>3093</v>
      </c>
      <c r="E610" s="113" t="s">
        <v>1620</v>
      </c>
      <c r="F610" s="113" t="s">
        <v>3093</v>
      </c>
      <c r="G610" s="115" t="s">
        <v>3093</v>
      </c>
      <c r="H610" s="161">
        <v>0</v>
      </c>
      <c r="I610" s="161" t="s">
        <v>7138</v>
      </c>
    </row>
    <row r="611" spans="1:9">
      <c r="A611" s="113">
        <v>100400271</v>
      </c>
      <c r="B611" s="113" t="s">
        <v>3612</v>
      </c>
      <c r="C611" s="113">
        <v>6011142</v>
      </c>
      <c r="D611" s="113" t="s">
        <v>3093</v>
      </c>
      <c r="E611" s="113" t="s">
        <v>1620</v>
      </c>
      <c r="F611" s="113" t="s">
        <v>3093</v>
      </c>
      <c r="G611" s="115" t="s">
        <v>3093</v>
      </c>
      <c r="H611" s="161">
        <v>0</v>
      </c>
      <c r="I611" s="161" t="s">
        <v>7138</v>
      </c>
    </row>
    <row r="612" spans="1:9">
      <c r="A612" s="113">
        <v>100400272</v>
      </c>
      <c r="B612" s="113" t="s">
        <v>2751</v>
      </c>
      <c r="C612" s="113">
        <v>6011143</v>
      </c>
      <c r="D612" s="113" t="s">
        <v>3093</v>
      </c>
      <c r="E612" s="113" t="s">
        <v>1620</v>
      </c>
      <c r="F612" s="113" t="s">
        <v>3093</v>
      </c>
      <c r="G612" s="115" t="s">
        <v>3093</v>
      </c>
      <c r="H612" s="161">
        <v>0</v>
      </c>
      <c r="I612" s="161" t="s">
        <v>7138</v>
      </c>
    </row>
    <row r="613" spans="1:9">
      <c r="A613" s="113">
        <v>100400273</v>
      </c>
      <c r="B613" s="113" t="s">
        <v>2752</v>
      </c>
      <c r="C613" s="113">
        <v>6011144</v>
      </c>
      <c r="D613" s="113" t="s">
        <v>3093</v>
      </c>
      <c r="E613" s="113" t="s">
        <v>1620</v>
      </c>
      <c r="F613" s="113" t="s">
        <v>3093</v>
      </c>
      <c r="G613" s="115" t="s">
        <v>3093</v>
      </c>
      <c r="H613" s="161">
        <v>0</v>
      </c>
      <c r="I613" s="161" t="s">
        <v>7138</v>
      </c>
    </row>
    <row r="614" spans="1:9">
      <c r="A614" s="113">
        <v>100400274</v>
      </c>
      <c r="B614" s="113" t="s">
        <v>2753</v>
      </c>
      <c r="C614" s="113">
        <v>6011145</v>
      </c>
      <c r="D614" s="113" t="s">
        <v>3093</v>
      </c>
      <c r="E614" s="113" t="s">
        <v>1620</v>
      </c>
      <c r="F614" s="113" t="s">
        <v>3093</v>
      </c>
      <c r="G614" s="115" t="s">
        <v>3093</v>
      </c>
      <c r="H614" s="161">
        <v>0</v>
      </c>
      <c r="I614" s="161" t="s">
        <v>7138</v>
      </c>
    </row>
    <row r="615" spans="1:9">
      <c r="A615" s="113">
        <v>100400275</v>
      </c>
      <c r="B615" s="113" t="s">
        <v>2754</v>
      </c>
      <c r="C615" s="113">
        <v>6011146</v>
      </c>
      <c r="D615" s="113" t="s">
        <v>3093</v>
      </c>
      <c r="E615" s="113" t="s">
        <v>1620</v>
      </c>
      <c r="F615" s="113" t="s">
        <v>3093</v>
      </c>
      <c r="G615" s="115" t="s">
        <v>3093</v>
      </c>
      <c r="H615" s="161">
        <v>0</v>
      </c>
      <c r="I615" s="161" t="s">
        <v>7138</v>
      </c>
    </row>
    <row r="616" spans="1:9">
      <c r="A616" s="113">
        <v>100400276</v>
      </c>
      <c r="B616" s="113" t="s">
        <v>2755</v>
      </c>
      <c r="C616" s="113">
        <v>6011147</v>
      </c>
      <c r="D616" s="113" t="s">
        <v>3093</v>
      </c>
      <c r="E616" s="113" t="s">
        <v>1620</v>
      </c>
      <c r="F616" s="113" t="s">
        <v>3093</v>
      </c>
      <c r="G616" s="115" t="s">
        <v>3093</v>
      </c>
      <c r="H616" s="161">
        <v>0</v>
      </c>
      <c r="I616" s="161" t="s">
        <v>7138</v>
      </c>
    </row>
    <row r="617" spans="1:9">
      <c r="A617" s="113">
        <v>100400277</v>
      </c>
      <c r="B617" s="113" t="s">
        <v>2756</v>
      </c>
      <c r="C617" s="113">
        <v>6011148</v>
      </c>
      <c r="D617" s="113" t="s">
        <v>3093</v>
      </c>
      <c r="E617" s="113" t="s">
        <v>1620</v>
      </c>
      <c r="F617" s="113" t="s">
        <v>3093</v>
      </c>
      <c r="G617" s="115" t="s">
        <v>3093</v>
      </c>
      <c r="H617" s="161">
        <v>0</v>
      </c>
      <c r="I617" s="161" t="s">
        <v>7138</v>
      </c>
    </row>
    <row r="618" spans="1:9">
      <c r="A618" s="113">
        <v>100400278</v>
      </c>
      <c r="B618" s="113" t="s">
        <v>2757</v>
      </c>
      <c r="C618" s="113">
        <v>6011149</v>
      </c>
      <c r="D618" s="113" t="s">
        <v>3093</v>
      </c>
      <c r="E618" s="113" t="s">
        <v>1620</v>
      </c>
      <c r="F618" s="113" t="s">
        <v>3093</v>
      </c>
      <c r="G618" s="115" t="s">
        <v>3093</v>
      </c>
      <c r="H618" s="161">
        <v>228.09</v>
      </c>
      <c r="I618" s="161">
        <v>1</v>
      </c>
    </row>
    <row r="619" spans="1:9">
      <c r="A619" s="113">
        <v>100400279</v>
      </c>
      <c r="B619" s="113" t="s">
        <v>2758</v>
      </c>
      <c r="C619" s="113">
        <v>6011150</v>
      </c>
      <c r="D619" s="113" t="s">
        <v>3093</v>
      </c>
      <c r="E619" s="113" t="s">
        <v>1620</v>
      </c>
      <c r="F619" s="113" t="s">
        <v>3093</v>
      </c>
      <c r="G619" s="115" t="s">
        <v>3093</v>
      </c>
      <c r="H619" s="161">
        <v>228.09</v>
      </c>
      <c r="I619" s="161">
        <v>1</v>
      </c>
    </row>
    <row r="620" spans="1:9">
      <c r="A620" s="113">
        <v>100400280</v>
      </c>
      <c r="B620" s="113" t="s">
        <v>2759</v>
      </c>
      <c r="C620" s="113">
        <v>6011151</v>
      </c>
      <c r="D620" s="113" t="s">
        <v>3093</v>
      </c>
      <c r="E620" s="113" t="s">
        <v>1620</v>
      </c>
      <c r="F620" s="113" t="s">
        <v>3093</v>
      </c>
      <c r="G620" s="115" t="s">
        <v>3093</v>
      </c>
      <c r="H620" s="161">
        <v>0</v>
      </c>
      <c r="I620" s="161" t="s">
        <v>7138</v>
      </c>
    </row>
    <row r="621" spans="1:9">
      <c r="A621" s="113">
        <v>100400281</v>
      </c>
      <c r="B621" s="113" t="s">
        <v>2760</v>
      </c>
      <c r="C621" s="113">
        <v>6011152</v>
      </c>
      <c r="D621" s="113" t="s">
        <v>3093</v>
      </c>
      <c r="E621" s="113" t="s">
        <v>1620</v>
      </c>
      <c r="F621" s="113" t="s">
        <v>3093</v>
      </c>
      <c r="G621" s="115" t="s">
        <v>3093</v>
      </c>
      <c r="H621" s="161">
        <v>0</v>
      </c>
      <c r="I621" s="161" t="s">
        <v>7138</v>
      </c>
    </row>
    <row r="622" spans="1:9">
      <c r="A622" s="113">
        <v>100400282</v>
      </c>
      <c r="B622" s="113" t="s">
        <v>2761</v>
      </c>
      <c r="C622" s="113">
        <v>6011153</v>
      </c>
      <c r="D622" s="113" t="s">
        <v>3093</v>
      </c>
      <c r="E622" s="113" t="s">
        <v>1620</v>
      </c>
      <c r="F622" s="113" t="s">
        <v>3093</v>
      </c>
      <c r="G622" s="115" t="s">
        <v>3093</v>
      </c>
      <c r="H622" s="161">
        <v>0</v>
      </c>
      <c r="I622" s="161" t="s">
        <v>7138</v>
      </c>
    </row>
    <row r="623" spans="1:9">
      <c r="A623" s="113">
        <v>100400283</v>
      </c>
      <c r="B623" s="113" t="s">
        <v>2762</v>
      </c>
      <c r="C623" s="113">
        <v>6011154</v>
      </c>
      <c r="D623" s="113" t="s">
        <v>3093</v>
      </c>
      <c r="E623" s="113" t="s">
        <v>1620</v>
      </c>
      <c r="F623" s="113" t="s">
        <v>3093</v>
      </c>
      <c r="G623" s="115" t="s">
        <v>3093</v>
      </c>
      <c r="H623" s="161">
        <v>0</v>
      </c>
      <c r="I623" s="161" t="s">
        <v>7138</v>
      </c>
    </row>
    <row r="624" spans="1:9">
      <c r="A624" s="113">
        <v>100400284</v>
      </c>
      <c r="B624" s="113" t="s">
        <v>2763</v>
      </c>
      <c r="C624" s="113">
        <v>6011155</v>
      </c>
      <c r="D624" s="113" t="s">
        <v>3093</v>
      </c>
      <c r="E624" s="113" t="s">
        <v>1620</v>
      </c>
      <c r="F624" s="113" t="s">
        <v>3093</v>
      </c>
      <c r="G624" s="115" t="s">
        <v>3093</v>
      </c>
      <c r="H624" s="161">
        <v>0</v>
      </c>
      <c r="I624" s="161" t="s">
        <v>7138</v>
      </c>
    </row>
    <row r="625" spans="1:9">
      <c r="A625" s="113">
        <v>100400285</v>
      </c>
      <c r="B625" s="113" t="s">
        <v>2764</v>
      </c>
      <c r="C625" s="113">
        <v>6011156</v>
      </c>
      <c r="D625" s="113" t="s">
        <v>3093</v>
      </c>
      <c r="E625" s="113" t="s">
        <v>1620</v>
      </c>
      <c r="F625" s="113" t="s">
        <v>3093</v>
      </c>
      <c r="G625" s="115" t="s">
        <v>3093</v>
      </c>
      <c r="H625" s="161">
        <v>0</v>
      </c>
      <c r="I625" s="161" t="s">
        <v>7138</v>
      </c>
    </row>
    <row r="626" spans="1:9">
      <c r="A626" s="113">
        <v>100400286</v>
      </c>
      <c r="B626" s="113" t="s">
        <v>3613</v>
      </c>
      <c r="C626" s="113">
        <v>6011157</v>
      </c>
      <c r="D626" s="113" t="s">
        <v>3093</v>
      </c>
      <c r="E626" s="113" t="s">
        <v>1620</v>
      </c>
      <c r="F626" s="113" t="s">
        <v>3093</v>
      </c>
      <c r="G626" s="115" t="s">
        <v>3093</v>
      </c>
      <c r="H626" s="161">
        <v>0</v>
      </c>
      <c r="I626" s="161" t="s">
        <v>7138</v>
      </c>
    </row>
    <row r="627" spans="1:9">
      <c r="A627" s="113">
        <v>100400287</v>
      </c>
      <c r="B627" s="113" t="s">
        <v>3614</v>
      </c>
      <c r="C627" s="113">
        <v>6011158</v>
      </c>
      <c r="D627" s="113" t="s">
        <v>3093</v>
      </c>
      <c r="E627" s="113" t="s">
        <v>1620</v>
      </c>
      <c r="F627" s="113" t="s">
        <v>3093</v>
      </c>
      <c r="G627" s="115" t="s">
        <v>3093</v>
      </c>
      <c r="H627" s="161">
        <v>0</v>
      </c>
      <c r="I627" s="161" t="s">
        <v>7138</v>
      </c>
    </row>
    <row r="628" spans="1:9">
      <c r="A628" s="113">
        <v>100400288</v>
      </c>
      <c r="B628" s="113" t="s">
        <v>3615</v>
      </c>
      <c r="C628" s="113">
        <v>6011159</v>
      </c>
      <c r="D628" s="113" t="s">
        <v>3093</v>
      </c>
      <c r="E628" s="113" t="s">
        <v>1620</v>
      </c>
      <c r="F628" s="113" t="s">
        <v>3093</v>
      </c>
      <c r="G628" s="115" t="s">
        <v>3093</v>
      </c>
      <c r="H628" s="161">
        <v>0</v>
      </c>
      <c r="I628" s="161" t="s">
        <v>7138</v>
      </c>
    </row>
    <row r="629" spans="1:9">
      <c r="A629" s="113">
        <v>100400289</v>
      </c>
      <c r="B629" s="113" t="s">
        <v>3616</v>
      </c>
      <c r="C629" s="113">
        <v>6011160</v>
      </c>
      <c r="D629" s="113" t="s">
        <v>3093</v>
      </c>
      <c r="E629" s="113" t="s">
        <v>1620</v>
      </c>
      <c r="F629" s="113" t="s">
        <v>3093</v>
      </c>
      <c r="G629" s="115" t="s">
        <v>3093</v>
      </c>
      <c r="H629" s="161">
        <v>0</v>
      </c>
      <c r="I629" s="161" t="s">
        <v>7138</v>
      </c>
    </row>
    <row r="630" spans="1:9">
      <c r="A630" s="113">
        <v>100400290</v>
      </c>
      <c r="B630" s="113" t="s">
        <v>2765</v>
      </c>
      <c r="C630" s="113">
        <v>6011161</v>
      </c>
      <c r="D630" s="113" t="s">
        <v>3093</v>
      </c>
      <c r="E630" s="113" t="s">
        <v>1620</v>
      </c>
      <c r="F630" s="113" t="s">
        <v>3093</v>
      </c>
      <c r="G630" s="115" t="s">
        <v>3093</v>
      </c>
      <c r="H630" s="161">
        <v>0</v>
      </c>
      <c r="I630" s="161" t="s">
        <v>7138</v>
      </c>
    </row>
    <row r="631" spans="1:9">
      <c r="A631" s="113">
        <v>100400291</v>
      </c>
      <c r="B631" s="113" t="s">
        <v>2766</v>
      </c>
      <c r="C631" s="113">
        <v>6011162</v>
      </c>
      <c r="D631" s="113" t="s">
        <v>3093</v>
      </c>
      <c r="E631" s="113" t="s">
        <v>1620</v>
      </c>
      <c r="F631" s="113" t="s">
        <v>3093</v>
      </c>
      <c r="G631" s="115" t="s">
        <v>3093</v>
      </c>
      <c r="H631" s="161">
        <v>0</v>
      </c>
      <c r="I631" s="161" t="s">
        <v>7138</v>
      </c>
    </row>
    <row r="632" spans="1:9">
      <c r="A632" s="113">
        <v>100400292</v>
      </c>
      <c r="B632" s="113" t="s">
        <v>2767</v>
      </c>
      <c r="C632" s="113">
        <v>6011163</v>
      </c>
      <c r="D632" s="113" t="s">
        <v>3093</v>
      </c>
      <c r="E632" s="113" t="s">
        <v>1620</v>
      </c>
      <c r="F632" s="113" t="s">
        <v>3093</v>
      </c>
      <c r="G632" s="115" t="s">
        <v>3093</v>
      </c>
      <c r="H632" s="161">
        <v>0</v>
      </c>
      <c r="I632" s="161" t="s">
        <v>7138</v>
      </c>
    </row>
    <row r="633" spans="1:9">
      <c r="A633" s="113">
        <v>100400293</v>
      </c>
      <c r="B633" s="113" t="s">
        <v>2768</v>
      </c>
      <c r="C633" s="113">
        <v>6011164</v>
      </c>
      <c r="D633" s="113" t="s">
        <v>3093</v>
      </c>
      <c r="E633" s="113" t="s">
        <v>1620</v>
      </c>
      <c r="F633" s="113" t="s">
        <v>3093</v>
      </c>
      <c r="G633" s="115" t="s">
        <v>3093</v>
      </c>
      <c r="H633" s="161">
        <v>0</v>
      </c>
      <c r="I633" s="161" t="s">
        <v>7138</v>
      </c>
    </row>
    <row r="634" spans="1:9">
      <c r="A634" s="113">
        <v>100400294</v>
      </c>
      <c r="B634" s="113" t="s">
        <v>2769</v>
      </c>
      <c r="C634" s="113">
        <v>6011165</v>
      </c>
      <c r="D634" s="113" t="s">
        <v>3093</v>
      </c>
      <c r="E634" s="113" t="s">
        <v>1620</v>
      </c>
      <c r="F634" s="113" t="s">
        <v>3093</v>
      </c>
      <c r="G634" s="115" t="s">
        <v>3093</v>
      </c>
      <c r="H634" s="161">
        <v>0</v>
      </c>
      <c r="I634" s="161" t="s">
        <v>7138</v>
      </c>
    </row>
    <row r="635" spans="1:9">
      <c r="A635" s="113">
        <v>100400295</v>
      </c>
      <c r="B635" s="113" t="s">
        <v>2770</v>
      </c>
      <c r="C635" s="113">
        <v>6011166</v>
      </c>
      <c r="D635" s="113" t="s">
        <v>3093</v>
      </c>
      <c r="E635" s="113" t="s">
        <v>1620</v>
      </c>
      <c r="F635" s="113" t="s">
        <v>3093</v>
      </c>
      <c r="G635" s="115" t="s">
        <v>3093</v>
      </c>
      <c r="H635" s="161">
        <v>0</v>
      </c>
      <c r="I635" s="161" t="s">
        <v>7138</v>
      </c>
    </row>
    <row r="636" spans="1:9">
      <c r="A636" s="113">
        <v>100400296</v>
      </c>
      <c r="B636" s="113" t="s">
        <v>2771</v>
      </c>
      <c r="C636" s="113">
        <v>6011167</v>
      </c>
      <c r="D636" s="113" t="s">
        <v>3093</v>
      </c>
      <c r="E636" s="113" t="s">
        <v>1620</v>
      </c>
      <c r="F636" s="113" t="s">
        <v>3093</v>
      </c>
      <c r="G636" s="115" t="s">
        <v>3093</v>
      </c>
      <c r="H636" s="161">
        <v>0</v>
      </c>
      <c r="I636" s="161" t="s">
        <v>7138</v>
      </c>
    </row>
    <row r="637" spans="1:9">
      <c r="A637" s="113">
        <v>100400297</v>
      </c>
      <c r="B637" s="113" t="s">
        <v>3617</v>
      </c>
      <c r="C637" s="113">
        <v>6011168</v>
      </c>
      <c r="D637" s="113" t="s">
        <v>3093</v>
      </c>
      <c r="E637" s="113" t="s">
        <v>1620</v>
      </c>
      <c r="F637" s="113" t="s">
        <v>3093</v>
      </c>
      <c r="G637" s="115" t="s">
        <v>3093</v>
      </c>
      <c r="H637" s="161">
        <v>7514.5</v>
      </c>
      <c r="I637" s="161">
        <v>1</v>
      </c>
    </row>
    <row r="638" spans="1:9">
      <c r="A638" s="113">
        <v>100400298</v>
      </c>
      <c r="B638" s="113" t="s">
        <v>3618</v>
      </c>
      <c r="C638" s="113">
        <v>6011169</v>
      </c>
      <c r="D638" s="113" t="s">
        <v>3093</v>
      </c>
      <c r="E638" s="113" t="s">
        <v>1620</v>
      </c>
      <c r="F638" s="113" t="s">
        <v>3093</v>
      </c>
      <c r="G638" s="115" t="s">
        <v>3093</v>
      </c>
      <c r="H638" s="161">
        <v>0</v>
      </c>
      <c r="I638" s="161" t="s">
        <v>7138</v>
      </c>
    </row>
    <row r="639" spans="1:9">
      <c r="A639" s="113">
        <v>100400299</v>
      </c>
      <c r="B639" s="113" t="s">
        <v>3619</v>
      </c>
      <c r="C639" s="113">
        <v>6011170</v>
      </c>
      <c r="D639" s="113" t="s">
        <v>3093</v>
      </c>
      <c r="E639" s="113" t="s">
        <v>1620</v>
      </c>
      <c r="F639" s="113" t="s">
        <v>3093</v>
      </c>
      <c r="G639" s="115" t="s">
        <v>3093</v>
      </c>
      <c r="H639" s="161">
        <v>0</v>
      </c>
      <c r="I639" s="161" t="s">
        <v>7138</v>
      </c>
    </row>
    <row r="640" spans="1:9">
      <c r="A640" s="113">
        <v>100400300</v>
      </c>
      <c r="B640" s="113" t="s">
        <v>3620</v>
      </c>
      <c r="C640" s="113">
        <v>6011171</v>
      </c>
      <c r="D640" s="113" t="s">
        <v>3093</v>
      </c>
      <c r="E640" s="113" t="s">
        <v>1620</v>
      </c>
      <c r="F640" s="113" t="s">
        <v>3093</v>
      </c>
      <c r="G640" s="115" t="s">
        <v>3093</v>
      </c>
      <c r="H640" s="161">
        <v>0</v>
      </c>
      <c r="I640" s="161" t="s">
        <v>7138</v>
      </c>
    </row>
    <row r="641" spans="1:9">
      <c r="A641" s="113">
        <v>100400301</v>
      </c>
      <c r="B641" s="113" t="s">
        <v>3621</v>
      </c>
      <c r="C641" s="113">
        <v>6011172</v>
      </c>
      <c r="D641" s="113" t="s">
        <v>3093</v>
      </c>
      <c r="E641" s="113" t="s">
        <v>1620</v>
      </c>
      <c r="F641" s="113" t="s">
        <v>3093</v>
      </c>
      <c r="G641" s="115" t="s">
        <v>3093</v>
      </c>
      <c r="H641" s="161">
        <v>0</v>
      </c>
      <c r="I641" s="161" t="s">
        <v>7138</v>
      </c>
    </row>
    <row r="642" spans="1:9">
      <c r="A642" s="113">
        <v>100400302</v>
      </c>
      <c r="B642" s="113" t="s">
        <v>3622</v>
      </c>
      <c r="C642" s="113">
        <v>6011173</v>
      </c>
      <c r="D642" s="113" t="s">
        <v>3093</v>
      </c>
      <c r="E642" s="113" t="s">
        <v>1620</v>
      </c>
      <c r="F642" s="113" t="s">
        <v>3093</v>
      </c>
      <c r="G642" s="115" t="s">
        <v>3093</v>
      </c>
      <c r="H642" s="161">
        <v>0</v>
      </c>
      <c r="I642" s="161" t="s">
        <v>7138</v>
      </c>
    </row>
    <row r="643" spans="1:9">
      <c r="A643" s="113">
        <v>100400303</v>
      </c>
      <c r="B643" s="113" t="s">
        <v>3623</v>
      </c>
      <c r="C643" s="113">
        <v>6011174</v>
      </c>
      <c r="D643" s="113" t="s">
        <v>3093</v>
      </c>
      <c r="E643" s="113" t="s">
        <v>1620</v>
      </c>
      <c r="F643" s="113" t="s">
        <v>3093</v>
      </c>
      <c r="G643" s="115" t="s">
        <v>3093</v>
      </c>
      <c r="H643" s="161">
        <v>0</v>
      </c>
      <c r="I643" s="161" t="s">
        <v>7138</v>
      </c>
    </row>
    <row r="644" spans="1:9">
      <c r="A644" s="113">
        <v>100400304</v>
      </c>
      <c r="B644" s="113" t="s">
        <v>641</v>
      </c>
      <c r="C644" s="113">
        <v>6011175</v>
      </c>
      <c r="D644" s="113" t="s">
        <v>3093</v>
      </c>
      <c r="E644" s="113" t="s">
        <v>1620</v>
      </c>
      <c r="F644" s="113" t="s">
        <v>3093</v>
      </c>
      <c r="G644" s="115" t="s">
        <v>3093</v>
      </c>
      <c r="H644" s="161">
        <v>57.18</v>
      </c>
      <c r="I644" s="161">
        <v>8</v>
      </c>
    </row>
    <row r="645" spans="1:9">
      <c r="A645" s="113">
        <v>100400305</v>
      </c>
      <c r="B645" s="113" t="s">
        <v>3624</v>
      </c>
      <c r="C645" s="113">
        <v>6011176</v>
      </c>
      <c r="D645" s="113" t="s">
        <v>3093</v>
      </c>
      <c r="E645" s="113" t="s">
        <v>1620</v>
      </c>
      <c r="F645" s="113" t="s">
        <v>3093</v>
      </c>
      <c r="G645" s="115" t="s">
        <v>3093</v>
      </c>
      <c r="H645" s="161">
        <v>2.15</v>
      </c>
      <c r="I645" s="161">
        <v>2</v>
      </c>
    </row>
    <row r="646" spans="1:9">
      <c r="A646" s="113">
        <v>100400306</v>
      </c>
      <c r="B646" s="113" t="s">
        <v>3625</v>
      </c>
      <c r="C646" s="113">
        <v>6011177</v>
      </c>
      <c r="D646" s="113" t="s">
        <v>3093</v>
      </c>
      <c r="E646" s="113" t="s">
        <v>1620</v>
      </c>
      <c r="F646" s="113" t="s">
        <v>3093</v>
      </c>
      <c r="G646" s="115" t="s">
        <v>3093</v>
      </c>
      <c r="H646" s="161">
        <v>2.7</v>
      </c>
      <c r="I646" s="161">
        <v>2</v>
      </c>
    </row>
    <row r="647" spans="1:9">
      <c r="A647" s="113">
        <v>100400307</v>
      </c>
      <c r="B647" s="113" t="s">
        <v>2772</v>
      </c>
      <c r="C647" s="113">
        <v>6011178</v>
      </c>
      <c r="D647" s="113" t="s">
        <v>3093</v>
      </c>
      <c r="E647" s="113" t="s">
        <v>1620</v>
      </c>
      <c r="F647" s="113" t="s">
        <v>3093</v>
      </c>
      <c r="G647" s="115" t="s">
        <v>3093</v>
      </c>
      <c r="H647" s="161">
        <v>24.78</v>
      </c>
      <c r="I647" s="161">
        <v>1</v>
      </c>
    </row>
    <row r="648" spans="1:9">
      <c r="A648" s="113">
        <v>100400308</v>
      </c>
      <c r="B648" s="113" t="s">
        <v>2773</v>
      </c>
      <c r="C648" s="113">
        <v>6011179</v>
      </c>
      <c r="D648" s="113" t="s">
        <v>3093</v>
      </c>
      <c r="E648" s="113" t="s">
        <v>1620</v>
      </c>
      <c r="F648" s="113" t="s">
        <v>3093</v>
      </c>
      <c r="G648" s="115" t="s">
        <v>3093</v>
      </c>
      <c r="H648" s="161">
        <v>112.32</v>
      </c>
      <c r="I648" s="161">
        <v>0</v>
      </c>
    </row>
    <row r="649" spans="1:9">
      <c r="A649" s="113">
        <v>100400309</v>
      </c>
      <c r="B649" s="113" t="s">
        <v>3626</v>
      </c>
      <c r="C649" s="113">
        <v>6011180</v>
      </c>
      <c r="D649" s="113" t="s">
        <v>3093</v>
      </c>
      <c r="E649" s="113" t="s">
        <v>1620</v>
      </c>
      <c r="F649" s="113" t="s">
        <v>3093</v>
      </c>
      <c r="G649" s="115" t="s">
        <v>3093</v>
      </c>
      <c r="H649" s="161">
        <v>1.95</v>
      </c>
      <c r="I649" s="161">
        <v>0</v>
      </c>
    </row>
    <row r="650" spans="1:9">
      <c r="A650" s="113">
        <v>100400310</v>
      </c>
      <c r="B650" s="113" t="s">
        <v>3627</v>
      </c>
      <c r="C650" s="113">
        <v>6011181</v>
      </c>
      <c r="D650" s="113" t="s">
        <v>3093</v>
      </c>
      <c r="E650" s="113" t="s">
        <v>1620</v>
      </c>
      <c r="F650" s="113" t="s">
        <v>3093</v>
      </c>
      <c r="G650" s="115" t="s">
        <v>3093</v>
      </c>
      <c r="H650" s="161">
        <v>36.159999999999997</v>
      </c>
      <c r="I650" s="161">
        <v>12</v>
      </c>
    </row>
    <row r="651" spans="1:9">
      <c r="A651" s="113">
        <v>100400311</v>
      </c>
      <c r="B651" s="113" t="s">
        <v>3628</v>
      </c>
      <c r="C651" s="113">
        <v>6011182</v>
      </c>
      <c r="D651" s="113" t="s">
        <v>3093</v>
      </c>
      <c r="E651" s="113" t="s">
        <v>1620</v>
      </c>
      <c r="F651" s="113" t="s">
        <v>3093</v>
      </c>
      <c r="G651" s="115" t="s">
        <v>3093</v>
      </c>
      <c r="H651" s="161">
        <v>167.85</v>
      </c>
      <c r="I651" s="161">
        <v>18</v>
      </c>
    </row>
    <row r="652" spans="1:9">
      <c r="A652" s="113">
        <v>100400312</v>
      </c>
      <c r="B652" s="113" t="s">
        <v>3629</v>
      </c>
      <c r="C652" s="113">
        <v>6012010</v>
      </c>
      <c r="D652" s="113" t="s">
        <v>3093</v>
      </c>
      <c r="E652" s="113" t="s">
        <v>1620</v>
      </c>
      <c r="F652" s="113" t="s">
        <v>3093</v>
      </c>
      <c r="G652" s="115" t="s">
        <v>3093</v>
      </c>
      <c r="H652" s="161">
        <v>0</v>
      </c>
      <c r="I652" s="161" t="s">
        <v>7138</v>
      </c>
    </row>
    <row r="653" spans="1:9">
      <c r="A653" s="113">
        <v>100400313</v>
      </c>
      <c r="B653" s="113" t="s">
        <v>3630</v>
      </c>
      <c r="C653" s="113">
        <v>6012011</v>
      </c>
      <c r="D653" s="113" t="s">
        <v>3093</v>
      </c>
      <c r="E653" s="113" t="s">
        <v>1620</v>
      </c>
      <c r="F653" s="113" t="s">
        <v>3093</v>
      </c>
      <c r="G653" s="115" t="s">
        <v>3093</v>
      </c>
      <c r="H653" s="161">
        <v>0</v>
      </c>
      <c r="I653" s="161" t="s">
        <v>7138</v>
      </c>
    </row>
    <row r="654" spans="1:9">
      <c r="A654" s="113">
        <v>100400314</v>
      </c>
      <c r="B654" s="113" t="s">
        <v>3631</v>
      </c>
      <c r="C654" s="113">
        <v>6013010</v>
      </c>
      <c r="D654" s="113" t="s">
        <v>3093</v>
      </c>
      <c r="E654" s="113" t="s">
        <v>1620</v>
      </c>
      <c r="F654" s="113" t="s">
        <v>3093</v>
      </c>
      <c r="G654" s="115" t="s">
        <v>3093</v>
      </c>
      <c r="H654" s="161">
        <v>0</v>
      </c>
      <c r="I654" s="161" t="s">
        <v>7138</v>
      </c>
    </row>
    <row r="655" spans="1:9">
      <c r="A655" s="113">
        <v>100400315</v>
      </c>
      <c r="B655" s="113" t="s">
        <v>3632</v>
      </c>
      <c r="C655" s="113">
        <v>6013011</v>
      </c>
      <c r="D655" s="113" t="s">
        <v>3093</v>
      </c>
      <c r="E655" s="113" t="s">
        <v>1620</v>
      </c>
      <c r="F655" s="113" t="s">
        <v>3093</v>
      </c>
      <c r="G655" s="115" t="s">
        <v>3093</v>
      </c>
      <c r="H655" s="161">
        <v>0</v>
      </c>
      <c r="I655" s="161" t="s">
        <v>7138</v>
      </c>
    </row>
    <row r="656" spans="1:9">
      <c r="A656" s="113">
        <v>100400316</v>
      </c>
      <c r="B656" s="113" t="s">
        <v>3633</v>
      </c>
      <c r="C656" s="113">
        <v>6013012</v>
      </c>
      <c r="D656" s="113" t="s">
        <v>3093</v>
      </c>
      <c r="E656" s="113" t="s">
        <v>1620</v>
      </c>
      <c r="F656" s="113" t="s">
        <v>3093</v>
      </c>
      <c r="G656" s="115" t="s">
        <v>3093</v>
      </c>
      <c r="H656" s="161">
        <v>0</v>
      </c>
      <c r="I656" s="161" t="s">
        <v>7138</v>
      </c>
    </row>
    <row r="657" spans="1:9">
      <c r="A657" s="113">
        <v>100400317</v>
      </c>
      <c r="B657" s="113" t="s">
        <v>3634</v>
      </c>
      <c r="C657" s="113">
        <v>6013013</v>
      </c>
      <c r="D657" s="113" t="s">
        <v>3093</v>
      </c>
      <c r="E657" s="113" t="s">
        <v>1620</v>
      </c>
      <c r="F657" s="113" t="s">
        <v>3093</v>
      </c>
      <c r="G657" s="115" t="s">
        <v>3093</v>
      </c>
      <c r="H657" s="161">
        <v>0</v>
      </c>
      <c r="I657" s="161" t="s">
        <v>7138</v>
      </c>
    </row>
    <row r="658" spans="1:9">
      <c r="A658" s="113">
        <v>100400318</v>
      </c>
      <c r="B658" s="113" t="s">
        <v>3635</v>
      </c>
      <c r="C658" s="113">
        <v>6013014</v>
      </c>
      <c r="D658" s="113" t="s">
        <v>3093</v>
      </c>
      <c r="E658" s="113" t="s">
        <v>1620</v>
      </c>
      <c r="F658" s="113" t="s">
        <v>3093</v>
      </c>
      <c r="G658" s="115" t="s">
        <v>3093</v>
      </c>
      <c r="H658" s="161">
        <v>0</v>
      </c>
      <c r="I658" s="161" t="s">
        <v>7138</v>
      </c>
    </row>
    <row r="659" spans="1:9">
      <c r="A659" s="113">
        <v>100400319</v>
      </c>
      <c r="B659" s="113" t="s">
        <v>3636</v>
      </c>
      <c r="C659" s="113">
        <v>6013015</v>
      </c>
      <c r="D659" s="113" t="s">
        <v>3093</v>
      </c>
      <c r="E659" s="113" t="s">
        <v>1620</v>
      </c>
      <c r="F659" s="113" t="s">
        <v>3093</v>
      </c>
      <c r="G659" s="115" t="s">
        <v>3093</v>
      </c>
      <c r="H659" s="161">
        <v>0</v>
      </c>
      <c r="I659" s="161" t="s">
        <v>7138</v>
      </c>
    </row>
    <row r="660" spans="1:9">
      <c r="A660" s="113">
        <v>100400320</v>
      </c>
      <c r="B660" s="113" t="s">
        <v>3637</v>
      </c>
      <c r="C660" s="113">
        <v>6013020</v>
      </c>
      <c r="D660" s="113" t="s">
        <v>3093</v>
      </c>
      <c r="E660" s="113" t="s">
        <v>1620</v>
      </c>
      <c r="F660" s="113" t="s">
        <v>3093</v>
      </c>
      <c r="G660" s="115" t="s">
        <v>3093</v>
      </c>
      <c r="H660" s="161">
        <v>0</v>
      </c>
      <c r="I660" s="161" t="s">
        <v>7138</v>
      </c>
    </row>
    <row r="661" spans="1:9">
      <c r="A661" s="113">
        <v>100400321</v>
      </c>
      <c r="B661" s="113" t="s">
        <v>3638</v>
      </c>
      <c r="C661" s="113">
        <v>6013021</v>
      </c>
      <c r="D661" s="113" t="s">
        <v>3093</v>
      </c>
      <c r="E661" s="113" t="s">
        <v>1620</v>
      </c>
      <c r="F661" s="113" t="s">
        <v>3093</v>
      </c>
      <c r="G661" s="115" t="s">
        <v>3093</v>
      </c>
      <c r="H661" s="161">
        <v>0</v>
      </c>
      <c r="I661" s="161" t="s">
        <v>7138</v>
      </c>
    </row>
    <row r="662" spans="1:9">
      <c r="A662" s="113">
        <v>100400323</v>
      </c>
      <c r="B662" s="113" t="s">
        <v>3639</v>
      </c>
      <c r="C662" s="113">
        <v>6014032</v>
      </c>
      <c r="D662" s="113" t="s">
        <v>3093</v>
      </c>
      <c r="E662" s="113" t="s">
        <v>1620</v>
      </c>
      <c r="F662" s="113" t="s">
        <v>3093</v>
      </c>
      <c r="G662" s="115" t="s">
        <v>3093</v>
      </c>
      <c r="H662" s="161">
        <v>0</v>
      </c>
      <c r="I662" s="161" t="s">
        <v>7138</v>
      </c>
    </row>
    <row r="663" spans="1:9">
      <c r="A663" s="113">
        <v>100400324</v>
      </c>
      <c r="B663" s="113" t="s">
        <v>2774</v>
      </c>
      <c r="C663" s="113">
        <v>6014033</v>
      </c>
      <c r="D663" s="113" t="s">
        <v>3093</v>
      </c>
      <c r="E663" s="113" t="s">
        <v>1620</v>
      </c>
      <c r="F663" s="113" t="s">
        <v>3093</v>
      </c>
      <c r="G663" s="115" t="s">
        <v>3093</v>
      </c>
      <c r="H663" s="161">
        <v>0</v>
      </c>
      <c r="I663" s="161" t="s">
        <v>7138</v>
      </c>
    </row>
    <row r="664" spans="1:9">
      <c r="A664" s="113">
        <v>100400325</v>
      </c>
      <c r="B664" s="113" t="s">
        <v>3640</v>
      </c>
      <c r="C664" s="113">
        <v>6014034</v>
      </c>
      <c r="D664" s="113" t="s">
        <v>3093</v>
      </c>
      <c r="E664" s="113" t="s">
        <v>1620</v>
      </c>
      <c r="F664" s="113" t="s">
        <v>3093</v>
      </c>
      <c r="G664" s="115" t="s">
        <v>3093</v>
      </c>
      <c r="H664" s="161">
        <v>0</v>
      </c>
      <c r="I664" s="161" t="s">
        <v>7138</v>
      </c>
    </row>
    <row r="665" spans="1:9">
      <c r="A665" s="113">
        <v>100400326</v>
      </c>
      <c r="B665" s="113" t="s">
        <v>3641</v>
      </c>
      <c r="C665" s="113">
        <v>6014035</v>
      </c>
      <c r="D665" s="113" t="s">
        <v>3093</v>
      </c>
      <c r="E665" s="113" t="s">
        <v>1620</v>
      </c>
      <c r="F665" s="113" t="s">
        <v>3093</v>
      </c>
      <c r="G665" s="115" t="s">
        <v>3093</v>
      </c>
      <c r="H665" s="161">
        <v>0</v>
      </c>
      <c r="I665" s="161" t="s">
        <v>7138</v>
      </c>
    </row>
    <row r="666" spans="1:9">
      <c r="A666" s="113">
        <v>100400327</v>
      </c>
      <c r="B666" s="113" t="s">
        <v>3642</v>
      </c>
      <c r="C666" s="113">
        <v>6014036</v>
      </c>
      <c r="D666" s="113" t="s">
        <v>3093</v>
      </c>
      <c r="E666" s="113" t="s">
        <v>1620</v>
      </c>
      <c r="F666" s="113" t="s">
        <v>3093</v>
      </c>
      <c r="G666" s="115" t="s">
        <v>3093</v>
      </c>
      <c r="H666" s="161">
        <v>0</v>
      </c>
      <c r="I666" s="161" t="s">
        <v>7138</v>
      </c>
    </row>
    <row r="667" spans="1:9">
      <c r="A667" s="113">
        <v>100400328</v>
      </c>
      <c r="B667" s="113" t="s">
        <v>3643</v>
      </c>
      <c r="C667" s="113">
        <v>6014037</v>
      </c>
      <c r="D667" s="113" t="s">
        <v>3093</v>
      </c>
      <c r="E667" s="113" t="s">
        <v>1620</v>
      </c>
      <c r="F667" s="113" t="s">
        <v>3093</v>
      </c>
      <c r="G667" s="115" t="s">
        <v>3093</v>
      </c>
      <c r="H667" s="161">
        <v>0</v>
      </c>
      <c r="I667" s="161" t="s">
        <v>7138</v>
      </c>
    </row>
    <row r="668" spans="1:9">
      <c r="A668" s="113">
        <v>100400329</v>
      </c>
      <c r="B668" s="113" t="s">
        <v>3644</v>
      </c>
      <c r="C668" s="113">
        <v>6014038</v>
      </c>
      <c r="D668" s="113" t="s">
        <v>3093</v>
      </c>
      <c r="E668" s="113" t="s">
        <v>1620</v>
      </c>
      <c r="F668" s="113" t="s">
        <v>3093</v>
      </c>
      <c r="G668" s="115" t="s">
        <v>3093</v>
      </c>
      <c r="H668" s="161">
        <v>0</v>
      </c>
      <c r="I668" s="161" t="s">
        <v>7138</v>
      </c>
    </row>
    <row r="669" spans="1:9">
      <c r="A669" s="113">
        <v>100400330</v>
      </c>
      <c r="B669" s="113" t="s">
        <v>3645</v>
      </c>
      <c r="C669" s="113">
        <v>6014039</v>
      </c>
      <c r="D669" s="113" t="s">
        <v>3093</v>
      </c>
      <c r="E669" s="113" t="s">
        <v>1620</v>
      </c>
      <c r="F669" s="113" t="s">
        <v>3093</v>
      </c>
      <c r="G669" s="115" t="s">
        <v>3093</v>
      </c>
      <c r="H669" s="161">
        <v>0</v>
      </c>
      <c r="I669" s="161" t="s">
        <v>7138</v>
      </c>
    </row>
    <row r="670" spans="1:9">
      <c r="A670" s="113">
        <v>100400331</v>
      </c>
      <c r="B670" s="113" t="s">
        <v>3646</v>
      </c>
      <c r="C670" s="113">
        <v>6014040</v>
      </c>
      <c r="D670" s="113" t="s">
        <v>3093</v>
      </c>
      <c r="E670" s="113" t="s">
        <v>1620</v>
      </c>
      <c r="F670" s="113" t="s">
        <v>3093</v>
      </c>
      <c r="G670" s="115" t="s">
        <v>3093</v>
      </c>
      <c r="H670" s="161">
        <v>0</v>
      </c>
      <c r="I670" s="161" t="s">
        <v>7138</v>
      </c>
    </row>
    <row r="671" spans="1:9">
      <c r="A671" s="113">
        <v>100400332</v>
      </c>
      <c r="B671" s="113" t="s">
        <v>3647</v>
      </c>
      <c r="C671" s="113">
        <v>6014041</v>
      </c>
      <c r="D671" s="113" t="s">
        <v>3093</v>
      </c>
      <c r="E671" s="113" t="s">
        <v>1620</v>
      </c>
      <c r="F671" s="113" t="s">
        <v>3093</v>
      </c>
      <c r="G671" s="115" t="s">
        <v>3093</v>
      </c>
      <c r="H671" s="161">
        <v>0</v>
      </c>
      <c r="I671" s="161" t="s">
        <v>7138</v>
      </c>
    </row>
    <row r="672" spans="1:9">
      <c r="A672" s="113">
        <v>100400333</v>
      </c>
      <c r="B672" s="113" t="s">
        <v>3648</v>
      </c>
      <c r="C672" s="113">
        <v>6014042</v>
      </c>
      <c r="D672" s="113" t="s">
        <v>3093</v>
      </c>
      <c r="E672" s="113" t="s">
        <v>1620</v>
      </c>
      <c r="F672" s="113" t="s">
        <v>3093</v>
      </c>
      <c r="G672" s="115" t="s">
        <v>3093</v>
      </c>
      <c r="H672" s="161">
        <v>0</v>
      </c>
      <c r="I672" s="161" t="s">
        <v>7138</v>
      </c>
    </row>
    <row r="673" spans="1:9">
      <c r="A673" s="113">
        <v>100400334</v>
      </c>
      <c r="B673" s="113" t="s">
        <v>3649</v>
      </c>
      <c r="C673" s="113">
        <v>6014043</v>
      </c>
      <c r="D673" s="113" t="s">
        <v>3093</v>
      </c>
      <c r="E673" s="113" t="s">
        <v>1620</v>
      </c>
      <c r="F673" s="113" t="s">
        <v>3093</v>
      </c>
      <c r="G673" s="115" t="s">
        <v>3093</v>
      </c>
      <c r="H673" s="161">
        <v>0</v>
      </c>
      <c r="I673" s="161" t="s">
        <v>7138</v>
      </c>
    </row>
    <row r="674" spans="1:9">
      <c r="A674" s="113">
        <v>100400335</v>
      </c>
      <c r="B674" s="113" t="s">
        <v>3650</v>
      </c>
      <c r="C674" s="113">
        <v>6014044</v>
      </c>
      <c r="D674" s="113" t="s">
        <v>3093</v>
      </c>
      <c r="E674" s="113" t="s">
        <v>1620</v>
      </c>
      <c r="F674" s="113" t="s">
        <v>3093</v>
      </c>
      <c r="G674" s="115" t="s">
        <v>3093</v>
      </c>
      <c r="H674" s="161">
        <v>0</v>
      </c>
      <c r="I674" s="161" t="s">
        <v>7138</v>
      </c>
    </row>
    <row r="675" spans="1:9">
      <c r="A675" s="113">
        <v>100400336</v>
      </c>
      <c r="B675" s="113" t="s">
        <v>3651</v>
      </c>
      <c r="C675" s="113">
        <v>6014045</v>
      </c>
      <c r="D675" s="113" t="s">
        <v>3093</v>
      </c>
      <c r="E675" s="113" t="s">
        <v>1620</v>
      </c>
      <c r="F675" s="113" t="s">
        <v>3093</v>
      </c>
      <c r="G675" s="115" t="s">
        <v>3093</v>
      </c>
      <c r="H675" s="161">
        <v>0</v>
      </c>
      <c r="I675" s="161" t="s">
        <v>7138</v>
      </c>
    </row>
    <row r="676" spans="1:9">
      <c r="A676" s="113">
        <v>100400337</v>
      </c>
      <c r="B676" s="113" t="s">
        <v>3652</v>
      </c>
      <c r="C676" s="113">
        <v>6014046</v>
      </c>
      <c r="D676" s="113" t="s">
        <v>3093</v>
      </c>
      <c r="E676" s="113" t="s">
        <v>1620</v>
      </c>
      <c r="F676" s="113" t="s">
        <v>3093</v>
      </c>
      <c r="G676" s="115" t="s">
        <v>3093</v>
      </c>
      <c r="H676" s="161">
        <v>0</v>
      </c>
      <c r="I676" s="161" t="s">
        <v>7138</v>
      </c>
    </row>
    <row r="677" spans="1:9">
      <c r="A677" s="113">
        <v>100400338</v>
      </c>
      <c r="B677" s="113" t="s">
        <v>3653</v>
      </c>
      <c r="C677" s="113">
        <v>6014047</v>
      </c>
      <c r="D677" s="113" t="s">
        <v>3093</v>
      </c>
      <c r="E677" s="113" t="s">
        <v>1620</v>
      </c>
      <c r="F677" s="113" t="s">
        <v>3093</v>
      </c>
      <c r="G677" s="115" t="s">
        <v>3093</v>
      </c>
      <c r="H677" s="161">
        <v>0</v>
      </c>
      <c r="I677" s="161" t="s">
        <v>7138</v>
      </c>
    </row>
    <row r="678" spans="1:9">
      <c r="A678" s="113">
        <v>100400339</v>
      </c>
      <c r="B678" s="113" t="s">
        <v>3654</v>
      </c>
      <c r="C678" s="113">
        <v>6014048</v>
      </c>
      <c r="D678" s="113" t="s">
        <v>3093</v>
      </c>
      <c r="E678" s="113" t="s">
        <v>1620</v>
      </c>
      <c r="F678" s="113" t="s">
        <v>3093</v>
      </c>
      <c r="G678" s="115" t="s">
        <v>3093</v>
      </c>
      <c r="H678" s="161">
        <v>0</v>
      </c>
      <c r="I678" s="161" t="s">
        <v>7138</v>
      </c>
    </row>
    <row r="679" spans="1:9">
      <c r="A679" s="113">
        <v>100400340</v>
      </c>
      <c r="B679" s="113" t="s">
        <v>3655</v>
      </c>
      <c r="C679" s="113">
        <v>6014049</v>
      </c>
      <c r="D679" s="113" t="s">
        <v>3093</v>
      </c>
      <c r="E679" s="113" t="s">
        <v>1620</v>
      </c>
      <c r="F679" s="113" t="s">
        <v>3093</v>
      </c>
      <c r="G679" s="115" t="s">
        <v>3093</v>
      </c>
      <c r="H679" s="161">
        <v>0</v>
      </c>
      <c r="I679" s="161" t="s">
        <v>7138</v>
      </c>
    </row>
    <row r="680" spans="1:9">
      <c r="A680" s="113">
        <v>100400341</v>
      </c>
      <c r="B680" s="113" t="s">
        <v>3656</v>
      </c>
      <c r="C680" s="113">
        <v>6014050</v>
      </c>
      <c r="D680" s="113" t="s">
        <v>3093</v>
      </c>
      <c r="E680" s="113" t="s">
        <v>1620</v>
      </c>
      <c r="F680" s="113" t="s">
        <v>3093</v>
      </c>
      <c r="G680" s="115" t="s">
        <v>3093</v>
      </c>
      <c r="H680" s="161">
        <v>0</v>
      </c>
      <c r="I680" s="161" t="s">
        <v>7138</v>
      </c>
    </row>
    <row r="681" spans="1:9">
      <c r="A681" s="113">
        <v>100400342</v>
      </c>
      <c r="B681" s="113" t="s">
        <v>2775</v>
      </c>
      <c r="C681" s="113">
        <v>6014052</v>
      </c>
      <c r="D681" s="113" t="s">
        <v>3093</v>
      </c>
      <c r="E681" s="113" t="s">
        <v>1620</v>
      </c>
      <c r="F681" s="113" t="s">
        <v>3093</v>
      </c>
      <c r="G681" s="115" t="s">
        <v>3093</v>
      </c>
      <c r="H681" s="161">
        <v>0</v>
      </c>
      <c r="I681" s="161" t="s">
        <v>7138</v>
      </c>
    </row>
    <row r="682" spans="1:9">
      <c r="A682" s="113">
        <v>100400343</v>
      </c>
      <c r="B682" s="113" t="s">
        <v>2776</v>
      </c>
      <c r="C682" s="113">
        <v>6014053</v>
      </c>
      <c r="D682" s="113" t="s">
        <v>3093</v>
      </c>
      <c r="E682" s="113" t="s">
        <v>1620</v>
      </c>
      <c r="F682" s="113" t="s">
        <v>3093</v>
      </c>
      <c r="G682" s="115" t="s">
        <v>3093</v>
      </c>
      <c r="H682" s="161">
        <v>0</v>
      </c>
      <c r="I682" s="161" t="s">
        <v>7138</v>
      </c>
    </row>
    <row r="683" spans="1:9">
      <c r="A683" s="113">
        <v>100400344</v>
      </c>
      <c r="B683" s="113" t="s">
        <v>3657</v>
      </c>
      <c r="C683" s="113">
        <v>6014054</v>
      </c>
      <c r="D683" s="113" t="s">
        <v>3093</v>
      </c>
      <c r="E683" s="113" t="s">
        <v>1620</v>
      </c>
      <c r="F683" s="113" t="s">
        <v>3093</v>
      </c>
      <c r="G683" s="115" t="s">
        <v>3093</v>
      </c>
      <c r="H683" s="161">
        <v>35.93</v>
      </c>
      <c r="I683" s="161">
        <v>8</v>
      </c>
    </row>
    <row r="684" spans="1:9">
      <c r="A684" s="113">
        <v>100400345</v>
      </c>
      <c r="B684" s="113" t="s">
        <v>3658</v>
      </c>
      <c r="C684" s="113">
        <v>6014055</v>
      </c>
      <c r="D684" s="113" t="s">
        <v>3093</v>
      </c>
      <c r="E684" s="113" t="s">
        <v>1620</v>
      </c>
      <c r="F684" s="113" t="s">
        <v>3093</v>
      </c>
      <c r="G684" s="115" t="s">
        <v>3093</v>
      </c>
      <c r="H684" s="161">
        <v>35.93</v>
      </c>
      <c r="I684" s="161">
        <v>10</v>
      </c>
    </row>
    <row r="685" spans="1:9">
      <c r="A685" s="113">
        <v>100400346</v>
      </c>
      <c r="B685" s="113" t="s">
        <v>3659</v>
      </c>
      <c r="C685" s="113">
        <v>6015014</v>
      </c>
      <c r="D685" s="113" t="s">
        <v>3093</v>
      </c>
      <c r="E685" s="113" t="s">
        <v>1620</v>
      </c>
      <c r="F685" s="113" t="s">
        <v>3093</v>
      </c>
      <c r="G685" s="115" t="s">
        <v>3093</v>
      </c>
      <c r="H685" s="161">
        <v>16</v>
      </c>
      <c r="I685" s="161">
        <v>4</v>
      </c>
    </row>
    <row r="686" spans="1:9">
      <c r="A686" s="113">
        <v>100400347</v>
      </c>
      <c r="B686" s="113" t="s">
        <v>3660</v>
      </c>
      <c r="C686" s="113">
        <v>6015015</v>
      </c>
      <c r="D686" s="113" t="s">
        <v>3093</v>
      </c>
      <c r="E686" s="113" t="s">
        <v>1620</v>
      </c>
      <c r="F686" s="113" t="s">
        <v>3093</v>
      </c>
      <c r="G686" s="115" t="s">
        <v>3093</v>
      </c>
      <c r="H686" s="161">
        <v>0</v>
      </c>
      <c r="I686" s="161" t="s">
        <v>7138</v>
      </c>
    </row>
    <row r="687" spans="1:9">
      <c r="A687" s="113">
        <v>100400348</v>
      </c>
      <c r="B687" s="113" t="s">
        <v>2777</v>
      </c>
      <c r="C687" s="113">
        <v>6015016</v>
      </c>
      <c r="D687" s="113" t="s">
        <v>3093</v>
      </c>
      <c r="E687" s="113" t="s">
        <v>1620</v>
      </c>
      <c r="F687" s="113" t="s">
        <v>3093</v>
      </c>
      <c r="G687" s="115" t="s">
        <v>3093</v>
      </c>
      <c r="H687" s="161">
        <v>0</v>
      </c>
      <c r="I687" s="161" t="s">
        <v>7138</v>
      </c>
    </row>
    <row r="688" spans="1:9">
      <c r="A688" s="113">
        <v>100400349</v>
      </c>
      <c r="B688" s="113" t="s">
        <v>3661</v>
      </c>
      <c r="C688" s="113">
        <v>6020006</v>
      </c>
      <c r="D688" s="113" t="s">
        <v>3093</v>
      </c>
      <c r="E688" s="113" t="s">
        <v>1620</v>
      </c>
      <c r="F688" s="113" t="s">
        <v>3093</v>
      </c>
      <c r="G688" s="115" t="s">
        <v>3093</v>
      </c>
      <c r="H688" s="161">
        <v>0</v>
      </c>
      <c r="I688" s="161" t="s">
        <v>7138</v>
      </c>
    </row>
    <row r="689" spans="1:9">
      <c r="A689" s="113">
        <v>100400350</v>
      </c>
      <c r="B689" s="113" t="s">
        <v>3662</v>
      </c>
      <c r="C689" s="113">
        <v>6020007</v>
      </c>
      <c r="D689" s="113" t="s">
        <v>3093</v>
      </c>
      <c r="E689" s="113" t="s">
        <v>1620</v>
      </c>
      <c r="F689" s="113" t="s">
        <v>3093</v>
      </c>
      <c r="G689" s="115" t="s">
        <v>3093</v>
      </c>
      <c r="H689" s="161">
        <v>0</v>
      </c>
      <c r="I689" s="161" t="s">
        <v>7138</v>
      </c>
    </row>
    <row r="690" spans="1:9">
      <c r="A690" s="113">
        <v>100400351</v>
      </c>
      <c r="B690" s="113" t="s">
        <v>3663</v>
      </c>
      <c r="C690" s="113">
        <v>6020010</v>
      </c>
      <c r="D690" s="113" t="s">
        <v>3093</v>
      </c>
      <c r="E690" s="113" t="s">
        <v>1620</v>
      </c>
      <c r="F690" s="113" t="s">
        <v>3093</v>
      </c>
      <c r="G690" s="115" t="s">
        <v>3093</v>
      </c>
      <c r="H690" s="161">
        <v>16.95</v>
      </c>
      <c r="I690" s="161">
        <v>8</v>
      </c>
    </row>
    <row r="691" spans="1:9">
      <c r="A691" s="113">
        <v>100400352</v>
      </c>
      <c r="B691" s="113" t="s">
        <v>3664</v>
      </c>
      <c r="C691" s="113">
        <v>6020011</v>
      </c>
      <c r="D691" s="113" t="s">
        <v>3093</v>
      </c>
      <c r="E691" s="113" t="s">
        <v>1620</v>
      </c>
      <c r="F691" s="113" t="s">
        <v>3093</v>
      </c>
      <c r="G691" s="115" t="s">
        <v>3093</v>
      </c>
      <c r="H691" s="161">
        <v>16.95</v>
      </c>
      <c r="I691" s="161">
        <v>0</v>
      </c>
    </row>
    <row r="692" spans="1:9">
      <c r="A692" s="113">
        <v>100400353</v>
      </c>
      <c r="B692" s="113" t="s">
        <v>3665</v>
      </c>
      <c r="C692" s="113">
        <v>6020012</v>
      </c>
      <c r="D692" s="113" t="s">
        <v>3093</v>
      </c>
      <c r="E692" s="113" t="s">
        <v>1620</v>
      </c>
      <c r="F692" s="113" t="s">
        <v>3093</v>
      </c>
      <c r="G692" s="115" t="s">
        <v>3093</v>
      </c>
      <c r="H692" s="161">
        <v>16.95</v>
      </c>
      <c r="I692" s="161">
        <v>3</v>
      </c>
    </row>
    <row r="693" spans="1:9">
      <c r="A693" s="113">
        <v>100400354</v>
      </c>
      <c r="B693" s="113" t="s">
        <v>3666</v>
      </c>
      <c r="C693" s="113">
        <v>6020013</v>
      </c>
      <c r="D693" s="113" t="s">
        <v>3093</v>
      </c>
      <c r="E693" s="113" t="s">
        <v>1620</v>
      </c>
      <c r="F693" s="113" t="s">
        <v>3093</v>
      </c>
      <c r="G693" s="115" t="s">
        <v>3093</v>
      </c>
      <c r="H693" s="161">
        <v>16.95</v>
      </c>
      <c r="I693" s="161">
        <v>8</v>
      </c>
    </row>
    <row r="694" spans="1:9">
      <c r="A694" s="113">
        <v>100400355</v>
      </c>
      <c r="B694" s="113" t="s">
        <v>3667</v>
      </c>
      <c r="C694" s="113">
        <v>6020014</v>
      </c>
      <c r="D694" s="113" t="s">
        <v>3093</v>
      </c>
      <c r="E694" s="113" t="s">
        <v>1620</v>
      </c>
      <c r="F694" s="113" t="s">
        <v>3093</v>
      </c>
      <c r="G694" s="115" t="s">
        <v>3093</v>
      </c>
      <c r="H694" s="161">
        <v>13.1</v>
      </c>
      <c r="I694" s="161">
        <v>6</v>
      </c>
    </row>
    <row r="695" spans="1:9">
      <c r="A695" s="113">
        <v>100400356</v>
      </c>
      <c r="B695" s="113" t="s">
        <v>3668</v>
      </c>
      <c r="C695" s="113">
        <v>6020015</v>
      </c>
      <c r="D695" s="113" t="s">
        <v>3093</v>
      </c>
      <c r="E695" s="113" t="s">
        <v>1620</v>
      </c>
      <c r="F695" s="113" t="s">
        <v>3093</v>
      </c>
      <c r="G695" s="115" t="s">
        <v>3093</v>
      </c>
      <c r="H695" s="161">
        <v>35</v>
      </c>
      <c r="I695" s="161">
        <v>2</v>
      </c>
    </row>
    <row r="696" spans="1:9">
      <c r="A696" s="113">
        <v>100400357</v>
      </c>
      <c r="B696" s="113" t="s">
        <v>3669</v>
      </c>
      <c r="C696" s="113">
        <v>6021031</v>
      </c>
      <c r="D696" s="113" t="s">
        <v>3093</v>
      </c>
      <c r="E696" s="113" t="s">
        <v>1620</v>
      </c>
      <c r="F696" s="113" t="s">
        <v>3093</v>
      </c>
      <c r="G696" s="115" t="s">
        <v>3093</v>
      </c>
      <c r="H696" s="161">
        <v>156</v>
      </c>
      <c r="I696" s="161">
        <v>1</v>
      </c>
    </row>
    <row r="697" spans="1:9">
      <c r="A697" s="113">
        <v>100400358</v>
      </c>
      <c r="B697" s="113" t="s">
        <v>3670</v>
      </c>
      <c r="C697" s="113">
        <v>6021032</v>
      </c>
      <c r="D697" s="113" t="s">
        <v>3093</v>
      </c>
      <c r="E697" s="113" t="s">
        <v>1620</v>
      </c>
      <c r="F697" s="113" t="s">
        <v>3093</v>
      </c>
      <c r="G697" s="115" t="s">
        <v>3093</v>
      </c>
      <c r="H697" s="161">
        <v>156</v>
      </c>
      <c r="I697" s="161">
        <v>1</v>
      </c>
    </row>
    <row r="698" spans="1:9">
      <c r="A698" s="113">
        <v>100400359</v>
      </c>
      <c r="B698" s="113" t="s">
        <v>3671</v>
      </c>
      <c r="C698" s="113">
        <v>6021033</v>
      </c>
      <c r="D698" s="113" t="s">
        <v>3093</v>
      </c>
      <c r="E698" s="113" t="s">
        <v>1620</v>
      </c>
      <c r="F698" s="113" t="s">
        <v>3093</v>
      </c>
      <c r="G698" s="115" t="s">
        <v>3093</v>
      </c>
      <c r="H698" s="161">
        <v>0</v>
      </c>
      <c r="I698" s="161" t="s">
        <v>7138</v>
      </c>
    </row>
    <row r="699" spans="1:9">
      <c r="A699" s="113">
        <v>100400360</v>
      </c>
      <c r="B699" s="113" t="s">
        <v>3672</v>
      </c>
      <c r="C699" s="113">
        <v>6021034</v>
      </c>
      <c r="D699" s="113" t="s">
        <v>3093</v>
      </c>
      <c r="E699" s="113" t="s">
        <v>1620</v>
      </c>
      <c r="F699" s="113" t="s">
        <v>3093</v>
      </c>
      <c r="G699" s="115" t="s">
        <v>3093</v>
      </c>
      <c r="H699" s="161">
        <v>156</v>
      </c>
      <c r="I699" s="161">
        <v>1</v>
      </c>
    </row>
    <row r="700" spans="1:9">
      <c r="A700" s="113">
        <v>100400361</v>
      </c>
      <c r="B700" s="113" t="s">
        <v>3673</v>
      </c>
      <c r="C700" s="113">
        <v>6021036</v>
      </c>
      <c r="D700" s="113" t="s">
        <v>3093</v>
      </c>
      <c r="E700" s="113" t="s">
        <v>1620</v>
      </c>
      <c r="F700" s="113" t="s">
        <v>3093</v>
      </c>
      <c r="G700" s="115" t="s">
        <v>3093</v>
      </c>
      <c r="H700" s="161">
        <v>0</v>
      </c>
      <c r="I700" s="161" t="s">
        <v>7138</v>
      </c>
    </row>
    <row r="701" spans="1:9">
      <c r="A701" s="113">
        <v>100400362</v>
      </c>
      <c r="B701" s="113" t="s">
        <v>3674</v>
      </c>
      <c r="C701" s="113">
        <v>6021037</v>
      </c>
      <c r="D701" s="113" t="s">
        <v>3093</v>
      </c>
      <c r="E701" s="113" t="s">
        <v>1620</v>
      </c>
      <c r="F701" s="113" t="s">
        <v>3093</v>
      </c>
      <c r="G701" s="115" t="s">
        <v>3093</v>
      </c>
      <c r="H701" s="161">
        <v>0</v>
      </c>
      <c r="I701" s="161" t="s">
        <v>7138</v>
      </c>
    </row>
    <row r="702" spans="1:9">
      <c r="A702" s="113">
        <v>100400363</v>
      </c>
      <c r="B702" s="113" t="s">
        <v>3675</v>
      </c>
      <c r="C702" s="113">
        <v>6021038</v>
      </c>
      <c r="D702" s="113" t="s">
        <v>3093</v>
      </c>
      <c r="E702" s="113" t="s">
        <v>1620</v>
      </c>
      <c r="F702" s="113" t="s">
        <v>3093</v>
      </c>
      <c r="G702" s="115" t="s">
        <v>3093</v>
      </c>
      <c r="H702" s="161">
        <v>0</v>
      </c>
      <c r="I702" s="161" t="s">
        <v>7138</v>
      </c>
    </row>
    <row r="703" spans="1:9">
      <c r="A703" s="113">
        <v>100400364</v>
      </c>
      <c r="B703" s="113" t="s">
        <v>3676</v>
      </c>
      <c r="C703" s="113">
        <v>6021039</v>
      </c>
      <c r="D703" s="113" t="s">
        <v>3093</v>
      </c>
      <c r="E703" s="113" t="s">
        <v>1620</v>
      </c>
      <c r="F703" s="113" t="s">
        <v>3093</v>
      </c>
      <c r="G703" s="115" t="s">
        <v>3093</v>
      </c>
      <c r="H703" s="161">
        <v>0</v>
      </c>
      <c r="I703" s="161" t="s">
        <v>7138</v>
      </c>
    </row>
    <row r="704" spans="1:9">
      <c r="A704" s="113">
        <v>100400365</v>
      </c>
      <c r="B704" s="113" t="s">
        <v>3677</v>
      </c>
      <c r="C704" s="113">
        <v>6021040</v>
      </c>
      <c r="D704" s="113" t="s">
        <v>3093</v>
      </c>
      <c r="E704" s="113" t="s">
        <v>1620</v>
      </c>
      <c r="F704" s="113" t="s">
        <v>3093</v>
      </c>
      <c r="G704" s="115" t="s">
        <v>3093</v>
      </c>
      <c r="H704" s="161">
        <v>0</v>
      </c>
      <c r="I704" s="161" t="s">
        <v>7138</v>
      </c>
    </row>
    <row r="705" spans="1:9">
      <c r="A705" s="113">
        <v>100400366</v>
      </c>
      <c r="B705" s="113" t="s">
        <v>3678</v>
      </c>
      <c r="C705" s="113">
        <v>6021041</v>
      </c>
      <c r="D705" s="113" t="s">
        <v>3093</v>
      </c>
      <c r="E705" s="113" t="s">
        <v>1620</v>
      </c>
      <c r="F705" s="113" t="s">
        <v>3093</v>
      </c>
      <c r="G705" s="115" t="s">
        <v>3093</v>
      </c>
      <c r="H705" s="161">
        <v>0</v>
      </c>
      <c r="I705" s="161" t="s">
        <v>7138</v>
      </c>
    </row>
    <row r="706" spans="1:9">
      <c r="A706" s="113">
        <v>100400367</v>
      </c>
      <c r="B706" s="113" t="s">
        <v>3679</v>
      </c>
      <c r="C706" s="113">
        <v>6021042</v>
      </c>
      <c r="D706" s="113" t="s">
        <v>3093</v>
      </c>
      <c r="E706" s="113" t="s">
        <v>1620</v>
      </c>
      <c r="F706" s="113" t="s">
        <v>3093</v>
      </c>
      <c r="G706" s="115" t="s">
        <v>3093</v>
      </c>
      <c r="H706" s="161">
        <v>0</v>
      </c>
      <c r="I706" s="161" t="s">
        <v>7138</v>
      </c>
    </row>
    <row r="707" spans="1:9">
      <c r="A707" s="113">
        <v>100400368</v>
      </c>
      <c r="B707" s="113" t="s">
        <v>3680</v>
      </c>
      <c r="C707" s="113">
        <v>6021043</v>
      </c>
      <c r="D707" s="113" t="s">
        <v>3093</v>
      </c>
      <c r="E707" s="113" t="s">
        <v>1620</v>
      </c>
      <c r="F707" s="113" t="s">
        <v>3093</v>
      </c>
      <c r="G707" s="115" t="s">
        <v>3093</v>
      </c>
      <c r="H707" s="161">
        <v>0</v>
      </c>
      <c r="I707" s="161" t="s">
        <v>7138</v>
      </c>
    </row>
    <row r="708" spans="1:9">
      <c r="A708" s="113">
        <v>100400369</v>
      </c>
      <c r="B708" s="113" t="s">
        <v>3681</v>
      </c>
      <c r="C708" s="113">
        <v>6021044</v>
      </c>
      <c r="D708" s="113" t="s">
        <v>3093</v>
      </c>
      <c r="E708" s="113" t="s">
        <v>1620</v>
      </c>
      <c r="F708" s="113" t="s">
        <v>3093</v>
      </c>
      <c r="G708" s="115" t="s">
        <v>3093</v>
      </c>
      <c r="H708" s="161">
        <v>0</v>
      </c>
      <c r="I708" s="161" t="s">
        <v>7138</v>
      </c>
    </row>
    <row r="709" spans="1:9">
      <c r="A709" s="113">
        <v>100400370</v>
      </c>
      <c r="B709" s="113" t="s">
        <v>3682</v>
      </c>
      <c r="C709" s="113">
        <v>6021045</v>
      </c>
      <c r="D709" s="113" t="s">
        <v>3093</v>
      </c>
      <c r="E709" s="113" t="s">
        <v>1620</v>
      </c>
      <c r="F709" s="113" t="s">
        <v>3093</v>
      </c>
      <c r="G709" s="115" t="s">
        <v>3093</v>
      </c>
      <c r="H709" s="161">
        <v>0</v>
      </c>
      <c r="I709" s="161" t="s">
        <v>7138</v>
      </c>
    </row>
    <row r="710" spans="1:9">
      <c r="A710" s="113">
        <v>100400371</v>
      </c>
      <c r="B710" s="113" t="s">
        <v>3683</v>
      </c>
      <c r="C710" s="113">
        <v>6021046</v>
      </c>
      <c r="D710" s="113" t="s">
        <v>3093</v>
      </c>
      <c r="E710" s="113" t="s">
        <v>1620</v>
      </c>
      <c r="F710" s="113" t="s">
        <v>3093</v>
      </c>
      <c r="G710" s="115" t="s">
        <v>3093</v>
      </c>
      <c r="H710" s="161">
        <v>0</v>
      </c>
      <c r="I710" s="161" t="s">
        <v>7138</v>
      </c>
    </row>
    <row r="711" spans="1:9">
      <c r="A711" s="113">
        <v>100400372</v>
      </c>
      <c r="B711" s="113" t="s">
        <v>3684</v>
      </c>
      <c r="C711" s="113">
        <v>6021047</v>
      </c>
      <c r="D711" s="113" t="s">
        <v>3093</v>
      </c>
      <c r="E711" s="113" t="s">
        <v>1620</v>
      </c>
      <c r="F711" s="113" t="s">
        <v>3093</v>
      </c>
      <c r="G711" s="115" t="s">
        <v>3093</v>
      </c>
      <c r="H711" s="161">
        <v>0</v>
      </c>
      <c r="I711" s="161" t="s">
        <v>7138</v>
      </c>
    </row>
    <row r="712" spans="1:9">
      <c r="A712" s="113">
        <v>100400373</v>
      </c>
      <c r="B712" s="113" t="s">
        <v>3685</v>
      </c>
      <c r="C712" s="113">
        <v>6021048</v>
      </c>
      <c r="D712" s="113" t="s">
        <v>3093</v>
      </c>
      <c r="E712" s="113" t="s">
        <v>1620</v>
      </c>
      <c r="F712" s="113" t="s">
        <v>3093</v>
      </c>
      <c r="G712" s="115" t="s">
        <v>3093</v>
      </c>
      <c r="H712" s="161">
        <v>0</v>
      </c>
      <c r="I712" s="161" t="s">
        <v>7138</v>
      </c>
    </row>
    <row r="713" spans="1:9">
      <c r="A713" s="113">
        <v>100400374</v>
      </c>
      <c r="B713" s="113" t="s">
        <v>3686</v>
      </c>
      <c r="C713" s="113">
        <v>6021049</v>
      </c>
      <c r="D713" s="113" t="s">
        <v>3093</v>
      </c>
      <c r="E713" s="113" t="s">
        <v>1620</v>
      </c>
      <c r="F713" s="113" t="s">
        <v>3093</v>
      </c>
      <c r="G713" s="115" t="s">
        <v>3093</v>
      </c>
      <c r="H713" s="161">
        <v>0</v>
      </c>
      <c r="I713" s="161" t="s">
        <v>7138</v>
      </c>
    </row>
    <row r="714" spans="1:9">
      <c r="A714" s="113">
        <v>100400375</v>
      </c>
      <c r="B714" s="113" t="s">
        <v>3687</v>
      </c>
      <c r="C714" s="113">
        <v>6021050</v>
      </c>
      <c r="D714" s="113" t="s">
        <v>3093</v>
      </c>
      <c r="E714" s="113" t="s">
        <v>1620</v>
      </c>
      <c r="F714" s="113" t="s">
        <v>3093</v>
      </c>
      <c r="G714" s="115" t="s">
        <v>3093</v>
      </c>
      <c r="H714" s="161">
        <v>0</v>
      </c>
      <c r="I714" s="161" t="s">
        <v>7138</v>
      </c>
    </row>
    <row r="715" spans="1:9">
      <c r="A715" s="113">
        <v>100400376</v>
      </c>
      <c r="B715" s="113" t="s">
        <v>3688</v>
      </c>
      <c r="C715" s="113">
        <v>6021051</v>
      </c>
      <c r="D715" s="113" t="s">
        <v>3093</v>
      </c>
      <c r="E715" s="113" t="s">
        <v>1620</v>
      </c>
      <c r="F715" s="113" t="s">
        <v>3093</v>
      </c>
      <c r="G715" s="115" t="s">
        <v>3093</v>
      </c>
      <c r="H715" s="161">
        <v>65</v>
      </c>
      <c r="I715" s="161">
        <v>1</v>
      </c>
    </row>
    <row r="716" spans="1:9">
      <c r="A716" s="113">
        <v>100400377</v>
      </c>
      <c r="B716" s="113" t="s">
        <v>3689</v>
      </c>
      <c r="C716" s="113">
        <v>6021052</v>
      </c>
      <c r="D716" s="113" t="s">
        <v>3093</v>
      </c>
      <c r="E716" s="113" t="s">
        <v>1620</v>
      </c>
      <c r="F716" s="113" t="s">
        <v>3093</v>
      </c>
      <c r="G716" s="115" t="s">
        <v>3093</v>
      </c>
      <c r="H716" s="161">
        <v>0</v>
      </c>
      <c r="I716" s="161" t="s">
        <v>7138</v>
      </c>
    </row>
    <row r="717" spans="1:9">
      <c r="A717" s="113">
        <v>100400378</v>
      </c>
      <c r="B717" s="113" t="s">
        <v>3690</v>
      </c>
      <c r="C717" s="113">
        <v>6021053</v>
      </c>
      <c r="D717" s="113" t="s">
        <v>3093</v>
      </c>
      <c r="E717" s="113" t="s">
        <v>1620</v>
      </c>
      <c r="F717" s="113" t="s">
        <v>3093</v>
      </c>
      <c r="G717" s="115" t="s">
        <v>3093</v>
      </c>
      <c r="H717" s="161">
        <v>0</v>
      </c>
      <c r="I717" s="161" t="s">
        <v>7138</v>
      </c>
    </row>
    <row r="718" spans="1:9">
      <c r="A718" s="113">
        <v>100400379</v>
      </c>
      <c r="B718" s="113" t="s">
        <v>3691</v>
      </c>
      <c r="C718" s="113">
        <v>6022010</v>
      </c>
      <c r="D718" s="113" t="s">
        <v>3093</v>
      </c>
      <c r="E718" s="113" t="s">
        <v>1620</v>
      </c>
      <c r="F718" s="113" t="s">
        <v>3093</v>
      </c>
      <c r="G718" s="115" t="s">
        <v>3093</v>
      </c>
      <c r="H718" s="161">
        <v>290</v>
      </c>
      <c r="I718" s="161">
        <v>4</v>
      </c>
    </row>
    <row r="719" spans="1:9">
      <c r="A719" s="113">
        <v>100400380</v>
      </c>
      <c r="B719" s="113" t="s">
        <v>3692</v>
      </c>
      <c r="C719" s="113">
        <v>6022011</v>
      </c>
      <c r="D719" s="113" t="s">
        <v>3093</v>
      </c>
      <c r="E719" s="113" t="s">
        <v>1620</v>
      </c>
      <c r="F719" s="113" t="s">
        <v>3093</v>
      </c>
      <c r="G719" s="115" t="s">
        <v>3093</v>
      </c>
      <c r="H719" s="161">
        <v>0</v>
      </c>
      <c r="I719" s="161" t="s">
        <v>7138</v>
      </c>
    </row>
    <row r="720" spans="1:9">
      <c r="A720" s="113">
        <v>100400381</v>
      </c>
      <c r="B720" s="113" t="s">
        <v>3693</v>
      </c>
      <c r="C720" s="113">
        <v>6022012</v>
      </c>
      <c r="D720" s="113" t="s">
        <v>3093</v>
      </c>
      <c r="E720" s="113" t="s">
        <v>1620</v>
      </c>
      <c r="F720" s="113" t="s">
        <v>3093</v>
      </c>
      <c r="G720" s="115" t="s">
        <v>3093</v>
      </c>
      <c r="H720" s="161">
        <v>0</v>
      </c>
      <c r="I720" s="161" t="s">
        <v>7138</v>
      </c>
    </row>
    <row r="721" spans="1:9">
      <c r="A721" s="113">
        <v>100400382</v>
      </c>
      <c r="B721" s="113" t="s">
        <v>3694</v>
      </c>
      <c r="C721" s="113">
        <v>6022021</v>
      </c>
      <c r="D721" s="113" t="s">
        <v>3093</v>
      </c>
      <c r="E721" s="113" t="s">
        <v>1620</v>
      </c>
      <c r="F721" s="113" t="s">
        <v>3093</v>
      </c>
      <c r="G721" s="115" t="s">
        <v>3093</v>
      </c>
      <c r="H721" s="161">
        <v>0</v>
      </c>
      <c r="I721" s="161" t="s">
        <v>7138</v>
      </c>
    </row>
    <row r="722" spans="1:9">
      <c r="A722" s="113">
        <v>100400383</v>
      </c>
      <c r="B722" s="113" t="s">
        <v>3695</v>
      </c>
      <c r="C722" s="113">
        <v>6022022</v>
      </c>
      <c r="D722" s="113" t="s">
        <v>3093</v>
      </c>
      <c r="E722" s="113" t="s">
        <v>1620</v>
      </c>
      <c r="F722" s="113" t="s">
        <v>3093</v>
      </c>
      <c r="G722" s="115" t="s">
        <v>3093</v>
      </c>
      <c r="H722" s="161">
        <v>0</v>
      </c>
      <c r="I722" s="161" t="s">
        <v>7138</v>
      </c>
    </row>
    <row r="723" spans="1:9">
      <c r="A723" s="113">
        <v>100400384</v>
      </c>
      <c r="B723" s="113" t="s">
        <v>3696</v>
      </c>
      <c r="C723" s="113">
        <v>6030016</v>
      </c>
      <c r="D723" s="113" t="s">
        <v>3093</v>
      </c>
      <c r="E723" s="113" t="s">
        <v>1620</v>
      </c>
      <c r="F723" s="113" t="s">
        <v>3093</v>
      </c>
      <c r="G723" s="115" t="s">
        <v>3093</v>
      </c>
      <c r="H723" s="161">
        <v>292.29000000000002</v>
      </c>
      <c r="I723" s="161">
        <v>2</v>
      </c>
    </row>
    <row r="724" spans="1:9">
      <c r="A724" s="113">
        <v>100400385</v>
      </c>
      <c r="B724" s="113" t="s">
        <v>3697</v>
      </c>
      <c r="C724" s="113">
        <v>6030017</v>
      </c>
      <c r="D724" s="113" t="s">
        <v>3093</v>
      </c>
      <c r="E724" s="113" t="s">
        <v>1620</v>
      </c>
      <c r="F724" s="113" t="s">
        <v>3093</v>
      </c>
      <c r="G724" s="115" t="s">
        <v>3093</v>
      </c>
      <c r="H724" s="161">
        <v>0</v>
      </c>
      <c r="I724" s="161" t="s">
        <v>7138</v>
      </c>
    </row>
    <row r="725" spans="1:9">
      <c r="A725" s="113">
        <v>100400386</v>
      </c>
      <c r="B725" s="113" t="s">
        <v>3698</v>
      </c>
      <c r="C725" s="113">
        <v>6030018</v>
      </c>
      <c r="D725" s="113" t="s">
        <v>3093</v>
      </c>
      <c r="E725" s="113" t="s">
        <v>1620</v>
      </c>
      <c r="F725" s="113" t="s">
        <v>3093</v>
      </c>
      <c r="G725" s="115" t="s">
        <v>3093</v>
      </c>
      <c r="H725" s="161">
        <v>0</v>
      </c>
      <c r="I725" s="161" t="s">
        <v>7138</v>
      </c>
    </row>
    <row r="726" spans="1:9">
      <c r="A726" s="113">
        <v>100400387</v>
      </c>
      <c r="B726" s="113" t="s">
        <v>3699</v>
      </c>
      <c r="C726" s="113">
        <v>6031016</v>
      </c>
      <c r="D726" s="113" t="s">
        <v>3093</v>
      </c>
      <c r="E726" s="113" t="s">
        <v>1620</v>
      </c>
      <c r="F726" s="113" t="s">
        <v>3093</v>
      </c>
      <c r="G726" s="115" t="s">
        <v>3093</v>
      </c>
      <c r="H726" s="161">
        <v>0</v>
      </c>
      <c r="I726" s="161" t="s">
        <v>7138</v>
      </c>
    </row>
    <row r="727" spans="1:9">
      <c r="A727" s="113">
        <v>100400388</v>
      </c>
      <c r="B727" s="113" t="s">
        <v>3700</v>
      </c>
      <c r="C727" s="113">
        <v>6031020</v>
      </c>
      <c r="D727" s="113" t="s">
        <v>3093</v>
      </c>
      <c r="E727" s="113" t="s">
        <v>1620</v>
      </c>
      <c r="F727" s="113" t="s">
        <v>3093</v>
      </c>
      <c r="G727" s="115" t="s">
        <v>3093</v>
      </c>
      <c r="H727" s="161">
        <v>0</v>
      </c>
      <c r="I727" s="161" t="s">
        <v>7138</v>
      </c>
    </row>
    <row r="728" spans="1:9">
      <c r="A728" s="113">
        <v>100400389</v>
      </c>
      <c r="B728" s="113" t="s">
        <v>3701</v>
      </c>
      <c r="C728" s="113">
        <v>6031021</v>
      </c>
      <c r="D728" s="113" t="s">
        <v>3093</v>
      </c>
      <c r="E728" s="113" t="s">
        <v>1620</v>
      </c>
      <c r="F728" s="113" t="s">
        <v>3093</v>
      </c>
      <c r="G728" s="115" t="s">
        <v>3093</v>
      </c>
      <c r="H728" s="161">
        <v>0</v>
      </c>
      <c r="I728" s="161" t="s">
        <v>7138</v>
      </c>
    </row>
    <row r="729" spans="1:9">
      <c r="A729" s="113">
        <v>100400390</v>
      </c>
      <c r="B729" s="113" t="s">
        <v>3702</v>
      </c>
      <c r="C729" s="113">
        <v>6031022</v>
      </c>
      <c r="D729" s="113" t="s">
        <v>3093</v>
      </c>
      <c r="E729" s="113" t="s">
        <v>1620</v>
      </c>
      <c r="F729" s="113" t="s">
        <v>3093</v>
      </c>
      <c r="G729" s="115" t="s">
        <v>3093</v>
      </c>
      <c r="H729" s="161">
        <v>0</v>
      </c>
      <c r="I729" s="161" t="s">
        <v>7138</v>
      </c>
    </row>
    <row r="730" spans="1:9">
      <c r="A730" s="113">
        <v>100400391</v>
      </c>
      <c r="B730" s="113" t="s">
        <v>3703</v>
      </c>
      <c r="C730" s="113">
        <v>6031023</v>
      </c>
      <c r="D730" s="113" t="s">
        <v>3093</v>
      </c>
      <c r="E730" s="113" t="s">
        <v>1620</v>
      </c>
      <c r="F730" s="113" t="s">
        <v>3093</v>
      </c>
      <c r="G730" s="115" t="s">
        <v>3093</v>
      </c>
      <c r="H730" s="161">
        <v>316.7</v>
      </c>
      <c r="I730" s="161">
        <v>1</v>
      </c>
    </row>
    <row r="731" spans="1:9">
      <c r="A731" s="113">
        <v>100400392</v>
      </c>
      <c r="B731" s="113" t="s">
        <v>3704</v>
      </c>
      <c r="C731" s="113">
        <v>6031024</v>
      </c>
      <c r="D731" s="113" t="s">
        <v>3093</v>
      </c>
      <c r="E731" s="113" t="s">
        <v>1620</v>
      </c>
      <c r="F731" s="113" t="s">
        <v>3093</v>
      </c>
      <c r="G731" s="115" t="s">
        <v>3093</v>
      </c>
      <c r="H731" s="161">
        <v>0</v>
      </c>
      <c r="I731" s="161" t="s">
        <v>7138</v>
      </c>
    </row>
    <row r="732" spans="1:9">
      <c r="A732" s="113">
        <v>100400393</v>
      </c>
      <c r="B732" s="113" t="s">
        <v>3705</v>
      </c>
      <c r="C732" s="113">
        <v>6031025</v>
      </c>
      <c r="D732" s="113" t="s">
        <v>3093</v>
      </c>
      <c r="E732" s="113" t="s">
        <v>1620</v>
      </c>
      <c r="F732" s="113" t="s">
        <v>3093</v>
      </c>
      <c r="G732" s="115" t="s">
        <v>3093</v>
      </c>
      <c r="H732" s="161">
        <v>0</v>
      </c>
      <c r="I732" s="161" t="s">
        <v>7138</v>
      </c>
    </row>
    <row r="733" spans="1:9">
      <c r="A733" s="113">
        <v>100400394</v>
      </c>
      <c r="B733" s="113" t="s">
        <v>3706</v>
      </c>
      <c r="C733" s="113">
        <v>6031026</v>
      </c>
      <c r="D733" s="113" t="s">
        <v>3093</v>
      </c>
      <c r="E733" s="113" t="s">
        <v>1620</v>
      </c>
      <c r="F733" s="113" t="s">
        <v>3093</v>
      </c>
      <c r="G733" s="115" t="s">
        <v>3093</v>
      </c>
      <c r="H733" s="161">
        <v>0</v>
      </c>
      <c r="I733" s="161" t="s">
        <v>7138</v>
      </c>
    </row>
    <row r="734" spans="1:9">
      <c r="A734" s="113">
        <v>100400395</v>
      </c>
      <c r="B734" s="113" t="s">
        <v>3707</v>
      </c>
      <c r="C734" s="113">
        <v>6031027</v>
      </c>
      <c r="D734" s="113" t="s">
        <v>3093</v>
      </c>
      <c r="E734" s="113" t="s">
        <v>1620</v>
      </c>
      <c r="F734" s="113" t="s">
        <v>3093</v>
      </c>
      <c r="G734" s="115" t="s">
        <v>3093</v>
      </c>
      <c r="H734" s="161">
        <v>211</v>
      </c>
      <c r="I734" s="161">
        <v>1</v>
      </c>
    </row>
    <row r="735" spans="1:9">
      <c r="A735" s="113">
        <v>100400396</v>
      </c>
      <c r="B735" s="113" t="s">
        <v>3708</v>
      </c>
      <c r="C735" s="113">
        <v>6031028</v>
      </c>
      <c r="D735" s="113" t="s">
        <v>3093</v>
      </c>
      <c r="E735" s="113" t="s">
        <v>1620</v>
      </c>
      <c r="F735" s="113" t="s">
        <v>3093</v>
      </c>
      <c r="G735" s="115" t="s">
        <v>3093</v>
      </c>
      <c r="H735" s="161">
        <v>211</v>
      </c>
      <c r="I735" s="161">
        <v>2</v>
      </c>
    </row>
    <row r="736" spans="1:9">
      <c r="A736" s="113">
        <v>100400397</v>
      </c>
      <c r="B736" s="113" t="s">
        <v>3709</v>
      </c>
      <c r="C736" s="113">
        <v>6031029</v>
      </c>
      <c r="D736" s="113" t="s">
        <v>3093</v>
      </c>
      <c r="E736" s="113" t="s">
        <v>1620</v>
      </c>
      <c r="F736" s="113" t="s">
        <v>3093</v>
      </c>
      <c r="G736" s="115" t="s">
        <v>3093</v>
      </c>
      <c r="H736" s="161">
        <v>211</v>
      </c>
      <c r="I736" s="161">
        <v>2</v>
      </c>
    </row>
    <row r="737" spans="1:9">
      <c r="A737" s="113">
        <v>100400398</v>
      </c>
      <c r="B737" s="113" t="s">
        <v>3710</v>
      </c>
      <c r="C737" s="113">
        <v>6031030</v>
      </c>
      <c r="D737" s="113" t="s">
        <v>3093</v>
      </c>
      <c r="E737" s="113" t="s">
        <v>1620</v>
      </c>
      <c r="F737" s="113" t="s">
        <v>3093</v>
      </c>
      <c r="G737" s="115" t="s">
        <v>3093</v>
      </c>
      <c r="H737" s="161">
        <v>0</v>
      </c>
      <c r="I737" s="161" t="s">
        <v>7138</v>
      </c>
    </row>
    <row r="738" spans="1:9">
      <c r="A738" s="113">
        <v>100400399</v>
      </c>
      <c r="B738" s="113" t="s">
        <v>3711</v>
      </c>
      <c r="C738" s="113">
        <v>6031031</v>
      </c>
      <c r="D738" s="113" t="s">
        <v>3093</v>
      </c>
      <c r="E738" s="113" t="s">
        <v>1620</v>
      </c>
      <c r="F738" s="113" t="s">
        <v>3093</v>
      </c>
      <c r="G738" s="115" t="s">
        <v>3093</v>
      </c>
      <c r="H738" s="161">
        <v>211</v>
      </c>
      <c r="I738" s="161">
        <v>2</v>
      </c>
    </row>
    <row r="739" spans="1:9">
      <c r="A739" s="113">
        <v>100400400</v>
      </c>
      <c r="B739" s="113" t="s">
        <v>2778</v>
      </c>
      <c r="C739" s="113">
        <v>6031032</v>
      </c>
      <c r="D739" s="113" t="s">
        <v>3093</v>
      </c>
      <c r="E739" s="113" t="s">
        <v>1620</v>
      </c>
      <c r="F739" s="113" t="s">
        <v>3093</v>
      </c>
      <c r="G739" s="115" t="s">
        <v>3093</v>
      </c>
      <c r="H739" s="161">
        <v>84.25</v>
      </c>
      <c r="I739" s="161">
        <v>4</v>
      </c>
    </row>
    <row r="740" spans="1:9">
      <c r="A740" s="113">
        <v>100400401</v>
      </c>
      <c r="B740" s="113" t="s">
        <v>2779</v>
      </c>
      <c r="C740" s="113">
        <v>6031033</v>
      </c>
      <c r="D740" s="113" t="s">
        <v>3093</v>
      </c>
      <c r="E740" s="113" t="s">
        <v>1620</v>
      </c>
      <c r="F740" s="113" t="s">
        <v>3093</v>
      </c>
      <c r="G740" s="115" t="s">
        <v>3093</v>
      </c>
      <c r="H740" s="161">
        <v>34.4</v>
      </c>
      <c r="I740" s="161">
        <v>1</v>
      </c>
    </row>
    <row r="741" spans="1:9">
      <c r="A741" s="113">
        <v>100400402</v>
      </c>
      <c r="B741" s="113" t="s">
        <v>2780</v>
      </c>
      <c r="C741" s="113">
        <v>6031034</v>
      </c>
      <c r="D741" s="113" t="s">
        <v>3093</v>
      </c>
      <c r="E741" s="113" t="s">
        <v>1620</v>
      </c>
      <c r="F741" s="113" t="s">
        <v>3093</v>
      </c>
      <c r="G741" s="115" t="s">
        <v>3093</v>
      </c>
      <c r="H741" s="161">
        <v>48.8</v>
      </c>
      <c r="I741" s="161">
        <v>1</v>
      </c>
    </row>
    <row r="742" spans="1:9">
      <c r="A742" s="113">
        <v>100400403</v>
      </c>
      <c r="B742" s="113" t="s">
        <v>2781</v>
      </c>
      <c r="C742" s="113">
        <v>6031035</v>
      </c>
      <c r="D742" s="113" t="s">
        <v>3093</v>
      </c>
      <c r="E742" s="113" t="s">
        <v>1620</v>
      </c>
      <c r="F742" s="113" t="s">
        <v>3093</v>
      </c>
      <c r="G742" s="115" t="s">
        <v>3093</v>
      </c>
      <c r="H742" s="161">
        <v>48.8</v>
      </c>
      <c r="I742" s="161">
        <v>2</v>
      </c>
    </row>
    <row r="743" spans="1:9">
      <c r="A743" s="113">
        <v>100400404</v>
      </c>
      <c r="B743" s="113" t="s">
        <v>3712</v>
      </c>
      <c r="C743" s="113">
        <v>6031036</v>
      </c>
      <c r="D743" s="113" t="s">
        <v>3093</v>
      </c>
      <c r="E743" s="113" t="s">
        <v>1620</v>
      </c>
      <c r="F743" s="113" t="s">
        <v>3093</v>
      </c>
      <c r="G743" s="115" t="s">
        <v>3093</v>
      </c>
      <c r="H743" s="161">
        <v>0</v>
      </c>
      <c r="I743" s="161" t="s">
        <v>7138</v>
      </c>
    </row>
    <row r="744" spans="1:9">
      <c r="A744" s="113">
        <v>100400405</v>
      </c>
      <c r="B744" s="113" t="s">
        <v>3713</v>
      </c>
      <c r="C744" s="113">
        <v>6031037</v>
      </c>
      <c r="D744" s="113" t="s">
        <v>3093</v>
      </c>
      <c r="E744" s="113" t="s">
        <v>1620</v>
      </c>
      <c r="F744" s="113" t="s">
        <v>3093</v>
      </c>
      <c r="G744" s="115" t="s">
        <v>3093</v>
      </c>
      <c r="H744" s="161">
        <v>27.49</v>
      </c>
      <c r="I744" s="161">
        <v>1</v>
      </c>
    </row>
    <row r="745" spans="1:9">
      <c r="A745" s="113">
        <v>100400406</v>
      </c>
      <c r="B745" s="113" t="s">
        <v>3714</v>
      </c>
      <c r="C745" s="113">
        <v>6032003</v>
      </c>
      <c r="D745" s="113" t="s">
        <v>3093</v>
      </c>
      <c r="E745" s="113" t="s">
        <v>1620</v>
      </c>
      <c r="F745" s="113" t="s">
        <v>3093</v>
      </c>
      <c r="G745" s="115" t="s">
        <v>3093</v>
      </c>
      <c r="H745" s="161">
        <v>0</v>
      </c>
      <c r="I745" s="161" t="s">
        <v>7138</v>
      </c>
    </row>
    <row r="746" spans="1:9">
      <c r="A746" s="113">
        <v>100400408</v>
      </c>
      <c r="B746" s="113" t="s">
        <v>3715</v>
      </c>
      <c r="C746" s="113">
        <v>6032011</v>
      </c>
      <c r="D746" s="113" t="s">
        <v>3093</v>
      </c>
      <c r="E746" s="113" t="s">
        <v>1620</v>
      </c>
      <c r="F746" s="113" t="s">
        <v>3093</v>
      </c>
      <c r="G746" s="115" t="s">
        <v>3093</v>
      </c>
      <c r="H746" s="161">
        <v>0</v>
      </c>
      <c r="I746" s="161" t="s">
        <v>7138</v>
      </c>
    </row>
    <row r="747" spans="1:9">
      <c r="A747" s="113">
        <v>100400409</v>
      </c>
      <c r="B747" s="113" t="s">
        <v>3716</v>
      </c>
      <c r="C747" s="113">
        <v>6032012</v>
      </c>
      <c r="D747" s="113" t="s">
        <v>3093</v>
      </c>
      <c r="E747" s="113" t="s">
        <v>1620</v>
      </c>
      <c r="F747" s="113" t="s">
        <v>3093</v>
      </c>
      <c r="G747" s="115" t="s">
        <v>3093</v>
      </c>
      <c r="H747" s="161">
        <v>0</v>
      </c>
      <c r="I747" s="161" t="s">
        <v>7138</v>
      </c>
    </row>
    <row r="748" spans="1:9">
      <c r="A748" s="113">
        <v>100400410</v>
      </c>
      <c r="B748" s="113" t="s">
        <v>3717</v>
      </c>
      <c r="C748" s="113">
        <v>6032013</v>
      </c>
      <c r="D748" s="113" t="s">
        <v>3093</v>
      </c>
      <c r="E748" s="113" t="s">
        <v>1620</v>
      </c>
      <c r="F748" s="113" t="s">
        <v>3093</v>
      </c>
      <c r="G748" s="115" t="s">
        <v>3093</v>
      </c>
      <c r="H748" s="161">
        <v>213.24</v>
      </c>
      <c r="I748" s="161" t="s">
        <v>7138</v>
      </c>
    </row>
    <row r="749" spans="1:9">
      <c r="A749" s="113">
        <v>100400411</v>
      </c>
      <c r="B749" s="113" t="s">
        <v>3718</v>
      </c>
      <c r="C749" s="113">
        <v>6033041</v>
      </c>
      <c r="D749" s="113" t="s">
        <v>3093</v>
      </c>
      <c r="E749" s="113" t="s">
        <v>1620</v>
      </c>
      <c r="F749" s="113" t="s">
        <v>3093</v>
      </c>
      <c r="G749" s="115" t="s">
        <v>3093</v>
      </c>
      <c r="H749" s="161">
        <v>142.38</v>
      </c>
      <c r="I749" s="161">
        <v>4</v>
      </c>
    </row>
    <row r="750" spans="1:9">
      <c r="A750" s="113">
        <v>100400412</v>
      </c>
      <c r="B750" s="113" t="s">
        <v>2782</v>
      </c>
      <c r="C750" s="113">
        <v>6033042</v>
      </c>
      <c r="D750" s="113" t="s">
        <v>3093</v>
      </c>
      <c r="E750" s="113" t="s">
        <v>1620</v>
      </c>
      <c r="F750" s="113" t="s">
        <v>3093</v>
      </c>
      <c r="G750" s="115" t="s">
        <v>3093</v>
      </c>
      <c r="H750" s="161">
        <v>248.5</v>
      </c>
      <c r="I750" s="161">
        <v>12</v>
      </c>
    </row>
    <row r="751" spans="1:9">
      <c r="A751" s="113">
        <v>100400413</v>
      </c>
      <c r="B751" s="113" t="s">
        <v>3719</v>
      </c>
      <c r="C751" s="113">
        <v>6033044</v>
      </c>
      <c r="D751" s="113" t="s">
        <v>3093</v>
      </c>
      <c r="E751" s="113" t="s">
        <v>1620</v>
      </c>
      <c r="F751" s="113" t="s">
        <v>3093</v>
      </c>
      <c r="G751" s="115" t="s">
        <v>3093</v>
      </c>
      <c r="H751" s="161">
        <v>48.14</v>
      </c>
      <c r="I751" s="161">
        <v>0</v>
      </c>
    </row>
    <row r="752" spans="1:9">
      <c r="A752" s="113">
        <v>100400414</v>
      </c>
      <c r="B752" s="113" t="s">
        <v>3720</v>
      </c>
      <c r="C752" s="113">
        <v>6033045</v>
      </c>
      <c r="D752" s="113" t="s">
        <v>3093</v>
      </c>
      <c r="E752" s="113" t="s">
        <v>1620</v>
      </c>
      <c r="F752" s="113" t="s">
        <v>3093</v>
      </c>
      <c r="G752" s="115" t="s">
        <v>3093</v>
      </c>
      <c r="H752" s="161">
        <v>38.869999999999997</v>
      </c>
      <c r="I752" s="161">
        <v>0</v>
      </c>
    </row>
    <row r="753" spans="1:9">
      <c r="A753" s="113">
        <v>100400415</v>
      </c>
      <c r="B753" s="113" t="s">
        <v>2783</v>
      </c>
      <c r="C753" s="113">
        <v>6033046</v>
      </c>
      <c r="D753" s="113" t="s">
        <v>3093</v>
      </c>
      <c r="E753" s="113" t="s">
        <v>1620</v>
      </c>
      <c r="F753" s="113" t="s">
        <v>3093</v>
      </c>
      <c r="G753" s="115" t="s">
        <v>3093</v>
      </c>
      <c r="H753" s="161">
        <v>40.68</v>
      </c>
      <c r="I753" s="161">
        <v>2</v>
      </c>
    </row>
    <row r="754" spans="1:9">
      <c r="A754" s="113">
        <v>100400416</v>
      </c>
      <c r="B754" s="113" t="s">
        <v>2784</v>
      </c>
      <c r="C754" s="113">
        <v>6033047</v>
      </c>
      <c r="D754" s="113" t="s">
        <v>3093</v>
      </c>
      <c r="E754" s="113" t="s">
        <v>1620</v>
      </c>
      <c r="F754" s="113" t="s">
        <v>3093</v>
      </c>
      <c r="G754" s="115" t="s">
        <v>3093</v>
      </c>
      <c r="H754" s="161">
        <v>40.68</v>
      </c>
      <c r="I754" s="161">
        <v>0</v>
      </c>
    </row>
    <row r="755" spans="1:9">
      <c r="A755" s="113">
        <v>100400417</v>
      </c>
      <c r="B755" s="113" t="s">
        <v>2785</v>
      </c>
      <c r="C755" s="113">
        <v>6033048</v>
      </c>
      <c r="D755" s="113" t="s">
        <v>3093</v>
      </c>
      <c r="E755" s="113" t="s">
        <v>1620</v>
      </c>
      <c r="F755" s="113" t="s">
        <v>3093</v>
      </c>
      <c r="G755" s="115" t="s">
        <v>3093</v>
      </c>
      <c r="H755" s="161">
        <v>40.68</v>
      </c>
      <c r="I755" s="161">
        <v>10</v>
      </c>
    </row>
    <row r="756" spans="1:9">
      <c r="A756" s="113">
        <v>100400418</v>
      </c>
      <c r="B756" s="113" t="s">
        <v>3721</v>
      </c>
      <c r="C756" s="113">
        <v>6033049</v>
      </c>
      <c r="D756" s="113" t="s">
        <v>3093</v>
      </c>
      <c r="E756" s="113" t="s">
        <v>1620</v>
      </c>
      <c r="F756" s="113" t="s">
        <v>3093</v>
      </c>
      <c r="G756" s="115" t="s">
        <v>3093</v>
      </c>
      <c r="H756" s="161">
        <v>0</v>
      </c>
      <c r="I756" s="161" t="s">
        <v>7138</v>
      </c>
    </row>
    <row r="757" spans="1:9">
      <c r="A757" s="113">
        <v>100400419</v>
      </c>
      <c r="B757" s="113" t="s">
        <v>3722</v>
      </c>
      <c r="C757" s="113">
        <v>6033050</v>
      </c>
      <c r="D757" s="113" t="s">
        <v>3093</v>
      </c>
      <c r="E757" s="113" t="s">
        <v>1620</v>
      </c>
      <c r="F757" s="113" t="s">
        <v>3093</v>
      </c>
      <c r="G757" s="115" t="s">
        <v>3093</v>
      </c>
      <c r="H757" s="161">
        <v>0</v>
      </c>
      <c r="I757" s="161" t="s">
        <v>7138</v>
      </c>
    </row>
    <row r="758" spans="1:9">
      <c r="A758" s="113">
        <v>100400420</v>
      </c>
      <c r="B758" s="113" t="s">
        <v>3723</v>
      </c>
      <c r="C758" s="113">
        <v>6033051</v>
      </c>
      <c r="D758" s="113" t="s">
        <v>3093</v>
      </c>
      <c r="E758" s="113" t="s">
        <v>1620</v>
      </c>
      <c r="F758" s="113" t="s">
        <v>3093</v>
      </c>
      <c r="G758" s="115" t="s">
        <v>3093</v>
      </c>
      <c r="H758" s="161">
        <v>0</v>
      </c>
      <c r="I758" s="161" t="s">
        <v>7138</v>
      </c>
    </row>
    <row r="759" spans="1:9">
      <c r="A759" s="113">
        <v>100400421</v>
      </c>
      <c r="B759" s="113" t="s">
        <v>3724</v>
      </c>
      <c r="C759" s="113">
        <v>6033052</v>
      </c>
      <c r="D759" s="113" t="s">
        <v>3093</v>
      </c>
      <c r="E759" s="113" t="s">
        <v>1620</v>
      </c>
      <c r="F759" s="113" t="s">
        <v>3093</v>
      </c>
      <c r="G759" s="115" t="s">
        <v>3093</v>
      </c>
      <c r="H759" s="161">
        <v>65.09</v>
      </c>
      <c r="I759" s="161">
        <v>6</v>
      </c>
    </row>
    <row r="760" spans="1:9">
      <c r="A760" s="113">
        <v>100400422</v>
      </c>
      <c r="B760" s="113" t="s">
        <v>3725</v>
      </c>
      <c r="C760" s="113">
        <v>6033053</v>
      </c>
      <c r="D760" s="113" t="s">
        <v>3093</v>
      </c>
      <c r="E760" s="113" t="s">
        <v>1620</v>
      </c>
      <c r="F760" s="113" t="s">
        <v>3093</v>
      </c>
      <c r="G760" s="115" t="s">
        <v>3093</v>
      </c>
      <c r="H760" s="161">
        <v>46.1</v>
      </c>
      <c r="I760" s="161">
        <v>6</v>
      </c>
    </row>
    <row r="761" spans="1:9">
      <c r="A761" s="113">
        <v>100400423</v>
      </c>
      <c r="B761" s="113" t="s">
        <v>3726</v>
      </c>
      <c r="C761" s="113">
        <v>6033054</v>
      </c>
      <c r="D761" s="113" t="s">
        <v>3093</v>
      </c>
      <c r="E761" s="113" t="s">
        <v>1620</v>
      </c>
      <c r="F761" s="113" t="s">
        <v>3093</v>
      </c>
      <c r="G761" s="115" t="s">
        <v>3093</v>
      </c>
      <c r="H761" s="161">
        <v>292.89999999999998</v>
      </c>
      <c r="I761" s="161">
        <v>3</v>
      </c>
    </row>
    <row r="762" spans="1:9">
      <c r="A762" s="113">
        <v>100400424</v>
      </c>
      <c r="B762" s="113" t="s">
        <v>3727</v>
      </c>
      <c r="C762" s="113">
        <v>6033055</v>
      </c>
      <c r="D762" s="113" t="s">
        <v>3093</v>
      </c>
      <c r="E762" s="113" t="s">
        <v>1620</v>
      </c>
      <c r="F762" s="113" t="s">
        <v>3093</v>
      </c>
      <c r="G762" s="115" t="s">
        <v>3093</v>
      </c>
      <c r="H762" s="161">
        <v>0</v>
      </c>
      <c r="I762" s="161" t="s">
        <v>7138</v>
      </c>
    </row>
    <row r="763" spans="1:9">
      <c r="A763" s="113">
        <v>100400425</v>
      </c>
      <c r="B763" s="113" t="s">
        <v>724</v>
      </c>
      <c r="C763" s="113">
        <v>6034011</v>
      </c>
      <c r="D763" s="113" t="s">
        <v>3093</v>
      </c>
      <c r="E763" s="113" t="s">
        <v>1620</v>
      </c>
      <c r="F763" s="113" t="s">
        <v>3093</v>
      </c>
      <c r="G763" s="115" t="s">
        <v>3093</v>
      </c>
      <c r="H763" s="161">
        <v>6.99</v>
      </c>
      <c r="I763" s="161">
        <v>12</v>
      </c>
    </row>
    <row r="764" spans="1:9">
      <c r="A764" s="113">
        <v>100400426</v>
      </c>
      <c r="B764" s="113" t="s">
        <v>3728</v>
      </c>
      <c r="C764" s="113">
        <v>6034020</v>
      </c>
      <c r="D764" s="113" t="s">
        <v>3093</v>
      </c>
      <c r="E764" s="113" t="s">
        <v>1620</v>
      </c>
      <c r="F764" s="113" t="s">
        <v>3093</v>
      </c>
      <c r="G764" s="115" t="s">
        <v>3093</v>
      </c>
      <c r="H764" s="161">
        <v>0</v>
      </c>
      <c r="I764" s="161" t="s">
        <v>7138</v>
      </c>
    </row>
    <row r="765" spans="1:9">
      <c r="A765" s="113">
        <v>100400427</v>
      </c>
      <c r="B765" s="113" t="s">
        <v>3729</v>
      </c>
      <c r="C765" s="113">
        <v>6034021</v>
      </c>
      <c r="D765" s="113" t="s">
        <v>3093</v>
      </c>
      <c r="E765" s="113" t="s">
        <v>1620</v>
      </c>
      <c r="F765" s="113" t="s">
        <v>3093</v>
      </c>
      <c r="G765" s="115" t="s">
        <v>3093</v>
      </c>
      <c r="H765" s="161">
        <v>0</v>
      </c>
      <c r="I765" s="161" t="s">
        <v>7138</v>
      </c>
    </row>
    <row r="766" spans="1:9">
      <c r="A766" s="113">
        <v>100400428</v>
      </c>
      <c r="B766" s="113" t="s">
        <v>2786</v>
      </c>
      <c r="C766" s="113">
        <v>6034022</v>
      </c>
      <c r="D766" s="113" t="s">
        <v>3093</v>
      </c>
      <c r="E766" s="113" t="s">
        <v>1620</v>
      </c>
      <c r="F766" s="113" t="s">
        <v>3093</v>
      </c>
      <c r="G766" s="115" t="s">
        <v>3093</v>
      </c>
      <c r="H766" s="161">
        <v>95</v>
      </c>
      <c r="I766" s="161">
        <v>2</v>
      </c>
    </row>
    <row r="767" spans="1:9">
      <c r="A767" s="113">
        <v>100400429</v>
      </c>
      <c r="B767" s="113" t="s">
        <v>2787</v>
      </c>
      <c r="C767" s="113">
        <v>6034023</v>
      </c>
      <c r="D767" s="113" t="s">
        <v>3093</v>
      </c>
      <c r="E767" s="113" t="s">
        <v>1620</v>
      </c>
      <c r="F767" s="113" t="s">
        <v>3093</v>
      </c>
      <c r="G767" s="115" t="s">
        <v>3093</v>
      </c>
      <c r="H767" s="161">
        <v>0</v>
      </c>
      <c r="I767" s="161" t="s">
        <v>7138</v>
      </c>
    </row>
    <row r="768" spans="1:9">
      <c r="A768" s="113">
        <v>100400430</v>
      </c>
      <c r="B768" s="113" t="s">
        <v>2788</v>
      </c>
      <c r="C768" s="113">
        <v>6034024</v>
      </c>
      <c r="D768" s="113" t="s">
        <v>3093</v>
      </c>
      <c r="E768" s="113" t="s">
        <v>1620</v>
      </c>
      <c r="F768" s="113" t="s">
        <v>3093</v>
      </c>
      <c r="G768" s="115" t="s">
        <v>3093</v>
      </c>
      <c r="H768" s="161">
        <v>0</v>
      </c>
      <c r="I768" s="161" t="s">
        <v>7138</v>
      </c>
    </row>
    <row r="769" spans="1:9">
      <c r="A769" s="113">
        <v>100400431</v>
      </c>
      <c r="B769" s="113" t="s">
        <v>2789</v>
      </c>
      <c r="C769" s="113">
        <v>6034025</v>
      </c>
      <c r="D769" s="113" t="s">
        <v>3093</v>
      </c>
      <c r="E769" s="113" t="s">
        <v>1620</v>
      </c>
      <c r="F769" s="113" t="s">
        <v>3093</v>
      </c>
      <c r="G769" s="115" t="s">
        <v>3093</v>
      </c>
      <c r="H769" s="161">
        <v>0</v>
      </c>
      <c r="I769" s="161" t="s">
        <v>7138</v>
      </c>
    </row>
    <row r="770" spans="1:9">
      <c r="A770" s="113">
        <v>100400432</v>
      </c>
      <c r="B770" s="113" t="s">
        <v>2790</v>
      </c>
      <c r="C770" s="113">
        <v>6034026</v>
      </c>
      <c r="D770" s="113" t="s">
        <v>3093</v>
      </c>
      <c r="E770" s="113" t="s">
        <v>1620</v>
      </c>
      <c r="F770" s="113" t="s">
        <v>3093</v>
      </c>
      <c r="G770" s="115" t="s">
        <v>3093</v>
      </c>
      <c r="H770" s="161">
        <v>95</v>
      </c>
      <c r="I770" s="161">
        <v>2</v>
      </c>
    </row>
    <row r="771" spans="1:9">
      <c r="A771" s="113">
        <v>100400433</v>
      </c>
      <c r="B771" s="113" t="s">
        <v>2791</v>
      </c>
      <c r="C771" s="113">
        <v>6034027</v>
      </c>
      <c r="D771" s="113" t="s">
        <v>3093</v>
      </c>
      <c r="E771" s="113" t="s">
        <v>1620</v>
      </c>
      <c r="F771" s="113" t="s">
        <v>3093</v>
      </c>
      <c r="G771" s="115" t="s">
        <v>3093</v>
      </c>
      <c r="H771" s="161">
        <v>0</v>
      </c>
      <c r="I771" s="161" t="s">
        <v>7138</v>
      </c>
    </row>
    <row r="772" spans="1:9">
      <c r="A772" s="113">
        <v>100400434</v>
      </c>
      <c r="B772" s="113" t="s">
        <v>2792</v>
      </c>
      <c r="C772" s="113">
        <v>6034028</v>
      </c>
      <c r="D772" s="113" t="s">
        <v>3093</v>
      </c>
      <c r="E772" s="113" t="s">
        <v>1620</v>
      </c>
      <c r="F772" s="113" t="s">
        <v>3093</v>
      </c>
      <c r="G772" s="115" t="s">
        <v>3093</v>
      </c>
      <c r="H772" s="161">
        <v>0</v>
      </c>
      <c r="I772" s="161" t="s">
        <v>7138</v>
      </c>
    </row>
    <row r="773" spans="1:9">
      <c r="A773" s="113">
        <v>100400435</v>
      </c>
      <c r="B773" s="113" t="s">
        <v>3730</v>
      </c>
      <c r="C773" s="113">
        <v>6034029</v>
      </c>
      <c r="D773" s="113" t="s">
        <v>3093</v>
      </c>
      <c r="E773" s="113" t="s">
        <v>1620</v>
      </c>
      <c r="F773" s="113" t="s">
        <v>3093</v>
      </c>
      <c r="G773" s="115" t="s">
        <v>3093</v>
      </c>
      <c r="H773" s="161">
        <v>0</v>
      </c>
      <c r="I773" s="161" t="s">
        <v>7138</v>
      </c>
    </row>
    <row r="774" spans="1:9">
      <c r="A774" s="113">
        <v>100400436</v>
      </c>
      <c r="B774" s="113" t="s">
        <v>3731</v>
      </c>
      <c r="C774" s="113">
        <v>6034030</v>
      </c>
      <c r="D774" s="113" t="s">
        <v>3093</v>
      </c>
      <c r="E774" s="113" t="s">
        <v>1620</v>
      </c>
      <c r="F774" s="113" t="s">
        <v>3093</v>
      </c>
      <c r="G774" s="115" t="s">
        <v>3093</v>
      </c>
      <c r="H774" s="161">
        <v>0</v>
      </c>
      <c r="I774" s="161" t="s">
        <v>7138</v>
      </c>
    </row>
    <row r="775" spans="1:9">
      <c r="A775" s="113">
        <v>100400437</v>
      </c>
      <c r="B775" s="113" t="s">
        <v>3732</v>
      </c>
      <c r="C775" s="113">
        <v>6040000</v>
      </c>
      <c r="D775" s="113" t="s">
        <v>3093</v>
      </c>
      <c r="E775" s="113" t="s">
        <v>1620</v>
      </c>
      <c r="F775" s="113" t="s">
        <v>3093</v>
      </c>
      <c r="G775" s="115" t="s">
        <v>3093</v>
      </c>
      <c r="H775" s="161">
        <v>0</v>
      </c>
      <c r="I775" s="161" t="s">
        <v>7138</v>
      </c>
    </row>
    <row r="776" spans="1:9">
      <c r="A776" s="113">
        <v>100400440</v>
      </c>
      <c r="B776" s="113" t="s">
        <v>3733</v>
      </c>
      <c r="C776" s="113">
        <v>6040015</v>
      </c>
      <c r="D776" s="113" t="s">
        <v>3093</v>
      </c>
      <c r="E776" s="113" t="s">
        <v>1620</v>
      </c>
      <c r="F776" s="113" t="s">
        <v>3093</v>
      </c>
      <c r="G776" s="115" t="s">
        <v>3093</v>
      </c>
      <c r="H776" s="161">
        <v>0</v>
      </c>
      <c r="I776" s="161" t="s">
        <v>7138</v>
      </c>
    </row>
    <row r="777" spans="1:9">
      <c r="A777" s="113">
        <v>100400441</v>
      </c>
      <c r="B777" s="113" t="s">
        <v>2793</v>
      </c>
      <c r="C777" s="113">
        <v>6040030</v>
      </c>
      <c r="D777" s="113" t="s">
        <v>3093</v>
      </c>
      <c r="E777" s="113" t="s">
        <v>1620</v>
      </c>
      <c r="F777" s="113" t="s">
        <v>3093</v>
      </c>
      <c r="G777" s="115" t="s">
        <v>3093</v>
      </c>
      <c r="H777" s="161">
        <v>0</v>
      </c>
      <c r="I777" s="161" t="s">
        <v>7138</v>
      </c>
    </row>
    <row r="778" spans="1:9">
      <c r="A778" s="113">
        <v>100400442</v>
      </c>
      <c r="B778" s="113" t="s">
        <v>3734</v>
      </c>
      <c r="C778" s="113">
        <v>6040045</v>
      </c>
      <c r="D778" s="113" t="s">
        <v>3093</v>
      </c>
      <c r="E778" s="113" t="s">
        <v>1620</v>
      </c>
      <c r="F778" s="113" t="s">
        <v>3093</v>
      </c>
      <c r="G778" s="115" t="s">
        <v>3093</v>
      </c>
      <c r="H778" s="161">
        <v>0</v>
      </c>
      <c r="I778" s="161" t="s">
        <v>7138</v>
      </c>
    </row>
    <row r="779" spans="1:9">
      <c r="A779" s="113">
        <v>100400443</v>
      </c>
      <c r="B779" s="113" t="s">
        <v>3735</v>
      </c>
      <c r="C779" s="113">
        <v>6040046</v>
      </c>
      <c r="D779" s="113" t="s">
        <v>3093</v>
      </c>
      <c r="E779" s="113" t="s">
        <v>1620</v>
      </c>
      <c r="F779" s="113" t="s">
        <v>3093</v>
      </c>
      <c r="G779" s="115" t="s">
        <v>3093</v>
      </c>
      <c r="H779" s="161">
        <v>95</v>
      </c>
      <c r="I779" s="161">
        <v>8</v>
      </c>
    </row>
    <row r="780" spans="1:9">
      <c r="A780" s="113">
        <v>100400444</v>
      </c>
      <c r="B780" s="113" t="s">
        <v>3736</v>
      </c>
      <c r="C780" s="113">
        <v>6040050</v>
      </c>
      <c r="D780" s="113" t="s">
        <v>3093</v>
      </c>
      <c r="E780" s="113" t="s">
        <v>1620</v>
      </c>
      <c r="F780" s="113" t="s">
        <v>3093</v>
      </c>
      <c r="G780" s="115" t="s">
        <v>3093</v>
      </c>
      <c r="H780" s="161">
        <v>0</v>
      </c>
      <c r="I780" s="161" t="s">
        <v>7138</v>
      </c>
    </row>
    <row r="781" spans="1:9">
      <c r="A781" s="113">
        <v>100400445</v>
      </c>
      <c r="B781" s="113" t="s">
        <v>2794</v>
      </c>
      <c r="C781" s="113">
        <v>6040051</v>
      </c>
      <c r="D781" s="113" t="s">
        <v>3093</v>
      </c>
      <c r="E781" s="113" t="s">
        <v>1620</v>
      </c>
      <c r="F781" s="113" t="s">
        <v>3093</v>
      </c>
      <c r="G781" s="115" t="s">
        <v>3093</v>
      </c>
      <c r="H781" s="161">
        <v>0</v>
      </c>
      <c r="I781" s="161" t="s">
        <v>7138</v>
      </c>
    </row>
    <row r="782" spans="1:9">
      <c r="A782" s="113">
        <v>100400446</v>
      </c>
      <c r="B782" s="113" t="s">
        <v>2795</v>
      </c>
      <c r="C782" s="113">
        <v>6040052</v>
      </c>
      <c r="D782" s="113" t="s">
        <v>3093</v>
      </c>
      <c r="E782" s="113" t="s">
        <v>1620</v>
      </c>
      <c r="F782" s="113" t="s">
        <v>3093</v>
      </c>
      <c r="G782" s="115" t="s">
        <v>3093</v>
      </c>
      <c r="H782" s="161">
        <v>0</v>
      </c>
      <c r="I782" s="161" t="s">
        <v>7138</v>
      </c>
    </row>
    <row r="783" spans="1:9">
      <c r="A783" s="113">
        <v>100400447</v>
      </c>
      <c r="B783" s="113" t="s">
        <v>2796</v>
      </c>
      <c r="C783" s="113">
        <v>6040053</v>
      </c>
      <c r="D783" s="113" t="s">
        <v>3093</v>
      </c>
      <c r="E783" s="113" t="s">
        <v>1620</v>
      </c>
      <c r="F783" s="113" t="s">
        <v>3093</v>
      </c>
      <c r="G783" s="115" t="s">
        <v>3093</v>
      </c>
      <c r="H783" s="161">
        <v>0</v>
      </c>
      <c r="I783" s="161" t="s">
        <v>7138</v>
      </c>
    </row>
    <row r="784" spans="1:9">
      <c r="A784" s="113">
        <v>100400448</v>
      </c>
      <c r="B784" s="113" t="s">
        <v>3737</v>
      </c>
      <c r="C784" s="113">
        <v>6040054</v>
      </c>
      <c r="D784" s="113" t="s">
        <v>3093</v>
      </c>
      <c r="E784" s="113" t="s">
        <v>1620</v>
      </c>
      <c r="F784" s="113" t="s">
        <v>3093</v>
      </c>
      <c r="G784" s="115" t="s">
        <v>3093</v>
      </c>
      <c r="H784" s="161">
        <v>0</v>
      </c>
      <c r="I784" s="161" t="s">
        <v>7138</v>
      </c>
    </row>
    <row r="785" spans="1:9">
      <c r="A785" s="113">
        <v>100400449</v>
      </c>
      <c r="B785" s="113" t="s">
        <v>3738</v>
      </c>
      <c r="C785" s="113">
        <v>6040055</v>
      </c>
      <c r="D785" s="113" t="s">
        <v>3093</v>
      </c>
      <c r="E785" s="113" t="s">
        <v>1620</v>
      </c>
      <c r="F785" s="113" t="s">
        <v>3093</v>
      </c>
      <c r="G785" s="115" t="s">
        <v>3093</v>
      </c>
      <c r="H785" s="161">
        <v>0</v>
      </c>
      <c r="I785" s="161" t="s">
        <v>7138</v>
      </c>
    </row>
    <row r="786" spans="1:9">
      <c r="A786" s="113">
        <v>100400450</v>
      </c>
      <c r="B786" s="113" t="s">
        <v>2797</v>
      </c>
      <c r="C786" s="113">
        <v>6040056</v>
      </c>
      <c r="D786" s="113" t="s">
        <v>3093</v>
      </c>
      <c r="E786" s="113" t="s">
        <v>1620</v>
      </c>
      <c r="F786" s="113" t="s">
        <v>3093</v>
      </c>
      <c r="G786" s="115" t="s">
        <v>3093</v>
      </c>
      <c r="H786" s="161">
        <v>0</v>
      </c>
      <c r="I786" s="161" t="s">
        <v>7138</v>
      </c>
    </row>
    <row r="787" spans="1:9">
      <c r="A787" s="113">
        <v>100400451</v>
      </c>
      <c r="B787" s="113" t="s">
        <v>3739</v>
      </c>
      <c r="C787" s="113">
        <v>6040057</v>
      </c>
      <c r="D787" s="113" t="s">
        <v>3093</v>
      </c>
      <c r="E787" s="113" t="s">
        <v>1620</v>
      </c>
      <c r="F787" s="113" t="s">
        <v>3093</v>
      </c>
      <c r="G787" s="115" t="s">
        <v>3093</v>
      </c>
      <c r="H787" s="161">
        <v>0</v>
      </c>
      <c r="I787" s="161" t="s">
        <v>7138</v>
      </c>
    </row>
    <row r="788" spans="1:9">
      <c r="A788" s="113">
        <v>100400452</v>
      </c>
      <c r="B788" s="113" t="s">
        <v>3740</v>
      </c>
      <c r="C788" s="113">
        <v>6040058</v>
      </c>
      <c r="D788" s="113" t="s">
        <v>3093</v>
      </c>
      <c r="E788" s="113" t="s">
        <v>1620</v>
      </c>
      <c r="F788" s="113" t="s">
        <v>3093</v>
      </c>
      <c r="G788" s="115" t="s">
        <v>3093</v>
      </c>
      <c r="H788" s="161">
        <v>0</v>
      </c>
      <c r="I788" s="161" t="s">
        <v>7138</v>
      </c>
    </row>
    <row r="789" spans="1:9">
      <c r="A789" s="113">
        <v>100400453</v>
      </c>
      <c r="B789" s="113" t="s">
        <v>3741</v>
      </c>
      <c r="C789" s="113">
        <v>6040059</v>
      </c>
      <c r="D789" s="113" t="s">
        <v>3093</v>
      </c>
      <c r="E789" s="113" t="s">
        <v>1620</v>
      </c>
      <c r="F789" s="113" t="s">
        <v>3093</v>
      </c>
      <c r="G789" s="115" t="s">
        <v>3093</v>
      </c>
      <c r="H789" s="161">
        <v>0</v>
      </c>
      <c r="I789" s="161" t="s">
        <v>7138</v>
      </c>
    </row>
    <row r="790" spans="1:9">
      <c r="A790" s="113">
        <v>100400454</v>
      </c>
      <c r="B790" s="113" t="s">
        <v>3742</v>
      </c>
      <c r="C790" s="113">
        <v>6040060</v>
      </c>
      <c r="D790" s="113" t="s">
        <v>3093</v>
      </c>
      <c r="E790" s="113" t="s">
        <v>1620</v>
      </c>
      <c r="F790" s="113" t="s">
        <v>3093</v>
      </c>
      <c r="G790" s="115" t="s">
        <v>3093</v>
      </c>
      <c r="H790" s="161">
        <v>0</v>
      </c>
      <c r="I790" s="161" t="s">
        <v>7138</v>
      </c>
    </row>
    <row r="791" spans="1:9">
      <c r="A791" s="113">
        <v>100400455</v>
      </c>
      <c r="B791" s="113" t="s">
        <v>3743</v>
      </c>
      <c r="C791" s="113">
        <v>6040061</v>
      </c>
      <c r="D791" s="113" t="s">
        <v>3093</v>
      </c>
      <c r="E791" s="113" t="s">
        <v>1620</v>
      </c>
      <c r="F791" s="113" t="s">
        <v>3093</v>
      </c>
      <c r="G791" s="115" t="s">
        <v>3093</v>
      </c>
      <c r="H791" s="161">
        <v>0</v>
      </c>
      <c r="I791" s="161" t="s">
        <v>7138</v>
      </c>
    </row>
    <row r="792" spans="1:9">
      <c r="A792" s="113">
        <v>100400456</v>
      </c>
      <c r="B792" s="113" t="s">
        <v>3744</v>
      </c>
      <c r="C792" s="113">
        <v>6040062</v>
      </c>
      <c r="D792" s="113" t="s">
        <v>3093</v>
      </c>
      <c r="E792" s="113" t="s">
        <v>1620</v>
      </c>
      <c r="F792" s="113" t="s">
        <v>3093</v>
      </c>
      <c r="G792" s="115" t="s">
        <v>3093</v>
      </c>
      <c r="H792" s="161">
        <v>26.65</v>
      </c>
      <c r="I792" s="161">
        <v>1</v>
      </c>
    </row>
    <row r="793" spans="1:9">
      <c r="A793" s="113">
        <v>100400457</v>
      </c>
      <c r="B793" s="113" t="s">
        <v>3745</v>
      </c>
      <c r="C793" s="113">
        <v>6040063</v>
      </c>
      <c r="D793" s="113" t="s">
        <v>3093</v>
      </c>
      <c r="E793" s="113" t="s">
        <v>1620</v>
      </c>
      <c r="F793" s="113" t="s">
        <v>3093</v>
      </c>
      <c r="G793" s="115" t="s">
        <v>3093</v>
      </c>
      <c r="H793" s="161">
        <v>0</v>
      </c>
      <c r="I793" s="161" t="s">
        <v>7138</v>
      </c>
    </row>
    <row r="794" spans="1:9">
      <c r="A794" s="113">
        <v>100400458</v>
      </c>
      <c r="B794" s="113" t="s">
        <v>3746</v>
      </c>
      <c r="C794" s="113">
        <v>6040064</v>
      </c>
      <c r="D794" s="113" t="s">
        <v>3093</v>
      </c>
      <c r="E794" s="113" t="s">
        <v>1620</v>
      </c>
      <c r="F794" s="113" t="s">
        <v>3093</v>
      </c>
      <c r="G794" s="115" t="s">
        <v>3093</v>
      </c>
      <c r="H794" s="161">
        <v>0</v>
      </c>
      <c r="I794" s="161" t="s">
        <v>7138</v>
      </c>
    </row>
    <row r="795" spans="1:9">
      <c r="A795" s="113">
        <v>100400459</v>
      </c>
      <c r="B795" s="113" t="s">
        <v>3747</v>
      </c>
      <c r="C795" s="113" t="s">
        <v>3093</v>
      </c>
      <c r="D795" s="113" t="s">
        <v>3093</v>
      </c>
      <c r="E795" s="113" t="s">
        <v>1620</v>
      </c>
      <c r="F795" s="113" t="s">
        <v>3093</v>
      </c>
      <c r="G795" s="115" t="s">
        <v>3093</v>
      </c>
      <c r="H795" s="161">
        <v>0</v>
      </c>
      <c r="I795" s="161" t="s">
        <v>7138</v>
      </c>
    </row>
    <row r="796" spans="1:9">
      <c r="A796" s="113">
        <v>100400460</v>
      </c>
      <c r="B796" s="113" t="s">
        <v>3748</v>
      </c>
      <c r="C796" s="113">
        <v>6040066</v>
      </c>
      <c r="D796" s="113" t="s">
        <v>3093</v>
      </c>
      <c r="E796" s="113" t="s">
        <v>1620</v>
      </c>
      <c r="F796" s="113" t="s">
        <v>3093</v>
      </c>
      <c r="G796" s="115" t="s">
        <v>3093</v>
      </c>
      <c r="H796" s="161">
        <v>0</v>
      </c>
      <c r="I796" s="161" t="s">
        <v>7138</v>
      </c>
    </row>
    <row r="797" spans="1:9">
      <c r="A797" s="113">
        <v>100400461</v>
      </c>
      <c r="B797" s="113" t="s">
        <v>3749</v>
      </c>
      <c r="C797" s="113">
        <v>6040067</v>
      </c>
      <c r="D797" s="113" t="s">
        <v>3093</v>
      </c>
      <c r="E797" s="113" t="s">
        <v>1620</v>
      </c>
      <c r="F797" s="113" t="s">
        <v>3093</v>
      </c>
      <c r="G797" s="115" t="s">
        <v>3093</v>
      </c>
      <c r="H797" s="161">
        <v>0</v>
      </c>
      <c r="I797" s="161" t="s">
        <v>7138</v>
      </c>
    </row>
    <row r="798" spans="1:9">
      <c r="A798" s="113">
        <v>100400462</v>
      </c>
      <c r="B798" s="113" t="s">
        <v>3750</v>
      </c>
      <c r="C798" s="113">
        <v>6040068</v>
      </c>
      <c r="D798" s="113" t="s">
        <v>3093</v>
      </c>
      <c r="E798" s="113" t="s">
        <v>1620</v>
      </c>
      <c r="F798" s="113" t="s">
        <v>3093</v>
      </c>
      <c r="G798" s="115" t="s">
        <v>3093</v>
      </c>
      <c r="H798" s="161">
        <v>51</v>
      </c>
      <c r="I798" s="161">
        <v>1</v>
      </c>
    </row>
    <row r="799" spans="1:9">
      <c r="A799" s="113">
        <v>100400463</v>
      </c>
      <c r="B799" s="113" t="s">
        <v>3751</v>
      </c>
      <c r="C799" s="113">
        <v>6040069</v>
      </c>
      <c r="D799" s="113" t="s">
        <v>3093</v>
      </c>
      <c r="E799" s="113" t="s">
        <v>1620</v>
      </c>
      <c r="F799" s="113" t="s">
        <v>3093</v>
      </c>
      <c r="G799" s="115" t="s">
        <v>3093</v>
      </c>
      <c r="H799" s="161">
        <v>0</v>
      </c>
      <c r="I799" s="161" t="s">
        <v>7138</v>
      </c>
    </row>
    <row r="800" spans="1:9">
      <c r="A800" s="113">
        <v>100400464</v>
      </c>
      <c r="B800" s="113" t="s">
        <v>3752</v>
      </c>
      <c r="C800" s="113">
        <v>6040070</v>
      </c>
      <c r="D800" s="113" t="s">
        <v>3093</v>
      </c>
      <c r="E800" s="113" t="s">
        <v>1620</v>
      </c>
      <c r="F800" s="113" t="s">
        <v>3093</v>
      </c>
      <c r="G800" s="115" t="s">
        <v>3093</v>
      </c>
      <c r="H800" s="161">
        <v>18.66</v>
      </c>
      <c r="I800" s="161">
        <v>2</v>
      </c>
    </row>
    <row r="801" spans="1:9">
      <c r="A801" s="113">
        <v>100400465</v>
      </c>
      <c r="B801" s="113" t="s">
        <v>3753</v>
      </c>
      <c r="C801" s="113">
        <v>6040071</v>
      </c>
      <c r="D801" s="113" t="s">
        <v>3093</v>
      </c>
      <c r="E801" s="113" t="s">
        <v>1620</v>
      </c>
      <c r="F801" s="113" t="s">
        <v>3093</v>
      </c>
      <c r="G801" s="115" t="s">
        <v>3093</v>
      </c>
      <c r="H801" s="161">
        <v>0</v>
      </c>
      <c r="I801" s="161" t="s">
        <v>7138</v>
      </c>
    </row>
    <row r="802" spans="1:9">
      <c r="A802" s="113">
        <v>100400466</v>
      </c>
      <c r="B802" s="113" t="s">
        <v>3754</v>
      </c>
      <c r="C802" s="113">
        <v>6040072</v>
      </c>
      <c r="D802" s="113" t="s">
        <v>3093</v>
      </c>
      <c r="E802" s="113" t="s">
        <v>1620</v>
      </c>
      <c r="F802" s="113" t="s">
        <v>3093</v>
      </c>
      <c r="G802" s="115" t="s">
        <v>3093</v>
      </c>
      <c r="H802" s="161">
        <v>93.9</v>
      </c>
      <c r="I802" s="161">
        <v>1</v>
      </c>
    </row>
    <row r="803" spans="1:9">
      <c r="A803" s="113">
        <v>100400467</v>
      </c>
      <c r="B803" s="113" t="s">
        <v>3755</v>
      </c>
      <c r="C803" s="113">
        <v>6040073</v>
      </c>
      <c r="D803" s="113" t="s">
        <v>3093</v>
      </c>
      <c r="E803" s="113" t="s">
        <v>1620</v>
      </c>
      <c r="F803" s="113" t="s">
        <v>3093</v>
      </c>
      <c r="G803" s="115" t="s">
        <v>3093</v>
      </c>
      <c r="H803" s="161">
        <v>93.9</v>
      </c>
      <c r="I803" s="161">
        <v>1</v>
      </c>
    </row>
    <row r="804" spans="1:9">
      <c r="A804" s="113">
        <v>100400468</v>
      </c>
      <c r="B804" s="113" t="s">
        <v>3756</v>
      </c>
      <c r="C804" s="113">
        <v>6040074</v>
      </c>
      <c r="D804" s="113" t="s">
        <v>3093</v>
      </c>
      <c r="E804" s="113" t="s">
        <v>1620</v>
      </c>
      <c r="F804" s="113" t="s">
        <v>3093</v>
      </c>
      <c r="G804" s="115" t="s">
        <v>3093</v>
      </c>
      <c r="H804" s="161">
        <v>0</v>
      </c>
      <c r="I804" s="161" t="s">
        <v>7138</v>
      </c>
    </row>
    <row r="805" spans="1:9">
      <c r="A805" s="113">
        <v>100400469</v>
      </c>
      <c r="B805" s="113" t="s">
        <v>3757</v>
      </c>
      <c r="C805" s="113">
        <v>6040075</v>
      </c>
      <c r="D805" s="113" t="s">
        <v>3093</v>
      </c>
      <c r="E805" s="113" t="s">
        <v>1620</v>
      </c>
      <c r="F805" s="113" t="s">
        <v>3093</v>
      </c>
      <c r="G805" s="115" t="s">
        <v>3093</v>
      </c>
      <c r="H805" s="161">
        <v>0</v>
      </c>
      <c r="I805" s="161" t="s">
        <v>7138</v>
      </c>
    </row>
    <row r="806" spans="1:9">
      <c r="A806" s="113">
        <v>100400470</v>
      </c>
      <c r="B806" s="113" t="s">
        <v>3758</v>
      </c>
      <c r="C806" s="113">
        <v>6040076</v>
      </c>
      <c r="D806" s="113" t="s">
        <v>3093</v>
      </c>
      <c r="E806" s="113" t="s">
        <v>1620</v>
      </c>
      <c r="F806" s="113" t="s">
        <v>3093</v>
      </c>
      <c r="G806" s="115" t="s">
        <v>3093</v>
      </c>
      <c r="H806" s="161">
        <v>93.9</v>
      </c>
      <c r="I806" s="161">
        <v>1</v>
      </c>
    </row>
    <row r="807" spans="1:9">
      <c r="A807" s="113">
        <v>100400471</v>
      </c>
      <c r="B807" s="113" t="s">
        <v>2798</v>
      </c>
      <c r="C807" s="113">
        <v>6040077</v>
      </c>
      <c r="D807" s="113" t="s">
        <v>3093</v>
      </c>
      <c r="E807" s="113" t="s">
        <v>1620</v>
      </c>
      <c r="F807" s="113" t="s">
        <v>3093</v>
      </c>
      <c r="G807" s="115" t="s">
        <v>3093</v>
      </c>
      <c r="H807" s="161">
        <v>125.9</v>
      </c>
      <c r="I807" s="161">
        <v>4</v>
      </c>
    </row>
    <row r="808" spans="1:9">
      <c r="A808" s="113">
        <v>100400472</v>
      </c>
      <c r="B808" s="113" t="s">
        <v>2799</v>
      </c>
      <c r="C808" s="113">
        <v>6040078</v>
      </c>
      <c r="D808" s="113" t="s">
        <v>3093</v>
      </c>
      <c r="E808" s="113" t="s">
        <v>1620</v>
      </c>
      <c r="F808" s="113" t="s">
        <v>3093</v>
      </c>
      <c r="G808" s="115" t="s">
        <v>3093</v>
      </c>
      <c r="H808" s="161">
        <v>0</v>
      </c>
      <c r="I808" s="161" t="s">
        <v>7138</v>
      </c>
    </row>
    <row r="809" spans="1:9">
      <c r="A809" s="113">
        <v>100400473</v>
      </c>
      <c r="B809" s="113" t="s">
        <v>2800</v>
      </c>
      <c r="C809" s="113">
        <v>6040079</v>
      </c>
      <c r="D809" s="113" t="s">
        <v>3093</v>
      </c>
      <c r="E809" s="113" t="s">
        <v>1620</v>
      </c>
      <c r="F809" s="113" t="s">
        <v>3093</v>
      </c>
      <c r="G809" s="115" t="s">
        <v>3093</v>
      </c>
      <c r="H809" s="161">
        <v>0</v>
      </c>
      <c r="I809" s="161" t="s">
        <v>7138</v>
      </c>
    </row>
    <row r="810" spans="1:9">
      <c r="A810" s="113">
        <v>100400475</v>
      </c>
      <c r="B810" s="113" t="s">
        <v>2801</v>
      </c>
      <c r="C810" s="113">
        <v>6040081</v>
      </c>
      <c r="D810" s="113" t="s">
        <v>3093</v>
      </c>
      <c r="E810" s="113" t="s">
        <v>1620</v>
      </c>
      <c r="F810" s="113" t="s">
        <v>3093</v>
      </c>
      <c r="G810" s="115" t="s">
        <v>3093</v>
      </c>
      <c r="H810" s="161">
        <v>0</v>
      </c>
      <c r="I810" s="161" t="s">
        <v>7138</v>
      </c>
    </row>
    <row r="811" spans="1:9">
      <c r="A811" s="113">
        <v>100400476</v>
      </c>
      <c r="B811" s="113" t="s">
        <v>3759</v>
      </c>
      <c r="C811" s="113">
        <v>6040082</v>
      </c>
      <c r="D811" s="113" t="s">
        <v>3093</v>
      </c>
      <c r="E811" s="113" t="s">
        <v>1620</v>
      </c>
      <c r="F811" s="113" t="s">
        <v>3093</v>
      </c>
      <c r="G811" s="115" t="s">
        <v>3093</v>
      </c>
      <c r="H811" s="161">
        <v>16.989999999999998</v>
      </c>
      <c r="I811" s="161">
        <v>1</v>
      </c>
    </row>
    <row r="812" spans="1:9">
      <c r="A812" s="113">
        <v>100400477</v>
      </c>
      <c r="B812" s="113" t="s">
        <v>3760</v>
      </c>
      <c r="C812" s="113">
        <v>6040083</v>
      </c>
      <c r="D812" s="113" t="s">
        <v>3093</v>
      </c>
      <c r="E812" s="113" t="s">
        <v>1620</v>
      </c>
      <c r="F812" s="113" t="s">
        <v>3093</v>
      </c>
      <c r="G812" s="115" t="s">
        <v>3093</v>
      </c>
      <c r="H812" s="161">
        <v>65</v>
      </c>
      <c r="I812" s="161">
        <v>4</v>
      </c>
    </row>
    <row r="813" spans="1:9">
      <c r="A813" s="113">
        <v>100400478</v>
      </c>
      <c r="B813" s="113" t="s">
        <v>3761</v>
      </c>
      <c r="C813" s="113">
        <v>6040084</v>
      </c>
      <c r="D813" s="113" t="s">
        <v>3093</v>
      </c>
      <c r="E813" s="113" t="s">
        <v>1620</v>
      </c>
      <c r="F813" s="113" t="s">
        <v>3093</v>
      </c>
      <c r="G813" s="115" t="s">
        <v>3093</v>
      </c>
      <c r="H813" s="161">
        <v>95</v>
      </c>
      <c r="I813" s="161">
        <v>4</v>
      </c>
    </row>
    <row r="814" spans="1:9">
      <c r="A814" s="113">
        <v>100400479</v>
      </c>
      <c r="B814" s="113" t="s">
        <v>2802</v>
      </c>
      <c r="C814" s="113">
        <v>6040085</v>
      </c>
      <c r="D814" s="113" t="s">
        <v>3093</v>
      </c>
      <c r="E814" s="113" t="s">
        <v>1620</v>
      </c>
      <c r="F814" s="113" t="s">
        <v>3093</v>
      </c>
      <c r="G814" s="115" t="s">
        <v>3093</v>
      </c>
      <c r="H814" s="161">
        <v>0</v>
      </c>
      <c r="I814" s="161" t="s">
        <v>7138</v>
      </c>
    </row>
    <row r="815" spans="1:9">
      <c r="A815" s="113">
        <v>100400480</v>
      </c>
      <c r="B815" s="113" t="s">
        <v>2803</v>
      </c>
      <c r="C815" s="113">
        <v>6040086</v>
      </c>
      <c r="D815" s="113" t="s">
        <v>3093</v>
      </c>
      <c r="E815" s="113" t="s">
        <v>1620</v>
      </c>
      <c r="F815" s="113" t="s">
        <v>3093</v>
      </c>
      <c r="G815" s="115" t="s">
        <v>3093</v>
      </c>
      <c r="H815" s="161">
        <v>195.61</v>
      </c>
      <c r="I815" s="161">
        <v>4</v>
      </c>
    </row>
    <row r="816" spans="1:9">
      <c r="A816" s="113">
        <v>100400481</v>
      </c>
      <c r="B816" s="113" t="s">
        <v>2804</v>
      </c>
      <c r="C816" s="113">
        <v>6040087</v>
      </c>
      <c r="D816" s="113" t="s">
        <v>3093</v>
      </c>
      <c r="E816" s="113" t="s">
        <v>1620</v>
      </c>
      <c r="F816" s="113" t="s">
        <v>3093</v>
      </c>
      <c r="G816" s="115" t="s">
        <v>3093</v>
      </c>
      <c r="H816" s="161">
        <v>0</v>
      </c>
      <c r="I816" s="161" t="s">
        <v>7138</v>
      </c>
    </row>
    <row r="817" spans="1:9">
      <c r="A817" s="113">
        <v>100400482</v>
      </c>
      <c r="B817" s="113" t="s">
        <v>2805</v>
      </c>
      <c r="C817" s="113">
        <v>6040088</v>
      </c>
      <c r="D817" s="113" t="s">
        <v>3093</v>
      </c>
      <c r="E817" s="113" t="s">
        <v>1620</v>
      </c>
      <c r="F817" s="113" t="s">
        <v>3093</v>
      </c>
      <c r="G817" s="115" t="s">
        <v>3093</v>
      </c>
      <c r="H817" s="161">
        <v>0</v>
      </c>
      <c r="I817" s="161" t="s">
        <v>7138</v>
      </c>
    </row>
    <row r="818" spans="1:9">
      <c r="A818" s="113">
        <v>100400483</v>
      </c>
      <c r="B818" s="113" t="s">
        <v>2806</v>
      </c>
      <c r="C818" s="113">
        <v>6040089</v>
      </c>
      <c r="D818" s="113" t="s">
        <v>3093</v>
      </c>
      <c r="E818" s="113" t="s">
        <v>1620</v>
      </c>
      <c r="F818" s="113" t="s">
        <v>3093</v>
      </c>
      <c r="G818" s="115" t="s">
        <v>3093</v>
      </c>
      <c r="H818" s="161">
        <v>0</v>
      </c>
      <c r="I818" s="161" t="s">
        <v>7138</v>
      </c>
    </row>
    <row r="819" spans="1:9">
      <c r="A819" s="113">
        <v>100400484</v>
      </c>
      <c r="B819" s="113" t="s">
        <v>2807</v>
      </c>
      <c r="C819" s="113">
        <v>6040090</v>
      </c>
      <c r="D819" s="113" t="s">
        <v>3093</v>
      </c>
      <c r="E819" s="113" t="s">
        <v>1620</v>
      </c>
      <c r="F819" s="113" t="s">
        <v>3093</v>
      </c>
      <c r="G819" s="115" t="s">
        <v>3093</v>
      </c>
      <c r="H819" s="161">
        <v>0</v>
      </c>
      <c r="I819" s="161" t="s">
        <v>7138</v>
      </c>
    </row>
    <row r="820" spans="1:9">
      <c r="A820" s="113">
        <v>100400485</v>
      </c>
      <c r="B820" s="113" t="s">
        <v>2808</v>
      </c>
      <c r="C820" s="113">
        <v>6040091</v>
      </c>
      <c r="D820" s="113" t="s">
        <v>3093</v>
      </c>
      <c r="E820" s="113" t="s">
        <v>1620</v>
      </c>
      <c r="F820" s="113" t="s">
        <v>3093</v>
      </c>
      <c r="G820" s="115" t="s">
        <v>3093</v>
      </c>
      <c r="H820" s="161">
        <v>0</v>
      </c>
      <c r="I820" s="161" t="s">
        <v>7138</v>
      </c>
    </row>
    <row r="821" spans="1:9">
      <c r="A821" s="113">
        <v>100400486</v>
      </c>
      <c r="B821" s="113" t="s">
        <v>2809</v>
      </c>
      <c r="C821" s="113">
        <v>6040092</v>
      </c>
      <c r="D821" s="113" t="s">
        <v>3093</v>
      </c>
      <c r="E821" s="113" t="s">
        <v>1620</v>
      </c>
      <c r="F821" s="113" t="s">
        <v>3093</v>
      </c>
      <c r="G821" s="115" t="s">
        <v>3093</v>
      </c>
      <c r="H821" s="161">
        <v>0</v>
      </c>
      <c r="I821" s="161" t="s">
        <v>7138</v>
      </c>
    </row>
    <row r="822" spans="1:9">
      <c r="A822" s="113">
        <v>100400487</v>
      </c>
      <c r="B822" s="113" t="s">
        <v>3762</v>
      </c>
      <c r="C822" s="113">
        <v>6040093</v>
      </c>
      <c r="D822" s="113" t="s">
        <v>3093</v>
      </c>
      <c r="E822" s="113" t="s">
        <v>1620</v>
      </c>
      <c r="F822" s="113" t="s">
        <v>3093</v>
      </c>
      <c r="G822" s="115" t="s">
        <v>3093</v>
      </c>
      <c r="H822" s="161">
        <v>0</v>
      </c>
      <c r="I822" s="161" t="s">
        <v>7138</v>
      </c>
    </row>
    <row r="823" spans="1:9">
      <c r="A823" s="113">
        <v>100400488</v>
      </c>
      <c r="B823" s="113" t="s">
        <v>2810</v>
      </c>
      <c r="C823" s="113">
        <v>6040094</v>
      </c>
      <c r="D823" s="113" t="s">
        <v>3093</v>
      </c>
      <c r="E823" s="113" t="s">
        <v>1620</v>
      </c>
      <c r="F823" s="113" t="s">
        <v>3093</v>
      </c>
      <c r="G823" s="115" t="s">
        <v>3093</v>
      </c>
      <c r="H823" s="161">
        <v>0</v>
      </c>
      <c r="I823" s="161" t="s">
        <v>7138</v>
      </c>
    </row>
    <row r="824" spans="1:9">
      <c r="A824" s="113">
        <v>100400490</v>
      </c>
      <c r="B824" s="113" t="s">
        <v>3763</v>
      </c>
      <c r="C824" s="113">
        <v>6040100</v>
      </c>
      <c r="D824" s="113" t="s">
        <v>3093</v>
      </c>
      <c r="E824" s="113" t="s">
        <v>1620</v>
      </c>
      <c r="F824" s="113" t="s">
        <v>3093</v>
      </c>
      <c r="G824" s="115" t="s">
        <v>3093</v>
      </c>
      <c r="H824" s="161">
        <v>37</v>
      </c>
      <c r="I824" s="161">
        <v>0</v>
      </c>
    </row>
    <row r="825" spans="1:9">
      <c r="A825" s="113">
        <v>100400491</v>
      </c>
      <c r="B825" s="113" t="s">
        <v>3764</v>
      </c>
      <c r="C825" s="113">
        <v>6040101</v>
      </c>
      <c r="D825" s="113" t="s">
        <v>3093</v>
      </c>
      <c r="E825" s="113" t="s">
        <v>1620</v>
      </c>
      <c r="F825" s="113" t="s">
        <v>3093</v>
      </c>
      <c r="G825" s="115" t="s">
        <v>3093</v>
      </c>
      <c r="H825" s="161">
        <v>16.95</v>
      </c>
      <c r="I825" s="161">
        <v>12</v>
      </c>
    </row>
    <row r="826" spans="1:9">
      <c r="A826" s="113">
        <v>100400492</v>
      </c>
      <c r="B826" s="113" t="s">
        <v>3765</v>
      </c>
      <c r="C826" s="113">
        <v>6040102</v>
      </c>
      <c r="D826" s="113" t="s">
        <v>3093</v>
      </c>
      <c r="E826" s="113" t="s">
        <v>1620</v>
      </c>
      <c r="F826" s="113" t="s">
        <v>3093</v>
      </c>
      <c r="G826" s="115" t="s">
        <v>3093</v>
      </c>
      <c r="H826" s="161">
        <v>29</v>
      </c>
      <c r="I826" s="161">
        <v>0</v>
      </c>
    </row>
    <row r="827" spans="1:9">
      <c r="A827" s="113">
        <v>100400493</v>
      </c>
      <c r="B827" s="113" t="s">
        <v>2811</v>
      </c>
      <c r="C827" s="113">
        <v>6041020</v>
      </c>
      <c r="D827" s="113" t="s">
        <v>3093</v>
      </c>
      <c r="E827" s="113" t="s">
        <v>1620</v>
      </c>
      <c r="F827" s="113" t="s">
        <v>3093</v>
      </c>
      <c r="G827" s="115" t="s">
        <v>3093</v>
      </c>
      <c r="H827" s="161">
        <v>0</v>
      </c>
      <c r="I827" s="161" t="s">
        <v>7138</v>
      </c>
    </row>
    <row r="828" spans="1:9">
      <c r="A828" s="113">
        <v>100400494</v>
      </c>
      <c r="B828" s="113" t="s">
        <v>3766</v>
      </c>
      <c r="C828" s="113">
        <v>6041021</v>
      </c>
      <c r="D828" s="113" t="s">
        <v>3093</v>
      </c>
      <c r="E828" s="113" t="s">
        <v>1620</v>
      </c>
      <c r="F828" s="113" t="s">
        <v>3093</v>
      </c>
      <c r="G828" s="115" t="s">
        <v>3093</v>
      </c>
      <c r="H828" s="161">
        <v>0</v>
      </c>
      <c r="I828" s="161" t="s">
        <v>7138</v>
      </c>
    </row>
    <row r="829" spans="1:9">
      <c r="A829" s="113">
        <v>100400495</v>
      </c>
      <c r="B829" s="113" t="s">
        <v>3767</v>
      </c>
      <c r="C829" s="113">
        <v>6041022</v>
      </c>
      <c r="D829" s="113" t="s">
        <v>3093</v>
      </c>
      <c r="E829" s="113" t="s">
        <v>1620</v>
      </c>
      <c r="F829" s="113" t="s">
        <v>3093</v>
      </c>
      <c r="G829" s="115" t="s">
        <v>3093</v>
      </c>
      <c r="H829" s="161">
        <v>355</v>
      </c>
      <c r="I829" s="161" t="s">
        <v>7138</v>
      </c>
    </row>
    <row r="830" spans="1:9">
      <c r="A830" s="113">
        <v>100400496</v>
      </c>
      <c r="B830" s="113" t="s">
        <v>3768</v>
      </c>
      <c r="C830" s="113">
        <v>6041023</v>
      </c>
      <c r="D830" s="113" t="s">
        <v>3093</v>
      </c>
      <c r="E830" s="113" t="s">
        <v>1620</v>
      </c>
      <c r="F830" s="113" t="s">
        <v>3093</v>
      </c>
      <c r="G830" s="115" t="s">
        <v>3093</v>
      </c>
      <c r="H830" s="161">
        <v>26</v>
      </c>
      <c r="I830" s="161">
        <v>6</v>
      </c>
    </row>
    <row r="831" spans="1:9">
      <c r="A831" s="113">
        <v>100400497</v>
      </c>
      <c r="B831" s="113" t="s">
        <v>3769</v>
      </c>
      <c r="C831" s="113">
        <v>6041024</v>
      </c>
      <c r="D831" s="113" t="s">
        <v>3093</v>
      </c>
      <c r="E831" s="113" t="s">
        <v>1620</v>
      </c>
      <c r="F831" s="113" t="s">
        <v>3093</v>
      </c>
      <c r="G831" s="115" t="s">
        <v>3093</v>
      </c>
      <c r="H831" s="161">
        <v>0</v>
      </c>
      <c r="I831" s="161" t="s">
        <v>7138</v>
      </c>
    </row>
    <row r="832" spans="1:9">
      <c r="A832" s="113">
        <v>100400498</v>
      </c>
      <c r="B832" s="113" t="s">
        <v>3770</v>
      </c>
      <c r="C832" s="113">
        <v>6041025</v>
      </c>
      <c r="D832" s="113" t="s">
        <v>3093</v>
      </c>
      <c r="E832" s="113" t="s">
        <v>1620</v>
      </c>
      <c r="F832" s="113" t="s">
        <v>3093</v>
      </c>
      <c r="G832" s="115" t="s">
        <v>3093</v>
      </c>
      <c r="H832" s="161">
        <v>361</v>
      </c>
      <c r="I832" s="161">
        <v>2</v>
      </c>
    </row>
    <row r="833" spans="1:9">
      <c r="A833" s="113">
        <v>100400499</v>
      </c>
      <c r="B833" s="113" t="s">
        <v>3771</v>
      </c>
      <c r="C833" s="113">
        <v>6041026</v>
      </c>
      <c r="D833" s="113" t="s">
        <v>3093</v>
      </c>
      <c r="E833" s="113" t="s">
        <v>1620</v>
      </c>
      <c r="F833" s="113" t="s">
        <v>3093</v>
      </c>
      <c r="G833" s="115" t="s">
        <v>3093</v>
      </c>
      <c r="H833" s="161">
        <v>379</v>
      </c>
      <c r="I833" s="161">
        <v>2</v>
      </c>
    </row>
    <row r="834" spans="1:9">
      <c r="A834" s="113">
        <v>100400500</v>
      </c>
      <c r="B834" s="113" t="s">
        <v>3772</v>
      </c>
      <c r="C834" s="113">
        <v>6041027</v>
      </c>
      <c r="D834" s="113" t="s">
        <v>3093</v>
      </c>
      <c r="E834" s="113" t="s">
        <v>1620</v>
      </c>
      <c r="F834" s="113" t="s">
        <v>3093</v>
      </c>
      <c r="G834" s="115" t="s">
        <v>3093</v>
      </c>
      <c r="H834" s="161">
        <v>320.51</v>
      </c>
      <c r="I834" s="161">
        <v>1</v>
      </c>
    </row>
    <row r="835" spans="1:9">
      <c r="A835" s="113">
        <v>100400501</v>
      </c>
      <c r="B835" s="113" t="s">
        <v>3773</v>
      </c>
      <c r="C835" s="113">
        <v>6041028</v>
      </c>
      <c r="D835" s="113" t="s">
        <v>3093</v>
      </c>
      <c r="E835" s="113" t="s">
        <v>1620</v>
      </c>
      <c r="F835" s="113" t="s">
        <v>3093</v>
      </c>
      <c r="G835" s="115" t="s">
        <v>3093</v>
      </c>
      <c r="H835" s="161">
        <v>320.51</v>
      </c>
      <c r="I835" s="161">
        <v>6</v>
      </c>
    </row>
    <row r="836" spans="1:9">
      <c r="A836" s="113">
        <v>100400502</v>
      </c>
      <c r="B836" s="113" t="s">
        <v>3774</v>
      </c>
      <c r="C836" s="113">
        <v>6041029</v>
      </c>
      <c r="D836" s="113" t="s">
        <v>3093</v>
      </c>
      <c r="E836" s="113" t="s">
        <v>1620</v>
      </c>
      <c r="F836" s="113" t="s">
        <v>3093</v>
      </c>
      <c r="G836" s="115" t="s">
        <v>3093</v>
      </c>
      <c r="H836" s="161">
        <v>0</v>
      </c>
      <c r="I836" s="161" t="s">
        <v>7138</v>
      </c>
    </row>
    <row r="837" spans="1:9">
      <c r="A837" s="113">
        <v>100400503</v>
      </c>
      <c r="B837" s="113" t="s">
        <v>3775</v>
      </c>
      <c r="C837" s="113">
        <v>6042014</v>
      </c>
      <c r="D837" s="113" t="s">
        <v>3093</v>
      </c>
      <c r="E837" s="113" t="s">
        <v>1620</v>
      </c>
      <c r="F837" s="113" t="s">
        <v>3093</v>
      </c>
      <c r="G837" s="115" t="s">
        <v>3093</v>
      </c>
      <c r="H837" s="161">
        <v>261</v>
      </c>
      <c r="I837" s="161">
        <v>12</v>
      </c>
    </row>
    <row r="838" spans="1:9">
      <c r="A838" s="113">
        <v>100400504</v>
      </c>
      <c r="B838" s="113" t="s">
        <v>3776</v>
      </c>
      <c r="C838" s="113">
        <v>6042015</v>
      </c>
      <c r="D838" s="113" t="s">
        <v>3093</v>
      </c>
      <c r="E838" s="113" t="s">
        <v>1620</v>
      </c>
      <c r="F838" s="113" t="s">
        <v>3093</v>
      </c>
      <c r="G838" s="115" t="s">
        <v>3093</v>
      </c>
      <c r="H838" s="161">
        <v>0</v>
      </c>
      <c r="I838" s="161" t="s">
        <v>7138</v>
      </c>
    </row>
    <row r="839" spans="1:9">
      <c r="A839" s="113">
        <v>100400505</v>
      </c>
      <c r="B839" s="113" t="s">
        <v>3777</v>
      </c>
      <c r="C839" s="113">
        <v>6042020</v>
      </c>
      <c r="D839" s="113" t="s">
        <v>3093</v>
      </c>
      <c r="E839" s="113" t="s">
        <v>1620</v>
      </c>
      <c r="F839" s="113" t="s">
        <v>3093</v>
      </c>
      <c r="G839" s="115" t="s">
        <v>3093</v>
      </c>
      <c r="H839" s="161">
        <v>0</v>
      </c>
      <c r="I839" s="161" t="s">
        <v>7138</v>
      </c>
    </row>
    <row r="840" spans="1:9">
      <c r="A840" s="113">
        <v>100400506</v>
      </c>
      <c r="B840" s="113" t="s">
        <v>3778</v>
      </c>
      <c r="C840" s="113">
        <v>6042021</v>
      </c>
      <c r="D840" s="113" t="s">
        <v>3093</v>
      </c>
      <c r="E840" s="113" t="s">
        <v>1620</v>
      </c>
      <c r="F840" s="113" t="s">
        <v>3093</v>
      </c>
      <c r="G840" s="115" t="s">
        <v>3093</v>
      </c>
      <c r="H840" s="161">
        <v>89.12</v>
      </c>
      <c r="I840" s="161">
        <v>6</v>
      </c>
    </row>
    <row r="841" spans="1:9">
      <c r="A841" s="113">
        <v>100400507</v>
      </c>
      <c r="B841" s="113" t="s">
        <v>3779</v>
      </c>
      <c r="C841" s="113">
        <v>6042022</v>
      </c>
      <c r="D841" s="113" t="s">
        <v>3093</v>
      </c>
      <c r="E841" s="113" t="s">
        <v>1620</v>
      </c>
      <c r="F841" s="113" t="s">
        <v>3093</v>
      </c>
      <c r="G841" s="115" t="s">
        <v>3093</v>
      </c>
      <c r="H841" s="161">
        <v>0</v>
      </c>
      <c r="I841" s="161" t="s">
        <v>7138</v>
      </c>
    </row>
    <row r="842" spans="1:9">
      <c r="A842" s="113">
        <v>100400508</v>
      </c>
      <c r="B842" s="113" t="s">
        <v>3780</v>
      </c>
      <c r="C842" s="113">
        <v>6042024</v>
      </c>
      <c r="D842" s="113" t="s">
        <v>3093</v>
      </c>
      <c r="E842" s="113" t="s">
        <v>1620</v>
      </c>
      <c r="F842" s="113" t="s">
        <v>3093</v>
      </c>
      <c r="G842" s="115" t="s">
        <v>3093</v>
      </c>
      <c r="H842" s="161">
        <v>0</v>
      </c>
      <c r="I842" s="161" t="s">
        <v>7138</v>
      </c>
    </row>
    <row r="843" spans="1:9">
      <c r="A843" s="113">
        <v>100400509</v>
      </c>
      <c r="B843" s="113" t="s">
        <v>2812</v>
      </c>
      <c r="C843" s="113">
        <v>6042025</v>
      </c>
      <c r="D843" s="113" t="s">
        <v>3093</v>
      </c>
      <c r="E843" s="113" t="s">
        <v>1620</v>
      </c>
      <c r="F843" s="113" t="s">
        <v>3093</v>
      </c>
      <c r="G843" s="115" t="s">
        <v>3093</v>
      </c>
      <c r="H843" s="161">
        <v>0</v>
      </c>
      <c r="I843" s="161" t="s">
        <v>7138</v>
      </c>
    </row>
    <row r="844" spans="1:9">
      <c r="A844" s="113">
        <v>100400510</v>
      </c>
      <c r="B844" s="113" t="s">
        <v>3781</v>
      </c>
      <c r="C844" s="113">
        <v>6042026</v>
      </c>
      <c r="D844" s="113" t="s">
        <v>3093</v>
      </c>
      <c r="E844" s="113" t="s">
        <v>1620</v>
      </c>
      <c r="F844" s="113" t="s">
        <v>3093</v>
      </c>
      <c r="G844" s="115" t="s">
        <v>3093</v>
      </c>
      <c r="H844" s="161">
        <v>208</v>
      </c>
      <c r="I844" s="161">
        <v>1</v>
      </c>
    </row>
    <row r="845" spans="1:9">
      <c r="A845" s="113">
        <v>100400511</v>
      </c>
      <c r="B845" s="113" t="s">
        <v>3782</v>
      </c>
      <c r="C845" s="113">
        <v>6042027</v>
      </c>
      <c r="D845" s="113" t="s">
        <v>3093</v>
      </c>
      <c r="E845" s="113" t="s">
        <v>1620</v>
      </c>
      <c r="F845" s="113" t="s">
        <v>3093</v>
      </c>
      <c r="G845" s="115" t="s">
        <v>3093</v>
      </c>
      <c r="H845" s="161">
        <v>0</v>
      </c>
      <c r="I845" s="161" t="s">
        <v>7138</v>
      </c>
    </row>
    <row r="846" spans="1:9">
      <c r="A846" s="113">
        <v>100400512</v>
      </c>
      <c r="B846" s="113" t="s">
        <v>2813</v>
      </c>
      <c r="C846" s="113">
        <v>6042028</v>
      </c>
      <c r="D846" s="113" t="s">
        <v>3093</v>
      </c>
      <c r="E846" s="113" t="s">
        <v>1620</v>
      </c>
      <c r="F846" s="113" t="s">
        <v>3093</v>
      </c>
      <c r="G846" s="115" t="s">
        <v>3093</v>
      </c>
      <c r="H846" s="161">
        <v>167.77</v>
      </c>
      <c r="I846" s="161">
        <v>13</v>
      </c>
    </row>
    <row r="847" spans="1:9">
      <c r="A847" s="113">
        <v>100400513</v>
      </c>
      <c r="B847" s="113" t="s">
        <v>2814</v>
      </c>
      <c r="C847" s="113">
        <v>6042033</v>
      </c>
      <c r="D847" s="113" t="s">
        <v>3093</v>
      </c>
      <c r="E847" s="113" t="s">
        <v>1620</v>
      </c>
      <c r="F847" s="113" t="s">
        <v>3093</v>
      </c>
      <c r="G847" s="115" t="s">
        <v>3093</v>
      </c>
      <c r="H847" s="161">
        <v>180.66</v>
      </c>
      <c r="I847" s="161">
        <v>1</v>
      </c>
    </row>
    <row r="848" spans="1:9">
      <c r="A848" s="113">
        <v>100400514</v>
      </c>
      <c r="B848" s="113" t="s">
        <v>3783</v>
      </c>
      <c r="C848" s="113">
        <v>6043020</v>
      </c>
      <c r="D848" s="113" t="s">
        <v>3093</v>
      </c>
      <c r="E848" s="113" t="s">
        <v>1620</v>
      </c>
      <c r="F848" s="113" t="s">
        <v>3093</v>
      </c>
      <c r="G848" s="115" t="s">
        <v>3093</v>
      </c>
      <c r="H848" s="161">
        <v>0</v>
      </c>
      <c r="I848" s="161" t="s">
        <v>7138</v>
      </c>
    </row>
    <row r="849" spans="1:9">
      <c r="A849" s="113">
        <v>100400515</v>
      </c>
      <c r="B849" s="113" t="s">
        <v>2815</v>
      </c>
      <c r="C849" s="113">
        <v>6043021</v>
      </c>
      <c r="D849" s="113" t="s">
        <v>3093</v>
      </c>
      <c r="E849" s="113" t="s">
        <v>1620</v>
      </c>
      <c r="F849" s="113" t="s">
        <v>3093</v>
      </c>
      <c r="G849" s="115" t="s">
        <v>3093</v>
      </c>
      <c r="H849" s="161">
        <v>5.5</v>
      </c>
      <c r="I849" s="161">
        <v>5</v>
      </c>
    </row>
    <row r="850" spans="1:9">
      <c r="A850" s="113">
        <v>100400516</v>
      </c>
      <c r="B850" s="113" t="s">
        <v>2816</v>
      </c>
      <c r="C850" s="113">
        <v>6043022</v>
      </c>
      <c r="D850" s="113" t="s">
        <v>3093</v>
      </c>
      <c r="E850" s="113" t="s">
        <v>1620</v>
      </c>
      <c r="F850" s="113" t="s">
        <v>3093</v>
      </c>
      <c r="G850" s="115" t="s">
        <v>3093</v>
      </c>
      <c r="H850" s="161">
        <v>0</v>
      </c>
      <c r="I850" s="161" t="s">
        <v>7138</v>
      </c>
    </row>
    <row r="851" spans="1:9">
      <c r="A851" s="113">
        <v>100400517</v>
      </c>
      <c r="B851" s="113" t="s">
        <v>3784</v>
      </c>
      <c r="C851" s="113">
        <v>6043024</v>
      </c>
      <c r="D851" s="113" t="s">
        <v>3093</v>
      </c>
      <c r="E851" s="113" t="s">
        <v>1620</v>
      </c>
      <c r="F851" s="113" t="s">
        <v>3093</v>
      </c>
      <c r="G851" s="115" t="s">
        <v>3093</v>
      </c>
      <c r="H851" s="161">
        <v>0</v>
      </c>
      <c r="I851" s="161" t="s">
        <v>7138</v>
      </c>
    </row>
    <row r="852" spans="1:9">
      <c r="A852" s="113">
        <v>100400518</v>
      </c>
      <c r="B852" s="113" t="s">
        <v>3785</v>
      </c>
      <c r="C852" s="113">
        <v>6043025</v>
      </c>
      <c r="D852" s="113" t="s">
        <v>3093</v>
      </c>
      <c r="E852" s="113" t="s">
        <v>1620</v>
      </c>
      <c r="F852" s="113" t="s">
        <v>3093</v>
      </c>
      <c r="G852" s="115" t="s">
        <v>3093</v>
      </c>
      <c r="H852" s="161">
        <v>0</v>
      </c>
      <c r="I852" s="161" t="s">
        <v>7138</v>
      </c>
    </row>
    <row r="853" spans="1:9">
      <c r="A853" s="113">
        <v>100400519</v>
      </c>
      <c r="B853" s="113" t="s">
        <v>3786</v>
      </c>
      <c r="C853" s="113">
        <v>6043026</v>
      </c>
      <c r="D853" s="113" t="s">
        <v>3093</v>
      </c>
      <c r="E853" s="113" t="s">
        <v>1620</v>
      </c>
      <c r="F853" s="113" t="s">
        <v>3093</v>
      </c>
      <c r="G853" s="115" t="s">
        <v>3093</v>
      </c>
      <c r="H853" s="161">
        <v>0</v>
      </c>
      <c r="I853" s="161" t="s">
        <v>7138</v>
      </c>
    </row>
    <row r="854" spans="1:9">
      <c r="A854" s="113">
        <v>100400520</v>
      </c>
      <c r="B854" s="113" t="s">
        <v>3787</v>
      </c>
      <c r="C854" s="113">
        <v>6043027</v>
      </c>
      <c r="D854" s="113" t="s">
        <v>3093</v>
      </c>
      <c r="E854" s="113" t="s">
        <v>1620</v>
      </c>
      <c r="F854" s="113" t="s">
        <v>3093</v>
      </c>
      <c r="G854" s="115" t="s">
        <v>3093</v>
      </c>
      <c r="H854" s="161">
        <v>0</v>
      </c>
      <c r="I854" s="161" t="s">
        <v>7138</v>
      </c>
    </row>
    <row r="855" spans="1:9">
      <c r="A855" s="113">
        <v>100400521</v>
      </c>
      <c r="B855" s="113" t="s">
        <v>3788</v>
      </c>
      <c r="C855" s="113">
        <v>6043029</v>
      </c>
      <c r="D855" s="113" t="s">
        <v>3093</v>
      </c>
      <c r="E855" s="113" t="s">
        <v>1620</v>
      </c>
      <c r="F855" s="113" t="s">
        <v>3093</v>
      </c>
      <c r="G855" s="115" t="s">
        <v>3093</v>
      </c>
      <c r="H855" s="161">
        <v>0</v>
      </c>
      <c r="I855" s="161" t="s">
        <v>7138</v>
      </c>
    </row>
    <row r="856" spans="1:9">
      <c r="A856" s="113">
        <v>100400522</v>
      </c>
      <c r="B856" s="113" t="s">
        <v>3789</v>
      </c>
      <c r="C856" s="113">
        <v>6043031</v>
      </c>
      <c r="D856" s="113" t="s">
        <v>3093</v>
      </c>
      <c r="E856" s="113" t="s">
        <v>1620</v>
      </c>
      <c r="F856" s="113" t="s">
        <v>3093</v>
      </c>
      <c r="G856" s="115" t="s">
        <v>3093</v>
      </c>
      <c r="H856" s="161">
        <v>0</v>
      </c>
      <c r="I856" s="161" t="s">
        <v>7138</v>
      </c>
    </row>
    <row r="857" spans="1:9">
      <c r="A857" s="113">
        <v>100400523</v>
      </c>
      <c r="B857" s="113" t="s">
        <v>3790</v>
      </c>
      <c r="C857" s="113">
        <v>6043032</v>
      </c>
      <c r="D857" s="113" t="s">
        <v>3093</v>
      </c>
      <c r="E857" s="113" t="s">
        <v>1620</v>
      </c>
      <c r="F857" s="113" t="s">
        <v>3093</v>
      </c>
      <c r="G857" s="115" t="s">
        <v>3093</v>
      </c>
      <c r="H857" s="161">
        <v>0</v>
      </c>
      <c r="I857" s="161" t="s">
        <v>7138</v>
      </c>
    </row>
    <row r="858" spans="1:9">
      <c r="A858" s="113">
        <v>100400524</v>
      </c>
      <c r="B858" s="113" t="s">
        <v>3791</v>
      </c>
      <c r="C858" s="113">
        <v>6043033</v>
      </c>
      <c r="D858" s="113" t="s">
        <v>3093</v>
      </c>
      <c r="E858" s="113" t="s">
        <v>1620</v>
      </c>
      <c r="F858" s="113" t="s">
        <v>3093</v>
      </c>
      <c r="G858" s="115" t="s">
        <v>3093</v>
      </c>
      <c r="H858" s="161">
        <v>0</v>
      </c>
      <c r="I858" s="161" t="s">
        <v>7138</v>
      </c>
    </row>
    <row r="859" spans="1:9">
      <c r="A859" s="113">
        <v>100400525</v>
      </c>
      <c r="B859" s="113" t="s">
        <v>3792</v>
      </c>
      <c r="C859" s="113">
        <v>6043034</v>
      </c>
      <c r="D859" s="113" t="s">
        <v>3093</v>
      </c>
      <c r="E859" s="113" t="s">
        <v>1620</v>
      </c>
      <c r="F859" s="113" t="s">
        <v>3093</v>
      </c>
      <c r="G859" s="115" t="s">
        <v>3093</v>
      </c>
      <c r="H859" s="161">
        <v>0</v>
      </c>
      <c r="I859" s="161" t="s">
        <v>7138</v>
      </c>
    </row>
    <row r="860" spans="1:9">
      <c r="A860" s="113">
        <v>100400526</v>
      </c>
      <c r="B860" s="113" t="s">
        <v>3793</v>
      </c>
      <c r="C860" s="113">
        <v>6044082</v>
      </c>
      <c r="D860" s="113" t="s">
        <v>3093</v>
      </c>
      <c r="E860" s="113" t="s">
        <v>1620</v>
      </c>
      <c r="F860" s="113" t="s">
        <v>3093</v>
      </c>
      <c r="G860" s="115" t="s">
        <v>3093</v>
      </c>
      <c r="H860" s="161">
        <v>0</v>
      </c>
      <c r="I860" s="161" t="s">
        <v>7138</v>
      </c>
    </row>
    <row r="861" spans="1:9">
      <c r="A861" s="113">
        <v>100400527</v>
      </c>
      <c r="B861" s="113" t="s">
        <v>3794</v>
      </c>
      <c r="C861" s="113">
        <v>6044087</v>
      </c>
      <c r="D861" s="113" t="s">
        <v>3093</v>
      </c>
      <c r="E861" s="113" t="s">
        <v>1620</v>
      </c>
      <c r="F861" s="113" t="s">
        <v>3093</v>
      </c>
      <c r="G861" s="115" t="s">
        <v>3093</v>
      </c>
      <c r="H861" s="161">
        <v>0</v>
      </c>
      <c r="I861" s="161" t="s">
        <v>7138</v>
      </c>
    </row>
    <row r="862" spans="1:9">
      <c r="A862" s="113">
        <v>100400528</v>
      </c>
      <c r="B862" s="113" t="s">
        <v>2817</v>
      </c>
      <c r="C862" s="113">
        <v>6044103</v>
      </c>
      <c r="D862" s="113" t="s">
        <v>3093</v>
      </c>
      <c r="E862" s="113" t="s">
        <v>1620</v>
      </c>
      <c r="F862" s="113" t="s">
        <v>3093</v>
      </c>
      <c r="G862" s="115" t="s">
        <v>3093</v>
      </c>
      <c r="H862" s="161">
        <v>6</v>
      </c>
      <c r="I862" s="161">
        <v>24</v>
      </c>
    </row>
    <row r="863" spans="1:9">
      <c r="A863" s="113">
        <v>100400529</v>
      </c>
      <c r="B863" s="113" t="s">
        <v>2818</v>
      </c>
      <c r="C863" s="113">
        <v>6044104</v>
      </c>
      <c r="D863" s="113" t="s">
        <v>3093</v>
      </c>
      <c r="E863" s="113" t="s">
        <v>1620</v>
      </c>
      <c r="F863" s="113" t="s">
        <v>3093</v>
      </c>
      <c r="G863" s="115" t="s">
        <v>3093</v>
      </c>
      <c r="H863" s="161">
        <v>39</v>
      </c>
      <c r="I863" s="161">
        <v>24</v>
      </c>
    </row>
    <row r="864" spans="1:9">
      <c r="A864" s="113">
        <v>100400530</v>
      </c>
      <c r="B864" s="113" t="s">
        <v>3795</v>
      </c>
      <c r="C864" s="113">
        <v>6044105</v>
      </c>
      <c r="D864" s="113" t="s">
        <v>3093</v>
      </c>
      <c r="E864" s="113" t="s">
        <v>1620</v>
      </c>
      <c r="F864" s="113" t="s">
        <v>3093</v>
      </c>
      <c r="G864" s="115" t="s">
        <v>3093</v>
      </c>
      <c r="H864" s="161">
        <v>85</v>
      </c>
      <c r="I864" s="161">
        <v>0</v>
      </c>
    </row>
    <row r="865" spans="1:9">
      <c r="A865" s="113">
        <v>100400531</v>
      </c>
      <c r="B865" s="113" t="s">
        <v>3796</v>
      </c>
      <c r="C865" s="113">
        <v>6044106</v>
      </c>
      <c r="D865" s="113" t="s">
        <v>3093</v>
      </c>
      <c r="E865" s="113" t="s">
        <v>1620</v>
      </c>
      <c r="F865" s="113" t="s">
        <v>3093</v>
      </c>
      <c r="G865" s="115" t="s">
        <v>3093</v>
      </c>
      <c r="H865" s="161">
        <v>37.1</v>
      </c>
      <c r="I865" s="161">
        <v>3</v>
      </c>
    </row>
    <row r="866" spans="1:9">
      <c r="A866" s="113">
        <v>100400532</v>
      </c>
      <c r="B866" s="113" t="s">
        <v>3797</v>
      </c>
      <c r="C866" s="113">
        <v>6044107</v>
      </c>
      <c r="D866" s="113" t="s">
        <v>3093</v>
      </c>
      <c r="E866" s="113" t="s">
        <v>1620</v>
      </c>
      <c r="F866" s="113" t="s">
        <v>3093</v>
      </c>
      <c r="G866" s="115" t="s">
        <v>3093</v>
      </c>
      <c r="H866" s="161">
        <v>5.47</v>
      </c>
      <c r="I866" s="161">
        <v>1</v>
      </c>
    </row>
    <row r="867" spans="1:9">
      <c r="A867" s="113">
        <v>100400533</v>
      </c>
      <c r="B867" s="113" t="s">
        <v>3798</v>
      </c>
      <c r="C867" s="113">
        <v>6044108</v>
      </c>
      <c r="D867" s="113" t="s">
        <v>3093</v>
      </c>
      <c r="E867" s="113" t="s">
        <v>1620</v>
      </c>
      <c r="F867" s="113" t="s">
        <v>3093</v>
      </c>
      <c r="G867" s="115" t="s">
        <v>3093</v>
      </c>
      <c r="H867" s="161">
        <v>5.85</v>
      </c>
      <c r="I867" s="161">
        <v>4</v>
      </c>
    </row>
    <row r="868" spans="1:9">
      <c r="A868" s="113">
        <v>100400534</v>
      </c>
      <c r="B868" s="113" t="s">
        <v>3799</v>
      </c>
      <c r="C868" s="113">
        <v>6044109</v>
      </c>
      <c r="D868" s="113" t="s">
        <v>3093</v>
      </c>
      <c r="E868" s="113" t="s">
        <v>1620</v>
      </c>
      <c r="F868" s="113" t="s">
        <v>3093</v>
      </c>
      <c r="G868" s="115" t="s">
        <v>3093</v>
      </c>
      <c r="H868" s="161">
        <v>54.77</v>
      </c>
      <c r="I868" s="161">
        <v>1</v>
      </c>
    </row>
    <row r="869" spans="1:9">
      <c r="A869" s="113">
        <v>100400535</v>
      </c>
      <c r="B869" s="113" t="s">
        <v>3800</v>
      </c>
      <c r="C869" s="113">
        <v>6044110</v>
      </c>
      <c r="D869" s="113" t="s">
        <v>3093</v>
      </c>
      <c r="E869" s="113" t="s">
        <v>1620</v>
      </c>
      <c r="F869" s="113" t="s">
        <v>3093</v>
      </c>
      <c r="G869" s="115" t="s">
        <v>3093</v>
      </c>
      <c r="H869" s="161">
        <v>0</v>
      </c>
      <c r="I869" s="161" t="s">
        <v>7138</v>
      </c>
    </row>
    <row r="870" spans="1:9">
      <c r="A870" s="113">
        <v>100400536</v>
      </c>
      <c r="B870" s="113" t="s">
        <v>2819</v>
      </c>
      <c r="C870" s="113">
        <v>6044111</v>
      </c>
      <c r="D870" s="113" t="s">
        <v>3093</v>
      </c>
      <c r="E870" s="113" t="s">
        <v>1620</v>
      </c>
      <c r="F870" s="113" t="s">
        <v>3093</v>
      </c>
      <c r="G870" s="115" t="s">
        <v>3093</v>
      </c>
      <c r="H870" s="161">
        <v>118.65</v>
      </c>
      <c r="I870" s="161" t="s">
        <v>7138</v>
      </c>
    </row>
    <row r="871" spans="1:9">
      <c r="A871" s="113">
        <v>100400537</v>
      </c>
      <c r="B871" s="113" t="s">
        <v>3801</v>
      </c>
      <c r="C871" s="113">
        <v>6044112</v>
      </c>
      <c r="D871" s="113" t="s">
        <v>3093</v>
      </c>
      <c r="E871" s="113" t="s">
        <v>1620</v>
      </c>
      <c r="F871" s="113" t="s">
        <v>3093</v>
      </c>
      <c r="G871" s="115" t="s">
        <v>3093</v>
      </c>
      <c r="H871" s="161">
        <v>86.78</v>
      </c>
      <c r="I871" s="161">
        <v>1</v>
      </c>
    </row>
    <row r="872" spans="1:9">
      <c r="A872" s="113">
        <v>100400538</v>
      </c>
      <c r="B872" s="113" t="s">
        <v>3802</v>
      </c>
      <c r="C872" s="113">
        <v>6044113</v>
      </c>
      <c r="D872" s="113" t="s">
        <v>3093</v>
      </c>
      <c r="E872" s="113" t="s">
        <v>1620</v>
      </c>
      <c r="F872" s="113" t="s">
        <v>3093</v>
      </c>
      <c r="G872" s="115" t="s">
        <v>3093</v>
      </c>
      <c r="H872" s="161">
        <v>0</v>
      </c>
      <c r="I872" s="161" t="s">
        <v>7138</v>
      </c>
    </row>
    <row r="873" spans="1:9">
      <c r="A873" s="113">
        <v>100400539</v>
      </c>
      <c r="B873" s="113" t="s">
        <v>3803</v>
      </c>
      <c r="C873" s="113">
        <v>6044114</v>
      </c>
      <c r="D873" s="113" t="s">
        <v>3093</v>
      </c>
      <c r="E873" s="113" t="s">
        <v>1620</v>
      </c>
      <c r="F873" s="113" t="s">
        <v>3093</v>
      </c>
      <c r="G873" s="115" t="s">
        <v>3093</v>
      </c>
      <c r="H873" s="161">
        <v>0</v>
      </c>
      <c r="I873" s="161" t="s">
        <v>7138</v>
      </c>
    </row>
    <row r="874" spans="1:9">
      <c r="A874" s="113">
        <v>100400540</v>
      </c>
      <c r="B874" s="113" t="s">
        <v>3804</v>
      </c>
      <c r="C874" s="113">
        <v>6044115</v>
      </c>
      <c r="D874" s="113" t="s">
        <v>3093</v>
      </c>
      <c r="E874" s="113" t="s">
        <v>1620</v>
      </c>
      <c r="F874" s="113" t="s">
        <v>3093</v>
      </c>
      <c r="G874" s="115" t="s">
        <v>3093</v>
      </c>
      <c r="H874" s="161">
        <v>0</v>
      </c>
      <c r="I874" s="161" t="s">
        <v>7138</v>
      </c>
    </row>
    <row r="875" spans="1:9">
      <c r="A875" s="113">
        <v>100400541</v>
      </c>
      <c r="B875" s="113" t="s">
        <v>3805</v>
      </c>
      <c r="C875" s="113">
        <v>6044116</v>
      </c>
      <c r="D875" s="113" t="s">
        <v>3093</v>
      </c>
      <c r="E875" s="113" t="s">
        <v>1620</v>
      </c>
      <c r="F875" s="113" t="s">
        <v>3093</v>
      </c>
      <c r="G875" s="115" t="s">
        <v>3093</v>
      </c>
      <c r="H875" s="161">
        <v>0</v>
      </c>
      <c r="I875" s="161" t="s">
        <v>7138</v>
      </c>
    </row>
    <row r="876" spans="1:9">
      <c r="A876" s="113">
        <v>100400542</v>
      </c>
      <c r="B876" s="113" t="s">
        <v>3806</v>
      </c>
      <c r="C876" s="113">
        <v>6044117</v>
      </c>
      <c r="D876" s="113" t="s">
        <v>3093</v>
      </c>
      <c r="E876" s="113" t="s">
        <v>1620</v>
      </c>
      <c r="F876" s="113" t="s">
        <v>3093</v>
      </c>
      <c r="G876" s="115" t="s">
        <v>3093</v>
      </c>
      <c r="H876" s="161">
        <v>0</v>
      </c>
      <c r="I876" s="161" t="s">
        <v>7138</v>
      </c>
    </row>
    <row r="877" spans="1:9">
      <c r="A877" s="113">
        <v>100400543</v>
      </c>
      <c r="B877" s="113" t="s">
        <v>2820</v>
      </c>
      <c r="C877" s="113">
        <v>6044118</v>
      </c>
      <c r="D877" s="113" t="s">
        <v>3093</v>
      </c>
      <c r="E877" s="113" t="s">
        <v>1620</v>
      </c>
      <c r="F877" s="113" t="s">
        <v>3093</v>
      </c>
      <c r="G877" s="115" t="s">
        <v>3093</v>
      </c>
      <c r="H877" s="161">
        <v>130.88999999999999</v>
      </c>
      <c r="I877" s="161">
        <v>1</v>
      </c>
    </row>
    <row r="878" spans="1:9">
      <c r="A878" s="113">
        <v>100400544</v>
      </c>
      <c r="B878" s="113" t="s">
        <v>2821</v>
      </c>
      <c r="C878" s="113">
        <v>6044119</v>
      </c>
      <c r="D878" s="113" t="s">
        <v>3093</v>
      </c>
      <c r="E878" s="113" t="s">
        <v>1620</v>
      </c>
      <c r="F878" s="113" t="s">
        <v>3093</v>
      </c>
      <c r="G878" s="115" t="s">
        <v>3093</v>
      </c>
      <c r="H878" s="161">
        <v>125.71</v>
      </c>
      <c r="I878" s="161">
        <v>1</v>
      </c>
    </row>
    <row r="879" spans="1:9">
      <c r="A879" s="113">
        <v>100400545</v>
      </c>
      <c r="B879" s="113" t="s">
        <v>3807</v>
      </c>
      <c r="C879" s="113">
        <v>6044120</v>
      </c>
      <c r="D879" s="113" t="s">
        <v>3093</v>
      </c>
      <c r="E879" s="113" t="s">
        <v>1620</v>
      </c>
      <c r="F879" s="113" t="s">
        <v>3093</v>
      </c>
      <c r="G879" s="115" t="s">
        <v>3093</v>
      </c>
      <c r="H879" s="161">
        <v>0</v>
      </c>
      <c r="I879" s="161" t="s">
        <v>7138</v>
      </c>
    </row>
    <row r="880" spans="1:9">
      <c r="A880" s="113">
        <v>100400546</v>
      </c>
      <c r="B880" s="113" t="s">
        <v>3808</v>
      </c>
      <c r="C880" s="113">
        <v>6044121</v>
      </c>
      <c r="D880" s="113" t="s">
        <v>3093</v>
      </c>
      <c r="E880" s="113" t="s">
        <v>1620</v>
      </c>
      <c r="F880" s="113" t="s">
        <v>3093</v>
      </c>
      <c r="G880" s="115" t="s">
        <v>3093</v>
      </c>
      <c r="H880" s="161">
        <v>0</v>
      </c>
      <c r="I880" s="161" t="s">
        <v>7138</v>
      </c>
    </row>
    <row r="881" spans="1:9">
      <c r="A881" s="113">
        <v>100400547</v>
      </c>
      <c r="B881" s="113" t="s">
        <v>3809</v>
      </c>
      <c r="C881" s="113">
        <v>6044122</v>
      </c>
      <c r="D881" s="113" t="s">
        <v>3093</v>
      </c>
      <c r="E881" s="113" t="s">
        <v>1620</v>
      </c>
      <c r="F881" s="113" t="s">
        <v>3093</v>
      </c>
      <c r="G881" s="115" t="s">
        <v>3093</v>
      </c>
      <c r="H881" s="161">
        <v>0</v>
      </c>
      <c r="I881" s="161" t="s">
        <v>7138</v>
      </c>
    </row>
    <row r="882" spans="1:9">
      <c r="A882" s="113">
        <v>100400548</v>
      </c>
      <c r="B882" s="113" t="s">
        <v>3810</v>
      </c>
      <c r="C882" s="113">
        <v>6044123</v>
      </c>
      <c r="D882" s="113" t="s">
        <v>3093</v>
      </c>
      <c r="E882" s="113" t="s">
        <v>1620</v>
      </c>
      <c r="F882" s="113" t="s">
        <v>3093</v>
      </c>
      <c r="G882" s="115" t="s">
        <v>3093</v>
      </c>
      <c r="H882" s="161">
        <v>0</v>
      </c>
      <c r="I882" s="161" t="s">
        <v>7138</v>
      </c>
    </row>
    <row r="883" spans="1:9">
      <c r="A883" s="113">
        <v>100400549</v>
      </c>
      <c r="B883" s="113" t="s">
        <v>3811</v>
      </c>
      <c r="C883" s="113">
        <v>6044124</v>
      </c>
      <c r="D883" s="113" t="s">
        <v>3093</v>
      </c>
      <c r="E883" s="113" t="s">
        <v>1620</v>
      </c>
      <c r="F883" s="113" t="s">
        <v>3093</v>
      </c>
      <c r="G883" s="115" t="s">
        <v>3093</v>
      </c>
      <c r="H883" s="161">
        <v>0</v>
      </c>
      <c r="I883" s="161" t="s">
        <v>7138</v>
      </c>
    </row>
    <row r="884" spans="1:9">
      <c r="A884" s="113">
        <v>100400550</v>
      </c>
      <c r="B884" s="113" t="s">
        <v>3812</v>
      </c>
      <c r="C884" s="113">
        <v>6044125</v>
      </c>
      <c r="D884" s="113" t="s">
        <v>3093</v>
      </c>
      <c r="E884" s="113" t="s">
        <v>1620</v>
      </c>
      <c r="F884" s="113" t="s">
        <v>3093</v>
      </c>
      <c r="G884" s="115" t="s">
        <v>3093</v>
      </c>
      <c r="H884" s="161">
        <v>0</v>
      </c>
      <c r="I884" s="161" t="s">
        <v>7138</v>
      </c>
    </row>
    <row r="885" spans="1:9">
      <c r="A885" s="113">
        <v>100400551</v>
      </c>
      <c r="B885" s="113" t="s">
        <v>3813</v>
      </c>
      <c r="C885" s="113">
        <v>6044126</v>
      </c>
      <c r="D885" s="113" t="s">
        <v>3093</v>
      </c>
      <c r="E885" s="113" t="s">
        <v>1620</v>
      </c>
      <c r="F885" s="113" t="s">
        <v>3093</v>
      </c>
      <c r="G885" s="115" t="s">
        <v>3093</v>
      </c>
      <c r="H885" s="161">
        <v>0</v>
      </c>
      <c r="I885" s="161" t="s">
        <v>7138</v>
      </c>
    </row>
    <row r="886" spans="1:9">
      <c r="A886" s="113">
        <v>100400552</v>
      </c>
      <c r="B886" s="113" t="s">
        <v>3814</v>
      </c>
      <c r="C886" s="113">
        <v>6044127</v>
      </c>
      <c r="D886" s="113" t="s">
        <v>3093</v>
      </c>
      <c r="E886" s="113" t="s">
        <v>1620</v>
      </c>
      <c r="F886" s="113" t="s">
        <v>3093</v>
      </c>
      <c r="G886" s="115" t="s">
        <v>3093</v>
      </c>
      <c r="H886" s="161">
        <v>0</v>
      </c>
      <c r="I886" s="161" t="s">
        <v>7138</v>
      </c>
    </row>
    <row r="887" spans="1:9">
      <c r="A887" s="113">
        <v>100400553</v>
      </c>
      <c r="B887" s="113" t="s">
        <v>3815</v>
      </c>
      <c r="C887" s="113">
        <v>6044128</v>
      </c>
      <c r="D887" s="113" t="s">
        <v>3093</v>
      </c>
      <c r="E887" s="113" t="s">
        <v>1620</v>
      </c>
      <c r="F887" s="113" t="s">
        <v>3093</v>
      </c>
      <c r="G887" s="115" t="s">
        <v>3093</v>
      </c>
      <c r="H887" s="161">
        <v>76.95</v>
      </c>
      <c r="I887" s="161">
        <v>2</v>
      </c>
    </row>
    <row r="888" spans="1:9">
      <c r="A888" s="113">
        <v>100400554</v>
      </c>
      <c r="B888" s="113" t="s">
        <v>3816</v>
      </c>
      <c r="C888" s="113">
        <v>6044129</v>
      </c>
      <c r="D888" s="113" t="s">
        <v>3093</v>
      </c>
      <c r="E888" s="113" t="s">
        <v>1620</v>
      </c>
      <c r="F888" s="113" t="s">
        <v>3093</v>
      </c>
      <c r="G888" s="115" t="s">
        <v>3093</v>
      </c>
      <c r="H888" s="161">
        <v>56.67</v>
      </c>
      <c r="I888" s="161">
        <v>2</v>
      </c>
    </row>
    <row r="889" spans="1:9">
      <c r="A889" s="113">
        <v>100400555</v>
      </c>
      <c r="B889" s="113" t="s">
        <v>3817</v>
      </c>
      <c r="C889" s="113">
        <v>6044130</v>
      </c>
      <c r="D889" s="113" t="s">
        <v>3093</v>
      </c>
      <c r="E889" s="113" t="s">
        <v>1620</v>
      </c>
      <c r="F889" s="113" t="s">
        <v>3093</v>
      </c>
      <c r="G889" s="115" t="s">
        <v>3093</v>
      </c>
      <c r="H889" s="161">
        <v>0</v>
      </c>
      <c r="I889" s="161" t="s">
        <v>7138</v>
      </c>
    </row>
    <row r="890" spans="1:9">
      <c r="A890" s="113">
        <v>100400556</v>
      </c>
      <c r="B890" s="113" t="s">
        <v>3818</v>
      </c>
      <c r="C890" s="113">
        <v>6044131</v>
      </c>
      <c r="D890" s="113" t="s">
        <v>3093</v>
      </c>
      <c r="E890" s="113" t="s">
        <v>1620</v>
      </c>
      <c r="F890" s="113" t="s">
        <v>3093</v>
      </c>
      <c r="G890" s="115" t="s">
        <v>3093</v>
      </c>
      <c r="H890" s="161">
        <v>0</v>
      </c>
      <c r="I890" s="161" t="s">
        <v>7138</v>
      </c>
    </row>
    <row r="891" spans="1:9">
      <c r="A891" s="113">
        <v>100400557</v>
      </c>
      <c r="B891" s="113" t="s">
        <v>3819</v>
      </c>
      <c r="C891" s="113">
        <v>6044132</v>
      </c>
      <c r="D891" s="113" t="s">
        <v>3093</v>
      </c>
      <c r="E891" s="113" t="s">
        <v>1620</v>
      </c>
      <c r="F891" s="113" t="s">
        <v>3093</v>
      </c>
      <c r="G891" s="115" t="s">
        <v>3093</v>
      </c>
      <c r="H891" s="161">
        <v>0</v>
      </c>
      <c r="I891" s="161" t="s">
        <v>7138</v>
      </c>
    </row>
    <row r="892" spans="1:9">
      <c r="A892" s="113">
        <v>100400558</v>
      </c>
      <c r="B892" s="113" t="s">
        <v>3820</v>
      </c>
      <c r="C892" s="113">
        <v>6044133</v>
      </c>
      <c r="D892" s="113" t="s">
        <v>3093</v>
      </c>
      <c r="E892" s="113" t="s">
        <v>1620</v>
      </c>
      <c r="F892" s="113" t="s">
        <v>3093</v>
      </c>
      <c r="G892" s="115" t="s">
        <v>3093</v>
      </c>
      <c r="H892" s="161">
        <v>0</v>
      </c>
      <c r="I892" s="161" t="s">
        <v>7138</v>
      </c>
    </row>
    <row r="893" spans="1:9">
      <c r="A893" s="113">
        <v>100400559</v>
      </c>
      <c r="B893" s="113" t="s">
        <v>3821</v>
      </c>
      <c r="C893" s="113">
        <v>6044134</v>
      </c>
      <c r="D893" s="113" t="s">
        <v>3093</v>
      </c>
      <c r="E893" s="113" t="s">
        <v>1620</v>
      </c>
      <c r="F893" s="113" t="s">
        <v>3093</v>
      </c>
      <c r="G893" s="115" t="s">
        <v>3093</v>
      </c>
      <c r="H893" s="161">
        <v>0</v>
      </c>
      <c r="I893" s="161" t="s">
        <v>7138</v>
      </c>
    </row>
    <row r="894" spans="1:9">
      <c r="A894" s="113">
        <v>100400560</v>
      </c>
      <c r="B894" s="113" t="s">
        <v>3822</v>
      </c>
      <c r="C894" s="113">
        <v>6044135</v>
      </c>
      <c r="D894" s="113" t="s">
        <v>3093</v>
      </c>
      <c r="E894" s="113" t="s">
        <v>1620</v>
      </c>
      <c r="F894" s="113" t="s">
        <v>3093</v>
      </c>
      <c r="G894" s="115" t="s">
        <v>3093</v>
      </c>
      <c r="H894" s="161">
        <v>0</v>
      </c>
      <c r="I894" s="161" t="s">
        <v>7138</v>
      </c>
    </row>
    <row r="895" spans="1:9">
      <c r="A895" s="113">
        <v>100400561</v>
      </c>
      <c r="B895" s="113" t="s">
        <v>3823</v>
      </c>
      <c r="C895" s="113">
        <v>6044136</v>
      </c>
      <c r="D895" s="113" t="s">
        <v>3093</v>
      </c>
      <c r="E895" s="113" t="s">
        <v>1620</v>
      </c>
      <c r="F895" s="113" t="s">
        <v>3093</v>
      </c>
      <c r="G895" s="115" t="s">
        <v>3093</v>
      </c>
      <c r="H895" s="161">
        <v>61.52</v>
      </c>
      <c r="I895" s="161">
        <v>2</v>
      </c>
    </row>
    <row r="896" spans="1:9">
      <c r="A896" s="113">
        <v>100400562</v>
      </c>
      <c r="B896" s="113" t="s">
        <v>3824</v>
      </c>
      <c r="C896" s="113">
        <v>6044137</v>
      </c>
      <c r="D896" s="113" t="s">
        <v>3093</v>
      </c>
      <c r="E896" s="113" t="s">
        <v>1620</v>
      </c>
      <c r="F896" s="113" t="s">
        <v>3093</v>
      </c>
      <c r="G896" s="115" t="s">
        <v>3093</v>
      </c>
      <c r="H896" s="161">
        <v>0</v>
      </c>
      <c r="I896" s="161" t="s">
        <v>7138</v>
      </c>
    </row>
    <row r="897" spans="1:9">
      <c r="A897" s="113">
        <v>100400563</v>
      </c>
      <c r="B897" s="113" t="s">
        <v>3825</v>
      </c>
      <c r="C897" s="113">
        <v>6044138</v>
      </c>
      <c r="D897" s="113" t="s">
        <v>3093</v>
      </c>
      <c r="E897" s="113" t="s">
        <v>1620</v>
      </c>
      <c r="F897" s="113" t="s">
        <v>3093</v>
      </c>
      <c r="G897" s="115" t="s">
        <v>3093</v>
      </c>
      <c r="H897" s="161">
        <v>0</v>
      </c>
      <c r="I897" s="161" t="s">
        <v>7138</v>
      </c>
    </row>
    <row r="898" spans="1:9">
      <c r="A898" s="113">
        <v>100400564</v>
      </c>
      <c r="B898" s="113" t="s">
        <v>3826</v>
      </c>
      <c r="C898" s="113">
        <v>6044139</v>
      </c>
      <c r="D898" s="113" t="s">
        <v>3093</v>
      </c>
      <c r="E898" s="113" t="s">
        <v>1620</v>
      </c>
      <c r="F898" s="113" t="s">
        <v>3093</v>
      </c>
      <c r="G898" s="115" t="s">
        <v>3093</v>
      </c>
      <c r="H898" s="161">
        <v>0</v>
      </c>
      <c r="I898" s="161" t="s">
        <v>7138</v>
      </c>
    </row>
    <row r="899" spans="1:9">
      <c r="A899" s="113">
        <v>100400565</v>
      </c>
      <c r="B899" s="113" t="s">
        <v>3827</v>
      </c>
      <c r="C899" s="113">
        <v>6044140</v>
      </c>
      <c r="D899" s="113" t="s">
        <v>3093</v>
      </c>
      <c r="E899" s="113" t="s">
        <v>1620</v>
      </c>
      <c r="F899" s="113" t="s">
        <v>3093</v>
      </c>
      <c r="G899" s="115" t="s">
        <v>3093</v>
      </c>
      <c r="H899" s="161">
        <v>31.57</v>
      </c>
      <c r="I899" s="161">
        <v>1</v>
      </c>
    </row>
    <row r="900" spans="1:9">
      <c r="A900" s="113">
        <v>100400566</v>
      </c>
      <c r="B900" s="113" t="s">
        <v>3828</v>
      </c>
      <c r="C900" s="113">
        <v>6044145</v>
      </c>
      <c r="D900" s="113" t="s">
        <v>3093</v>
      </c>
      <c r="E900" s="113" t="s">
        <v>1620</v>
      </c>
      <c r="F900" s="113" t="s">
        <v>3093</v>
      </c>
      <c r="G900" s="115" t="s">
        <v>3093</v>
      </c>
      <c r="H900" s="161">
        <v>90.67</v>
      </c>
      <c r="I900" s="161">
        <v>2</v>
      </c>
    </row>
    <row r="901" spans="1:9">
      <c r="A901" s="113">
        <v>100400567</v>
      </c>
      <c r="B901" s="113" t="s">
        <v>3829</v>
      </c>
      <c r="C901" s="113">
        <v>6044146</v>
      </c>
      <c r="D901" s="113" t="s">
        <v>3093</v>
      </c>
      <c r="E901" s="113" t="s">
        <v>1620</v>
      </c>
      <c r="F901" s="113" t="s">
        <v>3093</v>
      </c>
      <c r="G901" s="115" t="s">
        <v>3093</v>
      </c>
      <c r="H901" s="161">
        <v>0</v>
      </c>
      <c r="I901" s="161" t="s">
        <v>7138</v>
      </c>
    </row>
    <row r="902" spans="1:9">
      <c r="A902" s="113">
        <v>100400568</v>
      </c>
      <c r="B902" s="113" t="s">
        <v>3830</v>
      </c>
      <c r="C902" s="113">
        <v>6044147</v>
      </c>
      <c r="D902" s="113" t="s">
        <v>3093</v>
      </c>
      <c r="E902" s="113" t="s">
        <v>1620</v>
      </c>
      <c r="F902" s="113" t="s">
        <v>3093</v>
      </c>
      <c r="G902" s="115" t="s">
        <v>3093</v>
      </c>
      <c r="H902" s="161">
        <v>0</v>
      </c>
      <c r="I902" s="161" t="s">
        <v>7138</v>
      </c>
    </row>
    <row r="903" spans="1:9">
      <c r="A903" s="113">
        <v>100400569</v>
      </c>
      <c r="B903" s="113" t="s">
        <v>2822</v>
      </c>
      <c r="C903" s="113">
        <v>6044153</v>
      </c>
      <c r="D903" s="113" t="s">
        <v>3093</v>
      </c>
      <c r="E903" s="113" t="s">
        <v>1620</v>
      </c>
      <c r="F903" s="113" t="s">
        <v>3093</v>
      </c>
      <c r="G903" s="115" t="s">
        <v>3093</v>
      </c>
      <c r="H903" s="161">
        <v>0</v>
      </c>
      <c r="I903" s="161" t="s">
        <v>7138</v>
      </c>
    </row>
    <row r="904" spans="1:9">
      <c r="A904" s="113">
        <v>100400570</v>
      </c>
      <c r="B904" s="113" t="s">
        <v>2823</v>
      </c>
      <c r="C904" s="113">
        <v>6044154</v>
      </c>
      <c r="D904" s="113" t="s">
        <v>3093</v>
      </c>
      <c r="E904" s="113" t="s">
        <v>1620</v>
      </c>
      <c r="F904" s="113" t="s">
        <v>3093</v>
      </c>
      <c r="G904" s="115" t="s">
        <v>3093</v>
      </c>
      <c r="H904" s="161">
        <v>0</v>
      </c>
      <c r="I904" s="161" t="s">
        <v>7138</v>
      </c>
    </row>
    <row r="905" spans="1:9">
      <c r="A905" s="113">
        <v>100400571</v>
      </c>
      <c r="B905" s="113" t="s">
        <v>2824</v>
      </c>
      <c r="C905" s="113">
        <v>6044155</v>
      </c>
      <c r="D905" s="113" t="s">
        <v>3093</v>
      </c>
      <c r="E905" s="113" t="s">
        <v>1620</v>
      </c>
      <c r="F905" s="113" t="s">
        <v>3093</v>
      </c>
      <c r="G905" s="115" t="s">
        <v>3093</v>
      </c>
      <c r="H905" s="161">
        <v>0</v>
      </c>
      <c r="I905" s="161" t="s">
        <v>7138</v>
      </c>
    </row>
    <row r="906" spans="1:9">
      <c r="A906" s="113">
        <v>100400572</v>
      </c>
      <c r="B906" s="113" t="s">
        <v>2825</v>
      </c>
      <c r="C906" s="113">
        <v>6044156</v>
      </c>
      <c r="D906" s="113" t="s">
        <v>3093</v>
      </c>
      <c r="E906" s="113" t="s">
        <v>1620</v>
      </c>
      <c r="F906" s="113" t="s">
        <v>3093</v>
      </c>
      <c r="G906" s="115" t="s">
        <v>3093</v>
      </c>
      <c r="H906" s="161">
        <v>805</v>
      </c>
      <c r="I906" s="161">
        <v>0</v>
      </c>
    </row>
    <row r="907" spans="1:9">
      <c r="A907" s="113">
        <v>100400574</v>
      </c>
      <c r="B907" s="113" t="s">
        <v>3831</v>
      </c>
      <c r="C907" s="113">
        <v>6044158</v>
      </c>
      <c r="D907" s="113" t="s">
        <v>3093</v>
      </c>
      <c r="E907" s="113" t="s">
        <v>1620</v>
      </c>
      <c r="F907" s="113" t="s">
        <v>3093</v>
      </c>
      <c r="G907" s="115" t="s">
        <v>3093</v>
      </c>
      <c r="H907" s="161">
        <v>0</v>
      </c>
      <c r="I907" s="161" t="s">
        <v>7138</v>
      </c>
    </row>
    <row r="908" spans="1:9">
      <c r="A908" s="113">
        <v>100400576</v>
      </c>
      <c r="B908" s="113" t="s">
        <v>3832</v>
      </c>
      <c r="C908" s="113">
        <v>6044160</v>
      </c>
      <c r="D908" s="113" t="s">
        <v>3093</v>
      </c>
      <c r="E908" s="113" t="s">
        <v>1620</v>
      </c>
      <c r="F908" s="113" t="s">
        <v>3093</v>
      </c>
      <c r="G908" s="115" t="s">
        <v>3093</v>
      </c>
      <c r="H908" s="161">
        <v>0</v>
      </c>
      <c r="I908" s="161" t="s">
        <v>7138</v>
      </c>
    </row>
    <row r="909" spans="1:9">
      <c r="A909" s="113">
        <v>100400577</v>
      </c>
      <c r="B909" s="113" t="s">
        <v>3833</v>
      </c>
      <c r="C909" s="113">
        <v>6044161</v>
      </c>
      <c r="D909" s="113" t="s">
        <v>3093</v>
      </c>
      <c r="E909" s="113" t="s">
        <v>1620</v>
      </c>
      <c r="F909" s="113" t="s">
        <v>3093</v>
      </c>
      <c r="G909" s="115" t="s">
        <v>3093</v>
      </c>
      <c r="H909" s="161">
        <v>90</v>
      </c>
      <c r="I909" s="161">
        <v>2</v>
      </c>
    </row>
    <row r="910" spans="1:9">
      <c r="A910" s="113">
        <v>100400579</v>
      </c>
      <c r="B910" s="113" t="s">
        <v>3834</v>
      </c>
      <c r="C910" s="113">
        <v>6044163</v>
      </c>
      <c r="D910" s="113" t="s">
        <v>3093</v>
      </c>
      <c r="E910" s="113" t="s">
        <v>1620</v>
      </c>
      <c r="F910" s="113" t="s">
        <v>3093</v>
      </c>
      <c r="G910" s="115" t="s">
        <v>3093</v>
      </c>
      <c r="H910" s="161">
        <v>0</v>
      </c>
      <c r="I910" s="161" t="s">
        <v>7138</v>
      </c>
    </row>
    <row r="911" spans="1:9">
      <c r="A911" s="113">
        <v>100400580</v>
      </c>
      <c r="B911" s="113" t="s">
        <v>3835</v>
      </c>
      <c r="C911" s="113">
        <v>6044164</v>
      </c>
      <c r="D911" s="113" t="s">
        <v>3093</v>
      </c>
      <c r="E911" s="113" t="s">
        <v>1620</v>
      </c>
      <c r="F911" s="113" t="s">
        <v>3093</v>
      </c>
      <c r="G911" s="115" t="s">
        <v>3093</v>
      </c>
      <c r="H911" s="161">
        <v>0</v>
      </c>
      <c r="I911" s="161" t="s">
        <v>7138</v>
      </c>
    </row>
    <row r="912" spans="1:9">
      <c r="A912" s="113">
        <v>100400581</v>
      </c>
      <c r="B912" s="113" t="s">
        <v>3836</v>
      </c>
      <c r="C912" s="113" t="s">
        <v>3093</v>
      </c>
      <c r="D912" s="113" t="s">
        <v>3093</v>
      </c>
      <c r="E912" s="113" t="s">
        <v>1620</v>
      </c>
      <c r="F912" s="113" t="s">
        <v>3093</v>
      </c>
      <c r="G912" s="115" t="s">
        <v>3093</v>
      </c>
      <c r="H912" s="161">
        <v>0</v>
      </c>
      <c r="I912" s="161" t="s">
        <v>7138</v>
      </c>
    </row>
    <row r="913" spans="1:9">
      <c r="A913" s="113">
        <v>100400582</v>
      </c>
      <c r="B913" s="113" t="s">
        <v>3837</v>
      </c>
      <c r="C913" s="113">
        <v>6044166</v>
      </c>
      <c r="D913" s="113" t="s">
        <v>3093</v>
      </c>
      <c r="E913" s="113" t="s">
        <v>1620</v>
      </c>
      <c r="F913" s="113" t="s">
        <v>3093</v>
      </c>
      <c r="G913" s="115" t="s">
        <v>3093</v>
      </c>
      <c r="H913" s="161">
        <v>0</v>
      </c>
      <c r="I913" s="161" t="s">
        <v>7138</v>
      </c>
    </row>
    <row r="914" spans="1:9">
      <c r="A914" s="113">
        <v>100400583</v>
      </c>
      <c r="B914" s="113" t="s">
        <v>3838</v>
      </c>
      <c r="C914" s="113">
        <v>6044167</v>
      </c>
      <c r="D914" s="113" t="s">
        <v>3093</v>
      </c>
      <c r="E914" s="113" t="s">
        <v>1620</v>
      </c>
      <c r="F914" s="113" t="s">
        <v>3093</v>
      </c>
      <c r="G914" s="115" t="s">
        <v>3093</v>
      </c>
      <c r="H914" s="161">
        <v>132.94999999999999</v>
      </c>
      <c r="I914" s="161">
        <v>2</v>
      </c>
    </row>
    <row r="915" spans="1:9">
      <c r="A915" s="113">
        <v>100400585</v>
      </c>
      <c r="B915" s="113" t="s">
        <v>2826</v>
      </c>
      <c r="C915" s="113">
        <v>6044169</v>
      </c>
      <c r="D915" s="113" t="s">
        <v>3093</v>
      </c>
      <c r="E915" s="113" t="s">
        <v>1620</v>
      </c>
      <c r="F915" s="113" t="s">
        <v>3093</v>
      </c>
      <c r="G915" s="115" t="s">
        <v>3093</v>
      </c>
      <c r="H915" s="161">
        <v>0</v>
      </c>
      <c r="I915" s="161" t="s">
        <v>7138</v>
      </c>
    </row>
    <row r="916" spans="1:9">
      <c r="A916" s="113">
        <v>100400586</v>
      </c>
      <c r="B916" s="113" t="s">
        <v>2827</v>
      </c>
      <c r="C916" s="113">
        <v>6044170</v>
      </c>
      <c r="D916" s="113" t="s">
        <v>3093</v>
      </c>
      <c r="E916" s="113" t="s">
        <v>1620</v>
      </c>
      <c r="F916" s="113" t="s">
        <v>3093</v>
      </c>
      <c r="G916" s="115" t="s">
        <v>3093</v>
      </c>
      <c r="H916" s="161">
        <v>0</v>
      </c>
      <c r="I916" s="161" t="s">
        <v>7138</v>
      </c>
    </row>
    <row r="917" spans="1:9">
      <c r="A917" s="113">
        <v>100400587</v>
      </c>
      <c r="B917" s="113" t="s">
        <v>3839</v>
      </c>
      <c r="C917" s="113">
        <v>6044171</v>
      </c>
      <c r="D917" s="113" t="s">
        <v>3093</v>
      </c>
      <c r="E917" s="113" t="s">
        <v>1620</v>
      </c>
      <c r="F917" s="113" t="s">
        <v>3093</v>
      </c>
      <c r="G917" s="115" t="s">
        <v>3093</v>
      </c>
      <c r="H917" s="161">
        <v>68</v>
      </c>
      <c r="I917" s="161">
        <v>2</v>
      </c>
    </row>
    <row r="918" spans="1:9">
      <c r="A918" s="113">
        <v>100400588</v>
      </c>
      <c r="B918" s="113" t="s">
        <v>3840</v>
      </c>
      <c r="C918" s="113">
        <v>6044172</v>
      </c>
      <c r="D918" s="113" t="s">
        <v>3093</v>
      </c>
      <c r="E918" s="113" t="s">
        <v>1620</v>
      </c>
      <c r="F918" s="113" t="s">
        <v>3093</v>
      </c>
      <c r="G918" s="115" t="s">
        <v>3093</v>
      </c>
      <c r="H918" s="161">
        <v>0</v>
      </c>
      <c r="I918" s="161" t="s">
        <v>7138</v>
      </c>
    </row>
    <row r="919" spans="1:9">
      <c r="A919" s="113">
        <v>100400589</v>
      </c>
      <c r="B919" s="113" t="s">
        <v>3841</v>
      </c>
      <c r="C919" s="113">
        <v>6044173</v>
      </c>
      <c r="D919" s="113" t="s">
        <v>3093</v>
      </c>
      <c r="E919" s="113" t="s">
        <v>1620</v>
      </c>
      <c r="F919" s="113" t="s">
        <v>3093</v>
      </c>
      <c r="G919" s="115" t="s">
        <v>3093</v>
      </c>
      <c r="H919" s="161">
        <v>57</v>
      </c>
      <c r="I919" s="161">
        <v>2</v>
      </c>
    </row>
    <row r="920" spans="1:9">
      <c r="A920" s="113">
        <v>100400590</v>
      </c>
      <c r="B920" s="113" t="s">
        <v>3842</v>
      </c>
      <c r="C920" s="113">
        <v>6044174</v>
      </c>
      <c r="D920" s="113" t="s">
        <v>3093</v>
      </c>
      <c r="E920" s="113" t="s">
        <v>1620</v>
      </c>
      <c r="F920" s="113" t="s">
        <v>3093</v>
      </c>
      <c r="G920" s="115" t="s">
        <v>3093</v>
      </c>
      <c r="H920" s="161">
        <v>68</v>
      </c>
      <c r="I920" s="161">
        <v>2</v>
      </c>
    </row>
    <row r="921" spans="1:9">
      <c r="A921" s="113">
        <v>100400591</v>
      </c>
      <c r="B921" s="113" t="s">
        <v>3843</v>
      </c>
      <c r="C921" s="113">
        <v>6044175</v>
      </c>
      <c r="D921" s="113" t="s">
        <v>3093</v>
      </c>
      <c r="E921" s="113" t="s">
        <v>1620</v>
      </c>
      <c r="F921" s="113" t="s">
        <v>3093</v>
      </c>
      <c r="G921" s="115" t="s">
        <v>3093</v>
      </c>
      <c r="H921" s="161">
        <v>110.25</v>
      </c>
      <c r="I921" s="161">
        <v>2</v>
      </c>
    </row>
    <row r="922" spans="1:9">
      <c r="A922" s="113">
        <v>100400593</v>
      </c>
      <c r="B922" s="113" t="s">
        <v>3844</v>
      </c>
      <c r="C922" s="113">
        <v>6044177</v>
      </c>
      <c r="D922" s="113" t="s">
        <v>3093</v>
      </c>
      <c r="E922" s="113" t="s">
        <v>1620</v>
      </c>
      <c r="F922" s="113" t="s">
        <v>3093</v>
      </c>
      <c r="G922" s="115" t="s">
        <v>3093</v>
      </c>
      <c r="H922" s="161">
        <v>0</v>
      </c>
      <c r="I922" s="161" t="s">
        <v>7138</v>
      </c>
    </row>
    <row r="923" spans="1:9">
      <c r="A923" s="113">
        <v>100400594</v>
      </c>
      <c r="B923" s="113" t="s">
        <v>3845</v>
      </c>
      <c r="C923" s="113">
        <v>6044178</v>
      </c>
      <c r="D923" s="113" t="s">
        <v>3093</v>
      </c>
      <c r="E923" s="113" t="s">
        <v>1620</v>
      </c>
      <c r="F923" s="113" t="s">
        <v>3093</v>
      </c>
      <c r="G923" s="115" t="s">
        <v>3093</v>
      </c>
      <c r="H923" s="161">
        <v>0</v>
      </c>
      <c r="I923" s="161" t="s">
        <v>7138</v>
      </c>
    </row>
    <row r="924" spans="1:9">
      <c r="A924" s="113">
        <v>100400595</v>
      </c>
      <c r="B924" s="113" t="s">
        <v>3846</v>
      </c>
      <c r="C924" s="113">
        <v>6044179</v>
      </c>
      <c r="D924" s="113" t="s">
        <v>3093</v>
      </c>
      <c r="E924" s="113" t="s">
        <v>1620</v>
      </c>
      <c r="F924" s="113" t="s">
        <v>3093</v>
      </c>
      <c r="G924" s="115" t="s">
        <v>3093</v>
      </c>
      <c r="H924" s="161">
        <v>110.25</v>
      </c>
      <c r="I924" s="161">
        <v>2</v>
      </c>
    </row>
    <row r="925" spans="1:9">
      <c r="A925" s="113">
        <v>100400596</v>
      </c>
      <c r="B925" s="113" t="s">
        <v>3847</v>
      </c>
      <c r="C925" s="113">
        <v>6044180</v>
      </c>
      <c r="D925" s="113" t="s">
        <v>3093</v>
      </c>
      <c r="E925" s="113" t="s">
        <v>1620</v>
      </c>
      <c r="F925" s="113" t="s">
        <v>3093</v>
      </c>
      <c r="G925" s="115" t="s">
        <v>3093</v>
      </c>
      <c r="H925" s="161">
        <v>0</v>
      </c>
      <c r="I925" s="161" t="s">
        <v>7138</v>
      </c>
    </row>
    <row r="926" spans="1:9">
      <c r="A926" s="113">
        <v>100400597</v>
      </c>
      <c r="B926" s="113" t="s">
        <v>3848</v>
      </c>
      <c r="C926" s="113">
        <v>6044181</v>
      </c>
      <c r="D926" s="113" t="s">
        <v>3093</v>
      </c>
      <c r="E926" s="113" t="s">
        <v>1620</v>
      </c>
      <c r="F926" s="113" t="s">
        <v>3093</v>
      </c>
      <c r="G926" s="115" t="s">
        <v>3093</v>
      </c>
      <c r="H926" s="161">
        <v>0</v>
      </c>
      <c r="I926" s="161" t="s">
        <v>7138</v>
      </c>
    </row>
    <row r="927" spans="1:9">
      <c r="A927" s="113">
        <v>100400598</v>
      </c>
      <c r="B927" s="113" t="s">
        <v>3849</v>
      </c>
      <c r="C927" s="113">
        <v>6044187</v>
      </c>
      <c r="D927" s="113" t="s">
        <v>3093</v>
      </c>
      <c r="E927" s="113" t="s">
        <v>1620</v>
      </c>
      <c r="F927" s="113" t="s">
        <v>3093</v>
      </c>
      <c r="G927" s="115" t="s">
        <v>3093</v>
      </c>
      <c r="H927" s="161">
        <v>0</v>
      </c>
      <c r="I927" s="161" t="s">
        <v>7138</v>
      </c>
    </row>
    <row r="928" spans="1:9">
      <c r="A928" s="113">
        <v>100400599</v>
      </c>
      <c r="B928" s="113" t="s">
        <v>3850</v>
      </c>
      <c r="C928" s="113">
        <v>6044188</v>
      </c>
      <c r="D928" s="113" t="s">
        <v>3093</v>
      </c>
      <c r="E928" s="113" t="s">
        <v>1620</v>
      </c>
      <c r="F928" s="113" t="s">
        <v>3093</v>
      </c>
      <c r="G928" s="115" t="s">
        <v>3093</v>
      </c>
      <c r="H928" s="161">
        <v>0</v>
      </c>
      <c r="I928" s="161" t="s">
        <v>7138</v>
      </c>
    </row>
    <row r="929" spans="1:9">
      <c r="A929" s="113">
        <v>100400600</v>
      </c>
      <c r="B929" s="113" t="s">
        <v>3851</v>
      </c>
      <c r="C929" s="113">
        <v>6044189</v>
      </c>
      <c r="D929" s="113" t="s">
        <v>3093</v>
      </c>
      <c r="E929" s="113" t="s">
        <v>1620</v>
      </c>
      <c r="F929" s="113" t="s">
        <v>3093</v>
      </c>
      <c r="G929" s="115" t="s">
        <v>3093</v>
      </c>
      <c r="H929" s="161">
        <v>0</v>
      </c>
      <c r="I929" s="161" t="s">
        <v>7138</v>
      </c>
    </row>
    <row r="930" spans="1:9">
      <c r="A930" s="113">
        <v>100400601</v>
      </c>
      <c r="B930" s="113" t="s">
        <v>3852</v>
      </c>
      <c r="C930" s="113">
        <v>6044190</v>
      </c>
      <c r="D930" s="113" t="s">
        <v>3093</v>
      </c>
      <c r="E930" s="113" t="s">
        <v>1620</v>
      </c>
      <c r="F930" s="113" t="s">
        <v>3093</v>
      </c>
      <c r="G930" s="115" t="s">
        <v>3093</v>
      </c>
      <c r="H930" s="161">
        <v>0</v>
      </c>
      <c r="I930" s="161" t="s">
        <v>7138</v>
      </c>
    </row>
    <row r="931" spans="1:9">
      <c r="A931" s="113">
        <v>100400602</v>
      </c>
      <c r="B931" s="113" t="s">
        <v>3853</v>
      </c>
      <c r="C931" s="113">
        <v>6044191</v>
      </c>
      <c r="D931" s="113" t="s">
        <v>3093</v>
      </c>
      <c r="E931" s="113" t="s">
        <v>1620</v>
      </c>
      <c r="F931" s="113" t="s">
        <v>3093</v>
      </c>
      <c r="G931" s="115" t="s">
        <v>3093</v>
      </c>
      <c r="H931" s="161">
        <v>0</v>
      </c>
      <c r="I931" s="161" t="s">
        <v>7138</v>
      </c>
    </row>
    <row r="932" spans="1:9">
      <c r="A932" s="113">
        <v>100400603</v>
      </c>
      <c r="B932" s="113" t="s">
        <v>3854</v>
      </c>
      <c r="C932" s="113">
        <v>6044192</v>
      </c>
      <c r="D932" s="113" t="s">
        <v>3093</v>
      </c>
      <c r="E932" s="113" t="s">
        <v>1620</v>
      </c>
      <c r="F932" s="113" t="s">
        <v>3093</v>
      </c>
      <c r="G932" s="115" t="s">
        <v>3093</v>
      </c>
      <c r="H932" s="161">
        <v>0</v>
      </c>
      <c r="I932" s="161" t="s">
        <v>7138</v>
      </c>
    </row>
    <row r="933" spans="1:9">
      <c r="A933" s="113">
        <v>100400604</v>
      </c>
      <c r="B933" s="113" t="s">
        <v>3855</v>
      </c>
      <c r="C933" s="113">
        <v>6044193</v>
      </c>
      <c r="D933" s="113" t="s">
        <v>3093</v>
      </c>
      <c r="E933" s="113" t="s">
        <v>1620</v>
      </c>
      <c r="F933" s="113" t="s">
        <v>3093</v>
      </c>
      <c r="G933" s="115" t="s">
        <v>3093</v>
      </c>
      <c r="H933" s="161">
        <v>0</v>
      </c>
      <c r="I933" s="161" t="s">
        <v>7138</v>
      </c>
    </row>
    <row r="934" spans="1:9">
      <c r="A934" s="113">
        <v>100400605</v>
      </c>
      <c r="B934" s="113" t="s">
        <v>3856</v>
      </c>
      <c r="C934" s="113">
        <v>6044194</v>
      </c>
      <c r="D934" s="113" t="s">
        <v>3093</v>
      </c>
      <c r="E934" s="113" t="s">
        <v>1620</v>
      </c>
      <c r="F934" s="113" t="s">
        <v>3093</v>
      </c>
      <c r="G934" s="115" t="s">
        <v>3093</v>
      </c>
      <c r="H934" s="161">
        <v>0</v>
      </c>
      <c r="I934" s="161" t="s">
        <v>7138</v>
      </c>
    </row>
    <row r="935" spans="1:9">
      <c r="A935" s="113">
        <v>100400607</v>
      </c>
      <c r="B935" s="113" t="s">
        <v>3857</v>
      </c>
      <c r="C935" s="113">
        <v>6044196</v>
      </c>
      <c r="D935" s="113" t="s">
        <v>3093</v>
      </c>
      <c r="E935" s="113" t="s">
        <v>1620</v>
      </c>
      <c r="F935" s="113" t="s">
        <v>3093</v>
      </c>
      <c r="G935" s="115" t="s">
        <v>3093</v>
      </c>
      <c r="H935" s="161">
        <v>0</v>
      </c>
      <c r="I935" s="161" t="s">
        <v>7138</v>
      </c>
    </row>
    <row r="936" spans="1:9">
      <c r="A936" s="113">
        <v>100400608</v>
      </c>
      <c r="B936" s="113" t="s">
        <v>3858</v>
      </c>
      <c r="C936" s="113">
        <v>6044197</v>
      </c>
      <c r="D936" s="113" t="s">
        <v>3093</v>
      </c>
      <c r="E936" s="113" t="s">
        <v>1620</v>
      </c>
      <c r="F936" s="113" t="s">
        <v>3093</v>
      </c>
      <c r="G936" s="115" t="s">
        <v>3093</v>
      </c>
      <c r="H936" s="161">
        <v>0</v>
      </c>
      <c r="I936" s="161" t="s">
        <v>7138</v>
      </c>
    </row>
    <row r="937" spans="1:9">
      <c r="A937" s="113">
        <v>100400609</v>
      </c>
      <c r="B937" s="113" t="s">
        <v>3859</v>
      </c>
      <c r="C937" s="113">
        <v>6044198</v>
      </c>
      <c r="D937" s="113" t="s">
        <v>3093</v>
      </c>
      <c r="E937" s="113" t="s">
        <v>1620</v>
      </c>
      <c r="F937" s="113" t="s">
        <v>3093</v>
      </c>
      <c r="G937" s="115" t="s">
        <v>3093</v>
      </c>
      <c r="H937" s="161">
        <v>0</v>
      </c>
      <c r="I937" s="161" t="s">
        <v>7138</v>
      </c>
    </row>
    <row r="938" spans="1:9">
      <c r="A938" s="113">
        <v>100400610</v>
      </c>
      <c r="B938" s="113" t="s">
        <v>3860</v>
      </c>
      <c r="C938" s="113">
        <v>6044199</v>
      </c>
      <c r="D938" s="113" t="s">
        <v>3093</v>
      </c>
      <c r="E938" s="113" t="s">
        <v>1620</v>
      </c>
      <c r="F938" s="113" t="s">
        <v>3093</v>
      </c>
      <c r="G938" s="115" t="s">
        <v>3093</v>
      </c>
      <c r="H938" s="161">
        <v>0</v>
      </c>
      <c r="I938" s="161" t="s">
        <v>7138</v>
      </c>
    </row>
    <row r="939" spans="1:9">
      <c r="A939" s="113">
        <v>100400612</v>
      </c>
      <c r="B939" s="113" t="s">
        <v>2828</v>
      </c>
      <c r="C939" s="113">
        <v>6044201</v>
      </c>
      <c r="D939" s="113" t="s">
        <v>3093</v>
      </c>
      <c r="E939" s="113" t="s">
        <v>1620</v>
      </c>
      <c r="F939" s="113" t="s">
        <v>3093</v>
      </c>
      <c r="G939" s="115" t="s">
        <v>3093</v>
      </c>
      <c r="H939" s="161">
        <v>0</v>
      </c>
      <c r="I939" s="161" t="s">
        <v>7138</v>
      </c>
    </row>
    <row r="940" spans="1:9">
      <c r="A940" s="113">
        <v>100400613</v>
      </c>
      <c r="B940" s="113" t="s">
        <v>2829</v>
      </c>
      <c r="C940" s="113">
        <v>6044202</v>
      </c>
      <c r="D940" s="113" t="s">
        <v>3093</v>
      </c>
      <c r="E940" s="113" t="s">
        <v>1620</v>
      </c>
      <c r="F940" s="113" t="s">
        <v>3093</v>
      </c>
      <c r="G940" s="115" t="s">
        <v>3093</v>
      </c>
      <c r="H940" s="161">
        <v>19.079999999999998</v>
      </c>
      <c r="I940" s="161">
        <v>2</v>
      </c>
    </row>
    <row r="941" spans="1:9">
      <c r="A941" s="113">
        <v>100400614</v>
      </c>
      <c r="B941" s="113" t="s">
        <v>2830</v>
      </c>
      <c r="C941" s="113">
        <v>6044203</v>
      </c>
      <c r="D941" s="113" t="s">
        <v>3093</v>
      </c>
      <c r="E941" s="113" t="s">
        <v>1620</v>
      </c>
      <c r="F941" s="113" t="s">
        <v>3093</v>
      </c>
      <c r="G941" s="115" t="s">
        <v>3093</v>
      </c>
      <c r="H941" s="161">
        <v>19.079999999999998</v>
      </c>
      <c r="I941" s="161">
        <v>2</v>
      </c>
    </row>
    <row r="942" spans="1:9">
      <c r="A942" s="113">
        <v>100400615</v>
      </c>
      <c r="B942" s="113" t="s">
        <v>3861</v>
      </c>
      <c r="C942" s="113">
        <v>6044204</v>
      </c>
      <c r="D942" s="113" t="s">
        <v>3093</v>
      </c>
      <c r="E942" s="113" t="s">
        <v>1620</v>
      </c>
      <c r="F942" s="113" t="s">
        <v>3093</v>
      </c>
      <c r="G942" s="115" t="s">
        <v>3093</v>
      </c>
      <c r="H942" s="161">
        <v>0</v>
      </c>
      <c r="I942" s="161" t="s">
        <v>7138</v>
      </c>
    </row>
    <row r="943" spans="1:9">
      <c r="A943" s="113">
        <v>100400616</v>
      </c>
      <c r="B943" s="113" t="s">
        <v>2831</v>
      </c>
      <c r="C943" s="113">
        <v>6044205</v>
      </c>
      <c r="D943" s="113" t="s">
        <v>3093</v>
      </c>
      <c r="E943" s="113" t="s">
        <v>1620</v>
      </c>
      <c r="F943" s="113" t="s">
        <v>3093</v>
      </c>
      <c r="G943" s="115" t="s">
        <v>3093</v>
      </c>
      <c r="H943" s="161">
        <v>0</v>
      </c>
      <c r="I943" s="161" t="s">
        <v>7138</v>
      </c>
    </row>
    <row r="944" spans="1:9">
      <c r="A944" s="113">
        <v>100400617</v>
      </c>
      <c r="B944" s="113" t="s">
        <v>2832</v>
      </c>
      <c r="C944" s="113">
        <v>6044206</v>
      </c>
      <c r="D944" s="113" t="s">
        <v>3093</v>
      </c>
      <c r="E944" s="113" t="s">
        <v>1620</v>
      </c>
      <c r="F944" s="113" t="s">
        <v>3093</v>
      </c>
      <c r="G944" s="115" t="s">
        <v>3093</v>
      </c>
      <c r="H944" s="161">
        <v>0</v>
      </c>
      <c r="I944" s="161" t="s">
        <v>7138</v>
      </c>
    </row>
    <row r="945" spans="1:9">
      <c r="A945" s="113">
        <v>100400618</v>
      </c>
      <c r="B945" s="113" t="s">
        <v>3862</v>
      </c>
      <c r="C945" s="113">
        <v>6044207</v>
      </c>
      <c r="D945" s="113" t="s">
        <v>3093</v>
      </c>
      <c r="E945" s="113" t="s">
        <v>1620</v>
      </c>
      <c r="F945" s="113" t="s">
        <v>3093</v>
      </c>
      <c r="G945" s="115" t="s">
        <v>3093</v>
      </c>
      <c r="H945" s="161">
        <v>0</v>
      </c>
      <c r="I945" s="161" t="s">
        <v>7138</v>
      </c>
    </row>
    <row r="946" spans="1:9">
      <c r="A946" s="113">
        <v>100400619</v>
      </c>
      <c r="B946" s="113" t="s">
        <v>3863</v>
      </c>
      <c r="C946" s="113">
        <v>6044208</v>
      </c>
      <c r="D946" s="113" t="s">
        <v>3093</v>
      </c>
      <c r="E946" s="113" t="s">
        <v>1620</v>
      </c>
      <c r="F946" s="113" t="s">
        <v>3093</v>
      </c>
      <c r="G946" s="115" t="s">
        <v>3093</v>
      </c>
      <c r="H946" s="161">
        <v>0</v>
      </c>
      <c r="I946" s="161" t="s">
        <v>7138</v>
      </c>
    </row>
    <row r="947" spans="1:9">
      <c r="A947" s="113">
        <v>100400620</v>
      </c>
      <c r="B947" s="113" t="s">
        <v>3864</v>
      </c>
      <c r="C947" s="113">
        <v>6044209</v>
      </c>
      <c r="D947" s="113" t="s">
        <v>3093</v>
      </c>
      <c r="E947" s="113" t="s">
        <v>1620</v>
      </c>
      <c r="F947" s="113" t="s">
        <v>3093</v>
      </c>
      <c r="G947" s="115" t="s">
        <v>3093</v>
      </c>
      <c r="H947" s="161">
        <v>0</v>
      </c>
      <c r="I947" s="161" t="s">
        <v>7138</v>
      </c>
    </row>
    <row r="948" spans="1:9">
      <c r="A948" s="113">
        <v>100400621</v>
      </c>
      <c r="B948" s="113" t="s">
        <v>3865</v>
      </c>
      <c r="C948" s="113">
        <v>6044210</v>
      </c>
      <c r="D948" s="113" t="s">
        <v>3093</v>
      </c>
      <c r="E948" s="113" t="s">
        <v>1620</v>
      </c>
      <c r="F948" s="113" t="s">
        <v>3093</v>
      </c>
      <c r="G948" s="115" t="s">
        <v>3093</v>
      </c>
      <c r="H948" s="161">
        <v>0</v>
      </c>
      <c r="I948" s="161" t="s">
        <v>7138</v>
      </c>
    </row>
    <row r="949" spans="1:9">
      <c r="A949" s="113">
        <v>100400622</v>
      </c>
      <c r="B949" s="113" t="s">
        <v>3866</v>
      </c>
      <c r="C949" s="113">
        <v>6044211</v>
      </c>
      <c r="D949" s="113" t="s">
        <v>3093</v>
      </c>
      <c r="E949" s="113" t="s">
        <v>1620</v>
      </c>
      <c r="F949" s="113" t="s">
        <v>3093</v>
      </c>
      <c r="G949" s="115" t="s">
        <v>3093</v>
      </c>
      <c r="H949" s="161">
        <v>0</v>
      </c>
      <c r="I949" s="161" t="s">
        <v>7138</v>
      </c>
    </row>
    <row r="950" spans="1:9">
      <c r="A950" s="113">
        <v>100400623</v>
      </c>
      <c r="B950" s="113" t="s">
        <v>3867</v>
      </c>
      <c r="C950" s="113">
        <v>6044213</v>
      </c>
      <c r="D950" s="113" t="s">
        <v>3093</v>
      </c>
      <c r="E950" s="113" t="s">
        <v>1620</v>
      </c>
      <c r="F950" s="113" t="s">
        <v>3093</v>
      </c>
      <c r="G950" s="115" t="s">
        <v>3093</v>
      </c>
      <c r="H950" s="161">
        <v>7.39</v>
      </c>
      <c r="I950" s="161">
        <v>1</v>
      </c>
    </row>
    <row r="951" spans="1:9">
      <c r="A951" s="113">
        <v>100400624</v>
      </c>
      <c r="B951" s="113" t="s">
        <v>3868</v>
      </c>
      <c r="C951" s="113">
        <v>6044214</v>
      </c>
      <c r="D951" s="113" t="s">
        <v>3093</v>
      </c>
      <c r="E951" s="113" t="s">
        <v>1620</v>
      </c>
      <c r="F951" s="113" t="s">
        <v>3093</v>
      </c>
      <c r="G951" s="115" t="s">
        <v>3093</v>
      </c>
      <c r="H951" s="161">
        <v>54.77</v>
      </c>
      <c r="I951" s="161">
        <v>2</v>
      </c>
    </row>
    <row r="952" spans="1:9">
      <c r="A952" s="113">
        <v>100400625</v>
      </c>
      <c r="B952" s="113" t="s">
        <v>3869</v>
      </c>
      <c r="C952" s="113">
        <v>6044215</v>
      </c>
      <c r="D952" s="113" t="s">
        <v>3093</v>
      </c>
      <c r="E952" s="113" t="s">
        <v>1620</v>
      </c>
      <c r="F952" s="113" t="s">
        <v>3093</v>
      </c>
      <c r="G952" s="115" t="s">
        <v>3093</v>
      </c>
      <c r="H952" s="161">
        <v>109.38</v>
      </c>
      <c r="I952" s="161">
        <v>4</v>
      </c>
    </row>
    <row r="953" spans="1:9">
      <c r="A953" s="113">
        <v>100400626</v>
      </c>
      <c r="B953" s="113" t="s">
        <v>3870</v>
      </c>
      <c r="C953" s="113">
        <v>6044216</v>
      </c>
      <c r="D953" s="113" t="s">
        <v>3093</v>
      </c>
      <c r="E953" s="113" t="s">
        <v>1620</v>
      </c>
      <c r="F953" s="113" t="s">
        <v>3093</v>
      </c>
      <c r="G953" s="115" t="s">
        <v>3093</v>
      </c>
      <c r="H953" s="161">
        <v>109.38</v>
      </c>
      <c r="I953" s="161">
        <v>1</v>
      </c>
    </row>
    <row r="954" spans="1:9">
      <c r="A954" s="113">
        <v>100400627</v>
      </c>
      <c r="B954" s="113" t="s">
        <v>3871</v>
      </c>
      <c r="C954" s="113">
        <v>6044217</v>
      </c>
      <c r="D954" s="113" t="s">
        <v>3093</v>
      </c>
      <c r="E954" s="113" t="s">
        <v>1620</v>
      </c>
      <c r="F954" s="113" t="s">
        <v>3093</v>
      </c>
      <c r="G954" s="115" t="s">
        <v>3093</v>
      </c>
      <c r="H954" s="161">
        <v>5.75</v>
      </c>
      <c r="I954" s="161">
        <v>1</v>
      </c>
    </row>
    <row r="955" spans="1:9">
      <c r="A955" s="113">
        <v>100400628</v>
      </c>
      <c r="B955" s="113" t="s">
        <v>3872</v>
      </c>
      <c r="C955" s="113">
        <v>6044218</v>
      </c>
      <c r="D955" s="113" t="s">
        <v>3093</v>
      </c>
      <c r="E955" s="113" t="s">
        <v>1620</v>
      </c>
      <c r="F955" s="113" t="s">
        <v>3093</v>
      </c>
      <c r="G955" s="115" t="s">
        <v>3093</v>
      </c>
      <c r="H955" s="161">
        <v>109.38</v>
      </c>
      <c r="I955" s="161">
        <v>3</v>
      </c>
    </row>
    <row r="956" spans="1:9">
      <c r="A956" s="113">
        <v>100400629</v>
      </c>
      <c r="B956" s="113" t="s">
        <v>3873</v>
      </c>
      <c r="C956" s="113">
        <v>6044219</v>
      </c>
      <c r="D956" s="113" t="s">
        <v>3093</v>
      </c>
      <c r="E956" s="113" t="s">
        <v>1620</v>
      </c>
      <c r="F956" s="113" t="s">
        <v>3093</v>
      </c>
      <c r="G956" s="115" t="s">
        <v>3093</v>
      </c>
      <c r="H956" s="161">
        <v>7.39</v>
      </c>
      <c r="I956" s="161">
        <v>3</v>
      </c>
    </row>
    <row r="957" spans="1:9">
      <c r="A957" s="113">
        <v>100400630</v>
      </c>
      <c r="B957" s="113" t="s">
        <v>3874</v>
      </c>
      <c r="C957" s="113">
        <v>6044220</v>
      </c>
      <c r="D957" s="113" t="s">
        <v>3093</v>
      </c>
      <c r="E957" s="113" t="s">
        <v>1620</v>
      </c>
      <c r="F957" s="113" t="s">
        <v>3093</v>
      </c>
      <c r="G957" s="115" t="s">
        <v>3093</v>
      </c>
      <c r="H957" s="161">
        <v>7.39</v>
      </c>
      <c r="I957" s="161">
        <v>2</v>
      </c>
    </row>
    <row r="958" spans="1:9">
      <c r="A958" s="113">
        <v>100400631</v>
      </c>
      <c r="B958" s="113" t="s">
        <v>3875</v>
      </c>
      <c r="C958" s="113">
        <v>6044221</v>
      </c>
      <c r="D958" s="113" t="s">
        <v>3093</v>
      </c>
      <c r="E958" s="113" t="s">
        <v>1620</v>
      </c>
      <c r="F958" s="113" t="s">
        <v>3093</v>
      </c>
      <c r="G958" s="115" t="s">
        <v>3093</v>
      </c>
      <c r="H958" s="161">
        <v>0</v>
      </c>
      <c r="I958" s="161" t="s">
        <v>7138</v>
      </c>
    </row>
    <row r="959" spans="1:9">
      <c r="A959" s="113">
        <v>100400632</v>
      </c>
      <c r="B959" s="113" t="s">
        <v>3876</v>
      </c>
      <c r="C959" s="113">
        <v>6044222</v>
      </c>
      <c r="D959" s="113" t="s">
        <v>3093</v>
      </c>
      <c r="E959" s="113" t="s">
        <v>1620</v>
      </c>
      <c r="F959" s="113" t="s">
        <v>3093</v>
      </c>
      <c r="G959" s="115" t="s">
        <v>3093</v>
      </c>
      <c r="H959" s="161">
        <v>0</v>
      </c>
      <c r="I959" s="161" t="s">
        <v>7138</v>
      </c>
    </row>
    <row r="960" spans="1:9">
      <c r="A960" s="113">
        <v>100400633</v>
      </c>
      <c r="B960" s="113" t="s">
        <v>3877</v>
      </c>
      <c r="C960" s="113">
        <v>6044223</v>
      </c>
      <c r="D960" s="113" t="s">
        <v>3093</v>
      </c>
      <c r="E960" s="113" t="s">
        <v>1620</v>
      </c>
      <c r="F960" s="113" t="s">
        <v>3093</v>
      </c>
      <c r="G960" s="115" t="s">
        <v>3093</v>
      </c>
      <c r="H960" s="161">
        <v>0</v>
      </c>
      <c r="I960" s="161" t="s">
        <v>7138</v>
      </c>
    </row>
    <row r="961" spans="1:9">
      <c r="A961" s="113">
        <v>100400636</v>
      </c>
      <c r="B961" s="113" t="s">
        <v>3878</v>
      </c>
      <c r="C961" s="113">
        <v>6045031</v>
      </c>
      <c r="D961" s="113" t="s">
        <v>3093</v>
      </c>
      <c r="E961" s="113" t="s">
        <v>1620</v>
      </c>
      <c r="F961" s="113" t="s">
        <v>3093</v>
      </c>
      <c r="G961" s="115" t="s">
        <v>3093</v>
      </c>
      <c r="H961" s="161">
        <v>0</v>
      </c>
      <c r="I961" s="161" t="s">
        <v>7138</v>
      </c>
    </row>
    <row r="962" spans="1:9">
      <c r="A962" s="113">
        <v>100400637</v>
      </c>
      <c r="B962" s="113" t="s">
        <v>3879</v>
      </c>
      <c r="C962" s="113">
        <v>6045032</v>
      </c>
      <c r="D962" s="113" t="s">
        <v>3093</v>
      </c>
      <c r="E962" s="113" t="s">
        <v>1620</v>
      </c>
      <c r="F962" s="113" t="s">
        <v>3093</v>
      </c>
      <c r="G962" s="115" t="s">
        <v>3093</v>
      </c>
      <c r="H962" s="161">
        <v>0</v>
      </c>
      <c r="I962" s="161" t="s">
        <v>7138</v>
      </c>
    </row>
    <row r="963" spans="1:9">
      <c r="A963" s="113">
        <v>100400638</v>
      </c>
      <c r="B963" s="113" t="s">
        <v>3880</v>
      </c>
      <c r="C963" s="113">
        <v>6045051</v>
      </c>
      <c r="D963" s="113" t="s">
        <v>3093</v>
      </c>
      <c r="E963" s="113" t="s">
        <v>1620</v>
      </c>
      <c r="F963" s="113" t="s">
        <v>3093</v>
      </c>
      <c r="G963" s="115" t="s">
        <v>3093</v>
      </c>
      <c r="H963" s="161">
        <v>0</v>
      </c>
      <c r="I963" s="161" t="s">
        <v>7138</v>
      </c>
    </row>
    <row r="964" spans="1:9">
      <c r="A964" s="113">
        <v>100400639</v>
      </c>
      <c r="B964" s="113" t="s">
        <v>3881</v>
      </c>
      <c r="C964" s="113">
        <v>6045052</v>
      </c>
      <c r="D964" s="113" t="s">
        <v>3093</v>
      </c>
      <c r="E964" s="113" t="s">
        <v>1620</v>
      </c>
      <c r="F964" s="113" t="s">
        <v>3093</v>
      </c>
      <c r="G964" s="115" t="s">
        <v>3093</v>
      </c>
      <c r="H964" s="161">
        <v>0</v>
      </c>
      <c r="I964" s="161" t="s">
        <v>7138</v>
      </c>
    </row>
    <row r="965" spans="1:9">
      <c r="A965" s="113">
        <v>100400640</v>
      </c>
      <c r="B965" s="113" t="s">
        <v>3882</v>
      </c>
      <c r="C965" s="113">
        <v>6045053</v>
      </c>
      <c r="D965" s="113" t="s">
        <v>3093</v>
      </c>
      <c r="E965" s="113" t="s">
        <v>1620</v>
      </c>
      <c r="F965" s="113" t="s">
        <v>3093</v>
      </c>
      <c r="G965" s="115" t="s">
        <v>3093</v>
      </c>
      <c r="H965" s="161">
        <v>212</v>
      </c>
      <c r="I965" s="161">
        <v>13</v>
      </c>
    </row>
    <row r="966" spans="1:9">
      <c r="A966" s="113">
        <v>100400641</v>
      </c>
      <c r="B966" s="113" t="s">
        <v>3883</v>
      </c>
      <c r="C966" s="113">
        <v>6045054</v>
      </c>
      <c r="D966" s="113" t="s">
        <v>3093</v>
      </c>
      <c r="E966" s="113" t="s">
        <v>1620</v>
      </c>
      <c r="F966" s="113" t="s">
        <v>3093</v>
      </c>
      <c r="G966" s="115" t="s">
        <v>3093</v>
      </c>
      <c r="H966" s="161">
        <v>396</v>
      </c>
      <c r="I966" s="161">
        <v>2</v>
      </c>
    </row>
    <row r="967" spans="1:9">
      <c r="A967" s="113">
        <v>100400642</v>
      </c>
      <c r="B967" s="113" t="s">
        <v>3884</v>
      </c>
      <c r="C967" s="113">
        <v>6045055</v>
      </c>
      <c r="D967" s="113" t="s">
        <v>3093</v>
      </c>
      <c r="E967" s="113" t="s">
        <v>1620</v>
      </c>
      <c r="F967" s="113" t="s">
        <v>3093</v>
      </c>
      <c r="G967" s="115" t="s">
        <v>3093</v>
      </c>
      <c r="H967" s="161">
        <v>0</v>
      </c>
      <c r="I967" s="161" t="s">
        <v>7138</v>
      </c>
    </row>
    <row r="968" spans="1:9">
      <c r="A968" s="113">
        <v>100400643</v>
      </c>
      <c r="B968" s="113" t="s">
        <v>3885</v>
      </c>
      <c r="C968" s="113">
        <v>6045056</v>
      </c>
      <c r="D968" s="113" t="s">
        <v>3093</v>
      </c>
      <c r="E968" s="113" t="s">
        <v>1620</v>
      </c>
      <c r="F968" s="113" t="s">
        <v>3093</v>
      </c>
      <c r="G968" s="115" t="s">
        <v>3093</v>
      </c>
      <c r="H968" s="161">
        <v>336.81</v>
      </c>
      <c r="I968" s="161">
        <v>4</v>
      </c>
    </row>
    <row r="969" spans="1:9">
      <c r="A969" s="113">
        <v>100400644</v>
      </c>
      <c r="B969" s="113" t="s">
        <v>3886</v>
      </c>
      <c r="C969" s="113">
        <v>6045057</v>
      </c>
      <c r="D969" s="113" t="s">
        <v>3093</v>
      </c>
      <c r="E969" s="113" t="s">
        <v>1620</v>
      </c>
      <c r="F969" s="113" t="s">
        <v>3093</v>
      </c>
      <c r="G969" s="115" t="s">
        <v>3093</v>
      </c>
      <c r="H969" s="161">
        <v>225</v>
      </c>
      <c r="I969" s="161" t="s">
        <v>7138</v>
      </c>
    </row>
    <row r="970" spans="1:9">
      <c r="A970" s="113">
        <v>100400645</v>
      </c>
      <c r="B970" s="113" t="s">
        <v>3887</v>
      </c>
      <c r="C970" s="113">
        <v>6045059</v>
      </c>
      <c r="D970" s="113" t="s">
        <v>3093</v>
      </c>
      <c r="E970" s="113" t="s">
        <v>1620</v>
      </c>
      <c r="F970" s="113" t="s">
        <v>3093</v>
      </c>
      <c r="G970" s="115" t="s">
        <v>3093</v>
      </c>
      <c r="H970" s="161">
        <v>0</v>
      </c>
      <c r="I970" s="161" t="s">
        <v>7138</v>
      </c>
    </row>
    <row r="971" spans="1:9">
      <c r="A971" s="113">
        <v>100400646</v>
      </c>
      <c r="B971" s="113" t="s">
        <v>3888</v>
      </c>
      <c r="C971" s="113">
        <v>6045060</v>
      </c>
      <c r="D971" s="113" t="s">
        <v>3093</v>
      </c>
      <c r="E971" s="113" t="s">
        <v>1620</v>
      </c>
      <c r="F971" s="113" t="s">
        <v>3093</v>
      </c>
      <c r="G971" s="115" t="s">
        <v>3093</v>
      </c>
      <c r="H971" s="161">
        <v>55</v>
      </c>
      <c r="I971" s="161">
        <v>1</v>
      </c>
    </row>
    <row r="972" spans="1:9">
      <c r="A972" s="113">
        <v>100400647</v>
      </c>
      <c r="B972" s="113" t="s">
        <v>3889</v>
      </c>
      <c r="C972" s="113">
        <v>6045061</v>
      </c>
      <c r="D972" s="113" t="s">
        <v>3093</v>
      </c>
      <c r="E972" s="113" t="s">
        <v>1620</v>
      </c>
      <c r="F972" s="113" t="s">
        <v>3093</v>
      </c>
      <c r="G972" s="115" t="s">
        <v>3093</v>
      </c>
      <c r="H972" s="161">
        <v>0</v>
      </c>
      <c r="I972" s="161" t="s">
        <v>7138</v>
      </c>
    </row>
    <row r="973" spans="1:9">
      <c r="A973" s="113">
        <v>100400648</v>
      </c>
      <c r="B973" s="113" t="s">
        <v>3890</v>
      </c>
      <c r="C973" s="113">
        <v>6045062</v>
      </c>
      <c r="D973" s="113" t="s">
        <v>3093</v>
      </c>
      <c r="E973" s="113" t="s">
        <v>1620</v>
      </c>
      <c r="F973" s="113" t="s">
        <v>3093</v>
      </c>
      <c r="G973" s="115" t="s">
        <v>3093</v>
      </c>
      <c r="H973" s="161">
        <v>0</v>
      </c>
      <c r="I973" s="161" t="s">
        <v>7138</v>
      </c>
    </row>
    <row r="974" spans="1:9">
      <c r="A974" s="113">
        <v>100400649</v>
      </c>
      <c r="B974" s="113" t="s">
        <v>3891</v>
      </c>
      <c r="C974" s="113">
        <v>6045063</v>
      </c>
      <c r="D974" s="113" t="s">
        <v>3093</v>
      </c>
      <c r="E974" s="113" t="s">
        <v>1620</v>
      </c>
      <c r="F974" s="113" t="s">
        <v>3093</v>
      </c>
      <c r="G974" s="115" t="s">
        <v>3093</v>
      </c>
      <c r="H974" s="161">
        <v>0</v>
      </c>
      <c r="I974" s="161" t="s">
        <v>7138</v>
      </c>
    </row>
    <row r="975" spans="1:9">
      <c r="A975" s="113">
        <v>100400650</v>
      </c>
      <c r="B975" s="113" t="s">
        <v>3892</v>
      </c>
      <c r="C975" s="113">
        <v>6045064</v>
      </c>
      <c r="D975" s="113" t="s">
        <v>3093</v>
      </c>
      <c r="E975" s="113" t="s">
        <v>1620</v>
      </c>
      <c r="F975" s="113" t="s">
        <v>3093</v>
      </c>
      <c r="G975" s="115" t="s">
        <v>3093</v>
      </c>
      <c r="H975" s="161">
        <v>0</v>
      </c>
      <c r="I975" s="161" t="s">
        <v>7138</v>
      </c>
    </row>
    <row r="976" spans="1:9">
      <c r="A976" s="113">
        <v>100400651</v>
      </c>
      <c r="B976" s="113" t="s">
        <v>3893</v>
      </c>
      <c r="C976" s="113">
        <v>6045065</v>
      </c>
      <c r="D976" s="113" t="s">
        <v>3093</v>
      </c>
      <c r="E976" s="113" t="s">
        <v>1620</v>
      </c>
      <c r="F976" s="113" t="s">
        <v>3093</v>
      </c>
      <c r="G976" s="115" t="s">
        <v>3093</v>
      </c>
      <c r="H976" s="161">
        <v>0</v>
      </c>
      <c r="I976" s="161" t="s">
        <v>7138</v>
      </c>
    </row>
    <row r="977" spans="1:9">
      <c r="A977" s="113">
        <v>100400652</v>
      </c>
      <c r="B977" s="113" t="s">
        <v>3894</v>
      </c>
      <c r="C977" s="113">
        <v>6045066</v>
      </c>
      <c r="D977" s="113" t="s">
        <v>3093</v>
      </c>
      <c r="E977" s="113" t="s">
        <v>1620</v>
      </c>
      <c r="F977" s="113" t="s">
        <v>3093</v>
      </c>
      <c r="G977" s="115" t="s">
        <v>3093</v>
      </c>
      <c r="H977" s="161">
        <v>0</v>
      </c>
      <c r="I977" s="161" t="s">
        <v>7138</v>
      </c>
    </row>
    <row r="978" spans="1:9">
      <c r="A978" s="113">
        <v>100400653</v>
      </c>
      <c r="B978" s="113" t="s">
        <v>3895</v>
      </c>
      <c r="C978" s="113">
        <v>6045067</v>
      </c>
      <c r="D978" s="113" t="s">
        <v>3093</v>
      </c>
      <c r="E978" s="113" t="s">
        <v>1620</v>
      </c>
      <c r="F978" s="113" t="s">
        <v>3093</v>
      </c>
      <c r="G978" s="115" t="s">
        <v>3093</v>
      </c>
      <c r="H978" s="161">
        <v>0</v>
      </c>
      <c r="I978" s="161" t="s">
        <v>7138</v>
      </c>
    </row>
    <row r="979" spans="1:9">
      <c r="A979" s="113">
        <v>100400654</v>
      </c>
      <c r="B979" s="113" t="s">
        <v>3896</v>
      </c>
      <c r="C979" s="113">
        <v>6045069</v>
      </c>
      <c r="D979" s="113" t="s">
        <v>3093</v>
      </c>
      <c r="E979" s="113" t="s">
        <v>1620</v>
      </c>
      <c r="F979" s="113" t="s">
        <v>3093</v>
      </c>
      <c r="G979" s="115" t="s">
        <v>3093</v>
      </c>
      <c r="H979" s="161">
        <v>108.05</v>
      </c>
      <c r="I979" s="161">
        <v>3</v>
      </c>
    </row>
    <row r="980" spans="1:9">
      <c r="A980" s="113">
        <v>100400655</v>
      </c>
      <c r="B980" s="113" t="s">
        <v>3897</v>
      </c>
      <c r="C980" s="113">
        <v>6045070</v>
      </c>
      <c r="D980" s="113" t="s">
        <v>3093</v>
      </c>
      <c r="E980" s="113" t="s">
        <v>1620</v>
      </c>
      <c r="F980" s="113" t="s">
        <v>3093</v>
      </c>
      <c r="G980" s="115" t="s">
        <v>3093</v>
      </c>
      <c r="H980" s="161">
        <v>282.97000000000003</v>
      </c>
      <c r="I980" s="161">
        <v>8</v>
      </c>
    </row>
    <row r="981" spans="1:9">
      <c r="A981" s="113">
        <v>100400656</v>
      </c>
      <c r="B981" s="113" t="s">
        <v>3898</v>
      </c>
      <c r="C981" s="113">
        <v>6045071</v>
      </c>
      <c r="D981" s="113" t="s">
        <v>3093</v>
      </c>
      <c r="E981" s="113" t="s">
        <v>1620</v>
      </c>
      <c r="F981" s="113" t="s">
        <v>3093</v>
      </c>
      <c r="G981" s="115" t="s">
        <v>3093</v>
      </c>
      <c r="H981" s="161">
        <v>0</v>
      </c>
      <c r="I981" s="161" t="s">
        <v>7138</v>
      </c>
    </row>
    <row r="982" spans="1:9">
      <c r="A982" s="113">
        <v>100400657</v>
      </c>
      <c r="B982" s="113" t="s">
        <v>3899</v>
      </c>
      <c r="C982" s="113">
        <v>6045072</v>
      </c>
      <c r="D982" s="113" t="s">
        <v>3093</v>
      </c>
      <c r="E982" s="113" t="s">
        <v>1620</v>
      </c>
      <c r="F982" s="113" t="s">
        <v>3093</v>
      </c>
      <c r="G982" s="115" t="s">
        <v>3093</v>
      </c>
      <c r="H982" s="161">
        <v>0</v>
      </c>
      <c r="I982" s="161" t="s">
        <v>7138</v>
      </c>
    </row>
    <row r="983" spans="1:9">
      <c r="A983" s="113">
        <v>100400658</v>
      </c>
      <c r="B983" s="113" t="s">
        <v>3900</v>
      </c>
      <c r="C983" s="113">
        <v>6045073</v>
      </c>
      <c r="D983" s="113" t="s">
        <v>3093</v>
      </c>
      <c r="E983" s="113" t="s">
        <v>1620</v>
      </c>
      <c r="F983" s="113" t="s">
        <v>3093</v>
      </c>
      <c r="G983" s="115" t="s">
        <v>3093</v>
      </c>
      <c r="H983" s="161">
        <v>0</v>
      </c>
      <c r="I983" s="161" t="s">
        <v>7138</v>
      </c>
    </row>
    <row r="984" spans="1:9">
      <c r="A984" s="113">
        <v>100400659</v>
      </c>
      <c r="B984" s="113" t="s">
        <v>3901</v>
      </c>
      <c r="C984" s="113">
        <v>6045074</v>
      </c>
      <c r="D984" s="113" t="s">
        <v>3093</v>
      </c>
      <c r="E984" s="113" t="s">
        <v>1620</v>
      </c>
      <c r="F984" s="113" t="s">
        <v>3093</v>
      </c>
      <c r="G984" s="115" t="s">
        <v>3093</v>
      </c>
      <c r="H984" s="161">
        <v>0</v>
      </c>
      <c r="I984" s="161" t="s">
        <v>7138</v>
      </c>
    </row>
    <row r="985" spans="1:9">
      <c r="A985" s="113">
        <v>100400660</v>
      </c>
      <c r="B985" s="113" t="s">
        <v>2834</v>
      </c>
      <c r="C985" s="113">
        <v>6045075</v>
      </c>
      <c r="D985" s="113" t="s">
        <v>3093</v>
      </c>
      <c r="E985" s="113" t="s">
        <v>1620</v>
      </c>
      <c r="F985" s="113" t="s">
        <v>3093</v>
      </c>
      <c r="G985" s="115" t="s">
        <v>3093</v>
      </c>
      <c r="H985" s="161">
        <v>0</v>
      </c>
      <c r="I985" s="161" t="s">
        <v>7138</v>
      </c>
    </row>
    <row r="986" spans="1:9">
      <c r="A986" s="113">
        <v>100400661</v>
      </c>
      <c r="B986" s="113" t="s">
        <v>2835</v>
      </c>
      <c r="C986" s="113">
        <v>6045076</v>
      </c>
      <c r="D986" s="113" t="s">
        <v>3093</v>
      </c>
      <c r="E986" s="113" t="s">
        <v>1620</v>
      </c>
      <c r="F986" s="113" t="s">
        <v>3093</v>
      </c>
      <c r="G986" s="115" t="s">
        <v>3093</v>
      </c>
      <c r="H986" s="161">
        <v>0</v>
      </c>
      <c r="I986" s="161" t="s">
        <v>7138</v>
      </c>
    </row>
    <row r="987" spans="1:9">
      <c r="A987" s="113">
        <v>100400662</v>
      </c>
      <c r="B987" s="113" t="s">
        <v>2833</v>
      </c>
      <c r="C987" s="113">
        <v>6045077</v>
      </c>
      <c r="D987" s="113" t="s">
        <v>3093</v>
      </c>
      <c r="E987" s="113" t="s">
        <v>1620</v>
      </c>
      <c r="F987" s="113" t="s">
        <v>3093</v>
      </c>
      <c r="G987" s="115" t="s">
        <v>3093</v>
      </c>
      <c r="H987" s="161">
        <v>0</v>
      </c>
      <c r="I987" s="161" t="s">
        <v>7138</v>
      </c>
    </row>
    <row r="988" spans="1:9">
      <c r="A988" s="113">
        <v>100400663</v>
      </c>
      <c r="B988" s="113" t="s">
        <v>3902</v>
      </c>
      <c r="C988" s="113">
        <v>6045078</v>
      </c>
      <c r="D988" s="113" t="s">
        <v>3093</v>
      </c>
      <c r="E988" s="113" t="s">
        <v>1620</v>
      </c>
      <c r="F988" s="113" t="s">
        <v>3093</v>
      </c>
      <c r="G988" s="115" t="s">
        <v>3093</v>
      </c>
      <c r="H988" s="161">
        <v>295</v>
      </c>
      <c r="I988" s="161">
        <v>6</v>
      </c>
    </row>
    <row r="989" spans="1:9">
      <c r="A989" s="113">
        <v>100400664</v>
      </c>
      <c r="B989" s="113" t="s">
        <v>3903</v>
      </c>
      <c r="C989" s="113">
        <v>6045079</v>
      </c>
      <c r="D989" s="113" t="s">
        <v>3093</v>
      </c>
      <c r="E989" s="113" t="s">
        <v>1620</v>
      </c>
      <c r="F989" s="113" t="s">
        <v>3093</v>
      </c>
      <c r="G989" s="115" t="s">
        <v>3093</v>
      </c>
      <c r="H989" s="161">
        <v>295</v>
      </c>
      <c r="I989" s="161">
        <v>4</v>
      </c>
    </row>
    <row r="990" spans="1:9">
      <c r="A990" s="113">
        <v>100400665</v>
      </c>
      <c r="B990" s="113" t="s">
        <v>2836</v>
      </c>
      <c r="C990" s="113">
        <v>6045080</v>
      </c>
      <c r="D990" s="113" t="s">
        <v>3093</v>
      </c>
      <c r="E990" s="113" t="s">
        <v>1620</v>
      </c>
      <c r="F990" s="113" t="s">
        <v>3093</v>
      </c>
      <c r="G990" s="115" t="s">
        <v>3093</v>
      </c>
      <c r="H990" s="161">
        <v>295</v>
      </c>
      <c r="I990" s="161">
        <v>6</v>
      </c>
    </row>
    <row r="991" spans="1:9">
      <c r="A991" s="113">
        <v>100400666</v>
      </c>
      <c r="B991" s="113" t="s">
        <v>3904</v>
      </c>
      <c r="C991" s="113">
        <v>6045090</v>
      </c>
      <c r="D991" s="113" t="s">
        <v>3093</v>
      </c>
      <c r="E991" s="113" t="s">
        <v>1620</v>
      </c>
      <c r="F991" s="113" t="s">
        <v>3093</v>
      </c>
      <c r="G991" s="115" t="s">
        <v>3093</v>
      </c>
      <c r="H991" s="161">
        <v>173</v>
      </c>
      <c r="I991" s="161">
        <v>12</v>
      </c>
    </row>
    <row r="992" spans="1:9">
      <c r="A992" s="113">
        <v>100400667</v>
      </c>
      <c r="B992" s="113" t="s">
        <v>2837</v>
      </c>
      <c r="C992" s="113">
        <v>6045091</v>
      </c>
      <c r="D992" s="113" t="s">
        <v>3093</v>
      </c>
      <c r="E992" s="113" t="s">
        <v>1620</v>
      </c>
      <c r="F992" s="113" t="s">
        <v>3093</v>
      </c>
      <c r="G992" s="115" t="s">
        <v>3093</v>
      </c>
      <c r="H992" s="161">
        <v>0</v>
      </c>
      <c r="I992" s="161" t="s">
        <v>7138</v>
      </c>
    </row>
    <row r="993" spans="1:9">
      <c r="A993" s="113">
        <v>100400668</v>
      </c>
      <c r="B993" s="113" t="s">
        <v>3905</v>
      </c>
      <c r="C993" s="113">
        <v>6045092</v>
      </c>
      <c r="D993" s="113" t="s">
        <v>3093</v>
      </c>
      <c r="E993" s="113" t="s">
        <v>1620</v>
      </c>
      <c r="F993" s="113" t="s">
        <v>3093</v>
      </c>
      <c r="G993" s="115" t="s">
        <v>3093</v>
      </c>
      <c r="H993" s="161">
        <v>0</v>
      </c>
      <c r="I993" s="161" t="s">
        <v>7138</v>
      </c>
    </row>
    <row r="994" spans="1:9">
      <c r="A994" s="113">
        <v>100400669</v>
      </c>
      <c r="B994" s="113" t="s">
        <v>2838</v>
      </c>
      <c r="C994" s="113">
        <v>6046010</v>
      </c>
      <c r="D994" s="113" t="s">
        <v>3093</v>
      </c>
      <c r="E994" s="113" t="s">
        <v>1620</v>
      </c>
      <c r="F994" s="113" t="s">
        <v>3093</v>
      </c>
      <c r="G994" s="115" t="s">
        <v>3093</v>
      </c>
      <c r="H994" s="161">
        <v>0</v>
      </c>
      <c r="I994" s="161" t="s">
        <v>7138</v>
      </c>
    </row>
    <row r="995" spans="1:9">
      <c r="A995" s="113">
        <v>100400670</v>
      </c>
      <c r="B995" s="113" t="s">
        <v>2839</v>
      </c>
      <c r="C995" s="113">
        <v>6046011</v>
      </c>
      <c r="D995" s="113" t="s">
        <v>3093</v>
      </c>
      <c r="E995" s="113" t="s">
        <v>1620</v>
      </c>
      <c r="F995" s="113" t="s">
        <v>3093</v>
      </c>
      <c r="G995" s="115" t="s">
        <v>3093</v>
      </c>
      <c r="H995" s="161">
        <v>0</v>
      </c>
      <c r="I995" s="161" t="s">
        <v>7138</v>
      </c>
    </row>
    <row r="996" spans="1:9">
      <c r="A996" s="113">
        <v>100400671</v>
      </c>
      <c r="B996" s="113" t="s">
        <v>2840</v>
      </c>
      <c r="C996" s="113">
        <v>6046012</v>
      </c>
      <c r="D996" s="113" t="s">
        <v>3093</v>
      </c>
      <c r="E996" s="113" t="s">
        <v>1620</v>
      </c>
      <c r="F996" s="113" t="s">
        <v>3093</v>
      </c>
      <c r="G996" s="115" t="s">
        <v>3093</v>
      </c>
      <c r="H996" s="161">
        <v>0</v>
      </c>
      <c r="I996" s="161" t="s">
        <v>7138</v>
      </c>
    </row>
    <row r="997" spans="1:9">
      <c r="A997" s="113">
        <v>100400672</v>
      </c>
      <c r="B997" s="113" t="s">
        <v>2841</v>
      </c>
      <c r="C997" s="113">
        <v>6046013</v>
      </c>
      <c r="D997" s="113" t="s">
        <v>3093</v>
      </c>
      <c r="E997" s="113" t="s">
        <v>1620</v>
      </c>
      <c r="F997" s="113" t="s">
        <v>3093</v>
      </c>
      <c r="G997" s="115" t="s">
        <v>3093</v>
      </c>
      <c r="H997" s="161">
        <v>0</v>
      </c>
      <c r="I997" s="161" t="s">
        <v>7138</v>
      </c>
    </row>
    <row r="998" spans="1:9">
      <c r="A998" s="113">
        <v>100400673</v>
      </c>
      <c r="B998" s="113" t="s">
        <v>3906</v>
      </c>
      <c r="C998" s="113">
        <v>6046014</v>
      </c>
      <c r="D998" s="113" t="s">
        <v>3093</v>
      </c>
      <c r="E998" s="113" t="s">
        <v>1620</v>
      </c>
      <c r="F998" s="113" t="s">
        <v>3093</v>
      </c>
      <c r="G998" s="115" t="s">
        <v>3093</v>
      </c>
      <c r="H998" s="161">
        <v>0</v>
      </c>
      <c r="I998" s="161" t="s">
        <v>7138</v>
      </c>
    </row>
    <row r="999" spans="1:9">
      <c r="A999" s="113">
        <v>100400674</v>
      </c>
      <c r="B999" s="113" t="s">
        <v>3907</v>
      </c>
      <c r="C999" s="113">
        <v>6046015</v>
      </c>
      <c r="D999" s="113" t="s">
        <v>3093</v>
      </c>
      <c r="E999" s="113" t="s">
        <v>1620</v>
      </c>
      <c r="F999" s="113" t="s">
        <v>3093</v>
      </c>
      <c r="G999" s="115" t="s">
        <v>3093</v>
      </c>
      <c r="H999" s="161">
        <v>5.98</v>
      </c>
      <c r="I999" s="161">
        <v>1</v>
      </c>
    </row>
    <row r="1000" spans="1:9">
      <c r="A1000" s="113">
        <v>100400675</v>
      </c>
      <c r="B1000" s="113" t="s">
        <v>3908</v>
      </c>
      <c r="C1000" s="113">
        <v>6046016</v>
      </c>
      <c r="D1000" s="113" t="s">
        <v>3093</v>
      </c>
      <c r="E1000" s="113" t="s">
        <v>1620</v>
      </c>
      <c r="F1000" s="113" t="s">
        <v>3093</v>
      </c>
      <c r="G1000" s="115" t="s">
        <v>3093</v>
      </c>
      <c r="H1000" s="161">
        <v>5.98</v>
      </c>
      <c r="I1000" s="161">
        <v>1</v>
      </c>
    </row>
    <row r="1001" spans="1:9">
      <c r="A1001" s="113">
        <v>100400676</v>
      </c>
      <c r="B1001" s="113" t="s">
        <v>3909</v>
      </c>
      <c r="C1001" s="113">
        <v>6046017</v>
      </c>
      <c r="D1001" s="113" t="s">
        <v>3093</v>
      </c>
      <c r="E1001" s="113" t="s">
        <v>1620</v>
      </c>
      <c r="F1001" s="113" t="s">
        <v>3093</v>
      </c>
      <c r="G1001" s="115" t="s">
        <v>3093</v>
      </c>
      <c r="H1001" s="161">
        <v>87</v>
      </c>
      <c r="I1001" s="161">
        <v>1</v>
      </c>
    </row>
    <row r="1002" spans="1:9">
      <c r="A1002" s="113">
        <v>100400677</v>
      </c>
      <c r="B1002" s="113" t="s">
        <v>3910</v>
      </c>
      <c r="C1002" s="113">
        <v>6046018</v>
      </c>
      <c r="D1002" s="113" t="s">
        <v>3093</v>
      </c>
      <c r="E1002" s="113" t="s">
        <v>1620</v>
      </c>
      <c r="F1002" s="113" t="s">
        <v>3093</v>
      </c>
      <c r="G1002" s="115" t="s">
        <v>3093</v>
      </c>
      <c r="H1002" s="161">
        <v>0</v>
      </c>
      <c r="I1002" s="161" t="s">
        <v>7138</v>
      </c>
    </row>
    <row r="1003" spans="1:9">
      <c r="A1003" s="113">
        <v>100400678</v>
      </c>
      <c r="B1003" s="113" t="s">
        <v>3911</v>
      </c>
      <c r="C1003" s="113">
        <v>6046019</v>
      </c>
      <c r="D1003" s="113" t="s">
        <v>3093</v>
      </c>
      <c r="E1003" s="113" t="s">
        <v>1620</v>
      </c>
      <c r="F1003" s="113" t="s">
        <v>3093</v>
      </c>
      <c r="G1003" s="115" t="s">
        <v>3093</v>
      </c>
      <c r="H1003" s="161">
        <v>0</v>
      </c>
      <c r="I1003" s="161" t="s">
        <v>7138</v>
      </c>
    </row>
    <row r="1004" spans="1:9">
      <c r="A1004" s="113">
        <v>100400679</v>
      </c>
      <c r="B1004" s="113" t="s">
        <v>3912</v>
      </c>
      <c r="C1004" s="113">
        <v>6046022</v>
      </c>
      <c r="D1004" s="113" t="s">
        <v>3093</v>
      </c>
      <c r="E1004" s="113" t="s">
        <v>1620</v>
      </c>
      <c r="F1004" s="113" t="s">
        <v>3093</v>
      </c>
      <c r="G1004" s="115" t="s">
        <v>3093</v>
      </c>
      <c r="H1004" s="161">
        <v>135.6</v>
      </c>
      <c r="I1004" s="161">
        <v>0</v>
      </c>
    </row>
    <row r="1005" spans="1:9">
      <c r="A1005" s="113">
        <v>100400680</v>
      </c>
      <c r="B1005" s="113" t="s">
        <v>718</v>
      </c>
      <c r="C1005" s="113">
        <v>6046023</v>
      </c>
      <c r="D1005" s="113" t="s">
        <v>3093</v>
      </c>
      <c r="E1005" s="113" t="s">
        <v>1620</v>
      </c>
      <c r="F1005" s="113" t="s">
        <v>3093</v>
      </c>
      <c r="G1005" s="115" t="s">
        <v>3093</v>
      </c>
      <c r="H1005" s="161">
        <v>35</v>
      </c>
      <c r="I1005" s="161">
        <v>3</v>
      </c>
    </row>
    <row r="1006" spans="1:9">
      <c r="A1006" s="113">
        <v>100400681</v>
      </c>
      <c r="B1006" s="113" t="s">
        <v>2842</v>
      </c>
      <c r="C1006" s="113">
        <v>6046024</v>
      </c>
      <c r="D1006" s="113" t="s">
        <v>3093</v>
      </c>
      <c r="E1006" s="113" t="s">
        <v>1620</v>
      </c>
      <c r="F1006" s="113" t="s">
        <v>3093</v>
      </c>
      <c r="G1006" s="115" t="s">
        <v>3093</v>
      </c>
      <c r="H1006" s="161">
        <v>15</v>
      </c>
      <c r="I1006" s="161">
        <v>5</v>
      </c>
    </row>
    <row r="1007" spans="1:9">
      <c r="A1007" s="113">
        <v>100400682</v>
      </c>
      <c r="B1007" s="113" t="s">
        <v>3913</v>
      </c>
      <c r="C1007" s="113">
        <v>6046025</v>
      </c>
      <c r="D1007" s="113" t="s">
        <v>3093</v>
      </c>
      <c r="E1007" s="113" t="s">
        <v>1620</v>
      </c>
      <c r="F1007" s="113" t="s">
        <v>3093</v>
      </c>
      <c r="G1007" s="115" t="s">
        <v>3093</v>
      </c>
      <c r="H1007" s="161">
        <v>130.18</v>
      </c>
      <c r="I1007" s="161">
        <v>1</v>
      </c>
    </row>
    <row r="1008" spans="1:9">
      <c r="A1008" s="113">
        <v>100400683</v>
      </c>
      <c r="B1008" s="113" t="s">
        <v>3914</v>
      </c>
      <c r="C1008" s="113">
        <v>6046026</v>
      </c>
      <c r="D1008" s="113" t="s">
        <v>3093</v>
      </c>
      <c r="E1008" s="113" t="s">
        <v>1620</v>
      </c>
      <c r="F1008" s="113" t="s">
        <v>3093</v>
      </c>
      <c r="G1008" s="115" t="s">
        <v>3093</v>
      </c>
      <c r="H1008" s="161">
        <v>130.18</v>
      </c>
      <c r="I1008" s="161">
        <v>2</v>
      </c>
    </row>
    <row r="1009" spans="1:9">
      <c r="A1009" s="113">
        <v>100400684</v>
      </c>
      <c r="B1009" s="113" t="s">
        <v>3915</v>
      </c>
      <c r="C1009" s="113">
        <v>6046027</v>
      </c>
      <c r="D1009" s="113" t="s">
        <v>3093</v>
      </c>
      <c r="E1009" s="113" t="s">
        <v>1620</v>
      </c>
      <c r="F1009" s="113" t="s">
        <v>3093</v>
      </c>
      <c r="G1009" s="115" t="s">
        <v>3093</v>
      </c>
      <c r="H1009" s="161">
        <v>85</v>
      </c>
      <c r="I1009" s="161" t="s">
        <v>7138</v>
      </c>
    </row>
    <row r="1010" spans="1:9">
      <c r="A1010" s="113">
        <v>100400685</v>
      </c>
      <c r="B1010" s="113" t="s">
        <v>3916</v>
      </c>
      <c r="C1010" s="113">
        <v>6046028</v>
      </c>
      <c r="D1010" s="113" t="s">
        <v>3093</v>
      </c>
      <c r="E1010" s="113" t="s">
        <v>1620</v>
      </c>
      <c r="F1010" s="113" t="s">
        <v>3093</v>
      </c>
      <c r="G1010" s="115" t="s">
        <v>3093</v>
      </c>
      <c r="H1010" s="161">
        <v>0</v>
      </c>
      <c r="I1010" s="161" t="s">
        <v>7138</v>
      </c>
    </row>
    <row r="1011" spans="1:9">
      <c r="A1011" s="113">
        <v>100400686</v>
      </c>
      <c r="B1011" s="113" t="s">
        <v>3917</v>
      </c>
      <c r="C1011" s="113">
        <v>6046029</v>
      </c>
      <c r="D1011" s="113" t="s">
        <v>3093</v>
      </c>
      <c r="E1011" s="113" t="s">
        <v>1620</v>
      </c>
      <c r="F1011" s="113" t="s">
        <v>3093</v>
      </c>
      <c r="G1011" s="115" t="s">
        <v>3093</v>
      </c>
      <c r="H1011" s="161">
        <v>0</v>
      </c>
      <c r="I1011" s="161" t="s">
        <v>7138</v>
      </c>
    </row>
    <row r="1012" spans="1:9">
      <c r="A1012" s="113">
        <v>100400687</v>
      </c>
      <c r="B1012" s="113" t="s">
        <v>3918</v>
      </c>
      <c r="C1012" s="113">
        <v>6046030</v>
      </c>
      <c r="D1012" s="113" t="s">
        <v>3093</v>
      </c>
      <c r="E1012" s="113" t="s">
        <v>1620</v>
      </c>
      <c r="F1012" s="113" t="s">
        <v>3093</v>
      </c>
      <c r="G1012" s="115" t="s">
        <v>3093</v>
      </c>
      <c r="H1012" s="161">
        <v>0</v>
      </c>
      <c r="I1012" s="161" t="s">
        <v>7138</v>
      </c>
    </row>
    <row r="1013" spans="1:9">
      <c r="A1013" s="113">
        <v>100400688</v>
      </c>
      <c r="B1013" s="113" t="s">
        <v>3919</v>
      </c>
      <c r="C1013" s="113">
        <v>6046031</v>
      </c>
      <c r="D1013" s="113" t="s">
        <v>3093</v>
      </c>
      <c r="E1013" s="113" t="s">
        <v>1620</v>
      </c>
      <c r="F1013" s="113" t="s">
        <v>3093</v>
      </c>
      <c r="G1013" s="115" t="s">
        <v>3093</v>
      </c>
      <c r="H1013" s="161">
        <v>0</v>
      </c>
      <c r="I1013" s="161" t="s">
        <v>7138</v>
      </c>
    </row>
    <row r="1014" spans="1:9">
      <c r="A1014" s="113">
        <v>100400693</v>
      </c>
      <c r="B1014" s="113" t="s">
        <v>3920</v>
      </c>
      <c r="C1014" s="113">
        <v>6047026</v>
      </c>
      <c r="D1014" s="113" t="s">
        <v>3093</v>
      </c>
      <c r="E1014" s="113" t="s">
        <v>1620</v>
      </c>
      <c r="F1014" s="113" t="s">
        <v>3093</v>
      </c>
      <c r="G1014" s="115" t="s">
        <v>3093</v>
      </c>
      <c r="H1014" s="161">
        <v>154</v>
      </c>
      <c r="I1014" s="161">
        <v>12</v>
      </c>
    </row>
    <row r="1015" spans="1:9">
      <c r="A1015" s="113">
        <v>100400696</v>
      </c>
      <c r="B1015" s="113" t="s">
        <v>3921</v>
      </c>
      <c r="C1015" s="113">
        <v>6047046</v>
      </c>
      <c r="D1015" s="113" t="s">
        <v>3093</v>
      </c>
      <c r="E1015" s="113" t="s">
        <v>1620</v>
      </c>
      <c r="F1015" s="113" t="s">
        <v>3093</v>
      </c>
      <c r="G1015" s="115" t="s">
        <v>3093</v>
      </c>
      <c r="H1015" s="161">
        <v>305</v>
      </c>
      <c r="I1015" s="161">
        <v>31</v>
      </c>
    </row>
    <row r="1016" spans="1:9">
      <c r="A1016" s="113">
        <v>100400697</v>
      </c>
      <c r="B1016" s="113" t="s">
        <v>3922</v>
      </c>
      <c r="C1016" s="113">
        <v>6047047</v>
      </c>
      <c r="D1016" s="113" t="s">
        <v>3093</v>
      </c>
      <c r="E1016" s="113" t="s">
        <v>1620</v>
      </c>
      <c r="F1016" s="113" t="s">
        <v>3093</v>
      </c>
      <c r="G1016" s="115" t="s">
        <v>3093</v>
      </c>
      <c r="H1016" s="161">
        <v>0</v>
      </c>
      <c r="I1016" s="161" t="s">
        <v>7138</v>
      </c>
    </row>
    <row r="1017" spans="1:9">
      <c r="A1017" s="113">
        <v>100400698</v>
      </c>
      <c r="B1017" s="113" t="s">
        <v>3923</v>
      </c>
      <c r="C1017" s="113">
        <v>6047048</v>
      </c>
      <c r="D1017" s="113" t="s">
        <v>3093</v>
      </c>
      <c r="E1017" s="113" t="s">
        <v>1620</v>
      </c>
      <c r="F1017" s="113" t="s">
        <v>3093</v>
      </c>
      <c r="G1017" s="115" t="s">
        <v>3093</v>
      </c>
      <c r="H1017" s="161">
        <v>305</v>
      </c>
      <c r="I1017" s="161">
        <v>2</v>
      </c>
    </row>
    <row r="1018" spans="1:9">
      <c r="A1018" s="113">
        <v>100400699</v>
      </c>
      <c r="B1018" s="113" t="s">
        <v>2843</v>
      </c>
      <c r="C1018" s="113">
        <v>6047062</v>
      </c>
      <c r="D1018" s="113" t="s">
        <v>3093</v>
      </c>
      <c r="E1018" s="113" t="s">
        <v>1620</v>
      </c>
      <c r="F1018" s="113" t="s">
        <v>3093</v>
      </c>
      <c r="G1018" s="115" t="s">
        <v>3093</v>
      </c>
      <c r="H1018" s="161">
        <v>18</v>
      </c>
      <c r="I1018" s="161">
        <v>12</v>
      </c>
    </row>
    <row r="1019" spans="1:9">
      <c r="A1019" s="113">
        <v>100400700</v>
      </c>
      <c r="B1019" s="113" t="s">
        <v>2844</v>
      </c>
      <c r="C1019" s="113">
        <v>6047063</v>
      </c>
      <c r="D1019" s="113" t="s">
        <v>3093</v>
      </c>
      <c r="E1019" s="113" t="s">
        <v>1620</v>
      </c>
      <c r="F1019" s="113" t="s">
        <v>3093</v>
      </c>
      <c r="G1019" s="115" t="s">
        <v>3093</v>
      </c>
      <c r="H1019" s="161">
        <v>18</v>
      </c>
      <c r="I1019" s="161">
        <v>12</v>
      </c>
    </row>
    <row r="1020" spans="1:9">
      <c r="A1020" s="113">
        <v>100400701</v>
      </c>
      <c r="B1020" s="113" t="s">
        <v>2845</v>
      </c>
      <c r="C1020" s="113">
        <v>6047064</v>
      </c>
      <c r="D1020" s="113" t="s">
        <v>3093</v>
      </c>
      <c r="E1020" s="113" t="s">
        <v>1620</v>
      </c>
      <c r="F1020" s="113" t="s">
        <v>3093</v>
      </c>
      <c r="G1020" s="115" t="s">
        <v>3093</v>
      </c>
      <c r="H1020" s="161">
        <v>7</v>
      </c>
      <c r="I1020" s="161">
        <v>15</v>
      </c>
    </row>
    <row r="1021" spans="1:9">
      <c r="A1021" s="113">
        <v>100400702</v>
      </c>
      <c r="B1021" s="113" t="s">
        <v>2846</v>
      </c>
      <c r="C1021" s="113">
        <v>6047065</v>
      </c>
      <c r="D1021" s="113" t="s">
        <v>3093</v>
      </c>
      <c r="E1021" s="113" t="s">
        <v>1620</v>
      </c>
      <c r="F1021" s="113" t="s">
        <v>3093</v>
      </c>
      <c r="G1021" s="115" t="s">
        <v>3093</v>
      </c>
      <c r="H1021" s="161">
        <v>29.36</v>
      </c>
      <c r="I1021" s="161">
        <v>12</v>
      </c>
    </row>
    <row r="1022" spans="1:9">
      <c r="A1022" s="113">
        <v>100400703</v>
      </c>
      <c r="B1022" s="113" t="s">
        <v>2847</v>
      </c>
      <c r="C1022" s="113">
        <v>6047066</v>
      </c>
      <c r="D1022" s="113" t="s">
        <v>3093</v>
      </c>
      <c r="E1022" s="113" t="s">
        <v>1620</v>
      </c>
      <c r="F1022" s="113" t="s">
        <v>3093</v>
      </c>
      <c r="G1022" s="115" t="s">
        <v>3093</v>
      </c>
      <c r="H1022" s="161">
        <v>18</v>
      </c>
      <c r="I1022" s="161">
        <v>12</v>
      </c>
    </row>
    <row r="1023" spans="1:9">
      <c r="A1023" s="113">
        <v>100400704</v>
      </c>
      <c r="B1023" s="113" t="s">
        <v>2848</v>
      </c>
      <c r="C1023" s="113">
        <v>6047067</v>
      </c>
      <c r="D1023" s="113" t="s">
        <v>3093</v>
      </c>
      <c r="E1023" s="113" t="s">
        <v>1620</v>
      </c>
      <c r="F1023" s="113" t="s">
        <v>3093</v>
      </c>
      <c r="G1023" s="115" t="s">
        <v>3093</v>
      </c>
      <c r="H1023" s="161">
        <v>18</v>
      </c>
      <c r="I1023" s="161">
        <v>12</v>
      </c>
    </row>
    <row r="1024" spans="1:9">
      <c r="A1024" s="113">
        <v>100400705</v>
      </c>
      <c r="B1024" s="113" t="s">
        <v>2849</v>
      </c>
      <c r="C1024" s="113">
        <v>6047068</v>
      </c>
      <c r="D1024" s="113" t="s">
        <v>3093</v>
      </c>
      <c r="E1024" s="113" t="s">
        <v>1620</v>
      </c>
      <c r="F1024" s="113" t="s">
        <v>3093</v>
      </c>
      <c r="G1024" s="115" t="s">
        <v>3093</v>
      </c>
      <c r="H1024" s="161">
        <v>18</v>
      </c>
      <c r="I1024" s="161">
        <v>12</v>
      </c>
    </row>
    <row r="1025" spans="1:9">
      <c r="A1025" s="113">
        <v>100400706</v>
      </c>
      <c r="B1025" s="113" t="s">
        <v>3924</v>
      </c>
      <c r="C1025" s="113">
        <v>6047069</v>
      </c>
      <c r="D1025" s="113" t="s">
        <v>3093</v>
      </c>
      <c r="E1025" s="113" t="s">
        <v>1620</v>
      </c>
      <c r="F1025" s="113" t="s">
        <v>3093</v>
      </c>
      <c r="G1025" s="115" t="s">
        <v>3093</v>
      </c>
      <c r="H1025" s="161">
        <v>0</v>
      </c>
      <c r="I1025" s="161" t="s">
        <v>7138</v>
      </c>
    </row>
    <row r="1026" spans="1:9">
      <c r="A1026" s="113">
        <v>100400707</v>
      </c>
      <c r="B1026" s="113" t="s">
        <v>3925</v>
      </c>
      <c r="C1026" s="113">
        <v>6047070</v>
      </c>
      <c r="D1026" s="113" t="s">
        <v>3093</v>
      </c>
      <c r="E1026" s="113" t="s">
        <v>1620</v>
      </c>
      <c r="F1026" s="113" t="s">
        <v>3093</v>
      </c>
      <c r="G1026" s="115" t="s">
        <v>3093</v>
      </c>
      <c r="H1026" s="161">
        <v>0</v>
      </c>
      <c r="I1026" s="161" t="s">
        <v>7138</v>
      </c>
    </row>
    <row r="1027" spans="1:9">
      <c r="A1027" s="113">
        <v>100400708</v>
      </c>
      <c r="B1027" s="113" t="s">
        <v>3926</v>
      </c>
      <c r="C1027" s="113">
        <v>6047071</v>
      </c>
      <c r="D1027" s="113" t="s">
        <v>3093</v>
      </c>
      <c r="E1027" s="113" t="s">
        <v>1620</v>
      </c>
      <c r="F1027" s="113" t="s">
        <v>3093</v>
      </c>
      <c r="G1027" s="115" t="s">
        <v>3093</v>
      </c>
      <c r="H1027" s="161">
        <v>0</v>
      </c>
      <c r="I1027" s="161" t="s">
        <v>7138</v>
      </c>
    </row>
    <row r="1028" spans="1:9">
      <c r="A1028" s="113">
        <v>100400709</v>
      </c>
      <c r="B1028" s="113" t="s">
        <v>2850</v>
      </c>
      <c r="C1028" s="113">
        <v>6047072</v>
      </c>
      <c r="D1028" s="113" t="s">
        <v>3093</v>
      </c>
      <c r="E1028" s="113" t="s">
        <v>1620</v>
      </c>
      <c r="F1028" s="113" t="s">
        <v>3093</v>
      </c>
      <c r="G1028" s="115" t="s">
        <v>3093</v>
      </c>
      <c r="H1028" s="161">
        <v>0</v>
      </c>
      <c r="I1028" s="161" t="s">
        <v>7138</v>
      </c>
    </row>
    <row r="1029" spans="1:9">
      <c r="A1029" s="113">
        <v>100400710</v>
      </c>
      <c r="B1029" s="113" t="s">
        <v>3927</v>
      </c>
      <c r="C1029" s="113">
        <v>6047073</v>
      </c>
      <c r="D1029" s="113" t="s">
        <v>3093</v>
      </c>
      <c r="E1029" s="113" t="s">
        <v>1620</v>
      </c>
      <c r="F1029" s="113" t="s">
        <v>3093</v>
      </c>
      <c r="G1029" s="115" t="s">
        <v>3093</v>
      </c>
      <c r="H1029" s="161">
        <v>0</v>
      </c>
      <c r="I1029" s="161" t="s">
        <v>7138</v>
      </c>
    </row>
    <row r="1030" spans="1:9">
      <c r="A1030" s="113">
        <v>100400711</v>
      </c>
      <c r="B1030" s="113" t="s">
        <v>3928</v>
      </c>
      <c r="C1030" s="113">
        <v>6047074</v>
      </c>
      <c r="D1030" s="113" t="s">
        <v>3093</v>
      </c>
      <c r="E1030" s="113" t="s">
        <v>1620</v>
      </c>
      <c r="F1030" s="113" t="s">
        <v>3093</v>
      </c>
      <c r="G1030" s="115" t="s">
        <v>3093</v>
      </c>
      <c r="H1030" s="161">
        <v>0</v>
      </c>
      <c r="I1030" s="161" t="s">
        <v>7138</v>
      </c>
    </row>
    <row r="1031" spans="1:9">
      <c r="A1031" s="113">
        <v>100400712</v>
      </c>
      <c r="B1031" s="113" t="s">
        <v>3929</v>
      </c>
      <c r="C1031" s="113">
        <v>6047075</v>
      </c>
      <c r="D1031" s="113" t="s">
        <v>3093</v>
      </c>
      <c r="E1031" s="113" t="s">
        <v>1620</v>
      </c>
      <c r="F1031" s="113" t="s">
        <v>3093</v>
      </c>
      <c r="G1031" s="115" t="s">
        <v>3093</v>
      </c>
      <c r="H1031" s="161">
        <v>0</v>
      </c>
      <c r="I1031" s="161" t="s">
        <v>7138</v>
      </c>
    </row>
    <row r="1032" spans="1:9">
      <c r="A1032" s="113">
        <v>100400713</v>
      </c>
      <c r="B1032" s="113" t="s">
        <v>3930</v>
      </c>
      <c r="C1032" s="113">
        <v>6047076</v>
      </c>
      <c r="D1032" s="113" t="s">
        <v>3093</v>
      </c>
      <c r="E1032" s="113" t="s">
        <v>1620</v>
      </c>
      <c r="F1032" s="113" t="s">
        <v>3093</v>
      </c>
      <c r="G1032" s="115" t="s">
        <v>3093</v>
      </c>
      <c r="H1032" s="161">
        <v>0</v>
      </c>
      <c r="I1032" s="161" t="s">
        <v>7138</v>
      </c>
    </row>
    <row r="1033" spans="1:9">
      <c r="A1033" s="113">
        <v>100400714</v>
      </c>
      <c r="B1033" s="113" t="s">
        <v>3931</v>
      </c>
      <c r="C1033" s="113">
        <v>6047077</v>
      </c>
      <c r="D1033" s="113" t="s">
        <v>3093</v>
      </c>
      <c r="E1033" s="113" t="s">
        <v>1620</v>
      </c>
      <c r="F1033" s="113" t="s">
        <v>3093</v>
      </c>
      <c r="G1033" s="115" t="s">
        <v>3093</v>
      </c>
      <c r="H1033" s="161">
        <v>0</v>
      </c>
      <c r="I1033" s="161" t="s">
        <v>7138</v>
      </c>
    </row>
    <row r="1034" spans="1:9">
      <c r="A1034" s="113">
        <v>100400715</v>
      </c>
      <c r="B1034" s="113" t="s">
        <v>3932</v>
      </c>
      <c r="C1034" s="113">
        <v>6047078</v>
      </c>
      <c r="D1034" s="113" t="s">
        <v>3093</v>
      </c>
      <c r="E1034" s="113" t="s">
        <v>1620</v>
      </c>
      <c r="F1034" s="113" t="s">
        <v>3093</v>
      </c>
      <c r="G1034" s="115" t="s">
        <v>3093</v>
      </c>
      <c r="H1034" s="161">
        <v>0</v>
      </c>
      <c r="I1034" s="161" t="s">
        <v>7138</v>
      </c>
    </row>
    <row r="1035" spans="1:9">
      <c r="A1035" s="113">
        <v>100400716</v>
      </c>
      <c r="B1035" s="113" t="s">
        <v>3933</v>
      </c>
      <c r="C1035" s="113">
        <v>6047079</v>
      </c>
      <c r="D1035" s="113" t="s">
        <v>3093</v>
      </c>
      <c r="E1035" s="113" t="s">
        <v>1620</v>
      </c>
      <c r="F1035" s="113" t="s">
        <v>3093</v>
      </c>
      <c r="G1035" s="115" t="s">
        <v>3093</v>
      </c>
      <c r="H1035" s="161">
        <v>0</v>
      </c>
      <c r="I1035" s="161" t="s">
        <v>7138</v>
      </c>
    </row>
    <row r="1036" spans="1:9">
      <c r="A1036" s="113">
        <v>100400717</v>
      </c>
      <c r="B1036" s="113" t="s">
        <v>3934</v>
      </c>
      <c r="C1036" s="113">
        <v>6047080</v>
      </c>
      <c r="D1036" s="113" t="s">
        <v>3093</v>
      </c>
      <c r="E1036" s="113" t="s">
        <v>1620</v>
      </c>
      <c r="F1036" s="113" t="s">
        <v>3093</v>
      </c>
      <c r="G1036" s="115" t="s">
        <v>3093</v>
      </c>
      <c r="H1036" s="161">
        <v>0</v>
      </c>
      <c r="I1036" s="161" t="s">
        <v>7138</v>
      </c>
    </row>
    <row r="1037" spans="1:9">
      <c r="A1037" s="113">
        <v>100400718</v>
      </c>
      <c r="B1037" s="113" t="s">
        <v>3935</v>
      </c>
      <c r="C1037" s="113">
        <v>6047081</v>
      </c>
      <c r="D1037" s="113" t="s">
        <v>3093</v>
      </c>
      <c r="E1037" s="113" t="s">
        <v>1620</v>
      </c>
      <c r="F1037" s="113" t="s">
        <v>3093</v>
      </c>
      <c r="G1037" s="115" t="s">
        <v>3093</v>
      </c>
      <c r="H1037" s="161">
        <v>0</v>
      </c>
      <c r="I1037" s="161" t="s">
        <v>7138</v>
      </c>
    </row>
    <row r="1038" spans="1:9">
      <c r="A1038" s="113">
        <v>100400719</v>
      </c>
      <c r="B1038" s="113" t="s">
        <v>3936</v>
      </c>
      <c r="C1038" s="113">
        <v>6047082</v>
      </c>
      <c r="D1038" s="113" t="s">
        <v>3093</v>
      </c>
      <c r="E1038" s="113" t="s">
        <v>1620</v>
      </c>
      <c r="F1038" s="113" t="s">
        <v>3093</v>
      </c>
      <c r="G1038" s="115" t="s">
        <v>3093</v>
      </c>
      <c r="H1038" s="161">
        <v>0</v>
      </c>
      <c r="I1038" s="161" t="s">
        <v>7138</v>
      </c>
    </row>
    <row r="1039" spans="1:9">
      <c r="A1039" s="113">
        <v>100400720</v>
      </c>
      <c r="B1039" s="113" t="s">
        <v>3937</v>
      </c>
      <c r="C1039" s="113">
        <v>6047083</v>
      </c>
      <c r="D1039" s="113" t="s">
        <v>3093</v>
      </c>
      <c r="E1039" s="113" t="s">
        <v>1620</v>
      </c>
      <c r="F1039" s="113" t="s">
        <v>3093</v>
      </c>
      <c r="G1039" s="115" t="s">
        <v>3093</v>
      </c>
      <c r="H1039" s="161">
        <v>0</v>
      </c>
      <c r="I1039" s="161" t="s">
        <v>7138</v>
      </c>
    </row>
    <row r="1040" spans="1:9">
      <c r="A1040" s="113">
        <v>100400721</v>
      </c>
      <c r="B1040" s="113" t="s">
        <v>3938</v>
      </c>
      <c r="C1040" s="113">
        <v>6047084</v>
      </c>
      <c r="D1040" s="113" t="s">
        <v>3093</v>
      </c>
      <c r="E1040" s="113" t="s">
        <v>1620</v>
      </c>
      <c r="F1040" s="113" t="s">
        <v>3093</v>
      </c>
      <c r="G1040" s="115" t="s">
        <v>3093</v>
      </c>
      <c r="H1040" s="161">
        <v>0</v>
      </c>
      <c r="I1040" s="161" t="s">
        <v>7138</v>
      </c>
    </row>
    <row r="1041" spans="1:9">
      <c r="A1041" s="113">
        <v>100400722</v>
      </c>
      <c r="B1041" s="113" t="s">
        <v>3939</v>
      </c>
      <c r="C1041" s="113">
        <v>6047085</v>
      </c>
      <c r="D1041" s="113" t="s">
        <v>3093</v>
      </c>
      <c r="E1041" s="113" t="s">
        <v>1620</v>
      </c>
      <c r="F1041" s="113" t="s">
        <v>3093</v>
      </c>
      <c r="G1041" s="115" t="s">
        <v>3093</v>
      </c>
      <c r="H1041" s="161">
        <v>0</v>
      </c>
      <c r="I1041" s="161" t="s">
        <v>7138</v>
      </c>
    </row>
    <row r="1042" spans="1:9">
      <c r="A1042" s="113">
        <v>100400723</v>
      </c>
      <c r="B1042" s="113" t="s">
        <v>3940</v>
      </c>
      <c r="C1042" s="113">
        <v>6047086</v>
      </c>
      <c r="D1042" s="113" t="s">
        <v>3093</v>
      </c>
      <c r="E1042" s="113" t="s">
        <v>1620</v>
      </c>
      <c r="F1042" s="113" t="s">
        <v>3093</v>
      </c>
      <c r="G1042" s="115" t="s">
        <v>3093</v>
      </c>
      <c r="H1042" s="161">
        <v>0</v>
      </c>
      <c r="I1042" s="161" t="s">
        <v>7138</v>
      </c>
    </row>
    <row r="1043" spans="1:9">
      <c r="A1043" s="113">
        <v>100400725</v>
      </c>
      <c r="B1043" s="113" t="s">
        <v>3941</v>
      </c>
      <c r="C1043" s="113">
        <v>6047088</v>
      </c>
      <c r="D1043" s="113" t="s">
        <v>3093</v>
      </c>
      <c r="E1043" s="113" t="s">
        <v>1620</v>
      </c>
      <c r="F1043" s="113" t="s">
        <v>3093</v>
      </c>
      <c r="G1043" s="115" t="s">
        <v>3093</v>
      </c>
      <c r="H1043" s="161">
        <v>0</v>
      </c>
      <c r="I1043" s="161" t="s">
        <v>7138</v>
      </c>
    </row>
    <row r="1044" spans="1:9">
      <c r="A1044" s="113">
        <v>100400726</v>
      </c>
      <c r="B1044" s="113" t="s">
        <v>3942</v>
      </c>
      <c r="C1044" s="113">
        <v>6047089</v>
      </c>
      <c r="D1044" s="113" t="s">
        <v>3093</v>
      </c>
      <c r="E1044" s="113" t="s">
        <v>1620</v>
      </c>
      <c r="F1044" s="113" t="s">
        <v>3093</v>
      </c>
      <c r="G1044" s="115" t="s">
        <v>3093</v>
      </c>
      <c r="H1044" s="161">
        <v>0</v>
      </c>
      <c r="I1044" s="161" t="s">
        <v>7138</v>
      </c>
    </row>
    <row r="1045" spans="1:9">
      <c r="A1045" s="113">
        <v>100400727</v>
      </c>
      <c r="B1045" s="113" t="s">
        <v>3943</v>
      </c>
      <c r="C1045" s="113">
        <v>6047090</v>
      </c>
      <c r="D1045" s="113" t="s">
        <v>3093</v>
      </c>
      <c r="E1045" s="113" t="s">
        <v>1620</v>
      </c>
      <c r="F1045" s="113" t="s">
        <v>3093</v>
      </c>
      <c r="G1045" s="115" t="s">
        <v>3093</v>
      </c>
      <c r="H1045" s="161">
        <v>0</v>
      </c>
      <c r="I1045" s="161" t="s">
        <v>7138</v>
      </c>
    </row>
    <row r="1046" spans="1:9">
      <c r="A1046" s="113">
        <v>100400728</v>
      </c>
      <c r="B1046" s="113" t="s">
        <v>2851</v>
      </c>
      <c r="C1046" s="113">
        <v>6047091</v>
      </c>
      <c r="D1046" s="113" t="s">
        <v>3093</v>
      </c>
      <c r="E1046" s="113" t="s">
        <v>1620</v>
      </c>
      <c r="F1046" s="113" t="s">
        <v>3093</v>
      </c>
      <c r="G1046" s="115" t="s">
        <v>3093</v>
      </c>
      <c r="H1046" s="161">
        <v>0</v>
      </c>
      <c r="I1046" s="161" t="s">
        <v>7138</v>
      </c>
    </row>
    <row r="1047" spans="1:9">
      <c r="A1047" s="113">
        <v>100400729</v>
      </c>
      <c r="B1047" s="113" t="s">
        <v>2852</v>
      </c>
      <c r="C1047" s="113">
        <v>6047093</v>
      </c>
      <c r="D1047" s="113" t="s">
        <v>3093</v>
      </c>
      <c r="E1047" s="113" t="s">
        <v>1620</v>
      </c>
      <c r="F1047" s="113" t="s">
        <v>3093</v>
      </c>
      <c r="G1047" s="115" t="s">
        <v>3093</v>
      </c>
      <c r="H1047" s="161">
        <v>0</v>
      </c>
      <c r="I1047" s="161" t="s">
        <v>7138</v>
      </c>
    </row>
    <row r="1048" spans="1:9">
      <c r="A1048" s="113">
        <v>100400730</v>
      </c>
      <c r="B1048" s="113" t="s">
        <v>3944</v>
      </c>
      <c r="C1048" s="113">
        <v>6047094</v>
      </c>
      <c r="D1048" s="113" t="s">
        <v>3093</v>
      </c>
      <c r="E1048" s="113" t="s">
        <v>1620</v>
      </c>
      <c r="F1048" s="113" t="s">
        <v>3093</v>
      </c>
      <c r="G1048" s="115" t="s">
        <v>3093</v>
      </c>
      <c r="H1048" s="161">
        <v>26.75</v>
      </c>
      <c r="I1048" s="161">
        <v>36</v>
      </c>
    </row>
    <row r="1049" spans="1:9">
      <c r="A1049" s="113">
        <v>100400731</v>
      </c>
      <c r="B1049" s="113" t="s">
        <v>3945</v>
      </c>
      <c r="C1049" s="113">
        <v>6047095</v>
      </c>
      <c r="D1049" s="113" t="s">
        <v>3093</v>
      </c>
      <c r="E1049" s="113" t="s">
        <v>1620</v>
      </c>
      <c r="F1049" s="113" t="s">
        <v>3093</v>
      </c>
      <c r="G1049" s="115" t="s">
        <v>3093</v>
      </c>
      <c r="H1049" s="161">
        <v>26.75</v>
      </c>
      <c r="I1049" s="161">
        <v>36</v>
      </c>
    </row>
    <row r="1050" spans="1:9">
      <c r="A1050" s="113">
        <v>100400732</v>
      </c>
      <c r="B1050" s="113" t="s">
        <v>3946</v>
      </c>
      <c r="C1050" s="113">
        <v>6047096</v>
      </c>
      <c r="D1050" s="113" t="s">
        <v>3093</v>
      </c>
      <c r="E1050" s="113" t="s">
        <v>1620</v>
      </c>
      <c r="F1050" s="113" t="s">
        <v>3093</v>
      </c>
      <c r="G1050" s="115" t="s">
        <v>3093</v>
      </c>
      <c r="H1050" s="161">
        <v>96</v>
      </c>
      <c r="I1050" s="161">
        <v>0</v>
      </c>
    </row>
    <row r="1051" spans="1:9">
      <c r="A1051" s="113">
        <v>100400733</v>
      </c>
      <c r="B1051" s="113" t="s">
        <v>3947</v>
      </c>
      <c r="C1051" s="113">
        <v>6047097</v>
      </c>
      <c r="D1051" s="113" t="s">
        <v>3093</v>
      </c>
      <c r="E1051" s="113" t="s">
        <v>1620</v>
      </c>
      <c r="F1051" s="113" t="s">
        <v>3093</v>
      </c>
      <c r="G1051" s="115" t="s">
        <v>3093</v>
      </c>
      <c r="H1051" s="161">
        <v>0</v>
      </c>
      <c r="I1051" s="161" t="s">
        <v>7138</v>
      </c>
    </row>
    <row r="1052" spans="1:9">
      <c r="A1052" s="113">
        <v>100400734</v>
      </c>
      <c r="B1052" s="113" t="s">
        <v>3948</v>
      </c>
      <c r="C1052" s="113">
        <v>6047098</v>
      </c>
      <c r="D1052" s="113" t="s">
        <v>3093</v>
      </c>
      <c r="E1052" s="113" t="s">
        <v>1620</v>
      </c>
      <c r="F1052" s="113" t="s">
        <v>3093</v>
      </c>
      <c r="G1052" s="115" t="s">
        <v>3093</v>
      </c>
      <c r="H1052" s="161">
        <v>0</v>
      </c>
      <c r="I1052" s="161" t="s">
        <v>7138</v>
      </c>
    </row>
    <row r="1053" spans="1:9">
      <c r="A1053" s="113">
        <v>100400735</v>
      </c>
      <c r="B1053" s="113" t="s">
        <v>3949</v>
      </c>
      <c r="C1053" s="113">
        <v>6047099</v>
      </c>
      <c r="D1053" s="113" t="s">
        <v>3093</v>
      </c>
      <c r="E1053" s="113" t="s">
        <v>1620</v>
      </c>
      <c r="F1053" s="113" t="s">
        <v>3093</v>
      </c>
      <c r="G1053" s="115" t="s">
        <v>3093</v>
      </c>
      <c r="H1053" s="161">
        <v>57.68</v>
      </c>
      <c r="I1053" s="161">
        <v>4</v>
      </c>
    </row>
    <row r="1054" spans="1:9">
      <c r="A1054" s="113">
        <v>100400736</v>
      </c>
      <c r="B1054" s="113" t="s">
        <v>3950</v>
      </c>
      <c r="C1054" s="113">
        <v>6047100</v>
      </c>
      <c r="D1054" s="113" t="s">
        <v>3093</v>
      </c>
      <c r="E1054" s="113" t="s">
        <v>1620</v>
      </c>
      <c r="F1054" s="113" t="s">
        <v>3093</v>
      </c>
      <c r="G1054" s="115" t="s">
        <v>3093</v>
      </c>
      <c r="H1054" s="161">
        <v>0</v>
      </c>
      <c r="I1054" s="161" t="s">
        <v>7138</v>
      </c>
    </row>
    <row r="1055" spans="1:9">
      <c r="A1055" s="113">
        <v>100400737</v>
      </c>
      <c r="B1055" s="113" t="s">
        <v>2853</v>
      </c>
      <c r="C1055" s="113">
        <v>6047101</v>
      </c>
      <c r="D1055" s="113" t="s">
        <v>3093</v>
      </c>
      <c r="E1055" s="113" t="s">
        <v>1620</v>
      </c>
      <c r="F1055" s="113" t="s">
        <v>3093</v>
      </c>
      <c r="G1055" s="115" t="s">
        <v>3093</v>
      </c>
      <c r="H1055" s="161">
        <v>169.5</v>
      </c>
      <c r="I1055" s="161">
        <v>2</v>
      </c>
    </row>
    <row r="1056" spans="1:9">
      <c r="A1056" s="113">
        <v>100400738</v>
      </c>
      <c r="B1056" s="113" t="s">
        <v>2854</v>
      </c>
      <c r="C1056" s="113">
        <v>6047102</v>
      </c>
      <c r="D1056" s="113" t="s">
        <v>3093</v>
      </c>
      <c r="E1056" s="113" t="s">
        <v>1620</v>
      </c>
      <c r="F1056" s="113" t="s">
        <v>3093</v>
      </c>
      <c r="G1056" s="115" t="s">
        <v>3093</v>
      </c>
      <c r="H1056" s="161">
        <v>0</v>
      </c>
      <c r="I1056" s="161" t="s">
        <v>7138</v>
      </c>
    </row>
    <row r="1057" spans="1:9">
      <c r="A1057" s="113">
        <v>100400739</v>
      </c>
      <c r="B1057" s="113" t="s">
        <v>3951</v>
      </c>
      <c r="C1057" s="113">
        <v>6047103</v>
      </c>
      <c r="D1057" s="113" t="s">
        <v>3093</v>
      </c>
      <c r="E1057" s="113" t="s">
        <v>1620</v>
      </c>
      <c r="F1057" s="113" t="s">
        <v>3093</v>
      </c>
      <c r="G1057" s="115" t="s">
        <v>3093</v>
      </c>
      <c r="H1057" s="161">
        <v>1</v>
      </c>
      <c r="I1057" s="161" t="s">
        <v>7138</v>
      </c>
    </row>
    <row r="1058" spans="1:9">
      <c r="A1058" s="113">
        <v>100400740</v>
      </c>
      <c r="B1058" s="113" t="s">
        <v>3952</v>
      </c>
      <c r="C1058" s="113">
        <v>6047104</v>
      </c>
      <c r="D1058" s="113" t="s">
        <v>3093</v>
      </c>
      <c r="E1058" s="113" t="s">
        <v>1620</v>
      </c>
      <c r="F1058" s="113" t="s">
        <v>3093</v>
      </c>
      <c r="G1058" s="115" t="s">
        <v>3093</v>
      </c>
      <c r="H1058" s="161">
        <v>25</v>
      </c>
      <c r="I1058" s="161" t="s">
        <v>7138</v>
      </c>
    </row>
    <row r="1059" spans="1:9">
      <c r="A1059" s="113">
        <v>100400741</v>
      </c>
      <c r="B1059" s="113" t="s">
        <v>3953</v>
      </c>
      <c r="C1059" s="113">
        <v>6047105</v>
      </c>
      <c r="D1059" s="113" t="s">
        <v>3093</v>
      </c>
      <c r="E1059" s="113" t="s">
        <v>1620</v>
      </c>
      <c r="F1059" s="113" t="s">
        <v>3093</v>
      </c>
      <c r="G1059" s="115" t="s">
        <v>3093</v>
      </c>
      <c r="H1059" s="161">
        <v>21.47</v>
      </c>
      <c r="I1059" s="161">
        <v>24</v>
      </c>
    </row>
    <row r="1060" spans="1:9">
      <c r="A1060" s="113">
        <v>100400742</v>
      </c>
      <c r="B1060" s="113" t="s">
        <v>3954</v>
      </c>
      <c r="C1060" s="113">
        <v>6047106</v>
      </c>
      <c r="D1060" s="113" t="s">
        <v>3093</v>
      </c>
      <c r="E1060" s="113" t="s">
        <v>1620</v>
      </c>
      <c r="F1060" s="113" t="s">
        <v>3093</v>
      </c>
      <c r="G1060" s="115" t="s">
        <v>3093</v>
      </c>
      <c r="H1060" s="161">
        <v>13.56</v>
      </c>
      <c r="I1060" s="161">
        <v>4</v>
      </c>
    </row>
    <row r="1061" spans="1:9">
      <c r="A1061" s="113">
        <v>100400743</v>
      </c>
      <c r="B1061" s="113" t="s">
        <v>3955</v>
      </c>
      <c r="C1061" s="113">
        <v>6047110</v>
      </c>
      <c r="D1061" s="113" t="s">
        <v>3093</v>
      </c>
      <c r="E1061" s="113" t="s">
        <v>1620</v>
      </c>
      <c r="F1061" s="113" t="s">
        <v>3093</v>
      </c>
      <c r="G1061" s="115" t="s">
        <v>3093</v>
      </c>
      <c r="H1061" s="161">
        <v>0</v>
      </c>
      <c r="I1061" s="161" t="s">
        <v>7138</v>
      </c>
    </row>
    <row r="1062" spans="1:9">
      <c r="A1062" s="113">
        <v>100400750</v>
      </c>
      <c r="B1062" s="113" t="s">
        <v>3956</v>
      </c>
      <c r="C1062" s="113">
        <v>6050128</v>
      </c>
      <c r="D1062" s="113" t="s">
        <v>3093</v>
      </c>
      <c r="E1062" s="113" t="s">
        <v>1620</v>
      </c>
      <c r="F1062" s="113" t="s">
        <v>3093</v>
      </c>
      <c r="G1062" s="115" t="s">
        <v>3093</v>
      </c>
      <c r="H1062" s="161">
        <v>257.64</v>
      </c>
      <c r="I1062" s="161">
        <v>0</v>
      </c>
    </row>
    <row r="1063" spans="1:9">
      <c r="A1063" s="113">
        <v>100400751</v>
      </c>
      <c r="B1063" s="113" t="s">
        <v>3957</v>
      </c>
      <c r="C1063" s="113">
        <v>6050129</v>
      </c>
      <c r="D1063" s="113" t="s">
        <v>3093</v>
      </c>
      <c r="E1063" s="113" t="s">
        <v>1620</v>
      </c>
      <c r="F1063" s="113" t="s">
        <v>3093</v>
      </c>
      <c r="G1063" s="115" t="s">
        <v>3093</v>
      </c>
      <c r="H1063" s="161">
        <v>0</v>
      </c>
      <c r="I1063" s="161" t="s">
        <v>7138</v>
      </c>
    </row>
    <row r="1064" spans="1:9">
      <c r="A1064" s="113">
        <v>100400752</v>
      </c>
      <c r="B1064" s="113" t="s">
        <v>3958</v>
      </c>
      <c r="C1064" s="113">
        <v>6050130</v>
      </c>
      <c r="D1064" s="113" t="s">
        <v>3093</v>
      </c>
      <c r="E1064" s="113" t="s">
        <v>1620</v>
      </c>
      <c r="F1064" s="113" t="s">
        <v>3093</v>
      </c>
      <c r="G1064" s="115" t="s">
        <v>3093</v>
      </c>
      <c r="H1064" s="161">
        <v>0</v>
      </c>
      <c r="I1064" s="161" t="s">
        <v>7138</v>
      </c>
    </row>
    <row r="1065" spans="1:9">
      <c r="A1065" s="113">
        <v>100400753</v>
      </c>
      <c r="B1065" s="113" t="s">
        <v>3959</v>
      </c>
      <c r="C1065" s="113">
        <v>6050131</v>
      </c>
      <c r="D1065" s="113" t="s">
        <v>3093</v>
      </c>
      <c r="E1065" s="113" t="s">
        <v>1620</v>
      </c>
      <c r="F1065" s="113" t="s">
        <v>3093</v>
      </c>
      <c r="G1065" s="115" t="s">
        <v>3093</v>
      </c>
      <c r="H1065" s="161">
        <v>0</v>
      </c>
      <c r="I1065" s="161" t="s">
        <v>7138</v>
      </c>
    </row>
    <row r="1066" spans="1:9">
      <c r="A1066" s="113">
        <v>100400754</v>
      </c>
      <c r="B1066" s="113" t="s">
        <v>3960</v>
      </c>
      <c r="C1066" s="113">
        <v>6050132</v>
      </c>
      <c r="D1066" s="113" t="s">
        <v>3093</v>
      </c>
      <c r="E1066" s="113" t="s">
        <v>1620</v>
      </c>
      <c r="F1066" s="113" t="s">
        <v>3093</v>
      </c>
      <c r="G1066" s="115" t="s">
        <v>3093</v>
      </c>
      <c r="H1066" s="161">
        <v>0</v>
      </c>
      <c r="I1066" s="161" t="s">
        <v>7138</v>
      </c>
    </row>
    <row r="1067" spans="1:9">
      <c r="A1067" s="113">
        <v>100400755</v>
      </c>
      <c r="B1067" s="113" t="s">
        <v>3961</v>
      </c>
      <c r="C1067" s="113">
        <v>6050133</v>
      </c>
      <c r="D1067" s="113" t="s">
        <v>3093</v>
      </c>
      <c r="E1067" s="113" t="s">
        <v>1620</v>
      </c>
      <c r="F1067" s="113" t="s">
        <v>3093</v>
      </c>
      <c r="G1067" s="115" t="s">
        <v>3093</v>
      </c>
      <c r="H1067" s="161">
        <v>0</v>
      </c>
      <c r="I1067" s="161" t="s">
        <v>7138</v>
      </c>
    </row>
    <row r="1068" spans="1:9">
      <c r="A1068" s="113">
        <v>100400756</v>
      </c>
      <c r="B1068" s="113" t="s">
        <v>3962</v>
      </c>
      <c r="C1068" s="113">
        <v>6050134</v>
      </c>
      <c r="D1068" s="113" t="s">
        <v>3093</v>
      </c>
      <c r="E1068" s="113" t="s">
        <v>1620</v>
      </c>
      <c r="F1068" s="113" t="s">
        <v>3093</v>
      </c>
      <c r="G1068" s="115" t="s">
        <v>3093</v>
      </c>
      <c r="H1068" s="161">
        <v>15</v>
      </c>
      <c r="I1068" s="161">
        <v>12</v>
      </c>
    </row>
    <row r="1069" spans="1:9">
      <c r="A1069" s="113">
        <v>100400757</v>
      </c>
      <c r="B1069" s="113" t="s">
        <v>3963</v>
      </c>
      <c r="C1069" s="113">
        <v>6050137</v>
      </c>
      <c r="D1069" s="113" t="s">
        <v>3093</v>
      </c>
      <c r="E1069" s="113" t="s">
        <v>1620</v>
      </c>
      <c r="F1069" s="113" t="s">
        <v>3093</v>
      </c>
      <c r="G1069" s="115" t="s">
        <v>3093</v>
      </c>
      <c r="H1069" s="161">
        <v>0</v>
      </c>
      <c r="I1069" s="161" t="s">
        <v>7138</v>
      </c>
    </row>
    <row r="1070" spans="1:9">
      <c r="A1070" s="113">
        <v>100400758</v>
      </c>
      <c r="B1070" s="113" t="s">
        <v>3964</v>
      </c>
      <c r="C1070" s="113">
        <v>6050139</v>
      </c>
      <c r="D1070" s="113" t="s">
        <v>3093</v>
      </c>
      <c r="E1070" s="113" t="s">
        <v>1620</v>
      </c>
      <c r="F1070" s="113" t="s">
        <v>3093</v>
      </c>
      <c r="G1070" s="115" t="s">
        <v>3093</v>
      </c>
      <c r="H1070" s="161">
        <v>0</v>
      </c>
      <c r="I1070" s="161" t="s">
        <v>7138</v>
      </c>
    </row>
    <row r="1071" spans="1:9">
      <c r="A1071" s="113">
        <v>100400759</v>
      </c>
      <c r="B1071" s="113" t="s">
        <v>3965</v>
      </c>
      <c r="C1071" s="113">
        <v>6050140</v>
      </c>
      <c r="D1071" s="113" t="s">
        <v>3093</v>
      </c>
      <c r="E1071" s="113" t="s">
        <v>1620</v>
      </c>
      <c r="F1071" s="113" t="s">
        <v>3093</v>
      </c>
      <c r="G1071" s="115" t="s">
        <v>3093</v>
      </c>
      <c r="H1071" s="161">
        <v>0</v>
      </c>
      <c r="I1071" s="161" t="s">
        <v>7138</v>
      </c>
    </row>
    <row r="1072" spans="1:9">
      <c r="A1072" s="113">
        <v>100400760</v>
      </c>
      <c r="B1072" s="113" t="s">
        <v>3966</v>
      </c>
      <c r="C1072" s="113">
        <v>6050141</v>
      </c>
      <c r="D1072" s="113" t="s">
        <v>3093</v>
      </c>
      <c r="E1072" s="113" t="s">
        <v>1620</v>
      </c>
      <c r="F1072" s="113" t="s">
        <v>3093</v>
      </c>
      <c r="G1072" s="115" t="s">
        <v>3093</v>
      </c>
      <c r="H1072" s="161">
        <v>0</v>
      </c>
      <c r="I1072" s="161" t="s">
        <v>7138</v>
      </c>
    </row>
    <row r="1073" spans="1:9">
      <c r="A1073" s="113">
        <v>100400761</v>
      </c>
      <c r="B1073" s="113" t="s">
        <v>3967</v>
      </c>
      <c r="C1073" s="113">
        <v>6050144</v>
      </c>
      <c r="D1073" s="113" t="s">
        <v>3093</v>
      </c>
      <c r="E1073" s="113" t="s">
        <v>1620</v>
      </c>
      <c r="F1073" s="113" t="s">
        <v>3093</v>
      </c>
      <c r="G1073" s="115" t="s">
        <v>3093</v>
      </c>
      <c r="H1073" s="161">
        <v>0</v>
      </c>
      <c r="I1073" s="161" t="s">
        <v>7138</v>
      </c>
    </row>
    <row r="1074" spans="1:9">
      <c r="A1074" s="113">
        <v>100400762</v>
      </c>
      <c r="B1074" s="113" t="s">
        <v>3968</v>
      </c>
      <c r="C1074" s="113">
        <v>6050145</v>
      </c>
      <c r="D1074" s="113" t="s">
        <v>3093</v>
      </c>
      <c r="E1074" s="113" t="s">
        <v>1620</v>
      </c>
      <c r="F1074" s="113" t="s">
        <v>3093</v>
      </c>
      <c r="G1074" s="115" t="s">
        <v>3093</v>
      </c>
      <c r="H1074" s="161">
        <v>27.75</v>
      </c>
      <c r="I1074" s="161">
        <v>2</v>
      </c>
    </row>
    <row r="1075" spans="1:9">
      <c r="A1075" s="113">
        <v>100400763</v>
      </c>
      <c r="B1075" s="113" t="s">
        <v>3969</v>
      </c>
      <c r="C1075" s="113">
        <v>6050146</v>
      </c>
      <c r="D1075" s="113" t="s">
        <v>3093</v>
      </c>
      <c r="E1075" s="113" t="s">
        <v>1620</v>
      </c>
      <c r="F1075" s="113" t="s">
        <v>3093</v>
      </c>
      <c r="G1075" s="115" t="s">
        <v>3093</v>
      </c>
      <c r="H1075" s="161">
        <v>45.9</v>
      </c>
      <c r="I1075" s="161">
        <v>0</v>
      </c>
    </row>
    <row r="1076" spans="1:9">
      <c r="A1076" s="113">
        <v>100400764</v>
      </c>
      <c r="B1076" s="113" t="s">
        <v>3970</v>
      </c>
      <c r="C1076" s="113">
        <v>6050147</v>
      </c>
      <c r="D1076" s="113" t="s">
        <v>3093</v>
      </c>
      <c r="E1076" s="113" t="s">
        <v>1620</v>
      </c>
      <c r="F1076" s="113" t="s">
        <v>3093</v>
      </c>
      <c r="G1076" s="115" t="s">
        <v>3093</v>
      </c>
      <c r="H1076" s="161">
        <v>45.2</v>
      </c>
      <c r="I1076" s="161">
        <v>16</v>
      </c>
    </row>
    <row r="1077" spans="1:9">
      <c r="A1077" s="113">
        <v>100400765</v>
      </c>
      <c r="B1077" s="113" t="s">
        <v>2855</v>
      </c>
      <c r="C1077" s="113">
        <v>6050149</v>
      </c>
      <c r="D1077" s="113" t="s">
        <v>3093</v>
      </c>
      <c r="E1077" s="113" t="s">
        <v>1620</v>
      </c>
      <c r="F1077" s="113" t="s">
        <v>3093</v>
      </c>
      <c r="G1077" s="115" t="s">
        <v>3093</v>
      </c>
      <c r="H1077" s="161">
        <v>41.67</v>
      </c>
      <c r="I1077" s="161">
        <v>8</v>
      </c>
    </row>
    <row r="1078" spans="1:9">
      <c r="A1078" s="113">
        <v>100400766</v>
      </c>
      <c r="B1078" s="113" t="s">
        <v>2856</v>
      </c>
      <c r="C1078" s="113">
        <v>6050150</v>
      </c>
      <c r="D1078" s="113" t="s">
        <v>3093</v>
      </c>
      <c r="E1078" s="113" t="s">
        <v>1620</v>
      </c>
      <c r="F1078" s="113" t="s">
        <v>3093</v>
      </c>
      <c r="G1078" s="115" t="s">
        <v>3093</v>
      </c>
      <c r="H1078" s="161">
        <v>66</v>
      </c>
      <c r="I1078" s="161">
        <v>50</v>
      </c>
    </row>
    <row r="1079" spans="1:9">
      <c r="A1079" s="113">
        <v>100400767</v>
      </c>
      <c r="B1079" s="113" t="s">
        <v>2857</v>
      </c>
      <c r="C1079" s="113">
        <v>6050151</v>
      </c>
      <c r="D1079" s="113" t="s">
        <v>3093</v>
      </c>
      <c r="E1079" s="113" t="s">
        <v>1620</v>
      </c>
      <c r="F1079" s="113" t="s">
        <v>3093</v>
      </c>
      <c r="G1079" s="115" t="s">
        <v>3093</v>
      </c>
      <c r="H1079" s="161">
        <v>48.64</v>
      </c>
      <c r="I1079" s="161">
        <v>0</v>
      </c>
    </row>
    <row r="1080" spans="1:9">
      <c r="A1080" s="113">
        <v>100400768</v>
      </c>
      <c r="B1080" s="113" t="s">
        <v>2858</v>
      </c>
      <c r="C1080" s="113">
        <v>6050153</v>
      </c>
      <c r="D1080" s="113" t="s">
        <v>3093</v>
      </c>
      <c r="E1080" s="113" t="s">
        <v>1620</v>
      </c>
      <c r="F1080" s="113" t="s">
        <v>3093</v>
      </c>
      <c r="G1080" s="115" t="s">
        <v>3093</v>
      </c>
      <c r="H1080" s="161">
        <v>10</v>
      </c>
      <c r="I1080" s="161">
        <v>16</v>
      </c>
    </row>
    <row r="1081" spans="1:9">
      <c r="A1081" s="113">
        <v>100400769</v>
      </c>
      <c r="B1081" s="113" t="s">
        <v>2859</v>
      </c>
      <c r="C1081" s="113">
        <v>6050154</v>
      </c>
      <c r="D1081" s="113" t="s">
        <v>3093</v>
      </c>
      <c r="E1081" s="113" t="s">
        <v>1620</v>
      </c>
      <c r="F1081" s="113" t="s">
        <v>3093</v>
      </c>
      <c r="G1081" s="115" t="s">
        <v>3093</v>
      </c>
      <c r="H1081" s="161">
        <v>27</v>
      </c>
      <c r="I1081" s="161">
        <v>16</v>
      </c>
    </row>
    <row r="1082" spans="1:9">
      <c r="A1082" s="113">
        <v>100400770</v>
      </c>
      <c r="B1082" s="113" t="s">
        <v>2860</v>
      </c>
      <c r="C1082" s="113">
        <v>6050155</v>
      </c>
      <c r="D1082" s="113" t="s">
        <v>3093</v>
      </c>
      <c r="E1082" s="113" t="s">
        <v>1620</v>
      </c>
      <c r="F1082" s="113" t="s">
        <v>3093</v>
      </c>
      <c r="G1082" s="115" t="s">
        <v>3093</v>
      </c>
      <c r="H1082" s="161">
        <v>27</v>
      </c>
      <c r="I1082" s="161">
        <v>10</v>
      </c>
    </row>
    <row r="1083" spans="1:9">
      <c r="A1083" s="113">
        <v>100400771</v>
      </c>
      <c r="B1083" s="113" t="s">
        <v>3971</v>
      </c>
      <c r="C1083" s="113">
        <v>6050156</v>
      </c>
      <c r="D1083" s="113" t="s">
        <v>3093</v>
      </c>
      <c r="E1083" s="113" t="s">
        <v>1620</v>
      </c>
      <c r="F1083" s="113" t="s">
        <v>3093</v>
      </c>
      <c r="G1083" s="115" t="s">
        <v>3093</v>
      </c>
      <c r="H1083" s="161">
        <v>0</v>
      </c>
      <c r="I1083" s="161" t="s">
        <v>7138</v>
      </c>
    </row>
    <row r="1084" spans="1:9">
      <c r="A1084" s="113">
        <v>100400772</v>
      </c>
      <c r="B1084" s="113" t="s">
        <v>3972</v>
      </c>
      <c r="C1084" s="113">
        <v>6050157</v>
      </c>
      <c r="D1084" s="113" t="s">
        <v>3093</v>
      </c>
      <c r="E1084" s="113" t="s">
        <v>1620</v>
      </c>
      <c r="F1084" s="113" t="s">
        <v>3093</v>
      </c>
      <c r="G1084" s="115" t="s">
        <v>3093</v>
      </c>
      <c r="H1084" s="161">
        <v>0</v>
      </c>
      <c r="I1084" s="161" t="s">
        <v>7138</v>
      </c>
    </row>
    <row r="1085" spans="1:9">
      <c r="A1085" s="113">
        <v>100400773</v>
      </c>
      <c r="B1085" s="113" t="s">
        <v>3973</v>
      </c>
      <c r="C1085" s="113">
        <v>6050158</v>
      </c>
      <c r="D1085" s="113" t="s">
        <v>3093</v>
      </c>
      <c r="E1085" s="113" t="s">
        <v>1620</v>
      </c>
      <c r="F1085" s="113" t="s">
        <v>3093</v>
      </c>
      <c r="G1085" s="115" t="s">
        <v>3093</v>
      </c>
      <c r="H1085" s="161">
        <v>0</v>
      </c>
      <c r="I1085" s="161" t="s">
        <v>7138</v>
      </c>
    </row>
    <row r="1086" spans="1:9">
      <c r="A1086" s="113">
        <v>100400774</v>
      </c>
      <c r="B1086" s="113" t="s">
        <v>3974</v>
      </c>
      <c r="C1086" s="113">
        <v>6050159</v>
      </c>
      <c r="D1086" s="113" t="s">
        <v>3093</v>
      </c>
      <c r="E1086" s="113" t="s">
        <v>1620</v>
      </c>
      <c r="F1086" s="113" t="s">
        <v>3093</v>
      </c>
      <c r="G1086" s="115" t="s">
        <v>3093</v>
      </c>
      <c r="H1086" s="161">
        <v>85</v>
      </c>
      <c r="I1086" s="161">
        <v>12</v>
      </c>
    </row>
    <row r="1087" spans="1:9">
      <c r="A1087" s="113">
        <v>100400775</v>
      </c>
      <c r="B1087" s="113" t="s">
        <v>3975</v>
      </c>
      <c r="C1087" s="113">
        <v>6050160</v>
      </c>
      <c r="D1087" s="113" t="s">
        <v>3093</v>
      </c>
      <c r="E1087" s="113" t="s">
        <v>1620</v>
      </c>
      <c r="F1087" s="113" t="s">
        <v>3093</v>
      </c>
      <c r="G1087" s="115" t="s">
        <v>3093</v>
      </c>
      <c r="H1087" s="161">
        <v>122.04</v>
      </c>
      <c r="I1087" s="161" t="s">
        <v>7138</v>
      </c>
    </row>
    <row r="1088" spans="1:9">
      <c r="A1088" s="113">
        <v>100400776</v>
      </c>
      <c r="B1088" s="113" t="s">
        <v>3976</v>
      </c>
      <c r="C1088" s="113">
        <v>6050161</v>
      </c>
      <c r="D1088" s="113" t="s">
        <v>3093</v>
      </c>
      <c r="E1088" s="113" t="s">
        <v>1620</v>
      </c>
      <c r="F1088" s="113" t="s">
        <v>3093</v>
      </c>
      <c r="G1088" s="115" t="s">
        <v>3093</v>
      </c>
      <c r="H1088" s="161">
        <v>0</v>
      </c>
      <c r="I1088" s="161" t="s">
        <v>7138</v>
      </c>
    </row>
    <row r="1089" spans="1:9">
      <c r="A1089" s="113">
        <v>100400777</v>
      </c>
      <c r="B1089" s="113" t="s">
        <v>3977</v>
      </c>
      <c r="C1089" s="113">
        <v>6050162</v>
      </c>
      <c r="D1089" s="113" t="s">
        <v>3093</v>
      </c>
      <c r="E1089" s="113" t="s">
        <v>1620</v>
      </c>
      <c r="F1089" s="113" t="s">
        <v>3093</v>
      </c>
      <c r="G1089" s="115" t="s">
        <v>3093</v>
      </c>
      <c r="H1089" s="161">
        <v>61.5</v>
      </c>
      <c r="I1089" s="161">
        <v>5</v>
      </c>
    </row>
    <row r="1090" spans="1:9">
      <c r="A1090" s="113">
        <v>100400778</v>
      </c>
      <c r="B1090" s="113" t="s">
        <v>3978</v>
      </c>
      <c r="C1090" s="113">
        <v>6050163</v>
      </c>
      <c r="D1090" s="113" t="s">
        <v>3093</v>
      </c>
      <c r="E1090" s="113" t="s">
        <v>1620</v>
      </c>
      <c r="F1090" s="113" t="s">
        <v>3093</v>
      </c>
      <c r="G1090" s="115" t="s">
        <v>3093</v>
      </c>
      <c r="H1090" s="161">
        <v>54</v>
      </c>
      <c r="I1090" s="161">
        <v>2</v>
      </c>
    </row>
    <row r="1091" spans="1:9">
      <c r="A1091" s="113">
        <v>100400779</v>
      </c>
      <c r="B1091" s="113" t="s">
        <v>3979</v>
      </c>
      <c r="C1091" s="113">
        <v>6050164</v>
      </c>
      <c r="D1091" s="113" t="s">
        <v>3093</v>
      </c>
      <c r="E1091" s="113" t="s">
        <v>1620</v>
      </c>
      <c r="F1091" s="113" t="s">
        <v>3093</v>
      </c>
      <c r="G1091" s="115" t="s">
        <v>3093</v>
      </c>
      <c r="H1091" s="161">
        <v>35.75</v>
      </c>
      <c r="I1091" s="161">
        <v>2</v>
      </c>
    </row>
    <row r="1092" spans="1:9">
      <c r="A1092" s="113">
        <v>100400780</v>
      </c>
      <c r="B1092" s="113" t="s">
        <v>3980</v>
      </c>
      <c r="C1092" s="113">
        <v>6050165</v>
      </c>
      <c r="D1092" s="113" t="s">
        <v>3093</v>
      </c>
      <c r="E1092" s="113" t="s">
        <v>1620</v>
      </c>
      <c r="F1092" s="113" t="s">
        <v>3093</v>
      </c>
      <c r="G1092" s="115" t="s">
        <v>3093</v>
      </c>
      <c r="H1092" s="161">
        <v>41.77</v>
      </c>
      <c r="I1092" s="161">
        <v>7</v>
      </c>
    </row>
    <row r="1093" spans="1:9">
      <c r="A1093" s="113">
        <v>100400781</v>
      </c>
      <c r="B1093" s="113" t="s">
        <v>3981</v>
      </c>
      <c r="C1093" s="113">
        <v>6050166</v>
      </c>
      <c r="D1093" s="113" t="s">
        <v>3093</v>
      </c>
      <c r="E1093" s="113" t="s">
        <v>1620</v>
      </c>
      <c r="F1093" s="113" t="s">
        <v>3093</v>
      </c>
      <c r="G1093" s="115" t="s">
        <v>3093</v>
      </c>
      <c r="H1093" s="161">
        <v>0</v>
      </c>
      <c r="I1093" s="161" t="s">
        <v>7138</v>
      </c>
    </row>
    <row r="1094" spans="1:9">
      <c r="A1094" s="113">
        <v>100400782</v>
      </c>
      <c r="B1094" s="113" t="s">
        <v>3982</v>
      </c>
      <c r="C1094" s="113">
        <v>6050167</v>
      </c>
      <c r="D1094" s="113" t="s">
        <v>3093</v>
      </c>
      <c r="E1094" s="113" t="s">
        <v>1620</v>
      </c>
      <c r="F1094" s="113" t="s">
        <v>3093</v>
      </c>
      <c r="G1094" s="115" t="s">
        <v>3093</v>
      </c>
      <c r="H1094" s="161">
        <v>0</v>
      </c>
      <c r="I1094" s="161" t="s">
        <v>7138</v>
      </c>
    </row>
    <row r="1095" spans="1:9">
      <c r="A1095" s="113">
        <v>100400783</v>
      </c>
      <c r="B1095" s="113" t="s">
        <v>3983</v>
      </c>
      <c r="C1095" s="113">
        <v>6050168</v>
      </c>
      <c r="D1095" s="113" t="s">
        <v>3093</v>
      </c>
      <c r="E1095" s="113" t="s">
        <v>1620</v>
      </c>
      <c r="F1095" s="113" t="s">
        <v>3093</v>
      </c>
      <c r="G1095" s="115" t="s">
        <v>3093</v>
      </c>
      <c r="H1095" s="161">
        <v>69</v>
      </c>
      <c r="I1095" s="161">
        <v>0</v>
      </c>
    </row>
    <row r="1096" spans="1:9">
      <c r="A1096" s="113">
        <v>100400784</v>
      </c>
      <c r="B1096" s="113" t="s">
        <v>3984</v>
      </c>
      <c r="C1096" s="113">
        <v>6050169</v>
      </c>
      <c r="D1096" s="113" t="s">
        <v>3093</v>
      </c>
      <c r="E1096" s="113" t="s">
        <v>1620</v>
      </c>
      <c r="F1096" s="113" t="s">
        <v>3093</v>
      </c>
      <c r="G1096" s="115" t="s">
        <v>3093</v>
      </c>
      <c r="H1096" s="161">
        <v>69</v>
      </c>
      <c r="I1096" s="161">
        <v>2</v>
      </c>
    </row>
    <row r="1097" spans="1:9">
      <c r="A1097" s="113">
        <v>100400785</v>
      </c>
      <c r="B1097" s="113" t="s">
        <v>3985</v>
      </c>
      <c r="C1097" s="113">
        <v>6050171</v>
      </c>
      <c r="D1097" s="113" t="s">
        <v>3093</v>
      </c>
      <c r="E1097" s="113" t="s">
        <v>1620</v>
      </c>
      <c r="F1097" s="113" t="s">
        <v>3093</v>
      </c>
      <c r="G1097" s="115" t="s">
        <v>3093</v>
      </c>
      <c r="H1097" s="161">
        <v>11.3</v>
      </c>
      <c r="I1097" s="161">
        <v>6</v>
      </c>
    </row>
    <row r="1098" spans="1:9">
      <c r="A1098" s="113">
        <v>100400786</v>
      </c>
      <c r="B1098" s="113" t="s">
        <v>3986</v>
      </c>
      <c r="C1098" s="113">
        <v>6050172</v>
      </c>
      <c r="D1098" s="113" t="s">
        <v>3093</v>
      </c>
      <c r="E1098" s="113" t="s">
        <v>1620</v>
      </c>
      <c r="F1098" s="113" t="s">
        <v>3093</v>
      </c>
      <c r="G1098" s="115" t="s">
        <v>3093</v>
      </c>
      <c r="H1098" s="161">
        <v>40.68</v>
      </c>
      <c r="I1098" s="161">
        <v>6</v>
      </c>
    </row>
    <row r="1099" spans="1:9">
      <c r="A1099" s="113">
        <v>100400787</v>
      </c>
      <c r="B1099" s="113" t="s">
        <v>3987</v>
      </c>
      <c r="C1099" s="113">
        <v>6050173</v>
      </c>
      <c r="D1099" s="113" t="s">
        <v>3093</v>
      </c>
      <c r="E1099" s="113" t="s">
        <v>1620</v>
      </c>
      <c r="F1099" s="113" t="s">
        <v>3093</v>
      </c>
      <c r="G1099" s="115" t="s">
        <v>3093</v>
      </c>
      <c r="H1099" s="161">
        <v>40.68</v>
      </c>
      <c r="I1099" s="161">
        <v>0</v>
      </c>
    </row>
    <row r="1100" spans="1:9">
      <c r="A1100" s="113">
        <v>100400788</v>
      </c>
      <c r="B1100" s="113" t="s">
        <v>3988</v>
      </c>
      <c r="C1100" s="113">
        <v>6050174</v>
      </c>
      <c r="D1100" s="113" t="s">
        <v>3093</v>
      </c>
      <c r="E1100" s="113" t="s">
        <v>1620</v>
      </c>
      <c r="F1100" s="113" t="s">
        <v>3093</v>
      </c>
      <c r="G1100" s="115" t="s">
        <v>3093</v>
      </c>
      <c r="H1100" s="161">
        <v>9.1</v>
      </c>
      <c r="I1100" s="161">
        <v>0</v>
      </c>
    </row>
    <row r="1101" spans="1:9">
      <c r="A1101" s="113">
        <v>100400789</v>
      </c>
      <c r="B1101" s="113" t="s">
        <v>3989</v>
      </c>
      <c r="C1101" s="113">
        <v>6050175</v>
      </c>
      <c r="D1101" s="113" t="s">
        <v>3093</v>
      </c>
      <c r="E1101" s="113" t="s">
        <v>1620</v>
      </c>
      <c r="F1101" s="113" t="s">
        <v>3093</v>
      </c>
      <c r="G1101" s="115" t="s">
        <v>3093</v>
      </c>
      <c r="H1101" s="161">
        <v>5.73</v>
      </c>
      <c r="I1101" s="161">
        <v>12</v>
      </c>
    </row>
    <row r="1102" spans="1:9">
      <c r="A1102" s="113">
        <v>100400790</v>
      </c>
      <c r="B1102" s="113" t="s">
        <v>3990</v>
      </c>
      <c r="C1102" s="113">
        <v>6050176</v>
      </c>
      <c r="D1102" s="113" t="s">
        <v>3093</v>
      </c>
      <c r="E1102" s="113" t="s">
        <v>1620</v>
      </c>
      <c r="F1102" s="113" t="s">
        <v>3093</v>
      </c>
      <c r="G1102" s="115" t="s">
        <v>3093</v>
      </c>
      <c r="H1102" s="161">
        <v>11.16</v>
      </c>
      <c r="I1102" s="161">
        <v>13</v>
      </c>
    </row>
    <row r="1103" spans="1:9">
      <c r="A1103" s="113">
        <v>100400791</v>
      </c>
      <c r="B1103" s="113" t="s">
        <v>3991</v>
      </c>
      <c r="C1103" s="113">
        <v>6050177</v>
      </c>
      <c r="D1103" s="113" t="s">
        <v>3093</v>
      </c>
      <c r="E1103" s="113" t="s">
        <v>1620</v>
      </c>
      <c r="F1103" s="113" t="s">
        <v>3093</v>
      </c>
      <c r="G1103" s="115" t="s">
        <v>3093</v>
      </c>
      <c r="H1103" s="161">
        <v>17.91</v>
      </c>
      <c r="I1103" s="161">
        <v>5</v>
      </c>
    </row>
    <row r="1104" spans="1:9">
      <c r="A1104" s="113">
        <v>100400792</v>
      </c>
      <c r="B1104" s="113" t="s">
        <v>3992</v>
      </c>
      <c r="C1104" s="113">
        <v>6050178</v>
      </c>
      <c r="D1104" s="113" t="s">
        <v>3093</v>
      </c>
      <c r="E1104" s="113" t="s">
        <v>1620</v>
      </c>
      <c r="F1104" s="113" t="s">
        <v>3093</v>
      </c>
      <c r="G1104" s="115" t="s">
        <v>3093</v>
      </c>
      <c r="H1104" s="161">
        <v>0</v>
      </c>
      <c r="I1104" s="161" t="s">
        <v>7138</v>
      </c>
    </row>
    <row r="1105" spans="1:9">
      <c r="A1105" s="113">
        <v>100400793</v>
      </c>
      <c r="B1105" s="113" t="s">
        <v>3993</v>
      </c>
      <c r="C1105" s="113">
        <v>6050179</v>
      </c>
      <c r="D1105" s="113" t="s">
        <v>3093</v>
      </c>
      <c r="E1105" s="113" t="s">
        <v>1620</v>
      </c>
      <c r="F1105" s="113" t="s">
        <v>3093</v>
      </c>
      <c r="G1105" s="115" t="s">
        <v>3093</v>
      </c>
      <c r="H1105" s="161">
        <v>0</v>
      </c>
      <c r="I1105" s="161" t="s">
        <v>7138</v>
      </c>
    </row>
    <row r="1106" spans="1:9">
      <c r="A1106" s="113">
        <v>100400794</v>
      </c>
      <c r="B1106" s="113" t="s">
        <v>3994</v>
      </c>
      <c r="C1106" s="113">
        <v>6050180</v>
      </c>
      <c r="D1106" s="113" t="s">
        <v>3093</v>
      </c>
      <c r="E1106" s="113" t="s">
        <v>1620</v>
      </c>
      <c r="F1106" s="113" t="s">
        <v>3093</v>
      </c>
      <c r="G1106" s="115" t="s">
        <v>3093</v>
      </c>
      <c r="H1106" s="161">
        <v>15.06</v>
      </c>
      <c r="I1106" s="161">
        <v>0</v>
      </c>
    </row>
    <row r="1107" spans="1:9">
      <c r="A1107" s="113">
        <v>100400795</v>
      </c>
      <c r="B1107" s="113" t="s">
        <v>3995</v>
      </c>
      <c r="C1107" s="113">
        <v>6050181</v>
      </c>
      <c r="D1107" s="113" t="s">
        <v>3093</v>
      </c>
      <c r="E1107" s="113" t="s">
        <v>1620</v>
      </c>
      <c r="F1107" s="113" t="s">
        <v>3093</v>
      </c>
      <c r="G1107" s="115" t="s">
        <v>3093</v>
      </c>
      <c r="H1107" s="161">
        <v>12.31</v>
      </c>
      <c r="I1107" s="161">
        <v>0</v>
      </c>
    </row>
    <row r="1108" spans="1:9">
      <c r="A1108" s="113">
        <v>100400796</v>
      </c>
      <c r="B1108" s="113" t="s">
        <v>3996</v>
      </c>
      <c r="C1108" s="113">
        <v>6050182</v>
      </c>
      <c r="D1108" s="113" t="s">
        <v>3093</v>
      </c>
      <c r="E1108" s="113" t="s">
        <v>1620</v>
      </c>
      <c r="F1108" s="113" t="s">
        <v>3093</v>
      </c>
      <c r="G1108" s="115" t="s">
        <v>3093</v>
      </c>
      <c r="H1108" s="161">
        <v>13.32</v>
      </c>
      <c r="I1108" s="161">
        <v>0</v>
      </c>
    </row>
    <row r="1109" spans="1:9">
      <c r="A1109" s="113">
        <v>100400797</v>
      </c>
      <c r="B1109" s="113" t="s">
        <v>3997</v>
      </c>
      <c r="C1109" s="113">
        <v>6050183</v>
      </c>
      <c r="D1109" s="113" t="s">
        <v>3093</v>
      </c>
      <c r="E1109" s="113" t="s">
        <v>1620</v>
      </c>
      <c r="F1109" s="113" t="s">
        <v>3093</v>
      </c>
      <c r="G1109" s="115" t="s">
        <v>3093</v>
      </c>
      <c r="H1109" s="161">
        <v>17.57</v>
      </c>
      <c r="I1109" s="161">
        <v>6</v>
      </c>
    </row>
    <row r="1110" spans="1:9">
      <c r="A1110" s="113">
        <v>100400798</v>
      </c>
      <c r="B1110" s="113" t="s">
        <v>3998</v>
      </c>
      <c r="C1110" s="113">
        <v>6050184</v>
      </c>
      <c r="D1110" s="113" t="s">
        <v>3093</v>
      </c>
      <c r="E1110" s="113" t="s">
        <v>1620</v>
      </c>
      <c r="F1110" s="113" t="s">
        <v>3093</v>
      </c>
      <c r="G1110" s="115" t="s">
        <v>3093</v>
      </c>
      <c r="H1110" s="161">
        <v>30.67</v>
      </c>
      <c r="I1110" s="161">
        <v>0</v>
      </c>
    </row>
    <row r="1111" spans="1:9">
      <c r="A1111" s="113">
        <v>100400799</v>
      </c>
      <c r="B1111" s="113" t="s">
        <v>3999</v>
      </c>
      <c r="C1111" s="113">
        <v>6050185</v>
      </c>
      <c r="D1111" s="113" t="s">
        <v>3093</v>
      </c>
      <c r="E1111" s="113" t="s">
        <v>1620</v>
      </c>
      <c r="F1111" s="113" t="s">
        <v>3093</v>
      </c>
      <c r="G1111" s="115" t="s">
        <v>3093</v>
      </c>
      <c r="H1111" s="161">
        <v>0</v>
      </c>
      <c r="I1111" s="161" t="s">
        <v>7138</v>
      </c>
    </row>
    <row r="1112" spans="1:9">
      <c r="A1112" s="113">
        <v>100400800</v>
      </c>
      <c r="B1112" s="113" t="s">
        <v>2861</v>
      </c>
      <c r="C1112" s="113">
        <v>6050186</v>
      </c>
      <c r="D1112" s="113" t="s">
        <v>3093</v>
      </c>
      <c r="E1112" s="113" t="s">
        <v>1620</v>
      </c>
      <c r="F1112" s="113" t="s">
        <v>3093</v>
      </c>
      <c r="G1112" s="115" t="s">
        <v>3093</v>
      </c>
      <c r="H1112" s="161">
        <v>0</v>
      </c>
      <c r="I1112" s="161" t="s">
        <v>7138</v>
      </c>
    </row>
    <row r="1113" spans="1:9">
      <c r="A1113" s="113">
        <v>100400801</v>
      </c>
      <c r="B1113" s="113" t="s">
        <v>4000</v>
      </c>
      <c r="C1113" s="113">
        <v>6050188</v>
      </c>
      <c r="D1113" s="113" t="s">
        <v>3093</v>
      </c>
      <c r="E1113" s="113" t="s">
        <v>1620</v>
      </c>
      <c r="F1113" s="113" t="s">
        <v>3093</v>
      </c>
      <c r="G1113" s="115" t="s">
        <v>3093</v>
      </c>
      <c r="H1113" s="161">
        <v>217</v>
      </c>
      <c r="I1113" s="161">
        <v>1</v>
      </c>
    </row>
    <row r="1114" spans="1:9">
      <c r="A1114" s="113">
        <v>100400802</v>
      </c>
      <c r="B1114" s="113" t="s">
        <v>4001</v>
      </c>
      <c r="C1114" s="113">
        <v>6050192</v>
      </c>
      <c r="D1114" s="113" t="s">
        <v>3093</v>
      </c>
      <c r="E1114" s="113" t="s">
        <v>1620</v>
      </c>
      <c r="F1114" s="113" t="s">
        <v>3093</v>
      </c>
      <c r="G1114" s="115" t="s">
        <v>3093</v>
      </c>
      <c r="H1114" s="161">
        <v>0</v>
      </c>
      <c r="I1114" s="161" t="s">
        <v>7138</v>
      </c>
    </row>
    <row r="1115" spans="1:9">
      <c r="A1115" s="113">
        <v>100400803</v>
      </c>
      <c r="B1115" s="113" t="s">
        <v>4002</v>
      </c>
      <c r="C1115" s="113">
        <v>6050193</v>
      </c>
      <c r="D1115" s="113" t="s">
        <v>3093</v>
      </c>
      <c r="E1115" s="113" t="s">
        <v>1620</v>
      </c>
      <c r="F1115" s="113" t="s">
        <v>3093</v>
      </c>
      <c r="G1115" s="115" t="s">
        <v>3093</v>
      </c>
      <c r="H1115" s="161">
        <v>0</v>
      </c>
      <c r="I1115" s="161" t="s">
        <v>7138</v>
      </c>
    </row>
    <row r="1116" spans="1:9">
      <c r="A1116" s="113">
        <v>100400804</v>
      </c>
      <c r="B1116" s="113" t="s">
        <v>4003</v>
      </c>
      <c r="C1116" s="113">
        <v>6050194</v>
      </c>
      <c r="D1116" s="113" t="s">
        <v>3093</v>
      </c>
      <c r="E1116" s="113" t="s">
        <v>1620</v>
      </c>
      <c r="F1116" s="113" t="s">
        <v>3093</v>
      </c>
      <c r="G1116" s="115" t="s">
        <v>3093</v>
      </c>
      <c r="H1116" s="161">
        <v>0</v>
      </c>
      <c r="I1116" s="161" t="s">
        <v>7138</v>
      </c>
    </row>
    <row r="1117" spans="1:9">
      <c r="A1117" s="113">
        <v>100400805</v>
      </c>
      <c r="B1117" s="113" t="s">
        <v>4004</v>
      </c>
      <c r="C1117" s="113">
        <v>6050195</v>
      </c>
      <c r="D1117" s="113" t="s">
        <v>3093</v>
      </c>
      <c r="E1117" s="113" t="s">
        <v>1620</v>
      </c>
      <c r="F1117" s="113" t="s">
        <v>3093</v>
      </c>
      <c r="G1117" s="115" t="s">
        <v>3093</v>
      </c>
      <c r="H1117" s="161">
        <v>0</v>
      </c>
      <c r="I1117" s="161" t="s">
        <v>7138</v>
      </c>
    </row>
    <row r="1118" spans="1:9">
      <c r="A1118" s="113">
        <v>100400806</v>
      </c>
      <c r="B1118" s="113" t="s">
        <v>2862</v>
      </c>
      <c r="C1118" s="113">
        <v>6050196</v>
      </c>
      <c r="D1118" s="113" t="s">
        <v>3093</v>
      </c>
      <c r="E1118" s="113" t="s">
        <v>1620</v>
      </c>
      <c r="F1118" s="113" t="s">
        <v>3093</v>
      </c>
      <c r="G1118" s="115" t="s">
        <v>3093</v>
      </c>
      <c r="H1118" s="161">
        <v>0</v>
      </c>
      <c r="I1118" s="161" t="s">
        <v>7138</v>
      </c>
    </row>
    <row r="1119" spans="1:9">
      <c r="A1119" s="113">
        <v>100400807</v>
      </c>
      <c r="B1119" s="113" t="s">
        <v>4005</v>
      </c>
      <c r="C1119" s="113">
        <v>6050197</v>
      </c>
      <c r="D1119" s="113" t="s">
        <v>3093</v>
      </c>
      <c r="E1119" s="113" t="s">
        <v>1620</v>
      </c>
      <c r="F1119" s="113" t="s">
        <v>3093</v>
      </c>
      <c r="G1119" s="115" t="s">
        <v>3093</v>
      </c>
      <c r="H1119" s="161">
        <v>5.04</v>
      </c>
      <c r="I1119" s="161">
        <v>6</v>
      </c>
    </row>
    <row r="1120" spans="1:9">
      <c r="A1120" s="113">
        <v>100400808</v>
      </c>
      <c r="B1120" s="113" t="s">
        <v>2863</v>
      </c>
      <c r="C1120" s="113">
        <v>6050198</v>
      </c>
      <c r="D1120" s="113" t="s">
        <v>3093</v>
      </c>
      <c r="E1120" s="113" t="s">
        <v>1620</v>
      </c>
      <c r="F1120" s="113" t="s">
        <v>3093</v>
      </c>
      <c r="G1120" s="115" t="s">
        <v>3093</v>
      </c>
      <c r="H1120" s="161">
        <v>5.04</v>
      </c>
      <c r="I1120" s="161">
        <v>6</v>
      </c>
    </row>
    <row r="1121" spans="1:9">
      <c r="A1121" s="113">
        <v>100400809</v>
      </c>
      <c r="B1121" s="113" t="s">
        <v>4006</v>
      </c>
      <c r="C1121" s="113">
        <v>6050199</v>
      </c>
      <c r="D1121" s="113" t="s">
        <v>3093</v>
      </c>
      <c r="E1121" s="113" t="s">
        <v>1620</v>
      </c>
      <c r="F1121" s="113" t="s">
        <v>3093</v>
      </c>
      <c r="G1121" s="115" t="s">
        <v>3093</v>
      </c>
      <c r="H1121" s="161">
        <v>688</v>
      </c>
      <c r="I1121" s="161">
        <v>1</v>
      </c>
    </row>
    <row r="1122" spans="1:9">
      <c r="A1122" s="113">
        <v>100400810</v>
      </c>
      <c r="B1122" s="113" t="s">
        <v>4007</v>
      </c>
      <c r="C1122" s="113">
        <v>6050200</v>
      </c>
      <c r="D1122" s="113" t="s">
        <v>3093</v>
      </c>
      <c r="E1122" s="113" t="s">
        <v>1620</v>
      </c>
      <c r="F1122" s="113" t="s">
        <v>3093</v>
      </c>
      <c r="G1122" s="115" t="s">
        <v>3093</v>
      </c>
      <c r="H1122" s="161">
        <v>0</v>
      </c>
      <c r="I1122" s="161" t="s">
        <v>7138</v>
      </c>
    </row>
    <row r="1123" spans="1:9">
      <c r="A1123" s="113">
        <v>100400811</v>
      </c>
      <c r="B1123" s="113" t="s">
        <v>4008</v>
      </c>
      <c r="C1123" s="113">
        <v>6050201</v>
      </c>
      <c r="D1123" s="113" t="s">
        <v>3093</v>
      </c>
      <c r="E1123" s="113" t="s">
        <v>1620</v>
      </c>
      <c r="F1123" s="113" t="s">
        <v>3093</v>
      </c>
      <c r="G1123" s="115" t="s">
        <v>3093</v>
      </c>
      <c r="H1123" s="161">
        <v>0</v>
      </c>
      <c r="I1123" s="161" t="s">
        <v>7138</v>
      </c>
    </row>
    <row r="1124" spans="1:9">
      <c r="A1124" s="113">
        <v>100400812</v>
      </c>
      <c r="B1124" s="113" t="s">
        <v>4009</v>
      </c>
      <c r="C1124" s="113">
        <v>6050202</v>
      </c>
      <c r="D1124" s="113" t="s">
        <v>3093</v>
      </c>
      <c r="E1124" s="113" t="s">
        <v>1620</v>
      </c>
      <c r="F1124" s="113" t="s">
        <v>3093</v>
      </c>
      <c r="G1124" s="115" t="s">
        <v>3093</v>
      </c>
      <c r="H1124" s="161">
        <v>0</v>
      </c>
      <c r="I1124" s="161" t="s">
        <v>7138</v>
      </c>
    </row>
    <row r="1125" spans="1:9">
      <c r="A1125" s="113">
        <v>100400813</v>
      </c>
      <c r="B1125" s="113" t="s">
        <v>4010</v>
      </c>
      <c r="C1125" s="113">
        <v>6050203</v>
      </c>
      <c r="D1125" s="113" t="s">
        <v>3093</v>
      </c>
      <c r="E1125" s="113" t="s">
        <v>1620</v>
      </c>
      <c r="F1125" s="113" t="s">
        <v>3093</v>
      </c>
      <c r="G1125" s="115" t="s">
        <v>3093</v>
      </c>
      <c r="H1125" s="161">
        <v>12.15</v>
      </c>
      <c r="I1125" s="161">
        <v>0</v>
      </c>
    </row>
    <row r="1126" spans="1:9">
      <c r="A1126" s="113">
        <v>100400814</v>
      </c>
      <c r="B1126" s="113" t="s">
        <v>4011</v>
      </c>
      <c r="C1126" s="113">
        <v>6050204</v>
      </c>
      <c r="D1126" s="113" t="s">
        <v>3093</v>
      </c>
      <c r="E1126" s="113" t="s">
        <v>1620</v>
      </c>
      <c r="F1126" s="113" t="s">
        <v>3093</v>
      </c>
      <c r="G1126" s="115" t="s">
        <v>3093</v>
      </c>
      <c r="H1126" s="161">
        <v>39.549999999999997</v>
      </c>
      <c r="I1126" s="161">
        <v>36</v>
      </c>
    </row>
    <row r="1127" spans="1:9">
      <c r="A1127" s="113">
        <v>100400815</v>
      </c>
      <c r="B1127" s="113" t="s">
        <v>4012</v>
      </c>
      <c r="C1127" s="113">
        <v>6050205</v>
      </c>
      <c r="D1127" s="113" t="s">
        <v>3093</v>
      </c>
      <c r="E1127" s="113" t="s">
        <v>1620</v>
      </c>
      <c r="F1127" s="113" t="s">
        <v>3093</v>
      </c>
      <c r="G1127" s="115" t="s">
        <v>3093</v>
      </c>
      <c r="H1127" s="161">
        <v>54.88</v>
      </c>
      <c r="I1127" s="161">
        <v>0</v>
      </c>
    </row>
    <row r="1128" spans="1:9">
      <c r="A1128" s="113">
        <v>100400816</v>
      </c>
      <c r="B1128" s="113" t="s">
        <v>4013</v>
      </c>
      <c r="C1128" s="113">
        <v>6050206</v>
      </c>
      <c r="D1128" s="113" t="s">
        <v>3093</v>
      </c>
      <c r="E1128" s="113" t="s">
        <v>1620</v>
      </c>
      <c r="F1128" s="113" t="s">
        <v>3093</v>
      </c>
      <c r="G1128" s="115" t="s">
        <v>3093</v>
      </c>
      <c r="H1128" s="161">
        <v>24.62</v>
      </c>
      <c r="I1128" s="161">
        <v>0</v>
      </c>
    </row>
    <row r="1129" spans="1:9">
      <c r="A1129" s="113">
        <v>100400817</v>
      </c>
      <c r="B1129" s="113" t="s">
        <v>4014</v>
      </c>
      <c r="C1129" s="113">
        <v>6050207</v>
      </c>
      <c r="D1129" s="113" t="s">
        <v>3093</v>
      </c>
      <c r="E1129" s="113" t="s">
        <v>1620</v>
      </c>
      <c r="F1129" s="113" t="s">
        <v>3093</v>
      </c>
      <c r="G1129" s="115" t="s">
        <v>3093</v>
      </c>
      <c r="H1129" s="161">
        <v>20</v>
      </c>
      <c r="I1129" s="161">
        <v>0</v>
      </c>
    </row>
    <row r="1130" spans="1:9">
      <c r="A1130" s="113">
        <v>100400818</v>
      </c>
      <c r="B1130" s="113" t="s">
        <v>4015</v>
      </c>
      <c r="C1130" s="113">
        <v>6050208</v>
      </c>
      <c r="D1130" s="113" t="s">
        <v>3093</v>
      </c>
      <c r="E1130" s="113" t="s">
        <v>1620</v>
      </c>
      <c r="F1130" s="113" t="s">
        <v>3093</v>
      </c>
      <c r="G1130" s="115" t="s">
        <v>3093</v>
      </c>
      <c r="H1130" s="161">
        <v>54.88</v>
      </c>
      <c r="I1130" s="161">
        <v>0</v>
      </c>
    </row>
    <row r="1131" spans="1:9">
      <c r="A1131" s="113">
        <v>100400819</v>
      </c>
      <c r="B1131" s="113" t="s">
        <v>4016</v>
      </c>
      <c r="C1131" s="113">
        <v>6050209</v>
      </c>
      <c r="D1131" s="113" t="s">
        <v>3093</v>
      </c>
      <c r="E1131" s="113" t="s">
        <v>1620</v>
      </c>
      <c r="F1131" s="113" t="s">
        <v>3093</v>
      </c>
      <c r="G1131" s="115" t="s">
        <v>3093</v>
      </c>
      <c r="H1131" s="161">
        <v>0</v>
      </c>
      <c r="I1131" s="161" t="s">
        <v>7138</v>
      </c>
    </row>
    <row r="1132" spans="1:9">
      <c r="A1132" s="113">
        <v>100400820</v>
      </c>
      <c r="B1132" s="113" t="s">
        <v>4017</v>
      </c>
      <c r="C1132" s="113">
        <v>6050210</v>
      </c>
      <c r="D1132" s="113" t="s">
        <v>3093</v>
      </c>
      <c r="E1132" s="113" t="s">
        <v>1620</v>
      </c>
      <c r="F1132" s="113" t="s">
        <v>3093</v>
      </c>
      <c r="G1132" s="115" t="s">
        <v>3093</v>
      </c>
      <c r="H1132" s="161">
        <v>75.099999999999994</v>
      </c>
      <c r="I1132" s="161">
        <v>12</v>
      </c>
    </row>
    <row r="1133" spans="1:9">
      <c r="A1133" s="113">
        <v>100400821</v>
      </c>
      <c r="B1133" s="113" t="s">
        <v>4018</v>
      </c>
      <c r="C1133" s="113">
        <v>6050211</v>
      </c>
      <c r="D1133" s="113" t="s">
        <v>3093</v>
      </c>
      <c r="E1133" s="113" t="s">
        <v>1620</v>
      </c>
      <c r="F1133" s="113" t="s">
        <v>3093</v>
      </c>
      <c r="G1133" s="115" t="s">
        <v>3093</v>
      </c>
      <c r="H1133" s="161">
        <v>36</v>
      </c>
      <c r="I1133" s="161">
        <v>10</v>
      </c>
    </row>
    <row r="1134" spans="1:9">
      <c r="A1134" s="113">
        <v>100400822</v>
      </c>
      <c r="B1134" s="113" t="s">
        <v>4019</v>
      </c>
      <c r="C1134" s="113">
        <v>6050212</v>
      </c>
      <c r="D1134" s="113" t="s">
        <v>3093</v>
      </c>
      <c r="E1134" s="113" t="s">
        <v>1620</v>
      </c>
      <c r="F1134" s="113" t="s">
        <v>3093</v>
      </c>
      <c r="G1134" s="115" t="s">
        <v>3093</v>
      </c>
      <c r="H1134" s="161">
        <v>450.45</v>
      </c>
      <c r="I1134" s="161">
        <v>0</v>
      </c>
    </row>
    <row r="1135" spans="1:9">
      <c r="A1135" s="113">
        <v>100400823</v>
      </c>
      <c r="B1135" s="113" t="s">
        <v>4020</v>
      </c>
      <c r="C1135" s="113">
        <v>6050213</v>
      </c>
      <c r="D1135" s="113" t="s">
        <v>3093</v>
      </c>
      <c r="E1135" s="113" t="s">
        <v>1620</v>
      </c>
      <c r="F1135" s="113" t="s">
        <v>3093</v>
      </c>
      <c r="G1135" s="115" t="s">
        <v>3093</v>
      </c>
      <c r="H1135" s="161">
        <v>223.29</v>
      </c>
      <c r="I1135" s="161">
        <v>0</v>
      </c>
    </row>
    <row r="1136" spans="1:9">
      <c r="A1136" s="113">
        <v>100400824</v>
      </c>
      <c r="B1136" s="113" t="s">
        <v>4021</v>
      </c>
      <c r="C1136" s="113">
        <v>6050214</v>
      </c>
      <c r="D1136" s="113" t="s">
        <v>3093</v>
      </c>
      <c r="E1136" s="113" t="s">
        <v>1620</v>
      </c>
      <c r="F1136" s="113" t="s">
        <v>3093</v>
      </c>
      <c r="G1136" s="115" t="s">
        <v>3093</v>
      </c>
      <c r="H1136" s="161">
        <v>223.29</v>
      </c>
      <c r="I1136" s="161">
        <v>0</v>
      </c>
    </row>
    <row r="1137" spans="1:9">
      <c r="A1137" s="113">
        <v>100400826</v>
      </c>
      <c r="B1137" s="113" t="s">
        <v>4022</v>
      </c>
      <c r="C1137" s="113">
        <v>6050216</v>
      </c>
      <c r="D1137" s="113" t="s">
        <v>3093</v>
      </c>
      <c r="E1137" s="113" t="s">
        <v>1620</v>
      </c>
      <c r="F1137" s="113" t="s">
        <v>3093</v>
      </c>
      <c r="G1137" s="115" t="s">
        <v>3093</v>
      </c>
      <c r="H1137" s="161">
        <v>39.6</v>
      </c>
      <c r="I1137" s="161">
        <v>2</v>
      </c>
    </row>
    <row r="1138" spans="1:9">
      <c r="A1138" s="113">
        <v>100400827</v>
      </c>
      <c r="B1138" s="113" t="s">
        <v>2864</v>
      </c>
      <c r="C1138" s="113">
        <v>6050217</v>
      </c>
      <c r="D1138" s="113" t="s">
        <v>3093</v>
      </c>
      <c r="E1138" s="113" t="s">
        <v>1620</v>
      </c>
      <c r="F1138" s="113" t="s">
        <v>3093</v>
      </c>
      <c r="G1138" s="115" t="s">
        <v>3093</v>
      </c>
      <c r="H1138" s="161">
        <v>0</v>
      </c>
      <c r="I1138" s="161" t="s">
        <v>7138</v>
      </c>
    </row>
    <row r="1139" spans="1:9">
      <c r="A1139" s="113">
        <v>100400828</v>
      </c>
      <c r="B1139" s="113" t="s">
        <v>4023</v>
      </c>
      <c r="C1139" s="113">
        <v>6050219</v>
      </c>
      <c r="D1139" s="113" t="s">
        <v>3093</v>
      </c>
      <c r="E1139" s="113" t="s">
        <v>1620</v>
      </c>
      <c r="F1139" s="113" t="s">
        <v>3093</v>
      </c>
      <c r="G1139" s="115" t="s">
        <v>3093</v>
      </c>
      <c r="H1139" s="161">
        <v>16.03</v>
      </c>
      <c r="I1139" s="161">
        <v>4</v>
      </c>
    </row>
    <row r="1140" spans="1:9">
      <c r="A1140" s="113">
        <v>100400829</v>
      </c>
      <c r="B1140" s="113" t="s">
        <v>4024</v>
      </c>
      <c r="C1140" s="113">
        <v>6050220</v>
      </c>
      <c r="D1140" s="113" t="s">
        <v>3093</v>
      </c>
      <c r="E1140" s="113" t="s">
        <v>1620</v>
      </c>
      <c r="F1140" s="113" t="s">
        <v>3093</v>
      </c>
      <c r="G1140" s="115" t="s">
        <v>3093</v>
      </c>
      <c r="H1140" s="161">
        <v>16.03</v>
      </c>
      <c r="I1140" s="161">
        <v>1</v>
      </c>
    </row>
    <row r="1141" spans="1:9">
      <c r="A1141" s="113">
        <v>100400830</v>
      </c>
      <c r="B1141" s="113" t="s">
        <v>4025</v>
      </c>
      <c r="C1141" s="113">
        <v>6050221</v>
      </c>
      <c r="D1141" s="113" t="s">
        <v>3093</v>
      </c>
      <c r="E1141" s="113" t="s">
        <v>1620</v>
      </c>
      <c r="F1141" s="113" t="s">
        <v>3093</v>
      </c>
      <c r="G1141" s="115" t="s">
        <v>3093</v>
      </c>
      <c r="H1141" s="161">
        <v>8.25</v>
      </c>
      <c r="I1141" s="161">
        <v>1</v>
      </c>
    </row>
    <row r="1142" spans="1:9">
      <c r="A1142" s="113">
        <v>100400831</v>
      </c>
      <c r="B1142" s="113" t="s">
        <v>4026</v>
      </c>
      <c r="C1142" s="113">
        <v>6050222</v>
      </c>
      <c r="D1142" s="113" t="s">
        <v>3093</v>
      </c>
      <c r="E1142" s="113" t="s">
        <v>1620</v>
      </c>
      <c r="F1142" s="113" t="s">
        <v>3093</v>
      </c>
      <c r="G1142" s="115" t="s">
        <v>3093</v>
      </c>
      <c r="H1142" s="161">
        <v>8.25</v>
      </c>
      <c r="I1142" s="161">
        <v>3</v>
      </c>
    </row>
    <row r="1143" spans="1:9">
      <c r="A1143" s="113">
        <v>100400832</v>
      </c>
      <c r="B1143" s="113" t="s">
        <v>4027</v>
      </c>
      <c r="C1143" s="113">
        <v>6050223</v>
      </c>
      <c r="D1143" s="113" t="s">
        <v>3093</v>
      </c>
      <c r="E1143" s="113" t="s">
        <v>1620</v>
      </c>
      <c r="F1143" s="113" t="s">
        <v>3093</v>
      </c>
      <c r="G1143" s="115" t="s">
        <v>3093</v>
      </c>
      <c r="H1143" s="161">
        <v>5</v>
      </c>
      <c r="I1143" s="161">
        <v>0</v>
      </c>
    </row>
    <row r="1144" spans="1:9">
      <c r="A1144" s="113">
        <v>100400833</v>
      </c>
      <c r="B1144" s="113" t="s">
        <v>4028</v>
      </c>
      <c r="C1144" s="113">
        <v>6050224</v>
      </c>
      <c r="D1144" s="113" t="s">
        <v>3093</v>
      </c>
      <c r="E1144" s="113" t="s">
        <v>1620</v>
      </c>
      <c r="F1144" s="113" t="s">
        <v>3093</v>
      </c>
      <c r="G1144" s="115" t="s">
        <v>3093</v>
      </c>
      <c r="H1144" s="161">
        <v>23.21</v>
      </c>
      <c r="I1144" s="161">
        <v>10</v>
      </c>
    </row>
    <row r="1145" spans="1:9">
      <c r="A1145" s="113">
        <v>100400834</v>
      </c>
      <c r="B1145" s="113" t="s">
        <v>4029</v>
      </c>
      <c r="C1145" s="113">
        <v>6050225</v>
      </c>
      <c r="D1145" s="113" t="s">
        <v>3093</v>
      </c>
      <c r="E1145" s="113" t="s">
        <v>1620</v>
      </c>
      <c r="F1145" s="113" t="s">
        <v>3093</v>
      </c>
      <c r="G1145" s="115" t="s">
        <v>3093</v>
      </c>
      <c r="H1145" s="161">
        <v>0</v>
      </c>
      <c r="I1145" s="161" t="s">
        <v>7138</v>
      </c>
    </row>
    <row r="1146" spans="1:9">
      <c r="A1146" s="113">
        <v>100400835</v>
      </c>
      <c r="B1146" s="113" t="s">
        <v>4030</v>
      </c>
      <c r="C1146" s="113">
        <v>6050226</v>
      </c>
      <c r="D1146" s="113" t="s">
        <v>3093</v>
      </c>
      <c r="E1146" s="113" t="s">
        <v>1620</v>
      </c>
      <c r="F1146" s="113" t="s">
        <v>3093</v>
      </c>
      <c r="G1146" s="115" t="s">
        <v>3093</v>
      </c>
      <c r="H1146" s="161">
        <v>0</v>
      </c>
      <c r="I1146" s="161" t="s">
        <v>7138</v>
      </c>
    </row>
    <row r="1147" spans="1:9">
      <c r="A1147" s="113">
        <v>100400836</v>
      </c>
      <c r="B1147" s="113" t="s">
        <v>4031</v>
      </c>
      <c r="C1147" s="113">
        <v>6050227</v>
      </c>
      <c r="D1147" s="113" t="s">
        <v>3093</v>
      </c>
      <c r="E1147" s="113" t="s">
        <v>1620</v>
      </c>
      <c r="F1147" s="113" t="s">
        <v>3093</v>
      </c>
      <c r="G1147" s="115" t="s">
        <v>3093</v>
      </c>
      <c r="H1147" s="161">
        <v>0</v>
      </c>
      <c r="I1147" s="161" t="s">
        <v>7138</v>
      </c>
    </row>
    <row r="1148" spans="1:9">
      <c r="A1148" s="113">
        <v>100400837</v>
      </c>
      <c r="B1148" s="113" t="s">
        <v>4032</v>
      </c>
      <c r="C1148" s="113">
        <v>6050228</v>
      </c>
      <c r="D1148" s="113" t="s">
        <v>3093</v>
      </c>
      <c r="E1148" s="113" t="s">
        <v>1620</v>
      </c>
      <c r="F1148" s="113" t="s">
        <v>3093</v>
      </c>
      <c r="G1148" s="115" t="s">
        <v>3093</v>
      </c>
      <c r="H1148" s="161">
        <v>0</v>
      </c>
      <c r="I1148" s="161" t="s">
        <v>7138</v>
      </c>
    </row>
    <row r="1149" spans="1:9">
      <c r="A1149" s="113">
        <v>100400838</v>
      </c>
      <c r="B1149" s="113" t="s">
        <v>4033</v>
      </c>
      <c r="C1149" s="113">
        <v>6050229</v>
      </c>
      <c r="D1149" s="113" t="s">
        <v>3093</v>
      </c>
      <c r="E1149" s="113" t="s">
        <v>1620</v>
      </c>
      <c r="F1149" s="113" t="s">
        <v>3093</v>
      </c>
      <c r="G1149" s="115" t="s">
        <v>3093</v>
      </c>
      <c r="H1149" s="161">
        <v>1038</v>
      </c>
      <c r="I1149" s="161">
        <v>2</v>
      </c>
    </row>
    <row r="1150" spans="1:9">
      <c r="A1150" s="113">
        <v>100400839</v>
      </c>
      <c r="B1150" s="113" t="s">
        <v>4034</v>
      </c>
      <c r="C1150" s="113">
        <v>6050230</v>
      </c>
      <c r="D1150" s="113" t="s">
        <v>3093</v>
      </c>
      <c r="E1150" s="113" t="s">
        <v>1620</v>
      </c>
      <c r="F1150" s="113" t="s">
        <v>3093</v>
      </c>
      <c r="G1150" s="115" t="s">
        <v>3093</v>
      </c>
      <c r="H1150" s="161">
        <v>20</v>
      </c>
      <c r="I1150" s="161">
        <v>2</v>
      </c>
    </row>
    <row r="1151" spans="1:9">
      <c r="A1151" s="113">
        <v>100400840</v>
      </c>
      <c r="B1151" s="113" t="s">
        <v>4035</v>
      </c>
      <c r="C1151" s="113">
        <v>6050231</v>
      </c>
      <c r="D1151" s="113" t="s">
        <v>3093</v>
      </c>
      <c r="E1151" s="113" t="s">
        <v>1620</v>
      </c>
      <c r="F1151" s="113" t="s">
        <v>3093</v>
      </c>
      <c r="G1151" s="115" t="s">
        <v>3093</v>
      </c>
      <c r="H1151" s="161">
        <v>8.99</v>
      </c>
      <c r="I1151" s="161">
        <v>1</v>
      </c>
    </row>
    <row r="1152" spans="1:9">
      <c r="A1152" s="113">
        <v>100400841</v>
      </c>
      <c r="B1152" s="113" t="s">
        <v>4036</v>
      </c>
      <c r="C1152" s="113">
        <v>6050232</v>
      </c>
      <c r="D1152" s="113" t="s">
        <v>3093</v>
      </c>
      <c r="E1152" s="113" t="s">
        <v>1620</v>
      </c>
      <c r="F1152" s="113" t="s">
        <v>3093</v>
      </c>
      <c r="G1152" s="115" t="s">
        <v>3093</v>
      </c>
      <c r="H1152" s="161">
        <v>284</v>
      </c>
      <c r="I1152" s="161">
        <v>2</v>
      </c>
    </row>
    <row r="1153" spans="1:9">
      <c r="A1153" s="113">
        <v>100400842</v>
      </c>
      <c r="B1153" s="113" t="s">
        <v>4037</v>
      </c>
      <c r="C1153" s="113">
        <v>6050233</v>
      </c>
      <c r="D1153" s="113" t="s">
        <v>3093</v>
      </c>
      <c r="E1153" s="113" t="s">
        <v>1620</v>
      </c>
      <c r="F1153" s="113" t="s">
        <v>3093</v>
      </c>
      <c r="G1153" s="115" t="s">
        <v>3093</v>
      </c>
      <c r="H1153" s="161">
        <v>440</v>
      </c>
      <c r="I1153" s="161">
        <v>1</v>
      </c>
    </row>
    <row r="1154" spans="1:9">
      <c r="A1154" s="113">
        <v>100400843</v>
      </c>
      <c r="B1154" s="113" t="s">
        <v>4038</v>
      </c>
      <c r="C1154" s="113">
        <v>6050234</v>
      </c>
      <c r="D1154" s="113" t="s">
        <v>3093</v>
      </c>
      <c r="E1154" s="113" t="s">
        <v>1620</v>
      </c>
      <c r="F1154" s="113" t="s">
        <v>3093</v>
      </c>
      <c r="G1154" s="115" t="s">
        <v>3093</v>
      </c>
      <c r="H1154" s="161">
        <v>0</v>
      </c>
      <c r="I1154" s="161" t="s">
        <v>7138</v>
      </c>
    </row>
    <row r="1155" spans="1:9">
      <c r="A1155" s="113">
        <v>100400844</v>
      </c>
      <c r="B1155" s="113" t="s">
        <v>2865</v>
      </c>
      <c r="C1155" s="113">
        <v>6050235</v>
      </c>
      <c r="D1155" s="113" t="s">
        <v>3093</v>
      </c>
      <c r="E1155" s="113" t="s">
        <v>1620</v>
      </c>
      <c r="F1155" s="113" t="s">
        <v>3093</v>
      </c>
      <c r="G1155" s="115" t="s">
        <v>3093</v>
      </c>
      <c r="H1155" s="161">
        <v>0</v>
      </c>
      <c r="I1155" s="161" t="s">
        <v>7138</v>
      </c>
    </row>
    <row r="1156" spans="1:9">
      <c r="A1156" s="113">
        <v>100400845</v>
      </c>
      <c r="B1156" s="113" t="s">
        <v>4039</v>
      </c>
      <c r="C1156" s="113">
        <v>6050240</v>
      </c>
      <c r="D1156" s="113" t="s">
        <v>3093</v>
      </c>
      <c r="E1156" s="113" t="s">
        <v>1620</v>
      </c>
      <c r="F1156" s="113" t="s">
        <v>3093</v>
      </c>
      <c r="G1156" s="115" t="s">
        <v>3093</v>
      </c>
      <c r="H1156" s="161">
        <v>0</v>
      </c>
      <c r="I1156" s="161" t="s">
        <v>7138</v>
      </c>
    </row>
    <row r="1157" spans="1:9">
      <c r="A1157" s="113">
        <v>100400846</v>
      </c>
      <c r="B1157" s="113" t="s">
        <v>4040</v>
      </c>
      <c r="C1157" s="113">
        <v>6050241</v>
      </c>
      <c r="D1157" s="113" t="s">
        <v>3093</v>
      </c>
      <c r="E1157" s="113" t="s">
        <v>1620</v>
      </c>
      <c r="F1157" s="113" t="s">
        <v>3093</v>
      </c>
      <c r="G1157" s="115" t="s">
        <v>3093</v>
      </c>
      <c r="H1157" s="161">
        <v>80.319999999999993</v>
      </c>
      <c r="I1157" s="161">
        <v>0</v>
      </c>
    </row>
    <row r="1158" spans="1:9">
      <c r="A1158" s="113">
        <v>100400847</v>
      </c>
      <c r="B1158" s="113" t="s">
        <v>4041</v>
      </c>
      <c r="C1158" s="113">
        <v>6050242</v>
      </c>
      <c r="D1158" s="113" t="s">
        <v>3093</v>
      </c>
      <c r="E1158" s="113" t="s">
        <v>1620</v>
      </c>
      <c r="F1158" s="113" t="s">
        <v>3093</v>
      </c>
      <c r="G1158" s="115" t="s">
        <v>3093</v>
      </c>
      <c r="H1158" s="161">
        <v>80.319999999999993</v>
      </c>
      <c r="I1158" s="161">
        <v>0</v>
      </c>
    </row>
    <row r="1159" spans="1:9">
      <c r="A1159" s="113">
        <v>100400848</v>
      </c>
      <c r="B1159" s="113" t="s">
        <v>4042</v>
      </c>
      <c r="C1159" s="113">
        <v>6050243</v>
      </c>
      <c r="D1159" s="113" t="s">
        <v>3093</v>
      </c>
      <c r="E1159" s="113" t="s">
        <v>1620</v>
      </c>
      <c r="F1159" s="113" t="s">
        <v>3093</v>
      </c>
      <c r="G1159" s="115" t="s">
        <v>3093</v>
      </c>
      <c r="H1159" s="161">
        <v>80.94</v>
      </c>
      <c r="I1159" s="161">
        <v>0</v>
      </c>
    </row>
    <row r="1160" spans="1:9">
      <c r="A1160" s="113">
        <v>100400849</v>
      </c>
      <c r="B1160" s="113" t="s">
        <v>2866</v>
      </c>
      <c r="C1160" s="113">
        <v>6050244</v>
      </c>
      <c r="D1160" s="113" t="s">
        <v>3093</v>
      </c>
      <c r="E1160" s="113" t="s">
        <v>1620</v>
      </c>
      <c r="F1160" s="113" t="s">
        <v>3093</v>
      </c>
      <c r="G1160" s="115" t="s">
        <v>3093</v>
      </c>
      <c r="H1160" s="161">
        <v>80.94</v>
      </c>
      <c r="I1160" s="161" t="s">
        <v>7138</v>
      </c>
    </row>
    <row r="1161" spans="1:9">
      <c r="A1161" s="113">
        <v>100400850</v>
      </c>
      <c r="B1161" s="113" t="s">
        <v>4043</v>
      </c>
      <c r="C1161" s="113">
        <v>6050245</v>
      </c>
      <c r="D1161" s="113" t="s">
        <v>3093</v>
      </c>
      <c r="E1161" s="113" t="s">
        <v>1620</v>
      </c>
      <c r="F1161" s="113" t="s">
        <v>3093</v>
      </c>
      <c r="G1161" s="115" t="s">
        <v>3093</v>
      </c>
      <c r="H1161" s="161">
        <v>9.5</v>
      </c>
      <c r="I1161" s="161">
        <v>24</v>
      </c>
    </row>
    <row r="1162" spans="1:9">
      <c r="A1162" s="113">
        <v>100400851</v>
      </c>
      <c r="B1162" s="113" t="s">
        <v>4044</v>
      </c>
      <c r="C1162" s="113">
        <v>6050246</v>
      </c>
      <c r="D1162" s="113" t="s">
        <v>3093</v>
      </c>
      <c r="E1162" s="113" t="s">
        <v>1620</v>
      </c>
      <c r="F1162" s="113" t="s">
        <v>3093</v>
      </c>
      <c r="G1162" s="115" t="s">
        <v>3093</v>
      </c>
      <c r="H1162" s="161">
        <v>12.97</v>
      </c>
      <c r="I1162" s="161">
        <v>32</v>
      </c>
    </row>
    <row r="1163" spans="1:9">
      <c r="A1163" s="113">
        <v>100400852</v>
      </c>
      <c r="B1163" s="113" t="s">
        <v>4045</v>
      </c>
      <c r="C1163" s="113">
        <v>6050247</v>
      </c>
      <c r="D1163" s="113" t="s">
        <v>3093</v>
      </c>
      <c r="E1163" s="113" t="s">
        <v>1620</v>
      </c>
      <c r="F1163" s="113" t="s">
        <v>3093</v>
      </c>
      <c r="G1163" s="115" t="s">
        <v>3093</v>
      </c>
      <c r="H1163" s="161">
        <v>107.35</v>
      </c>
      <c r="I1163" s="161">
        <v>0</v>
      </c>
    </row>
    <row r="1164" spans="1:9">
      <c r="A1164" s="113">
        <v>100400853</v>
      </c>
      <c r="B1164" s="113" t="s">
        <v>4046</v>
      </c>
      <c r="C1164" s="113">
        <v>6050248</v>
      </c>
      <c r="D1164" s="113" t="s">
        <v>3093</v>
      </c>
      <c r="E1164" s="113" t="s">
        <v>1620</v>
      </c>
      <c r="F1164" s="113" t="s">
        <v>3093</v>
      </c>
      <c r="G1164" s="115" t="s">
        <v>3093</v>
      </c>
      <c r="H1164" s="161">
        <v>0</v>
      </c>
      <c r="I1164" s="161" t="s">
        <v>7138</v>
      </c>
    </row>
    <row r="1165" spans="1:9">
      <c r="A1165" s="113">
        <v>100400854</v>
      </c>
      <c r="B1165" s="113" t="s">
        <v>4047</v>
      </c>
      <c r="C1165" s="113">
        <v>6050249</v>
      </c>
      <c r="D1165" s="113" t="s">
        <v>3093</v>
      </c>
      <c r="E1165" s="113" t="s">
        <v>1620</v>
      </c>
      <c r="F1165" s="113" t="s">
        <v>3093</v>
      </c>
      <c r="G1165" s="115" t="s">
        <v>3093</v>
      </c>
      <c r="H1165" s="161">
        <v>33.1</v>
      </c>
      <c r="I1165" s="161">
        <v>12</v>
      </c>
    </row>
    <row r="1166" spans="1:9">
      <c r="A1166" s="113">
        <v>100400855</v>
      </c>
      <c r="B1166" s="113" t="s">
        <v>4048</v>
      </c>
      <c r="C1166" s="113">
        <v>6050250</v>
      </c>
      <c r="D1166" s="113" t="s">
        <v>3093</v>
      </c>
      <c r="E1166" s="113" t="s">
        <v>1620</v>
      </c>
      <c r="F1166" s="113" t="s">
        <v>3093</v>
      </c>
      <c r="G1166" s="115" t="s">
        <v>3093</v>
      </c>
      <c r="H1166" s="161">
        <v>49.02</v>
      </c>
      <c r="I1166" s="161">
        <v>16</v>
      </c>
    </row>
    <row r="1167" spans="1:9">
      <c r="A1167" s="113">
        <v>100400856</v>
      </c>
      <c r="B1167" s="113" t="s">
        <v>4049</v>
      </c>
      <c r="C1167" s="113">
        <v>6050251</v>
      </c>
      <c r="D1167" s="113" t="s">
        <v>3093</v>
      </c>
      <c r="E1167" s="113" t="s">
        <v>1620</v>
      </c>
      <c r="F1167" s="113" t="s">
        <v>3093</v>
      </c>
      <c r="G1167" s="115" t="s">
        <v>3093</v>
      </c>
      <c r="H1167" s="161">
        <v>57.79</v>
      </c>
      <c r="I1167" s="161">
        <v>0</v>
      </c>
    </row>
    <row r="1168" spans="1:9">
      <c r="A1168" s="113">
        <v>100400857</v>
      </c>
      <c r="B1168" s="113" t="s">
        <v>4050</v>
      </c>
      <c r="C1168" s="113">
        <v>6050252</v>
      </c>
      <c r="D1168" s="113" t="s">
        <v>3093</v>
      </c>
      <c r="E1168" s="113" t="s">
        <v>1620</v>
      </c>
      <c r="F1168" s="113" t="s">
        <v>3093</v>
      </c>
      <c r="G1168" s="115" t="s">
        <v>3093</v>
      </c>
      <c r="H1168" s="161">
        <v>57.79</v>
      </c>
      <c r="I1168" s="161">
        <v>1</v>
      </c>
    </row>
    <row r="1169" spans="1:9">
      <c r="A1169" s="113">
        <v>100400858</v>
      </c>
      <c r="B1169" s="113" t="s">
        <v>4051</v>
      </c>
      <c r="C1169" s="113">
        <v>6050253</v>
      </c>
      <c r="D1169" s="113" t="s">
        <v>3093</v>
      </c>
      <c r="E1169" s="113" t="s">
        <v>1620</v>
      </c>
      <c r="F1169" s="113" t="s">
        <v>3093</v>
      </c>
      <c r="G1169" s="115" t="s">
        <v>3093</v>
      </c>
      <c r="H1169" s="161">
        <v>36.590000000000003</v>
      </c>
      <c r="I1169" s="161">
        <v>10</v>
      </c>
    </row>
    <row r="1170" spans="1:9">
      <c r="A1170" s="113">
        <v>100400859</v>
      </c>
      <c r="B1170" s="113" t="s">
        <v>4052</v>
      </c>
      <c r="C1170" s="113">
        <v>6050254</v>
      </c>
      <c r="D1170" s="113" t="s">
        <v>3093</v>
      </c>
      <c r="E1170" s="113" t="s">
        <v>1620</v>
      </c>
      <c r="F1170" s="113" t="s">
        <v>3093</v>
      </c>
      <c r="G1170" s="115" t="s">
        <v>3093</v>
      </c>
      <c r="H1170" s="161">
        <v>15.37</v>
      </c>
      <c r="I1170" s="161">
        <v>6</v>
      </c>
    </row>
    <row r="1171" spans="1:9">
      <c r="A1171" s="113">
        <v>100400861</v>
      </c>
      <c r="B1171" s="113" t="s">
        <v>4053</v>
      </c>
      <c r="C1171" s="113">
        <v>6050256</v>
      </c>
      <c r="D1171" s="113" t="s">
        <v>3093</v>
      </c>
      <c r="E1171" s="113" t="s">
        <v>1620</v>
      </c>
      <c r="F1171" s="113" t="s">
        <v>3093</v>
      </c>
      <c r="G1171" s="113" t="s">
        <v>3093</v>
      </c>
      <c r="H1171" s="161">
        <v>43.69</v>
      </c>
      <c r="I1171" s="161">
        <v>3</v>
      </c>
    </row>
    <row r="1172" spans="1:9">
      <c r="A1172" s="113">
        <v>100400862</v>
      </c>
      <c r="B1172" s="113" t="s">
        <v>4054</v>
      </c>
      <c r="C1172" s="113">
        <v>6050257</v>
      </c>
      <c r="D1172" s="113" t="s">
        <v>3093</v>
      </c>
      <c r="E1172" s="113" t="s">
        <v>1620</v>
      </c>
      <c r="F1172" s="113" t="s">
        <v>3093</v>
      </c>
      <c r="G1172" s="113" t="s">
        <v>3093</v>
      </c>
      <c r="H1172" s="161">
        <v>32.770000000000003</v>
      </c>
      <c r="I1172" s="161">
        <v>10</v>
      </c>
    </row>
    <row r="1173" spans="1:9">
      <c r="A1173" s="113">
        <v>100400863</v>
      </c>
      <c r="B1173" s="113" t="s">
        <v>4055</v>
      </c>
      <c r="C1173" s="113">
        <v>6050258</v>
      </c>
      <c r="D1173" s="113" t="s">
        <v>3093</v>
      </c>
      <c r="E1173" s="113" t="s">
        <v>1620</v>
      </c>
      <c r="F1173" s="113" t="s">
        <v>3093</v>
      </c>
      <c r="G1173" s="113" t="s">
        <v>3093</v>
      </c>
      <c r="H1173" s="161">
        <v>0</v>
      </c>
      <c r="I1173" s="161" t="s">
        <v>7138</v>
      </c>
    </row>
    <row r="1174" spans="1:9">
      <c r="A1174" s="113">
        <v>100400864</v>
      </c>
      <c r="B1174" s="113" t="s">
        <v>4056</v>
      </c>
      <c r="C1174" s="113">
        <v>6050259</v>
      </c>
      <c r="D1174" s="113" t="s">
        <v>3093</v>
      </c>
      <c r="E1174" s="113" t="s">
        <v>1620</v>
      </c>
      <c r="F1174" s="113" t="s">
        <v>3093</v>
      </c>
      <c r="G1174" s="113" t="s">
        <v>3093</v>
      </c>
      <c r="H1174" s="161">
        <v>0</v>
      </c>
      <c r="I1174" s="161" t="s">
        <v>7138</v>
      </c>
    </row>
    <row r="1175" spans="1:9">
      <c r="A1175" s="113">
        <v>100400865</v>
      </c>
      <c r="B1175" s="113" t="s">
        <v>4057</v>
      </c>
      <c r="C1175" s="113">
        <v>6050260</v>
      </c>
      <c r="D1175" s="113" t="s">
        <v>3093</v>
      </c>
      <c r="E1175" s="113" t="s">
        <v>1620</v>
      </c>
      <c r="F1175" s="113" t="s">
        <v>3093</v>
      </c>
      <c r="G1175" s="113" t="s">
        <v>3093</v>
      </c>
      <c r="H1175" s="161">
        <v>0</v>
      </c>
      <c r="I1175" s="161" t="s">
        <v>7138</v>
      </c>
    </row>
    <row r="1176" spans="1:9">
      <c r="A1176" s="113">
        <v>100400866</v>
      </c>
      <c r="B1176" s="113" t="s">
        <v>4058</v>
      </c>
      <c r="C1176" s="113">
        <v>6050261</v>
      </c>
      <c r="D1176" s="113" t="s">
        <v>3093</v>
      </c>
      <c r="E1176" s="113" t="s">
        <v>1620</v>
      </c>
      <c r="F1176" s="113" t="s">
        <v>3093</v>
      </c>
      <c r="G1176" s="113" t="s">
        <v>3093</v>
      </c>
      <c r="H1176" s="161">
        <v>42.99</v>
      </c>
      <c r="I1176" s="161">
        <v>5</v>
      </c>
    </row>
    <row r="1177" spans="1:9">
      <c r="A1177" s="113">
        <v>100400867</v>
      </c>
      <c r="B1177" s="113" t="s">
        <v>4059</v>
      </c>
      <c r="C1177" s="113">
        <v>6050262</v>
      </c>
      <c r="D1177" s="113" t="s">
        <v>3093</v>
      </c>
      <c r="E1177" s="113" t="s">
        <v>1620</v>
      </c>
      <c r="F1177" s="113" t="s">
        <v>3093</v>
      </c>
      <c r="G1177" s="113" t="s">
        <v>3093</v>
      </c>
      <c r="H1177" s="161">
        <v>61.47</v>
      </c>
      <c r="I1177" s="161">
        <v>3</v>
      </c>
    </row>
    <row r="1178" spans="1:9">
      <c r="A1178" s="113">
        <v>100400868</v>
      </c>
      <c r="B1178" s="113" t="s">
        <v>4060</v>
      </c>
      <c r="C1178" s="113">
        <v>6050263</v>
      </c>
      <c r="D1178" s="113" t="s">
        <v>3093</v>
      </c>
      <c r="E1178" s="113" t="s">
        <v>1620</v>
      </c>
      <c r="F1178" s="113" t="s">
        <v>3093</v>
      </c>
      <c r="G1178" s="113" t="s">
        <v>3093</v>
      </c>
      <c r="H1178" s="161">
        <v>61.47</v>
      </c>
      <c r="I1178" s="161">
        <v>10</v>
      </c>
    </row>
    <row r="1179" spans="1:9">
      <c r="A1179" s="113">
        <v>100400869</v>
      </c>
      <c r="B1179" s="113" t="s">
        <v>4061</v>
      </c>
      <c r="C1179" s="113">
        <v>6050264</v>
      </c>
      <c r="D1179" s="113" t="s">
        <v>3093</v>
      </c>
      <c r="E1179" s="113" t="s">
        <v>1620</v>
      </c>
      <c r="F1179" s="113" t="s">
        <v>3093</v>
      </c>
      <c r="G1179" s="113" t="s">
        <v>3093</v>
      </c>
      <c r="H1179" s="161">
        <v>23.62</v>
      </c>
      <c r="I1179" s="161">
        <v>6</v>
      </c>
    </row>
    <row r="1180" spans="1:9">
      <c r="A1180" s="113">
        <v>100400870</v>
      </c>
      <c r="B1180" s="113" t="s">
        <v>4062</v>
      </c>
      <c r="C1180" s="113">
        <v>6050265</v>
      </c>
      <c r="D1180" s="113" t="s">
        <v>3093</v>
      </c>
      <c r="E1180" s="113" t="s">
        <v>1620</v>
      </c>
      <c r="F1180" s="113" t="s">
        <v>3093</v>
      </c>
      <c r="G1180" s="113" t="s">
        <v>3093</v>
      </c>
      <c r="H1180" s="161">
        <v>0</v>
      </c>
      <c r="I1180" s="161" t="s">
        <v>7138</v>
      </c>
    </row>
    <row r="1181" spans="1:9">
      <c r="A1181" s="113">
        <v>100400871</v>
      </c>
      <c r="B1181" s="113" t="s">
        <v>4063</v>
      </c>
      <c r="C1181" s="113">
        <v>6050266</v>
      </c>
      <c r="D1181" s="113" t="s">
        <v>3093</v>
      </c>
      <c r="E1181" s="113" t="s">
        <v>1620</v>
      </c>
      <c r="F1181" s="113" t="s">
        <v>3093</v>
      </c>
      <c r="G1181" s="113" t="s">
        <v>3093</v>
      </c>
      <c r="H1181" s="161">
        <v>200.48</v>
      </c>
      <c r="I1181" s="161" t="s">
        <v>7138</v>
      </c>
    </row>
    <row r="1182" spans="1:9">
      <c r="A1182" s="113">
        <v>100400872</v>
      </c>
      <c r="B1182" s="113" t="s">
        <v>4064</v>
      </c>
      <c r="C1182" s="113">
        <v>6050267</v>
      </c>
      <c r="D1182" s="113" t="s">
        <v>3093</v>
      </c>
      <c r="E1182" s="113" t="s">
        <v>1620</v>
      </c>
      <c r="F1182" s="113" t="s">
        <v>3093</v>
      </c>
      <c r="G1182" s="113" t="s">
        <v>3093</v>
      </c>
      <c r="H1182" s="161">
        <v>0</v>
      </c>
      <c r="I1182" s="161" t="s">
        <v>7138</v>
      </c>
    </row>
    <row r="1183" spans="1:9">
      <c r="A1183" s="113">
        <v>100400873</v>
      </c>
      <c r="B1183" s="113" t="s">
        <v>4065</v>
      </c>
      <c r="C1183" s="113">
        <v>6050268</v>
      </c>
      <c r="D1183" s="113" t="s">
        <v>3093</v>
      </c>
      <c r="E1183" s="113" t="s">
        <v>1620</v>
      </c>
      <c r="F1183" s="113" t="s">
        <v>3093</v>
      </c>
      <c r="G1183" s="113" t="s">
        <v>3093</v>
      </c>
      <c r="H1183" s="161">
        <v>0</v>
      </c>
      <c r="I1183" s="161" t="s">
        <v>7138</v>
      </c>
    </row>
    <row r="1184" spans="1:9">
      <c r="A1184" s="113">
        <v>100400874</v>
      </c>
      <c r="B1184" s="113" t="s">
        <v>4066</v>
      </c>
      <c r="C1184" s="113">
        <v>6050269</v>
      </c>
      <c r="D1184" s="113" t="s">
        <v>3093</v>
      </c>
      <c r="E1184" s="113" t="s">
        <v>1620</v>
      </c>
      <c r="F1184" s="113" t="s">
        <v>3093</v>
      </c>
      <c r="G1184" s="113" t="s">
        <v>3093</v>
      </c>
      <c r="H1184" s="161">
        <v>199.43</v>
      </c>
      <c r="I1184" s="161" t="s">
        <v>7138</v>
      </c>
    </row>
    <row r="1185" spans="1:9">
      <c r="A1185" s="113">
        <v>100400875</v>
      </c>
      <c r="B1185" s="113" t="s">
        <v>4067</v>
      </c>
      <c r="C1185" s="113">
        <v>6050270</v>
      </c>
      <c r="D1185" s="113" t="s">
        <v>3093</v>
      </c>
      <c r="E1185" s="113" t="s">
        <v>1620</v>
      </c>
      <c r="F1185" s="113" t="s">
        <v>3093</v>
      </c>
      <c r="G1185" s="113" t="s">
        <v>3093</v>
      </c>
      <c r="H1185" s="161">
        <v>0</v>
      </c>
      <c r="I1185" s="161" t="s">
        <v>7138</v>
      </c>
    </row>
    <row r="1186" spans="1:9">
      <c r="A1186" s="113">
        <v>100400876</v>
      </c>
      <c r="B1186" s="113" t="s">
        <v>4068</v>
      </c>
      <c r="C1186" s="113">
        <v>6050271</v>
      </c>
      <c r="D1186" s="113" t="s">
        <v>3093</v>
      </c>
      <c r="E1186" s="113" t="s">
        <v>1620</v>
      </c>
      <c r="F1186" s="113" t="s">
        <v>3093</v>
      </c>
      <c r="G1186" s="113" t="s">
        <v>3093</v>
      </c>
      <c r="H1186" s="161">
        <v>578</v>
      </c>
      <c r="I1186" s="161">
        <v>2</v>
      </c>
    </row>
    <row r="1187" spans="1:9">
      <c r="A1187" s="113">
        <v>100400877</v>
      </c>
      <c r="B1187" s="113" t="s">
        <v>4069</v>
      </c>
      <c r="C1187" s="113">
        <v>6050273</v>
      </c>
      <c r="D1187" s="113" t="s">
        <v>3093</v>
      </c>
      <c r="E1187" s="113" t="s">
        <v>1620</v>
      </c>
      <c r="F1187" s="113" t="s">
        <v>3093</v>
      </c>
      <c r="G1187" s="113" t="s">
        <v>3093</v>
      </c>
      <c r="H1187" s="161">
        <v>0</v>
      </c>
      <c r="I1187" s="161" t="s">
        <v>7138</v>
      </c>
    </row>
    <row r="1188" spans="1:9">
      <c r="A1188" s="113">
        <v>100400878</v>
      </c>
      <c r="B1188" s="113" t="s">
        <v>4070</v>
      </c>
      <c r="C1188" s="113">
        <v>6050274</v>
      </c>
      <c r="D1188" s="113" t="s">
        <v>3093</v>
      </c>
      <c r="E1188" s="113" t="s">
        <v>1620</v>
      </c>
      <c r="F1188" s="113" t="s">
        <v>3093</v>
      </c>
      <c r="G1188" s="113" t="s">
        <v>3093</v>
      </c>
      <c r="H1188" s="161">
        <v>650</v>
      </c>
      <c r="I1188" s="161">
        <v>5</v>
      </c>
    </row>
    <row r="1189" spans="1:9">
      <c r="A1189" s="113">
        <v>100400879</v>
      </c>
      <c r="B1189" s="113" t="s">
        <v>4071</v>
      </c>
      <c r="C1189" s="113">
        <v>6050275</v>
      </c>
      <c r="D1189" s="113" t="s">
        <v>3093</v>
      </c>
      <c r="E1189" s="113" t="s">
        <v>1620</v>
      </c>
      <c r="F1189" s="113" t="s">
        <v>3093</v>
      </c>
      <c r="G1189" s="113" t="s">
        <v>3093</v>
      </c>
      <c r="H1189" s="161">
        <v>650</v>
      </c>
      <c r="I1189" s="161">
        <v>2</v>
      </c>
    </row>
    <row r="1190" spans="1:9">
      <c r="A1190" s="113">
        <v>100400880</v>
      </c>
      <c r="B1190" s="113" t="s">
        <v>4072</v>
      </c>
      <c r="C1190" s="113">
        <v>6050276</v>
      </c>
      <c r="D1190" s="113" t="s">
        <v>3093</v>
      </c>
      <c r="E1190" s="113" t="s">
        <v>1620</v>
      </c>
      <c r="F1190" s="113" t="s">
        <v>3093</v>
      </c>
      <c r="G1190" s="113" t="s">
        <v>3093</v>
      </c>
      <c r="H1190" s="161">
        <v>0</v>
      </c>
      <c r="I1190" s="161" t="s">
        <v>7138</v>
      </c>
    </row>
    <row r="1191" spans="1:9">
      <c r="A1191" s="113">
        <v>100400881</v>
      </c>
      <c r="B1191" s="113" t="s">
        <v>4073</v>
      </c>
      <c r="C1191" s="113">
        <v>6050277</v>
      </c>
      <c r="D1191" s="113" t="s">
        <v>3093</v>
      </c>
      <c r="E1191" s="113" t="s">
        <v>1620</v>
      </c>
      <c r="F1191" s="113" t="s">
        <v>3093</v>
      </c>
      <c r="G1191" s="113" t="s">
        <v>3093</v>
      </c>
      <c r="H1191" s="161">
        <v>650</v>
      </c>
      <c r="I1191" s="161">
        <v>0</v>
      </c>
    </row>
    <row r="1192" spans="1:9">
      <c r="A1192" s="113">
        <v>100400882</v>
      </c>
      <c r="B1192" s="113" t="s">
        <v>4074</v>
      </c>
      <c r="C1192" s="113">
        <v>6050278</v>
      </c>
      <c r="D1192" s="113" t="s">
        <v>3093</v>
      </c>
      <c r="E1192" s="113" t="s">
        <v>1620</v>
      </c>
      <c r="F1192" s="113" t="s">
        <v>3093</v>
      </c>
      <c r="G1192" s="113" t="s">
        <v>3093</v>
      </c>
      <c r="H1192" s="161">
        <v>0</v>
      </c>
      <c r="I1192" s="161" t="s">
        <v>7138</v>
      </c>
    </row>
    <row r="1193" spans="1:9">
      <c r="A1193" s="113">
        <v>100400883</v>
      </c>
      <c r="B1193" s="113" t="s">
        <v>4075</v>
      </c>
      <c r="C1193" s="113">
        <v>6050279</v>
      </c>
      <c r="D1193" s="113" t="s">
        <v>3093</v>
      </c>
      <c r="E1193" s="113" t="s">
        <v>1620</v>
      </c>
      <c r="F1193" s="113" t="s">
        <v>3093</v>
      </c>
      <c r="G1193" s="113" t="s">
        <v>3093</v>
      </c>
      <c r="H1193" s="161">
        <v>0</v>
      </c>
      <c r="I1193" s="161" t="s">
        <v>7138</v>
      </c>
    </row>
    <row r="1194" spans="1:9">
      <c r="A1194" s="113">
        <v>100400884</v>
      </c>
      <c r="B1194" s="113" t="s">
        <v>4076</v>
      </c>
      <c r="C1194" s="113">
        <v>6050280</v>
      </c>
      <c r="D1194" s="113" t="s">
        <v>3093</v>
      </c>
      <c r="E1194" s="113" t="s">
        <v>1620</v>
      </c>
      <c r="F1194" s="113" t="s">
        <v>3093</v>
      </c>
      <c r="G1194" s="113" t="s">
        <v>3093</v>
      </c>
      <c r="H1194" s="161">
        <v>197.14</v>
      </c>
      <c r="I1194" s="161">
        <v>6</v>
      </c>
    </row>
    <row r="1195" spans="1:9">
      <c r="A1195" s="113">
        <v>100400885</v>
      </c>
      <c r="B1195" s="113" t="s">
        <v>4077</v>
      </c>
      <c r="C1195" s="113">
        <v>6050281</v>
      </c>
      <c r="D1195" s="113" t="s">
        <v>3093</v>
      </c>
      <c r="E1195" s="113" t="s">
        <v>1620</v>
      </c>
      <c r="F1195" s="113" t="s">
        <v>3093</v>
      </c>
      <c r="G1195" s="113" t="s">
        <v>3093</v>
      </c>
      <c r="H1195" s="161">
        <v>780</v>
      </c>
      <c r="I1195" s="161">
        <v>6</v>
      </c>
    </row>
    <row r="1196" spans="1:9">
      <c r="A1196" s="113">
        <v>100400886</v>
      </c>
      <c r="B1196" s="113" t="s">
        <v>4078</v>
      </c>
      <c r="C1196" s="113">
        <v>6050282</v>
      </c>
      <c r="D1196" s="113" t="s">
        <v>3093</v>
      </c>
      <c r="E1196" s="113" t="s">
        <v>1620</v>
      </c>
      <c r="F1196" s="113" t="s">
        <v>3093</v>
      </c>
      <c r="G1196" s="113" t="s">
        <v>3093</v>
      </c>
      <c r="H1196" s="161">
        <v>0</v>
      </c>
      <c r="I1196" s="161" t="s">
        <v>7138</v>
      </c>
    </row>
    <row r="1197" spans="1:9">
      <c r="A1197" s="113">
        <v>100400887</v>
      </c>
      <c r="B1197" s="113" t="s">
        <v>4079</v>
      </c>
      <c r="C1197" s="113">
        <v>6050283</v>
      </c>
      <c r="D1197" s="113" t="s">
        <v>3093</v>
      </c>
      <c r="E1197" s="113" t="s">
        <v>1620</v>
      </c>
      <c r="F1197" s="113" t="s">
        <v>3093</v>
      </c>
      <c r="G1197" s="113" t="s">
        <v>3093</v>
      </c>
      <c r="H1197" s="161">
        <v>0</v>
      </c>
      <c r="I1197" s="161" t="s">
        <v>7138</v>
      </c>
    </row>
    <row r="1198" spans="1:9">
      <c r="A1198" s="113">
        <v>100400888</v>
      </c>
      <c r="B1198" s="113" t="s">
        <v>4080</v>
      </c>
      <c r="C1198" s="113">
        <v>6050284</v>
      </c>
      <c r="D1198" s="113" t="s">
        <v>3093</v>
      </c>
      <c r="E1198" s="113" t="s">
        <v>1620</v>
      </c>
      <c r="F1198" s="113" t="s">
        <v>3093</v>
      </c>
      <c r="G1198" s="113" t="s">
        <v>3093</v>
      </c>
      <c r="H1198" s="161">
        <v>0</v>
      </c>
      <c r="I1198" s="161" t="s">
        <v>7138</v>
      </c>
    </row>
    <row r="1199" spans="1:9">
      <c r="A1199" s="113">
        <v>100400889</v>
      </c>
      <c r="B1199" s="113" t="s">
        <v>4081</v>
      </c>
      <c r="C1199" s="113">
        <v>6050285</v>
      </c>
      <c r="D1199" s="113" t="s">
        <v>3093</v>
      </c>
      <c r="E1199" s="113" t="s">
        <v>1620</v>
      </c>
      <c r="F1199" s="113" t="s">
        <v>3093</v>
      </c>
      <c r="G1199" s="113" t="s">
        <v>3093</v>
      </c>
      <c r="H1199" s="161">
        <v>0</v>
      </c>
      <c r="I1199" s="161" t="s">
        <v>7138</v>
      </c>
    </row>
    <row r="1200" spans="1:9">
      <c r="A1200" s="113">
        <v>100400890</v>
      </c>
      <c r="B1200" s="113" t="s">
        <v>4082</v>
      </c>
      <c r="C1200" s="113">
        <v>6050286</v>
      </c>
      <c r="D1200" s="113" t="s">
        <v>3093</v>
      </c>
      <c r="E1200" s="113" t="s">
        <v>1620</v>
      </c>
      <c r="F1200" s="113" t="s">
        <v>3093</v>
      </c>
      <c r="G1200" s="113" t="s">
        <v>3093</v>
      </c>
      <c r="H1200" s="161">
        <v>0</v>
      </c>
      <c r="I1200" s="161" t="s">
        <v>7138</v>
      </c>
    </row>
    <row r="1201" spans="1:9">
      <c r="A1201" s="113">
        <v>100400891</v>
      </c>
      <c r="B1201" s="113" t="s">
        <v>4083</v>
      </c>
      <c r="C1201" s="113">
        <v>6050287</v>
      </c>
      <c r="D1201" s="113" t="s">
        <v>3093</v>
      </c>
      <c r="E1201" s="113" t="s">
        <v>1620</v>
      </c>
      <c r="F1201" s="113" t="s">
        <v>3093</v>
      </c>
      <c r="G1201" s="113" t="s">
        <v>3093</v>
      </c>
      <c r="H1201" s="161">
        <v>0</v>
      </c>
      <c r="I1201" s="161" t="s">
        <v>7138</v>
      </c>
    </row>
    <row r="1202" spans="1:9">
      <c r="A1202" s="113">
        <v>100400892</v>
      </c>
      <c r="B1202" s="113" t="s">
        <v>4084</v>
      </c>
      <c r="C1202" s="113">
        <v>6050288</v>
      </c>
      <c r="D1202" s="113" t="s">
        <v>3093</v>
      </c>
      <c r="E1202" s="113" t="s">
        <v>1620</v>
      </c>
      <c r="F1202" s="113" t="s">
        <v>3093</v>
      </c>
      <c r="G1202" s="113" t="s">
        <v>3093</v>
      </c>
      <c r="H1202" s="161">
        <v>780</v>
      </c>
      <c r="I1202" s="161">
        <v>3</v>
      </c>
    </row>
    <row r="1203" spans="1:9">
      <c r="A1203" s="113">
        <v>100400893</v>
      </c>
      <c r="B1203" s="113" t="s">
        <v>4085</v>
      </c>
      <c r="C1203" s="113">
        <v>6050289</v>
      </c>
      <c r="D1203" s="113" t="s">
        <v>3093</v>
      </c>
      <c r="E1203" s="113" t="s">
        <v>1620</v>
      </c>
      <c r="F1203" s="113" t="s">
        <v>3093</v>
      </c>
      <c r="G1203" s="113" t="s">
        <v>3093</v>
      </c>
      <c r="H1203" s="161">
        <v>9.9499999999999993</v>
      </c>
      <c r="I1203" s="161">
        <v>0</v>
      </c>
    </row>
    <row r="1204" spans="1:9">
      <c r="A1204" s="113">
        <v>100400894</v>
      </c>
      <c r="B1204" s="113" t="s">
        <v>4086</v>
      </c>
      <c r="C1204" s="113">
        <v>6050290</v>
      </c>
      <c r="D1204" s="113" t="s">
        <v>3093</v>
      </c>
      <c r="E1204" s="113" t="s">
        <v>1620</v>
      </c>
      <c r="F1204" s="113" t="s">
        <v>3093</v>
      </c>
      <c r="G1204" s="113" t="s">
        <v>3093</v>
      </c>
      <c r="H1204" s="161">
        <v>27</v>
      </c>
      <c r="I1204" s="161">
        <v>0</v>
      </c>
    </row>
    <row r="1205" spans="1:9">
      <c r="A1205" s="113">
        <v>100400895</v>
      </c>
      <c r="B1205" s="113" t="s">
        <v>4087</v>
      </c>
      <c r="C1205" s="113">
        <v>6050291</v>
      </c>
      <c r="D1205" s="113" t="s">
        <v>3093</v>
      </c>
      <c r="E1205" s="113" t="s">
        <v>1620</v>
      </c>
      <c r="F1205" s="113" t="s">
        <v>3093</v>
      </c>
      <c r="G1205" s="113" t="s">
        <v>3093</v>
      </c>
      <c r="H1205" s="161">
        <v>27</v>
      </c>
      <c r="I1205" s="161">
        <v>0</v>
      </c>
    </row>
    <row r="1206" spans="1:9">
      <c r="A1206" s="113">
        <v>100400896</v>
      </c>
      <c r="B1206" s="113" t="s">
        <v>4088</v>
      </c>
      <c r="C1206" s="113">
        <v>6050292</v>
      </c>
      <c r="D1206" s="113" t="s">
        <v>3093</v>
      </c>
      <c r="E1206" s="113" t="s">
        <v>1620</v>
      </c>
      <c r="F1206" s="113" t="s">
        <v>3093</v>
      </c>
      <c r="G1206" s="113" t="s">
        <v>3093</v>
      </c>
      <c r="H1206" s="161">
        <v>27</v>
      </c>
      <c r="I1206" s="161">
        <v>0</v>
      </c>
    </row>
    <row r="1207" spans="1:9">
      <c r="A1207" s="113">
        <v>100400897</v>
      </c>
      <c r="B1207" s="113" t="s">
        <v>4089</v>
      </c>
      <c r="C1207" s="113">
        <v>6050293</v>
      </c>
      <c r="D1207" s="113" t="s">
        <v>3093</v>
      </c>
      <c r="E1207" s="113" t="s">
        <v>1620</v>
      </c>
      <c r="F1207" s="113" t="s">
        <v>3093</v>
      </c>
      <c r="G1207" s="113" t="s">
        <v>3093</v>
      </c>
      <c r="H1207" s="161">
        <v>9.9499999999999993</v>
      </c>
      <c r="I1207" s="161">
        <v>0</v>
      </c>
    </row>
    <row r="1208" spans="1:9">
      <c r="A1208" s="113">
        <v>100400898</v>
      </c>
      <c r="B1208" s="113" t="s">
        <v>4090</v>
      </c>
      <c r="C1208" s="113">
        <v>6050294</v>
      </c>
      <c r="D1208" s="113" t="s">
        <v>3093</v>
      </c>
      <c r="E1208" s="113" t="s">
        <v>1620</v>
      </c>
      <c r="F1208" s="113" t="s">
        <v>3093</v>
      </c>
      <c r="G1208" s="113" t="s">
        <v>3093</v>
      </c>
      <c r="H1208" s="161">
        <v>8.9499999999999993</v>
      </c>
      <c r="I1208" s="161">
        <v>4</v>
      </c>
    </row>
    <row r="1209" spans="1:9">
      <c r="A1209" s="113">
        <v>100400899</v>
      </c>
      <c r="B1209" s="113" t="s">
        <v>4091</v>
      </c>
      <c r="C1209" s="113">
        <v>6050295</v>
      </c>
      <c r="D1209" s="113" t="s">
        <v>3093</v>
      </c>
      <c r="E1209" s="113" t="s">
        <v>1620</v>
      </c>
      <c r="F1209" s="113" t="s">
        <v>3093</v>
      </c>
      <c r="G1209" s="113" t="s">
        <v>3093</v>
      </c>
      <c r="H1209" s="161">
        <v>27</v>
      </c>
      <c r="I1209" s="161">
        <v>2</v>
      </c>
    </row>
    <row r="1210" spans="1:9">
      <c r="A1210" s="113">
        <v>100400900</v>
      </c>
      <c r="B1210" s="113" t="s">
        <v>4092</v>
      </c>
      <c r="C1210" s="113">
        <v>6050296</v>
      </c>
      <c r="D1210" s="113" t="s">
        <v>3093</v>
      </c>
      <c r="E1210" s="113" t="s">
        <v>1620</v>
      </c>
      <c r="F1210" s="113" t="s">
        <v>3093</v>
      </c>
      <c r="G1210" s="113" t="s">
        <v>3093</v>
      </c>
      <c r="H1210" s="161">
        <v>27</v>
      </c>
      <c r="I1210" s="161">
        <v>0</v>
      </c>
    </row>
    <row r="1211" spans="1:9">
      <c r="A1211" s="113">
        <v>100400901</v>
      </c>
      <c r="B1211" s="113" t="s">
        <v>4093</v>
      </c>
      <c r="C1211" s="113">
        <v>6050297</v>
      </c>
      <c r="D1211" s="113" t="s">
        <v>3093</v>
      </c>
      <c r="E1211" s="113" t="s">
        <v>1620</v>
      </c>
      <c r="F1211" s="113" t="s">
        <v>3093</v>
      </c>
      <c r="G1211" s="113" t="s">
        <v>3093</v>
      </c>
      <c r="H1211" s="161">
        <v>82.09</v>
      </c>
      <c r="I1211" s="161">
        <v>1</v>
      </c>
    </row>
    <row r="1212" spans="1:9">
      <c r="A1212" s="113">
        <v>100400902</v>
      </c>
      <c r="B1212" s="113" t="s">
        <v>4094</v>
      </c>
      <c r="C1212" s="113">
        <v>6050298</v>
      </c>
      <c r="D1212" s="113" t="s">
        <v>3093</v>
      </c>
      <c r="E1212" s="113" t="s">
        <v>1620</v>
      </c>
      <c r="F1212" s="113" t="s">
        <v>3093</v>
      </c>
      <c r="G1212" s="113" t="s">
        <v>3093</v>
      </c>
      <c r="H1212" s="161">
        <v>27</v>
      </c>
      <c r="I1212" s="161">
        <v>2</v>
      </c>
    </row>
    <row r="1213" spans="1:9">
      <c r="A1213" s="113">
        <v>100400903</v>
      </c>
      <c r="B1213" s="113" t="s">
        <v>4095</v>
      </c>
      <c r="C1213" s="113">
        <v>6050299</v>
      </c>
      <c r="D1213" s="113" t="s">
        <v>3093</v>
      </c>
      <c r="E1213" s="113" t="s">
        <v>1620</v>
      </c>
      <c r="F1213" s="113" t="s">
        <v>3093</v>
      </c>
      <c r="G1213" s="113" t="s">
        <v>3093</v>
      </c>
      <c r="H1213" s="161">
        <v>27</v>
      </c>
      <c r="I1213" s="161">
        <v>0</v>
      </c>
    </row>
    <row r="1214" spans="1:9">
      <c r="A1214" s="113">
        <v>100400904</v>
      </c>
      <c r="B1214" s="113" t="s">
        <v>4096</v>
      </c>
      <c r="C1214" s="113">
        <v>6050300</v>
      </c>
      <c r="D1214" s="113" t="s">
        <v>3093</v>
      </c>
      <c r="E1214" s="113" t="s">
        <v>1620</v>
      </c>
      <c r="F1214" s="113" t="s">
        <v>3093</v>
      </c>
      <c r="G1214" s="113" t="s">
        <v>3093</v>
      </c>
      <c r="H1214" s="161">
        <v>9.9499999999999993</v>
      </c>
      <c r="I1214" s="161">
        <v>2</v>
      </c>
    </row>
    <row r="1215" spans="1:9">
      <c r="A1215" s="113">
        <v>100400905</v>
      </c>
      <c r="B1215" s="113" t="s">
        <v>4097</v>
      </c>
      <c r="C1215" s="113">
        <v>6050301</v>
      </c>
      <c r="D1215" s="113" t="s">
        <v>3093</v>
      </c>
      <c r="E1215" s="113" t="s">
        <v>1620</v>
      </c>
      <c r="F1215" s="113" t="s">
        <v>3093</v>
      </c>
      <c r="G1215" s="113" t="s">
        <v>3093</v>
      </c>
      <c r="H1215" s="161">
        <v>82.09</v>
      </c>
      <c r="I1215" s="161">
        <v>2</v>
      </c>
    </row>
    <row r="1216" spans="1:9">
      <c r="A1216" s="113">
        <v>100400906</v>
      </c>
      <c r="B1216" s="113" t="s">
        <v>4098</v>
      </c>
      <c r="C1216" s="113">
        <v>6050302</v>
      </c>
      <c r="D1216" s="113" t="s">
        <v>3093</v>
      </c>
      <c r="E1216" s="113" t="s">
        <v>1620</v>
      </c>
      <c r="F1216" s="113" t="s">
        <v>3093</v>
      </c>
      <c r="G1216" s="113" t="s">
        <v>3093</v>
      </c>
      <c r="H1216" s="161">
        <v>9.9499999999999993</v>
      </c>
      <c r="I1216" s="161">
        <v>2</v>
      </c>
    </row>
    <row r="1217" spans="1:9">
      <c r="A1217" s="113">
        <v>100400907</v>
      </c>
      <c r="B1217" s="113" t="s">
        <v>728</v>
      </c>
      <c r="C1217" s="113">
        <v>6050303</v>
      </c>
      <c r="D1217" s="113" t="s">
        <v>3093</v>
      </c>
      <c r="E1217" s="113" t="s">
        <v>1620</v>
      </c>
      <c r="F1217" s="113" t="s">
        <v>3093</v>
      </c>
      <c r="G1217" s="113" t="s">
        <v>3093</v>
      </c>
      <c r="H1217" s="161">
        <v>5.62</v>
      </c>
      <c r="I1217" s="161">
        <v>1</v>
      </c>
    </row>
    <row r="1218" spans="1:9">
      <c r="A1218" s="113">
        <v>100400908</v>
      </c>
      <c r="B1218" s="113" t="s">
        <v>4099</v>
      </c>
      <c r="C1218" s="113">
        <v>6050304</v>
      </c>
      <c r="D1218" s="113" t="s">
        <v>3093</v>
      </c>
      <c r="E1218" s="113" t="s">
        <v>1620</v>
      </c>
      <c r="F1218" s="113" t="s">
        <v>3093</v>
      </c>
      <c r="G1218" s="113" t="s">
        <v>3093</v>
      </c>
      <c r="H1218" s="161">
        <v>6.85</v>
      </c>
      <c r="I1218" s="161">
        <v>3</v>
      </c>
    </row>
    <row r="1219" spans="1:9">
      <c r="A1219" s="113">
        <v>100400909</v>
      </c>
      <c r="B1219" s="113" t="s">
        <v>4100</v>
      </c>
      <c r="C1219" s="113">
        <v>6050305</v>
      </c>
      <c r="D1219" s="113" t="s">
        <v>3093</v>
      </c>
      <c r="E1219" s="113" t="s">
        <v>1620</v>
      </c>
      <c r="F1219" s="113" t="s">
        <v>3093</v>
      </c>
      <c r="G1219" s="113" t="s">
        <v>3093</v>
      </c>
      <c r="H1219" s="161">
        <v>50.85</v>
      </c>
      <c r="I1219" s="161">
        <v>4</v>
      </c>
    </row>
    <row r="1220" spans="1:9">
      <c r="A1220" s="113">
        <v>100400910</v>
      </c>
      <c r="B1220" s="113" t="s">
        <v>4101</v>
      </c>
      <c r="C1220" s="113">
        <v>6050306</v>
      </c>
      <c r="D1220" s="113" t="s">
        <v>3093</v>
      </c>
      <c r="E1220" s="113" t="s">
        <v>1620</v>
      </c>
      <c r="F1220" s="113" t="s">
        <v>3093</v>
      </c>
      <c r="G1220" s="113" t="s">
        <v>3093</v>
      </c>
      <c r="H1220" s="161">
        <v>72</v>
      </c>
      <c r="I1220" s="161">
        <v>1</v>
      </c>
    </row>
    <row r="1221" spans="1:9">
      <c r="A1221" s="113">
        <v>100400911</v>
      </c>
      <c r="B1221" s="113" t="s">
        <v>4102</v>
      </c>
      <c r="C1221" s="113">
        <v>6050308</v>
      </c>
      <c r="D1221" s="113" t="s">
        <v>3093</v>
      </c>
      <c r="E1221" s="113" t="s">
        <v>1620</v>
      </c>
      <c r="F1221" s="113" t="s">
        <v>3093</v>
      </c>
      <c r="G1221" s="113" t="s">
        <v>3093</v>
      </c>
      <c r="H1221" s="161">
        <v>72</v>
      </c>
      <c r="I1221" s="161">
        <v>6</v>
      </c>
    </row>
    <row r="1222" spans="1:9">
      <c r="A1222" s="113">
        <v>100400912</v>
      </c>
      <c r="B1222" s="113" t="s">
        <v>4103</v>
      </c>
      <c r="C1222" s="113">
        <v>6050309</v>
      </c>
      <c r="D1222" s="113" t="s">
        <v>3093</v>
      </c>
      <c r="E1222" s="113" t="s">
        <v>1620</v>
      </c>
      <c r="F1222" s="113" t="s">
        <v>3093</v>
      </c>
      <c r="G1222" s="113" t="s">
        <v>3093</v>
      </c>
      <c r="H1222" s="161">
        <v>72</v>
      </c>
      <c r="I1222" s="161">
        <v>6</v>
      </c>
    </row>
    <row r="1223" spans="1:9">
      <c r="A1223" s="113">
        <v>100400913</v>
      </c>
      <c r="B1223" s="113" t="s">
        <v>4104</v>
      </c>
      <c r="C1223" s="113">
        <v>6050310</v>
      </c>
      <c r="D1223" s="113" t="s">
        <v>3093</v>
      </c>
      <c r="E1223" s="113" t="s">
        <v>1620</v>
      </c>
      <c r="F1223" s="113" t="s">
        <v>3093</v>
      </c>
      <c r="G1223" s="113" t="s">
        <v>3093</v>
      </c>
      <c r="H1223" s="161">
        <v>226.24</v>
      </c>
      <c r="I1223" s="161">
        <v>6</v>
      </c>
    </row>
    <row r="1224" spans="1:9">
      <c r="A1224" s="113">
        <v>100400914</v>
      </c>
      <c r="B1224" s="113" t="s">
        <v>4105</v>
      </c>
      <c r="C1224" s="113">
        <v>6050311</v>
      </c>
      <c r="D1224" s="113" t="s">
        <v>3093</v>
      </c>
      <c r="E1224" s="113" t="s">
        <v>1620</v>
      </c>
      <c r="F1224" s="113" t="s">
        <v>3093</v>
      </c>
      <c r="G1224" s="113" t="s">
        <v>3093</v>
      </c>
      <c r="H1224" s="161">
        <v>72</v>
      </c>
      <c r="I1224" s="161">
        <v>6</v>
      </c>
    </row>
    <row r="1225" spans="1:9">
      <c r="A1225" s="113">
        <v>100400915</v>
      </c>
      <c r="B1225" s="113" t="s">
        <v>4106</v>
      </c>
      <c r="C1225" s="113">
        <v>6050312</v>
      </c>
      <c r="D1225" s="113" t="s">
        <v>3093</v>
      </c>
      <c r="E1225" s="113" t="s">
        <v>1620</v>
      </c>
      <c r="F1225" s="113" t="s">
        <v>3093</v>
      </c>
      <c r="G1225" s="113" t="s">
        <v>3093</v>
      </c>
      <c r="H1225" s="161">
        <v>72</v>
      </c>
      <c r="I1225" s="161">
        <v>4</v>
      </c>
    </row>
    <row r="1226" spans="1:9">
      <c r="A1226" s="113">
        <v>100400916</v>
      </c>
      <c r="B1226" s="113" t="s">
        <v>4107</v>
      </c>
      <c r="C1226" s="113">
        <v>6050313</v>
      </c>
      <c r="D1226" s="113" t="s">
        <v>3093</v>
      </c>
      <c r="E1226" s="113" t="s">
        <v>1620</v>
      </c>
      <c r="F1226" s="113" t="s">
        <v>3093</v>
      </c>
      <c r="G1226" s="113" t="s">
        <v>3093</v>
      </c>
      <c r="H1226" s="161">
        <v>72</v>
      </c>
      <c r="I1226" s="161">
        <v>6</v>
      </c>
    </row>
    <row r="1227" spans="1:9">
      <c r="A1227" s="113">
        <v>100400917</v>
      </c>
      <c r="B1227" s="113" t="s">
        <v>2867</v>
      </c>
      <c r="C1227" s="113">
        <v>6050314</v>
      </c>
      <c r="D1227" s="113" t="s">
        <v>3093</v>
      </c>
      <c r="E1227" s="113" t="s">
        <v>1620</v>
      </c>
      <c r="F1227" s="113" t="s">
        <v>3093</v>
      </c>
      <c r="G1227" s="113" t="s">
        <v>3093</v>
      </c>
      <c r="H1227" s="161">
        <v>72</v>
      </c>
      <c r="I1227" s="161">
        <v>2</v>
      </c>
    </row>
    <row r="1228" spans="1:9">
      <c r="A1228" s="113">
        <v>100400918</v>
      </c>
      <c r="B1228" s="113" t="s">
        <v>4108</v>
      </c>
      <c r="C1228" s="113">
        <v>6050315</v>
      </c>
      <c r="D1228" s="113" t="s">
        <v>3093</v>
      </c>
      <c r="E1228" s="113" t="s">
        <v>1620</v>
      </c>
      <c r="F1228" s="113" t="s">
        <v>3093</v>
      </c>
      <c r="G1228" s="113" t="s">
        <v>3093</v>
      </c>
      <c r="H1228" s="161">
        <v>72</v>
      </c>
      <c r="I1228" s="161">
        <v>2</v>
      </c>
    </row>
    <row r="1229" spans="1:9">
      <c r="A1229" s="113">
        <v>100400919</v>
      </c>
      <c r="B1229" s="113" t="s">
        <v>4109</v>
      </c>
      <c r="C1229" s="113">
        <v>6050316</v>
      </c>
      <c r="D1229" s="113" t="s">
        <v>3093</v>
      </c>
      <c r="E1229" s="113" t="s">
        <v>1620</v>
      </c>
      <c r="F1229" s="113" t="s">
        <v>3093</v>
      </c>
      <c r="G1229" s="113" t="s">
        <v>3093</v>
      </c>
      <c r="H1229" s="161">
        <v>350</v>
      </c>
      <c r="I1229" s="161">
        <v>3</v>
      </c>
    </row>
    <row r="1230" spans="1:9">
      <c r="A1230" s="113">
        <v>100400920</v>
      </c>
      <c r="B1230" s="113" t="s">
        <v>4110</v>
      </c>
      <c r="C1230" s="113">
        <v>6050317</v>
      </c>
      <c r="D1230" s="113" t="s">
        <v>3093</v>
      </c>
      <c r="E1230" s="113" t="s">
        <v>1620</v>
      </c>
      <c r="F1230" s="113" t="s">
        <v>3093</v>
      </c>
      <c r="G1230" s="113" t="s">
        <v>3093</v>
      </c>
      <c r="H1230" s="161">
        <v>350</v>
      </c>
      <c r="I1230" s="161">
        <v>3</v>
      </c>
    </row>
    <row r="1231" spans="1:9">
      <c r="A1231" s="113">
        <v>100400921</v>
      </c>
      <c r="B1231" s="113" t="s">
        <v>4111</v>
      </c>
      <c r="C1231" s="113">
        <v>6050318</v>
      </c>
      <c r="D1231" s="113" t="s">
        <v>3093</v>
      </c>
      <c r="E1231" s="113" t="s">
        <v>1620</v>
      </c>
      <c r="F1231" s="113" t="s">
        <v>3093</v>
      </c>
      <c r="G1231" s="113" t="s">
        <v>3093</v>
      </c>
      <c r="H1231" s="161">
        <v>0</v>
      </c>
      <c r="I1231" s="161" t="s">
        <v>7138</v>
      </c>
    </row>
    <row r="1232" spans="1:9">
      <c r="A1232" s="113">
        <v>100400922</v>
      </c>
      <c r="B1232" s="113" t="s">
        <v>4112</v>
      </c>
      <c r="C1232" s="113">
        <v>6050319</v>
      </c>
      <c r="D1232" s="113" t="s">
        <v>3093</v>
      </c>
      <c r="E1232" s="113" t="s">
        <v>1620</v>
      </c>
      <c r="F1232" s="113" t="s">
        <v>3093</v>
      </c>
      <c r="G1232" s="113" t="s">
        <v>3093</v>
      </c>
      <c r="H1232" s="161">
        <v>0</v>
      </c>
      <c r="I1232" s="161" t="s">
        <v>7138</v>
      </c>
    </row>
    <row r="1233" spans="1:9">
      <c r="A1233" s="113">
        <v>100400923</v>
      </c>
      <c r="B1233" s="113" t="s">
        <v>4113</v>
      </c>
      <c r="C1233" s="113">
        <v>6050320</v>
      </c>
      <c r="D1233" s="113" t="s">
        <v>3093</v>
      </c>
      <c r="E1233" s="113" t="s">
        <v>1620</v>
      </c>
      <c r="F1233" s="113" t="s">
        <v>3093</v>
      </c>
      <c r="G1233" s="113" t="s">
        <v>3093</v>
      </c>
      <c r="H1233" s="161">
        <v>0</v>
      </c>
      <c r="I1233" s="161" t="s">
        <v>7138</v>
      </c>
    </row>
    <row r="1234" spans="1:9">
      <c r="A1234" s="113">
        <v>100400924</v>
      </c>
      <c r="B1234" s="113" t="s">
        <v>4114</v>
      </c>
      <c r="C1234" s="113">
        <v>6050321</v>
      </c>
      <c r="D1234" s="113" t="s">
        <v>3093</v>
      </c>
      <c r="E1234" s="113" t="s">
        <v>1620</v>
      </c>
      <c r="F1234" s="113" t="s">
        <v>3093</v>
      </c>
      <c r="G1234" s="113" t="s">
        <v>3093</v>
      </c>
      <c r="H1234" s="161">
        <v>0</v>
      </c>
      <c r="I1234" s="161" t="s">
        <v>7138</v>
      </c>
    </row>
    <row r="1235" spans="1:9">
      <c r="A1235" s="113">
        <v>100400925</v>
      </c>
      <c r="B1235" s="113" t="s">
        <v>4115</v>
      </c>
      <c r="C1235" s="113">
        <v>6050322</v>
      </c>
      <c r="D1235" s="113" t="s">
        <v>3093</v>
      </c>
      <c r="E1235" s="113" t="s">
        <v>1620</v>
      </c>
      <c r="F1235" s="113" t="s">
        <v>3093</v>
      </c>
      <c r="G1235" s="113" t="s">
        <v>3093</v>
      </c>
      <c r="H1235" s="161">
        <v>0</v>
      </c>
      <c r="I1235" s="161" t="s">
        <v>7138</v>
      </c>
    </row>
    <row r="1236" spans="1:9">
      <c r="A1236" s="113">
        <v>100400926</v>
      </c>
      <c r="B1236" s="113" t="s">
        <v>4116</v>
      </c>
      <c r="C1236" s="113">
        <v>6050323</v>
      </c>
      <c r="D1236" s="113" t="s">
        <v>3093</v>
      </c>
      <c r="E1236" s="113" t="s">
        <v>1620</v>
      </c>
      <c r="F1236" s="113" t="s">
        <v>3093</v>
      </c>
      <c r="G1236" s="113" t="s">
        <v>3093</v>
      </c>
      <c r="H1236" s="161">
        <v>350</v>
      </c>
      <c r="I1236" s="161">
        <v>2</v>
      </c>
    </row>
    <row r="1237" spans="1:9">
      <c r="A1237" s="113">
        <v>100400927</v>
      </c>
      <c r="B1237" s="113" t="s">
        <v>4117</v>
      </c>
      <c r="C1237" s="113">
        <v>6050324</v>
      </c>
      <c r="D1237" s="113" t="s">
        <v>3093</v>
      </c>
      <c r="E1237" s="113" t="s">
        <v>1620</v>
      </c>
      <c r="F1237" s="113" t="s">
        <v>3093</v>
      </c>
      <c r="G1237" s="113" t="s">
        <v>3093</v>
      </c>
      <c r="H1237" s="161">
        <v>0</v>
      </c>
      <c r="I1237" s="161" t="s">
        <v>7138</v>
      </c>
    </row>
    <row r="1238" spans="1:9">
      <c r="A1238" s="113">
        <v>100400928</v>
      </c>
      <c r="B1238" s="113" t="s">
        <v>4118</v>
      </c>
      <c r="C1238" s="113">
        <v>6050325</v>
      </c>
      <c r="D1238" s="113" t="s">
        <v>3093</v>
      </c>
      <c r="E1238" s="113" t="s">
        <v>1620</v>
      </c>
      <c r="F1238" s="113" t="s">
        <v>3093</v>
      </c>
      <c r="G1238" s="113" t="s">
        <v>3093</v>
      </c>
      <c r="H1238" s="161">
        <v>0</v>
      </c>
      <c r="I1238" s="161" t="s">
        <v>7138</v>
      </c>
    </row>
    <row r="1239" spans="1:9">
      <c r="A1239" s="113">
        <v>100400929</v>
      </c>
      <c r="B1239" s="113" t="s">
        <v>4119</v>
      </c>
      <c r="C1239" s="113">
        <v>6050326</v>
      </c>
      <c r="D1239" s="113" t="s">
        <v>3093</v>
      </c>
      <c r="E1239" s="113" t="s">
        <v>1620</v>
      </c>
      <c r="F1239" s="113" t="s">
        <v>3093</v>
      </c>
      <c r="G1239" s="113" t="s">
        <v>3093</v>
      </c>
      <c r="H1239" s="161">
        <v>0</v>
      </c>
      <c r="I1239" s="161" t="s">
        <v>7138</v>
      </c>
    </row>
    <row r="1240" spans="1:9">
      <c r="A1240" s="113">
        <v>100400930</v>
      </c>
      <c r="B1240" s="113" t="s">
        <v>4120</v>
      </c>
      <c r="C1240" s="113">
        <v>6050327</v>
      </c>
      <c r="D1240" s="113" t="s">
        <v>3093</v>
      </c>
      <c r="E1240" s="113" t="s">
        <v>1620</v>
      </c>
      <c r="F1240" s="113" t="s">
        <v>3093</v>
      </c>
      <c r="G1240" s="113" t="s">
        <v>3093</v>
      </c>
      <c r="H1240" s="161">
        <v>0</v>
      </c>
      <c r="I1240" s="161" t="s">
        <v>7138</v>
      </c>
    </row>
    <row r="1241" spans="1:9">
      <c r="A1241" s="113">
        <v>100400931</v>
      </c>
      <c r="B1241" s="113" t="s">
        <v>4121</v>
      </c>
      <c r="C1241" s="113">
        <v>6050328</v>
      </c>
      <c r="D1241" s="113" t="s">
        <v>3093</v>
      </c>
      <c r="E1241" s="113" t="s">
        <v>1620</v>
      </c>
      <c r="F1241" s="113" t="s">
        <v>3093</v>
      </c>
      <c r="G1241" s="113" t="s">
        <v>3093</v>
      </c>
      <c r="H1241" s="161">
        <v>0</v>
      </c>
      <c r="I1241" s="161" t="s">
        <v>7138</v>
      </c>
    </row>
    <row r="1242" spans="1:9">
      <c r="A1242" s="113">
        <v>100400933</v>
      </c>
      <c r="B1242" s="113" t="s">
        <v>4122</v>
      </c>
      <c r="C1242" s="113">
        <v>6050330</v>
      </c>
      <c r="D1242" s="113" t="s">
        <v>3093</v>
      </c>
      <c r="E1242" s="113" t="s">
        <v>1620</v>
      </c>
      <c r="F1242" s="113" t="s">
        <v>3093</v>
      </c>
      <c r="G1242" s="113" t="s">
        <v>3093</v>
      </c>
      <c r="H1242" s="161">
        <v>0</v>
      </c>
      <c r="I1242" s="161" t="s">
        <v>7138</v>
      </c>
    </row>
    <row r="1243" spans="1:9">
      <c r="A1243" s="113">
        <v>100400934</v>
      </c>
      <c r="B1243" s="113" t="s">
        <v>4123</v>
      </c>
      <c r="C1243" s="113">
        <v>6050331</v>
      </c>
      <c r="D1243" s="113" t="s">
        <v>3093</v>
      </c>
      <c r="E1243" s="113" t="s">
        <v>1620</v>
      </c>
      <c r="F1243" s="113" t="s">
        <v>3093</v>
      </c>
      <c r="G1243" s="113" t="s">
        <v>3093</v>
      </c>
      <c r="H1243" s="161">
        <v>0</v>
      </c>
      <c r="I1243" s="161" t="s">
        <v>7138</v>
      </c>
    </row>
    <row r="1244" spans="1:9">
      <c r="A1244" s="113">
        <v>100400935</v>
      </c>
      <c r="B1244" s="113" t="s">
        <v>4124</v>
      </c>
      <c r="C1244" s="113">
        <v>6050333</v>
      </c>
      <c r="D1244" s="113" t="s">
        <v>3093</v>
      </c>
      <c r="E1244" s="113" t="s">
        <v>1620</v>
      </c>
      <c r="F1244" s="113" t="s">
        <v>3093</v>
      </c>
      <c r="G1244" s="113" t="s">
        <v>3093</v>
      </c>
      <c r="H1244" s="161">
        <v>0</v>
      </c>
      <c r="I1244" s="161" t="s">
        <v>7138</v>
      </c>
    </row>
    <row r="1245" spans="1:9">
      <c r="A1245" s="113">
        <v>100400936</v>
      </c>
      <c r="B1245" s="113" t="s">
        <v>4125</v>
      </c>
      <c r="C1245" s="113">
        <v>6050334</v>
      </c>
      <c r="D1245" s="113" t="s">
        <v>3093</v>
      </c>
      <c r="E1245" s="113" t="s">
        <v>1620</v>
      </c>
      <c r="F1245" s="113" t="s">
        <v>3093</v>
      </c>
      <c r="G1245" s="113" t="s">
        <v>3093</v>
      </c>
      <c r="H1245" s="161">
        <v>0</v>
      </c>
      <c r="I1245" s="161" t="s">
        <v>7138</v>
      </c>
    </row>
    <row r="1246" spans="1:9">
      <c r="A1246" s="113">
        <v>100400937</v>
      </c>
      <c r="B1246" s="113" t="s">
        <v>4126</v>
      </c>
      <c r="C1246" s="113">
        <v>6050335</v>
      </c>
      <c r="D1246" s="113" t="s">
        <v>3093</v>
      </c>
      <c r="E1246" s="113" t="s">
        <v>1620</v>
      </c>
      <c r="F1246" s="113" t="s">
        <v>3093</v>
      </c>
      <c r="G1246" s="113" t="s">
        <v>3093</v>
      </c>
      <c r="H1246" s="161">
        <v>0</v>
      </c>
      <c r="I1246" s="161" t="s">
        <v>7138</v>
      </c>
    </row>
    <row r="1247" spans="1:9">
      <c r="A1247" s="113">
        <v>100400939</v>
      </c>
      <c r="B1247" s="113" t="s">
        <v>4127</v>
      </c>
      <c r="C1247" s="113">
        <v>6051043</v>
      </c>
      <c r="D1247" s="113" t="s">
        <v>3093</v>
      </c>
      <c r="E1247" s="113" t="s">
        <v>1620</v>
      </c>
      <c r="F1247" s="113" t="s">
        <v>3093</v>
      </c>
      <c r="G1247" s="113" t="s">
        <v>3093</v>
      </c>
      <c r="H1247" s="161">
        <v>0</v>
      </c>
      <c r="I1247" s="161" t="s">
        <v>7138</v>
      </c>
    </row>
    <row r="1248" spans="1:9">
      <c r="A1248" s="113">
        <v>100400940</v>
      </c>
      <c r="B1248" s="113" t="s">
        <v>4128</v>
      </c>
      <c r="C1248" s="113">
        <v>6051044</v>
      </c>
      <c r="D1248" s="113" t="s">
        <v>3093</v>
      </c>
      <c r="E1248" s="113" t="s">
        <v>1620</v>
      </c>
      <c r="F1248" s="113" t="s">
        <v>3093</v>
      </c>
      <c r="G1248" s="113" t="s">
        <v>3093</v>
      </c>
      <c r="H1248" s="161">
        <v>0</v>
      </c>
      <c r="I1248" s="161" t="s">
        <v>7138</v>
      </c>
    </row>
    <row r="1249" spans="1:9">
      <c r="A1249" s="113">
        <v>100400941</v>
      </c>
      <c r="B1249" s="113" t="s">
        <v>4129</v>
      </c>
      <c r="C1249" s="113">
        <v>6051045</v>
      </c>
      <c r="D1249" s="113" t="s">
        <v>3093</v>
      </c>
      <c r="E1249" s="113" t="s">
        <v>1620</v>
      </c>
      <c r="F1249" s="113" t="s">
        <v>3093</v>
      </c>
      <c r="G1249" s="113" t="s">
        <v>3093</v>
      </c>
      <c r="H1249" s="161">
        <v>0</v>
      </c>
      <c r="I1249" s="161" t="s">
        <v>7138</v>
      </c>
    </row>
    <row r="1250" spans="1:9">
      <c r="A1250" s="113">
        <v>100400942</v>
      </c>
      <c r="B1250" s="113" t="s">
        <v>4130</v>
      </c>
      <c r="C1250" s="113">
        <v>6051046</v>
      </c>
      <c r="D1250" s="113" t="s">
        <v>3093</v>
      </c>
      <c r="E1250" s="113" t="s">
        <v>1620</v>
      </c>
      <c r="F1250" s="113" t="s">
        <v>3093</v>
      </c>
      <c r="G1250" s="113" t="s">
        <v>3093</v>
      </c>
      <c r="H1250" s="161">
        <v>350</v>
      </c>
      <c r="I1250" s="161">
        <v>2</v>
      </c>
    </row>
    <row r="1251" spans="1:9">
      <c r="A1251" s="113">
        <v>100400943</v>
      </c>
      <c r="B1251" s="113" t="s">
        <v>4131</v>
      </c>
      <c r="C1251" s="113">
        <v>6051047</v>
      </c>
      <c r="D1251" s="113" t="s">
        <v>3093</v>
      </c>
      <c r="E1251" s="113" t="s">
        <v>1620</v>
      </c>
      <c r="F1251" s="113" t="s">
        <v>3093</v>
      </c>
      <c r="G1251" s="113" t="s">
        <v>3093</v>
      </c>
      <c r="H1251" s="161">
        <v>0</v>
      </c>
      <c r="I1251" s="161" t="s">
        <v>7138</v>
      </c>
    </row>
    <row r="1252" spans="1:9">
      <c r="A1252" s="113">
        <v>100400944</v>
      </c>
      <c r="B1252" s="113" t="s">
        <v>4132</v>
      </c>
      <c r="C1252" s="113">
        <v>6051048</v>
      </c>
      <c r="D1252" s="113" t="s">
        <v>3093</v>
      </c>
      <c r="E1252" s="113" t="s">
        <v>1620</v>
      </c>
      <c r="F1252" s="113" t="s">
        <v>3093</v>
      </c>
      <c r="G1252" s="113" t="s">
        <v>3093</v>
      </c>
      <c r="H1252" s="161">
        <v>0</v>
      </c>
      <c r="I1252" s="161" t="s">
        <v>7138</v>
      </c>
    </row>
    <row r="1253" spans="1:9">
      <c r="A1253" s="113">
        <v>100400945</v>
      </c>
      <c r="B1253" s="113" t="s">
        <v>4133</v>
      </c>
      <c r="C1253" s="113">
        <v>6051050</v>
      </c>
      <c r="D1253" s="113" t="s">
        <v>3093</v>
      </c>
      <c r="E1253" s="113" t="s">
        <v>1620</v>
      </c>
      <c r="F1253" s="113" t="s">
        <v>3093</v>
      </c>
      <c r="G1253" s="113" t="s">
        <v>3093</v>
      </c>
      <c r="H1253" s="161">
        <v>0</v>
      </c>
      <c r="I1253" s="161" t="s">
        <v>7138</v>
      </c>
    </row>
    <row r="1254" spans="1:9">
      <c r="A1254" s="113">
        <v>100400946</v>
      </c>
      <c r="B1254" s="113" t="s">
        <v>4134</v>
      </c>
      <c r="C1254" s="113">
        <v>6051060</v>
      </c>
      <c r="D1254" s="113" t="s">
        <v>3093</v>
      </c>
      <c r="E1254" s="113" t="s">
        <v>1620</v>
      </c>
      <c r="F1254" s="113" t="s">
        <v>3093</v>
      </c>
      <c r="G1254" s="113" t="s">
        <v>3093</v>
      </c>
      <c r="H1254" s="161">
        <v>41.29</v>
      </c>
      <c r="I1254" s="161">
        <v>6</v>
      </c>
    </row>
    <row r="1255" spans="1:9">
      <c r="A1255" s="113">
        <v>100400947</v>
      </c>
      <c r="B1255" s="113" t="s">
        <v>4135</v>
      </c>
      <c r="C1255" s="113">
        <v>6051061</v>
      </c>
      <c r="D1255" s="113" t="s">
        <v>3093</v>
      </c>
      <c r="E1255" s="113" t="s">
        <v>1620</v>
      </c>
      <c r="F1255" s="113" t="s">
        <v>3093</v>
      </c>
      <c r="G1255" s="113" t="s">
        <v>3093</v>
      </c>
      <c r="H1255" s="161">
        <v>0</v>
      </c>
      <c r="I1255" s="161" t="s">
        <v>7138</v>
      </c>
    </row>
    <row r="1256" spans="1:9">
      <c r="A1256" s="113">
        <v>100400948</v>
      </c>
      <c r="B1256" s="113" t="s">
        <v>4136</v>
      </c>
      <c r="C1256" s="113">
        <v>6051062</v>
      </c>
      <c r="D1256" s="113" t="s">
        <v>3093</v>
      </c>
      <c r="E1256" s="113" t="s">
        <v>1620</v>
      </c>
      <c r="F1256" s="113" t="s">
        <v>3093</v>
      </c>
      <c r="G1256" s="113" t="s">
        <v>3093</v>
      </c>
      <c r="H1256" s="161">
        <v>0</v>
      </c>
      <c r="I1256" s="161" t="s">
        <v>7138</v>
      </c>
    </row>
    <row r="1257" spans="1:9">
      <c r="A1257" s="113">
        <v>100400949</v>
      </c>
      <c r="B1257" s="113" t="s">
        <v>4137</v>
      </c>
      <c r="C1257" s="113">
        <v>6051063</v>
      </c>
      <c r="D1257" s="113" t="s">
        <v>3093</v>
      </c>
      <c r="E1257" s="113" t="s">
        <v>1620</v>
      </c>
      <c r="F1257" s="113" t="s">
        <v>3093</v>
      </c>
      <c r="G1257" s="113" t="s">
        <v>3093</v>
      </c>
      <c r="H1257" s="161">
        <v>0</v>
      </c>
      <c r="I1257" s="161" t="s">
        <v>7138</v>
      </c>
    </row>
    <row r="1258" spans="1:9">
      <c r="A1258" s="113">
        <v>100400950</v>
      </c>
      <c r="B1258" s="113" t="s">
        <v>4138</v>
      </c>
      <c r="C1258" s="113">
        <v>6051064</v>
      </c>
      <c r="D1258" s="113" t="s">
        <v>3093</v>
      </c>
      <c r="E1258" s="113" t="s">
        <v>1620</v>
      </c>
      <c r="F1258" s="113" t="s">
        <v>3093</v>
      </c>
      <c r="G1258" s="113" t="s">
        <v>3093</v>
      </c>
      <c r="H1258" s="161">
        <v>0</v>
      </c>
      <c r="I1258" s="161" t="s">
        <v>7138</v>
      </c>
    </row>
    <row r="1259" spans="1:9">
      <c r="A1259" s="113">
        <v>100400951</v>
      </c>
      <c r="B1259" s="113" t="s">
        <v>4139</v>
      </c>
      <c r="C1259" s="113">
        <v>6051065</v>
      </c>
      <c r="D1259" s="113" t="s">
        <v>3093</v>
      </c>
      <c r="E1259" s="113" t="s">
        <v>1620</v>
      </c>
      <c r="F1259" s="113" t="s">
        <v>3093</v>
      </c>
      <c r="G1259" s="113" t="s">
        <v>3093</v>
      </c>
      <c r="H1259" s="161">
        <v>311.87</v>
      </c>
      <c r="I1259" s="161" t="s">
        <v>7138</v>
      </c>
    </row>
    <row r="1260" spans="1:9">
      <c r="A1260" s="113">
        <v>100400952</v>
      </c>
      <c r="B1260" s="113" t="s">
        <v>4140</v>
      </c>
      <c r="C1260" s="113">
        <v>6051066</v>
      </c>
      <c r="D1260" s="113" t="s">
        <v>3093</v>
      </c>
      <c r="E1260" s="113" t="s">
        <v>1620</v>
      </c>
      <c r="F1260" s="113" t="s">
        <v>3093</v>
      </c>
      <c r="G1260" s="113" t="s">
        <v>3093</v>
      </c>
      <c r="H1260" s="161">
        <v>0</v>
      </c>
      <c r="I1260" s="161" t="s">
        <v>7138</v>
      </c>
    </row>
    <row r="1261" spans="1:9">
      <c r="A1261" s="113">
        <v>100400953</v>
      </c>
      <c r="B1261" s="113" t="s">
        <v>4141</v>
      </c>
      <c r="C1261" s="113">
        <v>6051067</v>
      </c>
      <c r="D1261" s="113" t="s">
        <v>3093</v>
      </c>
      <c r="E1261" s="113" t="s">
        <v>1620</v>
      </c>
      <c r="F1261" s="113" t="s">
        <v>3093</v>
      </c>
      <c r="G1261" s="113" t="s">
        <v>3093</v>
      </c>
      <c r="H1261" s="161">
        <v>0</v>
      </c>
      <c r="I1261" s="161" t="s">
        <v>7138</v>
      </c>
    </row>
    <row r="1262" spans="1:9">
      <c r="A1262" s="113">
        <v>100400954</v>
      </c>
      <c r="B1262" s="113" t="s">
        <v>2868</v>
      </c>
      <c r="C1262" s="113">
        <v>6051068</v>
      </c>
      <c r="D1262" s="113" t="s">
        <v>3093</v>
      </c>
      <c r="E1262" s="113" t="s">
        <v>1620</v>
      </c>
      <c r="F1262" s="113" t="s">
        <v>3093</v>
      </c>
      <c r="G1262" s="113" t="s">
        <v>3093</v>
      </c>
      <c r="H1262" s="161">
        <v>0</v>
      </c>
      <c r="I1262" s="161" t="s">
        <v>7138</v>
      </c>
    </row>
    <row r="1263" spans="1:9">
      <c r="A1263" s="113">
        <v>100400955</v>
      </c>
      <c r="B1263" s="113" t="s">
        <v>4142</v>
      </c>
      <c r="C1263" s="113">
        <v>6051069</v>
      </c>
      <c r="D1263" s="113" t="s">
        <v>3093</v>
      </c>
      <c r="E1263" s="113" t="s">
        <v>1620</v>
      </c>
      <c r="F1263" s="113" t="s">
        <v>3093</v>
      </c>
      <c r="G1263" s="113" t="s">
        <v>3093</v>
      </c>
      <c r="H1263" s="161">
        <v>0</v>
      </c>
      <c r="I1263" s="161" t="s">
        <v>7138</v>
      </c>
    </row>
    <row r="1264" spans="1:9">
      <c r="A1264" s="113">
        <v>100400956</v>
      </c>
      <c r="B1264" s="113" t="s">
        <v>4143</v>
      </c>
      <c r="C1264" s="113">
        <v>6051070</v>
      </c>
      <c r="D1264" s="113" t="s">
        <v>3093</v>
      </c>
      <c r="E1264" s="113" t="s">
        <v>1620</v>
      </c>
      <c r="F1264" s="113" t="s">
        <v>3093</v>
      </c>
      <c r="G1264" s="113" t="s">
        <v>3093</v>
      </c>
      <c r="H1264" s="161">
        <v>0</v>
      </c>
      <c r="I1264" s="161" t="s">
        <v>7138</v>
      </c>
    </row>
    <row r="1265" spans="1:9">
      <c r="A1265" s="113">
        <v>100400957</v>
      </c>
      <c r="B1265" s="113" t="s">
        <v>2869</v>
      </c>
      <c r="C1265" s="113">
        <v>6051071</v>
      </c>
      <c r="D1265" s="113" t="s">
        <v>3093</v>
      </c>
      <c r="E1265" s="113" t="s">
        <v>1620</v>
      </c>
      <c r="F1265" s="113" t="s">
        <v>3093</v>
      </c>
      <c r="G1265" s="113" t="s">
        <v>3093</v>
      </c>
      <c r="H1265" s="161">
        <v>560</v>
      </c>
      <c r="I1265" s="161">
        <v>3</v>
      </c>
    </row>
    <row r="1266" spans="1:9">
      <c r="A1266" s="113">
        <v>100400958</v>
      </c>
      <c r="B1266" s="113" t="s">
        <v>4144</v>
      </c>
      <c r="C1266" s="113">
        <v>6051072</v>
      </c>
      <c r="D1266" s="113" t="s">
        <v>3093</v>
      </c>
      <c r="E1266" s="113" t="s">
        <v>1620</v>
      </c>
      <c r="F1266" s="113" t="s">
        <v>3093</v>
      </c>
      <c r="G1266" s="113" t="s">
        <v>3093</v>
      </c>
      <c r="H1266" s="161">
        <v>635</v>
      </c>
      <c r="I1266" s="161">
        <v>1</v>
      </c>
    </row>
    <row r="1267" spans="1:9">
      <c r="A1267" s="113">
        <v>100400959</v>
      </c>
      <c r="B1267" s="113" t="s">
        <v>4145</v>
      </c>
      <c r="C1267" s="113">
        <v>6051073</v>
      </c>
      <c r="D1267" s="113" t="s">
        <v>3093</v>
      </c>
      <c r="E1267" s="113" t="s">
        <v>1620</v>
      </c>
      <c r="F1267" s="113" t="s">
        <v>3093</v>
      </c>
      <c r="G1267" s="113" t="s">
        <v>3093</v>
      </c>
      <c r="H1267" s="161">
        <v>416.33</v>
      </c>
      <c r="I1267" s="161">
        <v>4</v>
      </c>
    </row>
    <row r="1268" spans="1:9">
      <c r="A1268" s="113">
        <v>100400960</v>
      </c>
      <c r="B1268" s="113" t="s">
        <v>4146</v>
      </c>
      <c r="C1268" s="113">
        <v>6051074</v>
      </c>
      <c r="D1268" s="113" t="s">
        <v>3093</v>
      </c>
      <c r="E1268" s="113" t="s">
        <v>1620</v>
      </c>
      <c r="F1268" s="113" t="s">
        <v>3093</v>
      </c>
      <c r="G1268" s="113" t="s">
        <v>3093</v>
      </c>
      <c r="H1268" s="161">
        <v>0</v>
      </c>
      <c r="I1268" s="161" t="s">
        <v>7138</v>
      </c>
    </row>
    <row r="1269" spans="1:9">
      <c r="A1269" s="113">
        <v>100400961</v>
      </c>
      <c r="B1269" s="113" t="s">
        <v>4147</v>
      </c>
      <c r="C1269" s="113">
        <v>6051075</v>
      </c>
      <c r="D1269" s="113" t="s">
        <v>3093</v>
      </c>
      <c r="E1269" s="113" t="s">
        <v>1620</v>
      </c>
      <c r="F1269" s="113" t="s">
        <v>3093</v>
      </c>
      <c r="G1269" s="113" t="s">
        <v>3093</v>
      </c>
      <c r="H1269" s="161">
        <v>0</v>
      </c>
      <c r="I1269" s="161" t="s">
        <v>7138</v>
      </c>
    </row>
    <row r="1270" spans="1:9">
      <c r="A1270" s="113">
        <v>100400962</v>
      </c>
      <c r="B1270" s="113" t="s">
        <v>4148</v>
      </c>
      <c r="C1270" s="113">
        <v>6051076</v>
      </c>
      <c r="D1270" s="113" t="s">
        <v>3093</v>
      </c>
      <c r="E1270" s="113" t="s">
        <v>1620</v>
      </c>
      <c r="F1270" s="113" t="s">
        <v>3093</v>
      </c>
      <c r="G1270" s="113" t="s">
        <v>3093</v>
      </c>
      <c r="H1270" s="161">
        <v>0</v>
      </c>
      <c r="I1270" s="161" t="s">
        <v>7138</v>
      </c>
    </row>
    <row r="1271" spans="1:9">
      <c r="A1271" s="113">
        <v>100400963</v>
      </c>
      <c r="B1271" s="113" t="s">
        <v>4149</v>
      </c>
      <c r="C1271" s="113">
        <v>6051077</v>
      </c>
      <c r="D1271" s="113" t="s">
        <v>3093</v>
      </c>
      <c r="E1271" s="113" t="s">
        <v>1620</v>
      </c>
      <c r="F1271" s="113" t="s">
        <v>3093</v>
      </c>
      <c r="G1271" s="113" t="s">
        <v>3093</v>
      </c>
      <c r="H1271" s="161">
        <v>0</v>
      </c>
      <c r="I1271" s="161" t="s">
        <v>7138</v>
      </c>
    </row>
    <row r="1272" spans="1:9">
      <c r="A1272" s="113">
        <v>100400964</v>
      </c>
      <c r="B1272" s="113" t="s">
        <v>4150</v>
      </c>
      <c r="C1272" s="113">
        <v>6051078</v>
      </c>
      <c r="D1272" s="113" t="s">
        <v>3093</v>
      </c>
      <c r="E1272" s="113" t="s">
        <v>1620</v>
      </c>
      <c r="F1272" s="113" t="s">
        <v>3093</v>
      </c>
      <c r="G1272" s="113" t="s">
        <v>3093</v>
      </c>
      <c r="H1272" s="161">
        <v>0</v>
      </c>
      <c r="I1272" s="161" t="s">
        <v>7138</v>
      </c>
    </row>
    <row r="1273" spans="1:9">
      <c r="A1273" s="113">
        <v>100400965</v>
      </c>
      <c r="B1273" s="113" t="s">
        <v>4151</v>
      </c>
      <c r="C1273" s="113">
        <v>6051079</v>
      </c>
      <c r="D1273" s="113" t="s">
        <v>3093</v>
      </c>
      <c r="E1273" s="113" t="s">
        <v>1620</v>
      </c>
      <c r="F1273" s="113" t="s">
        <v>3093</v>
      </c>
      <c r="G1273" s="113" t="s">
        <v>3093</v>
      </c>
      <c r="H1273" s="161">
        <v>0</v>
      </c>
      <c r="I1273" s="161" t="s">
        <v>7138</v>
      </c>
    </row>
    <row r="1274" spans="1:9">
      <c r="A1274" s="113">
        <v>100400966</v>
      </c>
      <c r="B1274" s="113" t="s">
        <v>4152</v>
      </c>
      <c r="C1274" s="113">
        <v>6051080</v>
      </c>
      <c r="D1274" s="113" t="s">
        <v>3093</v>
      </c>
      <c r="E1274" s="113" t="s">
        <v>1620</v>
      </c>
      <c r="F1274" s="113" t="s">
        <v>3093</v>
      </c>
      <c r="G1274" s="113" t="s">
        <v>3093</v>
      </c>
      <c r="H1274" s="161">
        <v>104.73</v>
      </c>
      <c r="I1274" s="161">
        <v>15</v>
      </c>
    </row>
    <row r="1275" spans="1:9">
      <c r="A1275" s="113">
        <v>100400967</v>
      </c>
      <c r="B1275" s="113" t="s">
        <v>4153</v>
      </c>
      <c r="C1275" s="113">
        <v>6051081</v>
      </c>
      <c r="D1275" s="113" t="s">
        <v>3093</v>
      </c>
      <c r="E1275" s="113" t="s">
        <v>1620</v>
      </c>
      <c r="F1275" s="113" t="s">
        <v>3093</v>
      </c>
      <c r="G1275" s="113" t="s">
        <v>3093</v>
      </c>
      <c r="H1275" s="161">
        <v>0</v>
      </c>
      <c r="I1275" s="161" t="s">
        <v>7138</v>
      </c>
    </row>
    <row r="1276" spans="1:9">
      <c r="A1276" s="113">
        <v>100400968</v>
      </c>
      <c r="B1276" s="113" t="s">
        <v>4154</v>
      </c>
      <c r="C1276" s="113">
        <v>6051082</v>
      </c>
      <c r="D1276" s="113" t="s">
        <v>3093</v>
      </c>
      <c r="E1276" s="113" t="s">
        <v>1620</v>
      </c>
      <c r="F1276" s="113" t="s">
        <v>3093</v>
      </c>
      <c r="G1276" s="113" t="s">
        <v>3093</v>
      </c>
      <c r="H1276" s="161">
        <v>0</v>
      </c>
      <c r="I1276" s="161" t="s">
        <v>7138</v>
      </c>
    </row>
    <row r="1277" spans="1:9">
      <c r="A1277" s="113">
        <v>100400969</v>
      </c>
      <c r="B1277" s="113" t="s">
        <v>4155</v>
      </c>
      <c r="C1277" s="113">
        <v>6051083</v>
      </c>
      <c r="D1277" s="113" t="s">
        <v>3093</v>
      </c>
      <c r="E1277" s="113" t="s">
        <v>1620</v>
      </c>
      <c r="F1277" s="113" t="s">
        <v>3093</v>
      </c>
      <c r="G1277" s="113" t="s">
        <v>3093</v>
      </c>
      <c r="H1277" s="161">
        <v>0</v>
      </c>
      <c r="I1277" s="161" t="s">
        <v>7138</v>
      </c>
    </row>
    <row r="1278" spans="1:9">
      <c r="A1278" s="113">
        <v>100400970</v>
      </c>
      <c r="B1278" s="113" t="s">
        <v>4156</v>
      </c>
      <c r="C1278" s="113">
        <v>6051084</v>
      </c>
      <c r="D1278" s="113" t="s">
        <v>3093</v>
      </c>
      <c r="E1278" s="113" t="s">
        <v>1620</v>
      </c>
      <c r="F1278" s="113" t="s">
        <v>3093</v>
      </c>
      <c r="G1278" s="113" t="s">
        <v>3093</v>
      </c>
      <c r="H1278" s="161">
        <v>0</v>
      </c>
      <c r="I1278" s="161" t="s">
        <v>7138</v>
      </c>
    </row>
    <row r="1279" spans="1:9">
      <c r="A1279" s="113">
        <v>100400971</v>
      </c>
      <c r="B1279" s="113" t="s">
        <v>4157</v>
      </c>
      <c r="C1279" s="113">
        <v>6051085</v>
      </c>
      <c r="D1279" s="113" t="s">
        <v>3093</v>
      </c>
      <c r="E1279" s="113" t="s">
        <v>1620</v>
      </c>
      <c r="F1279" s="113" t="s">
        <v>3093</v>
      </c>
      <c r="G1279" s="113" t="s">
        <v>3093</v>
      </c>
      <c r="H1279" s="161">
        <v>0</v>
      </c>
      <c r="I1279" s="161" t="s">
        <v>7138</v>
      </c>
    </row>
    <row r="1280" spans="1:9">
      <c r="A1280" s="113">
        <v>100400972</v>
      </c>
      <c r="B1280" s="113" t="s">
        <v>4158</v>
      </c>
      <c r="C1280" s="113">
        <v>6051086</v>
      </c>
      <c r="D1280" s="113" t="s">
        <v>3093</v>
      </c>
      <c r="E1280" s="113" t="s">
        <v>1620</v>
      </c>
      <c r="F1280" s="113" t="s">
        <v>3093</v>
      </c>
      <c r="G1280" s="113" t="s">
        <v>3093</v>
      </c>
      <c r="H1280" s="161">
        <v>0</v>
      </c>
      <c r="I1280" s="161" t="s">
        <v>7138</v>
      </c>
    </row>
    <row r="1281" spans="1:9">
      <c r="A1281" s="113">
        <v>100400973</v>
      </c>
      <c r="B1281" s="113" t="s">
        <v>4159</v>
      </c>
      <c r="C1281" s="113">
        <v>6051087</v>
      </c>
      <c r="D1281" s="113" t="s">
        <v>3093</v>
      </c>
      <c r="E1281" s="113" t="s">
        <v>1620</v>
      </c>
      <c r="F1281" s="113" t="s">
        <v>3093</v>
      </c>
      <c r="G1281" s="113" t="s">
        <v>3093</v>
      </c>
      <c r="H1281" s="161">
        <v>31.64</v>
      </c>
      <c r="I1281" s="161">
        <v>24</v>
      </c>
    </row>
    <row r="1282" spans="1:9">
      <c r="A1282" s="113">
        <v>100400974</v>
      </c>
      <c r="B1282" s="113" t="s">
        <v>4160</v>
      </c>
      <c r="C1282" s="113">
        <v>6051088</v>
      </c>
      <c r="D1282" s="113" t="s">
        <v>3093</v>
      </c>
      <c r="E1282" s="113" t="s">
        <v>1620</v>
      </c>
      <c r="F1282" s="113" t="s">
        <v>3093</v>
      </c>
      <c r="G1282" s="113" t="s">
        <v>3093</v>
      </c>
      <c r="H1282" s="161">
        <v>0</v>
      </c>
      <c r="I1282" s="161" t="s">
        <v>7138</v>
      </c>
    </row>
    <row r="1283" spans="1:9">
      <c r="A1283" s="113">
        <v>100400975</v>
      </c>
      <c r="B1283" s="113" t="s">
        <v>4161</v>
      </c>
      <c r="C1283" s="113">
        <v>6051089</v>
      </c>
      <c r="D1283" s="113" t="s">
        <v>3093</v>
      </c>
      <c r="E1283" s="113" t="s">
        <v>1620</v>
      </c>
      <c r="F1283" s="113" t="s">
        <v>3093</v>
      </c>
      <c r="G1283" s="113" t="s">
        <v>3093</v>
      </c>
      <c r="H1283" s="161">
        <v>0</v>
      </c>
      <c r="I1283" s="161" t="s">
        <v>7138</v>
      </c>
    </row>
    <row r="1284" spans="1:9">
      <c r="A1284" s="113">
        <v>100400976</v>
      </c>
      <c r="B1284" s="113" t="s">
        <v>4162</v>
      </c>
      <c r="C1284" s="113">
        <v>6051090</v>
      </c>
      <c r="D1284" s="113" t="s">
        <v>3093</v>
      </c>
      <c r="E1284" s="113" t="s">
        <v>1620</v>
      </c>
      <c r="F1284" s="113" t="s">
        <v>3093</v>
      </c>
      <c r="G1284" s="113" t="s">
        <v>3093</v>
      </c>
      <c r="H1284" s="161">
        <v>34.31</v>
      </c>
      <c r="I1284" s="161">
        <v>48</v>
      </c>
    </row>
    <row r="1285" spans="1:9">
      <c r="A1285" s="113">
        <v>100400977</v>
      </c>
      <c r="B1285" s="113" t="s">
        <v>4163</v>
      </c>
      <c r="C1285" s="113">
        <v>6051091</v>
      </c>
      <c r="D1285" s="113" t="s">
        <v>3093</v>
      </c>
      <c r="E1285" s="113" t="s">
        <v>1620</v>
      </c>
      <c r="F1285" s="113" t="s">
        <v>3093</v>
      </c>
      <c r="G1285" s="113" t="s">
        <v>3093</v>
      </c>
      <c r="H1285" s="161">
        <v>41.67</v>
      </c>
      <c r="I1285" s="161">
        <v>0</v>
      </c>
    </row>
    <row r="1286" spans="1:9">
      <c r="A1286" s="113">
        <v>100400978</v>
      </c>
      <c r="B1286" s="113" t="s">
        <v>4164</v>
      </c>
      <c r="C1286" s="113">
        <v>6051092</v>
      </c>
      <c r="D1286" s="113" t="s">
        <v>3093</v>
      </c>
      <c r="E1286" s="113" t="s">
        <v>1620</v>
      </c>
      <c r="F1286" s="113" t="s">
        <v>3093</v>
      </c>
      <c r="G1286" s="113" t="s">
        <v>3093</v>
      </c>
      <c r="H1286" s="161">
        <v>97</v>
      </c>
      <c r="I1286" s="161">
        <v>8</v>
      </c>
    </row>
    <row r="1287" spans="1:9">
      <c r="A1287" s="113">
        <v>100400979</v>
      </c>
      <c r="B1287" s="113" t="s">
        <v>4165</v>
      </c>
      <c r="C1287" s="113">
        <v>6051093</v>
      </c>
      <c r="D1287" s="113" t="s">
        <v>3093</v>
      </c>
      <c r="E1287" s="113" t="s">
        <v>1620</v>
      </c>
      <c r="F1287" s="113" t="s">
        <v>3093</v>
      </c>
      <c r="G1287" s="113" t="s">
        <v>3093</v>
      </c>
      <c r="H1287" s="161">
        <v>11.55</v>
      </c>
      <c r="I1287" s="161">
        <v>0</v>
      </c>
    </row>
    <row r="1288" spans="1:9">
      <c r="A1288" s="113">
        <v>100400980</v>
      </c>
      <c r="B1288" s="113" t="s">
        <v>4166</v>
      </c>
      <c r="C1288" s="113">
        <v>6051094</v>
      </c>
      <c r="D1288" s="113" t="s">
        <v>3093</v>
      </c>
      <c r="E1288" s="113" t="s">
        <v>1620</v>
      </c>
      <c r="F1288" s="113" t="s">
        <v>3093</v>
      </c>
      <c r="G1288" s="113" t="s">
        <v>3093</v>
      </c>
      <c r="H1288" s="161">
        <v>51.79</v>
      </c>
      <c r="I1288" s="161">
        <v>20</v>
      </c>
    </row>
    <row r="1289" spans="1:9">
      <c r="A1289" s="113">
        <v>100400981</v>
      </c>
      <c r="B1289" s="113" t="s">
        <v>2870</v>
      </c>
      <c r="C1289" s="113">
        <v>6051095</v>
      </c>
      <c r="D1289" s="113" t="s">
        <v>3093</v>
      </c>
      <c r="E1289" s="113" t="s">
        <v>1620</v>
      </c>
      <c r="F1289" s="113" t="s">
        <v>3093</v>
      </c>
      <c r="G1289" s="113" t="s">
        <v>3093</v>
      </c>
      <c r="H1289" s="161">
        <v>469.01</v>
      </c>
      <c r="I1289" s="161">
        <v>8</v>
      </c>
    </row>
    <row r="1290" spans="1:9">
      <c r="A1290" s="113">
        <v>100400982</v>
      </c>
      <c r="B1290" s="113" t="s">
        <v>4167</v>
      </c>
      <c r="C1290" s="113">
        <v>6051096</v>
      </c>
      <c r="D1290" s="113" t="s">
        <v>3093</v>
      </c>
      <c r="E1290" s="113" t="s">
        <v>1620</v>
      </c>
      <c r="F1290" s="113" t="s">
        <v>3093</v>
      </c>
      <c r="G1290" s="113" t="s">
        <v>3093</v>
      </c>
      <c r="H1290" s="161">
        <v>107.98</v>
      </c>
      <c r="I1290" s="161">
        <v>1</v>
      </c>
    </row>
    <row r="1291" spans="1:9">
      <c r="A1291" s="113">
        <v>100400983</v>
      </c>
      <c r="B1291" s="113" t="s">
        <v>4168</v>
      </c>
      <c r="C1291" s="113">
        <v>6051097</v>
      </c>
      <c r="D1291" s="113" t="s">
        <v>3093</v>
      </c>
      <c r="E1291" s="113" t="s">
        <v>1620</v>
      </c>
      <c r="F1291" s="113" t="s">
        <v>3093</v>
      </c>
      <c r="G1291" s="113" t="s">
        <v>3093</v>
      </c>
      <c r="H1291" s="161">
        <v>29.88</v>
      </c>
      <c r="I1291" s="161">
        <v>0</v>
      </c>
    </row>
    <row r="1292" spans="1:9">
      <c r="A1292" s="113">
        <v>100400984</v>
      </c>
      <c r="B1292" s="113" t="s">
        <v>4169</v>
      </c>
      <c r="C1292" s="113">
        <v>6051098</v>
      </c>
      <c r="D1292" s="113" t="s">
        <v>3093</v>
      </c>
      <c r="E1292" s="113" t="s">
        <v>1620</v>
      </c>
      <c r="F1292" s="113" t="s">
        <v>3093</v>
      </c>
      <c r="G1292" s="113" t="s">
        <v>3093</v>
      </c>
      <c r="H1292" s="161">
        <v>39.549999999999997</v>
      </c>
      <c r="I1292" s="161">
        <v>0</v>
      </c>
    </row>
    <row r="1293" spans="1:9">
      <c r="A1293" s="113">
        <v>100400985</v>
      </c>
      <c r="B1293" s="113" t="s">
        <v>4170</v>
      </c>
      <c r="C1293" s="113">
        <v>6051099</v>
      </c>
      <c r="D1293" s="113" t="s">
        <v>3093</v>
      </c>
      <c r="E1293" s="113" t="s">
        <v>1620</v>
      </c>
      <c r="F1293" s="113" t="s">
        <v>3093</v>
      </c>
      <c r="G1293" s="113" t="s">
        <v>3093</v>
      </c>
      <c r="H1293" s="161">
        <v>0</v>
      </c>
      <c r="I1293" s="161" t="s">
        <v>7138</v>
      </c>
    </row>
    <row r="1294" spans="1:9">
      <c r="A1294" s="113">
        <v>100400986</v>
      </c>
      <c r="B1294" s="113" t="s">
        <v>4171</v>
      </c>
      <c r="C1294" s="113">
        <v>6051100</v>
      </c>
      <c r="D1294" s="113" t="s">
        <v>3093</v>
      </c>
      <c r="E1294" s="113" t="s">
        <v>1620</v>
      </c>
      <c r="F1294" s="113" t="s">
        <v>3093</v>
      </c>
      <c r="G1294" s="113" t="s">
        <v>3093</v>
      </c>
      <c r="H1294" s="161">
        <v>0</v>
      </c>
      <c r="I1294" s="161" t="s">
        <v>7138</v>
      </c>
    </row>
    <row r="1295" spans="1:9">
      <c r="A1295" s="113">
        <v>100400987</v>
      </c>
      <c r="B1295" s="113" t="s">
        <v>4172</v>
      </c>
      <c r="C1295" s="113">
        <v>6051101</v>
      </c>
      <c r="D1295" s="113" t="s">
        <v>3093</v>
      </c>
      <c r="E1295" s="113" t="s">
        <v>1620</v>
      </c>
      <c r="F1295" s="113" t="s">
        <v>3093</v>
      </c>
      <c r="G1295" s="113" t="s">
        <v>3093</v>
      </c>
      <c r="H1295" s="161">
        <v>2.34</v>
      </c>
      <c r="I1295" s="161">
        <v>2</v>
      </c>
    </row>
    <row r="1296" spans="1:9">
      <c r="A1296" s="113">
        <v>100400988</v>
      </c>
      <c r="B1296" s="113" t="s">
        <v>2871</v>
      </c>
      <c r="C1296" s="113">
        <v>6051102</v>
      </c>
      <c r="D1296" s="113" t="s">
        <v>3093</v>
      </c>
      <c r="E1296" s="113" t="s">
        <v>1620</v>
      </c>
      <c r="F1296" s="113" t="s">
        <v>3093</v>
      </c>
      <c r="G1296" s="113" t="s">
        <v>3093</v>
      </c>
      <c r="H1296" s="161">
        <v>199</v>
      </c>
      <c r="I1296" s="161">
        <v>7</v>
      </c>
    </row>
    <row r="1297" spans="1:9">
      <c r="A1297" s="113">
        <v>100400989</v>
      </c>
      <c r="B1297" s="113" t="s">
        <v>2872</v>
      </c>
      <c r="C1297" s="113">
        <v>6051103</v>
      </c>
      <c r="D1297" s="113" t="s">
        <v>3093</v>
      </c>
      <c r="E1297" s="113" t="s">
        <v>1620</v>
      </c>
      <c r="F1297" s="113" t="s">
        <v>3093</v>
      </c>
      <c r="G1297" s="113" t="s">
        <v>3093</v>
      </c>
      <c r="H1297" s="161">
        <v>499</v>
      </c>
      <c r="I1297" s="161">
        <v>10</v>
      </c>
    </row>
    <row r="1298" spans="1:9">
      <c r="A1298" s="113">
        <v>100400990</v>
      </c>
      <c r="B1298" s="113" t="s">
        <v>4173</v>
      </c>
      <c r="C1298" s="113">
        <v>6051104</v>
      </c>
      <c r="D1298" s="113" t="s">
        <v>3093</v>
      </c>
      <c r="E1298" s="113" t="s">
        <v>1620</v>
      </c>
      <c r="F1298" s="113" t="s">
        <v>3093</v>
      </c>
      <c r="G1298" s="113" t="s">
        <v>3093</v>
      </c>
      <c r="H1298" s="161">
        <v>195</v>
      </c>
      <c r="I1298" s="161">
        <v>6</v>
      </c>
    </row>
    <row r="1299" spans="1:9">
      <c r="A1299" s="113">
        <v>100400991</v>
      </c>
      <c r="B1299" s="113" t="s">
        <v>4174</v>
      </c>
      <c r="C1299" s="113">
        <v>6051105</v>
      </c>
      <c r="D1299" s="113" t="s">
        <v>3093</v>
      </c>
      <c r="E1299" s="113" t="s">
        <v>1620</v>
      </c>
      <c r="F1299" s="113" t="s">
        <v>3093</v>
      </c>
      <c r="G1299" s="113" t="s">
        <v>3093</v>
      </c>
      <c r="H1299" s="161">
        <v>0</v>
      </c>
      <c r="I1299" s="161" t="s">
        <v>7138</v>
      </c>
    </row>
    <row r="1300" spans="1:9">
      <c r="A1300" s="113">
        <v>100400992</v>
      </c>
      <c r="B1300" s="113" t="s">
        <v>4175</v>
      </c>
      <c r="C1300" s="113">
        <v>6051106</v>
      </c>
      <c r="D1300" s="113" t="s">
        <v>3093</v>
      </c>
      <c r="E1300" s="113" t="s">
        <v>1620</v>
      </c>
      <c r="F1300" s="113" t="s">
        <v>3093</v>
      </c>
      <c r="G1300" s="113" t="s">
        <v>3093</v>
      </c>
      <c r="H1300" s="161">
        <v>0</v>
      </c>
      <c r="I1300" s="161" t="s">
        <v>7138</v>
      </c>
    </row>
    <row r="1301" spans="1:9">
      <c r="A1301" s="113">
        <v>100400993</v>
      </c>
      <c r="B1301" s="113" t="s">
        <v>4176</v>
      </c>
      <c r="C1301" s="113">
        <v>6051107</v>
      </c>
      <c r="D1301" s="113" t="s">
        <v>3093</v>
      </c>
      <c r="E1301" s="113" t="s">
        <v>1620</v>
      </c>
      <c r="F1301" s="113" t="s">
        <v>3093</v>
      </c>
      <c r="G1301" s="113" t="s">
        <v>3093</v>
      </c>
      <c r="H1301" s="161">
        <v>0</v>
      </c>
      <c r="I1301" s="161" t="s">
        <v>7138</v>
      </c>
    </row>
    <row r="1302" spans="1:9">
      <c r="A1302" s="113">
        <v>100400994</v>
      </c>
      <c r="B1302" s="113" t="s">
        <v>4177</v>
      </c>
      <c r="C1302" s="113">
        <v>6051108</v>
      </c>
      <c r="D1302" s="113" t="s">
        <v>3093</v>
      </c>
      <c r="E1302" s="113" t="s">
        <v>1620</v>
      </c>
      <c r="F1302" s="113" t="s">
        <v>3093</v>
      </c>
      <c r="G1302" s="113" t="s">
        <v>3093</v>
      </c>
      <c r="H1302" s="161">
        <v>0</v>
      </c>
      <c r="I1302" s="161" t="s">
        <v>7138</v>
      </c>
    </row>
    <row r="1303" spans="1:9">
      <c r="A1303" s="113">
        <v>100400995</v>
      </c>
      <c r="B1303" s="113" t="s">
        <v>4178</v>
      </c>
      <c r="C1303" s="113">
        <v>6051109</v>
      </c>
      <c r="D1303" s="113" t="s">
        <v>3093</v>
      </c>
      <c r="E1303" s="113" t="s">
        <v>1620</v>
      </c>
      <c r="F1303" s="113" t="s">
        <v>3093</v>
      </c>
      <c r="G1303" s="113" t="s">
        <v>3093</v>
      </c>
      <c r="H1303" s="161">
        <v>0</v>
      </c>
      <c r="I1303" s="161" t="s">
        <v>7138</v>
      </c>
    </row>
    <row r="1304" spans="1:9">
      <c r="A1304" s="113">
        <v>100400996</v>
      </c>
      <c r="B1304" s="113" t="s">
        <v>4179</v>
      </c>
      <c r="C1304" s="113">
        <v>6051110</v>
      </c>
      <c r="D1304" s="113" t="s">
        <v>3093</v>
      </c>
      <c r="E1304" s="113" t="s">
        <v>1620</v>
      </c>
      <c r="F1304" s="113" t="s">
        <v>3093</v>
      </c>
      <c r="G1304" s="113" t="s">
        <v>3093</v>
      </c>
      <c r="H1304" s="161">
        <v>0</v>
      </c>
      <c r="I1304" s="161" t="s">
        <v>7138</v>
      </c>
    </row>
    <row r="1305" spans="1:9">
      <c r="A1305" s="113">
        <v>100400997</v>
      </c>
      <c r="B1305" s="113" t="s">
        <v>4180</v>
      </c>
      <c r="C1305" s="113">
        <v>6052011</v>
      </c>
      <c r="D1305" s="113" t="s">
        <v>3093</v>
      </c>
      <c r="E1305" s="113" t="s">
        <v>1620</v>
      </c>
      <c r="F1305" s="113" t="s">
        <v>3093</v>
      </c>
      <c r="G1305" s="113" t="s">
        <v>3093</v>
      </c>
      <c r="H1305" s="161">
        <v>0</v>
      </c>
      <c r="I1305" s="161" t="s">
        <v>7138</v>
      </c>
    </row>
    <row r="1306" spans="1:9">
      <c r="A1306" s="113">
        <v>100400998</v>
      </c>
      <c r="B1306" s="113" t="s">
        <v>4181</v>
      </c>
      <c r="C1306" s="113">
        <v>6052020</v>
      </c>
      <c r="D1306" s="113" t="s">
        <v>3093</v>
      </c>
      <c r="E1306" s="113" t="s">
        <v>1620</v>
      </c>
      <c r="F1306" s="113" t="s">
        <v>3093</v>
      </c>
      <c r="G1306" s="113" t="s">
        <v>3093</v>
      </c>
      <c r="H1306" s="161">
        <v>57.21</v>
      </c>
      <c r="I1306" s="161">
        <v>4</v>
      </c>
    </row>
    <row r="1307" spans="1:9">
      <c r="A1307" s="113">
        <v>100400999</v>
      </c>
      <c r="B1307" s="113" t="s">
        <v>4182</v>
      </c>
      <c r="C1307" s="113">
        <v>6052021</v>
      </c>
      <c r="D1307" s="113" t="s">
        <v>3093</v>
      </c>
      <c r="E1307" s="113" t="s">
        <v>1620</v>
      </c>
      <c r="F1307" s="113" t="s">
        <v>3093</v>
      </c>
      <c r="G1307" s="113" t="s">
        <v>3093</v>
      </c>
      <c r="H1307" s="161">
        <v>46.61</v>
      </c>
      <c r="I1307" s="161">
        <v>0</v>
      </c>
    </row>
    <row r="1308" spans="1:9">
      <c r="A1308" s="113">
        <v>100401000</v>
      </c>
      <c r="B1308" s="113" t="s">
        <v>4183</v>
      </c>
      <c r="C1308" s="113">
        <v>6052022</v>
      </c>
      <c r="D1308" s="113" t="s">
        <v>3093</v>
      </c>
      <c r="E1308" s="113" t="s">
        <v>1620</v>
      </c>
      <c r="F1308" s="113" t="s">
        <v>3093</v>
      </c>
      <c r="G1308" s="113" t="s">
        <v>3093</v>
      </c>
      <c r="H1308" s="161">
        <v>0</v>
      </c>
      <c r="I1308" s="161" t="s">
        <v>7138</v>
      </c>
    </row>
    <row r="1309" spans="1:9">
      <c r="A1309" s="113">
        <v>100401001</v>
      </c>
      <c r="B1309" s="113" t="s">
        <v>4184</v>
      </c>
      <c r="C1309" s="113">
        <v>6052023</v>
      </c>
      <c r="D1309" s="113" t="s">
        <v>3093</v>
      </c>
      <c r="E1309" s="113" t="s">
        <v>1620</v>
      </c>
      <c r="F1309" s="113" t="s">
        <v>3093</v>
      </c>
      <c r="G1309" s="113" t="s">
        <v>3093</v>
      </c>
      <c r="H1309" s="161">
        <v>0</v>
      </c>
      <c r="I1309" s="161" t="s">
        <v>7138</v>
      </c>
    </row>
    <row r="1310" spans="1:9">
      <c r="A1310" s="113">
        <v>100401002</v>
      </c>
      <c r="B1310" s="113" t="s">
        <v>4185</v>
      </c>
      <c r="C1310" s="113">
        <v>6052024</v>
      </c>
      <c r="D1310" s="113" t="s">
        <v>3093</v>
      </c>
      <c r="E1310" s="113" t="s">
        <v>1620</v>
      </c>
      <c r="F1310" s="113" t="s">
        <v>3093</v>
      </c>
      <c r="G1310" s="113" t="s">
        <v>3093</v>
      </c>
      <c r="H1310" s="161">
        <v>24.2</v>
      </c>
      <c r="I1310" s="161">
        <v>0</v>
      </c>
    </row>
    <row r="1311" spans="1:9">
      <c r="A1311" s="113">
        <v>100401003</v>
      </c>
      <c r="B1311" s="113" t="s">
        <v>4186</v>
      </c>
      <c r="C1311" s="113">
        <v>6052025</v>
      </c>
      <c r="D1311" s="113" t="s">
        <v>3093</v>
      </c>
      <c r="E1311" s="113" t="s">
        <v>1620</v>
      </c>
      <c r="F1311" s="113" t="s">
        <v>3093</v>
      </c>
      <c r="G1311" s="113" t="s">
        <v>3093</v>
      </c>
      <c r="H1311" s="161">
        <v>26.7</v>
      </c>
      <c r="I1311" s="161">
        <v>0</v>
      </c>
    </row>
    <row r="1312" spans="1:9">
      <c r="A1312" s="113">
        <v>100401004</v>
      </c>
      <c r="B1312" s="113" t="s">
        <v>4187</v>
      </c>
      <c r="C1312" s="113">
        <v>6052026</v>
      </c>
      <c r="D1312" s="113" t="s">
        <v>3093</v>
      </c>
      <c r="E1312" s="113" t="s">
        <v>1620</v>
      </c>
      <c r="F1312" s="113" t="s">
        <v>3093</v>
      </c>
      <c r="G1312" s="113" t="s">
        <v>3093</v>
      </c>
      <c r="H1312" s="161">
        <v>42.99</v>
      </c>
      <c r="I1312" s="161">
        <v>0</v>
      </c>
    </row>
    <row r="1313" spans="1:9">
      <c r="A1313" s="113">
        <v>100401005</v>
      </c>
      <c r="B1313" s="113" t="s">
        <v>4188</v>
      </c>
      <c r="C1313" s="113">
        <v>6052027</v>
      </c>
      <c r="D1313" s="113" t="s">
        <v>3093</v>
      </c>
      <c r="E1313" s="113" t="s">
        <v>1620</v>
      </c>
      <c r="F1313" s="113" t="s">
        <v>3093</v>
      </c>
      <c r="G1313" s="113" t="s">
        <v>3093</v>
      </c>
      <c r="H1313" s="161">
        <v>46.94</v>
      </c>
      <c r="I1313" s="161">
        <v>0</v>
      </c>
    </row>
    <row r="1314" spans="1:9">
      <c r="A1314" s="113">
        <v>100401006</v>
      </c>
      <c r="B1314" s="113" t="s">
        <v>4189</v>
      </c>
      <c r="C1314" s="113">
        <v>6052028</v>
      </c>
      <c r="D1314" s="113" t="s">
        <v>3093</v>
      </c>
      <c r="E1314" s="113" t="s">
        <v>1620</v>
      </c>
      <c r="F1314" s="113" t="s">
        <v>3093</v>
      </c>
      <c r="G1314" s="113" t="s">
        <v>3093</v>
      </c>
      <c r="H1314" s="161">
        <v>25.87</v>
      </c>
      <c r="I1314" s="161">
        <v>106</v>
      </c>
    </row>
    <row r="1315" spans="1:9">
      <c r="A1315" s="113">
        <v>100401007</v>
      </c>
      <c r="B1315" s="113" t="s">
        <v>4190</v>
      </c>
      <c r="C1315" s="113">
        <v>6052029</v>
      </c>
      <c r="D1315" s="113" t="s">
        <v>3093</v>
      </c>
      <c r="E1315" s="113" t="s">
        <v>1620</v>
      </c>
      <c r="F1315" s="113" t="s">
        <v>3093</v>
      </c>
      <c r="G1315" s="113" t="s">
        <v>3093</v>
      </c>
      <c r="H1315" s="161">
        <v>23.01</v>
      </c>
      <c r="I1315" s="161">
        <v>86</v>
      </c>
    </row>
    <row r="1316" spans="1:9">
      <c r="A1316" s="113">
        <v>100401008</v>
      </c>
      <c r="B1316" s="113" t="s">
        <v>4191</v>
      </c>
      <c r="C1316" s="113">
        <v>6052030</v>
      </c>
      <c r="D1316" s="113" t="s">
        <v>3093</v>
      </c>
      <c r="E1316" s="113" t="s">
        <v>1620</v>
      </c>
      <c r="F1316" s="113" t="s">
        <v>3093</v>
      </c>
      <c r="G1316" s="113" t="s">
        <v>3093</v>
      </c>
      <c r="H1316" s="161">
        <v>0</v>
      </c>
      <c r="I1316" s="161" t="s">
        <v>7138</v>
      </c>
    </row>
    <row r="1317" spans="1:9">
      <c r="A1317" s="113">
        <v>100401009</v>
      </c>
      <c r="B1317" s="113" t="s">
        <v>4192</v>
      </c>
      <c r="C1317" s="113">
        <v>6052031</v>
      </c>
      <c r="D1317" s="113" t="s">
        <v>3093</v>
      </c>
      <c r="E1317" s="113" t="s">
        <v>1620</v>
      </c>
      <c r="F1317" s="113" t="s">
        <v>3093</v>
      </c>
      <c r="G1317" s="113" t="s">
        <v>3093</v>
      </c>
      <c r="H1317" s="161">
        <v>0</v>
      </c>
      <c r="I1317" s="161" t="s">
        <v>7138</v>
      </c>
    </row>
    <row r="1318" spans="1:9">
      <c r="A1318" s="113">
        <v>100401010</v>
      </c>
      <c r="B1318" s="113" t="s">
        <v>4193</v>
      </c>
      <c r="C1318" s="113">
        <v>6052032</v>
      </c>
      <c r="D1318" s="113" t="s">
        <v>3093</v>
      </c>
      <c r="E1318" s="113" t="s">
        <v>1620</v>
      </c>
      <c r="F1318" s="113" t="s">
        <v>3093</v>
      </c>
      <c r="G1318" s="113" t="s">
        <v>3093</v>
      </c>
      <c r="H1318" s="161">
        <v>0</v>
      </c>
      <c r="I1318" s="161" t="s">
        <v>7138</v>
      </c>
    </row>
    <row r="1319" spans="1:9">
      <c r="A1319" s="113">
        <v>100401011</v>
      </c>
      <c r="B1319" s="113" t="s">
        <v>4194</v>
      </c>
      <c r="C1319" s="113">
        <v>6052033</v>
      </c>
      <c r="D1319" s="113" t="s">
        <v>3093</v>
      </c>
      <c r="E1319" s="113" t="s">
        <v>1620</v>
      </c>
      <c r="F1319" s="113" t="s">
        <v>3093</v>
      </c>
      <c r="G1319" s="113" t="s">
        <v>3093</v>
      </c>
      <c r="H1319" s="161">
        <v>0</v>
      </c>
      <c r="I1319" s="161" t="s">
        <v>7138</v>
      </c>
    </row>
    <row r="1320" spans="1:9">
      <c r="A1320" s="113">
        <v>100401012</v>
      </c>
      <c r="B1320" s="113" t="s">
        <v>4195</v>
      </c>
      <c r="C1320" s="113">
        <v>6052034</v>
      </c>
      <c r="D1320" s="113" t="s">
        <v>3093</v>
      </c>
      <c r="E1320" s="113" t="s">
        <v>1620</v>
      </c>
      <c r="F1320" s="113" t="s">
        <v>3093</v>
      </c>
      <c r="G1320" s="113" t="s">
        <v>3093</v>
      </c>
      <c r="H1320" s="161">
        <v>0</v>
      </c>
      <c r="I1320" s="161" t="s">
        <v>7138</v>
      </c>
    </row>
    <row r="1321" spans="1:9">
      <c r="A1321" s="113">
        <v>100401013</v>
      </c>
      <c r="B1321" s="113" t="s">
        <v>4196</v>
      </c>
      <c r="C1321" s="113">
        <v>6052035</v>
      </c>
      <c r="D1321" s="113" t="s">
        <v>3093</v>
      </c>
      <c r="E1321" s="113" t="s">
        <v>1620</v>
      </c>
      <c r="F1321" s="113" t="s">
        <v>3093</v>
      </c>
      <c r="G1321" s="113" t="s">
        <v>3093</v>
      </c>
      <c r="H1321" s="161">
        <v>39.31</v>
      </c>
      <c r="I1321" s="161">
        <v>0</v>
      </c>
    </row>
    <row r="1322" spans="1:9">
      <c r="A1322" s="113">
        <v>100401014</v>
      </c>
      <c r="B1322" s="113" t="s">
        <v>4197</v>
      </c>
      <c r="C1322" s="113">
        <v>6052036</v>
      </c>
      <c r="D1322" s="113" t="s">
        <v>3093</v>
      </c>
      <c r="E1322" s="113" t="s">
        <v>1620</v>
      </c>
      <c r="F1322" s="113" t="s">
        <v>3093</v>
      </c>
      <c r="G1322" s="113" t="s">
        <v>3093</v>
      </c>
      <c r="H1322" s="161">
        <v>32.49</v>
      </c>
      <c r="I1322" s="161">
        <v>0</v>
      </c>
    </row>
    <row r="1323" spans="1:9">
      <c r="A1323" s="113">
        <v>100401015</v>
      </c>
      <c r="B1323" s="113" t="s">
        <v>4198</v>
      </c>
      <c r="C1323" s="113">
        <v>6052037</v>
      </c>
      <c r="D1323" s="113" t="s">
        <v>3093</v>
      </c>
      <c r="E1323" s="113" t="s">
        <v>1620</v>
      </c>
      <c r="F1323" s="113" t="s">
        <v>3093</v>
      </c>
      <c r="G1323" s="113" t="s">
        <v>3093</v>
      </c>
      <c r="H1323" s="161">
        <v>39.31</v>
      </c>
      <c r="I1323" s="161">
        <v>0</v>
      </c>
    </row>
    <row r="1324" spans="1:9">
      <c r="A1324" s="113">
        <v>100401016</v>
      </c>
      <c r="B1324" s="113" t="s">
        <v>4199</v>
      </c>
      <c r="C1324" s="113">
        <v>6052038</v>
      </c>
      <c r="D1324" s="113" t="s">
        <v>3093</v>
      </c>
      <c r="E1324" s="113" t="s">
        <v>1620</v>
      </c>
      <c r="F1324" s="113" t="s">
        <v>3093</v>
      </c>
      <c r="G1324" s="113" t="s">
        <v>3093</v>
      </c>
      <c r="H1324" s="161">
        <v>32.28</v>
      </c>
      <c r="I1324" s="161">
        <v>0</v>
      </c>
    </row>
    <row r="1325" spans="1:9">
      <c r="A1325" s="113">
        <v>100401017</v>
      </c>
      <c r="B1325" s="113" t="s">
        <v>4200</v>
      </c>
      <c r="C1325" s="113">
        <v>6052039</v>
      </c>
      <c r="D1325" s="113" t="s">
        <v>3093</v>
      </c>
      <c r="E1325" s="113" t="s">
        <v>1620</v>
      </c>
      <c r="F1325" s="113" t="s">
        <v>3093</v>
      </c>
      <c r="G1325" s="113" t="s">
        <v>3093</v>
      </c>
      <c r="H1325" s="161">
        <v>0</v>
      </c>
      <c r="I1325" s="161" t="s">
        <v>7138</v>
      </c>
    </row>
    <row r="1326" spans="1:9">
      <c r="A1326" s="113">
        <v>100401018</v>
      </c>
      <c r="B1326" s="113" t="s">
        <v>4201</v>
      </c>
      <c r="C1326" s="113">
        <v>6052040</v>
      </c>
      <c r="D1326" s="113" t="s">
        <v>3093</v>
      </c>
      <c r="E1326" s="113" t="s">
        <v>1620</v>
      </c>
      <c r="F1326" s="113" t="s">
        <v>3093</v>
      </c>
      <c r="G1326" s="113" t="s">
        <v>3093</v>
      </c>
      <c r="H1326" s="161">
        <v>62.15</v>
      </c>
      <c r="I1326" s="161">
        <v>120</v>
      </c>
    </row>
    <row r="1327" spans="1:9">
      <c r="A1327" s="113">
        <v>100401019</v>
      </c>
      <c r="B1327" s="113" t="s">
        <v>4202</v>
      </c>
      <c r="C1327" s="113">
        <v>6052041</v>
      </c>
      <c r="D1327" s="113" t="s">
        <v>3093</v>
      </c>
      <c r="E1327" s="113" t="s">
        <v>1620</v>
      </c>
      <c r="F1327" s="113" t="s">
        <v>3093</v>
      </c>
      <c r="G1327" s="113" t="s">
        <v>3093</v>
      </c>
      <c r="H1327" s="161">
        <v>110</v>
      </c>
      <c r="I1327" s="161">
        <v>0</v>
      </c>
    </row>
    <row r="1328" spans="1:9">
      <c r="A1328" s="113">
        <v>100401020</v>
      </c>
      <c r="B1328" s="113" t="s">
        <v>4203</v>
      </c>
      <c r="C1328" s="113">
        <v>6052042</v>
      </c>
      <c r="D1328" s="113" t="s">
        <v>3093</v>
      </c>
      <c r="E1328" s="113" t="s">
        <v>1620</v>
      </c>
      <c r="F1328" s="113" t="s">
        <v>3093</v>
      </c>
      <c r="G1328" s="113" t="s">
        <v>3093</v>
      </c>
      <c r="H1328" s="161">
        <v>0</v>
      </c>
      <c r="I1328" s="161" t="s">
        <v>7138</v>
      </c>
    </row>
    <row r="1329" spans="1:9">
      <c r="A1329" s="113">
        <v>100401021</v>
      </c>
      <c r="B1329" s="113" t="s">
        <v>4204</v>
      </c>
      <c r="C1329" s="113">
        <v>6052043</v>
      </c>
      <c r="D1329" s="113" t="s">
        <v>3093</v>
      </c>
      <c r="E1329" s="113" t="s">
        <v>1620</v>
      </c>
      <c r="F1329" s="113" t="s">
        <v>3093</v>
      </c>
      <c r="G1329" s="113" t="s">
        <v>3093</v>
      </c>
      <c r="H1329" s="161">
        <v>0</v>
      </c>
      <c r="I1329" s="161" t="s">
        <v>7138</v>
      </c>
    </row>
    <row r="1330" spans="1:9">
      <c r="A1330" s="113">
        <v>100401022</v>
      </c>
      <c r="B1330" s="113" t="s">
        <v>4205</v>
      </c>
      <c r="C1330" s="113">
        <v>6052044</v>
      </c>
      <c r="D1330" s="113" t="s">
        <v>3093</v>
      </c>
      <c r="E1330" s="113" t="s">
        <v>1620</v>
      </c>
      <c r="F1330" s="113" t="s">
        <v>3093</v>
      </c>
      <c r="G1330" s="113" t="s">
        <v>3093</v>
      </c>
      <c r="H1330" s="161">
        <v>0</v>
      </c>
      <c r="I1330" s="161" t="s">
        <v>7138</v>
      </c>
    </row>
    <row r="1331" spans="1:9">
      <c r="A1331" s="113">
        <v>100401023</v>
      </c>
      <c r="B1331" s="113" t="s">
        <v>4206</v>
      </c>
      <c r="C1331" s="113">
        <v>6052049</v>
      </c>
      <c r="D1331" s="113" t="s">
        <v>3093</v>
      </c>
      <c r="E1331" s="113" t="s">
        <v>1620</v>
      </c>
      <c r="F1331" s="113" t="s">
        <v>3093</v>
      </c>
      <c r="G1331" s="113" t="s">
        <v>3093</v>
      </c>
      <c r="H1331" s="161">
        <v>0</v>
      </c>
      <c r="I1331" s="161" t="s">
        <v>7138</v>
      </c>
    </row>
    <row r="1332" spans="1:9">
      <c r="A1332" s="113">
        <v>100401024</v>
      </c>
      <c r="B1332" s="113" t="s">
        <v>4207</v>
      </c>
      <c r="C1332" s="113">
        <v>6052059</v>
      </c>
      <c r="D1332" s="113" t="s">
        <v>3093</v>
      </c>
      <c r="E1332" s="113" t="s">
        <v>1620</v>
      </c>
      <c r="F1332" s="113" t="s">
        <v>3093</v>
      </c>
      <c r="G1332" s="113" t="s">
        <v>3093</v>
      </c>
      <c r="H1332" s="161">
        <v>0</v>
      </c>
      <c r="I1332" s="161" t="s">
        <v>7138</v>
      </c>
    </row>
    <row r="1333" spans="1:9">
      <c r="A1333" s="113">
        <v>100401025</v>
      </c>
      <c r="B1333" s="113" t="s">
        <v>4208</v>
      </c>
      <c r="C1333" s="113">
        <v>6052061</v>
      </c>
      <c r="D1333" s="113" t="s">
        <v>3093</v>
      </c>
      <c r="E1333" s="113" t="s">
        <v>1620</v>
      </c>
      <c r="F1333" s="113" t="s">
        <v>3093</v>
      </c>
      <c r="G1333" s="113" t="s">
        <v>3093</v>
      </c>
      <c r="H1333" s="161">
        <v>0</v>
      </c>
      <c r="I1333" s="161" t="s">
        <v>7138</v>
      </c>
    </row>
    <row r="1334" spans="1:9">
      <c r="A1334" s="113">
        <v>100401032</v>
      </c>
      <c r="B1334" s="113" t="s">
        <v>4209</v>
      </c>
      <c r="C1334" s="113">
        <v>6053108</v>
      </c>
      <c r="D1334" s="113" t="s">
        <v>3093</v>
      </c>
      <c r="E1334" s="113" t="s">
        <v>1620</v>
      </c>
      <c r="F1334" s="113" t="s">
        <v>3093</v>
      </c>
      <c r="G1334" s="113" t="s">
        <v>3093</v>
      </c>
      <c r="H1334" s="161">
        <v>0</v>
      </c>
      <c r="I1334" s="161" t="s">
        <v>7138</v>
      </c>
    </row>
    <row r="1335" spans="1:9">
      <c r="A1335" s="113">
        <v>100401033</v>
      </c>
      <c r="B1335" s="113" t="s">
        <v>4210</v>
      </c>
      <c r="C1335" s="113">
        <v>6053109</v>
      </c>
      <c r="D1335" s="113" t="s">
        <v>3093</v>
      </c>
      <c r="E1335" s="113" t="s">
        <v>1620</v>
      </c>
      <c r="F1335" s="113" t="s">
        <v>3093</v>
      </c>
      <c r="G1335" s="113" t="s">
        <v>3093</v>
      </c>
      <c r="H1335" s="161">
        <v>0</v>
      </c>
      <c r="I1335" s="161" t="s">
        <v>7138</v>
      </c>
    </row>
    <row r="1336" spans="1:9">
      <c r="A1336" s="113">
        <v>100401034</v>
      </c>
      <c r="B1336" s="113" t="s">
        <v>4211</v>
      </c>
      <c r="C1336" s="113">
        <v>6053111</v>
      </c>
      <c r="D1336" s="113" t="s">
        <v>3093</v>
      </c>
      <c r="E1336" s="113" t="s">
        <v>1620</v>
      </c>
      <c r="F1336" s="113" t="s">
        <v>3093</v>
      </c>
      <c r="G1336" s="113" t="s">
        <v>3093</v>
      </c>
      <c r="H1336" s="161">
        <v>0</v>
      </c>
      <c r="I1336" s="161" t="s">
        <v>7138</v>
      </c>
    </row>
    <row r="1337" spans="1:9">
      <c r="A1337" s="113">
        <v>100401035</v>
      </c>
      <c r="B1337" s="113" t="s">
        <v>4212</v>
      </c>
      <c r="C1337" s="113">
        <v>6053112</v>
      </c>
      <c r="D1337" s="113" t="s">
        <v>3093</v>
      </c>
      <c r="E1337" s="113" t="s">
        <v>1620</v>
      </c>
      <c r="F1337" s="113" t="s">
        <v>3093</v>
      </c>
      <c r="G1337" s="113" t="s">
        <v>3093</v>
      </c>
      <c r="H1337" s="161">
        <v>0</v>
      </c>
      <c r="I1337" s="161" t="s">
        <v>7138</v>
      </c>
    </row>
    <row r="1338" spans="1:9">
      <c r="A1338" s="113">
        <v>100401036</v>
      </c>
      <c r="B1338" s="113" t="s">
        <v>4213</v>
      </c>
      <c r="C1338" s="113">
        <v>6053113</v>
      </c>
      <c r="D1338" s="113" t="s">
        <v>3093</v>
      </c>
      <c r="E1338" s="113" t="s">
        <v>1620</v>
      </c>
      <c r="F1338" s="113" t="s">
        <v>3093</v>
      </c>
      <c r="G1338" s="113" t="s">
        <v>3093</v>
      </c>
      <c r="H1338" s="161">
        <v>0</v>
      </c>
      <c r="I1338" s="161" t="s">
        <v>7138</v>
      </c>
    </row>
    <row r="1339" spans="1:9">
      <c r="A1339" s="113">
        <v>100401037</v>
      </c>
      <c r="B1339" s="113" t="s">
        <v>4214</v>
      </c>
      <c r="C1339" s="113">
        <v>6053114</v>
      </c>
      <c r="D1339" s="113" t="s">
        <v>3093</v>
      </c>
      <c r="E1339" s="113" t="s">
        <v>1620</v>
      </c>
      <c r="F1339" s="113" t="s">
        <v>3093</v>
      </c>
      <c r="G1339" s="113" t="s">
        <v>3093</v>
      </c>
      <c r="H1339" s="161">
        <v>0</v>
      </c>
      <c r="I1339" s="161" t="s">
        <v>7138</v>
      </c>
    </row>
    <row r="1340" spans="1:9">
      <c r="A1340" s="113">
        <v>100401038</v>
      </c>
      <c r="B1340" s="113" t="s">
        <v>4215</v>
      </c>
      <c r="C1340" s="113">
        <v>6053115</v>
      </c>
      <c r="D1340" s="113" t="s">
        <v>3093</v>
      </c>
      <c r="E1340" s="113" t="s">
        <v>1620</v>
      </c>
      <c r="F1340" s="113" t="s">
        <v>3093</v>
      </c>
      <c r="G1340" s="113" t="s">
        <v>3093</v>
      </c>
      <c r="H1340" s="161">
        <v>0</v>
      </c>
      <c r="I1340" s="161" t="s">
        <v>7138</v>
      </c>
    </row>
    <row r="1341" spans="1:9">
      <c r="A1341" s="113">
        <v>100401039</v>
      </c>
      <c r="B1341" s="113" t="s">
        <v>4216</v>
      </c>
      <c r="C1341" s="113">
        <v>6053116</v>
      </c>
      <c r="D1341" s="113" t="s">
        <v>3093</v>
      </c>
      <c r="E1341" s="113" t="s">
        <v>1620</v>
      </c>
      <c r="F1341" s="113" t="s">
        <v>3093</v>
      </c>
      <c r="G1341" s="113" t="s">
        <v>3093</v>
      </c>
      <c r="H1341" s="161">
        <v>0</v>
      </c>
      <c r="I1341" s="161" t="s">
        <v>7138</v>
      </c>
    </row>
    <row r="1342" spans="1:9">
      <c r="A1342" s="113">
        <v>100401040</v>
      </c>
      <c r="B1342" s="113" t="s">
        <v>4217</v>
      </c>
      <c r="C1342" s="113">
        <v>6053117</v>
      </c>
      <c r="D1342" s="113" t="s">
        <v>3093</v>
      </c>
      <c r="E1342" s="113" t="s">
        <v>1620</v>
      </c>
      <c r="F1342" s="113" t="s">
        <v>3093</v>
      </c>
      <c r="G1342" s="113" t="s">
        <v>3093</v>
      </c>
      <c r="H1342" s="161">
        <v>0</v>
      </c>
      <c r="I1342" s="161" t="s">
        <v>7138</v>
      </c>
    </row>
    <row r="1343" spans="1:9">
      <c r="A1343" s="113">
        <v>100401041</v>
      </c>
      <c r="B1343" s="113" t="s">
        <v>4218</v>
      </c>
      <c r="C1343" s="113">
        <v>6053120</v>
      </c>
      <c r="D1343" s="113" t="s">
        <v>3093</v>
      </c>
      <c r="E1343" s="113" t="s">
        <v>1620</v>
      </c>
      <c r="F1343" s="113" t="s">
        <v>3093</v>
      </c>
      <c r="G1343" s="113" t="s">
        <v>3093</v>
      </c>
      <c r="H1343" s="161">
        <v>0</v>
      </c>
      <c r="I1343" s="161" t="s">
        <v>7138</v>
      </c>
    </row>
    <row r="1344" spans="1:9">
      <c r="A1344" s="113">
        <v>100401042</v>
      </c>
      <c r="B1344" s="113" t="s">
        <v>4219</v>
      </c>
      <c r="C1344" s="113">
        <v>6053121</v>
      </c>
      <c r="D1344" s="113" t="s">
        <v>3093</v>
      </c>
      <c r="E1344" s="113" t="s">
        <v>1620</v>
      </c>
      <c r="F1344" s="113" t="s">
        <v>3093</v>
      </c>
      <c r="G1344" s="113" t="s">
        <v>3093</v>
      </c>
      <c r="H1344" s="161">
        <v>111.19</v>
      </c>
      <c r="I1344" s="161" t="s">
        <v>7138</v>
      </c>
    </row>
    <row r="1345" spans="1:9">
      <c r="A1345" s="113">
        <v>100401043</v>
      </c>
      <c r="B1345" s="113" t="s">
        <v>4220</v>
      </c>
      <c r="C1345" s="113">
        <v>6053122</v>
      </c>
      <c r="D1345" s="113" t="s">
        <v>3093</v>
      </c>
      <c r="E1345" s="113" t="s">
        <v>1620</v>
      </c>
      <c r="F1345" s="113" t="s">
        <v>3093</v>
      </c>
      <c r="G1345" s="113" t="s">
        <v>3093</v>
      </c>
      <c r="H1345" s="161">
        <v>111.19</v>
      </c>
      <c r="I1345" s="161" t="s">
        <v>7138</v>
      </c>
    </row>
    <row r="1346" spans="1:9">
      <c r="A1346" s="113">
        <v>100401044</v>
      </c>
      <c r="B1346" s="113" t="s">
        <v>4221</v>
      </c>
      <c r="C1346" s="113">
        <v>6053123</v>
      </c>
      <c r="D1346" s="113" t="s">
        <v>3093</v>
      </c>
      <c r="E1346" s="113" t="s">
        <v>1620</v>
      </c>
      <c r="F1346" s="113" t="s">
        <v>3093</v>
      </c>
      <c r="G1346" s="113" t="s">
        <v>3093</v>
      </c>
      <c r="H1346" s="161">
        <v>0</v>
      </c>
      <c r="I1346" s="161" t="s">
        <v>7138</v>
      </c>
    </row>
    <row r="1347" spans="1:9">
      <c r="A1347" s="113">
        <v>100401045</v>
      </c>
      <c r="B1347" s="113" t="s">
        <v>4222</v>
      </c>
      <c r="C1347" s="113">
        <v>6053124</v>
      </c>
      <c r="D1347" s="113" t="s">
        <v>3093</v>
      </c>
      <c r="E1347" s="113" t="s">
        <v>1620</v>
      </c>
      <c r="F1347" s="113" t="s">
        <v>3093</v>
      </c>
      <c r="G1347" s="113" t="s">
        <v>3093</v>
      </c>
      <c r="H1347" s="161">
        <v>111.19</v>
      </c>
      <c r="I1347" s="161" t="s">
        <v>7138</v>
      </c>
    </row>
    <row r="1348" spans="1:9">
      <c r="A1348" s="113">
        <v>100401046</v>
      </c>
      <c r="B1348" s="113" t="s">
        <v>4223</v>
      </c>
      <c r="C1348" s="113">
        <v>6053125</v>
      </c>
      <c r="D1348" s="113" t="s">
        <v>3093</v>
      </c>
      <c r="E1348" s="113" t="s">
        <v>1620</v>
      </c>
      <c r="F1348" s="113" t="s">
        <v>3093</v>
      </c>
      <c r="G1348" s="113" t="s">
        <v>3093</v>
      </c>
      <c r="H1348" s="161">
        <v>0</v>
      </c>
      <c r="I1348" s="161" t="s">
        <v>7138</v>
      </c>
    </row>
    <row r="1349" spans="1:9">
      <c r="A1349" s="113">
        <v>100401047</v>
      </c>
      <c r="B1349" s="113" t="s">
        <v>4224</v>
      </c>
      <c r="C1349" s="113">
        <v>6053126</v>
      </c>
      <c r="D1349" s="113" t="s">
        <v>3093</v>
      </c>
      <c r="E1349" s="113" t="s">
        <v>1620</v>
      </c>
      <c r="F1349" s="113" t="s">
        <v>3093</v>
      </c>
      <c r="G1349" s="113" t="s">
        <v>3093</v>
      </c>
      <c r="H1349" s="161">
        <v>0</v>
      </c>
      <c r="I1349" s="161" t="s">
        <v>7138</v>
      </c>
    </row>
    <row r="1350" spans="1:9">
      <c r="A1350" s="113">
        <v>100401048</v>
      </c>
      <c r="B1350" s="113" t="s">
        <v>4225</v>
      </c>
      <c r="C1350" s="113">
        <v>6053128</v>
      </c>
      <c r="D1350" s="113" t="s">
        <v>3093</v>
      </c>
      <c r="E1350" s="113" t="s">
        <v>1620</v>
      </c>
      <c r="F1350" s="113" t="s">
        <v>3093</v>
      </c>
      <c r="G1350" s="113" t="s">
        <v>3093</v>
      </c>
      <c r="H1350" s="161">
        <v>0</v>
      </c>
      <c r="I1350" s="161" t="s">
        <v>7138</v>
      </c>
    </row>
    <row r="1351" spans="1:9">
      <c r="A1351" s="113">
        <v>100401049</v>
      </c>
      <c r="B1351" s="113" t="s">
        <v>4226</v>
      </c>
      <c r="C1351" s="113">
        <v>6053130</v>
      </c>
      <c r="D1351" s="113" t="s">
        <v>3093</v>
      </c>
      <c r="E1351" s="113" t="s">
        <v>1620</v>
      </c>
      <c r="F1351" s="113" t="s">
        <v>3093</v>
      </c>
      <c r="G1351" s="113" t="s">
        <v>3093</v>
      </c>
      <c r="H1351" s="161">
        <v>0</v>
      </c>
      <c r="I1351" s="161" t="s">
        <v>7138</v>
      </c>
    </row>
    <row r="1352" spans="1:9">
      <c r="A1352" s="113">
        <v>100401050</v>
      </c>
      <c r="B1352" s="113" t="s">
        <v>4227</v>
      </c>
      <c r="C1352" s="113">
        <v>6053131</v>
      </c>
      <c r="D1352" s="113" t="s">
        <v>3093</v>
      </c>
      <c r="E1352" s="113" t="s">
        <v>1620</v>
      </c>
      <c r="F1352" s="113" t="s">
        <v>3093</v>
      </c>
      <c r="G1352" s="113" t="s">
        <v>3093</v>
      </c>
      <c r="H1352" s="161">
        <v>0</v>
      </c>
      <c r="I1352" s="161" t="s">
        <v>7138</v>
      </c>
    </row>
    <row r="1353" spans="1:9">
      <c r="A1353" s="113">
        <v>100401051</v>
      </c>
      <c r="B1353" s="113" t="s">
        <v>4228</v>
      </c>
      <c r="C1353" s="113">
        <v>6053132</v>
      </c>
      <c r="D1353" s="113" t="s">
        <v>3093</v>
      </c>
      <c r="E1353" s="113" t="s">
        <v>1620</v>
      </c>
      <c r="F1353" s="113" t="s">
        <v>3093</v>
      </c>
      <c r="G1353" s="113" t="s">
        <v>3093</v>
      </c>
      <c r="H1353" s="161">
        <v>0</v>
      </c>
      <c r="I1353" s="161" t="s">
        <v>7138</v>
      </c>
    </row>
    <row r="1354" spans="1:9">
      <c r="A1354" s="113">
        <v>100401052</v>
      </c>
      <c r="B1354" s="113" t="s">
        <v>4229</v>
      </c>
      <c r="C1354" s="113">
        <v>6053133</v>
      </c>
      <c r="D1354" s="113" t="s">
        <v>3093</v>
      </c>
      <c r="E1354" s="113" t="s">
        <v>1620</v>
      </c>
      <c r="F1354" s="113" t="s">
        <v>3093</v>
      </c>
      <c r="G1354" s="113" t="s">
        <v>3093</v>
      </c>
      <c r="H1354" s="161">
        <v>0</v>
      </c>
      <c r="I1354" s="161" t="s">
        <v>7138</v>
      </c>
    </row>
    <row r="1355" spans="1:9">
      <c r="A1355" s="113">
        <v>100401053</v>
      </c>
      <c r="B1355" s="113" t="s">
        <v>4230</v>
      </c>
      <c r="C1355" s="113">
        <v>6053134</v>
      </c>
      <c r="D1355" s="113" t="s">
        <v>3093</v>
      </c>
      <c r="E1355" s="113" t="s">
        <v>1620</v>
      </c>
      <c r="F1355" s="113" t="s">
        <v>3093</v>
      </c>
      <c r="G1355" s="113" t="s">
        <v>3093</v>
      </c>
      <c r="H1355" s="161">
        <v>0</v>
      </c>
      <c r="I1355" s="161" t="s">
        <v>7138</v>
      </c>
    </row>
    <row r="1356" spans="1:9">
      <c r="A1356" s="113">
        <v>100401054</v>
      </c>
      <c r="B1356" s="113" t="s">
        <v>4231</v>
      </c>
      <c r="C1356" s="113">
        <v>6053140</v>
      </c>
      <c r="D1356" s="113" t="s">
        <v>3093</v>
      </c>
      <c r="E1356" s="113" t="s">
        <v>1620</v>
      </c>
      <c r="F1356" s="113" t="s">
        <v>3093</v>
      </c>
      <c r="G1356" s="113" t="s">
        <v>3093</v>
      </c>
      <c r="H1356" s="161">
        <v>111.19</v>
      </c>
      <c r="I1356" s="161" t="s">
        <v>7138</v>
      </c>
    </row>
    <row r="1357" spans="1:9">
      <c r="A1357" s="113">
        <v>100401055</v>
      </c>
      <c r="B1357" s="113" t="s">
        <v>4232</v>
      </c>
      <c r="C1357" s="113">
        <v>6053141</v>
      </c>
      <c r="D1357" s="113" t="s">
        <v>3093</v>
      </c>
      <c r="E1357" s="113" t="s">
        <v>1620</v>
      </c>
      <c r="F1357" s="113" t="s">
        <v>3093</v>
      </c>
      <c r="G1357" s="113" t="s">
        <v>3093</v>
      </c>
      <c r="H1357" s="161">
        <v>0</v>
      </c>
      <c r="I1357" s="161" t="s">
        <v>7138</v>
      </c>
    </row>
    <row r="1358" spans="1:9">
      <c r="A1358" s="113">
        <v>100401056</v>
      </c>
      <c r="B1358" s="113" t="s">
        <v>4233</v>
      </c>
      <c r="C1358" s="113">
        <v>6053142</v>
      </c>
      <c r="D1358" s="113" t="s">
        <v>3093</v>
      </c>
      <c r="E1358" s="113" t="s">
        <v>1620</v>
      </c>
      <c r="F1358" s="113" t="s">
        <v>3093</v>
      </c>
      <c r="G1358" s="113" t="s">
        <v>3093</v>
      </c>
      <c r="H1358" s="161">
        <v>0</v>
      </c>
      <c r="I1358" s="161" t="s">
        <v>7138</v>
      </c>
    </row>
    <row r="1359" spans="1:9">
      <c r="A1359" s="113">
        <v>100401057</v>
      </c>
      <c r="B1359" s="113" t="s">
        <v>4234</v>
      </c>
      <c r="C1359" s="113">
        <v>6053127</v>
      </c>
      <c r="D1359" s="113" t="s">
        <v>3093</v>
      </c>
      <c r="E1359" s="113" t="s">
        <v>1620</v>
      </c>
      <c r="F1359" s="113" t="s">
        <v>3093</v>
      </c>
      <c r="G1359" s="113" t="s">
        <v>3093</v>
      </c>
      <c r="H1359" s="161">
        <v>0</v>
      </c>
      <c r="I1359" s="161" t="s">
        <v>7138</v>
      </c>
    </row>
    <row r="1360" spans="1:9">
      <c r="A1360" s="113">
        <v>100401058</v>
      </c>
      <c r="B1360" s="113" t="s">
        <v>4235</v>
      </c>
      <c r="C1360" s="113">
        <v>6053143</v>
      </c>
      <c r="D1360" s="113" t="s">
        <v>3093</v>
      </c>
      <c r="E1360" s="113" t="s">
        <v>1620</v>
      </c>
      <c r="F1360" s="113" t="s">
        <v>3093</v>
      </c>
      <c r="G1360" s="113" t="s">
        <v>3093</v>
      </c>
      <c r="H1360" s="161">
        <v>0</v>
      </c>
      <c r="I1360" s="161" t="s">
        <v>7138</v>
      </c>
    </row>
    <row r="1361" spans="1:9">
      <c r="A1361" s="113">
        <v>100401059</v>
      </c>
      <c r="B1361" s="113" t="s">
        <v>4236</v>
      </c>
      <c r="C1361" s="113">
        <v>6053144</v>
      </c>
      <c r="D1361" s="113" t="s">
        <v>3093</v>
      </c>
      <c r="E1361" s="113" t="s">
        <v>1620</v>
      </c>
      <c r="F1361" s="113" t="s">
        <v>3093</v>
      </c>
      <c r="G1361" s="113" t="s">
        <v>3093</v>
      </c>
      <c r="H1361" s="161">
        <v>0</v>
      </c>
      <c r="I1361" s="161" t="s">
        <v>7138</v>
      </c>
    </row>
    <row r="1362" spans="1:9">
      <c r="A1362" s="113">
        <v>100401060</v>
      </c>
      <c r="B1362" s="113" t="s">
        <v>4237</v>
      </c>
      <c r="C1362" s="113">
        <v>6053129</v>
      </c>
      <c r="D1362" s="113" t="s">
        <v>3093</v>
      </c>
      <c r="E1362" s="113" t="s">
        <v>1620</v>
      </c>
      <c r="F1362" s="113" t="s">
        <v>3093</v>
      </c>
      <c r="G1362" s="113" t="s">
        <v>3093</v>
      </c>
      <c r="H1362" s="161">
        <v>0</v>
      </c>
      <c r="I1362" s="161" t="s">
        <v>7138</v>
      </c>
    </row>
    <row r="1363" spans="1:9">
      <c r="A1363" s="113">
        <v>100401061</v>
      </c>
      <c r="B1363" s="113" t="s">
        <v>4238</v>
      </c>
      <c r="C1363" s="113">
        <v>6053145</v>
      </c>
      <c r="D1363" s="113" t="s">
        <v>3093</v>
      </c>
      <c r="E1363" s="113" t="s">
        <v>1620</v>
      </c>
      <c r="F1363" s="113" t="s">
        <v>3093</v>
      </c>
      <c r="G1363" s="113" t="s">
        <v>3093</v>
      </c>
      <c r="H1363" s="161">
        <v>111.19</v>
      </c>
      <c r="I1363" s="161" t="s">
        <v>7138</v>
      </c>
    </row>
    <row r="1364" spans="1:9">
      <c r="A1364" s="113">
        <v>100401062</v>
      </c>
      <c r="B1364" s="113" t="s">
        <v>4239</v>
      </c>
      <c r="C1364" s="113">
        <v>6053146</v>
      </c>
      <c r="D1364" s="113" t="s">
        <v>3093</v>
      </c>
      <c r="E1364" s="113" t="s">
        <v>1620</v>
      </c>
      <c r="F1364" s="113" t="s">
        <v>3093</v>
      </c>
      <c r="G1364" s="113" t="s">
        <v>3093</v>
      </c>
      <c r="H1364" s="161">
        <v>0</v>
      </c>
      <c r="I1364" s="161" t="s">
        <v>7138</v>
      </c>
    </row>
    <row r="1365" spans="1:9">
      <c r="A1365" s="113">
        <v>100401063</v>
      </c>
      <c r="B1365" s="113" t="s">
        <v>4240</v>
      </c>
      <c r="C1365" s="113">
        <v>6053147</v>
      </c>
      <c r="D1365" s="113" t="s">
        <v>3093</v>
      </c>
      <c r="E1365" s="113" t="s">
        <v>1620</v>
      </c>
      <c r="F1365" s="113" t="s">
        <v>3093</v>
      </c>
      <c r="G1365" s="113" t="s">
        <v>3093</v>
      </c>
      <c r="H1365" s="161">
        <v>111.19</v>
      </c>
      <c r="I1365" s="161" t="s">
        <v>7138</v>
      </c>
    </row>
    <row r="1366" spans="1:9">
      <c r="A1366" s="113">
        <v>100401064</v>
      </c>
      <c r="B1366" s="113" t="s">
        <v>4241</v>
      </c>
      <c r="C1366" s="113">
        <v>6053148</v>
      </c>
      <c r="D1366" s="113" t="s">
        <v>3093</v>
      </c>
      <c r="E1366" s="113" t="s">
        <v>1620</v>
      </c>
      <c r="F1366" s="113" t="s">
        <v>3093</v>
      </c>
      <c r="G1366" s="113" t="s">
        <v>3093</v>
      </c>
      <c r="H1366" s="161">
        <v>0</v>
      </c>
      <c r="I1366" s="161" t="s">
        <v>7138</v>
      </c>
    </row>
    <row r="1367" spans="1:9">
      <c r="A1367" s="113">
        <v>100401065</v>
      </c>
      <c r="B1367" s="113" t="s">
        <v>4242</v>
      </c>
      <c r="C1367" s="113">
        <v>6053149</v>
      </c>
      <c r="D1367" s="113" t="s">
        <v>3093</v>
      </c>
      <c r="E1367" s="113" t="s">
        <v>1620</v>
      </c>
      <c r="F1367" s="113" t="s">
        <v>3093</v>
      </c>
      <c r="G1367" s="113" t="s">
        <v>3093</v>
      </c>
      <c r="H1367" s="161">
        <v>0</v>
      </c>
      <c r="I1367" s="161" t="s">
        <v>7138</v>
      </c>
    </row>
    <row r="1368" spans="1:9">
      <c r="A1368" s="113">
        <v>100401066</v>
      </c>
      <c r="B1368" s="113" t="s">
        <v>4243</v>
      </c>
      <c r="C1368" s="113">
        <v>6053150</v>
      </c>
      <c r="D1368" s="113" t="s">
        <v>3093</v>
      </c>
      <c r="E1368" s="113" t="s">
        <v>1620</v>
      </c>
      <c r="F1368" s="113" t="s">
        <v>3093</v>
      </c>
      <c r="G1368" s="113" t="s">
        <v>3093</v>
      </c>
      <c r="H1368" s="161">
        <v>0</v>
      </c>
      <c r="I1368" s="161" t="s">
        <v>7138</v>
      </c>
    </row>
    <row r="1369" spans="1:9">
      <c r="A1369" s="113">
        <v>100401067</v>
      </c>
      <c r="B1369" s="113" t="s">
        <v>4244</v>
      </c>
      <c r="C1369" s="113">
        <v>6053139</v>
      </c>
      <c r="D1369" s="113" t="s">
        <v>3093</v>
      </c>
      <c r="E1369" s="113" t="s">
        <v>1620</v>
      </c>
      <c r="F1369" s="113" t="s">
        <v>3093</v>
      </c>
      <c r="G1369" s="113" t="s">
        <v>3093</v>
      </c>
      <c r="H1369" s="161">
        <v>0</v>
      </c>
      <c r="I1369" s="161" t="s">
        <v>7138</v>
      </c>
    </row>
    <row r="1370" spans="1:9">
      <c r="A1370" s="113">
        <v>100401068</v>
      </c>
      <c r="B1370" s="113" t="s">
        <v>4245</v>
      </c>
      <c r="C1370" s="113">
        <v>6053151</v>
      </c>
      <c r="D1370" s="113" t="s">
        <v>3093</v>
      </c>
      <c r="E1370" s="113" t="s">
        <v>1620</v>
      </c>
      <c r="F1370" s="113" t="s">
        <v>3093</v>
      </c>
      <c r="G1370" s="113" t="s">
        <v>3093</v>
      </c>
      <c r="H1370" s="161">
        <v>0</v>
      </c>
      <c r="I1370" s="161" t="s">
        <v>7138</v>
      </c>
    </row>
    <row r="1371" spans="1:9">
      <c r="A1371" s="113">
        <v>100401069</v>
      </c>
      <c r="B1371" s="113" t="s">
        <v>4246</v>
      </c>
      <c r="C1371" s="113">
        <v>6053152</v>
      </c>
      <c r="D1371" s="113" t="s">
        <v>3093</v>
      </c>
      <c r="E1371" s="113" t="s">
        <v>1620</v>
      </c>
      <c r="F1371" s="113" t="s">
        <v>3093</v>
      </c>
      <c r="G1371" s="113" t="s">
        <v>3093</v>
      </c>
      <c r="H1371" s="161">
        <v>323.35000000000002</v>
      </c>
      <c r="I1371" s="161" t="s">
        <v>7138</v>
      </c>
    </row>
    <row r="1372" spans="1:9">
      <c r="A1372" s="113">
        <v>100401070</v>
      </c>
      <c r="B1372" s="113" t="s">
        <v>4247</v>
      </c>
      <c r="C1372" s="113">
        <v>6053153</v>
      </c>
      <c r="D1372" s="113" t="s">
        <v>3093</v>
      </c>
      <c r="E1372" s="113" t="s">
        <v>1620</v>
      </c>
      <c r="F1372" s="113" t="s">
        <v>3093</v>
      </c>
      <c r="G1372" s="113" t="s">
        <v>3093</v>
      </c>
      <c r="H1372" s="161">
        <v>0</v>
      </c>
      <c r="I1372" s="161" t="s">
        <v>7138</v>
      </c>
    </row>
    <row r="1373" spans="1:9">
      <c r="A1373" s="113">
        <v>100401071</v>
      </c>
      <c r="B1373" s="113" t="s">
        <v>4248</v>
      </c>
      <c r="C1373" s="113">
        <v>6053154</v>
      </c>
      <c r="D1373" s="113" t="s">
        <v>3093</v>
      </c>
      <c r="E1373" s="113" t="s">
        <v>1620</v>
      </c>
      <c r="F1373" s="113" t="s">
        <v>3093</v>
      </c>
      <c r="G1373" s="113" t="s">
        <v>3093</v>
      </c>
      <c r="H1373" s="161">
        <v>0</v>
      </c>
      <c r="I1373" s="161" t="s">
        <v>7138</v>
      </c>
    </row>
    <row r="1374" spans="1:9">
      <c r="A1374" s="113">
        <v>100401072</v>
      </c>
      <c r="B1374" s="113" t="s">
        <v>4249</v>
      </c>
      <c r="C1374" s="113">
        <v>6053155</v>
      </c>
      <c r="D1374" s="113" t="s">
        <v>3093</v>
      </c>
      <c r="E1374" s="113" t="s">
        <v>1620</v>
      </c>
      <c r="F1374" s="113" t="s">
        <v>3093</v>
      </c>
      <c r="G1374" s="113" t="s">
        <v>3093</v>
      </c>
      <c r="H1374" s="161">
        <v>0</v>
      </c>
      <c r="I1374" s="161" t="s">
        <v>7138</v>
      </c>
    </row>
    <row r="1375" spans="1:9">
      <c r="A1375" s="113">
        <v>100401073</v>
      </c>
      <c r="B1375" s="113" t="s">
        <v>4250</v>
      </c>
      <c r="C1375" s="113">
        <v>6053156</v>
      </c>
      <c r="D1375" s="113" t="s">
        <v>3093</v>
      </c>
      <c r="E1375" s="113" t="s">
        <v>1620</v>
      </c>
      <c r="F1375" s="113" t="s">
        <v>3093</v>
      </c>
      <c r="G1375" s="113" t="s">
        <v>3093</v>
      </c>
      <c r="H1375" s="161">
        <v>0</v>
      </c>
      <c r="I1375" s="161" t="s">
        <v>7138</v>
      </c>
    </row>
    <row r="1376" spans="1:9">
      <c r="A1376" s="113">
        <v>100401074</v>
      </c>
      <c r="B1376" s="113" t="s">
        <v>4251</v>
      </c>
      <c r="C1376" s="113">
        <v>6053157</v>
      </c>
      <c r="D1376" s="113" t="s">
        <v>3093</v>
      </c>
      <c r="E1376" s="113" t="s">
        <v>1620</v>
      </c>
      <c r="F1376" s="113" t="s">
        <v>3093</v>
      </c>
      <c r="G1376" s="113" t="s">
        <v>3093</v>
      </c>
      <c r="H1376" s="161">
        <v>0</v>
      </c>
      <c r="I1376" s="161" t="s">
        <v>7138</v>
      </c>
    </row>
    <row r="1377" spans="1:9">
      <c r="A1377" s="113">
        <v>100401075</v>
      </c>
      <c r="B1377" s="113" t="s">
        <v>4252</v>
      </c>
      <c r="C1377" s="113">
        <v>6053158</v>
      </c>
      <c r="D1377" s="113" t="s">
        <v>3093</v>
      </c>
      <c r="E1377" s="113" t="s">
        <v>1620</v>
      </c>
      <c r="F1377" s="113" t="s">
        <v>3093</v>
      </c>
      <c r="G1377" s="113" t="s">
        <v>3093</v>
      </c>
      <c r="H1377" s="161">
        <v>0</v>
      </c>
      <c r="I1377" s="161" t="s">
        <v>7138</v>
      </c>
    </row>
    <row r="1378" spans="1:9">
      <c r="A1378" s="113">
        <v>100401076</v>
      </c>
      <c r="B1378" s="113" t="s">
        <v>4253</v>
      </c>
      <c r="C1378" s="113">
        <v>6053159</v>
      </c>
      <c r="D1378" s="113" t="s">
        <v>3093</v>
      </c>
      <c r="E1378" s="113" t="s">
        <v>1620</v>
      </c>
      <c r="F1378" s="113" t="s">
        <v>3093</v>
      </c>
      <c r="G1378" s="113" t="s">
        <v>3093</v>
      </c>
      <c r="H1378" s="161">
        <v>0</v>
      </c>
      <c r="I1378" s="161" t="s">
        <v>7138</v>
      </c>
    </row>
    <row r="1379" spans="1:9">
      <c r="A1379" s="113">
        <v>100401077</v>
      </c>
      <c r="B1379" s="113" t="s">
        <v>4254</v>
      </c>
      <c r="C1379" s="113">
        <v>6053161</v>
      </c>
      <c r="D1379" s="113" t="s">
        <v>3093</v>
      </c>
      <c r="E1379" s="113" t="s">
        <v>1620</v>
      </c>
      <c r="F1379" s="113" t="s">
        <v>3093</v>
      </c>
      <c r="G1379" s="113" t="s">
        <v>3093</v>
      </c>
      <c r="H1379" s="161">
        <v>100</v>
      </c>
      <c r="I1379" s="161">
        <v>2</v>
      </c>
    </row>
    <row r="1380" spans="1:9">
      <c r="A1380" s="113">
        <v>100401078</v>
      </c>
      <c r="B1380" s="113" t="s">
        <v>4255</v>
      </c>
      <c r="C1380" s="113">
        <v>6053162</v>
      </c>
      <c r="D1380" s="113" t="s">
        <v>3093</v>
      </c>
      <c r="E1380" s="113" t="s">
        <v>1620</v>
      </c>
      <c r="F1380" s="113" t="s">
        <v>3093</v>
      </c>
      <c r="G1380" s="113" t="s">
        <v>3093</v>
      </c>
      <c r="H1380" s="161">
        <v>0</v>
      </c>
      <c r="I1380" s="161" t="s">
        <v>7138</v>
      </c>
    </row>
    <row r="1381" spans="1:9">
      <c r="A1381" s="113">
        <v>100401079</v>
      </c>
      <c r="B1381" s="113" t="s">
        <v>4256</v>
      </c>
      <c r="C1381" s="113">
        <v>6053163</v>
      </c>
      <c r="D1381" s="113" t="s">
        <v>3093</v>
      </c>
      <c r="E1381" s="113" t="s">
        <v>1620</v>
      </c>
      <c r="F1381" s="113" t="s">
        <v>3093</v>
      </c>
      <c r="G1381" s="113" t="s">
        <v>3093</v>
      </c>
      <c r="H1381" s="161">
        <v>0</v>
      </c>
      <c r="I1381" s="161" t="s">
        <v>7138</v>
      </c>
    </row>
    <row r="1382" spans="1:9">
      <c r="A1382" s="113">
        <v>100401080</v>
      </c>
      <c r="B1382" s="113" t="s">
        <v>4257</v>
      </c>
      <c r="C1382" s="113">
        <v>6053164</v>
      </c>
      <c r="D1382" s="113" t="s">
        <v>3093</v>
      </c>
      <c r="E1382" s="113" t="s">
        <v>1620</v>
      </c>
      <c r="F1382" s="113" t="s">
        <v>3093</v>
      </c>
      <c r="G1382" s="113" t="s">
        <v>3093</v>
      </c>
      <c r="H1382" s="161">
        <v>0</v>
      </c>
      <c r="I1382" s="161" t="s">
        <v>7138</v>
      </c>
    </row>
    <row r="1383" spans="1:9">
      <c r="A1383" s="113">
        <v>100401081</v>
      </c>
      <c r="B1383" s="113" t="s">
        <v>4258</v>
      </c>
      <c r="C1383" s="113">
        <v>6053167</v>
      </c>
      <c r="D1383" s="113" t="s">
        <v>3093</v>
      </c>
      <c r="E1383" s="113" t="s">
        <v>1620</v>
      </c>
      <c r="F1383" s="113" t="s">
        <v>3093</v>
      </c>
      <c r="G1383" s="113" t="s">
        <v>3093</v>
      </c>
      <c r="H1383" s="161">
        <v>0</v>
      </c>
      <c r="I1383" s="161" t="s">
        <v>7138</v>
      </c>
    </row>
    <row r="1384" spans="1:9">
      <c r="A1384" s="113">
        <v>100401082</v>
      </c>
      <c r="B1384" s="113" t="s">
        <v>4259</v>
      </c>
      <c r="C1384" s="113">
        <v>6053168</v>
      </c>
      <c r="D1384" s="113" t="s">
        <v>3093</v>
      </c>
      <c r="E1384" s="113" t="s">
        <v>1620</v>
      </c>
      <c r="F1384" s="113" t="s">
        <v>3093</v>
      </c>
      <c r="G1384" s="113" t="s">
        <v>3093</v>
      </c>
      <c r="H1384" s="161">
        <v>0</v>
      </c>
      <c r="I1384" s="161" t="s">
        <v>7138</v>
      </c>
    </row>
    <row r="1385" spans="1:9">
      <c r="A1385" s="113">
        <v>100401083</v>
      </c>
      <c r="B1385" s="113" t="s">
        <v>4260</v>
      </c>
      <c r="C1385" s="113">
        <v>6053169</v>
      </c>
      <c r="D1385" s="113" t="s">
        <v>3093</v>
      </c>
      <c r="E1385" s="113" t="s">
        <v>1620</v>
      </c>
      <c r="F1385" s="113" t="s">
        <v>3093</v>
      </c>
      <c r="G1385" s="113" t="s">
        <v>3093</v>
      </c>
      <c r="H1385" s="161">
        <v>0</v>
      </c>
      <c r="I1385" s="161" t="s">
        <v>7138</v>
      </c>
    </row>
    <row r="1386" spans="1:9">
      <c r="A1386" s="113">
        <v>100401084</v>
      </c>
      <c r="B1386" s="113" t="s">
        <v>4261</v>
      </c>
      <c r="C1386" s="113">
        <v>6053170</v>
      </c>
      <c r="D1386" s="113" t="s">
        <v>3093</v>
      </c>
      <c r="E1386" s="113" t="s">
        <v>1620</v>
      </c>
      <c r="F1386" s="113" t="s">
        <v>3093</v>
      </c>
      <c r="G1386" s="113" t="s">
        <v>3093</v>
      </c>
      <c r="H1386" s="161">
        <v>0</v>
      </c>
      <c r="I1386" s="161" t="s">
        <v>7138</v>
      </c>
    </row>
    <row r="1387" spans="1:9">
      <c r="A1387" s="113">
        <v>100401085</v>
      </c>
      <c r="B1387" s="113" t="s">
        <v>4262</v>
      </c>
      <c r="C1387" s="113">
        <v>6053171</v>
      </c>
      <c r="D1387" s="113" t="s">
        <v>3093</v>
      </c>
      <c r="E1387" s="113" t="s">
        <v>1620</v>
      </c>
      <c r="F1387" s="113" t="s">
        <v>3093</v>
      </c>
      <c r="G1387" s="113" t="s">
        <v>3093</v>
      </c>
      <c r="H1387" s="161">
        <v>0</v>
      </c>
      <c r="I1387" s="161" t="s">
        <v>7138</v>
      </c>
    </row>
    <row r="1388" spans="1:9">
      <c r="A1388" s="113">
        <v>100401086</v>
      </c>
      <c r="B1388" s="113" t="s">
        <v>4263</v>
      </c>
      <c r="C1388" s="113">
        <v>6053172</v>
      </c>
      <c r="D1388" s="113" t="s">
        <v>3093</v>
      </c>
      <c r="E1388" s="113" t="s">
        <v>1620</v>
      </c>
      <c r="F1388" s="113" t="s">
        <v>3093</v>
      </c>
      <c r="G1388" s="113" t="s">
        <v>3093</v>
      </c>
      <c r="H1388" s="161">
        <v>0</v>
      </c>
      <c r="I1388" s="161" t="s">
        <v>7138</v>
      </c>
    </row>
    <row r="1389" spans="1:9">
      <c r="A1389" s="113">
        <v>100401087</v>
      </c>
      <c r="B1389" s="113" t="s">
        <v>4264</v>
      </c>
      <c r="C1389" s="113">
        <v>6053176</v>
      </c>
      <c r="D1389" s="113" t="s">
        <v>3093</v>
      </c>
      <c r="E1389" s="113" t="s">
        <v>1620</v>
      </c>
      <c r="F1389" s="113" t="s">
        <v>3093</v>
      </c>
      <c r="G1389" s="113" t="s">
        <v>3093</v>
      </c>
      <c r="H1389" s="161">
        <v>0</v>
      </c>
      <c r="I1389" s="161" t="s">
        <v>7138</v>
      </c>
    </row>
    <row r="1390" spans="1:9">
      <c r="A1390" s="113">
        <v>100401088</v>
      </c>
      <c r="B1390" s="113" t="s">
        <v>4265</v>
      </c>
      <c r="C1390" s="113">
        <v>6053177</v>
      </c>
      <c r="D1390" s="113" t="s">
        <v>3093</v>
      </c>
      <c r="E1390" s="113" t="s">
        <v>1620</v>
      </c>
      <c r="F1390" s="113" t="s">
        <v>3093</v>
      </c>
      <c r="G1390" s="113" t="s">
        <v>3093</v>
      </c>
      <c r="H1390" s="161">
        <v>0</v>
      </c>
      <c r="I1390" s="161" t="s">
        <v>7138</v>
      </c>
    </row>
    <row r="1391" spans="1:9">
      <c r="A1391" s="113">
        <v>100401089</v>
      </c>
      <c r="B1391" s="113" t="s">
        <v>4266</v>
      </c>
      <c r="C1391" s="113">
        <v>6053178</v>
      </c>
      <c r="D1391" s="113" t="s">
        <v>3093</v>
      </c>
      <c r="E1391" s="113" t="s">
        <v>1620</v>
      </c>
      <c r="F1391" s="113" t="s">
        <v>3093</v>
      </c>
      <c r="G1391" s="113" t="s">
        <v>3093</v>
      </c>
      <c r="H1391" s="161">
        <v>192.97</v>
      </c>
      <c r="I1391" s="161" t="s">
        <v>7138</v>
      </c>
    </row>
    <row r="1392" spans="1:9">
      <c r="A1392" s="113">
        <v>100401090</v>
      </c>
      <c r="B1392" s="113" t="s">
        <v>4267</v>
      </c>
      <c r="C1392" s="113">
        <v>6053179</v>
      </c>
      <c r="D1392" s="113" t="s">
        <v>3093</v>
      </c>
      <c r="E1392" s="113" t="s">
        <v>1620</v>
      </c>
      <c r="F1392" s="113" t="s">
        <v>3093</v>
      </c>
      <c r="G1392" s="113" t="s">
        <v>3093</v>
      </c>
      <c r="H1392" s="161">
        <v>222.38</v>
      </c>
      <c r="I1392" s="161" t="s">
        <v>7138</v>
      </c>
    </row>
    <row r="1393" spans="1:9">
      <c r="A1393" s="113">
        <v>100401091</v>
      </c>
      <c r="B1393" s="113" t="s">
        <v>4268</v>
      </c>
      <c r="C1393" s="113">
        <v>6053180</v>
      </c>
      <c r="D1393" s="113" t="s">
        <v>3093</v>
      </c>
      <c r="E1393" s="113" t="s">
        <v>1620</v>
      </c>
      <c r="F1393" s="113" t="s">
        <v>3093</v>
      </c>
      <c r="G1393" s="113" t="s">
        <v>3093</v>
      </c>
      <c r="H1393" s="161">
        <v>0</v>
      </c>
      <c r="I1393" s="161" t="s">
        <v>7138</v>
      </c>
    </row>
    <row r="1394" spans="1:9">
      <c r="A1394" s="113">
        <v>100401092</v>
      </c>
      <c r="B1394" s="113" t="s">
        <v>4269</v>
      </c>
      <c r="C1394" s="113">
        <v>6053181</v>
      </c>
      <c r="D1394" s="113" t="s">
        <v>3093</v>
      </c>
      <c r="E1394" s="113" t="s">
        <v>1620</v>
      </c>
      <c r="F1394" s="113" t="s">
        <v>3093</v>
      </c>
      <c r="G1394" s="113" t="s">
        <v>3093</v>
      </c>
      <c r="H1394" s="161">
        <v>0</v>
      </c>
      <c r="I1394" s="161" t="s">
        <v>7138</v>
      </c>
    </row>
    <row r="1395" spans="1:9">
      <c r="A1395" s="113">
        <v>100401093</v>
      </c>
      <c r="B1395" s="113" t="s">
        <v>4270</v>
      </c>
      <c r="C1395" s="113">
        <v>6053182</v>
      </c>
      <c r="D1395" s="113" t="s">
        <v>3093</v>
      </c>
      <c r="E1395" s="113" t="s">
        <v>1620</v>
      </c>
      <c r="F1395" s="113" t="s">
        <v>3093</v>
      </c>
      <c r="G1395" s="113" t="s">
        <v>3093</v>
      </c>
      <c r="H1395" s="161">
        <v>0</v>
      </c>
      <c r="I1395" s="161" t="s">
        <v>7138</v>
      </c>
    </row>
    <row r="1396" spans="1:9">
      <c r="A1396" s="113">
        <v>100401094</v>
      </c>
      <c r="B1396" s="113" t="s">
        <v>4271</v>
      </c>
      <c r="C1396" s="113">
        <v>6053183</v>
      </c>
      <c r="D1396" s="113" t="s">
        <v>3093</v>
      </c>
      <c r="E1396" s="113" t="s">
        <v>1620</v>
      </c>
      <c r="F1396" s="113" t="s">
        <v>3093</v>
      </c>
      <c r="G1396" s="113" t="s">
        <v>3093</v>
      </c>
      <c r="H1396" s="161">
        <v>222.38</v>
      </c>
      <c r="I1396" s="161" t="s">
        <v>7138</v>
      </c>
    </row>
    <row r="1397" spans="1:9">
      <c r="A1397" s="113">
        <v>100401095</v>
      </c>
      <c r="B1397" s="113" t="s">
        <v>4272</v>
      </c>
      <c r="C1397" s="113">
        <v>6053184</v>
      </c>
      <c r="D1397" s="113" t="s">
        <v>3093</v>
      </c>
      <c r="E1397" s="113" t="s">
        <v>1620</v>
      </c>
      <c r="F1397" s="113" t="s">
        <v>3093</v>
      </c>
      <c r="G1397" s="113" t="s">
        <v>3093</v>
      </c>
      <c r="H1397" s="161">
        <v>0</v>
      </c>
      <c r="I1397" s="161" t="s">
        <v>7138</v>
      </c>
    </row>
    <row r="1398" spans="1:9">
      <c r="A1398" s="113">
        <v>100401096</v>
      </c>
      <c r="B1398" s="113" t="s">
        <v>4273</v>
      </c>
      <c r="C1398" s="113">
        <v>6053185</v>
      </c>
      <c r="D1398" s="113" t="s">
        <v>3093</v>
      </c>
      <c r="E1398" s="113" t="s">
        <v>1620</v>
      </c>
      <c r="F1398" s="113" t="s">
        <v>3093</v>
      </c>
      <c r="G1398" s="113" t="s">
        <v>3093</v>
      </c>
      <c r="H1398" s="161">
        <v>0</v>
      </c>
      <c r="I1398" s="161" t="s">
        <v>7138</v>
      </c>
    </row>
    <row r="1399" spans="1:9">
      <c r="A1399" s="113">
        <v>100401097</v>
      </c>
      <c r="B1399" s="113" t="s">
        <v>4274</v>
      </c>
      <c r="C1399" s="113">
        <v>6053186</v>
      </c>
      <c r="D1399" s="113" t="s">
        <v>3093</v>
      </c>
      <c r="E1399" s="113" t="s">
        <v>1620</v>
      </c>
      <c r="F1399" s="113" t="s">
        <v>3093</v>
      </c>
      <c r="G1399" s="113" t="s">
        <v>3093</v>
      </c>
      <c r="H1399" s="161">
        <v>0</v>
      </c>
      <c r="I1399" s="161" t="s">
        <v>7138</v>
      </c>
    </row>
    <row r="1400" spans="1:9">
      <c r="A1400" s="113">
        <v>100401098</v>
      </c>
      <c r="B1400" s="113" t="s">
        <v>4275</v>
      </c>
      <c r="C1400" s="113">
        <v>6053187</v>
      </c>
      <c r="D1400" s="113" t="s">
        <v>3093</v>
      </c>
      <c r="E1400" s="113" t="s">
        <v>1620</v>
      </c>
      <c r="F1400" s="113" t="s">
        <v>3093</v>
      </c>
      <c r="G1400" s="113" t="s">
        <v>3093</v>
      </c>
      <c r="H1400" s="161">
        <v>0</v>
      </c>
      <c r="I1400" s="161" t="s">
        <v>7138</v>
      </c>
    </row>
    <row r="1401" spans="1:9">
      <c r="A1401" s="113">
        <v>100401099</v>
      </c>
      <c r="B1401" s="113" t="s">
        <v>4276</v>
      </c>
      <c r="C1401" s="113">
        <v>6053188</v>
      </c>
      <c r="D1401" s="113" t="s">
        <v>3093</v>
      </c>
      <c r="E1401" s="113" t="s">
        <v>1620</v>
      </c>
      <c r="F1401" s="113" t="s">
        <v>3093</v>
      </c>
      <c r="G1401" s="113" t="s">
        <v>3093</v>
      </c>
      <c r="H1401" s="161">
        <v>201.73</v>
      </c>
      <c r="I1401" s="161" t="s">
        <v>7138</v>
      </c>
    </row>
    <row r="1402" spans="1:9">
      <c r="A1402" s="113">
        <v>100401100</v>
      </c>
      <c r="B1402" s="113" t="s">
        <v>4277</v>
      </c>
      <c r="C1402" s="113">
        <v>6053189</v>
      </c>
      <c r="D1402" s="113" t="s">
        <v>3093</v>
      </c>
      <c r="E1402" s="113" t="s">
        <v>1620</v>
      </c>
      <c r="F1402" s="113" t="s">
        <v>3093</v>
      </c>
      <c r="G1402" s="113" t="s">
        <v>3093</v>
      </c>
      <c r="H1402" s="161">
        <v>0</v>
      </c>
      <c r="I1402" s="161" t="s">
        <v>7138</v>
      </c>
    </row>
    <row r="1403" spans="1:9">
      <c r="A1403" s="113">
        <v>100401101</v>
      </c>
      <c r="B1403" s="113" t="s">
        <v>4278</v>
      </c>
      <c r="C1403" s="113">
        <v>6053190</v>
      </c>
      <c r="D1403" s="113" t="s">
        <v>3093</v>
      </c>
      <c r="E1403" s="113" t="s">
        <v>1620</v>
      </c>
      <c r="F1403" s="113" t="s">
        <v>3093</v>
      </c>
      <c r="G1403" s="113" t="s">
        <v>3093</v>
      </c>
      <c r="H1403" s="161">
        <v>0</v>
      </c>
      <c r="I1403" s="161" t="s">
        <v>7138</v>
      </c>
    </row>
    <row r="1404" spans="1:9">
      <c r="A1404" s="113">
        <v>100401102</v>
      </c>
      <c r="B1404" s="113" t="s">
        <v>4279</v>
      </c>
      <c r="C1404" s="113">
        <v>6053191</v>
      </c>
      <c r="D1404" s="113" t="s">
        <v>3093</v>
      </c>
      <c r="E1404" s="113" t="s">
        <v>1620</v>
      </c>
      <c r="F1404" s="113" t="s">
        <v>3093</v>
      </c>
      <c r="G1404" s="113" t="s">
        <v>3093</v>
      </c>
      <c r="H1404" s="161">
        <v>0</v>
      </c>
      <c r="I1404" s="161" t="s">
        <v>7138</v>
      </c>
    </row>
    <row r="1405" spans="1:9">
      <c r="A1405" s="113">
        <v>100401103</v>
      </c>
      <c r="B1405" s="113" t="s">
        <v>4280</v>
      </c>
      <c r="C1405" s="113">
        <v>6053192</v>
      </c>
      <c r="D1405" s="113" t="s">
        <v>3093</v>
      </c>
      <c r="E1405" s="113" t="s">
        <v>1620</v>
      </c>
      <c r="F1405" s="113" t="s">
        <v>3093</v>
      </c>
      <c r="G1405" s="113" t="s">
        <v>3093</v>
      </c>
      <c r="H1405" s="161">
        <v>283.72000000000003</v>
      </c>
      <c r="I1405" s="161" t="s">
        <v>7138</v>
      </c>
    </row>
    <row r="1406" spans="1:9">
      <c r="A1406" s="113">
        <v>100401104</v>
      </c>
      <c r="B1406" s="113" t="s">
        <v>4281</v>
      </c>
      <c r="C1406" s="113">
        <v>6053193</v>
      </c>
      <c r="D1406" s="113" t="s">
        <v>3093</v>
      </c>
      <c r="E1406" s="113" t="s">
        <v>1620</v>
      </c>
      <c r="F1406" s="113" t="s">
        <v>3093</v>
      </c>
      <c r="G1406" s="113" t="s">
        <v>3093</v>
      </c>
      <c r="H1406" s="161">
        <v>0</v>
      </c>
      <c r="I1406" s="161" t="s">
        <v>7138</v>
      </c>
    </row>
    <row r="1407" spans="1:9">
      <c r="A1407" s="113">
        <v>100401105</v>
      </c>
      <c r="B1407" s="113" t="s">
        <v>4282</v>
      </c>
      <c r="C1407" s="113">
        <v>6053194</v>
      </c>
      <c r="D1407" s="113" t="s">
        <v>3093</v>
      </c>
      <c r="E1407" s="113" t="s">
        <v>1620</v>
      </c>
      <c r="F1407" s="113" t="s">
        <v>3093</v>
      </c>
      <c r="G1407" s="113" t="s">
        <v>3093</v>
      </c>
      <c r="H1407" s="161">
        <v>97.84</v>
      </c>
      <c r="I1407" s="161">
        <v>15</v>
      </c>
    </row>
    <row r="1408" spans="1:9">
      <c r="A1408" s="113">
        <v>100401106</v>
      </c>
      <c r="B1408" s="113" t="s">
        <v>4283</v>
      </c>
      <c r="C1408" s="113">
        <v>6053195</v>
      </c>
      <c r="D1408" s="113" t="s">
        <v>3093</v>
      </c>
      <c r="E1408" s="113" t="s">
        <v>1620</v>
      </c>
      <c r="F1408" s="113" t="s">
        <v>3093</v>
      </c>
      <c r="G1408" s="113" t="s">
        <v>3093</v>
      </c>
      <c r="H1408" s="161">
        <v>270.16000000000003</v>
      </c>
      <c r="I1408" s="161">
        <v>3</v>
      </c>
    </row>
    <row r="1409" spans="1:9">
      <c r="A1409" s="113">
        <v>100401107</v>
      </c>
      <c r="B1409" s="113" t="s">
        <v>4284</v>
      </c>
      <c r="C1409" s="113">
        <v>6053196</v>
      </c>
      <c r="D1409" s="113" t="s">
        <v>3093</v>
      </c>
      <c r="E1409" s="113" t="s">
        <v>1620</v>
      </c>
      <c r="F1409" s="113" t="s">
        <v>3093</v>
      </c>
      <c r="G1409" s="113" t="s">
        <v>3093</v>
      </c>
      <c r="H1409" s="161">
        <v>0</v>
      </c>
      <c r="I1409" s="161" t="s">
        <v>7138</v>
      </c>
    </row>
    <row r="1410" spans="1:9">
      <c r="A1410" s="113">
        <v>100401108</v>
      </c>
      <c r="B1410" s="113" t="s">
        <v>4285</v>
      </c>
      <c r="C1410" s="113">
        <v>6053197</v>
      </c>
      <c r="D1410" s="113" t="s">
        <v>3093</v>
      </c>
      <c r="E1410" s="113" t="s">
        <v>1620</v>
      </c>
      <c r="F1410" s="113" t="s">
        <v>3093</v>
      </c>
      <c r="G1410" s="113" t="s">
        <v>3093</v>
      </c>
      <c r="H1410" s="161">
        <v>283.72000000000003</v>
      </c>
      <c r="I1410" s="161" t="s">
        <v>7138</v>
      </c>
    </row>
    <row r="1411" spans="1:9">
      <c r="A1411" s="113">
        <v>100401109</v>
      </c>
      <c r="B1411" s="113" t="s">
        <v>4286</v>
      </c>
      <c r="C1411" s="113">
        <v>6053198</v>
      </c>
      <c r="D1411" s="113" t="s">
        <v>3093</v>
      </c>
      <c r="E1411" s="113" t="s">
        <v>1620</v>
      </c>
      <c r="F1411" s="113" t="s">
        <v>3093</v>
      </c>
      <c r="G1411" s="113" t="s">
        <v>3093</v>
      </c>
      <c r="H1411" s="161">
        <v>0</v>
      </c>
      <c r="I1411" s="161" t="s">
        <v>7138</v>
      </c>
    </row>
    <row r="1412" spans="1:9">
      <c r="A1412" s="113">
        <v>100401110</v>
      </c>
      <c r="B1412" s="113" t="s">
        <v>4287</v>
      </c>
      <c r="C1412" s="113">
        <v>6053199</v>
      </c>
      <c r="D1412" s="113" t="s">
        <v>3093</v>
      </c>
      <c r="E1412" s="113" t="s">
        <v>1620</v>
      </c>
      <c r="F1412" s="113" t="s">
        <v>3093</v>
      </c>
      <c r="G1412" s="113" t="s">
        <v>3093</v>
      </c>
      <c r="H1412" s="161">
        <v>274.75</v>
      </c>
      <c r="I1412" s="161">
        <v>0</v>
      </c>
    </row>
    <row r="1413" spans="1:9">
      <c r="A1413" s="113">
        <v>100401111</v>
      </c>
      <c r="B1413" s="113" t="s">
        <v>4288</v>
      </c>
      <c r="C1413" s="113">
        <v>6053200</v>
      </c>
      <c r="D1413" s="113" t="s">
        <v>3093</v>
      </c>
      <c r="E1413" s="113" t="s">
        <v>1620</v>
      </c>
      <c r="F1413" s="113" t="s">
        <v>3093</v>
      </c>
      <c r="G1413" s="113" t="s">
        <v>3093</v>
      </c>
      <c r="H1413" s="161">
        <v>0</v>
      </c>
      <c r="I1413" s="161" t="s">
        <v>7138</v>
      </c>
    </row>
    <row r="1414" spans="1:9">
      <c r="A1414" s="113">
        <v>100401112</v>
      </c>
      <c r="B1414" s="113" t="s">
        <v>4289</v>
      </c>
      <c r="C1414" s="113">
        <v>6053201</v>
      </c>
      <c r="D1414" s="113" t="s">
        <v>3093</v>
      </c>
      <c r="E1414" s="113" t="s">
        <v>1620</v>
      </c>
      <c r="F1414" s="113" t="s">
        <v>3093</v>
      </c>
      <c r="G1414" s="113" t="s">
        <v>3093</v>
      </c>
      <c r="H1414" s="161">
        <v>0</v>
      </c>
      <c r="I1414" s="161" t="s">
        <v>7138</v>
      </c>
    </row>
    <row r="1415" spans="1:9">
      <c r="A1415" s="113">
        <v>100401113</v>
      </c>
      <c r="B1415" s="113" t="s">
        <v>4290</v>
      </c>
      <c r="C1415" s="113">
        <v>6053202</v>
      </c>
      <c r="D1415" s="113" t="s">
        <v>3093</v>
      </c>
      <c r="E1415" s="113" t="s">
        <v>1620</v>
      </c>
      <c r="F1415" s="113" t="s">
        <v>3093</v>
      </c>
      <c r="G1415" s="113" t="s">
        <v>3093</v>
      </c>
      <c r="H1415" s="161">
        <v>0</v>
      </c>
      <c r="I1415" s="161" t="s">
        <v>7138</v>
      </c>
    </row>
    <row r="1416" spans="1:9">
      <c r="A1416" s="113">
        <v>100401114</v>
      </c>
      <c r="B1416" s="113" t="s">
        <v>4291</v>
      </c>
      <c r="C1416" s="113">
        <v>6053203</v>
      </c>
      <c r="D1416" s="113" t="s">
        <v>3093</v>
      </c>
      <c r="E1416" s="113" t="s">
        <v>1620</v>
      </c>
      <c r="F1416" s="113" t="s">
        <v>3093</v>
      </c>
      <c r="G1416" s="113" t="s">
        <v>3093</v>
      </c>
      <c r="H1416" s="161">
        <v>0</v>
      </c>
      <c r="I1416" s="161" t="s">
        <v>7138</v>
      </c>
    </row>
    <row r="1417" spans="1:9">
      <c r="A1417" s="113">
        <v>100401115</v>
      </c>
      <c r="B1417" s="113" t="s">
        <v>4292</v>
      </c>
      <c r="C1417" s="113">
        <v>6053204</v>
      </c>
      <c r="D1417" s="113" t="s">
        <v>3093</v>
      </c>
      <c r="E1417" s="113" t="s">
        <v>1620</v>
      </c>
      <c r="F1417" s="113" t="s">
        <v>3093</v>
      </c>
      <c r="G1417" s="113" t="s">
        <v>3093</v>
      </c>
      <c r="H1417" s="161">
        <v>0</v>
      </c>
      <c r="I1417" s="161" t="s">
        <v>7138</v>
      </c>
    </row>
    <row r="1418" spans="1:9">
      <c r="A1418" s="113">
        <v>100401116</v>
      </c>
      <c r="B1418" s="113" t="s">
        <v>4293</v>
      </c>
      <c r="C1418" s="113">
        <v>6053205</v>
      </c>
      <c r="D1418" s="113" t="s">
        <v>3093</v>
      </c>
      <c r="E1418" s="113" t="s">
        <v>1620</v>
      </c>
      <c r="F1418" s="113" t="s">
        <v>3093</v>
      </c>
      <c r="G1418" s="113" t="s">
        <v>3093</v>
      </c>
      <c r="H1418" s="161">
        <v>0</v>
      </c>
      <c r="I1418" s="161" t="s">
        <v>7138</v>
      </c>
    </row>
    <row r="1419" spans="1:9">
      <c r="A1419" s="113">
        <v>100401117</v>
      </c>
      <c r="B1419" s="113" t="s">
        <v>4294</v>
      </c>
      <c r="C1419" s="113">
        <v>6053206</v>
      </c>
      <c r="D1419" s="113" t="s">
        <v>3093</v>
      </c>
      <c r="E1419" s="113" t="s">
        <v>1620</v>
      </c>
      <c r="F1419" s="113" t="s">
        <v>3093</v>
      </c>
      <c r="G1419" s="113" t="s">
        <v>3093</v>
      </c>
      <c r="H1419" s="161">
        <v>0</v>
      </c>
      <c r="I1419" s="161" t="s">
        <v>7138</v>
      </c>
    </row>
    <row r="1420" spans="1:9">
      <c r="A1420" s="113">
        <v>100401118</v>
      </c>
      <c r="B1420" s="113" t="s">
        <v>4295</v>
      </c>
      <c r="C1420" s="113">
        <v>6053207</v>
      </c>
      <c r="D1420" s="113" t="s">
        <v>3093</v>
      </c>
      <c r="E1420" s="113" t="s">
        <v>1620</v>
      </c>
      <c r="F1420" s="113" t="s">
        <v>3093</v>
      </c>
      <c r="G1420" s="113" t="s">
        <v>3093</v>
      </c>
      <c r="H1420" s="161">
        <v>54.66</v>
      </c>
      <c r="I1420" s="161">
        <v>6</v>
      </c>
    </row>
    <row r="1421" spans="1:9">
      <c r="A1421" s="113">
        <v>100401119</v>
      </c>
      <c r="B1421" s="113" t="s">
        <v>4296</v>
      </c>
      <c r="C1421" s="113">
        <v>6053208</v>
      </c>
      <c r="D1421" s="113" t="s">
        <v>3093</v>
      </c>
      <c r="E1421" s="113" t="s">
        <v>1620</v>
      </c>
      <c r="F1421" s="113" t="s">
        <v>3093</v>
      </c>
      <c r="G1421" s="113" t="s">
        <v>3093</v>
      </c>
      <c r="H1421" s="161">
        <v>21.49</v>
      </c>
      <c r="I1421" s="161" t="s">
        <v>7138</v>
      </c>
    </row>
    <row r="1422" spans="1:9">
      <c r="A1422" s="113">
        <v>100401120</v>
      </c>
      <c r="B1422" s="113" t="s">
        <v>4297</v>
      </c>
      <c r="C1422" s="113">
        <v>6053209</v>
      </c>
      <c r="D1422" s="113" t="s">
        <v>3093</v>
      </c>
      <c r="E1422" s="113" t="s">
        <v>1620</v>
      </c>
      <c r="F1422" s="113" t="s">
        <v>3093</v>
      </c>
      <c r="G1422" s="113" t="s">
        <v>3093</v>
      </c>
      <c r="H1422" s="161">
        <v>0</v>
      </c>
      <c r="I1422" s="161" t="s">
        <v>7138</v>
      </c>
    </row>
    <row r="1423" spans="1:9">
      <c r="A1423" s="113">
        <v>100401121</v>
      </c>
      <c r="B1423" s="113" t="s">
        <v>4298</v>
      </c>
      <c r="C1423" s="113">
        <v>6053210</v>
      </c>
      <c r="D1423" s="113" t="s">
        <v>3093</v>
      </c>
      <c r="E1423" s="113" t="s">
        <v>1620</v>
      </c>
      <c r="F1423" s="113" t="s">
        <v>3093</v>
      </c>
      <c r="G1423" s="113" t="s">
        <v>3093</v>
      </c>
      <c r="H1423" s="161">
        <v>0</v>
      </c>
      <c r="I1423" s="161" t="s">
        <v>7138</v>
      </c>
    </row>
    <row r="1424" spans="1:9">
      <c r="A1424" s="113">
        <v>100401122</v>
      </c>
      <c r="B1424" s="113" t="s">
        <v>4299</v>
      </c>
      <c r="C1424" s="113">
        <v>6053211</v>
      </c>
      <c r="D1424" s="113" t="s">
        <v>3093</v>
      </c>
      <c r="E1424" s="113" t="s">
        <v>1620</v>
      </c>
      <c r="F1424" s="113" t="s">
        <v>3093</v>
      </c>
      <c r="G1424" s="113" t="s">
        <v>3093</v>
      </c>
      <c r="H1424" s="161">
        <v>0</v>
      </c>
      <c r="I1424" s="161" t="s">
        <v>7138</v>
      </c>
    </row>
    <row r="1425" spans="1:9">
      <c r="A1425" s="113">
        <v>100401123</v>
      </c>
      <c r="B1425" s="113" t="s">
        <v>4300</v>
      </c>
      <c r="C1425" s="113">
        <v>6053212</v>
      </c>
      <c r="D1425" s="113" t="s">
        <v>3093</v>
      </c>
      <c r="E1425" s="113" t="s">
        <v>1620</v>
      </c>
      <c r="F1425" s="113" t="s">
        <v>3093</v>
      </c>
      <c r="G1425" s="113" t="s">
        <v>3093</v>
      </c>
      <c r="H1425" s="161">
        <v>0</v>
      </c>
      <c r="I1425" s="161" t="s">
        <v>7138</v>
      </c>
    </row>
    <row r="1426" spans="1:9">
      <c r="A1426" s="113">
        <v>100401124</v>
      </c>
      <c r="B1426" s="113" t="s">
        <v>4301</v>
      </c>
      <c r="C1426" s="113">
        <v>6053213</v>
      </c>
      <c r="D1426" s="113" t="s">
        <v>3093</v>
      </c>
      <c r="E1426" s="113" t="s">
        <v>1620</v>
      </c>
      <c r="F1426" s="113" t="s">
        <v>3093</v>
      </c>
      <c r="G1426" s="113" t="s">
        <v>3093</v>
      </c>
      <c r="H1426" s="161">
        <v>0</v>
      </c>
      <c r="I1426" s="161" t="s">
        <v>7138</v>
      </c>
    </row>
    <row r="1427" spans="1:9">
      <c r="A1427" s="113">
        <v>100401125</v>
      </c>
      <c r="B1427" s="113" t="s">
        <v>4302</v>
      </c>
      <c r="C1427" s="113">
        <v>6053214</v>
      </c>
      <c r="D1427" s="113" t="s">
        <v>3093</v>
      </c>
      <c r="E1427" s="113" t="s">
        <v>1620</v>
      </c>
      <c r="F1427" s="113" t="s">
        <v>3093</v>
      </c>
      <c r="G1427" s="113" t="s">
        <v>3093</v>
      </c>
      <c r="H1427" s="161">
        <v>0</v>
      </c>
      <c r="I1427" s="161" t="s">
        <v>7138</v>
      </c>
    </row>
    <row r="1428" spans="1:9">
      <c r="A1428" s="113">
        <v>100401126</v>
      </c>
      <c r="B1428" s="113" t="s">
        <v>4303</v>
      </c>
      <c r="C1428" s="113">
        <v>6053215</v>
      </c>
      <c r="D1428" s="113" t="s">
        <v>3093</v>
      </c>
      <c r="E1428" s="113" t="s">
        <v>1620</v>
      </c>
      <c r="F1428" s="113" t="s">
        <v>3093</v>
      </c>
      <c r="G1428" s="113" t="s">
        <v>3093</v>
      </c>
      <c r="H1428" s="161">
        <v>0</v>
      </c>
      <c r="I1428" s="161" t="s">
        <v>7138</v>
      </c>
    </row>
    <row r="1429" spans="1:9">
      <c r="A1429" s="113">
        <v>100401127</v>
      </c>
      <c r="B1429" s="113" t="s">
        <v>4304</v>
      </c>
      <c r="C1429" s="113">
        <v>6053216</v>
      </c>
      <c r="D1429" s="113" t="s">
        <v>3093</v>
      </c>
      <c r="E1429" s="113" t="s">
        <v>1620</v>
      </c>
      <c r="F1429" s="113" t="s">
        <v>3093</v>
      </c>
      <c r="G1429" s="113" t="s">
        <v>3093</v>
      </c>
      <c r="H1429" s="161">
        <v>0</v>
      </c>
      <c r="I1429" s="161" t="s">
        <v>7138</v>
      </c>
    </row>
    <row r="1430" spans="1:9">
      <c r="A1430" s="113">
        <v>100401128</v>
      </c>
      <c r="B1430" s="113" t="s">
        <v>4305</v>
      </c>
      <c r="C1430" s="113">
        <v>6053217</v>
      </c>
      <c r="D1430" s="113" t="s">
        <v>3093</v>
      </c>
      <c r="E1430" s="113" t="s">
        <v>1620</v>
      </c>
      <c r="F1430" s="113" t="s">
        <v>3093</v>
      </c>
      <c r="G1430" s="113" t="s">
        <v>3093</v>
      </c>
      <c r="H1430" s="161">
        <v>0</v>
      </c>
      <c r="I1430" s="161" t="s">
        <v>7138</v>
      </c>
    </row>
    <row r="1431" spans="1:9">
      <c r="A1431" s="113">
        <v>100401129</v>
      </c>
      <c r="B1431" s="113" t="s">
        <v>4306</v>
      </c>
      <c r="C1431" s="113">
        <v>6053218</v>
      </c>
      <c r="D1431" s="113" t="s">
        <v>3093</v>
      </c>
      <c r="E1431" s="113" t="s">
        <v>1620</v>
      </c>
      <c r="F1431" s="113" t="s">
        <v>3093</v>
      </c>
      <c r="G1431" s="113" t="s">
        <v>3093</v>
      </c>
      <c r="H1431" s="161">
        <v>0</v>
      </c>
      <c r="I1431" s="161" t="s">
        <v>7138</v>
      </c>
    </row>
    <row r="1432" spans="1:9">
      <c r="A1432" s="113">
        <v>100401130</v>
      </c>
      <c r="B1432" s="113" t="s">
        <v>4307</v>
      </c>
      <c r="C1432" s="113">
        <v>6053219</v>
      </c>
      <c r="D1432" s="113" t="s">
        <v>3093</v>
      </c>
      <c r="E1432" s="113" t="s">
        <v>1620</v>
      </c>
      <c r="F1432" s="113" t="s">
        <v>3093</v>
      </c>
      <c r="G1432" s="113" t="s">
        <v>3093</v>
      </c>
      <c r="H1432" s="161">
        <v>0</v>
      </c>
      <c r="I1432" s="161" t="s">
        <v>7138</v>
      </c>
    </row>
    <row r="1433" spans="1:9">
      <c r="A1433" s="113">
        <v>100401131</v>
      </c>
      <c r="B1433" s="113" t="s">
        <v>4308</v>
      </c>
      <c r="C1433" s="113">
        <v>6053220</v>
      </c>
      <c r="D1433" s="113" t="s">
        <v>3093</v>
      </c>
      <c r="E1433" s="113" t="s">
        <v>1620</v>
      </c>
      <c r="F1433" s="113" t="s">
        <v>3093</v>
      </c>
      <c r="G1433" s="113" t="s">
        <v>3093</v>
      </c>
      <c r="H1433" s="161">
        <v>0</v>
      </c>
      <c r="I1433" s="161" t="s">
        <v>7138</v>
      </c>
    </row>
    <row r="1434" spans="1:9">
      <c r="A1434" s="113">
        <v>100401132</v>
      </c>
      <c r="B1434" s="113" t="s">
        <v>4309</v>
      </c>
      <c r="C1434" s="113">
        <v>6053221</v>
      </c>
      <c r="D1434" s="113" t="s">
        <v>3093</v>
      </c>
      <c r="E1434" s="113" t="s">
        <v>1620</v>
      </c>
      <c r="F1434" s="113" t="s">
        <v>3093</v>
      </c>
      <c r="G1434" s="113" t="s">
        <v>3093</v>
      </c>
      <c r="H1434" s="161">
        <v>0</v>
      </c>
      <c r="I1434" s="161" t="s">
        <v>7138</v>
      </c>
    </row>
    <row r="1435" spans="1:9">
      <c r="A1435" s="113">
        <v>100401133</v>
      </c>
      <c r="B1435" s="113" t="s">
        <v>4310</v>
      </c>
      <c r="C1435" s="113">
        <v>6053222</v>
      </c>
      <c r="D1435" s="113" t="s">
        <v>3093</v>
      </c>
      <c r="E1435" s="113" t="s">
        <v>1620</v>
      </c>
      <c r="F1435" s="113" t="s">
        <v>3093</v>
      </c>
      <c r="G1435" s="113" t="s">
        <v>3093</v>
      </c>
      <c r="H1435" s="161">
        <v>35.67</v>
      </c>
      <c r="I1435" s="161" t="s">
        <v>7138</v>
      </c>
    </row>
    <row r="1436" spans="1:9">
      <c r="A1436" s="113">
        <v>100401134</v>
      </c>
      <c r="B1436" s="113" t="s">
        <v>4311</v>
      </c>
      <c r="C1436" s="113">
        <v>6053223</v>
      </c>
      <c r="D1436" s="113" t="s">
        <v>3093</v>
      </c>
      <c r="E1436" s="113" t="s">
        <v>1620</v>
      </c>
      <c r="F1436" s="113" t="s">
        <v>3093</v>
      </c>
      <c r="G1436" s="113" t="s">
        <v>3093</v>
      </c>
      <c r="H1436" s="161">
        <v>0</v>
      </c>
      <c r="I1436" s="161" t="s">
        <v>7138</v>
      </c>
    </row>
    <row r="1437" spans="1:9">
      <c r="A1437" s="113">
        <v>100401135</v>
      </c>
      <c r="B1437" s="113" t="s">
        <v>4312</v>
      </c>
      <c r="C1437" s="113">
        <v>6053224</v>
      </c>
      <c r="D1437" s="113" t="s">
        <v>3093</v>
      </c>
      <c r="E1437" s="113" t="s">
        <v>1620</v>
      </c>
      <c r="F1437" s="113" t="s">
        <v>3093</v>
      </c>
      <c r="G1437" s="113" t="s">
        <v>3093</v>
      </c>
      <c r="H1437" s="161">
        <v>0</v>
      </c>
      <c r="I1437" s="161" t="s">
        <v>7138</v>
      </c>
    </row>
    <row r="1438" spans="1:9">
      <c r="A1438" s="113">
        <v>100401136</v>
      </c>
      <c r="B1438" s="113" t="s">
        <v>4313</v>
      </c>
      <c r="C1438" s="113">
        <v>6053225</v>
      </c>
      <c r="D1438" s="113" t="s">
        <v>3093</v>
      </c>
      <c r="E1438" s="113" t="s">
        <v>1620</v>
      </c>
      <c r="F1438" s="113" t="s">
        <v>3093</v>
      </c>
      <c r="G1438" s="113" t="s">
        <v>3093</v>
      </c>
      <c r="H1438" s="161">
        <v>0</v>
      </c>
      <c r="I1438" s="161" t="s">
        <v>7138</v>
      </c>
    </row>
    <row r="1439" spans="1:9">
      <c r="A1439" s="113">
        <v>100401137</v>
      </c>
      <c r="B1439" s="113" t="s">
        <v>4314</v>
      </c>
      <c r="C1439" s="113">
        <v>6053226</v>
      </c>
      <c r="D1439" s="113" t="s">
        <v>3093</v>
      </c>
      <c r="E1439" s="113" t="s">
        <v>1620</v>
      </c>
      <c r="F1439" s="113" t="s">
        <v>3093</v>
      </c>
      <c r="G1439" s="113" t="s">
        <v>3093</v>
      </c>
      <c r="H1439" s="161">
        <v>0</v>
      </c>
      <c r="I1439" s="161" t="s">
        <v>7138</v>
      </c>
    </row>
    <row r="1440" spans="1:9">
      <c r="A1440" s="113">
        <v>100401138</v>
      </c>
      <c r="B1440" s="113" t="s">
        <v>4315</v>
      </c>
      <c r="C1440" s="113">
        <v>6053227</v>
      </c>
      <c r="D1440" s="113" t="s">
        <v>3093</v>
      </c>
      <c r="E1440" s="113" t="s">
        <v>1620</v>
      </c>
      <c r="F1440" s="113" t="s">
        <v>3093</v>
      </c>
      <c r="G1440" s="113" t="s">
        <v>3093</v>
      </c>
      <c r="H1440" s="161">
        <v>0</v>
      </c>
      <c r="I1440" s="161" t="s">
        <v>7138</v>
      </c>
    </row>
    <row r="1441" spans="1:9">
      <c r="A1441" s="113">
        <v>100401139</v>
      </c>
      <c r="B1441" s="113" t="s">
        <v>4316</v>
      </c>
      <c r="C1441" s="113">
        <v>6053228</v>
      </c>
      <c r="D1441" s="113" t="s">
        <v>3093</v>
      </c>
      <c r="E1441" s="113" t="s">
        <v>1620</v>
      </c>
      <c r="F1441" s="113" t="s">
        <v>3093</v>
      </c>
      <c r="G1441" s="113" t="s">
        <v>3093</v>
      </c>
      <c r="H1441" s="161">
        <v>0</v>
      </c>
      <c r="I1441" s="161" t="s">
        <v>7138</v>
      </c>
    </row>
    <row r="1442" spans="1:9">
      <c r="A1442" s="113">
        <v>100401140</v>
      </c>
      <c r="B1442" s="113" t="s">
        <v>4317</v>
      </c>
      <c r="C1442" s="113">
        <v>6053229</v>
      </c>
      <c r="D1442" s="113" t="s">
        <v>3093</v>
      </c>
      <c r="E1442" s="113" t="s">
        <v>1620</v>
      </c>
      <c r="F1442" s="113" t="s">
        <v>3093</v>
      </c>
      <c r="G1442" s="113" t="s">
        <v>3093</v>
      </c>
      <c r="H1442" s="161">
        <v>0</v>
      </c>
      <c r="I1442" s="161" t="s">
        <v>7138</v>
      </c>
    </row>
    <row r="1443" spans="1:9">
      <c r="A1443" s="113">
        <v>100401141</v>
      </c>
      <c r="B1443" s="113" t="s">
        <v>4318</v>
      </c>
      <c r="C1443" s="113">
        <v>6053230</v>
      </c>
      <c r="D1443" s="113" t="s">
        <v>3093</v>
      </c>
      <c r="E1443" s="113" t="s">
        <v>1620</v>
      </c>
      <c r="F1443" s="113" t="s">
        <v>3093</v>
      </c>
      <c r="G1443" s="113" t="s">
        <v>3093</v>
      </c>
      <c r="H1443" s="161">
        <v>0</v>
      </c>
      <c r="I1443" s="161" t="s">
        <v>7138</v>
      </c>
    </row>
    <row r="1444" spans="1:9">
      <c r="A1444" s="113">
        <v>100401142</v>
      </c>
      <c r="B1444" s="113" t="s">
        <v>4319</v>
      </c>
      <c r="C1444" s="113">
        <v>6053231</v>
      </c>
      <c r="D1444" s="113" t="s">
        <v>3093</v>
      </c>
      <c r="E1444" s="113" t="s">
        <v>1620</v>
      </c>
      <c r="F1444" s="113" t="s">
        <v>3093</v>
      </c>
      <c r="G1444" s="113" t="s">
        <v>3093</v>
      </c>
      <c r="H1444" s="161">
        <v>0</v>
      </c>
      <c r="I1444" s="161" t="s">
        <v>7138</v>
      </c>
    </row>
    <row r="1445" spans="1:9">
      <c r="A1445" s="113">
        <v>100401143</v>
      </c>
      <c r="B1445" s="113" t="s">
        <v>4320</v>
      </c>
      <c r="C1445" s="113">
        <v>6053232</v>
      </c>
      <c r="D1445" s="113" t="s">
        <v>3093</v>
      </c>
      <c r="E1445" s="113" t="s">
        <v>1620</v>
      </c>
      <c r="F1445" s="113" t="s">
        <v>3093</v>
      </c>
      <c r="G1445" s="113" t="s">
        <v>3093</v>
      </c>
      <c r="H1445" s="161">
        <v>0</v>
      </c>
      <c r="I1445" s="161" t="s">
        <v>7138</v>
      </c>
    </row>
    <row r="1446" spans="1:9">
      <c r="A1446" s="113">
        <v>100401144</v>
      </c>
      <c r="B1446" s="113" t="s">
        <v>4321</v>
      </c>
      <c r="C1446" s="113">
        <v>6053233</v>
      </c>
      <c r="D1446" s="113" t="s">
        <v>3093</v>
      </c>
      <c r="E1446" s="113" t="s">
        <v>1620</v>
      </c>
      <c r="F1446" s="113" t="s">
        <v>3093</v>
      </c>
      <c r="G1446" s="113" t="s">
        <v>3093</v>
      </c>
      <c r="H1446" s="161">
        <v>0</v>
      </c>
      <c r="I1446" s="161" t="s">
        <v>7138</v>
      </c>
    </row>
    <row r="1447" spans="1:9">
      <c r="A1447" s="113">
        <v>100401145</v>
      </c>
      <c r="B1447" s="113" t="s">
        <v>4322</v>
      </c>
      <c r="C1447" s="113">
        <v>6054022</v>
      </c>
      <c r="D1447" s="113" t="s">
        <v>3093</v>
      </c>
      <c r="E1447" s="113" t="s">
        <v>1620</v>
      </c>
      <c r="F1447" s="113" t="s">
        <v>3093</v>
      </c>
      <c r="G1447" s="113" t="s">
        <v>3093</v>
      </c>
      <c r="H1447" s="161">
        <v>333.8</v>
      </c>
      <c r="I1447" s="161">
        <v>1</v>
      </c>
    </row>
    <row r="1448" spans="1:9">
      <c r="A1448" s="113">
        <v>100401146</v>
      </c>
      <c r="B1448" s="113" t="s">
        <v>4323</v>
      </c>
      <c r="C1448" s="113">
        <v>6054033</v>
      </c>
      <c r="D1448" s="113" t="s">
        <v>3093</v>
      </c>
      <c r="E1448" s="113" t="s">
        <v>1620</v>
      </c>
      <c r="F1448" s="113" t="s">
        <v>3093</v>
      </c>
      <c r="G1448" s="113" t="s">
        <v>3093</v>
      </c>
      <c r="H1448" s="161">
        <v>0</v>
      </c>
      <c r="I1448" s="161" t="s">
        <v>7138</v>
      </c>
    </row>
    <row r="1449" spans="1:9">
      <c r="A1449" s="113">
        <v>100401148</v>
      </c>
      <c r="B1449" s="113" t="s">
        <v>4324</v>
      </c>
      <c r="C1449" s="113">
        <v>6054066</v>
      </c>
      <c r="D1449" s="113" t="s">
        <v>3093</v>
      </c>
      <c r="E1449" s="113" t="s">
        <v>1620</v>
      </c>
      <c r="F1449" s="113" t="s">
        <v>3093</v>
      </c>
      <c r="G1449" s="113" t="s">
        <v>3093</v>
      </c>
      <c r="H1449" s="161">
        <v>0</v>
      </c>
      <c r="I1449" s="161" t="s">
        <v>7138</v>
      </c>
    </row>
    <row r="1450" spans="1:9">
      <c r="A1450" s="113">
        <v>100401153</v>
      </c>
      <c r="B1450" s="113" t="s">
        <v>4325</v>
      </c>
      <c r="C1450" s="113">
        <v>6054119</v>
      </c>
      <c r="D1450" s="113" t="s">
        <v>3093</v>
      </c>
      <c r="E1450" s="113" t="s">
        <v>1620</v>
      </c>
      <c r="F1450" s="113" t="s">
        <v>3093</v>
      </c>
      <c r="G1450" s="113" t="s">
        <v>3093</v>
      </c>
      <c r="H1450" s="161">
        <v>0</v>
      </c>
      <c r="I1450" s="161" t="s">
        <v>7138</v>
      </c>
    </row>
    <row r="1451" spans="1:9">
      <c r="A1451" s="113">
        <v>100401154</v>
      </c>
      <c r="B1451" s="113" t="s">
        <v>2873</v>
      </c>
      <c r="C1451" s="113">
        <v>6054134</v>
      </c>
      <c r="D1451" s="113" t="s">
        <v>3093</v>
      </c>
      <c r="E1451" s="113" t="s">
        <v>1620</v>
      </c>
      <c r="F1451" s="113" t="s">
        <v>3093</v>
      </c>
      <c r="G1451" s="113" t="s">
        <v>3093</v>
      </c>
      <c r="H1451" s="161">
        <v>0</v>
      </c>
      <c r="I1451" s="161" t="s">
        <v>7138</v>
      </c>
    </row>
    <row r="1452" spans="1:9">
      <c r="A1452" s="113">
        <v>100401155</v>
      </c>
      <c r="B1452" s="113" t="s">
        <v>4326</v>
      </c>
      <c r="C1452" s="113">
        <v>6054135</v>
      </c>
      <c r="D1452" s="113" t="s">
        <v>3093</v>
      </c>
      <c r="E1452" s="113" t="s">
        <v>1620</v>
      </c>
      <c r="F1452" s="113" t="s">
        <v>3093</v>
      </c>
      <c r="G1452" s="113" t="s">
        <v>3093</v>
      </c>
      <c r="H1452" s="161">
        <v>0</v>
      </c>
      <c r="I1452" s="161" t="s">
        <v>7138</v>
      </c>
    </row>
    <row r="1453" spans="1:9">
      <c r="A1453" s="113">
        <v>100401156</v>
      </c>
      <c r="B1453" s="113" t="s">
        <v>4327</v>
      </c>
      <c r="C1453" s="113">
        <v>6054136</v>
      </c>
      <c r="D1453" s="113" t="s">
        <v>3093</v>
      </c>
      <c r="E1453" s="113" t="s">
        <v>1620</v>
      </c>
      <c r="F1453" s="113" t="s">
        <v>3093</v>
      </c>
      <c r="G1453" s="113" t="s">
        <v>3093</v>
      </c>
      <c r="H1453" s="161">
        <v>0</v>
      </c>
      <c r="I1453" s="161" t="s">
        <v>7138</v>
      </c>
    </row>
    <row r="1454" spans="1:9">
      <c r="A1454" s="113">
        <v>100401157</v>
      </c>
      <c r="B1454" s="113" t="s">
        <v>2874</v>
      </c>
      <c r="C1454" s="113">
        <v>6054143</v>
      </c>
      <c r="D1454" s="113" t="s">
        <v>3093</v>
      </c>
      <c r="E1454" s="113" t="s">
        <v>1620</v>
      </c>
      <c r="F1454" s="113" t="s">
        <v>3093</v>
      </c>
      <c r="G1454" s="113" t="s">
        <v>3093</v>
      </c>
      <c r="H1454" s="161">
        <v>0</v>
      </c>
      <c r="I1454" s="161" t="s">
        <v>7138</v>
      </c>
    </row>
    <row r="1455" spans="1:9">
      <c r="A1455" s="113">
        <v>100401158</v>
      </c>
      <c r="B1455" s="113" t="s">
        <v>4328</v>
      </c>
      <c r="C1455" s="113">
        <v>6054144</v>
      </c>
      <c r="D1455" s="113" t="s">
        <v>3093</v>
      </c>
      <c r="E1455" s="113" t="s">
        <v>1620</v>
      </c>
      <c r="F1455" s="113" t="s">
        <v>3093</v>
      </c>
      <c r="G1455" s="113" t="s">
        <v>3093</v>
      </c>
      <c r="H1455" s="161">
        <v>0</v>
      </c>
      <c r="I1455" s="161" t="s">
        <v>7138</v>
      </c>
    </row>
    <row r="1456" spans="1:9">
      <c r="A1456" s="113">
        <v>100401159</v>
      </c>
      <c r="B1456" s="113" t="s">
        <v>4329</v>
      </c>
      <c r="C1456" s="113">
        <v>6054145</v>
      </c>
      <c r="D1456" s="113" t="s">
        <v>3093</v>
      </c>
      <c r="E1456" s="113" t="s">
        <v>1620</v>
      </c>
      <c r="F1456" s="113" t="s">
        <v>3093</v>
      </c>
      <c r="G1456" s="113" t="s">
        <v>3093</v>
      </c>
      <c r="H1456" s="161">
        <v>706.69</v>
      </c>
      <c r="I1456" s="161">
        <v>1</v>
      </c>
    </row>
    <row r="1457" spans="1:9">
      <c r="A1457" s="113">
        <v>100401160</v>
      </c>
      <c r="B1457" s="113" t="s">
        <v>4330</v>
      </c>
      <c r="C1457" s="113">
        <v>6054146</v>
      </c>
      <c r="D1457" s="113" t="s">
        <v>3093</v>
      </c>
      <c r="E1457" s="113" t="s">
        <v>1620</v>
      </c>
      <c r="F1457" s="113" t="s">
        <v>3093</v>
      </c>
      <c r="G1457" s="113" t="s">
        <v>3093</v>
      </c>
      <c r="H1457" s="161">
        <v>0</v>
      </c>
      <c r="I1457" s="161" t="s">
        <v>7138</v>
      </c>
    </row>
    <row r="1458" spans="1:9">
      <c r="A1458" s="113">
        <v>100401161</v>
      </c>
      <c r="B1458" s="113" t="s">
        <v>4331</v>
      </c>
      <c r="C1458" s="113">
        <v>6054147</v>
      </c>
      <c r="D1458" s="113" t="s">
        <v>3093</v>
      </c>
      <c r="E1458" s="113" t="s">
        <v>1620</v>
      </c>
      <c r="F1458" s="113" t="s">
        <v>3093</v>
      </c>
      <c r="G1458" s="113" t="s">
        <v>3093</v>
      </c>
      <c r="H1458" s="161">
        <v>0</v>
      </c>
      <c r="I1458" s="161" t="s">
        <v>7138</v>
      </c>
    </row>
    <row r="1459" spans="1:9">
      <c r="A1459" s="113">
        <v>100401162</v>
      </c>
      <c r="B1459" s="113" t="s">
        <v>4332</v>
      </c>
      <c r="C1459" s="113">
        <v>6054148</v>
      </c>
      <c r="D1459" s="113" t="s">
        <v>3093</v>
      </c>
      <c r="E1459" s="113" t="s">
        <v>1620</v>
      </c>
      <c r="F1459" s="113" t="s">
        <v>3093</v>
      </c>
      <c r="G1459" s="113" t="s">
        <v>3093</v>
      </c>
      <c r="H1459" s="161">
        <v>0</v>
      </c>
      <c r="I1459" s="161" t="s">
        <v>7138</v>
      </c>
    </row>
    <row r="1460" spans="1:9">
      <c r="A1460" s="113">
        <v>100401163</v>
      </c>
      <c r="B1460" s="113" t="s">
        <v>4333</v>
      </c>
      <c r="C1460" s="113">
        <v>6054149</v>
      </c>
      <c r="D1460" s="113" t="s">
        <v>3093</v>
      </c>
      <c r="E1460" s="113" t="s">
        <v>1620</v>
      </c>
      <c r="F1460" s="113" t="s">
        <v>3093</v>
      </c>
      <c r="G1460" s="113" t="s">
        <v>3093</v>
      </c>
      <c r="H1460" s="161">
        <v>0</v>
      </c>
      <c r="I1460" s="161" t="s">
        <v>7138</v>
      </c>
    </row>
    <row r="1461" spans="1:9">
      <c r="A1461" s="113">
        <v>100401164</v>
      </c>
      <c r="B1461" s="113" t="s">
        <v>4334</v>
      </c>
      <c r="C1461" s="113">
        <v>6054150</v>
      </c>
      <c r="D1461" s="113" t="s">
        <v>3093</v>
      </c>
      <c r="E1461" s="113" t="s">
        <v>1620</v>
      </c>
      <c r="F1461" s="113" t="s">
        <v>3093</v>
      </c>
      <c r="G1461" s="113" t="s">
        <v>3093</v>
      </c>
      <c r="H1461" s="161">
        <v>0</v>
      </c>
      <c r="I1461" s="161" t="s">
        <v>7138</v>
      </c>
    </row>
    <row r="1462" spans="1:9">
      <c r="A1462" s="113">
        <v>100401165</v>
      </c>
      <c r="B1462" s="113" t="s">
        <v>4335</v>
      </c>
      <c r="C1462" s="113">
        <v>6054151</v>
      </c>
      <c r="D1462" s="113" t="s">
        <v>3093</v>
      </c>
      <c r="E1462" s="113" t="s">
        <v>1620</v>
      </c>
      <c r="F1462" s="113" t="s">
        <v>3093</v>
      </c>
      <c r="G1462" s="113" t="s">
        <v>3093</v>
      </c>
      <c r="H1462" s="161">
        <v>0</v>
      </c>
      <c r="I1462" s="161" t="s">
        <v>7138</v>
      </c>
    </row>
    <row r="1463" spans="1:9">
      <c r="A1463" s="113">
        <v>100401166</v>
      </c>
      <c r="B1463" s="113" t="s">
        <v>4336</v>
      </c>
      <c r="C1463" s="113">
        <v>6054152</v>
      </c>
      <c r="D1463" s="113" t="s">
        <v>3093</v>
      </c>
      <c r="E1463" s="113" t="s">
        <v>1620</v>
      </c>
      <c r="F1463" s="113" t="s">
        <v>3093</v>
      </c>
      <c r="G1463" s="113" t="s">
        <v>3093</v>
      </c>
      <c r="H1463" s="161">
        <v>706.69</v>
      </c>
      <c r="I1463" s="161">
        <v>1</v>
      </c>
    </row>
    <row r="1464" spans="1:9">
      <c r="A1464" s="113">
        <v>100401167</v>
      </c>
      <c r="B1464" s="113" t="s">
        <v>4337</v>
      </c>
      <c r="C1464" s="113">
        <v>6054153</v>
      </c>
      <c r="D1464" s="113" t="s">
        <v>3093</v>
      </c>
      <c r="E1464" s="113" t="s">
        <v>1620</v>
      </c>
      <c r="F1464" s="113" t="s">
        <v>3093</v>
      </c>
      <c r="G1464" s="113" t="s">
        <v>3093</v>
      </c>
      <c r="H1464" s="161">
        <v>0</v>
      </c>
      <c r="I1464" s="161" t="s">
        <v>7138</v>
      </c>
    </row>
    <row r="1465" spans="1:9">
      <c r="A1465" s="113">
        <v>100401168</v>
      </c>
      <c r="B1465" s="113" t="s">
        <v>4338</v>
      </c>
      <c r="C1465" s="113">
        <v>6054154</v>
      </c>
      <c r="D1465" s="113" t="s">
        <v>3093</v>
      </c>
      <c r="E1465" s="113" t="s">
        <v>1620</v>
      </c>
      <c r="F1465" s="113" t="s">
        <v>3093</v>
      </c>
      <c r="G1465" s="113" t="s">
        <v>3093</v>
      </c>
      <c r="H1465" s="161">
        <v>0</v>
      </c>
      <c r="I1465" s="161" t="s">
        <v>7138</v>
      </c>
    </row>
    <row r="1466" spans="1:9">
      <c r="A1466" s="113">
        <v>100401169</v>
      </c>
      <c r="B1466" s="113" t="s">
        <v>4339</v>
      </c>
      <c r="C1466" s="113">
        <v>6054155</v>
      </c>
      <c r="D1466" s="113" t="s">
        <v>3093</v>
      </c>
      <c r="E1466" s="113" t="s">
        <v>1620</v>
      </c>
      <c r="F1466" s="113" t="s">
        <v>3093</v>
      </c>
      <c r="G1466" s="113" t="s">
        <v>3093</v>
      </c>
      <c r="H1466" s="161">
        <v>0</v>
      </c>
      <c r="I1466" s="161" t="s">
        <v>7138</v>
      </c>
    </row>
    <row r="1467" spans="1:9">
      <c r="A1467" s="113">
        <v>100401170</v>
      </c>
      <c r="B1467" s="113" t="s">
        <v>4340</v>
      </c>
      <c r="C1467" s="113">
        <v>6054156</v>
      </c>
      <c r="D1467" s="113" t="s">
        <v>3093</v>
      </c>
      <c r="E1467" s="113" t="s">
        <v>1620</v>
      </c>
      <c r="F1467" s="113" t="s">
        <v>3093</v>
      </c>
      <c r="G1467" s="113" t="s">
        <v>3093</v>
      </c>
      <c r="H1467" s="161">
        <v>685</v>
      </c>
      <c r="I1467" s="161">
        <v>1</v>
      </c>
    </row>
    <row r="1468" spans="1:9">
      <c r="A1468" s="113">
        <v>100401171</v>
      </c>
      <c r="B1468" s="113" t="s">
        <v>4341</v>
      </c>
      <c r="C1468" s="113">
        <v>6054157</v>
      </c>
      <c r="D1468" s="113" t="s">
        <v>3093</v>
      </c>
      <c r="E1468" s="113" t="s">
        <v>1620</v>
      </c>
      <c r="F1468" s="113" t="s">
        <v>3093</v>
      </c>
      <c r="G1468" s="113" t="s">
        <v>3093</v>
      </c>
      <c r="H1468" s="161">
        <v>0</v>
      </c>
      <c r="I1468" s="161" t="s">
        <v>7138</v>
      </c>
    </row>
    <row r="1469" spans="1:9">
      <c r="A1469" s="113">
        <v>100401172</v>
      </c>
      <c r="B1469" s="113" t="s">
        <v>4342</v>
      </c>
      <c r="C1469" s="113">
        <v>6054158</v>
      </c>
      <c r="D1469" s="113" t="s">
        <v>3093</v>
      </c>
      <c r="E1469" s="113" t="s">
        <v>1620</v>
      </c>
      <c r="F1469" s="113" t="s">
        <v>3093</v>
      </c>
      <c r="G1469" s="113" t="s">
        <v>3093</v>
      </c>
      <c r="H1469" s="161">
        <v>0</v>
      </c>
      <c r="I1469" s="161" t="s">
        <v>7138</v>
      </c>
    </row>
    <row r="1470" spans="1:9">
      <c r="A1470" s="113">
        <v>100401173</v>
      </c>
      <c r="B1470" s="113" t="s">
        <v>4343</v>
      </c>
      <c r="C1470" s="113">
        <v>6054159</v>
      </c>
      <c r="D1470" s="113" t="s">
        <v>3093</v>
      </c>
      <c r="E1470" s="113" t="s">
        <v>1620</v>
      </c>
      <c r="F1470" s="113" t="s">
        <v>3093</v>
      </c>
      <c r="G1470" s="113" t="s">
        <v>3093</v>
      </c>
      <c r="H1470" s="161">
        <v>250.17</v>
      </c>
      <c r="I1470" s="161">
        <v>1</v>
      </c>
    </row>
    <row r="1471" spans="1:9">
      <c r="A1471" s="113">
        <v>100401174</v>
      </c>
      <c r="B1471" s="113" t="s">
        <v>4344</v>
      </c>
      <c r="C1471" s="113">
        <v>6054160</v>
      </c>
      <c r="D1471" s="113" t="s">
        <v>3093</v>
      </c>
      <c r="E1471" s="113" t="s">
        <v>1620</v>
      </c>
      <c r="F1471" s="113" t="s">
        <v>3093</v>
      </c>
      <c r="G1471" s="113" t="s">
        <v>3093</v>
      </c>
      <c r="H1471" s="161">
        <v>250.17</v>
      </c>
      <c r="I1471" s="161">
        <v>1</v>
      </c>
    </row>
    <row r="1472" spans="1:9">
      <c r="A1472" s="113">
        <v>100401175</v>
      </c>
      <c r="B1472" s="113" t="s">
        <v>4345</v>
      </c>
      <c r="C1472" s="113">
        <v>6054161</v>
      </c>
      <c r="D1472" s="113" t="s">
        <v>3093</v>
      </c>
      <c r="E1472" s="113" t="s">
        <v>1620</v>
      </c>
      <c r="F1472" s="113" t="s">
        <v>3093</v>
      </c>
      <c r="G1472" s="113" t="s">
        <v>3093</v>
      </c>
      <c r="H1472" s="161">
        <v>931.5</v>
      </c>
      <c r="I1472" s="161">
        <v>2</v>
      </c>
    </row>
    <row r="1473" spans="1:9">
      <c r="A1473" s="113">
        <v>100401176</v>
      </c>
      <c r="B1473" s="113" t="s">
        <v>4346</v>
      </c>
      <c r="C1473" s="113">
        <v>6054162</v>
      </c>
      <c r="D1473" s="113" t="s">
        <v>3093</v>
      </c>
      <c r="E1473" s="113" t="s">
        <v>1620</v>
      </c>
      <c r="F1473" s="113" t="s">
        <v>3093</v>
      </c>
      <c r="G1473" s="113" t="s">
        <v>3093</v>
      </c>
      <c r="H1473" s="161">
        <v>931.5</v>
      </c>
      <c r="I1473" s="161">
        <v>2</v>
      </c>
    </row>
    <row r="1474" spans="1:9">
      <c r="A1474" s="113">
        <v>100401177</v>
      </c>
      <c r="B1474" s="113" t="s">
        <v>4347</v>
      </c>
      <c r="C1474" s="113">
        <v>6054163</v>
      </c>
      <c r="D1474" s="113" t="s">
        <v>3093</v>
      </c>
      <c r="E1474" s="113" t="s">
        <v>1620</v>
      </c>
      <c r="F1474" s="113" t="s">
        <v>3093</v>
      </c>
      <c r="G1474" s="113" t="s">
        <v>3093</v>
      </c>
      <c r="H1474" s="161">
        <v>0</v>
      </c>
      <c r="I1474" s="161" t="s">
        <v>7138</v>
      </c>
    </row>
    <row r="1475" spans="1:9">
      <c r="A1475" s="113">
        <v>100401178</v>
      </c>
      <c r="B1475" s="113" t="s">
        <v>4348</v>
      </c>
      <c r="C1475" s="113">
        <v>6054164</v>
      </c>
      <c r="D1475" s="113" t="s">
        <v>3093</v>
      </c>
      <c r="E1475" s="113" t="s">
        <v>1620</v>
      </c>
      <c r="F1475" s="113" t="s">
        <v>3093</v>
      </c>
      <c r="G1475" s="113" t="s">
        <v>3093</v>
      </c>
      <c r="H1475" s="161">
        <v>931.5</v>
      </c>
      <c r="I1475" s="161" t="s">
        <v>7138</v>
      </c>
    </row>
    <row r="1476" spans="1:9">
      <c r="A1476" s="113">
        <v>100401179</v>
      </c>
      <c r="B1476" s="113" t="s">
        <v>4349</v>
      </c>
      <c r="C1476" s="113">
        <v>6054165</v>
      </c>
      <c r="D1476" s="113" t="s">
        <v>3093</v>
      </c>
      <c r="E1476" s="113" t="s">
        <v>1620</v>
      </c>
      <c r="F1476" s="113" t="s">
        <v>3093</v>
      </c>
      <c r="G1476" s="113" t="s">
        <v>3093</v>
      </c>
      <c r="H1476" s="161">
        <v>0</v>
      </c>
      <c r="I1476" s="161" t="s">
        <v>7138</v>
      </c>
    </row>
    <row r="1477" spans="1:9">
      <c r="A1477" s="113">
        <v>100401180</v>
      </c>
      <c r="B1477" s="113" t="s">
        <v>4350</v>
      </c>
      <c r="C1477" s="113">
        <v>6054166</v>
      </c>
      <c r="D1477" s="113" t="s">
        <v>3093</v>
      </c>
      <c r="E1477" s="113" t="s">
        <v>1620</v>
      </c>
      <c r="F1477" s="113" t="s">
        <v>3093</v>
      </c>
      <c r="G1477" s="113" t="s">
        <v>3093</v>
      </c>
      <c r="H1477" s="161">
        <v>0</v>
      </c>
      <c r="I1477" s="161" t="s">
        <v>7138</v>
      </c>
    </row>
    <row r="1478" spans="1:9">
      <c r="A1478" s="113">
        <v>100401182</v>
      </c>
      <c r="B1478" s="113" t="s">
        <v>4351</v>
      </c>
      <c r="C1478" s="113">
        <v>6054168</v>
      </c>
      <c r="D1478" s="113" t="s">
        <v>3093</v>
      </c>
      <c r="E1478" s="113" t="s">
        <v>1620</v>
      </c>
      <c r="F1478" s="113" t="s">
        <v>3093</v>
      </c>
      <c r="G1478" s="113" t="s">
        <v>3093</v>
      </c>
      <c r="H1478" s="161">
        <v>0</v>
      </c>
      <c r="I1478" s="161" t="s">
        <v>7138</v>
      </c>
    </row>
    <row r="1479" spans="1:9">
      <c r="A1479" s="113">
        <v>100401183</v>
      </c>
      <c r="B1479" s="113" t="s">
        <v>4352</v>
      </c>
      <c r="C1479" s="113">
        <v>6054169</v>
      </c>
      <c r="D1479" s="113" t="s">
        <v>3093</v>
      </c>
      <c r="E1479" s="113" t="s">
        <v>1620</v>
      </c>
      <c r="F1479" s="113" t="s">
        <v>3093</v>
      </c>
      <c r="G1479" s="113" t="s">
        <v>3093</v>
      </c>
      <c r="H1479" s="161">
        <v>0</v>
      </c>
      <c r="I1479" s="161" t="s">
        <v>7138</v>
      </c>
    </row>
    <row r="1480" spans="1:9">
      <c r="A1480" s="113">
        <v>100401184</v>
      </c>
      <c r="B1480" s="113" t="s">
        <v>4353</v>
      </c>
      <c r="C1480" s="113">
        <v>6054170</v>
      </c>
      <c r="D1480" s="113" t="s">
        <v>3093</v>
      </c>
      <c r="E1480" s="113" t="s">
        <v>1620</v>
      </c>
      <c r="F1480" s="113" t="s">
        <v>3093</v>
      </c>
      <c r="G1480" s="113" t="s">
        <v>3093</v>
      </c>
      <c r="H1480" s="161">
        <v>312.05</v>
      </c>
      <c r="I1480" s="161">
        <v>2</v>
      </c>
    </row>
    <row r="1481" spans="1:9">
      <c r="A1481" s="113">
        <v>100401185</v>
      </c>
      <c r="B1481" s="113" t="s">
        <v>4354</v>
      </c>
      <c r="C1481" s="113">
        <v>6054171</v>
      </c>
      <c r="D1481" s="113" t="s">
        <v>3093</v>
      </c>
      <c r="E1481" s="113" t="s">
        <v>1620</v>
      </c>
      <c r="F1481" s="113" t="s">
        <v>3093</v>
      </c>
      <c r="G1481" s="113" t="s">
        <v>3093</v>
      </c>
      <c r="H1481" s="161">
        <v>0</v>
      </c>
      <c r="I1481" s="161" t="s">
        <v>7138</v>
      </c>
    </row>
    <row r="1482" spans="1:9">
      <c r="A1482" s="113">
        <v>100401186</v>
      </c>
      <c r="B1482" s="113" t="s">
        <v>4355</v>
      </c>
      <c r="C1482" s="113">
        <v>6054172</v>
      </c>
      <c r="D1482" s="113" t="s">
        <v>3093</v>
      </c>
      <c r="E1482" s="113" t="s">
        <v>1620</v>
      </c>
      <c r="F1482" s="113" t="s">
        <v>3093</v>
      </c>
      <c r="G1482" s="113" t="s">
        <v>3093</v>
      </c>
      <c r="H1482" s="161">
        <v>0</v>
      </c>
      <c r="I1482" s="161" t="s">
        <v>7138</v>
      </c>
    </row>
    <row r="1483" spans="1:9">
      <c r="A1483" s="113">
        <v>100401187</v>
      </c>
      <c r="B1483" s="113" t="s">
        <v>4356</v>
      </c>
      <c r="C1483" s="113">
        <v>6054173</v>
      </c>
      <c r="D1483" s="113" t="s">
        <v>3093</v>
      </c>
      <c r="E1483" s="113" t="s">
        <v>1620</v>
      </c>
      <c r="F1483" s="113" t="s">
        <v>3093</v>
      </c>
      <c r="G1483" s="113" t="s">
        <v>3093</v>
      </c>
      <c r="H1483" s="161">
        <v>0</v>
      </c>
      <c r="I1483" s="161" t="s">
        <v>7138</v>
      </c>
    </row>
    <row r="1484" spans="1:9">
      <c r="A1484" s="113">
        <v>100401188</v>
      </c>
      <c r="B1484" s="113" t="s">
        <v>4357</v>
      </c>
      <c r="C1484" s="113">
        <v>6054174</v>
      </c>
      <c r="D1484" s="113" t="s">
        <v>3093</v>
      </c>
      <c r="E1484" s="113" t="s">
        <v>1620</v>
      </c>
      <c r="F1484" s="113" t="s">
        <v>3093</v>
      </c>
      <c r="G1484" s="113" t="s">
        <v>3093</v>
      </c>
      <c r="H1484" s="161">
        <v>580</v>
      </c>
      <c r="I1484" s="161">
        <v>2</v>
      </c>
    </row>
    <row r="1485" spans="1:9">
      <c r="A1485" s="113">
        <v>100401189</v>
      </c>
      <c r="B1485" s="113" t="s">
        <v>4358</v>
      </c>
      <c r="C1485" s="113">
        <v>6054175</v>
      </c>
      <c r="D1485" s="113" t="s">
        <v>3093</v>
      </c>
      <c r="E1485" s="113" t="s">
        <v>1620</v>
      </c>
      <c r="F1485" s="113" t="s">
        <v>3093</v>
      </c>
      <c r="G1485" s="113" t="s">
        <v>3093</v>
      </c>
      <c r="H1485" s="161">
        <v>0</v>
      </c>
      <c r="I1485" s="161" t="s">
        <v>7138</v>
      </c>
    </row>
    <row r="1486" spans="1:9">
      <c r="A1486" s="113">
        <v>100401190</v>
      </c>
      <c r="B1486" s="113" t="s">
        <v>4359</v>
      </c>
      <c r="C1486" s="113">
        <v>6054176</v>
      </c>
      <c r="D1486" s="113" t="s">
        <v>3093</v>
      </c>
      <c r="E1486" s="113" t="s">
        <v>1620</v>
      </c>
      <c r="F1486" s="113" t="s">
        <v>3093</v>
      </c>
      <c r="G1486" s="113" t="s">
        <v>3093</v>
      </c>
      <c r="H1486" s="161">
        <v>5.5</v>
      </c>
      <c r="I1486" s="161">
        <v>4</v>
      </c>
    </row>
    <row r="1487" spans="1:9">
      <c r="A1487" s="113">
        <v>100401191</v>
      </c>
      <c r="B1487" s="113" t="s">
        <v>4360</v>
      </c>
      <c r="C1487" s="113">
        <v>6054178</v>
      </c>
      <c r="D1487" s="113" t="s">
        <v>3093</v>
      </c>
      <c r="E1487" s="113" t="s">
        <v>1620</v>
      </c>
      <c r="F1487" s="113" t="s">
        <v>3093</v>
      </c>
      <c r="G1487" s="113" t="s">
        <v>3093</v>
      </c>
      <c r="H1487" s="161">
        <v>20</v>
      </c>
      <c r="I1487" s="161">
        <v>2</v>
      </c>
    </row>
    <row r="1488" spans="1:9">
      <c r="A1488" s="113">
        <v>100401192</v>
      </c>
      <c r="B1488" s="113" t="s">
        <v>4361</v>
      </c>
      <c r="C1488" s="113">
        <v>6054179</v>
      </c>
      <c r="D1488" s="113" t="s">
        <v>3093</v>
      </c>
      <c r="E1488" s="113" t="s">
        <v>1620</v>
      </c>
      <c r="F1488" s="113" t="s">
        <v>3093</v>
      </c>
      <c r="G1488" s="113" t="s">
        <v>3093</v>
      </c>
      <c r="H1488" s="161">
        <v>20</v>
      </c>
      <c r="I1488" s="161">
        <v>2</v>
      </c>
    </row>
    <row r="1489" spans="1:9">
      <c r="A1489" s="113">
        <v>100401193</v>
      </c>
      <c r="B1489" s="113" t="s">
        <v>4362</v>
      </c>
      <c r="C1489" s="113">
        <v>6054180</v>
      </c>
      <c r="D1489" s="113" t="s">
        <v>3093</v>
      </c>
      <c r="E1489" s="113" t="s">
        <v>1620</v>
      </c>
      <c r="F1489" s="113" t="s">
        <v>3093</v>
      </c>
      <c r="G1489" s="113" t="s">
        <v>3093</v>
      </c>
      <c r="H1489" s="161">
        <v>1103</v>
      </c>
      <c r="I1489" s="161">
        <v>1</v>
      </c>
    </row>
    <row r="1490" spans="1:9">
      <c r="A1490" s="113">
        <v>100401194</v>
      </c>
      <c r="B1490" s="113" t="s">
        <v>4363</v>
      </c>
      <c r="C1490" s="113">
        <v>6054181</v>
      </c>
      <c r="D1490" s="113" t="s">
        <v>3093</v>
      </c>
      <c r="E1490" s="113" t="s">
        <v>1620</v>
      </c>
      <c r="F1490" s="113" t="s">
        <v>3093</v>
      </c>
      <c r="G1490" s="113" t="s">
        <v>3093</v>
      </c>
      <c r="H1490" s="161">
        <v>760.95</v>
      </c>
      <c r="I1490" s="161">
        <v>6</v>
      </c>
    </row>
    <row r="1491" spans="1:9">
      <c r="A1491" s="113">
        <v>100401195</v>
      </c>
      <c r="B1491" s="113" t="s">
        <v>4364</v>
      </c>
      <c r="C1491" s="113">
        <v>6054182</v>
      </c>
      <c r="D1491" s="113" t="s">
        <v>3093</v>
      </c>
      <c r="E1491" s="113" t="s">
        <v>1620</v>
      </c>
      <c r="F1491" s="113" t="s">
        <v>3093</v>
      </c>
      <c r="G1491" s="113" t="s">
        <v>3093</v>
      </c>
      <c r="H1491" s="161">
        <v>760.95</v>
      </c>
      <c r="I1491" s="161">
        <v>1</v>
      </c>
    </row>
    <row r="1492" spans="1:9">
      <c r="A1492" s="113">
        <v>100401196</v>
      </c>
      <c r="B1492" s="113" t="s">
        <v>4365</v>
      </c>
      <c r="C1492" s="113">
        <v>6054183</v>
      </c>
      <c r="D1492" s="113" t="s">
        <v>3093</v>
      </c>
      <c r="E1492" s="113" t="s">
        <v>1620</v>
      </c>
      <c r="F1492" s="113" t="s">
        <v>3093</v>
      </c>
      <c r="G1492" s="113" t="s">
        <v>3093</v>
      </c>
      <c r="H1492" s="161">
        <v>760.95</v>
      </c>
      <c r="I1492" s="161">
        <v>1</v>
      </c>
    </row>
    <row r="1493" spans="1:9">
      <c r="A1493" s="113">
        <v>100401197</v>
      </c>
      <c r="B1493" s="113" t="s">
        <v>4366</v>
      </c>
      <c r="C1493" s="113">
        <v>6054184</v>
      </c>
      <c r="D1493" s="113" t="s">
        <v>3093</v>
      </c>
      <c r="E1493" s="113" t="s">
        <v>1620</v>
      </c>
      <c r="F1493" s="113" t="s">
        <v>3093</v>
      </c>
      <c r="G1493" s="113" t="s">
        <v>3093</v>
      </c>
      <c r="H1493" s="161">
        <v>0</v>
      </c>
      <c r="I1493" s="161" t="s">
        <v>7138</v>
      </c>
    </row>
    <row r="1494" spans="1:9">
      <c r="A1494" s="113">
        <v>100401198</v>
      </c>
      <c r="B1494" s="113" t="s">
        <v>4367</v>
      </c>
      <c r="C1494" s="113">
        <v>6054186</v>
      </c>
      <c r="D1494" s="113" t="s">
        <v>3093</v>
      </c>
      <c r="E1494" s="113" t="s">
        <v>1620</v>
      </c>
      <c r="F1494" s="113" t="s">
        <v>3093</v>
      </c>
      <c r="G1494" s="113" t="s">
        <v>3093</v>
      </c>
      <c r="H1494" s="161">
        <v>0</v>
      </c>
      <c r="I1494" s="161" t="s">
        <v>7138</v>
      </c>
    </row>
    <row r="1495" spans="1:9">
      <c r="A1495" s="113">
        <v>100401199</v>
      </c>
      <c r="B1495" s="113" t="s">
        <v>4368</v>
      </c>
      <c r="C1495" s="113">
        <v>6054187</v>
      </c>
      <c r="D1495" s="113" t="s">
        <v>3093</v>
      </c>
      <c r="E1495" s="113" t="s">
        <v>1620</v>
      </c>
      <c r="F1495" s="113" t="s">
        <v>3093</v>
      </c>
      <c r="G1495" s="113" t="s">
        <v>3093</v>
      </c>
      <c r="H1495" s="161">
        <v>0</v>
      </c>
      <c r="I1495" s="161" t="s">
        <v>7138</v>
      </c>
    </row>
    <row r="1496" spans="1:9">
      <c r="A1496" s="113">
        <v>100401200</v>
      </c>
      <c r="B1496" s="113" t="s">
        <v>4369</v>
      </c>
      <c r="C1496" s="113">
        <v>6054188</v>
      </c>
      <c r="D1496" s="113" t="s">
        <v>3093</v>
      </c>
      <c r="E1496" s="113" t="s">
        <v>1620</v>
      </c>
      <c r="F1496" s="113" t="s">
        <v>3093</v>
      </c>
      <c r="G1496" s="113" t="s">
        <v>3093</v>
      </c>
      <c r="H1496" s="161">
        <v>0</v>
      </c>
      <c r="I1496" s="161" t="s">
        <v>7138</v>
      </c>
    </row>
    <row r="1497" spans="1:9">
      <c r="A1497" s="113">
        <v>100401201</v>
      </c>
      <c r="B1497" s="113" t="s">
        <v>4370</v>
      </c>
      <c r="C1497" s="113">
        <v>6054189</v>
      </c>
      <c r="D1497" s="113" t="s">
        <v>3093</v>
      </c>
      <c r="E1497" s="113" t="s">
        <v>1620</v>
      </c>
      <c r="F1497" s="113" t="s">
        <v>3093</v>
      </c>
      <c r="G1497" s="113" t="s">
        <v>3093</v>
      </c>
      <c r="H1497" s="161">
        <v>0</v>
      </c>
      <c r="I1497" s="161" t="s">
        <v>7138</v>
      </c>
    </row>
    <row r="1498" spans="1:9">
      <c r="A1498" s="113">
        <v>100401202</v>
      </c>
      <c r="B1498" s="113" t="s">
        <v>4371</v>
      </c>
      <c r="C1498" s="113">
        <v>6054190</v>
      </c>
      <c r="D1498" s="113" t="s">
        <v>3093</v>
      </c>
      <c r="E1498" s="113" t="s">
        <v>1620</v>
      </c>
      <c r="F1498" s="113" t="s">
        <v>3093</v>
      </c>
      <c r="G1498" s="113" t="s">
        <v>3093</v>
      </c>
      <c r="H1498" s="161">
        <v>294.89</v>
      </c>
      <c r="I1498" s="161">
        <v>2</v>
      </c>
    </row>
    <row r="1499" spans="1:9">
      <c r="A1499" s="113">
        <v>100401203</v>
      </c>
      <c r="B1499" s="113" t="s">
        <v>4372</v>
      </c>
      <c r="C1499" s="113">
        <v>6054191</v>
      </c>
      <c r="D1499" s="113" t="s">
        <v>3093</v>
      </c>
      <c r="E1499" s="113" t="s">
        <v>1620</v>
      </c>
      <c r="F1499" s="113" t="s">
        <v>3093</v>
      </c>
      <c r="G1499" s="113" t="s">
        <v>3093</v>
      </c>
      <c r="H1499" s="161">
        <v>0</v>
      </c>
      <c r="I1499" s="161" t="s">
        <v>7138</v>
      </c>
    </row>
    <row r="1500" spans="1:9">
      <c r="A1500" s="113">
        <v>100401204</v>
      </c>
      <c r="B1500" s="113" t="s">
        <v>4373</v>
      </c>
      <c r="C1500" s="113">
        <v>6054192</v>
      </c>
      <c r="D1500" s="113" t="s">
        <v>3093</v>
      </c>
      <c r="E1500" s="113" t="s">
        <v>1620</v>
      </c>
      <c r="F1500" s="113" t="s">
        <v>3093</v>
      </c>
      <c r="G1500" s="113" t="s">
        <v>3093</v>
      </c>
      <c r="H1500" s="161">
        <v>0</v>
      </c>
      <c r="I1500" s="161" t="s">
        <v>7138</v>
      </c>
    </row>
    <row r="1501" spans="1:9">
      <c r="A1501" s="113">
        <v>100401205</v>
      </c>
      <c r="B1501" s="113" t="s">
        <v>4374</v>
      </c>
      <c r="C1501" s="113">
        <v>6054193</v>
      </c>
      <c r="D1501" s="113" t="s">
        <v>3093</v>
      </c>
      <c r="E1501" s="113" t="s">
        <v>1620</v>
      </c>
      <c r="F1501" s="113" t="s">
        <v>3093</v>
      </c>
      <c r="G1501" s="113" t="s">
        <v>3093</v>
      </c>
      <c r="H1501" s="161">
        <v>0</v>
      </c>
      <c r="I1501" s="161" t="s">
        <v>7138</v>
      </c>
    </row>
    <row r="1502" spans="1:9">
      <c r="A1502" s="113">
        <v>100401206</v>
      </c>
      <c r="B1502" s="113" t="s">
        <v>4375</v>
      </c>
      <c r="C1502" s="113">
        <v>6054194</v>
      </c>
      <c r="D1502" s="113" t="s">
        <v>3093</v>
      </c>
      <c r="E1502" s="113" t="s">
        <v>1620</v>
      </c>
      <c r="F1502" s="113" t="s">
        <v>3093</v>
      </c>
      <c r="G1502" s="113" t="s">
        <v>3093</v>
      </c>
      <c r="H1502" s="161">
        <v>0</v>
      </c>
      <c r="I1502" s="161" t="s">
        <v>7138</v>
      </c>
    </row>
    <row r="1503" spans="1:9">
      <c r="A1503" s="113">
        <v>100401207</v>
      </c>
      <c r="B1503" s="113" t="s">
        <v>4376</v>
      </c>
      <c r="C1503" s="113">
        <v>6054195</v>
      </c>
      <c r="D1503" s="113" t="s">
        <v>3093</v>
      </c>
      <c r="E1503" s="113" t="s">
        <v>1620</v>
      </c>
      <c r="F1503" s="113" t="s">
        <v>3093</v>
      </c>
      <c r="G1503" s="113" t="s">
        <v>3093</v>
      </c>
      <c r="H1503" s="161">
        <v>0</v>
      </c>
      <c r="I1503" s="161" t="s">
        <v>7138</v>
      </c>
    </row>
    <row r="1504" spans="1:9">
      <c r="A1504" s="113">
        <v>100401208</v>
      </c>
      <c r="B1504" s="113" t="s">
        <v>4377</v>
      </c>
      <c r="C1504" s="113">
        <v>6054196</v>
      </c>
      <c r="D1504" s="113" t="s">
        <v>3093</v>
      </c>
      <c r="E1504" s="113" t="s">
        <v>1620</v>
      </c>
      <c r="F1504" s="113" t="s">
        <v>3093</v>
      </c>
      <c r="G1504" s="113" t="s">
        <v>3093</v>
      </c>
      <c r="H1504" s="161">
        <v>0</v>
      </c>
      <c r="I1504" s="161" t="s">
        <v>7138</v>
      </c>
    </row>
    <row r="1505" spans="1:9">
      <c r="A1505" s="113">
        <v>100401209</v>
      </c>
      <c r="B1505" s="113" t="s">
        <v>4378</v>
      </c>
      <c r="C1505" s="113">
        <v>6054197</v>
      </c>
      <c r="D1505" s="113" t="s">
        <v>3093</v>
      </c>
      <c r="E1505" s="113" t="s">
        <v>1620</v>
      </c>
      <c r="F1505" s="113" t="s">
        <v>3093</v>
      </c>
      <c r="G1505" s="113" t="s">
        <v>3093</v>
      </c>
      <c r="H1505" s="161">
        <v>0</v>
      </c>
      <c r="I1505" s="161" t="s">
        <v>7138</v>
      </c>
    </row>
    <row r="1506" spans="1:9">
      <c r="A1506" s="113">
        <v>100401210</v>
      </c>
      <c r="B1506" s="113" t="s">
        <v>4379</v>
      </c>
      <c r="C1506" s="113">
        <v>6054198</v>
      </c>
      <c r="D1506" s="113" t="s">
        <v>3093</v>
      </c>
      <c r="E1506" s="113" t="s">
        <v>1620</v>
      </c>
      <c r="F1506" s="113" t="s">
        <v>3093</v>
      </c>
      <c r="G1506" s="113" t="s">
        <v>3093</v>
      </c>
      <c r="H1506" s="161">
        <v>0</v>
      </c>
      <c r="I1506" s="161" t="s">
        <v>7138</v>
      </c>
    </row>
    <row r="1507" spans="1:9">
      <c r="A1507" s="113">
        <v>100401211</v>
      </c>
      <c r="B1507" s="113" t="s">
        <v>4380</v>
      </c>
      <c r="C1507" s="113">
        <v>6054199</v>
      </c>
      <c r="D1507" s="113" t="s">
        <v>3093</v>
      </c>
      <c r="E1507" s="113" t="s">
        <v>1620</v>
      </c>
      <c r="F1507" s="113" t="s">
        <v>3093</v>
      </c>
      <c r="G1507" s="113" t="s">
        <v>3093</v>
      </c>
      <c r="H1507" s="161">
        <v>0</v>
      </c>
      <c r="I1507" s="161" t="s">
        <v>7138</v>
      </c>
    </row>
    <row r="1508" spans="1:9">
      <c r="A1508" s="113">
        <v>100401212</v>
      </c>
      <c r="B1508" s="113" t="s">
        <v>4381</v>
      </c>
      <c r="C1508" s="113">
        <v>6054200</v>
      </c>
      <c r="D1508" s="113" t="s">
        <v>3093</v>
      </c>
      <c r="E1508" s="113" t="s">
        <v>1620</v>
      </c>
      <c r="F1508" s="113" t="s">
        <v>3093</v>
      </c>
      <c r="G1508" s="113" t="s">
        <v>3093</v>
      </c>
      <c r="H1508" s="161">
        <v>0</v>
      </c>
      <c r="I1508" s="161" t="s">
        <v>7138</v>
      </c>
    </row>
    <row r="1509" spans="1:9">
      <c r="A1509" s="113">
        <v>100401213</v>
      </c>
      <c r="B1509" s="113" t="s">
        <v>4382</v>
      </c>
      <c r="C1509" s="113">
        <v>6054201</v>
      </c>
      <c r="D1509" s="113" t="s">
        <v>3093</v>
      </c>
      <c r="E1509" s="113" t="s">
        <v>1620</v>
      </c>
      <c r="F1509" s="113" t="s">
        <v>3093</v>
      </c>
      <c r="G1509" s="113" t="s">
        <v>3093</v>
      </c>
      <c r="H1509" s="161">
        <v>0</v>
      </c>
      <c r="I1509" s="161" t="s">
        <v>7138</v>
      </c>
    </row>
    <row r="1510" spans="1:9">
      <c r="A1510" s="113">
        <v>100401214</v>
      </c>
      <c r="B1510" s="113" t="s">
        <v>4383</v>
      </c>
      <c r="C1510" s="113">
        <v>6054202</v>
      </c>
      <c r="D1510" s="113" t="s">
        <v>3093</v>
      </c>
      <c r="E1510" s="113" t="s">
        <v>1620</v>
      </c>
      <c r="F1510" s="113" t="s">
        <v>3093</v>
      </c>
      <c r="G1510" s="113" t="s">
        <v>3093</v>
      </c>
      <c r="H1510" s="161">
        <v>0</v>
      </c>
      <c r="I1510" s="161" t="s">
        <v>7138</v>
      </c>
    </row>
    <row r="1511" spans="1:9">
      <c r="A1511" s="113">
        <v>100401215</v>
      </c>
      <c r="B1511" s="113" t="s">
        <v>4384</v>
      </c>
      <c r="C1511" s="113">
        <v>6054203</v>
      </c>
      <c r="D1511" s="113" t="s">
        <v>3093</v>
      </c>
      <c r="E1511" s="113" t="s">
        <v>1620</v>
      </c>
      <c r="F1511" s="113" t="s">
        <v>3093</v>
      </c>
      <c r="G1511" s="113" t="s">
        <v>3093</v>
      </c>
      <c r="H1511" s="161">
        <v>0</v>
      </c>
      <c r="I1511" s="161" t="s">
        <v>7138</v>
      </c>
    </row>
    <row r="1512" spans="1:9">
      <c r="A1512" s="113">
        <v>100401216</v>
      </c>
      <c r="B1512" s="113" t="s">
        <v>4385</v>
      </c>
      <c r="C1512" s="113">
        <v>6054205</v>
      </c>
      <c r="D1512" s="113" t="s">
        <v>3093</v>
      </c>
      <c r="E1512" s="113" t="s">
        <v>1620</v>
      </c>
      <c r="F1512" s="113" t="s">
        <v>3093</v>
      </c>
      <c r="G1512" s="113" t="s">
        <v>3093</v>
      </c>
      <c r="H1512" s="161">
        <v>136.07</v>
      </c>
      <c r="I1512" s="161">
        <v>3</v>
      </c>
    </row>
    <row r="1513" spans="1:9">
      <c r="A1513" s="113">
        <v>100401217</v>
      </c>
      <c r="B1513" s="113" t="s">
        <v>4386</v>
      </c>
      <c r="C1513" s="113">
        <v>6054206</v>
      </c>
      <c r="D1513" s="113" t="s">
        <v>3093</v>
      </c>
      <c r="E1513" s="113" t="s">
        <v>1620</v>
      </c>
      <c r="F1513" s="113" t="s">
        <v>3093</v>
      </c>
      <c r="G1513" s="113" t="s">
        <v>3093</v>
      </c>
      <c r="H1513" s="161">
        <v>148.55000000000001</v>
      </c>
      <c r="I1513" s="161">
        <v>3</v>
      </c>
    </row>
    <row r="1514" spans="1:9">
      <c r="A1514" s="113">
        <v>100401218</v>
      </c>
      <c r="B1514" s="113" t="s">
        <v>4387</v>
      </c>
      <c r="C1514" s="113">
        <v>6054214</v>
      </c>
      <c r="D1514" s="113" t="s">
        <v>3093</v>
      </c>
      <c r="E1514" s="113" t="s">
        <v>1620</v>
      </c>
      <c r="F1514" s="113" t="s">
        <v>3093</v>
      </c>
      <c r="G1514" s="113" t="s">
        <v>3093</v>
      </c>
      <c r="H1514" s="161">
        <v>0</v>
      </c>
      <c r="I1514" s="161" t="s">
        <v>7138</v>
      </c>
    </row>
    <row r="1515" spans="1:9">
      <c r="A1515" s="113">
        <v>100401219</v>
      </c>
      <c r="B1515" s="113" t="s">
        <v>4388</v>
      </c>
      <c r="C1515" s="113">
        <v>6054215</v>
      </c>
      <c r="D1515" s="113" t="s">
        <v>3093</v>
      </c>
      <c r="E1515" s="113" t="s">
        <v>1620</v>
      </c>
      <c r="F1515" s="113" t="s">
        <v>3093</v>
      </c>
      <c r="G1515" s="113" t="s">
        <v>3093</v>
      </c>
      <c r="H1515" s="161">
        <v>0</v>
      </c>
      <c r="I1515" s="161" t="s">
        <v>7138</v>
      </c>
    </row>
    <row r="1516" spans="1:9">
      <c r="A1516" s="113">
        <v>100401220</v>
      </c>
      <c r="B1516" s="113" t="s">
        <v>4389</v>
      </c>
      <c r="C1516" s="113">
        <v>6054216</v>
      </c>
      <c r="D1516" s="113" t="s">
        <v>3093</v>
      </c>
      <c r="E1516" s="113" t="s">
        <v>1620</v>
      </c>
      <c r="F1516" s="113" t="s">
        <v>3093</v>
      </c>
      <c r="G1516" s="113" t="s">
        <v>3093</v>
      </c>
      <c r="H1516" s="161">
        <v>0</v>
      </c>
      <c r="I1516" s="161" t="s">
        <v>7138</v>
      </c>
    </row>
    <row r="1517" spans="1:9">
      <c r="A1517" s="113">
        <v>100401221</v>
      </c>
      <c r="B1517" s="113" t="s">
        <v>4390</v>
      </c>
      <c r="C1517" s="113">
        <v>6054217</v>
      </c>
      <c r="D1517" s="113" t="s">
        <v>3093</v>
      </c>
      <c r="E1517" s="113" t="s">
        <v>1620</v>
      </c>
      <c r="F1517" s="113" t="s">
        <v>3093</v>
      </c>
      <c r="G1517" s="113" t="s">
        <v>3093</v>
      </c>
      <c r="H1517" s="161">
        <v>0</v>
      </c>
      <c r="I1517" s="161" t="s">
        <v>7138</v>
      </c>
    </row>
    <row r="1518" spans="1:9">
      <c r="A1518" s="113">
        <v>100401222</v>
      </c>
      <c r="B1518" s="113" t="s">
        <v>4391</v>
      </c>
      <c r="C1518" s="113">
        <v>6054218</v>
      </c>
      <c r="D1518" s="113" t="s">
        <v>3093</v>
      </c>
      <c r="E1518" s="113" t="s">
        <v>1620</v>
      </c>
      <c r="F1518" s="113" t="s">
        <v>3093</v>
      </c>
      <c r="G1518" s="113" t="s">
        <v>3093</v>
      </c>
      <c r="H1518" s="161">
        <v>271.33</v>
      </c>
      <c r="I1518" s="161">
        <v>2</v>
      </c>
    </row>
    <row r="1519" spans="1:9">
      <c r="A1519" s="113">
        <v>100401223</v>
      </c>
      <c r="B1519" s="113" t="s">
        <v>4392</v>
      </c>
      <c r="C1519" s="113">
        <v>6054219</v>
      </c>
      <c r="D1519" s="113" t="s">
        <v>3093</v>
      </c>
      <c r="E1519" s="113" t="s">
        <v>1620</v>
      </c>
      <c r="F1519" s="113" t="s">
        <v>3093</v>
      </c>
      <c r="G1519" s="113" t="s">
        <v>3093</v>
      </c>
      <c r="H1519" s="161">
        <v>0</v>
      </c>
      <c r="I1519" s="161" t="s">
        <v>7138</v>
      </c>
    </row>
    <row r="1520" spans="1:9">
      <c r="A1520" s="113">
        <v>100401224</v>
      </c>
      <c r="B1520" s="113" t="s">
        <v>4393</v>
      </c>
      <c r="C1520" s="113">
        <v>6054220</v>
      </c>
      <c r="D1520" s="113" t="s">
        <v>3093</v>
      </c>
      <c r="E1520" s="113" t="s">
        <v>1620</v>
      </c>
      <c r="F1520" s="113" t="s">
        <v>3093</v>
      </c>
      <c r="G1520" s="113" t="s">
        <v>3093</v>
      </c>
      <c r="H1520" s="161">
        <v>0</v>
      </c>
      <c r="I1520" s="161" t="s">
        <v>7138</v>
      </c>
    </row>
    <row r="1521" spans="1:9">
      <c r="A1521" s="113">
        <v>100401225</v>
      </c>
      <c r="B1521" s="113" t="s">
        <v>4394</v>
      </c>
      <c r="C1521" s="113">
        <v>6054221</v>
      </c>
      <c r="D1521" s="113" t="s">
        <v>3093</v>
      </c>
      <c r="E1521" s="113" t="s">
        <v>1620</v>
      </c>
      <c r="F1521" s="113" t="s">
        <v>3093</v>
      </c>
      <c r="G1521" s="113" t="s">
        <v>3093</v>
      </c>
      <c r="H1521" s="161">
        <v>271.33</v>
      </c>
      <c r="I1521" s="161">
        <v>11</v>
      </c>
    </row>
    <row r="1522" spans="1:9">
      <c r="A1522" s="113">
        <v>100401226</v>
      </c>
      <c r="B1522" s="113" t="s">
        <v>4395</v>
      </c>
      <c r="C1522" s="113">
        <v>6054222</v>
      </c>
      <c r="D1522" s="113" t="s">
        <v>3093</v>
      </c>
      <c r="E1522" s="113" t="s">
        <v>1620</v>
      </c>
      <c r="F1522" s="113" t="s">
        <v>3093</v>
      </c>
      <c r="G1522" s="113" t="s">
        <v>3093</v>
      </c>
      <c r="H1522" s="161">
        <v>0</v>
      </c>
      <c r="I1522" s="161" t="s">
        <v>7138</v>
      </c>
    </row>
    <row r="1523" spans="1:9">
      <c r="A1523" s="113">
        <v>100401227</v>
      </c>
      <c r="B1523" s="113" t="s">
        <v>4396</v>
      </c>
      <c r="C1523" s="113">
        <v>6054223</v>
      </c>
      <c r="D1523" s="113" t="s">
        <v>3093</v>
      </c>
      <c r="E1523" s="113" t="s">
        <v>1620</v>
      </c>
      <c r="F1523" s="113" t="s">
        <v>3093</v>
      </c>
      <c r="G1523" s="113" t="s">
        <v>3093</v>
      </c>
      <c r="H1523" s="161">
        <v>0</v>
      </c>
      <c r="I1523" s="161" t="s">
        <v>7138</v>
      </c>
    </row>
    <row r="1524" spans="1:9">
      <c r="A1524" s="113">
        <v>100401228</v>
      </c>
      <c r="B1524" s="113" t="s">
        <v>4397</v>
      </c>
      <c r="C1524" s="113">
        <v>6054224</v>
      </c>
      <c r="D1524" s="113" t="s">
        <v>3093</v>
      </c>
      <c r="E1524" s="113" t="s">
        <v>1620</v>
      </c>
      <c r="F1524" s="113" t="s">
        <v>3093</v>
      </c>
      <c r="G1524" s="113" t="s">
        <v>3093</v>
      </c>
      <c r="H1524" s="161">
        <v>1045</v>
      </c>
      <c r="I1524" s="161">
        <v>7</v>
      </c>
    </row>
    <row r="1525" spans="1:9">
      <c r="A1525" s="113">
        <v>100401229</v>
      </c>
      <c r="B1525" s="113" t="s">
        <v>4398</v>
      </c>
      <c r="C1525" s="113">
        <v>6054225</v>
      </c>
      <c r="D1525" s="113" t="s">
        <v>3093</v>
      </c>
      <c r="E1525" s="113" t="s">
        <v>1620</v>
      </c>
      <c r="F1525" s="113" t="s">
        <v>3093</v>
      </c>
      <c r="G1525" s="113" t="s">
        <v>3093</v>
      </c>
      <c r="H1525" s="161">
        <v>342.77</v>
      </c>
      <c r="I1525" s="161">
        <v>2</v>
      </c>
    </row>
    <row r="1526" spans="1:9">
      <c r="A1526" s="113">
        <v>100401230</v>
      </c>
      <c r="B1526" s="113" t="s">
        <v>4399</v>
      </c>
      <c r="C1526" s="113">
        <v>6054228</v>
      </c>
      <c r="D1526" s="113" t="s">
        <v>3093</v>
      </c>
      <c r="E1526" s="113" t="s">
        <v>1620</v>
      </c>
      <c r="F1526" s="113" t="s">
        <v>3093</v>
      </c>
      <c r="G1526" s="113" t="s">
        <v>3093</v>
      </c>
      <c r="H1526" s="161">
        <v>0</v>
      </c>
      <c r="I1526" s="161" t="s">
        <v>7138</v>
      </c>
    </row>
    <row r="1527" spans="1:9">
      <c r="A1527" s="113">
        <v>100401231</v>
      </c>
      <c r="B1527" s="113" t="s">
        <v>4400</v>
      </c>
      <c r="C1527" s="113">
        <v>6054229</v>
      </c>
      <c r="D1527" s="113" t="s">
        <v>3093</v>
      </c>
      <c r="E1527" s="113" t="s">
        <v>1620</v>
      </c>
      <c r="F1527" s="113" t="s">
        <v>3093</v>
      </c>
      <c r="G1527" s="113" t="s">
        <v>3093</v>
      </c>
      <c r="H1527" s="161">
        <v>0</v>
      </c>
      <c r="I1527" s="161" t="s">
        <v>7138</v>
      </c>
    </row>
    <row r="1528" spans="1:9">
      <c r="A1528" s="113">
        <v>100401232</v>
      </c>
      <c r="B1528" s="113" t="s">
        <v>4401</v>
      </c>
      <c r="C1528" s="113">
        <v>6054230</v>
      </c>
      <c r="D1528" s="113" t="s">
        <v>3093</v>
      </c>
      <c r="E1528" s="113" t="s">
        <v>1620</v>
      </c>
      <c r="F1528" s="113" t="s">
        <v>3093</v>
      </c>
      <c r="G1528" s="113" t="s">
        <v>3093</v>
      </c>
      <c r="H1528" s="161">
        <v>0</v>
      </c>
      <c r="I1528" s="161" t="s">
        <v>7138</v>
      </c>
    </row>
    <row r="1529" spans="1:9">
      <c r="A1529" s="113">
        <v>100401233</v>
      </c>
      <c r="B1529" s="113" t="s">
        <v>4402</v>
      </c>
      <c r="C1529" s="113">
        <v>6054231</v>
      </c>
      <c r="D1529" s="113" t="s">
        <v>3093</v>
      </c>
      <c r="E1529" s="113" t="s">
        <v>1620</v>
      </c>
      <c r="F1529" s="113" t="s">
        <v>3093</v>
      </c>
      <c r="G1529" s="113" t="s">
        <v>3093</v>
      </c>
      <c r="H1529" s="161">
        <v>0</v>
      </c>
      <c r="I1529" s="161" t="s">
        <v>7138</v>
      </c>
    </row>
    <row r="1530" spans="1:9">
      <c r="A1530" s="113">
        <v>100401234</v>
      </c>
      <c r="B1530" s="113" t="s">
        <v>4403</v>
      </c>
      <c r="C1530" s="113">
        <v>6054232</v>
      </c>
      <c r="D1530" s="113" t="s">
        <v>3093</v>
      </c>
      <c r="E1530" s="113" t="s">
        <v>1620</v>
      </c>
      <c r="F1530" s="113" t="s">
        <v>3093</v>
      </c>
      <c r="G1530" s="113" t="s">
        <v>3093</v>
      </c>
      <c r="H1530" s="161">
        <v>0</v>
      </c>
      <c r="I1530" s="161" t="s">
        <v>7138</v>
      </c>
    </row>
    <row r="1531" spans="1:9">
      <c r="A1531" s="113">
        <v>100401235</v>
      </c>
      <c r="B1531" s="113" t="s">
        <v>4404</v>
      </c>
      <c r="C1531" s="113">
        <v>6054233</v>
      </c>
      <c r="D1531" s="113" t="s">
        <v>3093</v>
      </c>
      <c r="E1531" s="113" t="s">
        <v>1620</v>
      </c>
      <c r="F1531" s="113" t="s">
        <v>3093</v>
      </c>
      <c r="G1531" s="113" t="s">
        <v>3093</v>
      </c>
      <c r="H1531" s="161">
        <v>0</v>
      </c>
      <c r="I1531" s="161" t="s">
        <v>7138</v>
      </c>
    </row>
    <row r="1532" spans="1:9">
      <c r="A1532" s="113">
        <v>100401236</v>
      </c>
      <c r="B1532" s="113" t="s">
        <v>4405</v>
      </c>
      <c r="C1532" s="113">
        <v>6054234</v>
      </c>
      <c r="D1532" s="113" t="s">
        <v>3093</v>
      </c>
      <c r="E1532" s="113" t="s">
        <v>1620</v>
      </c>
      <c r="F1532" s="113" t="s">
        <v>3093</v>
      </c>
      <c r="G1532" s="113" t="s">
        <v>3093</v>
      </c>
      <c r="H1532" s="161">
        <v>0</v>
      </c>
      <c r="I1532" s="161" t="s">
        <v>7138</v>
      </c>
    </row>
    <row r="1533" spans="1:9">
      <c r="A1533" s="113">
        <v>100401237</v>
      </c>
      <c r="B1533" s="113" t="s">
        <v>4406</v>
      </c>
      <c r="C1533" s="113">
        <v>6054235</v>
      </c>
      <c r="D1533" s="113" t="s">
        <v>3093</v>
      </c>
      <c r="E1533" s="113" t="s">
        <v>1620</v>
      </c>
      <c r="F1533" s="113" t="s">
        <v>3093</v>
      </c>
      <c r="G1533" s="113" t="s">
        <v>3093</v>
      </c>
      <c r="H1533" s="161">
        <v>0</v>
      </c>
      <c r="I1533" s="161" t="s">
        <v>7138</v>
      </c>
    </row>
    <row r="1534" spans="1:9">
      <c r="A1534" s="113">
        <v>100401238</v>
      </c>
      <c r="B1534" s="113" t="s">
        <v>4407</v>
      </c>
      <c r="C1534" s="113">
        <v>6054236</v>
      </c>
      <c r="D1534" s="113" t="s">
        <v>3093</v>
      </c>
      <c r="E1534" s="113" t="s">
        <v>1620</v>
      </c>
      <c r="F1534" s="113" t="s">
        <v>3093</v>
      </c>
      <c r="G1534" s="113" t="s">
        <v>3093</v>
      </c>
      <c r="H1534" s="161">
        <v>0</v>
      </c>
      <c r="I1534" s="161" t="s">
        <v>7138</v>
      </c>
    </row>
    <row r="1535" spans="1:9">
      <c r="A1535" s="113">
        <v>100401239</v>
      </c>
      <c r="B1535" s="113" t="s">
        <v>4408</v>
      </c>
      <c r="C1535" s="113">
        <v>6054237</v>
      </c>
      <c r="D1535" s="113" t="s">
        <v>3093</v>
      </c>
      <c r="E1535" s="113" t="s">
        <v>1620</v>
      </c>
      <c r="F1535" s="113" t="s">
        <v>3093</v>
      </c>
      <c r="G1535" s="113" t="s">
        <v>3093</v>
      </c>
      <c r="H1535" s="161">
        <v>0</v>
      </c>
      <c r="I1535" s="161" t="s">
        <v>7138</v>
      </c>
    </row>
    <row r="1536" spans="1:9">
      <c r="A1536" s="113">
        <v>100401240</v>
      </c>
      <c r="B1536" s="113" t="s">
        <v>4409</v>
      </c>
      <c r="C1536" s="113">
        <v>6054238</v>
      </c>
      <c r="D1536" s="113" t="s">
        <v>3093</v>
      </c>
      <c r="E1536" s="113" t="s">
        <v>1620</v>
      </c>
      <c r="F1536" s="113" t="s">
        <v>3093</v>
      </c>
      <c r="G1536" s="113" t="s">
        <v>3093</v>
      </c>
      <c r="H1536" s="161">
        <v>0</v>
      </c>
      <c r="I1536" s="161" t="s">
        <v>7138</v>
      </c>
    </row>
    <row r="1537" spans="1:9">
      <c r="A1537" s="113">
        <v>100401241</v>
      </c>
      <c r="B1537" s="113" t="s">
        <v>4410</v>
      </c>
      <c r="C1537" s="113">
        <v>6054239</v>
      </c>
      <c r="D1537" s="113" t="s">
        <v>3093</v>
      </c>
      <c r="E1537" s="113" t="s">
        <v>1620</v>
      </c>
      <c r="F1537" s="113" t="s">
        <v>3093</v>
      </c>
      <c r="G1537" s="113" t="s">
        <v>3093</v>
      </c>
      <c r="H1537" s="161">
        <v>0</v>
      </c>
      <c r="I1537" s="161" t="s">
        <v>7138</v>
      </c>
    </row>
    <row r="1538" spans="1:9">
      <c r="A1538" s="113">
        <v>100401242</v>
      </c>
      <c r="B1538" s="113" t="s">
        <v>4411</v>
      </c>
      <c r="C1538" s="113">
        <v>6054240</v>
      </c>
      <c r="D1538" s="113" t="s">
        <v>3093</v>
      </c>
      <c r="E1538" s="113" t="s">
        <v>1620</v>
      </c>
      <c r="F1538" s="113" t="s">
        <v>3093</v>
      </c>
      <c r="G1538" s="113" t="s">
        <v>3093</v>
      </c>
      <c r="H1538" s="161">
        <v>0</v>
      </c>
      <c r="I1538" s="161" t="s">
        <v>7138</v>
      </c>
    </row>
    <row r="1539" spans="1:9">
      <c r="A1539" s="113">
        <v>100401243</v>
      </c>
      <c r="B1539" s="113" t="s">
        <v>4412</v>
      </c>
      <c r="C1539" s="113">
        <v>6054241</v>
      </c>
      <c r="D1539" s="113" t="s">
        <v>3093</v>
      </c>
      <c r="E1539" s="113" t="s">
        <v>1620</v>
      </c>
      <c r="F1539" s="113" t="s">
        <v>3093</v>
      </c>
      <c r="G1539" s="113" t="s">
        <v>3093</v>
      </c>
      <c r="H1539" s="161">
        <v>373.88</v>
      </c>
      <c r="I1539" s="161">
        <v>2</v>
      </c>
    </row>
    <row r="1540" spans="1:9">
      <c r="A1540" s="113">
        <v>100401244</v>
      </c>
      <c r="B1540" s="113" t="s">
        <v>4413</v>
      </c>
      <c r="C1540" s="113">
        <v>6054242</v>
      </c>
      <c r="D1540" s="113" t="s">
        <v>3093</v>
      </c>
      <c r="E1540" s="113" t="s">
        <v>1620</v>
      </c>
      <c r="F1540" s="113" t="s">
        <v>3093</v>
      </c>
      <c r="G1540" s="113" t="s">
        <v>3093</v>
      </c>
      <c r="H1540" s="161">
        <v>0</v>
      </c>
      <c r="I1540" s="161" t="s">
        <v>7138</v>
      </c>
    </row>
    <row r="1541" spans="1:9">
      <c r="A1541" s="113">
        <v>100401245</v>
      </c>
      <c r="B1541" s="113" t="s">
        <v>4414</v>
      </c>
      <c r="C1541" s="113">
        <v>6054243</v>
      </c>
      <c r="D1541" s="113" t="s">
        <v>3093</v>
      </c>
      <c r="E1541" s="113" t="s">
        <v>1620</v>
      </c>
      <c r="F1541" s="113" t="s">
        <v>3093</v>
      </c>
      <c r="G1541" s="113" t="s">
        <v>3093</v>
      </c>
      <c r="H1541" s="161">
        <v>373.88</v>
      </c>
      <c r="I1541" s="161">
        <v>2</v>
      </c>
    </row>
    <row r="1542" spans="1:9">
      <c r="A1542" s="113">
        <v>100401246</v>
      </c>
      <c r="B1542" s="113" t="s">
        <v>4415</v>
      </c>
      <c r="C1542" s="113">
        <v>6054244</v>
      </c>
      <c r="D1542" s="113" t="s">
        <v>3093</v>
      </c>
      <c r="E1542" s="113" t="s">
        <v>1620</v>
      </c>
      <c r="F1542" s="113" t="s">
        <v>3093</v>
      </c>
      <c r="G1542" s="113" t="s">
        <v>3093</v>
      </c>
      <c r="H1542" s="161">
        <v>0</v>
      </c>
      <c r="I1542" s="161" t="s">
        <v>7138</v>
      </c>
    </row>
    <row r="1543" spans="1:9">
      <c r="A1543" s="113">
        <v>100401247</v>
      </c>
      <c r="B1543" s="113" t="s">
        <v>4416</v>
      </c>
      <c r="C1543" s="113">
        <v>6054245</v>
      </c>
      <c r="D1543" s="113" t="s">
        <v>3093</v>
      </c>
      <c r="E1543" s="113" t="s">
        <v>1620</v>
      </c>
      <c r="F1543" s="113" t="s">
        <v>3093</v>
      </c>
      <c r="G1543" s="113" t="s">
        <v>3093</v>
      </c>
      <c r="H1543" s="161">
        <v>0</v>
      </c>
      <c r="I1543" s="161" t="s">
        <v>7138</v>
      </c>
    </row>
    <row r="1544" spans="1:9">
      <c r="A1544" s="113">
        <v>100401248</v>
      </c>
      <c r="B1544" s="113" t="s">
        <v>4417</v>
      </c>
      <c r="C1544" s="113">
        <v>6054246</v>
      </c>
      <c r="D1544" s="113" t="s">
        <v>3093</v>
      </c>
      <c r="E1544" s="113" t="s">
        <v>1620</v>
      </c>
      <c r="F1544" s="113" t="s">
        <v>3093</v>
      </c>
      <c r="G1544" s="113" t="s">
        <v>3093</v>
      </c>
      <c r="H1544" s="161">
        <v>0</v>
      </c>
      <c r="I1544" s="161" t="s">
        <v>7138</v>
      </c>
    </row>
    <row r="1545" spans="1:9">
      <c r="A1545" s="113">
        <v>100401249</v>
      </c>
      <c r="B1545" s="113" t="s">
        <v>4418</v>
      </c>
      <c r="C1545" s="113">
        <v>6054247</v>
      </c>
      <c r="D1545" s="113" t="s">
        <v>3093</v>
      </c>
      <c r="E1545" s="113" t="s">
        <v>1620</v>
      </c>
      <c r="F1545" s="113" t="s">
        <v>3093</v>
      </c>
      <c r="G1545" s="113" t="s">
        <v>3093</v>
      </c>
      <c r="H1545" s="161">
        <v>0</v>
      </c>
      <c r="I1545" s="161" t="s">
        <v>7138</v>
      </c>
    </row>
    <row r="1546" spans="1:9">
      <c r="A1546" s="113">
        <v>100401250</v>
      </c>
      <c r="B1546" s="113" t="s">
        <v>4419</v>
      </c>
      <c r="C1546" s="113">
        <v>6054248</v>
      </c>
      <c r="D1546" s="113" t="s">
        <v>3093</v>
      </c>
      <c r="E1546" s="113" t="s">
        <v>1620</v>
      </c>
      <c r="F1546" s="113" t="s">
        <v>3093</v>
      </c>
      <c r="G1546" s="113" t="s">
        <v>3093</v>
      </c>
      <c r="H1546" s="161">
        <v>0</v>
      </c>
      <c r="I1546" s="161" t="s">
        <v>7138</v>
      </c>
    </row>
    <row r="1547" spans="1:9">
      <c r="A1547" s="113">
        <v>100401251</v>
      </c>
      <c r="B1547" s="113" t="s">
        <v>4420</v>
      </c>
      <c r="C1547" s="113">
        <v>6054249</v>
      </c>
      <c r="D1547" s="113" t="s">
        <v>3093</v>
      </c>
      <c r="E1547" s="113" t="s">
        <v>1620</v>
      </c>
      <c r="F1547" s="113" t="s">
        <v>3093</v>
      </c>
      <c r="G1547" s="113" t="s">
        <v>3093</v>
      </c>
      <c r="H1547" s="161">
        <v>0</v>
      </c>
      <c r="I1547" s="161" t="s">
        <v>7138</v>
      </c>
    </row>
    <row r="1548" spans="1:9">
      <c r="A1548" s="113">
        <v>100401252</v>
      </c>
      <c r="B1548" s="113" t="s">
        <v>4421</v>
      </c>
      <c r="C1548" s="113">
        <v>6054250</v>
      </c>
      <c r="D1548" s="113" t="s">
        <v>3093</v>
      </c>
      <c r="E1548" s="113" t="s">
        <v>1620</v>
      </c>
      <c r="F1548" s="113" t="s">
        <v>3093</v>
      </c>
      <c r="G1548" s="113" t="s">
        <v>3093</v>
      </c>
      <c r="H1548" s="161">
        <v>373.88</v>
      </c>
      <c r="I1548" s="161">
        <v>2</v>
      </c>
    </row>
    <row r="1549" spans="1:9">
      <c r="A1549" s="113">
        <v>100401253</v>
      </c>
      <c r="B1549" s="113" t="s">
        <v>4422</v>
      </c>
      <c r="C1549" s="113">
        <v>6054251</v>
      </c>
      <c r="D1549" s="113" t="s">
        <v>3093</v>
      </c>
      <c r="E1549" s="113" t="s">
        <v>1620</v>
      </c>
      <c r="F1549" s="113" t="s">
        <v>3093</v>
      </c>
      <c r="G1549" s="113" t="s">
        <v>3093</v>
      </c>
      <c r="H1549" s="161">
        <v>373.88</v>
      </c>
      <c r="I1549" s="161">
        <v>2</v>
      </c>
    </row>
    <row r="1550" spans="1:9">
      <c r="A1550" s="113">
        <v>100401254</v>
      </c>
      <c r="B1550" s="113" t="s">
        <v>4423</v>
      </c>
      <c r="C1550" s="113">
        <v>6054255</v>
      </c>
      <c r="D1550" s="113" t="s">
        <v>3093</v>
      </c>
      <c r="E1550" s="113" t="s">
        <v>1620</v>
      </c>
      <c r="F1550" s="113" t="s">
        <v>3093</v>
      </c>
      <c r="G1550" s="113" t="s">
        <v>3093</v>
      </c>
      <c r="H1550" s="161">
        <v>20.93</v>
      </c>
      <c r="I1550" s="161">
        <v>4</v>
      </c>
    </row>
    <row r="1551" spans="1:9">
      <c r="A1551" s="113">
        <v>100401255</v>
      </c>
      <c r="B1551" s="113" t="s">
        <v>4424</v>
      </c>
      <c r="C1551" s="113">
        <v>6054256</v>
      </c>
      <c r="D1551" s="113" t="s">
        <v>3093</v>
      </c>
      <c r="E1551" s="113" t="s">
        <v>1620</v>
      </c>
      <c r="F1551" s="113" t="s">
        <v>3093</v>
      </c>
      <c r="G1551" s="113" t="s">
        <v>3093</v>
      </c>
      <c r="H1551" s="161">
        <v>259.89999999999998</v>
      </c>
      <c r="I1551" s="161">
        <v>0</v>
      </c>
    </row>
    <row r="1552" spans="1:9">
      <c r="A1552" s="113">
        <v>100401256</v>
      </c>
      <c r="B1552" s="113" t="s">
        <v>4425</v>
      </c>
      <c r="C1552" s="113">
        <v>6054257</v>
      </c>
      <c r="D1552" s="113" t="s">
        <v>3093</v>
      </c>
      <c r="E1552" s="113" t="s">
        <v>1620</v>
      </c>
      <c r="F1552" s="113" t="s">
        <v>3093</v>
      </c>
      <c r="G1552" s="113" t="s">
        <v>3093</v>
      </c>
      <c r="H1552" s="161">
        <v>321.37</v>
      </c>
      <c r="I1552" s="161">
        <v>4</v>
      </c>
    </row>
    <row r="1553" spans="1:9">
      <c r="A1553" s="113">
        <v>100401257</v>
      </c>
      <c r="B1553" s="113" t="s">
        <v>4426</v>
      </c>
      <c r="C1553" s="113">
        <v>6054258</v>
      </c>
      <c r="D1553" s="113" t="s">
        <v>3093</v>
      </c>
      <c r="E1553" s="113" t="s">
        <v>1620</v>
      </c>
      <c r="F1553" s="113" t="s">
        <v>3093</v>
      </c>
      <c r="G1553" s="113" t="s">
        <v>3093</v>
      </c>
      <c r="H1553" s="161">
        <v>0</v>
      </c>
      <c r="I1553" s="161" t="s">
        <v>7138</v>
      </c>
    </row>
    <row r="1554" spans="1:9">
      <c r="A1554" s="113">
        <v>100401258</v>
      </c>
      <c r="B1554" s="113" t="s">
        <v>4427</v>
      </c>
      <c r="C1554" s="113">
        <v>6054259</v>
      </c>
      <c r="D1554" s="113" t="s">
        <v>3093</v>
      </c>
      <c r="E1554" s="113" t="s">
        <v>1620</v>
      </c>
      <c r="F1554" s="113" t="s">
        <v>3093</v>
      </c>
      <c r="G1554" s="113" t="s">
        <v>3093</v>
      </c>
      <c r="H1554" s="161">
        <v>528.66999999999996</v>
      </c>
      <c r="I1554" s="161">
        <v>10</v>
      </c>
    </row>
    <row r="1555" spans="1:9">
      <c r="A1555" s="113">
        <v>100401259</v>
      </c>
      <c r="B1555" s="113" t="s">
        <v>4428</v>
      </c>
      <c r="C1555" s="113">
        <v>6054260</v>
      </c>
      <c r="D1555" s="113" t="s">
        <v>3093</v>
      </c>
      <c r="E1555" s="113" t="s">
        <v>1620</v>
      </c>
      <c r="F1555" s="113" t="s">
        <v>3093</v>
      </c>
      <c r="G1555" s="113" t="s">
        <v>3093</v>
      </c>
      <c r="H1555" s="161">
        <v>0</v>
      </c>
      <c r="I1555" s="161" t="s">
        <v>7138</v>
      </c>
    </row>
    <row r="1556" spans="1:9">
      <c r="A1556" s="113">
        <v>100401260</v>
      </c>
      <c r="B1556" s="113" t="s">
        <v>4429</v>
      </c>
      <c r="C1556" s="113">
        <v>6054261</v>
      </c>
      <c r="D1556" s="113" t="s">
        <v>3093</v>
      </c>
      <c r="E1556" s="113" t="s">
        <v>1620</v>
      </c>
      <c r="F1556" s="113" t="s">
        <v>3093</v>
      </c>
      <c r="G1556" s="113" t="s">
        <v>3093</v>
      </c>
      <c r="H1556" s="161">
        <v>0</v>
      </c>
      <c r="I1556" s="161" t="s">
        <v>7138</v>
      </c>
    </row>
    <row r="1557" spans="1:9">
      <c r="A1557" s="113">
        <v>100401261</v>
      </c>
      <c r="B1557" s="113" t="s">
        <v>4430</v>
      </c>
      <c r="C1557" s="113">
        <v>6054262</v>
      </c>
      <c r="D1557" s="113" t="s">
        <v>3093</v>
      </c>
      <c r="E1557" s="113" t="s">
        <v>1620</v>
      </c>
      <c r="F1557" s="113" t="s">
        <v>3093</v>
      </c>
      <c r="G1557" s="113" t="s">
        <v>3093</v>
      </c>
      <c r="H1557" s="161">
        <v>0</v>
      </c>
      <c r="I1557" s="161" t="s">
        <v>7138</v>
      </c>
    </row>
    <row r="1558" spans="1:9">
      <c r="A1558" s="113">
        <v>100401262</v>
      </c>
      <c r="B1558" s="113" t="s">
        <v>4431</v>
      </c>
      <c r="C1558" s="113">
        <v>6054263</v>
      </c>
      <c r="D1558" s="113" t="s">
        <v>3093</v>
      </c>
      <c r="E1558" s="113" t="s">
        <v>1620</v>
      </c>
      <c r="F1558" s="113" t="s">
        <v>3093</v>
      </c>
      <c r="G1558" s="113" t="s">
        <v>3093</v>
      </c>
      <c r="H1558" s="161">
        <v>0</v>
      </c>
      <c r="I1558" s="161" t="s">
        <v>7138</v>
      </c>
    </row>
    <row r="1559" spans="1:9">
      <c r="A1559" s="113">
        <v>100401263</v>
      </c>
      <c r="B1559" s="113" t="s">
        <v>4432</v>
      </c>
      <c r="C1559" s="113">
        <v>6054264</v>
      </c>
      <c r="D1559" s="113" t="s">
        <v>3093</v>
      </c>
      <c r="E1559" s="113" t="s">
        <v>1620</v>
      </c>
      <c r="F1559" s="113" t="s">
        <v>3093</v>
      </c>
      <c r="G1559" s="113" t="s">
        <v>3093</v>
      </c>
      <c r="H1559" s="161">
        <v>0</v>
      </c>
      <c r="I1559" s="161" t="s">
        <v>7138</v>
      </c>
    </row>
    <row r="1560" spans="1:9">
      <c r="A1560" s="113">
        <v>100401264</v>
      </c>
      <c r="B1560" s="113" t="s">
        <v>2875</v>
      </c>
      <c r="C1560" s="113">
        <v>6054266</v>
      </c>
      <c r="D1560" s="113" t="s">
        <v>3093</v>
      </c>
      <c r="E1560" s="113" t="s">
        <v>1620</v>
      </c>
      <c r="F1560" s="113" t="s">
        <v>3093</v>
      </c>
      <c r="G1560" s="113" t="s">
        <v>3093</v>
      </c>
      <c r="H1560" s="161">
        <v>0</v>
      </c>
      <c r="I1560" s="161" t="s">
        <v>7138</v>
      </c>
    </row>
    <row r="1561" spans="1:9">
      <c r="A1561" s="113">
        <v>100401265</v>
      </c>
      <c r="B1561" s="113" t="s">
        <v>4433</v>
      </c>
      <c r="C1561" s="113">
        <v>6054267</v>
      </c>
      <c r="D1561" s="113" t="s">
        <v>3093</v>
      </c>
      <c r="E1561" s="113" t="s">
        <v>1620</v>
      </c>
      <c r="F1561" s="113" t="s">
        <v>3093</v>
      </c>
      <c r="G1561" s="113" t="s">
        <v>3093</v>
      </c>
      <c r="H1561" s="161">
        <v>0</v>
      </c>
      <c r="I1561" s="161" t="s">
        <v>7138</v>
      </c>
    </row>
    <row r="1562" spans="1:9">
      <c r="A1562" s="113">
        <v>100401266</v>
      </c>
      <c r="B1562" s="113" t="s">
        <v>4434</v>
      </c>
      <c r="C1562" s="113">
        <v>6054268</v>
      </c>
      <c r="D1562" s="113" t="s">
        <v>3093</v>
      </c>
      <c r="E1562" s="113" t="s">
        <v>1620</v>
      </c>
      <c r="F1562" s="113" t="s">
        <v>3093</v>
      </c>
      <c r="G1562" s="113" t="s">
        <v>3093</v>
      </c>
      <c r="H1562" s="161">
        <v>0</v>
      </c>
      <c r="I1562" s="161" t="s">
        <v>7138</v>
      </c>
    </row>
    <row r="1563" spans="1:9">
      <c r="A1563" s="113">
        <v>100401267</v>
      </c>
      <c r="B1563" s="113" t="s">
        <v>4435</v>
      </c>
      <c r="C1563" s="113">
        <v>6054275</v>
      </c>
      <c r="D1563" s="113" t="s">
        <v>3093</v>
      </c>
      <c r="E1563" s="113" t="s">
        <v>1620</v>
      </c>
      <c r="F1563" s="113" t="s">
        <v>3093</v>
      </c>
      <c r="G1563" s="113" t="s">
        <v>3093</v>
      </c>
      <c r="H1563" s="161">
        <v>0</v>
      </c>
      <c r="I1563" s="161" t="s">
        <v>7138</v>
      </c>
    </row>
    <row r="1564" spans="1:9">
      <c r="A1564" s="113">
        <v>100401268</v>
      </c>
      <c r="B1564" s="113" t="s">
        <v>4436</v>
      </c>
      <c r="C1564" s="113">
        <v>6055007</v>
      </c>
      <c r="D1564" s="113" t="s">
        <v>3093</v>
      </c>
      <c r="E1564" s="113" t="s">
        <v>1620</v>
      </c>
      <c r="F1564" s="113" t="s">
        <v>3093</v>
      </c>
      <c r="G1564" s="113" t="s">
        <v>3093</v>
      </c>
      <c r="H1564" s="161">
        <v>2.86</v>
      </c>
      <c r="I1564" s="161">
        <v>10</v>
      </c>
    </row>
    <row r="1565" spans="1:9">
      <c r="A1565" s="113">
        <v>100401269</v>
      </c>
      <c r="B1565" s="113" t="s">
        <v>4437</v>
      </c>
      <c r="C1565" s="113">
        <v>6055008</v>
      </c>
      <c r="D1565" s="113" t="s">
        <v>3093</v>
      </c>
      <c r="E1565" s="113" t="s">
        <v>1620</v>
      </c>
      <c r="F1565" s="113" t="s">
        <v>3093</v>
      </c>
      <c r="G1565" s="113" t="s">
        <v>3093</v>
      </c>
      <c r="H1565" s="161">
        <v>0</v>
      </c>
      <c r="I1565" s="161" t="s">
        <v>7138</v>
      </c>
    </row>
    <row r="1566" spans="1:9">
      <c r="A1566" s="113">
        <v>100401270</v>
      </c>
      <c r="B1566" s="113" t="s">
        <v>4438</v>
      </c>
      <c r="C1566" s="113">
        <v>6055020</v>
      </c>
      <c r="D1566" s="113" t="s">
        <v>3093</v>
      </c>
      <c r="E1566" s="113" t="s">
        <v>1620</v>
      </c>
      <c r="F1566" s="113" t="s">
        <v>3093</v>
      </c>
      <c r="G1566" s="113" t="s">
        <v>3093</v>
      </c>
      <c r="H1566" s="161">
        <v>45.44</v>
      </c>
      <c r="I1566" s="161">
        <v>0</v>
      </c>
    </row>
    <row r="1567" spans="1:9">
      <c r="A1567" s="113">
        <v>100401271</v>
      </c>
      <c r="B1567" s="113" t="s">
        <v>4439</v>
      </c>
      <c r="C1567" s="113">
        <v>6055021</v>
      </c>
      <c r="D1567" s="113" t="s">
        <v>3093</v>
      </c>
      <c r="E1567" s="113" t="s">
        <v>1620</v>
      </c>
      <c r="F1567" s="113" t="s">
        <v>3093</v>
      </c>
      <c r="G1567" s="113" t="s">
        <v>3093</v>
      </c>
      <c r="H1567" s="161">
        <v>51.86</v>
      </c>
      <c r="I1567" s="161">
        <v>0</v>
      </c>
    </row>
    <row r="1568" spans="1:9">
      <c r="A1568" s="113">
        <v>100401272</v>
      </c>
      <c r="B1568" s="113" t="s">
        <v>4440</v>
      </c>
      <c r="C1568" s="113">
        <v>6055022</v>
      </c>
      <c r="D1568" s="113" t="s">
        <v>3093</v>
      </c>
      <c r="E1568" s="113" t="s">
        <v>1620</v>
      </c>
      <c r="F1568" s="113" t="s">
        <v>3093</v>
      </c>
      <c r="G1568" s="113" t="s">
        <v>3093</v>
      </c>
      <c r="H1568" s="161">
        <v>44.26</v>
      </c>
      <c r="I1568" s="161">
        <v>0</v>
      </c>
    </row>
    <row r="1569" spans="1:9">
      <c r="A1569" s="113">
        <v>100401273</v>
      </c>
      <c r="B1569" s="113" t="s">
        <v>4441</v>
      </c>
      <c r="C1569" s="113">
        <v>6055023</v>
      </c>
      <c r="D1569" s="113" t="s">
        <v>3093</v>
      </c>
      <c r="E1569" s="113" t="s">
        <v>1620</v>
      </c>
      <c r="F1569" s="113" t="s">
        <v>3093</v>
      </c>
      <c r="G1569" s="113" t="s">
        <v>3093</v>
      </c>
      <c r="H1569" s="161">
        <v>50.85</v>
      </c>
      <c r="I1569" s="161">
        <v>0</v>
      </c>
    </row>
    <row r="1570" spans="1:9">
      <c r="A1570" s="113">
        <v>100401274</v>
      </c>
      <c r="B1570" s="113" t="s">
        <v>4442</v>
      </c>
      <c r="C1570" s="113">
        <v>6055024</v>
      </c>
      <c r="D1570" s="113" t="s">
        <v>3093</v>
      </c>
      <c r="E1570" s="113" t="s">
        <v>1620</v>
      </c>
      <c r="F1570" s="113" t="s">
        <v>3093</v>
      </c>
      <c r="G1570" s="113" t="s">
        <v>3093</v>
      </c>
      <c r="H1570" s="161">
        <v>0</v>
      </c>
      <c r="I1570" s="161" t="s">
        <v>7138</v>
      </c>
    </row>
    <row r="1571" spans="1:9">
      <c r="A1571" s="113">
        <v>100401275</v>
      </c>
      <c r="B1571" s="113" t="s">
        <v>4443</v>
      </c>
      <c r="C1571" s="113">
        <v>6055025</v>
      </c>
      <c r="D1571" s="113" t="s">
        <v>3093</v>
      </c>
      <c r="E1571" s="113" t="s">
        <v>1620</v>
      </c>
      <c r="F1571" s="113" t="s">
        <v>3093</v>
      </c>
      <c r="G1571" s="113" t="s">
        <v>3093</v>
      </c>
      <c r="H1571" s="161">
        <v>22.6</v>
      </c>
      <c r="I1571" s="161">
        <v>72</v>
      </c>
    </row>
    <row r="1572" spans="1:9">
      <c r="A1572" s="113">
        <v>100401276</v>
      </c>
      <c r="B1572" s="113" t="s">
        <v>4444</v>
      </c>
      <c r="C1572" s="113">
        <v>6055026</v>
      </c>
      <c r="D1572" s="113" t="s">
        <v>3093</v>
      </c>
      <c r="E1572" s="113" t="s">
        <v>1620</v>
      </c>
      <c r="F1572" s="113" t="s">
        <v>3093</v>
      </c>
      <c r="G1572" s="113" t="s">
        <v>3093</v>
      </c>
      <c r="H1572" s="161">
        <v>17</v>
      </c>
      <c r="I1572" s="161">
        <v>24</v>
      </c>
    </row>
    <row r="1573" spans="1:9">
      <c r="A1573" s="113">
        <v>100401277</v>
      </c>
      <c r="B1573" s="113" t="s">
        <v>4445</v>
      </c>
      <c r="C1573" s="113">
        <v>6056027</v>
      </c>
      <c r="D1573" s="113" t="s">
        <v>3093</v>
      </c>
      <c r="E1573" s="113" t="s">
        <v>1620</v>
      </c>
      <c r="F1573" s="113" t="s">
        <v>3093</v>
      </c>
      <c r="G1573" s="113" t="s">
        <v>3093</v>
      </c>
      <c r="H1573" s="161">
        <v>0</v>
      </c>
      <c r="I1573" s="161" t="s">
        <v>7138</v>
      </c>
    </row>
    <row r="1574" spans="1:9">
      <c r="A1574" s="113">
        <v>100401278</v>
      </c>
      <c r="B1574" s="113" t="s">
        <v>4446</v>
      </c>
      <c r="C1574" s="113">
        <v>6056028</v>
      </c>
      <c r="D1574" s="113" t="s">
        <v>3093</v>
      </c>
      <c r="E1574" s="113" t="s">
        <v>1620</v>
      </c>
      <c r="F1574" s="113" t="s">
        <v>3093</v>
      </c>
      <c r="G1574" s="113" t="s">
        <v>3093</v>
      </c>
      <c r="H1574" s="161">
        <v>0</v>
      </c>
      <c r="I1574" s="161" t="s">
        <v>7138</v>
      </c>
    </row>
    <row r="1575" spans="1:9">
      <c r="A1575" s="113">
        <v>100401279</v>
      </c>
      <c r="B1575" s="113" t="s">
        <v>4447</v>
      </c>
      <c r="C1575" s="113">
        <v>6056040</v>
      </c>
      <c r="D1575" s="113" t="s">
        <v>3093</v>
      </c>
      <c r="E1575" s="113" t="s">
        <v>1620</v>
      </c>
      <c r="F1575" s="113" t="s">
        <v>3093</v>
      </c>
      <c r="G1575" s="113" t="s">
        <v>3093</v>
      </c>
      <c r="H1575" s="161">
        <v>0</v>
      </c>
      <c r="I1575" s="161" t="s">
        <v>7138</v>
      </c>
    </row>
    <row r="1576" spans="1:9">
      <c r="A1576" s="113">
        <v>100401280</v>
      </c>
      <c r="B1576" s="113" t="s">
        <v>4448</v>
      </c>
      <c r="C1576" s="113">
        <v>6056041</v>
      </c>
      <c r="D1576" s="113" t="s">
        <v>3093</v>
      </c>
      <c r="E1576" s="113" t="s">
        <v>1620</v>
      </c>
      <c r="F1576" s="113" t="s">
        <v>3093</v>
      </c>
      <c r="G1576" s="113" t="s">
        <v>3093</v>
      </c>
      <c r="H1576" s="161">
        <v>0</v>
      </c>
      <c r="I1576" s="161" t="s">
        <v>7138</v>
      </c>
    </row>
    <row r="1577" spans="1:9">
      <c r="A1577" s="113">
        <v>100401281</v>
      </c>
      <c r="B1577" s="113" t="s">
        <v>4449</v>
      </c>
      <c r="C1577" s="113">
        <v>6056044</v>
      </c>
      <c r="D1577" s="113" t="s">
        <v>3093</v>
      </c>
      <c r="E1577" s="113" t="s">
        <v>1620</v>
      </c>
      <c r="F1577" s="113" t="s">
        <v>3093</v>
      </c>
      <c r="G1577" s="113" t="s">
        <v>3093</v>
      </c>
      <c r="H1577" s="161">
        <v>0</v>
      </c>
      <c r="I1577" s="161" t="s">
        <v>7138</v>
      </c>
    </row>
    <row r="1578" spans="1:9">
      <c r="A1578" s="113">
        <v>100401282</v>
      </c>
      <c r="B1578" s="113" t="s">
        <v>4450</v>
      </c>
      <c r="C1578" s="113">
        <v>6056045</v>
      </c>
      <c r="D1578" s="113" t="s">
        <v>3093</v>
      </c>
      <c r="E1578" s="113" t="s">
        <v>1620</v>
      </c>
      <c r="F1578" s="113" t="s">
        <v>3093</v>
      </c>
      <c r="G1578" s="113" t="s">
        <v>3093</v>
      </c>
      <c r="H1578" s="161">
        <v>461.89</v>
      </c>
      <c r="I1578" s="161">
        <v>8</v>
      </c>
    </row>
    <row r="1579" spans="1:9">
      <c r="A1579" s="113">
        <v>100401283</v>
      </c>
      <c r="B1579" s="113" t="s">
        <v>4451</v>
      </c>
      <c r="C1579" s="113">
        <v>6056046</v>
      </c>
      <c r="D1579" s="113" t="s">
        <v>3093</v>
      </c>
      <c r="E1579" s="113" t="s">
        <v>1620</v>
      </c>
      <c r="F1579" s="113" t="s">
        <v>3093</v>
      </c>
      <c r="G1579" s="113" t="s">
        <v>3093</v>
      </c>
      <c r="H1579" s="161">
        <v>215.68</v>
      </c>
      <c r="I1579" s="161">
        <v>2</v>
      </c>
    </row>
    <row r="1580" spans="1:9">
      <c r="A1580" s="113">
        <v>100401284</v>
      </c>
      <c r="B1580" s="113" t="s">
        <v>4452</v>
      </c>
      <c r="C1580" s="113">
        <v>6056047</v>
      </c>
      <c r="D1580" s="113" t="s">
        <v>3093</v>
      </c>
      <c r="E1580" s="113" t="s">
        <v>1620</v>
      </c>
      <c r="F1580" s="113" t="s">
        <v>3093</v>
      </c>
      <c r="G1580" s="113" t="s">
        <v>3093</v>
      </c>
      <c r="H1580" s="161">
        <v>0</v>
      </c>
      <c r="I1580" s="161" t="s">
        <v>7138</v>
      </c>
    </row>
    <row r="1581" spans="1:9">
      <c r="A1581" s="113">
        <v>100401285</v>
      </c>
      <c r="B1581" s="113" t="s">
        <v>4453</v>
      </c>
      <c r="C1581" s="113">
        <v>6056052</v>
      </c>
      <c r="D1581" s="113" t="s">
        <v>3093</v>
      </c>
      <c r="E1581" s="113" t="s">
        <v>1620</v>
      </c>
      <c r="F1581" s="113" t="s">
        <v>3093</v>
      </c>
      <c r="G1581" s="113" t="s">
        <v>3093</v>
      </c>
      <c r="H1581" s="161">
        <v>0</v>
      </c>
      <c r="I1581" s="161" t="s">
        <v>7138</v>
      </c>
    </row>
    <row r="1582" spans="1:9">
      <c r="A1582" s="113">
        <v>100401286</v>
      </c>
      <c r="B1582" s="113" t="s">
        <v>4454</v>
      </c>
      <c r="C1582" s="113">
        <v>6056053</v>
      </c>
      <c r="D1582" s="113" t="s">
        <v>3093</v>
      </c>
      <c r="E1582" s="113" t="s">
        <v>1620</v>
      </c>
      <c r="F1582" s="113" t="s">
        <v>3093</v>
      </c>
      <c r="G1582" s="113" t="s">
        <v>3093</v>
      </c>
      <c r="H1582" s="161">
        <v>239</v>
      </c>
      <c r="I1582" s="161">
        <v>6</v>
      </c>
    </row>
    <row r="1583" spans="1:9">
      <c r="A1583" s="113">
        <v>100401287</v>
      </c>
      <c r="B1583" s="113" t="s">
        <v>4455</v>
      </c>
      <c r="C1583" s="113">
        <v>6056054</v>
      </c>
      <c r="D1583" s="113" t="s">
        <v>3093</v>
      </c>
      <c r="E1583" s="113" t="s">
        <v>1620</v>
      </c>
      <c r="F1583" s="113" t="s">
        <v>3093</v>
      </c>
      <c r="G1583" s="113" t="s">
        <v>3093</v>
      </c>
      <c r="H1583" s="161">
        <v>0</v>
      </c>
      <c r="I1583" s="161" t="s">
        <v>7138</v>
      </c>
    </row>
    <row r="1584" spans="1:9">
      <c r="A1584" s="113">
        <v>100401288</v>
      </c>
      <c r="B1584" s="113" t="s">
        <v>4456</v>
      </c>
      <c r="C1584" s="113">
        <v>6056055</v>
      </c>
      <c r="D1584" s="113" t="s">
        <v>3093</v>
      </c>
      <c r="E1584" s="113" t="s">
        <v>1620</v>
      </c>
      <c r="F1584" s="113" t="s">
        <v>3093</v>
      </c>
      <c r="G1584" s="113" t="s">
        <v>3093</v>
      </c>
      <c r="H1584" s="161">
        <v>10.68</v>
      </c>
      <c r="I1584" s="161">
        <v>6</v>
      </c>
    </row>
    <row r="1585" spans="1:9">
      <c r="A1585" s="113">
        <v>100401289</v>
      </c>
      <c r="B1585" s="113" t="s">
        <v>2876</v>
      </c>
      <c r="C1585" s="113">
        <v>6056056</v>
      </c>
      <c r="D1585" s="113" t="s">
        <v>3093</v>
      </c>
      <c r="E1585" s="113" t="s">
        <v>1620</v>
      </c>
      <c r="F1585" s="113" t="s">
        <v>3093</v>
      </c>
      <c r="G1585" s="113" t="s">
        <v>3093</v>
      </c>
      <c r="H1585" s="161">
        <v>0</v>
      </c>
      <c r="I1585" s="161" t="s">
        <v>7138</v>
      </c>
    </row>
    <row r="1586" spans="1:9">
      <c r="A1586" s="113">
        <v>100401290</v>
      </c>
      <c r="B1586" s="113" t="s">
        <v>4457</v>
      </c>
      <c r="C1586" s="113">
        <v>6056057</v>
      </c>
      <c r="D1586" s="113" t="s">
        <v>3093</v>
      </c>
      <c r="E1586" s="113" t="s">
        <v>1620</v>
      </c>
      <c r="F1586" s="113" t="s">
        <v>3093</v>
      </c>
      <c r="G1586" s="113" t="s">
        <v>3093</v>
      </c>
      <c r="H1586" s="161">
        <v>0</v>
      </c>
      <c r="I1586" s="161" t="s">
        <v>7138</v>
      </c>
    </row>
    <row r="1587" spans="1:9">
      <c r="A1587" s="113">
        <v>100401291</v>
      </c>
      <c r="B1587" s="113" t="s">
        <v>4458</v>
      </c>
      <c r="C1587" s="113">
        <v>6056058</v>
      </c>
      <c r="D1587" s="113" t="s">
        <v>3093</v>
      </c>
      <c r="E1587" s="113" t="s">
        <v>1620</v>
      </c>
      <c r="F1587" s="113" t="s">
        <v>3093</v>
      </c>
      <c r="G1587" s="113" t="s">
        <v>3093</v>
      </c>
      <c r="H1587" s="161">
        <v>0</v>
      </c>
      <c r="I1587" s="161" t="s">
        <v>7138</v>
      </c>
    </row>
    <row r="1588" spans="1:9">
      <c r="A1588" s="113">
        <v>100401292</v>
      </c>
      <c r="B1588" s="113" t="s">
        <v>4459</v>
      </c>
      <c r="C1588" s="113">
        <v>6056059</v>
      </c>
      <c r="D1588" s="113" t="s">
        <v>3093</v>
      </c>
      <c r="E1588" s="113" t="s">
        <v>1620</v>
      </c>
      <c r="F1588" s="113" t="s">
        <v>3093</v>
      </c>
      <c r="G1588" s="113" t="s">
        <v>3093</v>
      </c>
      <c r="H1588" s="161">
        <v>0</v>
      </c>
      <c r="I1588" s="161" t="s">
        <v>7138</v>
      </c>
    </row>
    <row r="1589" spans="1:9">
      <c r="A1589" s="113">
        <v>100401293</v>
      </c>
      <c r="B1589" s="113" t="s">
        <v>4460</v>
      </c>
      <c r="C1589" s="113">
        <v>6056060</v>
      </c>
      <c r="D1589" s="113" t="s">
        <v>3093</v>
      </c>
      <c r="E1589" s="113" t="s">
        <v>1620</v>
      </c>
      <c r="F1589" s="113" t="s">
        <v>3093</v>
      </c>
      <c r="G1589" s="113" t="s">
        <v>3093</v>
      </c>
      <c r="H1589" s="161">
        <v>0</v>
      </c>
      <c r="I1589" s="161" t="s">
        <v>7138</v>
      </c>
    </row>
    <row r="1590" spans="1:9">
      <c r="A1590" s="113">
        <v>100401294</v>
      </c>
      <c r="B1590" s="113" t="s">
        <v>4461</v>
      </c>
      <c r="C1590" s="113">
        <v>6056061</v>
      </c>
      <c r="D1590" s="113" t="s">
        <v>3093</v>
      </c>
      <c r="E1590" s="113" t="s">
        <v>1620</v>
      </c>
      <c r="F1590" s="113" t="s">
        <v>3093</v>
      </c>
      <c r="G1590" s="113" t="s">
        <v>3093</v>
      </c>
      <c r="H1590" s="161">
        <v>0</v>
      </c>
      <c r="I1590" s="161" t="s">
        <v>7138</v>
      </c>
    </row>
    <row r="1591" spans="1:9">
      <c r="A1591" s="113">
        <v>100401295</v>
      </c>
      <c r="B1591" s="113" t="s">
        <v>4462</v>
      </c>
      <c r="C1591" s="113">
        <v>6056062</v>
      </c>
      <c r="D1591" s="113" t="s">
        <v>3093</v>
      </c>
      <c r="E1591" s="113" t="s">
        <v>1620</v>
      </c>
      <c r="F1591" s="113" t="s">
        <v>3093</v>
      </c>
      <c r="G1591" s="113" t="s">
        <v>3093</v>
      </c>
      <c r="H1591" s="161">
        <v>0</v>
      </c>
      <c r="I1591" s="161" t="s">
        <v>7138</v>
      </c>
    </row>
    <row r="1592" spans="1:9">
      <c r="A1592" s="113">
        <v>100401296</v>
      </c>
      <c r="B1592" s="113" t="s">
        <v>4463</v>
      </c>
      <c r="C1592" s="113">
        <v>6056063</v>
      </c>
      <c r="D1592" s="113" t="s">
        <v>3093</v>
      </c>
      <c r="E1592" s="113" t="s">
        <v>1620</v>
      </c>
      <c r="F1592" s="113" t="s">
        <v>3093</v>
      </c>
      <c r="G1592" s="113" t="s">
        <v>3093</v>
      </c>
      <c r="H1592" s="161">
        <v>0</v>
      </c>
      <c r="I1592" s="161" t="s">
        <v>7138</v>
      </c>
    </row>
    <row r="1593" spans="1:9">
      <c r="A1593" s="113">
        <v>100401297</v>
      </c>
      <c r="B1593" s="113" t="s">
        <v>4464</v>
      </c>
      <c r="C1593" s="113">
        <v>6056070</v>
      </c>
      <c r="D1593" s="113" t="s">
        <v>3093</v>
      </c>
      <c r="E1593" s="113" t="s">
        <v>1620</v>
      </c>
      <c r="F1593" s="113" t="s">
        <v>3093</v>
      </c>
      <c r="G1593" s="113" t="s">
        <v>3093</v>
      </c>
      <c r="H1593" s="161">
        <v>0</v>
      </c>
      <c r="I1593" s="161" t="s">
        <v>7138</v>
      </c>
    </row>
    <row r="1594" spans="1:9">
      <c r="A1594" s="113">
        <v>100401298</v>
      </c>
      <c r="B1594" s="113" t="s">
        <v>4465</v>
      </c>
      <c r="C1594" s="113">
        <v>6056071</v>
      </c>
      <c r="D1594" s="113" t="s">
        <v>3093</v>
      </c>
      <c r="E1594" s="113" t="s">
        <v>1620</v>
      </c>
      <c r="F1594" s="113" t="s">
        <v>3093</v>
      </c>
      <c r="G1594" s="113" t="s">
        <v>3093</v>
      </c>
      <c r="H1594" s="161">
        <v>0</v>
      </c>
      <c r="I1594" s="161" t="s">
        <v>7138</v>
      </c>
    </row>
    <row r="1595" spans="1:9">
      <c r="A1595" s="113">
        <v>100401299</v>
      </c>
      <c r="B1595" s="113" t="s">
        <v>4466</v>
      </c>
      <c r="C1595" s="113">
        <v>6056072</v>
      </c>
      <c r="D1595" s="113" t="s">
        <v>3093</v>
      </c>
      <c r="E1595" s="113" t="s">
        <v>1620</v>
      </c>
      <c r="F1595" s="113" t="s">
        <v>3093</v>
      </c>
      <c r="G1595" s="113" t="s">
        <v>3093</v>
      </c>
      <c r="H1595" s="161">
        <v>0</v>
      </c>
      <c r="I1595" s="161" t="s">
        <v>7138</v>
      </c>
    </row>
    <row r="1596" spans="1:9">
      <c r="A1596" s="113">
        <v>100401300</v>
      </c>
      <c r="B1596" s="113" t="s">
        <v>4467</v>
      </c>
      <c r="C1596" s="113">
        <v>6056073</v>
      </c>
      <c r="D1596" s="113" t="s">
        <v>3093</v>
      </c>
      <c r="E1596" s="113" t="s">
        <v>1620</v>
      </c>
      <c r="F1596" s="113" t="s">
        <v>3093</v>
      </c>
      <c r="G1596" s="113" t="s">
        <v>3093</v>
      </c>
      <c r="H1596" s="161">
        <v>0</v>
      </c>
      <c r="I1596" s="161" t="s">
        <v>7138</v>
      </c>
    </row>
    <row r="1597" spans="1:9">
      <c r="A1597" s="113">
        <v>100401301</v>
      </c>
      <c r="B1597" s="113" t="s">
        <v>4468</v>
      </c>
      <c r="C1597" s="113">
        <v>6056074</v>
      </c>
      <c r="D1597" s="113" t="s">
        <v>3093</v>
      </c>
      <c r="E1597" s="113" t="s">
        <v>1620</v>
      </c>
      <c r="F1597" s="113" t="s">
        <v>3093</v>
      </c>
      <c r="G1597" s="113" t="s">
        <v>3093</v>
      </c>
      <c r="H1597" s="161">
        <v>0</v>
      </c>
      <c r="I1597" s="161" t="s">
        <v>7138</v>
      </c>
    </row>
    <row r="1598" spans="1:9">
      <c r="A1598" s="113">
        <v>100401302</v>
      </c>
      <c r="B1598" s="113" t="s">
        <v>4469</v>
      </c>
      <c r="C1598" s="113">
        <v>6056075</v>
      </c>
      <c r="D1598" s="113" t="s">
        <v>3093</v>
      </c>
      <c r="E1598" s="113" t="s">
        <v>1620</v>
      </c>
      <c r="F1598" s="113" t="s">
        <v>3093</v>
      </c>
      <c r="G1598" s="113" t="s">
        <v>3093</v>
      </c>
      <c r="H1598" s="161">
        <v>0</v>
      </c>
      <c r="I1598" s="161" t="s">
        <v>7138</v>
      </c>
    </row>
    <row r="1599" spans="1:9">
      <c r="A1599" s="113">
        <v>100401304</v>
      </c>
      <c r="B1599" s="113" t="s">
        <v>4470</v>
      </c>
      <c r="C1599" s="113">
        <v>6060038</v>
      </c>
      <c r="D1599" s="113" t="s">
        <v>3093</v>
      </c>
      <c r="E1599" s="113" t="s">
        <v>1620</v>
      </c>
      <c r="F1599" s="113" t="s">
        <v>3093</v>
      </c>
      <c r="G1599" s="113" t="s">
        <v>3093</v>
      </c>
      <c r="H1599" s="161">
        <v>0</v>
      </c>
      <c r="I1599" s="161" t="s">
        <v>7138</v>
      </c>
    </row>
    <row r="1600" spans="1:9">
      <c r="A1600" s="113">
        <v>100401305</v>
      </c>
      <c r="B1600" s="113" t="s">
        <v>4471</v>
      </c>
      <c r="C1600" s="113">
        <v>6060039</v>
      </c>
      <c r="D1600" s="113" t="s">
        <v>3093</v>
      </c>
      <c r="E1600" s="113" t="s">
        <v>1620</v>
      </c>
      <c r="F1600" s="113" t="s">
        <v>3093</v>
      </c>
      <c r="G1600" s="113" t="s">
        <v>3093</v>
      </c>
      <c r="H1600" s="161">
        <v>23.03</v>
      </c>
      <c r="I1600" s="161">
        <v>12</v>
      </c>
    </row>
    <row r="1601" spans="1:9">
      <c r="A1601" s="113">
        <v>100401306</v>
      </c>
      <c r="B1601" s="113" t="s">
        <v>4472</v>
      </c>
      <c r="C1601" s="113">
        <v>6060051</v>
      </c>
      <c r="D1601" s="113" t="s">
        <v>3093</v>
      </c>
      <c r="E1601" s="113" t="s">
        <v>1620</v>
      </c>
      <c r="F1601" s="113" t="s">
        <v>3093</v>
      </c>
      <c r="G1601" s="113" t="s">
        <v>3093</v>
      </c>
      <c r="H1601" s="161">
        <v>0</v>
      </c>
      <c r="I1601" s="161" t="s">
        <v>7138</v>
      </c>
    </row>
    <row r="1602" spans="1:9">
      <c r="A1602" s="113">
        <v>100401307</v>
      </c>
      <c r="B1602" s="113" t="s">
        <v>4473</v>
      </c>
      <c r="C1602" s="113">
        <v>6060055</v>
      </c>
      <c r="D1602" s="113" t="s">
        <v>3093</v>
      </c>
      <c r="E1602" s="113" t="s">
        <v>1620</v>
      </c>
      <c r="F1602" s="113" t="s">
        <v>3093</v>
      </c>
      <c r="G1602" s="113" t="s">
        <v>3093</v>
      </c>
      <c r="H1602" s="161">
        <v>0</v>
      </c>
      <c r="I1602" s="161" t="s">
        <v>7138</v>
      </c>
    </row>
    <row r="1603" spans="1:9">
      <c r="A1603" s="113">
        <v>100401308</v>
      </c>
      <c r="B1603" s="113" t="s">
        <v>4474</v>
      </c>
      <c r="C1603" s="113">
        <v>6060056</v>
      </c>
      <c r="D1603" s="113" t="s">
        <v>3093</v>
      </c>
      <c r="E1603" s="113" t="s">
        <v>1620</v>
      </c>
      <c r="F1603" s="113" t="s">
        <v>3093</v>
      </c>
      <c r="G1603" s="113" t="s">
        <v>3093</v>
      </c>
      <c r="H1603" s="161">
        <v>438</v>
      </c>
      <c r="I1603" s="161">
        <v>6</v>
      </c>
    </row>
    <row r="1604" spans="1:9">
      <c r="A1604" s="113">
        <v>100401309</v>
      </c>
      <c r="B1604" s="113" t="s">
        <v>4475</v>
      </c>
      <c r="C1604" s="113">
        <v>6060057</v>
      </c>
      <c r="D1604" s="113" t="s">
        <v>3093</v>
      </c>
      <c r="E1604" s="113" t="s">
        <v>1620</v>
      </c>
      <c r="F1604" s="113" t="s">
        <v>3093</v>
      </c>
      <c r="G1604" s="113" t="s">
        <v>3093</v>
      </c>
      <c r="H1604" s="161">
        <v>438</v>
      </c>
      <c r="I1604" s="161">
        <v>6</v>
      </c>
    </row>
    <row r="1605" spans="1:9">
      <c r="A1605" s="113">
        <v>100401310</v>
      </c>
      <c r="B1605" s="113" t="s">
        <v>4476</v>
      </c>
      <c r="C1605" s="113">
        <v>6060058</v>
      </c>
      <c r="D1605" s="113" t="s">
        <v>3093</v>
      </c>
      <c r="E1605" s="113" t="s">
        <v>1620</v>
      </c>
      <c r="F1605" s="113" t="s">
        <v>3093</v>
      </c>
      <c r="G1605" s="113" t="s">
        <v>3093</v>
      </c>
      <c r="H1605" s="161">
        <v>0.99</v>
      </c>
      <c r="I1605" s="161">
        <v>6</v>
      </c>
    </row>
    <row r="1606" spans="1:9">
      <c r="A1606" s="113">
        <v>100401311</v>
      </c>
      <c r="B1606" s="113" t="s">
        <v>4477</v>
      </c>
      <c r="C1606" s="113">
        <v>6060070</v>
      </c>
      <c r="D1606" s="113" t="s">
        <v>3093</v>
      </c>
      <c r="E1606" s="113" t="s">
        <v>1620</v>
      </c>
      <c r="F1606" s="113" t="s">
        <v>3093</v>
      </c>
      <c r="G1606" s="113" t="s">
        <v>3093</v>
      </c>
      <c r="H1606" s="161">
        <v>600</v>
      </c>
      <c r="I1606" s="161">
        <v>1</v>
      </c>
    </row>
    <row r="1607" spans="1:9">
      <c r="A1607" s="113">
        <v>100401312</v>
      </c>
      <c r="B1607" s="113" t="s">
        <v>4478</v>
      </c>
      <c r="C1607" s="113">
        <v>6060071</v>
      </c>
      <c r="D1607" s="113" t="s">
        <v>3093</v>
      </c>
      <c r="E1607" s="113" t="s">
        <v>1620</v>
      </c>
      <c r="F1607" s="113" t="s">
        <v>3093</v>
      </c>
      <c r="G1607" s="113" t="s">
        <v>3093</v>
      </c>
      <c r="H1607" s="161">
        <v>0</v>
      </c>
      <c r="I1607" s="161" t="s">
        <v>7138</v>
      </c>
    </row>
    <row r="1608" spans="1:9">
      <c r="A1608" s="113">
        <v>100401313</v>
      </c>
      <c r="B1608" s="113" t="s">
        <v>4479</v>
      </c>
      <c r="C1608" s="113">
        <v>6060072</v>
      </c>
      <c r="D1608" s="113" t="s">
        <v>3093</v>
      </c>
      <c r="E1608" s="113" t="s">
        <v>1620</v>
      </c>
      <c r="F1608" s="113" t="s">
        <v>3093</v>
      </c>
      <c r="G1608" s="113" t="s">
        <v>3093</v>
      </c>
      <c r="H1608" s="161">
        <v>0</v>
      </c>
      <c r="I1608" s="161" t="s">
        <v>7138</v>
      </c>
    </row>
    <row r="1609" spans="1:9">
      <c r="A1609" s="113">
        <v>100401314</v>
      </c>
      <c r="B1609" s="113" t="s">
        <v>4480</v>
      </c>
      <c r="C1609" s="113">
        <v>6060073</v>
      </c>
      <c r="D1609" s="113" t="s">
        <v>3093</v>
      </c>
      <c r="E1609" s="113" t="s">
        <v>1620</v>
      </c>
      <c r="F1609" s="113" t="s">
        <v>3093</v>
      </c>
      <c r="G1609" s="113" t="s">
        <v>3093</v>
      </c>
      <c r="H1609" s="161">
        <v>0</v>
      </c>
      <c r="I1609" s="161" t="s">
        <v>7138</v>
      </c>
    </row>
    <row r="1610" spans="1:9">
      <c r="A1610" s="113">
        <v>100401315</v>
      </c>
      <c r="B1610" s="113" t="s">
        <v>4481</v>
      </c>
      <c r="C1610" s="113">
        <v>6060074</v>
      </c>
      <c r="D1610" s="113" t="s">
        <v>3093</v>
      </c>
      <c r="E1610" s="113" t="s">
        <v>1620</v>
      </c>
      <c r="F1610" s="113" t="s">
        <v>3093</v>
      </c>
      <c r="G1610" s="113" t="s">
        <v>3093</v>
      </c>
      <c r="H1610" s="161">
        <v>0</v>
      </c>
      <c r="I1610" s="161" t="s">
        <v>7138</v>
      </c>
    </row>
    <row r="1611" spans="1:9">
      <c r="A1611" s="113">
        <v>100401316</v>
      </c>
      <c r="B1611" s="113" t="s">
        <v>2877</v>
      </c>
      <c r="C1611" s="113">
        <v>6060075</v>
      </c>
      <c r="D1611" s="113" t="s">
        <v>3093</v>
      </c>
      <c r="E1611" s="113" t="s">
        <v>1620</v>
      </c>
      <c r="F1611" s="113" t="s">
        <v>3093</v>
      </c>
      <c r="G1611" s="113" t="s">
        <v>3093</v>
      </c>
      <c r="H1611" s="161">
        <v>0</v>
      </c>
      <c r="I1611" s="161" t="s">
        <v>7138</v>
      </c>
    </row>
    <row r="1612" spans="1:9">
      <c r="A1612" s="113">
        <v>100401317</v>
      </c>
      <c r="B1612" s="113" t="s">
        <v>4482</v>
      </c>
      <c r="C1612" s="113">
        <v>6060076</v>
      </c>
      <c r="D1612" s="113" t="s">
        <v>3093</v>
      </c>
      <c r="E1612" s="113" t="s">
        <v>1620</v>
      </c>
      <c r="F1612" s="113" t="s">
        <v>3093</v>
      </c>
      <c r="G1612" s="113" t="s">
        <v>3093</v>
      </c>
      <c r="H1612" s="161">
        <v>0</v>
      </c>
      <c r="I1612" s="161" t="s">
        <v>7138</v>
      </c>
    </row>
    <row r="1613" spans="1:9">
      <c r="A1613" s="113">
        <v>100401318</v>
      </c>
      <c r="B1613" s="113" t="s">
        <v>4483</v>
      </c>
      <c r="C1613" s="113">
        <v>6060077</v>
      </c>
      <c r="D1613" s="113" t="s">
        <v>3093</v>
      </c>
      <c r="E1613" s="113" t="s">
        <v>1620</v>
      </c>
      <c r="F1613" s="113" t="s">
        <v>3093</v>
      </c>
      <c r="G1613" s="113" t="s">
        <v>3093</v>
      </c>
      <c r="H1613" s="161">
        <v>0</v>
      </c>
      <c r="I1613" s="161" t="s">
        <v>7138</v>
      </c>
    </row>
    <row r="1614" spans="1:9">
      <c r="A1614" s="113">
        <v>100401319</v>
      </c>
      <c r="B1614" s="113" t="s">
        <v>4484</v>
      </c>
      <c r="C1614" s="113">
        <v>6060078</v>
      </c>
      <c r="D1614" s="113" t="s">
        <v>3093</v>
      </c>
      <c r="E1614" s="113" t="s">
        <v>1620</v>
      </c>
      <c r="F1614" s="113" t="s">
        <v>3093</v>
      </c>
      <c r="G1614" s="113" t="s">
        <v>3093</v>
      </c>
      <c r="H1614" s="161">
        <v>0</v>
      </c>
      <c r="I1614" s="161" t="s">
        <v>7138</v>
      </c>
    </row>
    <row r="1615" spans="1:9">
      <c r="A1615" s="113">
        <v>100401320</v>
      </c>
      <c r="B1615" s="113" t="s">
        <v>4485</v>
      </c>
      <c r="C1615" s="113">
        <v>6060079</v>
      </c>
      <c r="D1615" s="113" t="s">
        <v>3093</v>
      </c>
      <c r="E1615" s="113" t="s">
        <v>1620</v>
      </c>
      <c r="F1615" s="113" t="s">
        <v>3093</v>
      </c>
      <c r="G1615" s="113" t="s">
        <v>3093</v>
      </c>
      <c r="H1615" s="161">
        <v>0</v>
      </c>
      <c r="I1615" s="161" t="s">
        <v>7138</v>
      </c>
    </row>
    <row r="1616" spans="1:9">
      <c r="A1616" s="113">
        <v>100401321</v>
      </c>
      <c r="B1616" s="113" t="s">
        <v>4486</v>
      </c>
      <c r="C1616" s="113">
        <v>6060080</v>
      </c>
      <c r="D1616" s="113" t="s">
        <v>3093</v>
      </c>
      <c r="E1616" s="113" t="s">
        <v>1620</v>
      </c>
      <c r="F1616" s="113" t="s">
        <v>3093</v>
      </c>
      <c r="G1616" s="113" t="s">
        <v>3093</v>
      </c>
      <c r="H1616" s="161">
        <v>0</v>
      </c>
      <c r="I1616" s="161" t="s">
        <v>7138</v>
      </c>
    </row>
    <row r="1617" spans="1:9">
      <c r="A1617" s="113">
        <v>100401322</v>
      </c>
      <c r="B1617" s="113" t="s">
        <v>4487</v>
      </c>
      <c r="C1617" s="113">
        <v>6060081</v>
      </c>
      <c r="D1617" s="113" t="s">
        <v>3093</v>
      </c>
      <c r="E1617" s="113" t="s">
        <v>1620</v>
      </c>
      <c r="F1617" s="113" t="s">
        <v>3093</v>
      </c>
      <c r="G1617" s="113" t="s">
        <v>3093</v>
      </c>
      <c r="H1617" s="161">
        <v>0</v>
      </c>
      <c r="I1617" s="161" t="s">
        <v>7138</v>
      </c>
    </row>
    <row r="1618" spans="1:9">
      <c r="A1618" s="113">
        <v>100401323</v>
      </c>
      <c r="B1618" s="113" t="s">
        <v>4488</v>
      </c>
      <c r="C1618" s="113">
        <v>6060082</v>
      </c>
      <c r="D1618" s="113" t="s">
        <v>3093</v>
      </c>
      <c r="E1618" s="113" t="s">
        <v>1620</v>
      </c>
      <c r="F1618" s="113" t="s">
        <v>3093</v>
      </c>
      <c r="G1618" s="113" t="s">
        <v>3093</v>
      </c>
      <c r="H1618" s="161">
        <v>0</v>
      </c>
      <c r="I1618" s="161" t="s">
        <v>7138</v>
      </c>
    </row>
    <row r="1619" spans="1:9">
      <c r="A1619" s="113">
        <v>100401324</v>
      </c>
      <c r="B1619" s="113" t="s">
        <v>4489</v>
      </c>
      <c r="C1619" s="113">
        <v>6060083</v>
      </c>
      <c r="D1619" s="113" t="s">
        <v>3093</v>
      </c>
      <c r="E1619" s="113" t="s">
        <v>1620</v>
      </c>
      <c r="F1619" s="113" t="s">
        <v>3093</v>
      </c>
      <c r="G1619" s="113" t="s">
        <v>3093</v>
      </c>
      <c r="H1619" s="161">
        <v>0</v>
      </c>
      <c r="I1619" s="161" t="s">
        <v>7138</v>
      </c>
    </row>
    <row r="1620" spans="1:9">
      <c r="A1620" s="113">
        <v>100401325</v>
      </c>
      <c r="B1620" s="113" t="s">
        <v>4490</v>
      </c>
      <c r="C1620" s="113">
        <v>6060084</v>
      </c>
      <c r="D1620" s="113" t="s">
        <v>3093</v>
      </c>
      <c r="E1620" s="113" t="s">
        <v>1620</v>
      </c>
      <c r="F1620" s="113" t="s">
        <v>3093</v>
      </c>
      <c r="G1620" s="113" t="s">
        <v>3093</v>
      </c>
      <c r="H1620" s="161">
        <v>1300</v>
      </c>
      <c r="I1620" s="161">
        <v>12</v>
      </c>
    </row>
    <row r="1621" spans="1:9">
      <c r="A1621" s="113">
        <v>100401326</v>
      </c>
      <c r="B1621" s="113" t="s">
        <v>4491</v>
      </c>
      <c r="C1621" s="113">
        <v>6060085</v>
      </c>
      <c r="D1621" s="113" t="s">
        <v>3093</v>
      </c>
      <c r="E1621" s="113" t="s">
        <v>1620</v>
      </c>
      <c r="F1621" s="113" t="s">
        <v>3093</v>
      </c>
      <c r="G1621" s="113" t="s">
        <v>3093</v>
      </c>
      <c r="H1621" s="161">
        <v>0</v>
      </c>
      <c r="I1621" s="161" t="s">
        <v>7138</v>
      </c>
    </row>
    <row r="1622" spans="1:9">
      <c r="A1622" s="113">
        <v>100401327</v>
      </c>
      <c r="B1622" s="113" t="s">
        <v>4492</v>
      </c>
      <c r="C1622" s="113">
        <v>6060086</v>
      </c>
      <c r="D1622" s="113" t="s">
        <v>3093</v>
      </c>
      <c r="E1622" s="113" t="s">
        <v>1620</v>
      </c>
      <c r="F1622" s="113" t="s">
        <v>3093</v>
      </c>
      <c r="G1622" s="113" t="s">
        <v>3093</v>
      </c>
      <c r="H1622" s="161">
        <v>0</v>
      </c>
      <c r="I1622" s="161" t="s">
        <v>7138</v>
      </c>
    </row>
    <row r="1623" spans="1:9">
      <c r="A1623" s="113">
        <v>100401328</v>
      </c>
      <c r="B1623" s="113" t="s">
        <v>4493</v>
      </c>
      <c r="C1623" s="113">
        <v>6060087</v>
      </c>
      <c r="D1623" s="113" t="s">
        <v>3093</v>
      </c>
      <c r="E1623" s="113" t="s">
        <v>1620</v>
      </c>
      <c r="F1623" s="113" t="s">
        <v>3093</v>
      </c>
      <c r="G1623" s="113" t="s">
        <v>3093</v>
      </c>
      <c r="H1623" s="161">
        <v>0</v>
      </c>
      <c r="I1623" s="161" t="s">
        <v>7138</v>
      </c>
    </row>
    <row r="1624" spans="1:9">
      <c r="A1624" s="113">
        <v>100401329</v>
      </c>
      <c r="B1624" s="113" t="s">
        <v>4494</v>
      </c>
      <c r="C1624" s="113">
        <v>6060088</v>
      </c>
      <c r="D1624" s="113" t="s">
        <v>3093</v>
      </c>
      <c r="E1624" s="113" t="s">
        <v>1620</v>
      </c>
      <c r="F1624" s="113" t="s">
        <v>3093</v>
      </c>
      <c r="G1624" s="113" t="s">
        <v>3093</v>
      </c>
      <c r="H1624" s="161">
        <v>0</v>
      </c>
      <c r="I1624" s="161" t="s">
        <v>7138</v>
      </c>
    </row>
    <row r="1625" spans="1:9">
      <c r="A1625" s="113">
        <v>100401330</v>
      </c>
      <c r="B1625" s="113" t="s">
        <v>4495</v>
      </c>
      <c r="C1625" s="113">
        <v>6060089</v>
      </c>
      <c r="D1625" s="113" t="s">
        <v>3093</v>
      </c>
      <c r="E1625" s="113" t="s">
        <v>1620</v>
      </c>
      <c r="F1625" s="113" t="s">
        <v>3093</v>
      </c>
      <c r="G1625" s="113" t="s">
        <v>3093</v>
      </c>
      <c r="H1625" s="161">
        <v>0</v>
      </c>
      <c r="I1625" s="161" t="s">
        <v>7138</v>
      </c>
    </row>
    <row r="1626" spans="1:9">
      <c r="A1626" s="113">
        <v>100401331</v>
      </c>
      <c r="B1626" s="113" t="s">
        <v>4496</v>
      </c>
      <c r="C1626" s="113">
        <v>6060090</v>
      </c>
      <c r="D1626" s="113" t="s">
        <v>3093</v>
      </c>
      <c r="E1626" s="113" t="s">
        <v>1620</v>
      </c>
      <c r="F1626" s="113" t="s">
        <v>3093</v>
      </c>
      <c r="G1626" s="113" t="s">
        <v>3093</v>
      </c>
      <c r="H1626" s="161">
        <v>0</v>
      </c>
      <c r="I1626" s="161" t="s">
        <v>7138</v>
      </c>
    </row>
    <row r="1627" spans="1:9">
      <c r="A1627" s="113">
        <v>100401332</v>
      </c>
      <c r="B1627" s="113" t="s">
        <v>4497</v>
      </c>
      <c r="C1627" s="113">
        <v>6060091</v>
      </c>
      <c r="D1627" s="113" t="s">
        <v>3093</v>
      </c>
      <c r="E1627" s="113" t="s">
        <v>1620</v>
      </c>
      <c r="F1627" s="113" t="s">
        <v>3093</v>
      </c>
      <c r="G1627" s="113" t="s">
        <v>3093</v>
      </c>
      <c r="H1627" s="161">
        <v>0</v>
      </c>
      <c r="I1627" s="161" t="s">
        <v>7138</v>
      </c>
    </row>
    <row r="1628" spans="1:9">
      <c r="A1628" s="113">
        <v>100401333</v>
      </c>
      <c r="B1628" s="113" t="s">
        <v>4498</v>
      </c>
      <c r="C1628" s="113">
        <v>6060092</v>
      </c>
      <c r="D1628" s="113" t="s">
        <v>3093</v>
      </c>
      <c r="E1628" s="113" t="s">
        <v>1620</v>
      </c>
      <c r="F1628" s="113" t="s">
        <v>3093</v>
      </c>
      <c r="G1628" s="113" t="s">
        <v>3093</v>
      </c>
      <c r="H1628" s="161">
        <v>0</v>
      </c>
      <c r="I1628" s="161" t="s">
        <v>7138</v>
      </c>
    </row>
    <row r="1629" spans="1:9">
      <c r="A1629" s="113">
        <v>100401334</v>
      </c>
      <c r="B1629" s="113" t="s">
        <v>4499</v>
      </c>
      <c r="C1629" s="113">
        <v>6060093</v>
      </c>
      <c r="D1629" s="113" t="s">
        <v>3093</v>
      </c>
      <c r="E1629" s="113" t="s">
        <v>1620</v>
      </c>
      <c r="F1629" s="113" t="s">
        <v>3093</v>
      </c>
      <c r="G1629" s="113" t="s">
        <v>3093</v>
      </c>
      <c r="H1629" s="161">
        <v>0</v>
      </c>
      <c r="I1629" s="161" t="s">
        <v>7138</v>
      </c>
    </row>
    <row r="1630" spans="1:9">
      <c r="A1630" s="113">
        <v>100401335</v>
      </c>
      <c r="B1630" s="113" t="s">
        <v>4500</v>
      </c>
      <c r="C1630" s="113">
        <v>6060094</v>
      </c>
      <c r="D1630" s="113" t="s">
        <v>3093</v>
      </c>
      <c r="E1630" s="113" t="s">
        <v>1620</v>
      </c>
      <c r="F1630" s="113" t="s">
        <v>3093</v>
      </c>
      <c r="G1630" s="113" t="s">
        <v>3093</v>
      </c>
      <c r="H1630" s="161">
        <v>0</v>
      </c>
      <c r="I1630" s="161" t="s">
        <v>7138</v>
      </c>
    </row>
    <row r="1631" spans="1:9">
      <c r="A1631" s="113">
        <v>100401336</v>
      </c>
      <c r="B1631" s="113" t="s">
        <v>4501</v>
      </c>
      <c r="C1631" s="113">
        <v>6060095</v>
      </c>
      <c r="D1631" s="113" t="s">
        <v>3093</v>
      </c>
      <c r="E1631" s="113" t="s">
        <v>1620</v>
      </c>
      <c r="F1631" s="113" t="s">
        <v>3093</v>
      </c>
      <c r="G1631" s="113" t="s">
        <v>3093</v>
      </c>
      <c r="H1631" s="161">
        <v>600</v>
      </c>
      <c r="I1631" s="161">
        <v>1</v>
      </c>
    </row>
    <row r="1632" spans="1:9">
      <c r="A1632" s="113">
        <v>100401337</v>
      </c>
      <c r="B1632" s="113" t="s">
        <v>4502</v>
      </c>
      <c r="C1632" s="113">
        <v>6060096</v>
      </c>
      <c r="D1632" s="113" t="s">
        <v>3093</v>
      </c>
      <c r="E1632" s="113" t="s">
        <v>1620</v>
      </c>
      <c r="F1632" s="113" t="s">
        <v>3093</v>
      </c>
      <c r="G1632" s="113" t="s">
        <v>3093</v>
      </c>
      <c r="H1632" s="161">
        <v>0</v>
      </c>
      <c r="I1632" s="161" t="s">
        <v>7138</v>
      </c>
    </row>
    <row r="1633" spans="1:9">
      <c r="A1633" s="113">
        <v>100401338</v>
      </c>
      <c r="B1633" s="113" t="s">
        <v>4503</v>
      </c>
      <c r="C1633" s="113">
        <v>6060097</v>
      </c>
      <c r="D1633" s="113" t="s">
        <v>3093</v>
      </c>
      <c r="E1633" s="113" t="s">
        <v>1620</v>
      </c>
      <c r="F1633" s="113" t="s">
        <v>3093</v>
      </c>
      <c r="G1633" s="113" t="s">
        <v>3093</v>
      </c>
      <c r="H1633" s="161">
        <v>0</v>
      </c>
      <c r="I1633" s="161" t="s">
        <v>7138</v>
      </c>
    </row>
    <row r="1634" spans="1:9">
      <c r="A1634" s="113">
        <v>100401339</v>
      </c>
      <c r="B1634" s="113" t="s">
        <v>4504</v>
      </c>
      <c r="C1634" s="113">
        <v>6060098</v>
      </c>
      <c r="D1634" s="113" t="s">
        <v>3093</v>
      </c>
      <c r="E1634" s="113" t="s">
        <v>1620</v>
      </c>
      <c r="F1634" s="113" t="s">
        <v>3093</v>
      </c>
      <c r="G1634" s="113" t="s">
        <v>3093</v>
      </c>
      <c r="H1634" s="161">
        <v>0</v>
      </c>
      <c r="I1634" s="161" t="s">
        <v>7138</v>
      </c>
    </row>
    <row r="1635" spans="1:9">
      <c r="A1635" s="113">
        <v>100401340</v>
      </c>
      <c r="B1635" s="113" t="s">
        <v>4505</v>
      </c>
      <c r="C1635" s="113">
        <v>6060099</v>
      </c>
      <c r="D1635" s="113" t="s">
        <v>3093</v>
      </c>
      <c r="E1635" s="113" t="s">
        <v>1620</v>
      </c>
      <c r="F1635" s="113" t="s">
        <v>3093</v>
      </c>
      <c r="G1635" s="113" t="s">
        <v>3093</v>
      </c>
      <c r="H1635" s="161">
        <v>0</v>
      </c>
      <c r="I1635" s="161" t="s">
        <v>7138</v>
      </c>
    </row>
    <row r="1636" spans="1:9">
      <c r="A1636" s="113">
        <v>100401341</v>
      </c>
      <c r="B1636" s="113" t="s">
        <v>4506</v>
      </c>
      <c r="C1636" s="113">
        <v>6060100</v>
      </c>
      <c r="D1636" s="113" t="s">
        <v>3093</v>
      </c>
      <c r="E1636" s="113" t="s">
        <v>1620</v>
      </c>
      <c r="F1636" s="113" t="s">
        <v>3093</v>
      </c>
      <c r="G1636" s="113" t="s">
        <v>3093</v>
      </c>
      <c r="H1636" s="161">
        <v>0</v>
      </c>
      <c r="I1636" s="161" t="s">
        <v>7138</v>
      </c>
    </row>
    <row r="1637" spans="1:9">
      <c r="A1637" s="113">
        <v>100401342</v>
      </c>
      <c r="B1637" s="113" t="s">
        <v>4507</v>
      </c>
      <c r="C1637" s="113">
        <v>6060101</v>
      </c>
      <c r="D1637" s="113" t="s">
        <v>3093</v>
      </c>
      <c r="E1637" s="113" t="s">
        <v>1620</v>
      </c>
      <c r="F1637" s="113" t="s">
        <v>3093</v>
      </c>
      <c r="G1637" s="113" t="s">
        <v>3093</v>
      </c>
      <c r="H1637" s="161">
        <v>0</v>
      </c>
      <c r="I1637" s="161" t="s">
        <v>7138</v>
      </c>
    </row>
    <row r="1638" spans="1:9">
      <c r="A1638" s="113">
        <v>100401343</v>
      </c>
      <c r="B1638" s="113" t="s">
        <v>4508</v>
      </c>
      <c r="C1638" s="113">
        <v>6060102</v>
      </c>
      <c r="D1638" s="113" t="s">
        <v>3093</v>
      </c>
      <c r="E1638" s="113" t="s">
        <v>1620</v>
      </c>
      <c r="F1638" s="113" t="s">
        <v>3093</v>
      </c>
      <c r="G1638" s="113" t="s">
        <v>3093</v>
      </c>
      <c r="H1638" s="161">
        <v>4200</v>
      </c>
      <c r="I1638" s="161">
        <v>2</v>
      </c>
    </row>
    <row r="1639" spans="1:9">
      <c r="A1639" s="113">
        <v>100401344</v>
      </c>
      <c r="B1639" s="113" t="s">
        <v>4509</v>
      </c>
      <c r="C1639" s="113">
        <v>6060103</v>
      </c>
      <c r="D1639" s="113" t="s">
        <v>3093</v>
      </c>
      <c r="E1639" s="113" t="s">
        <v>1620</v>
      </c>
      <c r="F1639" s="113" t="s">
        <v>3093</v>
      </c>
      <c r="G1639" s="113" t="s">
        <v>3093</v>
      </c>
      <c r="H1639" s="161">
        <v>0</v>
      </c>
      <c r="I1639" s="161" t="s">
        <v>7138</v>
      </c>
    </row>
    <row r="1640" spans="1:9">
      <c r="A1640" s="113">
        <v>100401346</v>
      </c>
      <c r="B1640" s="113" t="s">
        <v>4510</v>
      </c>
      <c r="C1640" s="113">
        <v>6060105</v>
      </c>
      <c r="D1640" s="113" t="s">
        <v>3093</v>
      </c>
      <c r="E1640" s="113" t="s">
        <v>1620</v>
      </c>
      <c r="F1640" s="113" t="s">
        <v>3093</v>
      </c>
      <c r="G1640" s="113" t="s">
        <v>3093</v>
      </c>
      <c r="H1640" s="161">
        <v>0</v>
      </c>
      <c r="I1640" s="161" t="s">
        <v>7138</v>
      </c>
    </row>
    <row r="1641" spans="1:9">
      <c r="A1641" s="113">
        <v>100401347</v>
      </c>
      <c r="B1641" s="113" t="s">
        <v>4511</v>
      </c>
      <c r="C1641" s="113">
        <v>6060106</v>
      </c>
      <c r="D1641" s="113" t="s">
        <v>3093</v>
      </c>
      <c r="E1641" s="113" t="s">
        <v>1620</v>
      </c>
      <c r="F1641" s="113" t="s">
        <v>3093</v>
      </c>
      <c r="G1641" s="113" t="s">
        <v>3093</v>
      </c>
      <c r="H1641" s="161">
        <v>0</v>
      </c>
      <c r="I1641" s="161" t="s">
        <v>7138</v>
      </c>
    </row>
    <row r="1642" spans="1:9">
      <c r="A1642" s="113">
        <v>100401348</v>
      </c>
      <c r="B1642" s="113" t="s">
        <v>4512</v>
      </c>
      <c r="C1642" s="113">
        <v>6060107</v>
      </c>
      <c r="D1642" s="113" t="s">
        <v>3093</v>
      </c>
      <c r="E1642" s="113" t="s">
        <v>1620</v>
      </c>
      <c r="F1642" s="113" t="s">
        <v>3093</v>
      </c>
      <c r="G1642" s="113" t="s">
        <v>3093</v>
      </c>
      <c r="H1642" s="161">
        <v>0</v>
      </c>
      <c r="I1642" s="161" t="s">
        <v>7138</v>
      </c>
    </row>
    <row r="1643" spans="1:9">
      <c r="A1643" s="113">
        <v>100401349</v>
      </c>
      <c r="B1643" s="113" t="s">
        <v>4513</v>
      </c>
      <c r="C1643" s="113">
        <v>6060108</v>
      </c>
      <c r="D1643" s="113" t="s">
        <v>3093</v>
      </c>
      <c r="E1643" s="113" t="s">
        <v>1620</v>
      </c>
      <c r="F1643" s="113" t="s">
        <v>3093</v>
      </c>
      <c r="G1643" s="113" t="s">
        <v>3093</v>
      </c>
      <c r="H1643" s="161">
        <v>191.75</v>
      </c>
      <c r="I1643" s="161">
        <v>6</v>
      </c>
    </row>
    <row r="1644" spans="1:9">
      <c r="A1644" s="113">
        <v>100401350</v>
      </c>
      <c r="B1644" s="113" t="s">
        <v>4514</v>
      </c>
      <c r="C1644" s="113">
        <v>6060109</v>
      </c>
      <c r="D1644" s="113" t="s">
        <v>3093</v>
      </c>
      <c r="E1644" s="113" t="s">
        <v>1620</v>
      </c>
      <c r="F1644" s="113" t="s">
        <v>3093</v>
      </c>
      <c r="G1644" s="113" t="s">
        <v>3093</v>
      </c>
      <c r="H1644" s="161">
        <v>268</v>
      </c>
      <c r="I1644" s="161">
        <v>2</v>
      </c>
    </row>
    <row r="1645" spans="1:9">
      <c r="A1645" s="113">
        <v>100401351</v>
      </c>
      <c r="B1645" s="113" t="s">
        <v>4515</v>
      </c>
      <c r="C1645" s="113">
        <v>6060110</v>
      </c>
      <c r="D1645" s="113" t="s">
        <v>3093</v>
      </c>
      <c r="E1645" s="113" t="s">
        <v>1620</v>
      </c>
      <c r="F1645" s="113" t="s">
        <v>3093</v>
      </c>
      <c r="G1645" s="113" t="s">
        <v>3093</v>
      </c>
      <c r="H1645" s="161">
        <v>70.290000000000006</v>
      </c>
      <c r="I1645" s="161">
        <v>2</v>
      </c>
    </row>
    <row r="1646" spans="1:9">
      <c r="A1646" s="113">
        <v>100401352</v>
      </c>
      <c r="B1646" s="113" t="s">
        <v>4516</v>
      </c>
      <c r="C1646" s="113">
        <v>6060111</v>
      </c>
      <c r="D1646" s="113" t="s">
        <v>3093</v>
      </c>
      <c r="E1646" s="113" t="s">
        <v>1620</v>
      </c>
      <c r="F1646" s="113" t="s">
        <v>3093</v>
      </c>
      <c r="G1646" s="113" t="s">
        <v>3093</v>
      </c>
      <c r="H1646" s="161">
        <v>295</v>
      </c>
      <c r="I1646" s="161">
        <v>2</v>
      </c>
    </row>
    <row r="1647" spans="1:9">
      <c r="A1647" s="113">
        <v>100401353</v>
      </c>
      <c r="B1647" s="113" t="s">
        <v>4517</v>
      </c>
      <c r="C1647" s="113">
        <v>6060112</v>
      </c>
      <c r="D1647" s="113" t="s">
        <v>3093</v>
      </c>
      <c r="E1647" s="113" t="s">
        <v>1620</v>
      </c>
      <c r="F1647" s="113" t="s">
        <v>3093</v>
      </c>
      <c r="G1647" s="113" t="s">
        <v>3093</v>
      </c>
      <c r="H1647" s="161">
        <v>211.84</v>
      </c>
      <c r="I1647" s="161">
        <v>6</v>
      </c>
    </row>
    <row r="1648" spans="1:9">
      <c r="A1648" s="113">
        <v>100401354</v>
      </c>
      <c r="B1648" s="113" t="s">
        <v>4518</v>
      </c>
      <c r="C1648" s="113">
        <v>6060114</v>
      </c>
      <c r="D1648" s="113" t="s">
        <v>3093</v>
      </c>
      <c r="E1648" s="113" t="s">
        <v>1620</v>
      </c>
      <c r="F1648" s="113" t="s">
        <v>3093</v>
      </c>
      <c r="G1648" s="113" t="s">
        <v>3093</v>
      </c>
      <c r="H1648" s="161">
        <v>515</v>
      </c>
      <c r="I1648" s="161">
        <v>1</v>
      </c>
    </row>
    <row r="1649" spans="1:9">
      <c r="A1649" s="113">
        <v>100401355</v>
      </c>
      <c r="B1649" s="113" t="s">
        <v>4519</v>
      </c>
      <c r="C1649" s="113">
        <v>6060115</v>
      </c>
      <c r="D1649" s="113" t="s">
        <v>3093</v>
      </c>
      <c r="E1649" s="113" t="s">
        <v>1620</v>
      </c>
      <c r="F1649" s="113" t="s">
        <v>3093</v>
      </c>
      <c r="G1649" s="113" t="s">
        <v>3093</v>
      </c>
      <c r="H1649" s="161">
        <v>515</v>
      </c>
      <c r="I1649" s="161">
        <v>1</v>
      </c>
    </row>
    <row r="1650" spans="1:9">
      <c r="A1650" s="113">
        <v>100401356</v>
      </c>
      <c r="B1650" s="113" t="s">
        <v>4520</v>
      </c>
      <c r="C1650" s="113">
        <v>6060116</v>
      </c>
      <c r="D1650" s="113" t="s">
        <v>3093</v>
      </c>
      <c r="E1650" s="113" t="s">
        <v>1620</v>
      </c>
      <c r="F1650" s="113" t="s">
        <v>3093</v>
      </c>
      <c r="G1650" s="113" t="s">
        <v>3093</v>
      </c>
      <c r="H1650" s="161">
        <v>0</v>
      </c>
      <c r="I1650" s="161" t="s">
        <v>7138</v>
      </c>
    </row>
    <row r="1651" spans="1:9">
      <c r="A1651" s="113">
        <v>100401357</v>
      </c>
      <c r="B1651" s="113" t="s">
        <v>4521</v>
      </c>
      <c r="C1651" s="113">
        <v>6060117</v>
      </c>
      <c r="D1651" s="113" t="s">
        <v>3093</v>
      </c>
      <c r="E1651" s="113" t="s">
        <v>1620</v>
      </c>
      <c r="F1651" s="113" t="s">
        <v>3093</v>
      </c>
      <c r="G1651" s="113" t="s">
        <v>3093</v>
      </c>
      <c r="H1651" s="161">
        <v>0</v>
      </c>
      <c r="I1651" s="161" t="s">
        <v>7138</v>
      </c>
    </row>
    <row r="1652" spans="1:9">
      <c r="A1652" s="113">
        <v>100401358</v>
      </c>
      <c r="B1652" s="113" t="s">
        <v>2878</v>
      </c>
      <c r="C1652" s="113">
        <v>6060118</v>
      </c>
      <c r="D1652" s="113" t="s">
        <v>3093</v>
      </c>
      <c r="E1652" s="113" t="s">
        <v>1620</v>
      </c>
      <c r="F1652" s="113" t="s">
        <v>3093</v>
      </c>
      <c r="G1652" s="113" t="s">
        <v>3093</v>
      </c>
      <c r="H1652" s="161">
        <v>0</v>
      </c>
      <c r="I1652" s="161" t="s">
        <v>7138</v>
      </c>
    </row>
    <row r="1653" spans="1:9">
      <c r="A1653" s="113">
        <v>100401359</v>
      </c>
      <c r="B1653" s="113" t="s">
        <v>4522</v>
      </c>
      <c r="C1653" s="113">
        <v>6060119</v>
      </c>
      <c r="D1653" s="113" t="s">
        <v>3093</v>
      </c>
      <c r="E1653" s="113" t="s">
        <v>1620</v>
      </c>
      <c r="F1653" s="113" t="s">
        <v>3093</v>
      </c>
      <c r="G1653" s="113" t="s">
        <v>3093</v>
      </c>
      <c r="H1653" s="161">
        <v>25.03</v>
      </c>
      <c r="I1653" s="161">
        <v>2</v>
      </c>
    </row>
    <row r="1654" spans="1:9">
      <c r="A1654" s="113">
        <v>100401360</v>
      </c>
      <c r="B1654" s="113" t="s">
        <v>4523</v>
      </c>
      <c r="C1654" s="113">
        <v>6060120</v>
      </c>
      <c r="D1654" s="113" t="s">
        <v>3093</v>
      </c>
      <c r="E1654" s="113" t="s">
        <v>1620</v>
      </c>
      <c r="F1654" s="113" t="s">
        <v>3093</v>
      </c>
      <c r="G1654" s="113" t="s">
        <v>3093</v>
      </c>
      <c r="H1654" s="161">
        <v>200</v>
      </c>
      <c r="I1654" s="161">
        <v>2</v>
      </c>
    </row>
    <row r="1655" spans="1:9">
      <c r="A1655" s="113">
        <v>100401361</v>
      </c>
      <c r="B1655" s="113" t="s">
        <v>4524</v>
      </c>
      <c r="C1655" s="113">
        <v>6060121</v>
      </c>
      <c r="D1655" s="113" t="s">
        <v>3093</v>
      </c>
      <c r="E1655" s="113" t="s">
        <v>1620</v>
      </c>
      <c r="F1655" s="113" t="s">
        <v>3093</v>
      </c>
      <c r="G1655" s="113" t="s">
        <v>3093</v>
      </c>
      <c r="H1655" s="161">
        <v>150</v>
      </c>
      <c r="I1655" s="161">
        <v>2</v>
      </c>
    </row>
    <row r="1656" spans="1:9">
      <c r="A1656" s="113">
        <v>100401362</v>
      </c>
      <c r="B1656" s="113" t="s">
        <v>4525</v>
      </c>
      <c r="C1656" s="113">
        <v>6060122</v>
      </c>
      <c r="D1656" s="113" t="s">
        <v>3093</v>
      </c>
      <c r="E1656" s="113" t="s">
        <v>1620</v>
      </c>
      <c r="F1656" s="113" t="s">
        <v>3093</v>
      </c>
      <c r="G1656" s="113" t="s">
        <v>3093</v>
      </c>
      <c r="H1656" s="161">
        <v>0</v>
      </c>
      <c r="I1656" s="161" t="s">
        <v>7138</v>
      </c>
    </row>
    <row r="1657" spans="1:9">
      <c r="A1657" s="113">
        <v>100401363</v>
      </c>
      <c r="B1657" s="113" t="s">
        <v>4526</v>
      </c>
      <c r="C1657" s="113">
        <v>6060123</v>
      </c>
      <c r="D1657" s="113" t="s">
        <v>3093</v>
      </c>
      <c r="E1657" s="113" t="s">
        <v>1620</v>
      </c>
      <c r="F1657" s="113" t="s">
        <v>3093</v>
      </c>
      <c r="G1657" s="113" t="s">
        <v>3093</v>
      </c>
      <c r="H1657" s="161">
        <v>0</v>
      </c>
      <c r="I1657" s="161" t="s">
        <v>7138</v>
      </c>
    </row>
    <row r="1658" spans="1:9">
      <c r="A1658" s="113">
        <v>100401364</v>
      </c>
      <c r="B1658" s="113" t="s">
        <v>4527</v>
      </c>
      <c r="C1658" s="113">
        <v>6060124</v>
      </c>
      <c r="D1658" s="113" t="s">
        <v>3093</v>
      </c>
      <c r="E1658" s="113" t="s">
        <v>1620</v>
      </c>
      <c r="F1658" s="113" t="s">
        <v>3093</v>
      </c>
      <c r="G1658" s="113" t="s">
        <v>3093</v>
      </c>
      <c r="H1658" s="161">
        <v>1.9</v>
      </c>
      <c r="I1658" s="161">
        <v>1</v>
      </c>
    </row>
    <row r="1659" spans="1:9">
      <c r="A1659" s="113">
        <v>100401365</v>
      </c>
      <c r="B1659" s="113" t="s">
        <v>4528</v>
      </c>
      <c r="C1659" s="113">
        <v>6061000</v>
      </c>
      <c r="D1659" s="113" t="s">
        <v>3093</v>
      </c>
      <c r="E1659" s="113" t="s">
        <v>1620</v>
      </c>
      <c r="F1659" s="113" t="s">
        <v>3093</v>
      </c>
      <c r="G1659" s="113" t="s">
        <v>3093</v>
      </c>
      <c r="H1659" s="161">
        <v>0</v>
      </c>
      <c r="I1659" s="161" t="s">
        <v>7138</v>
      </c>
    </row>
    <row r="1660" spans="1:9">
      <c r="A1660" s="113">
        <v>100401366</v>
      </c>
      <c r="B1660" s="113" t="s">
        <v>4529</v>
      </c>
      <c r="C1660" s="113">
        <v>6061011</v>
      </c>
      <c r="D1660" s="113" t="s">
        <v>3093</v>
      </c>
      <c r="E1660" s="113" t="s">
        <v>1620</v>
      </c>
      <c r="F1660" s="113" t="s">
        <v>3093</v>
      </c>
      <c r="G1660" s="113" t="s">
        <v>3093</v>
      </c>
      <c r="H1660" s="161">
        <v>2102.84</v>
      </c>
      <c r="I1660" s="161" t="s">
        <v>7138</v>
      </c>
    </row>
    <row r="1661" spans="1:9">
      <c r="A1661" s="113">
        <v>100401367</v>
      </c>
      <c r="B1661" s="113" t="s">
        <v>4530</v>
      </c>
      <c r="C1661" s="113">
        <v>6061012</v>
      </c>
      <c r="D1661" s="113" t="s">
        <v>3093</v>
      </c>
      <c r="E1661" s="113" t="s">
        <v>1620</v>
      </c>
      <c r="F1661" s="113" t="s">
        <v>3093</v>
      </c>
      <c r="G1661" s="113" t="s">
        <v>3093</v>
      </c>
      <c r="H1661" s="161">
        <v>0</v>
      </c>
      <c r="I1661" s="161" t="s">
        <v>7138</v>
      </c>
    </row>
    <row r="1662" spans="1:9">
      <c r="A1662" s="113">
        <v>100401368</v>
      </c>
      <c r="B1662" s="113" t="s">
        <v>4531</v>
      </c>
      <c r="C1662" s="113">
        <v>6061013</v>
      </c>
      <c r="D1662" s="113" t="s">
        <v>3093</v>
      </c>
      <c r="E1662" s="113" t="s">
        <v>1620</v>
      </c>
      <c r="F1662" s="113" t="s">
        <v>3093</v>
      </c>
      <c r="G1662" s="113" t="s">
        <v>3093</v>
      </c>
      <c r="H1662" s="161">
        <v>0</v>
      </c>
      <c r="I1662" s="161" t="s">
        <v>7138</v>
      </c>
    </row>
    <row r="1663" spans="1:9">
      <c r="A1663" s="113">
        <v>100401369</v>
      </c>
      <c r="B1663" s="113" t="s">
        <v>4532</v>
      </c>
      <c r="C1663" s="113">
        <v>6061014</v>
      </c>
      <c r="D1663" s="113" t="s">
        <v>3093</v>
      </c>
      <c r="E1663" s="113" t="s">
        <v>1620</v>
      </c>
      <c r="F1663" s="113" t="s">
        <v>3093</v>
      </c>
      <c r="G1663" s="113" t="s">
        <v>3093</v>
      </c>
      <c r="H1663" s="161">
        <v>0</v>
      </c>
      <c r="I1663" s="161" t="s">
        <v>7138</v>
      </c>
    </row>
    <row r="1664" spans="1:9">
      <c r="A1664" s="113">
        <v>100401370</v>
      </c>
      <c r="B1664" s="113" t="s">
        <v>4533</v>
      </c>
      <c r="C1664" s="113">
        <v>6061015</v>
      </c>
      <c r="D1664" s="113" t="s">
        <v>3093</v>
      </c>
      <c r="E1664" s="113" t="s">
        <v>1620</v>
      </c>
      <c r="F1664" s="113" t="s">
        <v>3093</v>
      </c>
      <c r="G1664" s="113" t="s">
        <v>3093</v>
      </c>
      <c r="H1664" s="161">
        <v>0</v>
      </c>
      <c r="I1664" s="161" t="s">
        <v>7138</v>
      </c>
    </row>
    <row r="1665" spans="1:9">
      <c r="A1665" s="113">
        <v>100401371</v>
      </c>
      <c r="B1665" s="113" t="s">
        <v>2879</v>
      </c>
      <c r="C1665" s="113">
        <v>6061016</v>
      </c>
      <c r="D1665" s="113" t="s">
        <v>3093</v>
      </c>
      <c r="E1665" s="113" t="s">
        <v>1620</v>
      </c>
      <c r="F1665" s="113" t="s">
        <v>3093</v>
      </c>
      <c r="G1665" s="113" t="s">
        <v>3093</v>
      </c>
      <c r="H1665" s="161">
        <v>0</v>
      </c>
      <c r="I1665" s="161" t="s">
        <v>7138</v>
      </c>
    </row>
    <row r="1666" spans="1:9">
      <c r="A1666" s="113">
        <v>100401372</v>
      </c>
      <c r="B1666" s="113" t="s">
        <v>2880</v>
      </c>
      <c r="C1666" s="113">
        <v>6061017</v>
      </c>
      <c r="D1666" s="113" t="s">
        <v>3093</v>
      </c>
      <c r="E1666" s="113" t="s">
        <v>1620</v>
      </c>
      <c r="F1666" s="113" t="s">
        <v>3093</v>
      </c>
      <c r="G1666" s="113" t="s">
        <v>3093</v>
      </c>
      <c r="H1666" s="161">
        <v>0</v>
      </c>
      <c r="I1666" s="161" t="s">
        <v>7138</v>
      </c>
    </row>
    <row r="1667" spans="1:9">
      <c r="A1667" s="113">
        <v>100401373</v>
      </c>
      <c r="B1667" s="113" t="s">
        <v>2881</v>
      </c>
      <c r="C1667" s="113">
        <v>6061018</v>
      </c>
      <c r="D1667" s="113" t="s">
        <v>3093</v>
      </c>
      <c r="E1667" s="113" t="s">
        <v>1620</v>
      </c>
      <c r="F1667" s="113" t="s">
        <v>3093</v>
      </c>
      <c r="G1667" s="113" t="s">
        <v>3093</v>
      </c>
      <c r="H1667" s="161">
        <v>0</v>
      </c>
      <c r="I1667" s="161" t="s">
        <v>7138</v>
      </c>
    </row>
    <row r="1668" spans="1:9">
      <c r="A1668" s="113">
        <v>100401374</v>
      </c>
      <c r="B1668" s="113" t="s">
        <v>4534</v>
      </c>
      <c r="C1668" s="113">
        <v>6061019</v>
      </c>
      <c r="D1668" s="113" t="s">
        <v>3093</v>
      </c>
      <c r="E1668" s="113" t="s">
        <v>1620</v>
      </c>
      <c r="F1668" s="113" t="s">
        <v>3093</v>
      </c>
      <c r="G1668" s="113" t="s">
        <v>3093</v>
      </c>
      <c r="H1668" s="161">
        <v>0</v>
      </c>
      <c r="I1668" s="161" t="s">
        <v>7138</v>
      </c>
    </row>
    <row r="1669" spans="1:9">
      <c r="A1669" s="113">
        <v>100401375</v>
      </c>
      <c r="B1669" s="113" t="s">
        <v>4535</v>
      </c>
      <c r="C1669" s="113">
        <v>6061020</v>
      </c>
      <c r="D1669" s="113" t="s">
        <v>3093</v>
      </c>
      <c r="E1669" s="113" t="s">
        <v>1620</v>
      </c>
      <c r="F1669" s="113" t="s">
        <v>3093</v>
      </c>
      <c r="G1669" s="113" t="s">
        <v>3093</v>
      </c>
      <c r="H1669" s="161">
        <v>0</v>
      </c>
      <c r="I1669" s="161" t="s">
        <v>7138</v>
      </c>
    </row>
    <row r="1670" spans="1:9">
      <c r="A1670" s="113">
        <v>100401376</v>
      </c>
      <c r="B1670" s="113" t="s">
        <v>4536</v>
      </c>
      <c r="C1670" s="113">
        <v>6061021</v>
      </c>
      <c r="D1670" s="113" t="s">
        <v>3093</v>
      </c>
      <c r="E1670" s="113" t="s">
        <v>1620</v>
      </c>
      <c r="F1670" s="113" t="s">
        <v>3093</v>
      </c>
      <c r="G1670" s="113" t="s">
        <v>3093</v>
      </c>
      <c r="H1670" s="161">
        <v>0</v>
      </c>
      <c r="I1670" s="161" t="s">
        <v>7138</v>
      </c>
    </row>
    <row r="1671" spans="1:9">
      <c r="A1671" s="113">
        <v>100401377</v>
      </c>
      <c r="B1671" s="113" t="s">
        <v>4537</v>
      </c>
      <c r="C1671" s="113">
        <v>6061022</v>
      </c>
      <c r="D1671" s="113" t="s">
        <v>3093</v>
      </c>
      <c r="E1671" s="113" t="s">
        <v>1620</v>
      </c>
      <c r="F1671" s="113" t="s">
        <v>3093</v>
      </c>
      <c r="G1671" s="113" t="s">
        <v>3093</v>
      </c>
      <c r="H1671" s="161">
        <v>0</v>
      </c>
      <c r="I1671" s="161" t="s">
        <v>7138</v>
      </c>
    </row>
    <row r="1672" spans="1:9">
      <c r="A1672" s="113">
        <v>100401378</v>
      </c>
      <c r="B1672" s="113" t="s">
        <v>4538</v>
      </c>
      <c r="C1672" s="113">
        <v>6062016</v>
      </c>
      <c r="D1672" s="113" t="s">
        <v>3093</v>
      </c>
      <c r="E1672" s="113" t="s">
        <v>1620</v>
      </c>
      <c r="F1672" s="113" t="s">
        <v>3093</v>
      </c>
      <c r="G1672" s="113" t="s">
        <v>3093</v>
      </c>
      <c r="H1672" s="161">
        <v>972</v>
      </c>
      <c r="I1672" s="161">
        <v>4</v>
      </c>
    </row>
    <row r="1673" spans="1:9">
      <c r="A1673" s="113">
        <v>100401379</v>
      </c>
      <c r="B1673" s="113" t="s">
        <v>4539</v>
      </c>
      <c r="C1673" s="113">
        <v>6062032</v>
      </c>
      <c r="D1673" s="113" t="s">
        <v>3093</v>
      </c>
      <c r="E1673" s="113" t="s">
        <v>1620</v>
      </c>
      <c r="F1673" s="113" t="s">
        <v>3093</v>
      </c>
      <c r="G1673" s="113" t="s">
        <v>3093</v>
      </c>
      <c r="H1673" s="161">
        <v>0</v>
      </c>
      <c r="I1673" s="161" t="s">
        <v>7138</v>
      </c>
    </row>
    <row r="1674" spans="1:9">
      <c r="A1674" s="113">
        <v>100401380</v>
      </c>
      <c r="B1674" s="113" t="s">
        <v>4540</v>
      </c>
      <c r="C1674" s="113">
        <v>6062035</v>
      </c>
      <c r="D1674" s="113" t="s">
        <v>3093</v>
      </c>
      <c r="E1674" s="113" t="s">
        <v>1620</v>
      </c>
      <c r="F1674" s="113" t="s">
        <v>3093</v>
      </c>
      <c r="G1674" s="113" t="s">
        <v>3093</v>
      </c>
      <c r="H1674" s="161">
        <v>200</v>
      </c>
      <c r="I1674" s="161">
        <v>50</v>
      </c>
    </row>
    <row r="1675" spans="1:9">
      <c r="A1675" s="113">
        <v>100401381</v>
      </c>
      <c r="B1675" s="113" t="s">
        <v>4541</v>
      </c>
      <c r="C1675" s="113">
        <v>6062036</v>
      </c>
      <c r="D1675" s="113" t="s">
        <v>3093</v>
      </c>
      <c r="E1675" s="113" t="s">
        <v>1620</v>
      </c>
      <c r="F1675" s="113" t="s">
        <v>3093</v>
      </c>
      <c r="G1675" s="113" t="s">
        <v>3093</v>
      </c>
      <c r="H1675" s="161">
        <v>200</v>
      </c>
      <c r="I1675" s="161">
        <v>120</v>
      </c>
    </row>
    <row r="1676" spans="1:9">
      <c r="A1676" s="113">
        <v>100401382</v>
      </c>
      <c r="B1676" s="113" t="s">
        <v>4542</v>
      </c>
      <c r="C1676" s="113">
        <v>6062040</v>
      </c>
      <c r="D1676" s="113" t="s">
        <v>3093</v>
      </c>
      <c r="E1676" s="113" t="s">
        <v>1620</v>
      </c>
      <c r="F1676" s="113" t="s">
        <v>3093</v>
      </c>
      <c r="G1676" s="113" t="s">
        <v>3093</v>
      </c>
      <c r="H1676" s="161">
        <v>375.93</v>
      </c>
      <c r="I1676" s="161">
        <v>0</v>
      </c>
    </row>
    <row r="1677" spans="1:9">
      <c r="A1677" s="113">
        <v>100401383</v>
      </c>
      <c r="B1677" s="113" t="s">
        <v>4543</v>
      </c>
      <c r="C1677" s="113">
        <v>6062041</v>
      </c>
      <c r="D1677" s="113" t="s">
        <v>3093</v>
      </c>
      <c r="E1677" s="113" t="s">
        <v>1620</v>
      </c>
      <c r="F1677" s="113" t="s">
        <v>3093</v>
      </c>
      <c r="G1677" s="113" t="s">
        <v>3093</v>
      </c>
      <c r="H1677" s="161">
        <v>604</v>
      </c>
      <c r="I1677" s="161">
        <v>8</v>
      </c>
    </row>
    <row r="1678" spans="1:9">
      <c r="A1678" s="113">
        <v>100401384</v>
      </c>
      <c r="B1678" s="113" t="s">
        <v>4544</v>
      </c>
      <c r="C1678" s="113">
        <v>6062042</v>
      </c>
      <c r="D1678" s="113" t="s">
        <v>3093</v>
      </c>
      <c r="E1678" s="113" t="s">
        <v>1620</v>
      </c>
      <c r="F1678" s="113" t="s">
        <v>3093</v>
      </c>
      <c r="G1678" s="113" t="s">
        <v>3093</v>
      </c>
      <c r="H1678" s="161">
        <v>0</v>
      </c>
      <c r="I1678" s="161" t="s">
        <v>7138</v>
      </c>
    </row>
    <row r="1679" spans="1:9">
      <c r="A1679" s="113">
        <v>100401385</v>
      </c>
      <c r="B1679" s="113" t="s">
        <v>4545</v>
      </c>
      <c r="C1679" s="113">
        <v>6062043</v>
      </c>
      <c r="D1679" s="113" t="s">
        <v>3093</v>
      </c>
      <c r="E1679" s="113" t="s">
        <v>1620</v>
      </c>
      <c r="F1679" s="113" t="s">
        <v>3093</v>
      </c>
      <c r="G1679" s="113" t="s">
        <v>3093</v>
      </c>
      <c r="H1679" s="161">
        <v>704</v>
      </c>
      <c r="I1679" s="161">
        <v>1</v>
      </c>
    </row>
    <row r="1680" spans="1:9">
      <c r="A1680" s="113">
        <v>100401386</v>
      </c>
      <c r="B1680" s="113" t="s">
        <v>4546</v>
      </c>
      <c r="C1680" s="113">
        <v>6062044</v>
      </c>
      <c r="D1680" s="113" t="s">
        <v>3093</v>
      </c>
      <c r="E1680" s="113" t="s">
        <v>1620</v>
      </c>
      <c r="F1680" s="113" t="s">
        <v>3093</v>
      </c>
      <c r="G1680" s="113" t="s">
        <v>3093</v>
      </c>
      <c r="H1680" s="161">
        <v>0</v>
      </c>
      <c r="I1680" s="161" t="s">
        <v>7138</v>
      </c>
    </row>
    <row r="1681" spans="1:9">
      <c r="A1681" s="113">
        <v>100401387</v>
      </c>
      <c r="B1681" s="113" t="s">
        <v>4547</v>
      </c>
      <c r="C1681" s="113">
        <v>6062045</v>
      </c>
      <c r="D1681" s="113" t="s">
        <v>3093</v>
      </c>
      <c r="E1681" s="113" t="s">
        <v>1620</v>
      </c>
      <c r="F1681" s="113" t="s">
        <v>3093</v>
      </c>
      <c r="G1681" s="113" t="s">
        <v>3093</v>
      </c>
      <c r="H1681" s="161">
        <v>0</v>
      </c>
      <c r="I1681" s="161" t="s">
        <v>7138</v>
      </c>
    </row>
    <row r="1682" spans="1:9">
      <c r="A1682" s="113">
        <v>100401388</v>
      </c>
      <c r="B1682" s="113" t="s">
        <v>4548</v>
      </c>
      <c r="C1682" s="113">
        <v>6062046</v>
      </c>
      <c r="D1682" s="113" t="s">
        <v>3093</v>
      </c>
      <c r="E1682" s="113" t="s">
        <v>1620</v>
      </c>
      <c r="F1682" s="113" t="s">
        <v>3093</v>
      </c>
      <c r="G1682" s="113" t="s">
        <v>3093</v>
      </c>
      <c r="H1682" s="161">
        <v>21.47</v>
      </c>
      <c r="I1682" s="161">
        <v>16</v>
      </c>
    </row>
    <row r="1683" spans="1:9">
      <c r="A1683" s="113">
        <v>100401389</v>
      </c>
      <c r="B1683" s="113" t="s">
        <v>4549</v>
      </c>
      <c r="C1683" s="113">
        <v>6062047</v>
      </c>
      <c r="D1683" s="113" t="s">
        <v>3093</v>
      </c>
      <c r="E1683" s="113" t="s">
        <v>1620</v>
      </c>
      <c r="F1683" s="113" t="s">
        <v>3093</v>
      </c>
      <c r="G1683" s="113" t="s">
        <v>3093</v>
      </c>
      <c r="H1683" s="161">
        <v>0</v>
      </c>
      <c r="I1683" s="161" t="s">
        <v>7138</v>
      </c>
    </row>
    <row r="1684" spans="1:9">
      <c r="A1684" s="113">
        <v>100401390</v>
      </c>
      <c r="B1684" s="113" t="s">
        <v>4550</v>
      </c>
      <c r="C1684" s="113">
        <v>6062048</v>
      </c>
      <c r="D1684" s="113" t="s">
        <v>3093</v>
      </c>
      <c r="E1684" s="113" t="s">
        <v>1620</v>
      </c>
      <c r="F1684" s="113" t="s">
        <v>3093</v>
      </c>
      <c r="G1684" s="113" t="s">
        <v>3093</v>
      </c>
      <c r="H1684" s="161">
        <v>158.19999999999999</v>
      </c>
      <c r="I1684" s="161">
        <v>3</v>
      </c>
    </row>
    <row r="1685" spans="1:9">
      <c r="A1685" s="113">
        <v>100401391</v>
      </c>
      <c r="B1685" s="113" t="s">
        <v>4551</v>
      </c>
      <c r="C1685" s="113">
        <v>6062049</v>
      </c>
      <c r="D1685" s="113" t="s">
        <v>3093</v>
      </c>
      <c r="E1685" s="113" t="s">
        <v>1620</v>
      </c>
      <c r="F1685" s="113" t="s">
        <v>3093</v>
      </c>
      <c r="G1685" s="113" t="s">
        <v>3093</v>
      </c>
      <c r="H1685" s="161">
        <v>0</v>
      </c>
      <c r="I1685" s="161" t="s">
        <v>7138</v>
      </c>
    </row>
    <row r="1686" spans="1:9">
      <c r="A1686" s="113">
        <v>100401392</v>
      </c>
      <c r="B1686" s="113" t="s">
        <v>4552</v>
      </c>
      <c r="C1686" s="113">
        <v>6062050</v>
      </c>
      <c r="D1686" s="113" t="s">
        <v>3093</v>
      </c>
      <c r="E1686" s="113" t="s">
        <v>1620</v>
      </c>
      <c r="F1686" s="113" t="s">
        <v>3093</v>
      </c>
      <c r="G1686" s="113" t="s">
        <v>3093</v>
      </c>
      <c r="H1686" s="161">
        <v>53.46</v>
      </c>
      <c r="I1686" s="161">
        <v>8</v>
      </c>
    </row>
    <row r="1687" spans="1:9">
      <c r="A1687" s="113">
        <v>100401393</v>
      </c>
      <c r="B1687" s="113" t="s">
        <v>4553</v>
      </c>
      <c r="C1687" s="113">
        <v>6062051</v>
      </c>
      <c r="D1687" s="113" t="s">
        <v>3093</v>
      </c>
      <c r="E1687" s="113" t="s">
        <v>1620</v>
      </c>
      <c r="F1687" s="113" t="s">
        <v>3093</v>
      </c>
      <c r="G1687" s="113" t="s">
        <v>3093</v>
      </c>
      <c r="H1687" s="161">
        <v>61.29</v>
      </c>
      <c r="I1687" s="161">
        <v>8</v>
      </c>
    </row>
    <row r="1688" spans="1:9">
      <c r="A1688" s="113">
        <v>100401394</v>
      </c>
      <c r="B1688" s="113" t="s">
        <v>4554</v>
      </c>
      <c r="C1688" s="113">
        <v>6062052</v>
      </c>
      <c r="D1688" s="113" t="s">
        <v>3093</v>
      </c>
      <c r="E1688" s="113" t="s">
        <v>1620</v>
      </c>
      <c r="F1688" s="113" t="s">
        <v>3093</v>
      </c>
      <c r="G1688" s="113" t="s">
        <v>3093</v>
      </c>
      <c r="H1688" s="161">
        <v>79.2</v>
      </c>
      <c r="I1688" s="161">
        <v>8</v>
      </c>
    </row>
    <row r="1689" spans="1:9">
      <c r="A1689" s="113">
        <v>100401395</v>
      </c>
      <c r="B1689" s="113" t="s">
        <v>4555</v>
      </c>
      <c r="C1689" s="113">
        <v>6062053</v>
      </c>
      <c r="D1689" s="113" t="s">
        <v>3093</v>
      </c>
      <c r="E1689" s="113" t="s">
        <v>1620</v>
      </c>
      <c r="F1689" s="113" t="s">
        <v>3093</v>
      </c>
      <c r="G1689" s="113" t="s">
        <v>3093</v>
      </c>
      <c r="H1689" s="161">
        <v>23.78</v>
      </c>
      <c r="I1689" s="161">
        <v>3</v>
      </c>
    </row>
    <row r="1690" spans="1:9">
      <c r="A1690" s="113">
        <v>100401396</v>
      </c>
      <c r="B1690" s="113" t="s">
        <v>4556</v>
      </c>
      <c r="C1690" s="113">
        <v>6062054</v>
      </c>
      <c r="D1690" s="113" t="s">
        <v>3093</v>
      </c>
      <c r="E1690" s="113" t="s">
        <v>1620</v>
      </c>
      <c r="F1690" s="113" t="s">
        <v>3093</v>
      </c>
      <c r="G1690" s="113" t="s">
        <v>3093</v>
      </c>
      <c r="H1690" s="161">
        <v>18.079999999999998</v>
      </c>
      <c r="I1690" s="161">
        <v>23</v>
      </c>
    </row>
    <row r="1691" spans="1:9">
      <c r="A1691" s="113">
        <v>100401397</v>
      </c>
      <c r="B1691" s="113" t="s">
        <v>4557</v>
      </c>
      <c r="C1691" s="113">
        <v>6062055</v>
      </c>
      <c r="D1691" s="113" t="s">
        <v>3093</v>
      </c>
      <c r="E1691" s="113" t="s">
        <v>1620</v>
      </c>
      <c r="F1691" s="113" t="s">
        <v>3093</v>
      </c>
      <c r="G1691" s="113" t="s">
        <v>3093</v>
      </c>
      <c r="H1691" s="161">
        <v>338</v>
      </c>
      <c r="I1691" s="161">
        <v>24</v>
      </c>
    </row>
    <row r="1692" spans="1:9">
      <c r="A1692" s="113">
        <v>100401398</v>
      </c>
      <c r="B1692" s="113" t="s">
        <v>4558</v>
      </c>
      <c r="C1692" s="113">
        <v>6062056</v>
      </c>
      <c r="D1692" s="113" t="s">
        <v>3093</v>
      </c>
      <c r="E1692" s="113" t="s">
        <v>1620</v>
      </c>
      <c r="F1692" s="113" t="s">
        <v>3093</v>
      </c>
      <c r="G1692" s="113" t="s">
        <v>3093</v>
      </c>
      <c r="H1692" s="161">
        <v>338</v>
      </c>
      <c r="I1692" s="161">
        <v>2</v>
      </c>
    </row>
    <row r="1693" spans="1:9">
      <c r="A1693" s="113">
        <v>100401399</v>
      </c>
      <c r="B1693" s="113" t="s">
        <v>2882</v>
      </c>
      <c r="C1693" s="113">
        <v>6062057</v>
      </c>
      <c r="D1693" s="113" t="s">
        <v>3093</v>
      </c>
      <c r="E1693" s="113" t="s">
        <v>1620</v>
      </c>
      <c r="F1693" s="113" t="s">
        <v>3093</v>
      </c>
      <c r="G1693" s="113" t="s">
        <v>3093</v>
      </c>
      <c r="H1693" s="161">
        <v>0</v>
      </c>
      <c r="I1693" s="161" t="s">
        <v>7138</v>
      </c>
    </row>
    <row r="1694" spans="1:9">
      <c r="A1694" s="113">
        <v>100401400</v>
      </c>
      <c r="B1694" s="113" t="s">
        <v>2883</v>
      </c>
      <c r="C1694" s="113">
        <v>6062058</v>
      </c>
      <c r="D1694" s="113" t="s">
        <v>3093</v>
      </c>
      <c r="E1694" s="113" t="s">
        <v>1620</v>
      </c>
      <c r="F1694" s="113" t="s">
        <v>3093</v>
      </c>
      <c r="G1694" s="113" t="s">
        <v>3093</v>
      </c>
      <c r="H1694" s="161">
        <v>0</v>
      </c>
      <c r="I1694" s="161" t="s">
        <v>7138</v>
      </c>
    </row>
    <row r="1695" spans="1:9">
      <c r="A1695" s="113">
        <v>100401401</v>
      </c>
      <c r="B1695" s="113" t="s">
        <v>2884</v>
      </c>
      <c r="C1695" s="113">
        <v>6062059</v>
      </c>
      <c r="D1695" s="113" t="s">
        <v>3093</v>
      </c>
      <c r="E1695" s="113" t="s">
        <v>1620</v>
      </c>
      <c r="F1695" s="113" t="s">
        <v>3093</v>
      </c>
      <c r="G1695" s="113" t="s">
        <v>3093</v>
      </c>
      <c r="H1695" s="161">
        <v>0</v>
      </c>
      <c r="I1695" s="161" t="s">
        <v>7138</v>
      </c>
    </row>
    <row r="1696" spans="1:9">
      <c r="A1696" s="113">
        <v>100401402</v>
      </c>
      <c r="B1696" s="113" t="s">
        <v>4559</v>
      </c>
      <c r="C1696" s="113">
        <v>6062060</v>
      </c>
      <c r="D1696" s="113" t="s">
        <v>3093</v>
      </c>
      <c r="E1696" s="113" t="s">
        <v>1620</v>
      </c>
      <c r="F1696" s="113" t="s">
        <v>3093</v>
      </c>
      <c r="G1696" s="113" t="s">
        <v>3093</v>
      </c>
      <c r="H1696" s="161">
        <v>250</v>
      </c>
      <c r="I1696" s="161">
        <v>20</v>
      </c>
    </row>
    <row r="1697" spans="1:9">
      <c r="A1697" s="113">
        <v>100401403</v>
      </c>
      <c r="B1697" s="113" t="s">
        <v>4560</v>
      </c>
      <c r="C1697" s="113">
        <v>6062061</v>
      </c>
      <c r="D1697" s="113" t="s">
        <v>3093</v>
      </c>
      <c r="E1697" s="113" t="s">
        <v>1620</v>
      </c>
      <c r="F1697" s="113" t="s">
        <v>3093</v>
      </c>
      <c r="G1697" s="113" t="s">
        <v>3093</v>
      </c>
      <c r="H1697" s="161">
        <v>95</v>
      </c>
      <c r="I1697" s="161">
        <v>10</v>
      </c>
    </row>
    <row r="1698" spans="1:9">
      <c r="A1698" s="113">
        <v>100401404</v>
      </c>
      <c r="B1698" s="113" t="s">
        <v>4561</v>
      </c>
      <c r="C1698" s="113">
        <v>6062062</v>
      </c>
      <c r="D1698" s="113" t="s">
        <v>3093</v>
      </c>
      <c r="E1698" s="113" t="s">
        <v>1620</v>
      </c>
      <c r="F1698" s="113" t="s">
        <v>3093</v>
      </c>
      <c r="G1698" s="113" t="s">
        <v>3093</v>
      </c>
      <c r="H1698" s="161">
        <v>102</v>
      </c>
      <c r="I1698" s="161">
        <v>2</v>
      </c>
    </row>
    <row r="1699" spans="1:9">
      <c r="A1699" s="113">
        <v>100401405</v>
      </c>
      <c r="B1699" s="113" t="s">
        <v>4562</v>
      </c>
      <c r="C1699" s="113">
        <v>6062063</v>
      </c>
      <c r="D1699" s="113" t="s">
        <v>3093</v>
      </c>
      <c r="E1699" s="113" t="s">
        <v>1620</v>
      </c>
      <c r="F1699" s="113" t="s">
        <v>3093</v>
      </c>
      <c r="G1699" s="113" t="s">
        <v>3093</v>
      </c>
      <c r="H1699" s="161">
        <v>58.76</v>
      </c>
      <c r="I1699" s="161">
        <v>16</v>
      </c>
    </row>
    <row r="1700" spans="1:9">
      <c r="A1700" s="113">
        <v>100401406</v>
      </c>
      <c r="B1700" s="113" t="s">
        <v>4563</v>
      </c>
      <c r="C1700" s="113">
        <v>6062064</v>
      </c>
      <c r="D1700" s="113" t="s">
        <v>3093</v>
      </c>
      <c r="E1700" s="113" t="s">
        <v>1620</v>
      </c>
      <c r="F1700" s="113" t="s">
        <v>3093</v>
      </c>
      <c r="G1700" s="113" t="s">
        <v>3093</v>
      </c>
      <c r="H1700" s="161">
        <v>0</v>
      </c>
      <c r="I1700" s="161" t="s">
        <v>7138</v>
      </c>
    </row>
    <row r="1701" spans="1:9">
      <c r="A1701" s="113">
        <v>100401407</v>
      </c>
      <c r="B1701" s="113" t="s">
        <v>4564</v>
      </c>
      <c r="C1701" s="113">
        <v>6062065</v>
      </c>
      <c r="D1701" s="113" t="s">
        <v>3093</v>
      </c>
      <c r="E1701" s="113" t="s">
        <v>1620</v>
      </c>
      <c r="F1701" s="113" t="s">
        <v>3093</v>
      </c>
      <c r="G1701" s="113" t="s">
        <v>3093</v>
      </c>
      <c r="H1701" s="161">
        <v>60.41</v>
      </c>
      <c r="I1701" s="161">
        <v>0</v>
      </c>
    </row>
    <row r="1702" spans="1:9">
      <c r="A1702" s="113">
        <v>100401408</v>
      </c>
      <c r="B1702" s="113" t="s">
        <v>4565</v>
      </c>
      <c r="C1702" s="113">
        <v>6062066</v>
      </c>
      <c r="D1702" s="113" t="s">
        <v>3093</v>
      </c>
      <c r="E1702" s="113" t="s">
        <v>1620</v>
      </c>
      <c r="F1702" s="113" t="s">
        <v>3093</v>
      </c>
      <c r="G1702" s="113" t="s">
        <v>3093</v>
      </c>
      <c r="H1702" s="161">
        <v>0</v>
      </c>
      <c r="I1702" s="161" t="s">
        <v>7138</v>
      </c>
    </row>
    <row r="1703" spans="1:9">
      <c r="A1703" s="113">
        <v>100401409</v>
      </c>
      <c r="B1703" s="113" t="s">
        <v>4566</v>
      </c>
      <c r="C1703" s="113">
        <v>6062067</v>
      </c>
      <c r="D1703" s="113" t="s">
        <v>3093</v>
      </c>
      <c r="E1703" s="113" t="s">
        <v>1620</v>
      </c>
      <c r="F1703" s="113" t="s">
        <v>3093</v>
      </c>
      <c r="G1703" s="113" t="s">
        <v>3093</v>
      </c>
      <c r="H1703" s="161">
        <v>191.67</v>
      </c>
      <c r="I1703" s="161">
        <v>1</v>
      </c>
    </row>
    <row r="1704" spans="1:9">
      <c r="A1704" s="113">
        <v>100401410</v>
      </c>
      <c r="B1704" s="113" t="s">
        <v>4567</v>
      </c>
      <c r="C1704" s="113">
        <v>6062068</v>
      </c>
      <c r="D1704" s="113" t="s">
        <v>3093</v>
      </c>
      <c r="E1704" s="113" t="s">
        <v>1620</v>
      </c>
      <c r="F1704" s="113" t="s">
        <v>3093</v>
      </c>
      <c r="G1704" s="113" t="s">
        <v>3093</v>
      </c>
      <c r="H1704" s="161">
        <v>0</v>
      </c>
      <c r="I1704" s="161" t="s">
        <v>7138</v>
      </c>
    </row>
    <row r="1705" spans="1:9">
      <c r="A1705" s="113">
        <v>100401411</v>
      </c>
      <c r="B1705" s="113" t="s">
        <v>4568</v>
      </c>
      <c r="C1705" s="113">
        <v>6062069</v>
      </c>
      <c r="D1705" s="113" t="s">
        <v>3093</v>
      </c>
      <c r="E1705" s="113" t="s">
        <v>1620</v>
      </c>
      <c r="F1705" s="113" t="s">
        <v>3093</v>
      </c>
      <c r="G1705" s="113" t="s">
        <v>3093</v>
      </c>
      <c r="H1705" s="161">
        <v>0</v>
      </c>
      <c r="I1705" s="161" t="s">
        <v>7138</v>
      </c>
    </row>
    <row r="1706" spans="1:9">
      <c r="A1706" s="113">
        <v>100401412</v>
      </c>
      <c r="B1706" s="113" t="s">
        <v>4569</v>
      </c>
      <c r="C1706" s="113">
        <v>6062070</v>
      </c>
      <c r="D1706" s="113" t="s">
        <v>3093</v>
      </c>
      <c r="E1706" s="113" t="s">
        <v>1620</v>
      </c>
      <c r="F1706" s="113" t="s">
        <v>3093</v>
      </c>
      <c r="G1706" s="113" t="s">
        <v>3093</v>
      </c>
      <c r="H1706" s="161">
        <v>0</v>
      </c>
      <c r="I1706" s="161" t="s">
        <v>7138</v>
      </c>
    </row>
    <row r="1707" spans="1:9">
      <c r="A1707" s="113">
        <v>100401413</v>
      </c>
      <c r="B1707" s="113" t="s">
        <v>4570</v>
      </c>
      <c r="C1707" s="113">
        <v>6062071</v>
      </c>
      <c r="D1707" s="113" t="s">
        <v>3093</v>
      </c>
      <c r="E1707" s="113" t="s">
        <v>1620</v>
      </c>
      <c r="F1707" s="113" t="s">
        <v>3093</v>
      </c>
      <c r="G1707" s="113" t="s">
        <v>3093</v>
      </c>
      <c r="H1707" s="161">
        <v>0</v>
      </c>
      <c r="I1707" s="161" t="s">
        <v>7138</v>
      </c>
    </row>
    <row r="1708" spans="1:9">
      <c r="A1708" s="113">
        <v>100401415</v>
      </c>
      <c r="B1708" s="113" t="s">
        <v>4571</v>
      </c>
      <c r="C1708" s="113">
        <v>6062073</v>
      </c>
      <c r="D1708" s="113" t="s">
        <v>3093</v>
      </c>
      <c r="E1708" s="113" t="s">
        <v>1620</v>
      </c>
      <c r="F1708" s="113" t="s">
        <v>3093</v>
      </c>
      <c r="G1708" s="113" t="s">
        <v>3093</v>
      </c>
      <c r="H1708" s="161">
        <v>0</v>
      </c>
      <c r="I1708" s="161" t="s">
        <v>7138</v>
      </c>
    </row>
    <row r="1709" spans="1:9">
      <c r="A1709" s="113">
        <v>100401416</v>
      </c>
      <c r="B1709" s="113" t="s">
        <v>4572</v>
      </c>
      <c r="C1709" s="113">
        <v>6062074</v>
      </c>
      <c r="D1709" s="113" t="s">
        <v>3093</v>
      </c>
      <c r="E1709" s="113" t="s">
        <v>1620</v>
      </c>
      <c r="F1709" s="113" t="s">
        <v>3093</v>
      </c>
      <c r="G1709" s="113" t="s">
        <v>3093</v>
      </c>
      <c r="H1709" s="161">
        <v>0</v>
      </c>
      <c r="I1709" s="161" t="s">
        <v>7138</v>
      </c>
    </row>
    <row r="1710" spans="1:9">
      <c r="A1710" s="113">
        <v>100401417</v>
      </c>
      <c r="B1710" s="113" t="s">
        <v>4573</v>
      </c>
      <c r="C1710" s="113">
        <v>6063022</v>
      </c>
      <c r="D1710" s="113" t="s">
        <v>3093</v>
      </c>
      <c r="E1710" s="113" t="s">
        <v>1620</v>
      </c>
      <c r="F1710" s="113" t="s">
        <v>3093</v>
      </c>
      <c r="G1710" s="113" t="s">
        <v>3093</v>
      </c>
      <c r="H1710" s="161">
        <v>191.67</v>
      </c>
      <c r="I1710" s="161">
        <v>12</v>
      </c>
    </row>
    <row r="1711" spans="1:9">
      <c r="A1711" s="113">
        <v>100401418</v>
      </c>
      <c r="B1711" s="113" t="s">
        <v>4574</v>
      </c>
      <c r="C1711" s="113">
        <v>6063030</v>
      </c>
      <c r="D1711" s="113" t="s">
        <v>3093</v>
      </c>
      <c r="E1711" s="113" t="s">
        <v>1620</v>
      </c>
      <c r="F1711" s="113" t="s">
        <v>3093</v>
      </c>
      <c r="G1711" s="113" t="s">
        <v>3093</v>
      </c>
      <c r="H1711" s="161">
        <v>190</v>
      </c>
      <c r="I1711" s="161">
        <v>12</v>
      </c>
    </row>
    <row r="1712" spans="1:9">
      <c r="A1712" s="113">
        <v>100401419</v>
      </c>
      <c r="B1712" s="113" t="s">
        <v>4575</v>
      </c>
      <c r="C1712" s="113">
        <v>6063031</v>
      </c>
      <c r="D1712" s="113" t="s">
        <v>3093</v>
      </c>
      <c r="E1712" s="113" t="s">
        <v>1620</v>
      </c>
      <c r="F1712" s="113" t="s">
        <v>3093</v>
      </c>
      <c r="G1712" s="113" t="s">
        <v>3093</v>
      </c>
      <c r="H1712" s="161">
        <v>273.75</v>
      </c>
      <c r="I1712" s="161">
        <v>2</v>
      </c>
    </row>
    <row r="1713" spans="1:9">
      <c r="A1713" s="113">
        <v>100401420</v>
      </c>
      <c r="B1713" s="113" t="s">
        <v>4576</v>
      </c>
      <c r="C1713" s="113">
        <v>6063032</v>
      </c>
      <c r="D1713" s="113" t="s">
        <v>3093</v>
      </c>
      <c r="E1713" s="113" t="s">
        <v>1620</v>
      </c>
      <c r="F1713" s="113" t="s">
        <v>3093</v>
      </c>
      <c r="G1713" s="113" t="s">
        <v>3093</v>
      </c>
      <c r="H1713" s="161">
        <v>430</v>
      </c>
      <c r="I1713" s="161">
        <v>2</v>
      </c>
    </row>
    <row r="1714" spans="1:9">
      <c r="A1714" s="113">
        <v>100401421</v>
      </c>
      <c r="B1714" s="113" t="s">
        <v>4577</v>
      </c>
      <c r="C1714" s="113">
        <v>6063034</v>
      </c>
      <c r="D1714" s="113" t="s">
        <v>3093</v>
      </c>
      <c r="E1714" s="113" t="s">
        <v>1620</v>
      </c>
      <c r="F1714" s="113" t="s">
        <v>3093</v>
      </c>
      <c r="G1714" s="113" t="s">
        <v>3093</v>
      </c>
      <c r="H1714" s="161">
        <v>149.32</v>
      </c>
      <c r="I1714" s="161">
        <v>2</v>
      </c>
    </row>
    <row r="1715" spans="1:9">
      <c r="A1715" s="113">
        <v>100401422</v>
      </c>
      <c r="B1715" s="113" t="s">
        <v>4578</v>
      </c>
      <c r="C1715" s="113">
        <v>6063035</v>
      </c>
      <c r="D1715" s="113" t="s">
        <v>3093</v>
      </c>
      <c r="E1715" s="113" t="s">
        <v>1620</v>
      </c>
      <c r="F1715" s="113" t="s">
        <v>3093</v>
      </c>
      <c r="G1715" s="113" t="s">
        <v>3093</v>
      </c>
      <c r="H1715" s="161">
        <v>0</v>
      </c>
      <c r="I1715" s="161" t="s">
        <v>7138</v>
      </c>
    </row>
    <row r="1716" spans="1:9">
      <c r="A1716" s="113">
        <v>100401423</v>
      </c>
      <c r="B1716" s="113" t="s">
        <v>4579</v>
      </c>
      <c r="C1716" s="113">
        <v>6063036</v>
      </c>
      <c r="D1716" s="113" t="s">
        <v>3093</v>
      </c>
      <c r="E1716" s="113" t="s">
        <v>1620</v>
      </c>
      <c r="F1716" s="113" t="s">
        <v>3093</v>
      </c>
      <c r="G1716" s="113" t="s">
        <v>3093</v>
      </c>
      <c r="H1716" s="161">
        <v>0</v>
      </c>
      <c r="I1716" s="161" t="s">
        <v>7138</v>
      </c>
    </row>
    <row r="1717" spans="1:9">
      <c r="A1717" s="113">
        <v>100401424</v>
      </c>
      <c r="B1717" s="113" t="s">
        <v>4580</v>
      </c>
      <c r="C1717" s="113">
        <v>6063037</v>
      </c>
      <c r="D1717" s="113" t="s">
        <v>3093</v>
      </c>
      <c r="E1717" s="113" t="s">
        <v>1620</v>
      </c>
      <c r="F1717" s="113" t="s">
        <v>3093</v>
      </c>
      <c r="G1717" s="113" t="s">
        <v>3093</v>
      </c>
      <c r="H1717" s="161">
        <v>0</v>
      </c>
      <c r="I1717" s="161" t="s">
        <v>7138</v>
      </c>
    </row>
    <row r="1718" spans="1:9">
      <c r="A1718" s="113">
        <v>100401425</v>
      </c>
      <c r="B1718" s="113" t="s">
        <v>4581</v>
      </c>
      <c r="C1718" s="113">
        <v>6063038</v>
      </c>
      <c r="D1718" s="113" t="s">
        <v>3093</v>
      </c>
      <c r="E1718" s="113" t="s">
        <v>1620</v>
      </c>
      <c r="F1718" s="113" t="s">
        <v>3093</v>
      </c>
      <c r="G1718" s="113" t="s">
        <v>3093</v>
      </c>
      <c r="H1718" s="161">
        <v>0</v>
      </c>
      <c r="I1718" s="161" t="s">
        <v>7138</v>
      </c>
    </row>
    <row r="1719" spans="1:9">
      <c r="A1719" s="113">
        <v>100401426</v>
      </c>
      <c r="B1719" s="113" t="s">
        <v>4582</v>
      </c>
      <c r="C1719" s="113">
        <v>6063039</v>
      </c>
      <c r="D1719" s="113" t="s">
        <v>3093</v>
      </c>
      <c r="E1719" s="113" t="s">
        <v>1620</v>
      </c>
      <c r="F1719" s="113" t="s">
        <v>3093</v>
      </c>
      <c r="G1719" s="113" t="s">
        <v>3093</v>
      </c>
      <c r="H1719" s="161">
        <v>0</v>
      </c>
      <c r="I1719" s="161" t="s">
        <v>7138</v>
      </c>
    </row>
    <row r="1720" spans="1:9">
      <c r="A1720" s="113">
        <v>100401427</v>
      </c>
      <c r="B1720" s="113" t="s">
        <v>4583</v>
      </c>
      <c r="C1720" s="113">
        <v>6063040</v>
      </c>
      <c r="D1720" s="113" t="s">
        <v>3093</v>
      </c>
      <c r="E1720" s="113" t="s">
        <v>1620</v>
      </c>
      <c r="F1720" s="113" t="s">
        <v>3093</v>
      </c>
      <c r="G1720" s="113" t="s">
        <v>3093</v>
      </c>
      <c r="H1720" s="161">
        <v>0</v>
      </c>
      <c r="I1720" s="161" t="s">
        <v>7138</v>
      </c>
    </row>
    <row r="1721" spans="1:9">
      <c r="A1721" s="113">
        <v>100401428</v>
      </c>
      <c r="B1721" s="113" t="s">
        <v>4584</v>
      </c>
      <c r="C1721" s="113">
        <v>6063041</v>
      </c>
      <c r="D1721" s="113" t="s">
        <v>3093</v>
      </c>
      <c r="E1721" s="113" t="s">
        <v>1620</v>
      </c>
      <c r="F1721" s="113" t="s">
        <v>3093</v>
      </c>
      <c r="G1721" s="113" t="s">
        <v>3093</v>
      </c>
      <c r="H1721" s="161">
        <v>0</v>
      </c>
      <c r="I1721" s="161" t="s">
        <v>7138</v>
      </c>
    </row>
    <row r="1722" spans="1:9">
      <c r="A1722" s="113">
        <v>100401429</v>
      </c>
      <c r="B1722" s="113" t="s">
        <v>4585</v>
      </c>
      <c r="C1722" s="113">
        <v>6063042</v>
      </c>
      <c r="D1722" s="113" t="s">
        <v>3093</v>
      </c>
      <c r="E1722" s="113" t="s">
        <v>1620</v>
      </c>
      <c r="F1722" s="113" t="s">
        <v>3093</v>
      </c>
      <c r="G1722" s="113" t="s">
        <v>3093</v>
      </c>
      <c r="H1722" s="161">
        <v>0</v>
      </c>
      <c r="I1722" s="161" t="s">
        <v>7138</v>
      </c>
    </row>
    <row r="1723" spans="1:9">
      <c r="A1723" s="113">
        <v>100401430</v>
      </c>
      <c r="B1723" s="113" t="s">
        <v>2885</v>
      </c>
      <c r="C1723" s="113">
        <v>6063043</v>
      </c>
      <c r="D1723" s="113" t="s">
        <v>3093</v>
      </c>
      <c r="E1723" s="113" t="s">
        <v>1620</v>
      </c>
      <c r="F1723" s="113" t="s">
        <v>3093</v>
      </c>
      <c r="G1723" s="113" t="s">
        <v>3093</v>
      </c>
      <c r="H1723" s="161">
        <v>157.35</v>
      </c>
      <c r="I1723" s="161">
        <v>1</v>
      </c>
    </row>
    <row r="1724" spans="1:9">
      <c r="A1724" s="113">
        <v>100401431</v>
      </c>
      <c r="B1724" s="113" t="s">
        <v>4586</v>
      </c>
      <c r="C1724" s="113">
        <v>6063044</v>
      </c>
      <c r="D1724" s="113" t="s">
        <v>3093</v>
      </c>
      <c r="E1724" s="113" t="s">
        <v>1620</v>
      </c>
      <c r="F1724" s="113" t="s">
        <v>3093</v>
      </c>
      <c r="G1724" s="113" t="s">
        <v>3093</v>
      </c>
      <c r="H1724" s="161">
        <v>92.52</v>
      </c>
      <c r="I1724" s="161">
        <v>8</v>
      </c>
    </row>
    <row r="1725" spans="1:9">
      <c r="A1725" s="113">
        <v>100401432</v>
      </c>
      <c r="B1725" s="113" t="s">
        <v>2886</v>
      </c>
      <c r="C1725" s="113">
        <v>6063045</v>
      </c>
      <c r="D1725" s="113" t="s">
        <v>3093</v>
      </c>
      <c r="E1725" s="113" t="s">
        <v>1620</v>
      </c>
      <c r="F1725" s="113" t="s">
        <v>3093</v>
      </c>
      <c r="G1725" s="113" t="s">
        <v>3093</v>
      </c>
      <c r="H1725" s="161">
        <v>0</v>
      </c>
      <c r="I1725" s="161" t="s">
        <v>7138</v>
      </c>
    </row>
    <row r="1726" spans="1:9">
      <c r="A1726" s="113">
        <v>100401433</v>
      </c>
      <c r="B1726" s="113" t="s">
        <v>2887</v>
      </c>
      <c r="C1726" s="113">
        <v>6063046</v>
      </c>
      <c r="D1726" s="113" t="s">
        <v>3093</v>
      </c>
      <c r="E1726" s="113" t="s">
        <v>1620</v>
      </c>
      <c r="F1726" s="113" t="s">
        <v>3093</v>
      </c>
      <c r="G1726" s="113" t="s">
        <v>3093</v>
      </c>
      <c r="H1726" s="161">
        <v>0</v>
      </c>
      <c r="I1726" s="161" t="s">
        <v>7138</v>
      </c>
    </row>
    <row r="1727" spans="1:9">
      <c r="A1727" s="113">
        <v>100401434</v>
      </c>
      <c r="B1727" s="113" t="s">
        <v>2888</v>
      </c>
      <c r="C1727" s="113">
        <v>6063047</v>
      </c>
      <c r="D1727" s="113" t="s">
        <v>3093</v>
      </c>
      <c r="E1727" s="113" t="s">
        <v>1620</v>
      </c>
      <c r="F1727" s="113" t="s">
        <v>3093</v>
      </c>
      <c r="G1727" s="113" t="s">
        <v>3093</v>
      </c>
      <c r="H1727" s="161">
        <v>157.35</v>
      </c>
      <c r="I1727" s="161">
        <v>1</v>
      </c>
    </row>
    <row r="1728" spans="1:9">
      <c r="A1728" s="113">
        <v>100401435</v>
      </c>
      <c r="B1728" s="113" t="s">
        <v>4587</v>
      </c>
      <c r="C1728" s="113">
        <v>6063048</v>
      </c>
      <c r="D1728" s="113" t="s">
        <v>3093</v>
      </c>
      <c r="E1728" s="113" t="s">
        <v>1620</v>
      </c>
      <c r="F1728" s="113" t="s">
        <v>3093</v>
      </c>
      <c r="G1728" s="113" t="s">
        <v>3093</v>
      </c>
      <c r="H1728" s="161">
        <v>0</v>
      </c>
      <c r="I1728" s="161" t="s">
        <v>7138</v>
      </c>
    </row>
    <row r="1729" spans="1:9">
      <c r="A1729" s="113">
        <v>100401436</v>
      </c>
      <c r="B1729" s="113" t="s">
        <v>4588</v>
      </c>
      <c r="C1729" s="113">
        <v>6063049</v>
      </c>
      <c r="D1729" s="113" t="s">
        <v>3093</v>
      </c>
      <c r="E1729" s="113" t="s">
        <v>1620</v>
      </c>
      <c r="F1729" s="113" t="s">
        <v>3093</v>
      </c>
      <c r="G1729" s="113" t="s">
        <v>3093</v>
      </c>
      <c r="H1729" s="161">
        <v>0</v>
      </c>
      <c r="I1729" s="161" t="s">
        <v>7138</v>
      </c>
    </row>
    <row r="1730" spans="1:9">
      <c r="A1730" s="113">
        <v>100401437</v>
      </c>
      <c r="B1730" s="113" t="s">
        <v>2889</v>
      </c>
      <c r="C1730" s="113">
        <v>6063051</v>
      </c>
      <c r="D1730" s="113" t="s">
        <v>3093</v>
      </c>
      <c r="E1730" s="113" t="s">
        <v>1620</v>
      </c>
      <c r="F1730" s="113" t="s">
        <v>3093</v>
      </c>
      <c r="G1730" s="113" t="s">
        <v>3093</v>
      </c>
      <c r="H1730" s="161">
        <v>0</v>
      </c>
      <c r="I1730" s="161" t="s">
        <v>7138</v>
      </c>
    </row>
    <row r="1731" spans="1:9">
      <c r="A1731" s="113">
        <v>100401438</v>
      </c>
      <c r="B1731" s="113" t="s">
        <v>4589</v>
      </c>
      <c r="C1731" s="113">
        <v>6063052</v>
      </c>
      <c r="D1731" s="113" t="s">
        <v>3093</v>
      </c>
      <c r="E1731" s="113" t="s">
        <v>1620</v>
      </c>
      <c r="F1731" s="113" t="s">
        <v>3093</v>
      </c>
      <c r="G1731" s="113" t="s">
        <v>3093</v>
      </c>
      <c r="H1731" s="161">
        <v>0</v>
      </c>
      <c r="I1731" s="161" t="s">
        <v>7138</v>
      </c>
    </row>
    <row r="1732" spans="1:9">
      <c r="A1732" s="113">
        <v>100401439</v>
      </c>
      <c r="B1732" s="113" t="s">
        <v>4590</v>
      </c>
      <c r="C1732" s="113">
        <v>6063053</v>
      </c>
      <c r="D1732" s="113" t="s">
        <v>3093</v>
      </c>
      <c r="E1732" s="113" t="s">
        <v>1620</v>
      </c>
      <c r="F1732" s="113" t="s">
        <v>3093</v>
      </c>
      <c r="G1732" s="113" t="s">
        <v>3093</v>
      </c>
      <c r="H1732" s="161">
        <v>0</v>
      </c>
      <c r="I1732" s="161" t="s">
        <v>7138</v>
      </c>
    </row>
    <row r="1733" spans="1:9">
      <c r="A1733" s="113">
        <v>100401440</v>
      </c>
      <c r="B1733" s="113" t="s">
        <v>4591</v>
      </c>
      <c r="C1733" s="113">
        <v>6063054</v>
      </c>
      <c r="D1733" s="113" t="s">
        <v>3093</v>
      </c>
      <c r="E1733" s="113" t="s">
        <v>1620</v>
      </c>
      <c r="F1733" s="113" t="s">
        <v>3093</v>
      </c>
      <c r="G1733" s="113" t="s">
        <v>3093</v>
      </c>
      <c r="H1733" s="161">
        <v>0</v>
      </c>
      <c r="I1733" s="161" t="s">
        <v>7138</v>
      </c>
    </row>
    <row r="1734" spans="1:9">
      <c r="A1734" s="113">
        <v>100401441</v>
      </c>
      <c r="B1734" s="113" t="s">
        <v>4592</v>
      </c>
      <c r="C1734" s="113">
        <v>6063055</v>
      </c>
      <c r="D1734" s="113" t="s">
        <v>3093</v>
      </c>
      <c r="E1734" s="113" t="s">
        <v>1620</v>
      </c>
      <c r="F1734" s="113" t="s">
        <v>3093</v>
      </c>
      <c r="G1734" s="113" t="s">
        <v>3093</v>
      </c>
      <c r="H1734" s="161">
        <v>157.35</v>
      </c>
      <c r="I1734" s="161">
        <v>6</v>
      </c>
    </row>
    <row r="1735" spans="1:9">
      <c r="A1735" s="113">
        <v>100401442</v>
      </c>
      <c r="B1735" s="113" t="s">
        <v>4593</v>
      </c>
      <c r="C1735" s="113">
        <v>6063056</v>
      </c>
      <c r="D1735" s="113" t="s">
        <v>3093</v>
      </c>
      <c r="E1735" s="113" t="s">
        <v>1620</v>
      </c>
      <c r="F1735" s="113" t="s">
        <v>3093</v>
      </c>
      <c r="G1735" s="113" t="s">
        <v>3093</v>
      </c>
      <c r="H1735" s="161">
        <v>0</v>
      </c>
      <c r="I1735" s="161" t="s">
        <v>7138</v>
      </c>
    </row>
    <row r="1736" spans="1:9">
      <c r="A1736" s="113">
        <v>100401444</v>
      </c>
      <c r="B1736" s="113" t="s">
        <v>4594</v>
      </c>
      <c r="C1736" s="113">
        <v>6064056</v>
      </c>
      <c r="D1736" s="113" t="s">
        <v>3093</v>
      </c>
      <c r="E1736" s="113" t="s">
        <v>1620</v>
      </c>
      <c r="F1736" s="113" t="s">
        <v>3093</v>
      </c>
      <c r="G1736" s="113" t="s">
        <v>3093</v>
      </c>
      <c r="H1736" s="161">
        <v>0</v>
      </c>
      <c r="I1736" s="161" t="s">
        <v>7138</v>
      </c>
    </row>
    <row r="1737" spans="1:9">
      <c r="A1737" s="113">
        <v>100401445</v>
      </c>
      <c r="B1737" s="113" t="s">
        <v>4595</v>
      </c>
      <c r="C1737" s="113">
        <v>6064057</v>
      </c>
      <c r="D1737" s="113" t="s">
        <v>3093</v>
      </c>
      <c r="E1737" s="113" t="s">
        <v>1620</v>
      </c>
      <c r="F1737" s="113" t="s">
        <v>3093</v>
      </c>
      <c r="G1737" s="113" t="s">
        <v>3093</v>
      </c>
      <c r="H1737" s="161">
        <v>0</v>
      </c>
      <c r="I1737" s="161" t="s">
        <v>7138</v>
      </c>
    </row>
    <row r="1738" spans="1:9">
      <c r="A1738" s="113">
        <v>100401446</v>
      </c>
      <c r="B1738" s="113" t="s">
        <v>4596</v>
      </c>
      <c r="C1738" s="113">
        <v>6064058</v>
      </c>
      <c r="D1738" s="113" t="s">
        <v>3093</v>
      </c>
      <c r="E1738" s="113" t="s">
        <v>1620</v>
      </c>
      <c r="F1738" s="113" t="s">
        <v>3093</v>
      </c>
      <c r="G1738" s="113" t="s">
        <v>3093</v>
      </c>
      <c r="H1738" s="161">
        <v>0</v>
      </c>
      <c r="I1738" s="161" t="s">
        <v>7138</v>
      </c>
    </row>
    <row r="1739" spans="1:9">
      <c r="A1739" s="113">
        <v>100401447</v>
      </c>
      <c r="B1739" s="113" t="s">
        <v>4597</v>
      </c>
      <c r="C1739" s="113">
        <v>6064059</v>
      </c>
      <c r="D1739" s="113" t="s">
        <v>3093</v>
      </c>
      <c r="E1739" s="113" t="s">
        <v>1620</v>
      </c>
      <c r="F1739" s="113" t="s">
        <v>3093</v>
      </c>
      <c r="G1739" s="113" t="s">
        <v>3093</v>
      </c>
      <c r="H1739" s="161">
        <v>0</v>
      </c>
      <c r="I1739" s="161" t="s">
        <v>7138</v>
      </c>
    </row>
    <row r="1740" spans="1:9">
      <c r="A1740" s="113">
        <v>100401448</v>
      </c>
      <c r="B1740" s="113" t="s">
        <v>4598</v>
      </c>
      <c r="C1740" s="113">
        <v>6064062</v>
      </c>
      <c r="D1740" s="113" t="s">
        <v>3093</v>
      </c>
      <c r="E1740" s="113" t="s">
        <v>1620</v>
      </c>
      <c r="F1740" s="113" t="s">
        <v>3093</v>
      </c>
      <c r="G1740" s="113" t="s">
        <v>3093</v>
      </c>
      <c r="H1740" s="161">
        <v>0</v>
      </c>
      <c r="I1740" s="161" t="s">
        <v>7138</v>
      </c>
    </row>
    <row r="1741" spans="1:9">
      <c r="A1741" s="113">
        <v>100401449</v>
      </c>
      <c r="B1741" s="113" t="s">
        <v>4599</v>
      </c>
      <c r="C1741" s="113">
        <v>6064063</v>
      </c>
      <c r="D1741" s="113" t="s">
        <v>3093</v>
      </c>
      <c r="E1741" s="113" t="s">
        <v>1620</v>
      </c>
      <c r="F1741" s="113" t="s">
        <v>3093</v>
      </c>
      <c r="G1741" s="113" t="s">
        <v>3093</v>
      </c>
      <c r="H1741" s="161">
        <v>0</v>
      </c>
      <c r="I1741" s="161" t="s">
        <v>7138</v>
      </c>
    </row>
    <row r="1742" spans="1:9">
      <c r="A1742" s="113">
        <v>100401450</v>
      </c>
      <c r="B1742" s="113" t="s">
        <v>4600</v>
      </c>
      <c r="C1742" s="113">
        <v>6064064</v>
      </c>
      <c r="D1742" s="113" t="s">
        <v>3093</v>
      </c>
      <c r="E1742" s="113" t="s">
        <v>1620</v>
      </c>
      <c r="F1742" s="113" t="s">
        <v>3093</v>
      </c>
      <c r="G1742" s="113" t="s">
        <v>3093</v>
      </c>
      <c r="H1742" s="161">
        <v>0</v>
      </c>
      <c r="I1742" s="161" t="s">
        <v>7138</v>
      </c>
    </row>
    <row r="1743" spans="1:9">
      <c r="A1743" s="113">
        <v>100401451</v>
      </c>
      <c r="B1743" s="113" t="s">
        <v>4601</v>
      </c>
      <c r="C1743" s="113">
        <v>6064065</v>
      </c>
      <c r="D1743" s="113" t="s">
        <v>3093</v>
      </c>
      <c r="E1743" s="113" t="s">
        <v>1620</v>
      </c>
      <c r="F1743" s="113" t="s">
        <v>3093</v>
      </c>
      <c r="G1743" s="113" t="s">
        <v>3093</v>
      </c>
      <c r="H1743" s="161">
        <v>0</v>
      </c>
      <c r="I1743" s="161" t="s">
        <v>7138</v>
      </c>
    </row>
    <row r="1744" spans="1:9">
      <c r="A1744" s="113">
        <v>100401452</v>
      </c>
      <c r="B1744" s="113" t="s">
        <v>4602</v>
      </c>
      <c r="C1744" s="113">
        <v>6064066</v>
      </c>
      <c r="D1744" s="113" t="s">
        <v>3093</v>
      </c>
      <c r="E1744" s="113" t="s">
        <v>1620</v>
      </c>
      <c r="F1744" s="113" t="s">
        <v>3093</v>
      </c>
      <c r="G1744" s="113" t="s">
        <v>3093</v>
      </c>
      <c r="H1744" s="161">
        <v>0</v>
      </c>
      <c r="I1744" s="161" t="s">
        <v>7138</v>
      </c>
    </row>
    <row r="1745" spans="1:9">
      <c r="A1745" s="113">
        <v>100401453</v>
      </c>
      <c r="B1745" s="113" t="s">
        <v>4603</v>
      </c>
      <c r="C1745" s="113">
        <v>6064067</v>
      </c>
      <c r="D1745" s="113" t="s">
        <v>3093</v>
      </c>
      <c r="E1745" s="113" t="s">
        <v>1620</v>
      </c>
      <c r="F1745" s="113" t="s">
        <v>3093</v>
      </c>
      <c r="G1745" s="113" t="s">
        <v>3093</v>
      </c>
      <c r="H1745" s="161">
        <v>0</v>
      </c>
      <c r="I1745" s="161" t="s">
        <v>7138</v>
      </c>
    </row>
    <row r="1746" spans="1:9">
      <c r="A1746" s="113">
        <v>100401454</v>
      </c>
      <c r="B1746" s="113" t="s">
        <v>4604</v>
      </c>
      <c r="C1746" s="113">
        <v>6064068</v>
      </c>
      <c r="D1746" s="113" t="s">
        <v>3093</v>
      </c>
      <c r="E1746" s="113" t="s">
        <v>1620</v>
      </c>
      <c r="F1746" s="113" t="s">
        <v>3093</v>
      </c>
      <c r="G1746" s="113" t="s">
        <v>3093</v>
      </c>
      <c r="H1746" s="161">
        <v>0</v>
      </c>
      <c r="I1746" s="161" t="s">
        <v>7138</v>
      </c>
    </row>
    <row r="1747" spans="1:9">
      <c r="A1747" s="113">
        <v>100401455</v>
      </c>
      <c r="B1747" s="113" t="s">
        <v>4605</v>
      </c>
      <c r="C1747" s="113">
        <v>6064069</v>
      </c>
      <c r="D1747" s="113" t="s">
        <v>3093</v>
      </c>
      <c r="E1747" s="113" t="s">
        <v>1620</v>
      </c>
      <c r="F1747" s="113" t="s">
        <v>3093</v>
      </c>
      <c r="G1747" s="113" t="s">
        <v>3093</v>
      </c>
      <c r="H1747" s="161">
        <v>0</v>
      </c>
      <c r="I1747" s="161" t="s">
        <v>7138</v>
      </c>
    </row>
    <row r="1748" spans="1:9">
      <c r="A1748" s="113">
        <v>100401456</v>
      </c>
      <c r="B1748" s="113" t="s">
        <v>4606</v>
      </c>
      <c r="C1748" s="113">
        <v>6064070</v>
      </c>
      <c r="D1748" s="113" t="s">
        <v>3093</v>
      </c>
      <c r="E1748" s="113" t="s">
        <v>1620</v>
      </c>
      <c r="F1748" s="113" t="s">
        <v>3093</v>
      </c>
      <c r="G1748" s="113" t="s">
        <v>3093</v>
      </c>
      <c r="H1748" s="161">
        <v>0</v>
      </c>
      <c r="I1748" s="161" t="s">
        <v>7138</v>
      </c>
    </row>
    <row r="1749" spans="1:9">
      <c r="A1749" s="113">
        <v>100401457</v>
      </c>
      <c r="B1749" s="113" t="s">
        <v>4607</v>
      </c>
      <c r="C1749" s="113">
        <v>6064071</v>
      </c>
      <c r="D1749" s="113" t="s">
        <v>3093</v>
      </c>
      <c r="E1749" s="113" t="s">
        <v>1620</v>
      </c>
      <c r="F1749" s="113" t="s">
        <v>3093</v>
      </c>
      <c r="G1749" s="113" t="s">
        <v>3093</v>
      </c>
      <c r="H1749" s="161">
        <v>0</v>
      </c>
      <c r="I1749" s="161" t="s">
        <v>7138</v>
      </c>
    </row>
    <row r="1750" spans="1:9">
      <c r="A1750" s="113">
        <v>100401458</v>
      </c>
      <c r="B1750" s="113" t="s">
        <v>4608</v>
      </c>
      <c r="C1750" s="113">
        <v>6064072</v>
      </c>
      <c r="D1750" s="113" t="s">
        <v>3093</v>
      </c>
      <c r="E1750" s="113" t="s">
        <v>1620</v>
      </c>
      <c r="F1750" s="113" t="s">
        <v>3093</v>
      </c>
      <c r="G1750" s="113" t="s">
        <v>3093</v>
      </c>
      <c r="H1750" s="161">
        <v>0</v>
      </c>
      <c r="I1750" s="161" t="s">
        <v>7138</v>
      </c>
    </row>
    <row r="1751" spans="1:9">
      <c r="A1751" s="113">
        <v>100401459</v>
      </c>
      <c r="B1751" s="113" t="s">
        <v>2890</v>
      </c>
      <c r="C1751" s="113">
        <v>6064073</v>
      </c>
      <c r="D1751" s="113" t="s">
        <v>3093</v>
      </c>
      <c r="E1751" s="113" t="s">
        <v>1620</v>
      </c>
      <c r="F1751" s="113" t="s">
        <v>3093</v>
      </c>
      <c r="G1751" s="113" t="s">
        <v>3093</v>
      </c>
      <c r="H1751" s="161">
        <v>157.35</v>
      </c>
      <c r="I1751" s="161">
        <v>6</v>
      </c>
    </row>
    <row r="1752" spans="1:9">
      <c r="A1752" s="113">
        <v>100401460</v>
      </c>
      <c r="B1752" s="113" t="s">
        <v>4609</v>
      </c>
      <c r="C1752" s="113">
        <v>6064074</v>
      </c>
      <c r="D1752" s="113" t="s">
        <v>3093</v>
      </c>
      <c r="E1752" s="113" t="s">
        <v>1620</v>
      </c>
      <c r="F1752" s="113" t="s">
        <v>3093</v>
      </c>
      <c r="G1752" s="113" t="s">
        <v>3093</v>
      </c>
      <c r="H1752" s="161">
        <v>0</v>
      </c>
      <c r="I1752" s="161" t="s">
        <v>7138</v>
      </c>
    </row>
    <row r="1753" spans="1:9">
      <c r="A1753" s="113">
        <v>100401461</v>
      </c>
      <c r="B1753" s="113" t="s">
        <v>4610</v>
      </c>
      <c r="C1753" s="113">
        <v>6064075</v>
      </c>
      <c r="D1753" s="113" t="s">
        <v>3093</v>
      </c>
      <c r="E1753" s="113" t="s">
        <v>1620</v>
      </c>
      <c r="F1753" s="113" t="s">
        <v>3093</v>
      </c>
      <c r="G1753" s="113" t="s">
        <v>3093</v>
      </c>
      <c r="H1753" s="161">
        <v>0</v>
      </c>
      <c r="I1753" s="161" t="s">
        <v>7138</v>
      </c>
    </row>
    <row r="1754" spans="1:9">
      <c r="A1754" s="113">
        <v>100401463</v>
      </c>
      <c r="B1754" s="113" t="s">
        <v>4611</v>
      </c>
      <c r="C1754" s="113">
        <v>6064077</v>
      </c>
      <c r="D1754" s="113" t="s">
        <v>3093</v>
      </c>
      <c r="E1754" s="113" t="s">
        <v>1620</v>
      </c>
      <c r="F1754" s="113" t="s">
        <v>3093</v>
      </c>
      <c r="G1754" s="113" t="s">
        <v>3093</v>
      </c>
      <c r="H1754" s="161">
        <v>0</v>
      </c>
      <c r="I1754" s="161" t="s">
        <v>7138</v>
      </c>
    </row>
    <row r="1755" spans="1:9">
      <c r="A1755" s="113">
        <v>100401464</v>
      </c>
      <c r="B1755" s="113" t="s">
        <v>4612</v>
      </c>
      <c r="C1755" s="113">
        <v>6064078</v>
      </c>
      <c r="D1755" s="113" t="s">
        <v>3093</v>
      </c>
      <c r="E1755" s="113" t="s">
        <v>1620</v>
      </c>
      <c r="F1755" s="113" t="s">
        <v>3093</v>
      </c>
      <c r="G1755" s="113" t="s">
        <v>3093</v>
      </c>
      <c r="H1755" s="161">
        <v>72</v>
      </c>
      <c r="I1755" s="161">
        <v>2</v>
      </c>
    </row>
    <row r="1756" spans="1:9">
      <c r="A1756" s="113">
        <v>100401465</v>
      </c>
      <c r="B1756" s="113" t="s">
        <v>2891</v>
      </c>
      <c r="C1756" s="113">
        <v>6064079</v>
      </c>
      <c r="D1756" s="113" t="s">
        <v>3093</v>
      </c>
      <c r="E1756" s="113" t="s">
        <v>1620</v>
      </c>
      <c r="F1756" s="113" t="s">
        <v>3093</v>
      </c>
      <c r="G1756" s="113" t="s">
        <v>3093</v>
      </c>
      <c r="H1756" s="161">
        <v>0</v>
      </c>
      <c r="I1756" s="161" t="s">
        <v>7138</v>
      </c>
    </row>
    <row r="1757" spans="1:9">
      <c r="A1757" s="113">
        <v>100401466</v>
      </c>
      <c r="B1757" s="113" t="s">
        <v>4613</v>
      </c>
      <c r="C1757" s="113">
        <v>6064080</v>
      </c>
      <c r="D1757" s="113" t="s">
        <v>3093</v>
      </c>
      <c r="E1757" s="113" t="s">
        <v>1620</v>
      </c>
      <c r="F1757" s="113" t="s">
        <v>3093</v>
      </c>
      <c r="G1757" s="113" t="s">
        <v>3093</v>
      </c>
      <c r="H1757" s="161">
        <v>55.98</v>
      </c>
      <c r="I1757" s="161">
        <v>0</v>
      </c>
    </row>
    <row r="1758" spans="1:9">
      <c r="A1758" s="113">
        <v>100401467</v>
      </c>
      <c r="B1758" s="113" t="s">
        <v>4614</v>
      </c>
      <c r="C1758" s="113">
        <v>6064081</v>
      </c>
      <c r="D1758" s="113" t="s">
        <v>3093</v>
      </c>
      <c r="E1758" s="113" t="s">
        <v>1620</v>
      </c>
      <c r="F1758" s="113" t="s">
        <v>3093</v>
      </c>
      <c r="G1758" s="113" t="s">
        <v>3093</v>
      </c>
      <c r="H1758" s="161">
        <v>65.8</v>
      </c>
      <c r="I1758" s="161">
        <v>24</v>
      </c>
    </row>
    <row r="1759" spans="1:9">
      <c r="A1759" s="113">
        <v>100401468</v>
      </c>
      <c r="B1759" s="113" t="s">
        <v>4615</v>
      </c>
      <c r="C1759" s="113">
        <v>6064082</v>
      </c>
      <c r="D1759" s="113" t="s">
        <v>3093</v>
      </c>
      <c r="E1759" s="113" t="s">
        <v>1620</v>
      </c>
      <c r="F1759" s="113" t="s">
        <v>3093</v>
      </c>
      <c r="G1759" s="113" t="s">
        <v>3093</v>
      </c>
      <c r="H1759" s="161">
        <v>95.54</v>
      </c>
      <c r="I1759" s="161">
        <v>4</v>
      </c>
    </row>
    <row r="1760" spans="1:9">
      <c r="A1760" s="113">
        <v>100401469</v>
      </c>
      <c r="B1760" s="113" t="s">
        <v>4616</v>
      </c>
      <c r="C1760" s="113">
        <v>6064083</v>
      </c>
      <c r="D1760" s="113" t="s">
        <v>3093</v>
      </c>
      <c r="E1760" s="113" t="s">
        <v>1620</v>
      </c>
      <c r="F1760" s="113" t="s">
        <v>3093</v>
      </c>
      <c r="G1760" s="113" t="s">
        <v>3093</v>
      </c>
      <c r="H1760" s="161">
        <v>48</v>
      </c>
      <c r="I1760" s="161">
        <v>2</v>
      </c>
    </row>
    <row r="1761" spans="1:9">
      <c r="A1761" s="113">
        <v>100401470</v>
      </c>
      <c r="B1761" s="113" t="s">
        <v>4617</v>
      </c>
      <c r="C1761" s="113">
        <v>6064084</v>
      </c>
      <c r="D1761" s="113" t="s">
        <v>3093</v>
      </c>
      <c r="E1761" s="113" t="s">
        <v>1620</v>
      </c>
      <c r="F1761" s="113" t="s">
        <v>3093</v>
      </c>
      <c r="G1761" s="113" t="s">
        <v>3093</v>
      </c>
      <c r="H1761" s="161">
        <v>0</v>
      </c>
      <c r="I1761" s="161" t="s">
        <v>7138</v>
      </c>
    </row>
    <row r="1762" spans="1:9">
      <c r="A1762" s="113">
        <v>100401471</v>
      </c>
      <c r="B1762" s="113" t="s">
        <v>4618</v>
      </c>
      <c r="C1762" s="113">
        <v>6064085</v>
      </c>
      <c r="D1762" s="113" t="s">
        <v>3093</v>
      </c>
      <c r="E1762" s="113" t="s">
        <v>1620</v>
      </c>
      <c r="F1762" s="113" t="s">
        <v>3093</v>
      </c>
      <c r="G1762" s="113" t="s">
        <v>3093</v>
      </c>
      <c r="H1762" s="161">
        <v>0</v>
      </c>
      <c r="I1762" s="161" t="s">
        <v>7138</v>
      </c>
    </row>
    <row r="1763" spans="1:9">
      <c r="A1763" s="113">
        <v>100401472</v>
      </c>
      <c r="B1763" s="113" t="s">
        <v>4619</v>
      </c>
      <c r="C1763" s="113">
        <v>6064087</v>
      </c>
      <c r="D1763" s="113" t="s">
        <v>3093</v>
      </c>
      <c r="E1763" s="113" t="s">
        <v>1620</v>
      </c>
      <c r="F1763" s="113" t="s">
        <v>3093</v>
      </c>
      <c r="G1763" s="113" t="s">
        <v>3093</v>
      </c>
      <c r="H1763" s="161">
        <v>0</v>
      </c>
      <c r="I1763" s="161" t="s">
        <v>7138</v>
      </c>
    </row>
    <row r="1764" spans="1:9">
      <c r="A1764" s="113">
        <v>100401473</v>
      </c>
      <c r="B1764" s="113" t="s">
        <v>4620</v>
      </c>
      <c r="C1764" s="113">
        <v>6064088</v>
      </c>
      <c r="D1764" s="113" t="s">
        <v>3093</v>
      </c>
      <c r="E1764" s="113" t="s">
        <v>1620</v>
      </c>
      <c r="F1764" s="113" t="s">
        <v>3093</v>
      </c>
      <c r="G1764" s="113" t="s">
        <v>3093</v>
      </c>
      <c r="H1764" s="161">
        <v>0</v>
      </c>
      <c r="I1764" s="161" t="s">
        <v>7138</v>
      </c>
    </row>
    <row r="1765" spans="1:9">
      <c r="A1765" s="113">
        <v>100401474</v>
      </c>
      <c r="B1765" s="113" t="s">
        <v>2892</v>
      </c>
      <c r="C1765" s="113">
        <v>6064089</v>
      </c>
      <c r="D1765" s="113" t="s">
        <v>3093</v>
      </c>
      <c r="E1765" s="113" t="s">
        <v>1620</v>
      </c>
      <c r="F1765" s="113" t="s">
        <v>3093</v>
      </c>
      <c r="G1765" s="113" t="s">
        <v>3093</v>
      </c>
      <c r="H1765" s="161">
        <v>0</v>
      </c>
      <c r="I1765" s="161" t="s">
        <v>7138</v>
      </c>
    </row>
    <row r="1766" spans="1:9">
      <c r="A1766" s="113">
        <v>100401475</v>
      </c>
      <c r="B1766" s="113" t="s">
        <v>2893</v>
      </c>
      <c r="C1766" s="113">
        <v>6064090</v>
      </c>
      <c r="D1766" s="113" t="s">
        <v>3093</v>
      </c>
      <c r="E1766" s="113" t="s">
        <v>1620</v>
      </c>
      <c r="F1766" s="113" t="s">
        <v>3093</v>
      </c>
      <c r="G1766" s="113" t="s">
        <v>3093</v>
      </c>
      <c r="H1766" s="161">
        <v>0</v>
      </c>
      <c r="I1766" s="161" t="s">
        <v>7138</v>
      </c>
    </row>
    <row r="1767" spans="1:9">
      <c r="A1767" s="113">
        <v>100401476</v>
      </c>
      <c r="B1767" s="113" t="s">
        <v>2894</v>
      </c>
      <c r="C1767" s="113">
        <v>6064091</v>
      </c>
      <c r="D1767" s="113" t="s">
        <v>3093</v>
      </c>
      <c r="E1767" s="113" t="s">
        <v>1620</v>
      </c>
      <c r="F1767" s="113" t="s">
        <v>3093</v>
      </c>
      <c r="G1767" s="113" t="s">
        <v>3093</v>
      </c>
      <c r="H1767" s="161">
        <v>41.72</v>
      </c>
      <c r="I1767" s="161">
        <v>0</v>
      </c>
    </row>
    <row r="1768" spans="1:9">
      <c r="A1768" s="113">
        <v>100401477</v>
      </c>
      <c r="B1768" s="113" t="s">
        <v>2895</v>
      </c>
      <c r="C1768" s="113">
        <v>6064092</v>
      </c>
      <c r="D1768" s="113" t="s">
        <v>3093</v>
      </c>
      <c r="E1768" s="113" t="s">
        <v>1620</v>
      </c>
      <c r="F1768" s="113" t="s">
        <v>3093</v>
      </c>
      <c r="G1768" s="113" t="s">
        <v>3093</v>
      </c>
      <c r="H1768" s="161">
        <v>0</v>
      </c>
      <c r="I1768" s="161" t="s">
        <v>7138</v>
      </c>
    </row>
    <row r="1769" spans="1:9">
      <c r="A1769" s="113">
        <v>100401478</v>
      </c>
      <c r="B1769" s="113" t="s">
        <v>2896</v>
      </c>
      <c r="C1769" s="113">
        <v>6064093</v>
      </c>
      <c r="D1769" s="113" t="s">
        <v>3093</v>
      </c>
      <c r="E1769" s="113" t="s">
        <v>1620</v>
      </c>
      <c r="F1769" s="113" t="s">
        <v>3093</v>
      </c>
      <c r="G1769" s="113" t="s">
        <v>3093</v>
      </c>
      <c r="H1769" s="161">
        <v>0</v>
      </c>
      <c r="I1769" s="161" t="s">
        <v>7138</v>
      </c>
    </row>
    <row r="1770" spans="1:9">
      <c r="A1770" s="113">
        <v>100401479</v>
      </c>
      <c r="B1770" s="113" t="s">
        <v>2897</v>
      </c>
      <c r="C1770" s="113">
        <v>6064094</v>
      </c>
      <c r="D1770" s="113" t="s">
        <v>3093</v>
      </c>
      <c r="E1770" s="113" t="s">
        <v>1620</v>
      </c>
      <c r="F1770" s="113" t="s">
        <v>3093</v>
      </c>
      <c r="G1770" s="113" t="s">
        <v>3093</v>
      </c>
      <c r="H1770" s="161">
        <v>0</v>
      </c>
      <c r="I1770" s="161" t="s">
        <v>7138</v>
      </c>
    </row>
    <row r="1771" spans="1:9">
      <c r="A1771" s="113">
        <v>100401480</v>
      </c>
      <c r="B1771" s="113" t="s">
        <v>2898</v>
      </c>
      <c r="C1771" s="113">
        <v>6064095</v>
      </c>
      <c r="D1771" s="113" t="s">
        <v>3093</v>
      </c>
      <c r="E1771" s="113" t="s">
        <v>1620</v>
      </c>
      <c r="F1771" s="113" t="s">
        <v>3093</v>
      </c>
      <c r="G1771" s="113" t="s">
        <v>3093</v>
      </c>
      <c r="H1771" s="161">
        <v>81.22</v>
      </c>
      <c r="I1771" s="161">
        <v>2</v>
      </c>
    </row>
    <row r="1772" spans="1:9">
      <c r="A1772" s="113">
        <v>100401481</v>
      </c>
      <c r="B1772" s="113" t="s">
        <v>4621</v>
      </c>
      <c r="C1772" s="113">
        <v>6064096</v>
      </c>
      <c r="D1772" s="113" t="s">
        <v>3093</v>
      </c>
      <c r="E1772" s="113" t="s">
        <v>1620</v>
      </c>
      <c r="F1772" s="113" t="s">
        <v>3093</v>
      </c>
      <c r="G1772" s="113" t="s">
        <v>3093</v>
      </c>
      <c r="H1772" s="161">
        <v>0</v>
      </c>
      <c r="I1772" s="161" t="s">
        <v>7138</v>
      </c>
    </row>
    <row r="1773" spans="1:9">
      <c r="A1773" s="113">
        <v>100401482</v>
      </c>
      <c r="B1773" s="113" t="s">
        <v>4622</v>
      </c>
      <c r="C1773" s="113">
        <v>6064097</v>
      </c>
      <c r="D1773" s="113" t="s">
        <v>3093</v>
      </c>
      <c r="E1773" s="113" t="s">
        <v>1620</v>
      </c>
      <c r="F1773" s="113" t="s">
        <v>3093</v>
      </c>
      <c r="G1773" s="113" t="s">
        <v>3093</v>
      </c>
      <c r="H1773" s="161">
        <v>0</v>
      </c>
      <c r="I1773" s="161" t="s">
        <v>7138</v>
      </c>
    </row>
    <row r="1774" spans="1:9">
      <c r="A1774" s="113">
        <v>100401483</v>
      </c>
      <c r="B1774" s="113" t="s">
        <v>2899</v>
      </c>
      <c r="C1774" s="113">
        <v>6064098</v>
      </c>
      <c r="D1774" s="113" t="s">
        <v>3093</v>
      </c>
      <c r="E1774" s="113" t="s">
        <v>1620</v>
      </c>
      <c r="F1774" s="113" t="s">
        <v>3093</v>
      </c>
      <c r="G1774" s="113" t="s">
        <v>3093</v>
      </c>
      <c r="H1774" s="161">
        <v>0</v>
      </c>
      <c r="I1774" s="161" t="s">
        <v>7138</v>
      </c>
    </row>
    <row r="1775" spans="1:9">
      <c r="A1775" s="113">
        <v>100401484</v>
      </c>
      <c r="B1775" s="113" t="s">
        <v>4623</v>
      </c>
      <c r="C1775" s="113">
        <v>6064099</v>
      </c>
      <c r="D1775" s="113" t="s">
        <v>3093</v>
      </c>
      <c r="E1775" s="113" t="s">
        <v>1620</v>
      </c>
      <c r="F1775" s="113" t="s">
        <v>3093</v>
      </c>
      <c r="G1775" s="113" t="s">
        <v>3093</v>
      </c>
      <c r="H1775" s="161">
        <v>0</v>
      </c>
      <c r="I1775" s="161" t="s">
        <v>7138</v>
      </c>
    </row>
    <row r="1776" spans="1:9">
      <c r="A1776" s="113">
        <v>100401485</v>
      </c>
      <c r="B1776" s="113" t="s">
        <v>4624</v>
      </c>
      <c r="C1776" s="113">
        <v>6064100</v>
      </c>
      <c r="D1776" s="113" t="s">
        <v>3093</v>
      </c>
      <c r="E1776" s="113" t="s">
        <v>1620</v>
      </c>
      <c r="F1776" s="113" t="s">
        <v>3093</v>
      </c>
      <c r="G1776" s="113" t="s">
        <v>3093</v>
      </c>
      <c r="H1776" s="161">
        <v>88</v>
      </c>
      <c r="I1776" s="161">
        <v>2</v>
      </c>
    </row>
    <row r="1777" spans="1:9">
      <c r="A1777" s="113">
        <v>100401486</v>
      </c>
      <c r="B1777" s="113" t="s">
        <v>4625</v>
      </c>
      <c r="C1777" s="113">
        <v>6064101</v>
      </c>
      <c r="D1777" s="113" t="s">
        <v>3093</v>
      </c>
      <c r="E1777" s="113" t="s">
        <v>1620</v>
      </c>
      <c r="F1777" s="113" t="s">
        <v>3093</v>
      </c>
      <c r="G1777" s="113" t="s">
        <v>3093</v>
      </c>
      <c r="H1777" s="161">
        <v>0</v>
      </c>
      <c r="I1777" s="161" t="s">
        <v>7138</v>
      </c>
    </row>
    <row r="1778" spans="1:9">
      <c r="A1778" s="113">
        <v>100401487</v>
      </c>
      <c r="B1778" s="113" t="s">
        <v>2900</v>
      </c>
      <c r="C1778" s="113">
        <v>6064102</v>
      </c>
      <c r="D1778" s="113" t="s">
        <v>3093</v>
      </c>
      <c r="E1778" s="113" t="s">
        <v>1620</v>
      </c>
      <c r="F1778" s="113" t="s">
        <v>3093</v>
      </c>
      <c r="G1778" s="113" t="s">
        <v>3093</v>
      </c>
      <c r="H1778" s="161">
        <v>46.1</v>
      </c>
      <c r="I1778" s="161">
        <v>6</v>
      </c>
    </row>
    <row r="1779" spans="1:9">
      <c r="A1779" s="113">
        <v>100401488</v>
      </c>
      <c r="B1779" s="113" t="s">
        <v>2901</v>
      </c>
      <c r="C1779" s="113">
        <v>6064103</v>
      </c>
      <c r="D1779" s="113" t="s">
        <v>3093</v>
      </c>
      <c r="E1779" s="113" t="s">
        <v>1620</v>
      </c>
      <c r="F1779" s="113" t="s">
        <v>3093</v>
      </c>
      <c r="G1779" s="113" t="s">
        <v>3093</v>
      </c>
      <c r="H1779" s="161">
        <v>27.26</v>
      </c>
      <c r="I1779" s="161">
        <v>4</v>
      </c>
    </row>
    <row r="1780" spans="1:9">
      <c r="A1780" s="113">
        <v>100401489</v>
      </c>
      <c r="B1780" s="113" t="s">
        <v>2902</v>
      </c>
      <c r="C1780" s="113">
        <v>6064104</v>
      </c>
      <c r="D1780" s="113" t="s">
        <v>3093</v>
      </c>
      <c r="E1780" s="113" t="s">
        <v>1620</v>
      </c>
      <c r="F1780" s="113" t="s">
        <v>3093</v>
      </c>
      <c r="G1780" s="113" t="s">
        <v>3093</v>
      </c>
      <c r="H1780" s="161">
        <v>46.1</v>
      </c>
      <c r="I1780" s="161">
        <v>0</v>
      </c>
    </row>
    <row r="1781" spans="1:9">
      <c r="A1781" s="113">
        <v>100401490</v>
      </c>
      <c r="B1781" s="113" t="s">
        <v>2903</v>
      </c>
      <c r="C1781" s="113">
        <v>6064105</v>
      </c>
      <c r="D1781" s="113" t="s">
        <v>3093</v>
      </c>
      <c r="E1781" s="113" t="s">
        <v>1620</v>
      </c>
      <c r="F1781" s="113" t="s">
        <v>3093</v>
      </c>
      <c r="G1781" s="113" t="s">
        <v>3093</v>
      </c>
      <c r="H1781" s="161">
        <v>28.25</v>
      </c>
      <c r="I1781" s="161">
        <v>2</v>
      </c>
    </row>
    <row r="1782" spans="1:9">
      <c r="A1782" s="113">
        <v>100401491</v>
      </c>
      <c r="B1782" s="113" t="s">
        <v>2904</v>
      </c>
      <c r="C1782" s="113">
        <v>6064106</v>
      </c>
      <c r="D1782" s="113" t="s">
        <v>3093</v>
      </c>
      <c r="E1782" s="113" t="s">
        <v>1620</v>
      </c>
      <c r="F1782" s="113" t="s">
        <v>3093</v>
      </c>
      <c r="G1782" s="113" t="s">
        <v>3093</v>
      </c>
      <c r="H1782" s="161">
        <v>28.25</v>
      </c>
      <c r="I1782" s="161">
        <v>4</v>
      </c>
    </row>
    <row r="1783" spans="1:9">
      <c r="A1783" s="113">
        <v>100401492</v>
      </c>
      <c r="B1783" s="113" t="s">
        <v>2905</v>
      </c>
      <c r="C1783" s="113">
        <v>6064107</v>
      </c>
      <c r="D1783" s="113" t="s">
        <v>3093</v>
      </c>
      <c r="E1783" s="113" t="s">
        <v>1620</v>
      </c>
      <c r="F1783" s="113" t="s">
        <v>3093</v>
      </c>
      <c r="G1783" s="113" t="s">
        <v>3093</v>
      </c>
      <c r="H1783" s="161">
        <v>27.26</v>
      </c>
      <c r="I1783" s="161">
        <v>0</v>
      </c>
    </row>
    <row r="1784" spans="1:9">
      <c r="A1784" s="113">
        <v>100401493</v>
      </c>
      <c r="B1784" s="113" t="s">
        <v>4626</v>
      </c>
      <c r="C1784" s="113">
        <v>6064108</v>
      </c>
      <c r="D1784" s="113" t="s">
        <v>3093</v>
      </c>
      <c r="E1784" s="113" t="s">
        <v>1620</v>
      </c>
      <c r="F1784" s="113" t="s">
        <v>3093</v>
      </c>
      <c r="G1784" s="113" t="s">
        <v>3093</v>
      </c>
      <c r="H1784" s="161">
        <v>0</v>
      </c>
      <c r="I1784" s="161" t="s">
        <v>7138</v>
      </c>
    </row>
    <row r="1785" spans="1:9">
      <c r="A1785" s="113">
        <v>100401494</v>
      </c>
      <c r="B1785" s="113" t="s">
        <v>4627</v>
      </c>
      <c r="C1785" s="113">
        <v>6064109</v>
      </c>
      <c r="D1785" s="113" t="s">
        <v>3093</v>
      </c>
      <c r="E1785" s="113" t="s">
        <v>1620</v>
      </c>
      <c r="F1785" s="113" t="s">
        <v>3093</v>
      </c>
      <c r="G1785" s="113" t="s">
        <v>3093</v>
      </c>
      <c r="H1785" s="161">
        <v>46</v>
      </c>
      <c r="I1785" s="161">
        <v>4</v>
      </c>
    </row>
    <row r="1786" spans="1:9">
      <c r="A1786" s="113">
        <v>100401495</v>
      </c>
      <c r="B1786" s="113" t="s">
        <v>4628</v>
      </c>
      <c r="C1786" s="113">
        <v>6064110</v>
      </c>
      <c r="D1786" s="113" t="s">
        <v>3093</v>
      </c>
      <c r="E1786" s="113" t="s">
        <v>1620</v>
      </c>
      <c r="F1786" s="113" t="s">
        <v>3093</v>
      </c>
      <c r="G1786" s="113" t="s">
        <v>3093</v>
      </c>
      <c r="H1786" s="161">
        <v>0</v>
      </c>
      <c r="I1786" s="161" t="s">
        <v>7138</v>
      </c>
    </row>
    <row r="1787" spans="1:9">
      <c r="A1787" s="113">
        <v>100401496</v>
      </c>
      <c r="B1787" s="113" t="s">
        <v>4629</v>
      </c>
      <c r="C1787" s="113">
        <v>6064111</v>
      </c>
      <c r="D1787" s="113" t="s">
        <v>3093</v>
      </c>
      <c r="E1787" s="113" t="s">
        <v>1620</v>
      </c>
      <c r="F1787" s="113" t="s">
        <v>3093</v>
      </c>
      <c r="G1787" s="113" t="s">
        <v>3093</v>
      </c>
      <c r="H1787" s="161">
        <v>0</v>
      </c>
      <c r="I1787" s="161" t="s">
        <v>7138</v>
      </c>
    </row>
    <row r="1788" spans="1:9">
      <c r="A1788" s="113">
        <v>100401497</v>
      </c>
      <c r="B1788" s="113" t="s">
        <v>4630</v>
      </c>
      <c r="C1788" s="113">
        <v>6064112</v>
      </c>
      <c r="D1788" s="113" t="s">
        <v>3093</v>
      </c>
      <c r="E1788" s="113" t="s">
        <v>1620</v>
      </c>
      <c r="F1788" s="113" t="s">
        <v>3093</v>
      </c>
      <c r="G1788" s="113" t="s">
        <v>3093</v>
      </c>
      <c r="H1788" s="161">
        <v>0</v>
      </c>
      <c r="I1788" s="161" t="s">
        <v>7138</v>
      </c>
    </row>
    <row r="1789" spans="1:9">
      <c r="A1789" s="113">
        <v>100401498</v>
      </c>
      <c r="B1789" s="113" t="s">
        <v>4631</v>
      </c>
      <c r="C1789" s="113">
        <v>6064113</v>
      </c>
      <c r="D1789" s="113" t="s">
        <v>3093</v>
      </c>
      <c r="E1789" s="113" t="s">
        <v>1620</v>
      </c>
      <c r="F1789" s="113" t="s">
        <v>3093</v>
      </c>
      <c r="G1789" s="113" t="s">
        <v>3093</v>
      </c>
      <c r="H1789" s="161">
        <v>0</v>
      </c>
      <c r="I1789" s="161" t="s">
        <v>7138</v>
      </c>
    </row>
    <row r="1790" spans="1:9">
      <c r="A1790" s="113">
        <v>100401499</v>
      </c>
      <c r="B1790" s="113" t="s">
        <v>4632</v>
      </c>
      <c r="C1790" s="113">
        <v>6064114</v>
      </c>
      <c r="D1790" s="113" t="s">
        <v>3093</v>
      </c>
      <c r="E1790" s="113" t="s">
        <v>1620</v>
      </c>
      <c r="F1790" s="113" t="s">
        <v>3093</v>
      </c>
      <c r="G1790" s="113" t="s">
        <v>3093</v>
      </c>
      <c r="H1790" s="161">
        <v>0</v>
      </c>
      <c r="I1790" s="161" t="s">
        <v>7138</v>
      </c>
    </row>
    <row r="1791" spans="1:9">
      <c r="A1791" s="113">
        <v>100401500</v>
      </c>
      <c r="B1791" s="113" t="s">
        <v>4633</v>
      </c>
      <c r="C1791" s="113">
        <v>6064115</v>
      </c>
      <c r="D1791" s="113" t="s">
        <v>3093</v>
      </c>
      <c r="E1791" s="113" t="s">
        <v>1620</v>
      </c>
      <c r="F1791" s="113" t="s">
        <v>3093</v>
      </c>
      <c r="G1791" s="113" t="s">
        <v>3093</v>
      </c>
      <c r="H1791" s="161">
        <v>0</v>
      </c>
      <c r="I1791" s="161" t="s">
        <v>7138</v>
      </c>
    </row>
    <row r="1792" spans="1:9">
      <c r="A1792" s="113">
        <v>100401501</v>
      </c>
      <c r="B1792" s="113" t="s">
        <v>4634</v>
      </c>
      <c r="C1792" s="113">
        <v>6064116</v>
      </c>
      <c r="D1792" s="113" t="s">
        <v>3093</v>
      </c>
      <c r="E1792" s="113" t="s">
        <v>1620</v>
      </c>
      <c r="F1792" s="113" t="s">
        <v>3093</v>
      </c>
      <c r="G1792" s="113" t="s">
        <v>3093</v>
      </c>
      <c r="H1792" s="161">
        <v>0</v>
      </c>
      <c r="I1792" s="161" t="s">
        <v>7138</v>
      </c>
    </row>
    <row r="1793" spans="1:9">
      <c r="A1793" s="113">
        <v>100401502</v>
      </c>
      <c r="B1793" s="113" t="s">
        <v>2906</v>
      </c>
      <c r="C1793" s="113">
        <v>6064117</v>
      </c>
      <c r="D1793" s="113" t="s">
        <v>3093</v>
      </c>
      <c r="E1793" s="113" t="s">
        <v>1620</v>
      </c>
      <c r="F1793" s="113" t="s">
        <v>3093</v>
      </c>
      <c r="G1793" s="113" t="s">
        <v>3093</v>
      </c>
      <c r="H1793" s="161">
        <v>0</v>
      </c>
      <c r="I1793" s="161" t="s">
        <v>7138</v>
      </c>
    </row>
    <row r="1794" spans="1:9">
      <c r="A1794" s="113">
        <v>100401503</v>
      </c>
      <c r="B1794" s="113" t="s">
        <v>2907</v>
      </c>
      <c r="C1794" s="113">
        <v>6064118</v>
      </c>
      <c r="D1794" s="113" t="s">
        <v>3093</v>
      </c>
      <c r="E1794" s="113" t="s">
        <v>1620</v>
      </c>
      <c r="F1794" s="113" t="s">
        <v>3093</v>
      </c>
      <c r="G1794" s="113" t="s">
        <v>3093</v>
      </c>
      <c r="H1794" s="161">
        <v>0</v>
      </c>
      <c r="I1794" s="161" t="s">
        <v>7138</v>
      </c>
    </row>
    <row r="1795" spans="1:9">
      <c r="A1795" s="113">
        <v>100401504</v>
      </c>
      <c r="B1795" s="113" t="s">
        <v>2908</v>
      </c>
      <c r="C1795" s="113">
        <v>6064119</v>
      </c>
      <c r="D1795" s="113" t="s">
        <v>3093</v>
      </c>
      <c r="E1795" s="113" t="s">
        <v>1620</v>
      </c>
      <c r="F1795" s="113" t="s">
        <v>3093</v>
      </c>
      <c r="G1795" s="113" t="s">
        <v>3093</v>
      </c>
      <c r="H1795" s="161">
        <v>0</v>
      </c>
      <c r="I1795" s="161" t="s">
        <v>7138</v>
      </c>
    </row>
    <row r="1796" spans="1:9">
      <c r="A1796" s="113">
        <v>100401505</v>
      </c>
      <c r="B1796" s="113" t="s">
        <v>2909</v>
      </c>
      <c r="C1796" s="113">
        <v>6064120</v>
      </c>
      <c r="D1796" s="113" t="s">
        <v>3093</v>
      </c>
      <c r="E1796" s="113" t="s">
        <v>1620</v>
      </c>
      <c r="F1796" s="113" t="s">
        <v>3093</v>
      </c>
      <c r="G1796" s="113" t="s">
        <v>3093</v>
      </c>
      <c r="H1796" s="161">
        <v>0</v>
      </c>
      <c r="I1796" s="161" t="s">
        <v>7138</v>
      </c>
    </row>
    <row r="1797" spans="1:9">
      <c r="A1797" s="113">
        <v>100401506</v>
      </c>
      <c r="B1797" s="113" t="s">
        <v>2910</v>
      </c>
      <c r="C1797" s="113">
        <v>6064121</v>
      </c>
      <c r="D1797" s="113" t="s">
        <v>3093</v>
      </c>
      <c r="E1797" s="113" t="s">
        <v>1620</v>
      </c>
      <c r="F1797" s="113" t="s">
        <v>3093</v>
      </c>
      <c r="G1797" s="113" t="s">
        <v>3093</v>
      </c>
      <c r="H1797" s="161">
        <v>0</v>
      </c>
      <c r="I1797" s="161" t="s">
        <v>7138</v>
      </c>
    </row>
    <row r="1798" spans="1:9">
      <c r="A1798" s="113">
        <v>100401507</v>
      </c>
      <c r="B1798" s="113" t="s">
        <v>2911</v>
      </c>
      <c r="C1798" s="113">
        <v>6064122</v>
      </c>
      <c r="D1798" s="113" t="s">
        <v>3093</v>
      </c>
      <c r="E1798" s="113" t="s">
        <v>1620</v>
      </c>
      <c r="F1798" s="113" t="s">
        <v>3093</v>
      </c>
      <c r="G1798" s="113" t="s">
        <v>3093</v>
      </c>
      <c r="H1798" s="161">
        <v>0</v>
      </c>
      <c r="I1798" s="161" t="s">
        <v>7138</v>
      </c>
    </row>
    <row r="1799" spans="1:9">
      <c r="A1799" s="113">
        <v>100401508</v>
      </c>
      <c r="B1799" s="113" t="s">
        <v>2912</v>
      </c>
      <c r="C1799" s="113">
        <v>6064123</v>
      </c>
      <c r="D1799" s="113" t="s">
        <v>3093</v>
      </c>
      <c r="E1799" s="113" t="s">
        <v>1620</v>
      </c>
      <c r="F1799" s="113" t="s">
        <v>3093</v>
      </c>
      <c r="G1799" s="113" t="s">
        <v>3093</v>
      </c>
      <c r="H1799" s="161">
        <v>0</v>
      </c>
      <c r="I1799" s="161" t="s">
        <v>7138</v>
      </c>
    </row>
    <row r="1800" spans="1:9">
      <c r="A1800" s="113">
        <v>100401509</v>
      </c>
      <c r="B1800" s="113" t="s">
        <v>2913</v>
      </c>
      <c r="C1800" s="113">
        <v>6064124</v>
      </c>
      <c r="D1800" s="113" t="s">
        <v>3093</v>
      </c>
      <c r="E1800" s="113" t="s">
        <v>1620</v>
      </c>
      <c r="F1800" s="113" t="s">
        <v>3093</v>
      </c>
      <c r="G1800" s="113" t="s">
        <v>3093</v>
      </c>
      <c r="H1800" s="161">
        <v>0</v>
      </c>
      <c r="I1800" s="161" t="s">
        <v>7138</v>
      </c>
    </row>
    <row r="1801" spans="1:9">
      <c r="A1801" s="113">
        <v>100401510</v>
      </c>
      <c r="B1801" s="113" t="s">
        <v>4635</v>
      </c>
      <c r="C1801" s="113">
        <v>6064125</v>
      </c>
      <c r="D1801" s="113" t="s">
        <v>3093</v>
      </c>
      <c r="E1801" s="113" t="s">
        <v>1620</v>
      </c>
      <c r="F1801" s="113" t="s">
        <v>3093</v>
      </c>
      <c r="G1801" s="113" t="s">
        <v>3093</v>
      </c>
      <c r="H1801" s="161">
        <v>94.92</v>
      </c>
      <c r="I1801" s="161">
        <v>6</v>
      </c>
    </row>
    <row r="1802" spans="1:9">
      <c r="A1802" s="113">
        <v>100401511</v>
      </c>
      <c r="B1802" s="113" t="s">
        <v>4636</v>
      </c>
      <c r="C1802" s="113">
        <v>6064126</v>
      </c>
      <c r="D1802" s="113" t="s">
        <v>3093</v>
      </c>
      <c r="E1802" s="113" t="s">
        <v>1620</v>
      </c>
      <c r="F1802" s="113" t="s">
        <v>3093</v>
      </c>
      <c r="G1802" s="113" t="s">
        <v>3093</v>
      </c>
      <c r="H1802" s="161">
        <v>0</v>
      </c>
      <c r="I1802" s="161" t="s">
        <v>7138</v>
      </c>
    </row>
    <row r="1803" spans="1:9">
      <c r="A1803" s="113">
        <v>100401512</v>
      </c>
      <c r="B1803" s="113" t="s">
        <v>4637</v>
      </c>
      <c r="C1803" s="113">
        <v>6064127</v>
      </c>
      <c r="D1803" s="113" t="s">
        <v>3093</v>
      </c>
      <c r="E1803" s="113" t="s">
        <v>1620</v>
      </c>
      <c r="F1803" s="113" t="s">
        <v>3093</v>
      </c>
      <c r="G1803" s="113" t="s">
        <v>3093</v>
      </c>
      <c r="H1803" s="161">
        <v>0</v>
      </c>
      <c r="I1803" s="161" t="s">
        <v>7138</v>
      </c>
    </row>
    <row r="1804" spans="1:9">
      <c r="A1804" s="113">
        <v>100401513</v>
      </c>
      <c r="B1804" s="113" t="s">
        <v>4638</v>
      </c>
      <c r="C1804" s="113">
        <v>6064128</v>
      </c>
      <c r="D1804" s="113" t="s">
        <v>3093</v>
      </c>
      <c r="E1804" s="113" t="s">
        <v>1620</v>
      </c>
      <c r="F1804" s="113" t="s">
        <v>3093</v>
      </c>
      <c r="G1804" s="113" t="s">
        <v>3093</v>
      </c>
      <c r="H1804" s="161">
        <v>20.61</v>
      </c>
      <c r="I1804" s="161">
        <v>4</v>
      </c>
    </row>
    <row r="1805" spans="1:9">
      <c r="A1805" s="113">
        <v>100401514</v>
      </c>
      <c r="B1805" s="113" t="s">
        <v>4639</v>
      </c>
      <c r="C1805" s="113">
        <v>6064129</v>
      </c>
      <c r="D1805" s="113" t="s">
        <v>3093</v>
      </c>
      <c r="E1805" s="113" t="s">
        <v>1620</v>
      </c>
      <c r="F1805" s="113" t="s">
        <v>3093</v>
      </c>
      <c r="G1805" s="113" t="s">
        <v>3093</v>
      </c>
      <c r="H1805" s="161">
        <v>60</v>
      </c>
      <c r="I1805" s="161">
        <v>2</v>
      </c>
    </row>
    <row r="1806" spans="1:9">
      <c r="A1806" s="113">
        <v>100401515</v>
      </c>
      <c r="B1806" s="113" t="s">
        <v>4640</v>
      </c>
      <c r="C1806" s="113">
        <v>6064130</v>
      </c>
      <c r="D1806" s="113" t="s">
        <v>3093</v>
      </c>
      <c r="E1806" s="113" t="s">
        <v>1620</v>
      </c>
      <c r="F1806" s="113" t="s">
        <v>3093</v>
      </c>
      <c r="G1806" s="113" t="s">
        <v>3093</v>
      </c>
      <c r="H1806" s="161">
        <v>0</v>
      </c>
      <c r="I1806" s="161" t="s">
        <v>7138</v>
      </c>
    </row>
    <row r="1807" spans="1:9">
      <c r="A1807" s="113">
        <v>100401516</v>
      </c>
      <c r="B1807" s="113" t="s">
        <v>4641</v>
      </c>
      <c r="C1807" s="113">
        <v>6064131</v>
      </c>
      <c r="D1807" s="113" t="s">
        <v>3093</v>
      </c>
      <c r="E1807" s="113" t="s">
        <v>1620</v>
      </c>
      <c r="F1807" s="113" t="s">
        <v>3093</v>
      </c>
      <c r="G1807" s="113" t="s">
        <v>3093</v>
      </c>
      <c r="H1807" s="161">
        <v>0</v>
      </c>
      <c r="I1807" s="161" t="s">
        <v>7138</v>
      </c>
    </row>
    <row r="1808" spans="1:9">
      <c r="A1808" s="113">
        <v>100401517</v>
      </c>
      <c r="B1808" s="113" t="s">
        <v>4642</v>
      </c>
      <c r="C1808" s="113">
        <v>6064132</v>
      </c>
      <c r="D1808" s="113" t="s">
        <v>3093</v>
      </c>
      <c r="E1808" s="113" t="s">
        <v>1620</v>
      </c>
      <c r="F1808" s="113" t="s">
        <v>3093</v>
      </c>
      <c r="G1808" s="113" t="s">
        <v>3093</v>
      </c>
      <c r="H1808" s="161">
        <v>0</v>
      </c>
      <c r="I1808" s="161" t="s">
        <v>7138</v>
      </c>
    </row>
    <row r="1809" spans="1:9">
      <c r="A1809" s="113">
        <v>100401518</v>
      </c>
      <c r="B1809" s="113" t="s">
        <v>4643</v>
      </c>
      <c r="C1809" s="113">
        <v>6064133</v>
      </c>
      <c r="D1809" s="113" t="s">
        <v>3093</v>
      </c>
      <c r="E1809" s="113" t="s">
        <v>1620</v>
      </c>
      <c r="F1809" s="113" t="s">
        <v>3093</v>
      </c>
      <c r="G1809" s="113" t="s">
        <v>3093</v>
      </c>
      <c r="H1809" s="161">
        <v>0</v>
      </c>
      <c r="I1809" s="161" t="s">
        <v>7138</v>
      </c>
    </row>
    <row r="1810" spans="1:9">
      <c r="A1810" s="113">
        <v>100401519</v>
      </c>
      <c r="B1810" s="113" t="s">
        <v>4644</v>
      </c>
      <c r="C1810" s="113">
        <v>6064134</v>
      </c>
      <c r="D1810" s="113" t="s">
        <v>3093</v>
      </c>
      <c r="E1810" s="113" t="s">
        <v>1620</v>
      </c>
      <c r="F1810" s="113" t="s">
        <v>3093</v>
      </c>
      <c r="G1810" s="113" t="s">
        <v>3093</v>
      </c>
      <c r="H1810" s="161">
        <v>0</v>
      </c>
      <c r="I1810" s="161" t="s">
        <v>7138</v>
      </c>
    </row>
    <row r="1811" spans="1:9">
      <c r="A1811" s="113">
        <v>100401520</v>
      </c>
      <c r="B1811" s="113" t="s">
        <v>4645</v>
      </c>
      <c r="C1811" s="113">
        <v>6064135</v>
      </c>
      <c r="D1811" s="113" t="s">
        <v>3093</v>
      </c>
      <c r="E1811" s="113" t="s">
        <v>1620</v>
      </c>
      <c r="F1811" s="113" t="s">
        <v>3093</v>
      </c>
      <c r="G1811" s="113" t="s">
        <v>3093</v>
      </c>
      <c r="H1811" s="161">
        <v>0</v>
      </c>
      <c r="I1811" s="161" t="s">
        <v>7138</v>
      </c>
    </row>
    <row r="1812" spans="1:9">
      <c r="A1812" s="113">
        <v>100401521</v>
      </c>
      <c r="B1812" s="113" t="s">
        <v>4646</v>
      </c>
      <c r="C1812" s="113">
        <v>6064137</v>
      </c>
      <c r="D1812" s="113" t="s">
        <v>3093</v>
      </c>
      <c r="E1812" s="113" t="s">
        <v>1620</v>
      </c>
      <c r="F1812" s="113" t="s">
        <v>3093</v>
      </c>
      <c r="G1812" s="113" t="s">
        <v>3093</v>
      </c>
      <c r="H1812" s="161">
        <v>0</v>
      </c>
      <c r="I1812" s="161" t="s">
        <v>7138</v>
      </c>
    </row>
    <row r="1813" spans="1:9">
      <c r="A1813" s="113">
        <v>100401522</v>
      </c>
      <c r="B1813" s="113" t="s">
        <v>4647</v>
      </c>
      <c r="C1813" s="113">
        <v>6064138</v>
      </c>
      <c r="D1813" s="113" t="s">
        <v>3093</v>
      </c>
      <c r="E1813" s="113" t="s">
        <v>1620</v>
      </c>
      <c r="F1813" s="113" t="s">
        <v>3093</v>
      </c>
      <c r="G1813" s="113" t="s">
        <v>3093</v>
      </c>
      <c r="H1813" s="161">
        <v>0</v>
      </c>
      <c r="I1813" s="161" t="s">
        <v>7138</v>
      </c>
    </row>
    <row r="1814" spans="1:9">
      <c r="A1814" s="113">
        <v>100401523</v>
      </c>
      <c r="B1814" s="113" t="s">
        <v>4648</v>
      </c>
      <c r="C1814" s="113">
        <v>6064139</v>
      </c>
      <c r="D1814" s="113" t="s">
        <v>3093</v>
      </c>
      <c r="E1814" s="113" t="s">
        <v>1620</v>
      </c>
      <c r="F1814" s="113" t="s">
        <v>3093</v>
      </c>
      <c r="G1814" s="113" t="s">
        <v>3093</v>
      </c>
      <c r="H1814" s="161">
        <v>0</v>
      </c>
      <c r="I1814" s="161" t="s">
        <v>7138</v>
      </c>
    </row>
    <row r="1815" spans="1:9">
      <c r="A1815" s="113">
        <v>100401524</v>
      </c>
      <c r="B1815" s="113" t="s">
        <v>4649</v>
      </c>
      <c r="C1815" s="113">
        <v>6064140</v>
      </c>
      <c r="D1815" s="113" t="s">
        <v>3093</v>
      </c>
      <c r="E1815" s="113" t="s">
        <v>1620</v>
      </c>
      <c r="F1815" s="113" t="s">
        <v>3093</v>
      </c>
      <c r="G1815" s="113" t="s">
        <v>3093</v>
      </c>
      <c r="H1815" s="161">
        <v>0</v>
      </c>
      <c r="I1815" s="161" t="s">
        <v>7138</v>
      </c>
    </row>
    <row r="1816" spans="1:9">
      <c r="A1816" s="113">
        <v>100401525</v>
      </c>
      <c r="B1816" s="113" t="s">
        <v>2914</v>
      </c>
      <c r="C1816" s="113">
        <v>6065002</v>
      </c>
      <c r="D1816" s="113" t="s">
        <v>3093</v>
      </c>
      <c r="E1816" s="113" t="s">
        <v>1620</v>
      </c>
      <c r="F1816" s="113" t="s">
        <v>3093</v>
      </c>
      <c r="G1816" s="113" t="s">
        <v>3093</v>
      </c>
      <c r="H1816" s="161">
        <v>3.5</v>
      </c>
      <c r="I1816" s="161">
        <v>2</v>
      </c>
    </row>
    <row r="1817" spans="1:9">
      <c r="A1817" s="113">
        <v>100401526</v>
      </c>
      <c r="B1817" s="113" t="s">
        <v>2915</v>
      </c>
      <c r="C1817" s="113">
        <v>6065003</v>
      </c>
      <c r="D1817" s="113" t="s">
        <v>3093</v>
      </c>
      <c r="E1817" s="113" t="s">
        <v>1620</v>
      </c>
      <c r="F1817" s="113" t="s">
        <v>3093</v>
      </c>
      <c r="G1817" s="113" t="s">
        <v>3093</v>
      </c>
      <c r="H1817" s="161">
        <v>3.5</v>
      </c>
      <c r="I1817" s="161">
        <v>2</v>
      </c>
    </row>
    <row r="1818" spans="1:9">
      <c r="A1818" s="113">
        <v>100401527</v>
      </c>
      <c r="B1818" s="113" t="s">
        <v>4650</v>
      </c>
      <c r="C1818" s="113">
        <v>6065004</v>
      </c>
      <c r="D1818" s="113" t="s">
        <v>3093</v>
      </c>
      <c r="E1818" s="113" t="s">
        <v>1620</v>
      </c>
      <c r="F1818" s="113" t="s">
        <v>3093</v>
      </c>
      <c r="G1818" s="113" t="s">
        <v>3093</v>
      </c>
      <c r="H1818" s="161">
        <v>4.5</v>
      </c>
      <c r="I1818" s="161">
        <v>2</v>
      </c>
    </row>
    <row r="1819" spans="1:9">
      <c r="A1819" s="113">
        <v>100401528</v>
      </c>
      <c r="B1819" s="113" t="s">
        <v>4651</v>
      </c>
      <c r="C1819" s="113">
        <v>6065005</v>
      </c>
      <c r="D1819" s="113" t="s">
        <v>3093</v>
      </c>
      <c r="E1819" s="113" t="s">
        <v>1620</v>
      </c>
      <c r="F1819" s="113" t="s">
        <v>3093</v>
      </c>
      <c r="G1819" s="113" t="s">
        <v>3093</v>
      </c>
      <c r="H1819" s="161">
        <v>5.5</v>
      </c>
      <c r="I1819" s="161">
        <v>1</v>
      </c>
    </row>
    <row r="1820" spans="1:9">
      <c r="A1820" s="113">
        <v>100401529</v>
      </c>
      <c r="B1820" s="113" t="s">
        <v>4652</v>
      </c>
      <c r="C1820" s="113">
        <v>6065006</v>
      </c>
      <c r="D1820" s="113" t="s">
        <v>3093</v>
      </c>
      <c r="E1820" s="113" t="s">
        <v>1620</v>
      </c>
      <c r="F1820" s="113" t="s">
        <v>3093</v>
      </c>
      <c r="G1820" s="113" t="s">
        <v>3093</v>
      </c>
      <c r="H1820" s="161">
        <v>4.6100000000000003</v>
      </c>
      <c r="I1820" s="161">
        <v>2</v>
      </c>
    </row>
    <row r="1821" spans="1:9">
      <c r="A1821" s="113">
        <v>100401530</v>
      </c>
      <c r="B1821" s="113" t="s">
        <v>4653</v>
      </c>
      <c r="C1821" s="113">
        <v>6065007</v>
      </c>
      <c r="D1821" s="113" t="s">
        <v>3093</v>
      </c>
      <c r="E1821" s="113" t="s">
        <v>1620</v>
      </c>
      <c r="F1821" s="113" t="s">
        <v>3093</v>
      </c>
      <c r="G1821" s="113" t="s">
        <v>3093</v>
      </c>
      <c r="H1821" s="161">
        <v>13.9</v>
      </c>
      <c r="I1821" s="161">
        <v>2</v>
      </c>
    </row>
    <row r="1822" spans="1:9">
      <c r="A1822" s="113">
        <v>100401531</v>
      </c>
      <c r="B1822" s="113" t="s">
        <v>4654</v>
      </c>
      <c r="C1822" s="113">
        <v>6065008</v>
      </c>
      <c r="D1822" s="113" t="s">
        <v>3093</v>
      </c>
      <c r="E1822" s="113" t="s">
        <v>1620</v>
      </c>
      <c r="F1822" s="113" t="s">
        <v>3093</v>
      </c>
      <c r="G1822" s="113" t="s">
        <v>3093</v>
      </c>
      <c r="H1822" s="161">
        <v>4.5</v>
      </c>
      <c r="I1822" s="161">
        <v>2</v>
      </c>
    </row>
    <row r="1823" spans="1:9">
      <c r="A1823" s="113">
        <v>100401532</v>
      </c>
      <c r="B1823" s="113" t="s">
        <v>4655</v>
      </c>
      <c r="C1823" s="113">
        <v>6065009</v>
      </c>
      <c r="D1823" s="113" t="s">
        <v>3093</v>
      </c>
      <c r="E1823" s="113" t="s">
        <v>1620</v>
      </c>
      <c r="F1823" s="113" t="s">
        <v>3093</v>
      </c>
      <c r="G1823" s="113" t="s">
        <v>3093</v>
      </c>
      <c r="H1823" s="161">
        <v>47.49</v>
      </c>
      <c r="I1823" s="161">
        <v>1</v>
      </c>
    </row>
    <row r="1824" spans="1:9">
      <c r="A1824" s="113">
        <v>100401533</v>
      </c>
      <c r="B1824" s="113" t="s">
        <v>2916</v>
      </c>
      <c r="C1824" s="113">
        <v>6065010</v>
      </c>
      <c r="D1824" s="113" t="s">
        <v>3093</v>
      </c>
      <c r="E1824" s="113" t="s">
        <v>1620</v>
      </c>
      <c r="F1824" s="113" t="s">
        <v>3093</v>
      </c>
      <c r="G1824" s="113" t="s">
        <v>3093</v>
      </c>
      <c r="H1824" s="161">
        <v>0</v>
      </c>
      <c r="I1824" s="161" t="s">
        <v>7138</v>
      </c>
    </row>
    <row r="1825" spans="1:9">
      <c r="A1825" s="113">
        <v>100401534</v>
      </c>
      <c r="B1825" s="113" t="s">
        <v>2917</v>
      </c>
      <c r="C1825" s="113">
        <v>6065011</v>
      </c>
      <c r="D1825" s="113" t="s">
        <v>3093</v>
      </c>
      <c r="E1825" s="113" t="s">
        <v>1620</v>
      </c>
      <c r="F1825" s="113" t="s">
        <v>3093</v>
      </c>
      <c r="G1825" s="113" t="s">
        <v>3093</v>
      </c>
      <c r="H1825" s="161">
        <v>0</v>
      </c>
      <c r="I1825" s="161" t="s">
        <v>7138</v>
      </c>
    </row>
    <row r="1826" spans="1:9">
      <c r="A1826" s="113">
        <v>100401535</v>
      </c>
      <c r="B1826" s="113" t="s">
        <v>2918</v>
      </c>
      <c r="C1826" s="113">
        <v>6065012</v>
      </c>
      <c r="D1826" s="113" t="s">
        <v>3093</v>
      </c>
      <c r="E1826" s="113" t="s">
        <v>1620</v>
      </c>
      <c r="F1826" s="113" t="s">
        <v>3093</v>
      </c>
      <c r="G1826" s="113" t="s">
        <v>3093</v>
      </c>
      <c r="H1826" s="161">
        <v>4.79</v>
      </c>
      <c r="I1826" s="161">
        <v>2</v>
      </c>
    </row>
    <row r="1827" spans="1:9">
      <c r="A1827" s="113">
        <v>100401536</v>
      </c>
      <c r="B1827" s="113" t="s">
        <v>2919</v>
      </c>
      <c r="C1827" s="113">
        <v>6065013</v>
      </c>
      <c r="D1827" s="113" t="s">
        <v>3093</v>
      </c>
      <c r="E1827" s="113" t="s">
        <v>1620</v>
      </c>
      <c r="F1827" s="113" t="s">
        <v>3093</v>
      </c>
      <c r="G1827" s="113" t="s">
        <v>3093</v>
      </c>
      <c r="H1827" s="161">
        <v>14.54</v>
      </c>
      <c r="I1827" s="161">
        <v>2</v>
      </c>
    </row>
    <row r="1828" spans="1:9">
      <c r="A1828" s="113">
        <v>100401537</v>
      </c>
      <c r="B1828" s="113" t="s">
        <v>2920</v>
      </c>
      <c r="C1828" s="113">
        <v>6065014</v>
      </c>
      <c r="D1828" s="113" t="s">
        <v>3093</v>
      </c>
      <c r="E1828" s="113" t="s">
        <v>1620</v>
      </c>
      <c r="F1828" s="113" t="s">
        <v>3093</v>
      </c>
      <c r="G1828" s="113" t="s">
        <v>3093</v>
      </c>
      <c r="H1828" s="161">
        <v>14.8</v>
      </c>
      <c r="I1828" s="161">
        <v>2</v>
      </c>
    </row>
    <row r="1829" spans="1:9">
      <c r="A1829" s="113">
        <v>100401538</v>
      </c>
      <c r="B1829" s="113" t="s">
        <v>2921</v>
      </c>
      <c r="C1829" s="113">
        <v>6065015</v>
      </c>
      <c r="D1829" s="113" t="s">
        <v>3093</v>
      </c>
      <c r="E1829" s="113" t="s">
        <v>1620</v>
      </c>
      <c r="F1829" s="113" t="s">
        <v>3093</v>
      </c>
      <c r="G1829" s="113" t="s">
        <v>3093</v>
      </c>
      <c r="H1829" s="161">
        <v>2.94</v>
      </c>
      <c r="I1829" s="161">
        <v>2</v>
      </c>
    </row>
    <row r="1830" spans="1:9">
      <c r="A1830" s="113">
        <v>100401539</v>
      </c>
      <c r="B1830" s="113" t="s">
        <v>2922</v>
      </c>
      <c r="C1830" s="113">
        <v>6065016</v>
      </c>
      <c r="D1830" s="113" t="s">
        <v>3093</v>
      </c>
      <c r="E1830" s="113" t="s">
        <v>1620</v>
      </c>
      <c r="F1830" s="113" t="s">
        <v>3093</v>
      </c>
      <c r="G1830" s="113" t="s">
        <v>3093</v>
      </c>
      <c r="H1830" s="161">
        <v>2.34</v>
      </c>
      <c r="I1830" s="161">
        <v>2</v>
      </c>
    </row>
    <row r="1831" spans="1:9">
      <c r="A1831" s="113">
        <v>100401540</v>
      </c>
      <c r="B1831" s="113" t="s">
        <v>2923</v>
      </c>
      <c r="C1831" s="113">
        <v>6065017</v>
      </c>
      <c r="D1831" s="113" t="s">
        <v>3093</v>
      </c>
      <c r="E1831" s="113" t="s">
        <v>1620</v>
      </c>
      <c r="F1831" s="113" t="s">
        <v>3093</v>
      </c>
      <c r="G1831" s="113" t="s">
        <v>3093</v>
      </c>
      <c r="H1831" s="161">
        <v>4.5</v>
      </c>
      <c r="I1831" s="161">
        <v>2</v>
      </c>
    </row>
    <row r="1832" spans="1:9">
      <c r="A1832" s="113">
        <v>100401541</v>
      </c>
      <c r="B1832" s="113" t="s">
        <v>2924</v>
      </c>
      <c r="C1832" s="113">
        <v>6065018</v>
      </c>
      <c r="D1832" s="113" t="s">
        <v>3093</v>
      </c>
      <c r="E1832" s="113" t="s">
        <v>1620</v>
      </c>
      <c r="F1832" s="113" t="s">
        <v>3093</v>
      </c>
      <c r="G1832" s="113" t="s">
        <v>3093</v>
      </c>
      <c r="H1832" s="161">
        <v>11.5</v>
      </c>
      <c r="I1832" s="161">
        <v>2</v>
      </c>
    </row>
    <row r="1833" spans="1:9">
      <c r="A1833" s="113">
        <v>100401542</v>
      </c>
      <c r="B1833" s="113" t="s">
        <v>4656</v>
      </c>
      <c r="C1833" s="113">
        <v>6070016</v>
      </c>
      <c r="D1833" s="113" t="s">
        <v>3093</v>
      </c>
      <c r="E1833" s="113" t="s">
        <v>1620</v>
      </c>
      <c r="F1833" s="113" t="s">
        <v>3093</v>
      </c>
      <c r="G1833" s="113" t="s">
        <v>3093</v>
      </c>
      <c r="H1833" s="161">
        <v>0</v>
      </c>
      <c r="I1833" s="161" t="s">
        <v>7138</v>
      </c>
    </row>
    <row r="1834" spans="1:9">
      <c r="A1834" s="113">
        <v>100401543</v>
      </c>
      <c r="B1834" s="113" t="s">
        <v>4657</v>
      </c>
      <c r="C1834" s="113">
        <v>6070017</v>
      </c>
      <c r="D1834" s="113" t="s">
        <v>3093</v>
      </c>
      <c r="E1834" s="113" t="s">
        <v>1620</v>
      </c>
      <c r="F1834" s="113" t="s">
        <v>3093</v>
      </c>
      <c r="G1834" s="113" t="s">
        <v>3093</v>
      </c>
      <c r="H1834" s="161">
        <v>0</v>
      </c>
      <c r="I1834" s="161" t="s">
        <v>7138</v>
      </c>
    </row>
    <row r="1835" spans="1:9">
      <c r="A1835" s="113">
        <v>100401544</v>
      </c>
      <c r="B1835" s="113" t="s">
        <v>4658</v>
      </c>
      <c r="C1835" s="113">
        <v>6070018</v>
      </c>
      <c r="D1835" s="113" t="s">
        <v>3093</v>
      </c>
      <c r="E1835" s="113" t="s">
        <v>1620</v>
      </c>
      <c r="F1835" s="113" t="s">
        <v>3093</v>
      </c>
      <c r="G1835" s="113" t="s">
        <v>3093</v>
      </c>
      <c r="H1835" s="161">
        <v>0</v>
      </c>
      <c r="I1835" s="161" t="s">
        <v>7138</v>
      </c>
    </row>
    <row r="1836" spans="1:9">
      <c r="A1836" s="113">
        <v>100401545</v>
      </c>
      <c r="B1836" s="113" t="s">
        <v>4659</v>
      </c>
      <c r="C1836" s="113">
        <v>6070020</v>
      </c>
      <c r="D1836" s="113" t="s">
        <v>3093</v>
      </c>
      <c r="E1836" s="113" t="s">
        <v>1620</v>
      </c>
      <c r="F1836" s="113" t="s">
        <v>3093</v>
      </c>
      <c r="G1836" s="113" t="s">
        <v>3093</v>
      </c>
      <c r="H1836" s="161">
        <v>16.95</v>
      </c>
      <c r="I1836" s="161">
        <v>13</v>
      </c>
    </row>
    <row r="1837" spans="1:9">
      <c r="A1837" s="113">
        <v>100401546</v>
      </c>
      <c r="B1837" s="113" t="s">
        <v>4660</v>
      </c>
      <c r="C1837" s="113">
        <v>6070021</v>
      </c>
      <c r="D1837" s="113" t="s">
        <v>3093</v>
      </c>
      <c r="E1837" s="113" t="s">
        <v>1620</v>
      </c>
      <c r="F1837" s="113" t="s">
        <v>3093</v>
      </c>
      <c r="G1837" s="113" t="s">
        <v>3093</v>
      </c>
      <c r="H1837" s="161">
        <v>46.61</v>
      </c>
      <c r="I1837" s="161">
        <v>0</v>
      </c>
    </row>
    <row r="1838" spans="1:9">
      <c r="A1838" s="113">
        <v>100401547</v>
      </c>
      <c r="B1838" s="113" t="s">
        <v>4661</v>
      </c>
      <c r="C1838" s="113">
        <v>6070022</v>
      </c>
      <c r="D1838" s="113" t="s">
        <v>3093</v>
      </c>
      <c r="E1838" s="113" t="s">
        <v>1620</v>
      </c>
      <c r="F1838" s="113" t="s">
        <v>3093</v>
      </c>
      <c r="G1838" s="113" t="s">
        <v>3093</v>
      </c>
      <c r="H1838" s="161">
        <v>10.89</v>
      </c>
      <c r="I1838" s="161">
        <v>2</v>
      </c>
    </row>
    <row r="1839" spans="1:9">
      <c r="A1839" s="113">
        <v>100401548</v>
      </c>
      <c r="B1839" s="113" t="s">
        <v>4662</v>
      </c>
      <c r="C1839" s="113">
        <v>6070023</v>
      </c>
      <c r="D1839" s="113" t="s">
        <v>3093</v>
      </c>
      <c r="E1839" s="113" t="s">
        <v>1620</v>
      </c>
      <c r="F1839" s="113" t="s">
        <v>3093</v>
      </c>
      <c r="G1839" s="113" t="s">
        <v>3093</v>
      </c>
      <c r="H1839" s="161">
        <v>33.49</v>
      </c>
      <c r="I1839" s="161">
        <v>1</v>
      </c>
    </row>
    <row r="1840" spans="1:9">
      <c r="A1840" s="113">
        <v>100401549</v>
      </c>
      <c r="B1840" s="113" t="s">
        <v>4663</v>
      </c>
      <c r="C1840" s="113">
        <v>6070024</v>
      </c>
      <c r="D1840" s="113" t="s">
        <v>3093</v>
      </c>
      <c r="E1840" s="113" t="s">
        <v>1620</v>
      </c>
      <c r="F1840" s="113" t="s">
        <v>3093</v>
      </c>
      <c r="G1840" s="113" t="s">
        <v>3093</v>
      </c>
      <c r="H1840" s="161">
        <v>33.9</v>
      </c>
      <c r="I1840" s="161">
        <v>5</v>
      </c>
    </row>
    <row r="1841" spans="1:9">
      <c r="A1841" s="113">
        <v>100401550</v>
      </c>
      <c r="B1841" s="113" t="s">
        <v>4664</v>
      </c>
      <c r="C1841" s="113">
        <v>6070025</v>
      </c>
      <c r="D1841" s="113" t="s">
        <v>3093</v>
      </c>
      <c r="E1841" s="113" t="s">
        <v>1620</v>
      </c>
      <c r="F1841" s="113" t="s">
        <v>3093</v>
      </c>
      <c r="G1841" s="113" t="s">
        <v>3093</v>
      </c>
      <c r="H1841" s="161">
        <v>0</v>
      </c>
      <c r="I1841" s="161" t="s">
        <v>7138</v>
      </c>
    </row>
    <row r="1842" spans="1:9">
      <c r="A1842" s="113">
        <v>100401551</v>
      </c>
      <c r="B1842" s="113" t="s">
        <v>2925</v>
      </c>
      <c r="C1842" s="113">
        <v>6070026</v>
      </c>
      <c r="D1842" s="113" t="s">
        <v>3093</v>
      </c>
      <c r="E1842" s="113" t="s">
        <v>1620</v>
      </c>
      <c r="F1842" s="113" t="s">
        <v>3093</v>
      </c>
      <c r="G1842" s="113" t="s">
        <v>3093</v>
      </c>
      <c r="H1842" s="161">
        <v>29.66</v>
      </c>
      <c r="I1842" s="161">
        <v>5</v>
      </c>
    </row>
    <row r="1843" spans="1:9">
      <c r="A1843" s="113">
        <v>100401552</v>
      </c>
      <c r="B1843" s="113" t="s">
        <v>2926</v>
      </c>
      <c r="C1843" s="113">
        <v>6070027</v>
      </c>
      <c r="D1843" s="113" t="s">
        <v>3093</v>
      </c>
      <c r="E1843" s="113" t="s">
        <v>1620</v>
      </c>
      <c r="F1843" s="113" t="s">
        <v>3093</v>
      </c>
      <c r="G1843" s="113" t="s">
        <v>3093</v>
      </c>
      <c r="H1843" s="161">
        <v>34.700000000000003</v>
      </c>
      <c r="I1843" s="161">
        <v>0</v>
      </c>
    </row>
    <row r="1844" spans="1:9">
      <c r="A1844" s="113">
        <v>100401553</v>
      </c>
      <c r="B1844" s="113" t="s">
        <v>2927</v>
      </c>
      <c r="C1844" s="113">
        <v>6070028</v>
      </c>
      <c r="D1844" s="113" t="s">
        <v>3093</v>
      </c>
      <c r="E1844" s="113" t="s">
        <v>1620</v>
      </c>
      <c r="F1844" s="113" t="s">
        <v>3093</v>
      </c>
      <c r="G1844" s="113" t="s">
        <v>3093</v>
      </c>
      <c r="H1844" s="161">
        <v>27.84</v>
      </c>
      <c r="I1844" s="161">
        <v>0</v>
      </c>
    </row>
    <row r="1845" spans="1:9">
      <c r="A1845" s="113">
        <v>100401554</v>
      </c>
      <c r="B1845" s="113" t="s">
        <v>2928</v>
      </c>
      <c r="C1845" s="113">
        <v>6070029</v>
      </c>
      <c r="D1845" s="113" t="s">
        <v>3093</v>
      </c>
      <c r="E1845" s="113" t="s">
        <v>1620</v>
      </c>
      <c r="F1845" s="113" t="s">
        <v>3093</v>
      </c>
      <c r="G1845" s="113" t="s">
        <v>3093</v>
      </c>
      <c r="H1845" s="161">
        <v>32.89</v>
      </c>
      <c r="I1845" s="161">
        <v>0</v>
      </c>
    </row>
    <row r="1846" spans="1:9">
      <c r="A1846" s="113">
        <v>100401555</v>
      </c>
      <c r="B1846" s="113" t="s">
        <v>4665</v>
      </c>
      <c r="C1846" s="113">
        <v>6070030</v>
      </c>
      <c r="D1846" s="113" t="s">
        <v>3093</v>
      </c>
      <c r="E1846" s="113" t="s">
        <v>1620</v>
      </c>
      <c r="F1846" s="113" t="s">
        <v>3093</v>
      </c>
      <c r="G1846" s="113" t="s">
        <v>3093</v>
      </c>
      <c r="H1846" s="161">
        <v>54.47</v>
      </c>
      <c r="I1846" s="161">
        <v>0</v>
      </c>
    </row>
    <row r="1847" spans="1:9">
      <c r="A1847" s="113">
        <v>100401556</v>
      </c>
      <c r="B1847" s="113" t="s">
        <v>4666</v>
      </c>
      <c r="C1847" s="113">
        <v>6070031</v>
      </c>
      <c r="D1847" s="113" t="s">
        <v>3093</v>
      </c>
      <c r="E1847" s="113" t="s">
        <v>1620</v>
      </c>
      <c r="F1847" s="113" t="s">
        <v>3093</v>
      </c>
      <c r="G1847" s="113" t="s">
        <v>3093</v>
      </c>
      <c r="H1847" s="161">
        <v>0</v>
      </c>
      <c r="I1847" s="161" t="s">
        <v>7138</v>
      </c>
    </row>
    <row r="1848" spans="1:9">
      <c r="A1848" s="113">
        <v>100401557</v>
      </c>
      <c r="B1848" s="113" t="s">
        <v>4667</v>
      </c>
      <c r="C1848" s="113">
        <v>6070032</v>
      </c>
      <c r="D1848" s="113" t="s">
        <v>3093</v>
      </c>
      <c r="E1848" s="113" t="s">
        <v>1620</v>
      </c>
      <c r="F1848" s="113" t="s">
        <v>3093</v>
      </c>
      <c r="G1848" s="113" t="s">
        <v>3093</v>
      </c>
      <c r="H1848" s="161">
        <v>65.09</v>
      </c>
      <c r="I1848" s="161">
        <v>0</v>
      </c>
    </row>
    <row r="1849" spans="1:9">
      <c r="A1849" s="113">
        <v>100401558</v>
      </c>
      <c r="B1849" s="113" t="s">
        <v>4668</v>
      </c>
      <c r="C1849" s="113">
        <v>6070033</v>
      </c>
      <c r="D1849" s="113" t="s">
        <v>3093</v>
      </c>
      <c r="E1849" s="113" t="s">
        <v>1620</v>
      </c>
      <c r="F1849" s="113" t="s">
        <v>3093</v>
      </c>
      <c r="G1849" s="113" t="s">
        <v>3093</v>
      </c>
      <c r="H1849" s="161">
        <v>66.5</v>
      </c>
      <c r="I1849" s="161">
        <v>2</v>
      </c>
    </row>
    <row r="1850" spans="1:9">
      <c r="A1850" s="113">
        <v>100401559</v>
      </c>
      <c r="B1850" s="113" t="s">
        <v>4669</v>
      </c>
      <c r="C1850" s="113">
        <v>6070034</v>
      </c>
      <c r="D1850" s="113" t="s">
        <v>3093</v>
      </c>
      <c r="E1850" s="113" t="s">
        <v>1620</v>
      </c>
      <c r="F1850" s="113" t="s">
        <v>3093</v>
      </c>
      <c r="G1850" s="113" t="s">
        <v>3093</v>
      </c>
      <c r="H1850" s="161">
        <v>38.14</v>
      </c>
      <c r="I1850" s="161">
        <v>8</v>
      </c>
    </row>
    <row r="1851" spans="1:9">
      <c r="A1851" s="113">
        <v>100401560</v>
      </c>
      <c r="B1851" s="113" t="s">
        <v>4670</v>
      </c>
      <c r="C1851" s="113">
        <v>6070035</v>
      </c>
      <c r="D1851" s="113" t="s">
        <v>3093</v>
      </c>
      <c r="E1851" s="113" t="s">
        <v>1620</v>
      </c>
      <c r="F1851" s="113" t="s">
        <v>3093</v>
      </c>
      <c r="G1851" s="113" t="s">
        <v>3093</v>
      </c>
      <c r="H1851" s="161">
        <v>42.92</v>
      </c>
      <c r="I1851" s="161">
        <v>1</v>
      </c>
    </row>
    <row r="1852" spans="1:9">
      <c r="A1852" s="113">
        <v>100401561</v>
      </c>
      <c r="B1852" s="113" t="s">
        <v>4671</v>
      </c>
      <c r="C1852" s="113">
        <v>6070040</v>
      </c>
      <c r="D1852" s="113" t="s">
        <v>3093</v>
      </c>
      <c r="E1852" s="113" t="s">
        <v>1620</v>
      </c>
      <c r="F1852" s="113" t="s">
        <v>3093</v>
      </c>
      <c r="G1852" s="113" t="s">
        <v>3093</v>
      </c>
      <c r="H1852" s="161">
        <v>0</v>
      </c>
      <c r="I1852" s="161" t="s">
        <v>7138</v>
      </c>
    </row>
    <row r="1853" spans="1:9">
      <c r="A1853" s="113">
        <v>100401562</v>
      </c>
      <c r="B1853" s="113" t="s">
        <v>4672</v>
      </c>
      <c r="C1853" s="113">
        <v>6070041</v>
      </c>
      <c r="D1853" s="113" t="s">
        <v>3093</v>
      </c>
      <c r="E1853" s="113" t="s">
        <v>1620</v>
      </c>
      <c r="F1853" s="113" t="s">
        <v>3093</v>
      </c>
      <c r="G1853" s="113" t="s">
        <v>3093</v>
      </c>
      <c r="H1853" s="161">
        <v>0</v>
      </c>
      <c r="I1853" s="161" t="s">
        <v>7138</v>
      </c>
    </row>
    <row r="1854" spans="1:9">
      <c r="A1854" s="113">
        <v>100401563</v>
      </c>
      <c r="B1854" s="113" t="s">
        <v>4673</v>
      </c>
      <c r="C1854" s="113">
        <v>6071025</v>
      </c>
      <c r="D1854" s="113" t="s">
        <v>3093</v>
      </c>
      <c r="E1854" s="113" t="s">
        <v>1620</v>
      </c>
      <c r="F1854" s="113" t="s">
        <v>3093</v>
      </c>
      <c r="G1854" s="113" t="s">
        <v>3093</v>
      </c>
      <c r="H1854" s="161">
        <v>247.69</v>
      </c>
      <c r="I1854" s="161">
        <v>120</v>
      </c>
    </row>
    <row r="1855" spans="1:9">
      <c r="A1855" s="113">
        <v>100401565</v>
      </c>
      <c r="B1855" s="113" t="s">
        <v>4674</v>
      </c>
      <c r="C1855" s="113">
        <v>6071030</v>
      </c>
      <c r="D1855" s="113" t="s">
        <v>3093</v>
      </c>
      <c r="E1855" s="113" t="s">
        <v>1620</v>
      </c>
      <c r="F1855" s="113" t="s">
        <v>3093</v>
      </c>
      <c r="G1855" s="113" t="s">
        <v>3093</v>
      </c>
      <c r="H1855" s="161">
        <v>0</v>
      </c>
      <c r="I1855" s="161" t="s">
        <v>7138</v>
      </c>
    </row>
    <row r="1856" spans="1:9">
      <c r="A1856" s="113">
        <v>100401566</v>
      </c>
      <c r="B1856" s="113" t="s">
        <v>4675</v>
      </c>
      <c r="C1856" s="113">
        <v>6071031</v>
      </c>
      <c r="D1856" s="113" t="s">
        <v>3093</v>
      </c>
      <c r="E1856" s="113" t="s">
        <v>1620</v>
      </c>
      <c r="F1856" s="113" t="s">
        <v>3093</v>
      </c>
      <c r="G1856" s="113" t="s">
        <v>3093</v>
      </c>
      <c r="H1856" s="161">
        <v>0</v>
      </c>
      <c r="I1856" s="161" t="s">
        <v>7138</v>
      </c>
    </row>
    <row r="1857" spans="1:9">
      <c r="A1857" s="113">
        <v>100401567</v>
      </c>
      <c r="B1857" s="113" t="s">
        <v>2929</v>
      </c>
      <c r="C1857" s="113">
        <v>6071032</v>
      </c>
      <c r="D1857" s="113" t="s">
        <v>3093</v>
      </c>
      <c r="E1857" s="113" t="s">
        <v>1620</v>
      </c>
      <c r="F1857" s="113" t="s">
        <v>3093</v>
      </c>
      <c r="G1857" s="113" t="s">
        <v>3093</v>
      </c>
      <c r="H1857" s="161">
        <v>0</v>
      </c>
      <c r="I1857" s="161" t="s">
        <v>7138</v>
      </c>
    </row>
    <row r="1858" spans="1:9">
      <c r="A1858" s="113">
        <v>100401568</v>
      </c>
      <c r="B1858" s="113" t="s">
        <v>2930</v>
      </c>
      <c r="C1858" s="113">
        <v>6071033</v>
      </c>
      <c r="D1858" s="113" t="s">
        <v>3093</v>
      </c>
      <c r="E1858" s="113" t="s">
        <v>1620</v>
      </c>
      <c r="F1858" s="113" t="s">
        <v>3093</v>
      </c>
      <c r="G1858" s="113" t="s">
        <v>3093</v>
      </c>
      <c r="H1858" s="161">
        <v>0</v>
      </c>
      <c r="I1858" s="161" t="s">
        <v>7138</v>
      </c>
    </row>
    <row r="1859" spans="1:9">
      <c r="A1859" s="113">
        <v>100401569</v>
      </c>
      <c r="B1859" s="113" t="s">
        <v>4676</v>
      </c>
      <c r="C1859" s="113">
        <v>6071034</v>
      </c>
      <c r="D1859" s="113" t="s">
        <v>3093</v>
      </c>
      <c r="E1859" s="113" t="s">
        <v>1620</v>
      </c>
      <c r="F1859" s="113" t="s">
        <v>3093</v>
      </c>
      <c r="G1859" s="113" t="s">
        <v>3093</v>
      </c>
      <c r="H1859" s="161">
        <v>0</v>
      </c>
      <c r="I1859" s="161" t="s">
        <v>7138</v>
      </c>
    </row>
    <row r="1860" spans="1:9">
      <c r="A1860" s="113">
        <v>100401570</v>
      </c>
      <c r="B1860" s="113" t="s">
        <v>2931</v>
      </c>
      <c r="C1860" s="113">
        <v>6071035</v>
      </c>
      <c r="D1860" s="113" t="s">
        <v>3093</v>
      </c>
      <c r="E1860" s="113" t="s">
        <v>1620</v>
      </c>
      <c r="F1860" s="113" t="s">
        <v>3093</v>
      </c>
      <c r="G1860" s="113" t="s">
        <v>3093</v>
      </c>
      <c r="H1860" s="161">
        <v>0</v>
      </c>
      <c r="I1860" s="161" t="s">
        <v>7138</v>
      </c>
    </row>
    <row r="1861" spans="1:9">
      <c r="A1861" s="113">
        <v>100401571</v>
      </c>
      <c r="B1861" s="113" t="s">
        <v>2932</v>
      </c>
      <c r="C1861" s="113">
        <v>6071036</v>
      </c>
      <c r="D1861" s="113" t="s">
        <v>3093</v>
      </c>
      <c r="E1861" s="113" t="s">
        <v>1620</v>
      </c>
      <c r="F1861" s="113" t="s">
        <v>3093</v>
      </c>
      <c r="G1861" s="113" t="s">
        <v>3093</v>
      </c>
      <c r="H1861" s="161">
        <v>0</v>
      </c>
      <c r="I1861" s="161" t="s">
        <v>7138</v>
      </c>
    </row>
    <row r="1862" spans="1:9">
      <c r="A1862" s="113">
        <v>100401572</v>
      </c>
      <c r="B1862" s="113" t="s">
        <v>4677</v>
      </c>
      <c r="C1862" s="113">
        <v>6071037</v>
      </c>
      <c r="D1862" s="113" t="s">
        <v>3093</v>
      </c>
      <c r="E1862" s="113" t="s">
        <v>1620</v>
      </c>
      <c r="F1862" s="113" t="s">
        <v>3093</v>
      </c>
      <c r="G1862" s="113" t="s">
        <v>3093</v>
      </c>
      <c r="H1862" s="161">
        <v>0</v>
      </c>
      <c r="I1862" s="161" t="s">
        <v>7138</v>
      </c>
    </row>
    <row r="1863" spans="1:9">
      <c r="A1863" s="113">
        <v>100401573</v>
      </c>
      <c r="B1863" s="113" t="s">
        <v>4678</v>
      </c>
      <c r="C1863" s="113">
        <v>6071038</v>
      </c>
      <c r="D1863" s="113" t="s">
        <v>3093</v>
      </c>
      <c r="E1863" s="113" t="s">
        <v>1620</v>
      </c>
      <c r="F1863" s="113" t="s">
        <v>3093</v>
      </c>
      <c r="G1863" s="113" t="s">
        <v>3093</v>
      </c>
      <c r="H1863" s="161">
        <v>0</v>
      </c>
      <c r="I1863" s="161" t="s">
        <v>7138</v>
      </c>
    </row>
    <row r="1864" spans="1:9">
      <c r="A1864" s="113">
        <v>100401574</v>
      </c>
      <c r="B1864" s="113" t="s">
        <v>4679</v>
      </c>
      <c r="C1864" s="113">
        <v>6071039</v>
      </c>
      <c r="D1864" s="113" t="s">
        <v>3093</v>
      </c>
      <c r="E1864" s="113" t="s">
        <v>1620</v>
      </c>
      <c r="F1864" s="113" t="s">
        <v>3093</v>
      </c>
      <c r="G1864" s="113" t="s">
        <v>3093</v>
      </c>
      <c r="H1864" s="161">
        <v>0</v>
      </c>
      <c r="I1864" s="161" t="s">
        <v>7138</v>
      </c>
    </row>
    <row r="1865" spans="1:9">
      <c r="A1865" s="113">
        <v>100401575</v>
      </c>
      <c r="B1865" s="113" t="s">
        <v>2933</v>
      </c>
      <c r="C1865" s="113">
        <v>6071040</v>
      </c>
      <c r="D1865" s="113" t="s">
        <v>3093</v>
      </c>
      <c r="E1865" s="113" t="s">
        <v>1620</v>
      </c>
      <c r="F1865" s="113" t="s">
        <v>3093</v>
      </c>
      <c r="G1865" s="113" t="s">
        <v>3093</v>
      </c>
      <c r="H1865" s="161">
        <v>0</v>
      </c>
      <c r="I1865" s="161" t="s">
        <v>7138</v>
      </c>
    </row>
    <row r="1866" spans="1:9">
      <c r="A1866" s="113">
        <v>100401576</v>
      </c>
      <c r="B1866" s="113" t="s">
        <v>4680</v>
      </c>
      <c r="C1866" s="113">
        <v>6071041</v>
      </c>
      <c r="D1866" s="113" t="s">
        <v>3093</v>
      </c>
      <c r="E1866" s="113" t="s">
        <v>1620</v>
      </c>
      <c r="F1866" s="113" t="s">
        <v>3093</v>
      </c>
      <c r="G1866" s="113" t="s">
        <v>3093</v>
      </c>
      <c r="H1866" s="161">
        <v>0</v>
      </c>
      <c r="I1866" s="161" t="s">
        <v>7138</v>
      </c>
    </row>
    <row r="1867" spans="1:9">
      <c r="A1867" s="113">
        <v>100401577</v>
      </c>
      <c r="B1867" s="113" t="s">
        <v>4681</v>
      </c>
      <c r="C1867" s="113">
        <v>6071042</v>
      </c>
      <c r="D1867" s="113" t="s">
        <v>3093</v>
      </c>
      <c r="E1867" s="113" t="s">
        <v>1620</v>
      </c>
      <c r="F1867" s="113" t="s">
        <v>3093</v>
      </c>
      <c r="G1867" s="113" t="s">
        <v>3093</v>
      </c>
      <c r="H1867" s="161">
        <v>0</v>
      </c>
      <c r="I1867" s="161" t="s">
        <v>7138</v>
      </c>
    </row>
    <row r="1868" spans="1:9">
      <c r="A1868" s="113">
        <v>100401578</v>
      </c>
      <c r="B1868" s="113" t="s">
        <v>4682</v>
      </c>
      <c r="C1868" s="113">
        <v>6071044</v>
      </c>
      <c r="D1868" s="113" t="s">
        <v>3093</v>
      </c>
      <c r="E1868" s="113" t="s">
        <v>1620</v>
      </c>
      <c r="F1868" s="113" t="s">
        <v>3093</v>
      </c>
      <c r="G1868" s="113" t="s">
        <v>3093</v>
      </c>
      <c r="H1868" s="161">
        <v>0</v>
      </c>
      <c r="I1868" s="161" t="s">
        <v>7138</v>
      </c>
    </row>
    <row r="1869" spans="1:9">
      <c r="A1869" s="113">
        <v>100401579</v>
      </c>
      <c r="B1869" s="113" t="s">
        <v>4683</v>
      </c>
      <c r="C1869" s="113">
        <v>6071045</v>
      </c>
      <c r="D1869" s="113" t="s">
        <v>3093</v>
      </c>
      <c r="E1869" s="113" t="s">
        <v>1620</v>
      </c>
      <c r="F1869" s="113" t="s">
        <v>3093</v>
      </c>
      <c r="G1869" s="113" t="s">
        <v>3093</v>
      </c>
      <c r="H1869" s="161">
        <v>44.95</v>
      </c>
      <c r="I1869" s="161">
        <v>3</v>
      </c>
    </row>
    <row r="1870" spans="1:9">
      <c r="A1870" s="113">
        <v>100401580</v>
      </c>
      <c r="B1870" s="113" t="s">
        <v>4684</v>
      </c>
      <c r="C1870" s="113">
        <v>6071046</v>
      </c>
      <c r="D1870" s="113" t="s">
        <v>3093</v>
      </c>
      <c r="E1870" s="113" t="s">
        <v>1620</v>
      </c>
      <c r="F1870" s="113" t="s">
        <v>3093</v>
      </c>
      <c r="G1870" s="113" t="s">
        <v>3093</v>
      </c>
      <c r="H1870" s="161">
        <v>47.4</v>
      </c>
      <c r="I1870" s="161">
        <v>120</v>
      </c>
    </row>
    <row r="1871" spans="1:9">
      <c r="A1871" s="113">
        <v>100401581</v>
      </c>
      <c r="B1871" s="113" t="s">
        <v>4685</v>
      </c>
      <c r="C1871" s="113">
        <v>6071047</v>
      </c>
      <c r="D1871" s="113" t="s">
        <v>3093</v>
      </c>
      <c r="E1871" s="113" t="s">
        <v>1620</v>
      </c>
      <c r="F1871" s="113" t="s">
        <v>3093</v>
      </c>
      <c r="G1871" s="113" t="s">
        <v>3093</v>
      </c>
      <c r="H1871" s="161">
        <v>51.57</v>
      </c>
      <c r="I1871" s="161">
        <v>0</v>
      </c>
    </row>
    <row r="1872" spans="1:9">
      <c r="A1872" s="113">
        <v>100401582</v>
      </c>
      <c r="B1872" s="113" t="s">
        <v>4686</v>
      </c>
      <c r="C1872" s="113">
        <v>6071048</v>
      </c>
      <c r="D1872" s="113" t="s">
        <v>3093</v>
      </c>
      <c r="E1872" s="113" t="s">
        <v>1620</v>
      </c>
      <c r="F1872" s="113" t="s">
        <v>3093</v>
      </c>
      <c r="G1872" s="113" t="s">
        <v>3093</v>
      </c>
      <c r="H1872" s="161">
        <v>47.89</v>
      </c>
      <c r="I1872" s="161">
        <v>0</v>
      </c>
    </row>
    <row r="1873" spans="1:9">
      <c r="A1873" s="113">
        <v>100401583</v>
      </c>
      <c r="B1873" s="113" t="s">
        <v>4687</v>
      </c>
      <c r="C1873" s="113">
        <v>6071049</v>
      </c>
      <c r="D1873" s="113" t="s">
        <v>3093</v>
      </c>
      <c r="E1873" s="113" t="s">
        <v>1620</v>
      </c>
      <c r="F1873" s="113" t="s">
        <v>3093</v>
      </c>
      <c r="G1873" s="113" t="s">
        <v>3093</v>
      </c>
      <c r="H1873" s="161">
        <v>85.58</v>
      </c>
      <c r="I1873" s="161">
        <v>0</v>
      </c>
    </row>
    <row r="1874" spans="1:9">
      <c r="A1874" s="113">
        <v>100401584</v>
      </c>
      <c r="B1874" s="113" t="s">
        <v>4688</v>
      </c>
      <c r="C1874" s="113">
        <v>6071050</v>
      </c>
      <c r="D1874" s="113" t="s">
        <v>3093</v>
      </c>
      <c r="E1874" s="113" t="s">
        <v>1620</v>
      </c>
      <c r="F1874" s="113" t="s">
        <v>3093</v>
      </c>
      <c r="G1874" s="113" t="s">
        <v>3093</v>
      </c>
      <c r="H1874" s="161">
        <v>0</v>
      </c>
      <c r="I1874" s="161" t="s">
        <v>7138</v>
      </c>
    </row>
    <row r="1875" spans="1:9">
      <c r="A1875" s="113">
        <v>100401585</v>
      </c>
      <c r="B1875" s="113" t="s">
        <v>4689</v>
      </c>
      <c r="C1875" s="113">
        <v>6071051</v>
      </c>
      <c r="D1875" s="113" t="s">
        <v>3093</v>
      </c>
      <c r="E1875" s="113" t="s">
        <v>1620</v>
      </c>
      <c r="F1875" s="113" t="s">
        <v>3093</v>
      </c>
      <c r="G1875" s="113" t="s">
        <v>3093</v>
      </c>
      <c r="H1875" s="161">
        <v>18.420000000000002</v>
      </c>
      <c r="I1875" s="161">
        <v>0</v>
      </c>
    </row>
    <row r="1876" spans="1:9">
      <c r="A1876" s="113">
        <v>100401586</v>
      </c>
      <c r="B1876" s="113" t="s">
        <v>4690</v>
      </c>
      <c r="C1876" s="113">
        <v>6071052</v>
      </c>
      <c r="D1876" s="113" t="s">
        <v>3093</v>
      </c>
      <c r="E1876" s="113" t="s">
        <v>1620</v>
      </c>
      <c r="F1876" s="113" t="s">
        <v>3093</v>
      </c>
      <c r="G1876" s="113" t="s">
        <v>3093</v>
      </c>
      <c r="H1876" s="161">
        <v>18.420000000000002</v>
      </c>
      <c r="I1876" s="161">
        <v>0</v>
      </c>
    </row>
    <row r="1877" spans="1:9">
      <c r="A1877" s="113">
        <v>100401587</v>
      </c>
      <c r="B1877" s="113" t="s">
        <v>4691</v>
      </c>
      <c r="C1877" s="113">
        <v>6071053</v>
      </c>
      <c r="D1877" s="113" t="s">
        <v>3093</v>
      </c>
      <c r="E1877" s="113" t="s">
        <v>1620</v>
      </c>
      <c r="F1877" s="113" t="s">
        <v>3093</v>
      </c>
      <c r="G1877" s="113" t="s">
        <v>3093</v>
      </c>
      <c r="H1877" s="161">
        <v>17.670000000000002</v>
      </c>
      <c r="I1877" s="161">
        <v>0</v>
      </c>
    </row>
    <row r="1878" spans="1:9">
      <c r="A1878" s="113">
        <v>100401588</v>
      </c>
      <c r="B1878" s="113" t="s">
        <v>4692</v>
      </c>
      <c r="C1878" s="113">
        <v>6071054</v>
      </c>
      <c r="D1878" s="113" t="s">
        <v>3093</v>
      </c>
      <c r="E1878" s="113" t="s">
        <v>1620</v>
      </c>
      <c r="F1878" s="113" t="s">
        <v>3093</v>
      </c>
      <c r="G1878" s="113" t="s">
        <v>3093</v>
      </c>
      <c r="H1878" s="161">
        <v>29.9</v>
      </c>
      <c r="I1878" s="161">
        <v>0</v>
      </c>
    </row>
    <row r="1879" spans="1:9">
      <c r="A1879" s="113">
        <v>100401590</v>
      </c>
      <c r="B1879" s="113" t="s">
        <v>2934</v>
      </c>
      <c r="C1879" s="113">
        <v>6071056</v>
      </c>
      <c r="D1879" s="113" t="s">
        <v>3093</v>
      </c>
      <c r="E1879" s="113" t="s">
        <v>1620</v>
      </c>
      <c r="F1879" s="113" t="s">
        <v>3093</v>
      </c>
      <c r="G1879" s="113" t="s">
        <v>3093</v>
      </c>
      <c r="H1879" s="161">
        <v>0</v>
      </c>
      <c r="I1879" s="161" t="s">
        <v>7138</v>
      </c>
    </row>
    <row r="1880" spans="1:9">
      <c r="A1880" s="113">
        <v>100401591</v>
      </c>
      <c r="B1880" s="113" t="s">
        <v>2935</v>
      </c>
      <c r="C1880" s="113">
        <v>6071057</v>
      </c>
      <c r="D1880" s="113" t="s">
        <v>3093</v>
      </c>
      <c r="E1880" s="113" t="s">
        <v>1620</v>
      </c>
      <c r="F1880" s="113" t="s">
        <v>3093</v>
      </c>
      <c r="G1880" s="113" t="s">
        <v>3093</v>
      </c>
      <c r="H1880" s="161">
        <v>0</v>
      </c>
      <c r="I1880" s="161" t="s">
        <v>7138</v>
      </c>
    </row>
    <row r="1881" spans="1:9">
      <c r="A1881" s="113">
        <v>100401592</v>
      </c>
      <c r="B1881" s="113" t="s">
        <v>4693</v>
      </c>
      <c r="C1881" s="113">
        <v>6071058</v>
      </c>
      <c r="D1881" s="113" t="s">
        <v>3093</v>
      </c>
      <c r="E1881" s="113" t="s">
        <v>1620</v>
      </c>
      <c r="F1881" s="113" t="s">
        <v>3093</v>
      </c>
      <c r="G1881" s="113" t="s">
        <v>3093</v>
      </c>
      <c r="H1881" s="161">
        <v>0</v>
      </c>
      <c r="I1881" s="161" t="s">
        <v>7138</v>
      </c>
    </row>
    <row r="1882" spans="1:9">
      <c r="A1882" s="113">
        <v>100401593</v>
      </c>
      <c r="B1882" s="113" t="s">
        <v>4694</v>
      </c>
      <c r="C1882" s="113">
        <v>6071059</v>
      </c>
      <c r="D1882" s="113" t="s">
        <v>3093</v>
      </c>
      <c r="E1882" s="113" t="s">
        <v>1620</v>
      </c>
      <c r="F1882" s="113" t="s">
        <v>3093</v>
      </c>
      <c r="G1882" s="113" t="s">
        <v>3093</v>
      </c>
      <c r="H1882" s="161">
        <v>0</v>
      </c>
      <c r="I1882" s="161" t="s">
        <v>7138</v>
      </c>
    </row>
    <row r="1883" spans="1:9">
      <c r="A1883" s="113">
        <v>100401594</v>
      </c>
      <c r="B1883" s="113" t="s">
        <v>4695</v>
      </c>
      <c r="C1883" s="113">
        <v>6071060</v>
      </c>
      <c r="D1883" s="113" t="s">
        <v>3093</v>
      </c>
      <c r="E1883" s="113" t="s">
        <v>1620</v>
      </c>
      <c r="F1883" s="113" t="s">
        <v>3093</v>
      </c>
      <c r="G1883" s="113" t="s">
        <v>3093</v>
      </c>
      <c r="H1883" s="161">
        <v>0</v>
      </c>
      <c r="I1883" s="161" t="s">
        <v>7138</v>
      </c>
    </row>
    <row r="1884" spans="1:9">
      <c r="A1884" s="113">
        <v>100401595</v>
      </c>
      <c r="B1884" s="113" t="s">
        <v>4696</v>
      </c>
      <c r="C1884" s="113">
        <v>6071064</v>
      </c>
      <c r="D1884" s="113" t="s">
        <v>3093</v>
      </c>
      <c r="E1884" s="113" t="s">
        <v>1620</v>
      </c>
      <c r="F1884" s="113" t="s">
        <v>3093</v>
      </c>
      <c r="G1884" s="113" t="s">
        <v>3093</v>
      </c>
      <c r="H1884" s="161">
        <v>1285</v>
      </c>
      <c r="I1884" s="161">
        <v>3</v>
      </c>
    </row>
    <row r="1885" spans="1:9">
      <c r="A1885" s="113">
        <v>100401596</v>
      </c>
      <c r="B1885" s="113" t="s">
        <v>4697</v>
      </c>
      <c r="C1885" s="113">
        <v>6071065</v>
      </c>
      <c r="D1885" s="113" t="s">
        <v>3093</v>
      </c>
      <c r="E1885" s="113" t="s">
        <v>1620</v>
      </c>
      <c r="F1885" s="113" t="s">
        <v>3093</v>
      </c>
      <c r="G1885" s="113" t="s">
        <v>3093</v>
      </c>
      <c r="H1885" s="161">
        <v>0</v>
      </c>
      <c r="I1885" s="161" t="s">
        <v>7138</v>
      </c>
    </row>
    <row r="1886" spans="1:9">
      <c r="A1886" s="113">
        <v>100401597</v>
      </c>
      <c r="B1886" s="113" t="s">
        <v>4698</v>
      </c>
      <c r="C1886" s="113">
        <v>6072025</v>
      </c>
      <c r="D1886" s="113" t="s">
        <v>3093</v>
      </c>
      <c r="E1886" s="113" t="s">
        <v>1620</v>
      </c>
      <c r="F1886" s="113" t="s">
        <v>3093</v>
      </c>
      <c r="G1886" s="113" t="s">
        <v>3093</v>
      </c>
      <c r="H1886" s="161">
        <v>68.650000000000006</v>
      </c>
      <c r="I1886" s="161">
        <v>10</v>
      </c>
    </row>
    <row r="1887" spans="1:9">
      <c r="A1887" s="113">
        <v>100401598</v>
      </c>
      <c r="B1887" s="113" t="s">
        <v>4699</v>
      </c>
      <c r="C1887" s="113">
        <v>6072026</v>
      </c>
      <c r="D1887" s="113" t="s">
        <v>3093</v>
      </c>
      <c r="E1887" s="113" t="s">
        <v>1620</v>
      </c>
      <c r="F1887" s="113" t="s">
        <v>3093</v>
      </c>
      <c r="G1887" s="113" t="s">
        <v>3093</v>
      </c>
      <c r="H1887" s="161">
        <v>21.15</v>
      </c>
      <c r="I1887" s="161">
        <v>12</v>
      </c>
    </row>
    <row r="1888" spans="1:9">
      <c r="A1888" s="113">
        <v>100401599</v>
      </c>
      <c r="B1888" s="113" t="s">
        <v>4700</v>
      </c>
      <c r="C1888" s="113">
        <v>6072027</v>
      </c>
      <c r="D1888" s="113" t="s">
        <v>3093</v>
      </c>
      <c r="E1888" s="113" t="s">
        <v>1620</v>
      </c>
      <c r="F1888" s="113" t="s">
        <v>3093</v>
      </c>
      <c r="G1888" s="113" t="s">
        <v>3093</v>
      </c>
      <c r="H1888" s="161">
        <v>4.5</v>
      </c>
      <c r="I1888" s="161">
        <v>1</v>
      </c>
    </row>
    <row r="1889" spans="1:9">
      <c r="A1889" s="113">
        <v>100401600</v>
      </c>
      <c r="B1889" s="113" t="s">
        <v>4701</v>
      </c>
      <c r="C1889" s="113">
        <v>6072028</v>
      </c>
      <c r="D1889" s="113" t="s">
        <v>3093</v>
      </c>
      <c r="E1889" s="113" t="s">
        <v>1620</v>
      </c>
      <c r="F1889" s="113" t="s">
        <v>3093</v>
      </c>
      <c r="G1889" s="113" t="s">
        <v>3093</v>
      </c>
      <c r="H1889" s="161">
        <v>0</v>
      </c>
      <c r="I1889" s="161" t="s">
        <v>7138</v>
      </c>
    </row>
    <row r="1890" spans="1:9">
      <c r="A1890" s="113">
        <v>100401601</v>
      </c>
      <c r="B1890" s="113" t="s">
        <v>4702</v>
      </c>
      <c r="C1890" s="113">
        <v>6072035</v>
      </c>
      <c r="D1890" s="113" t="s">
        <v>3093</v>
      </c>
      <c r="E1890" s="113" t="s">
        <v>1620</v>
      </c>
      <c r="F1890" s="113" t="s">
        <v>3093</v>
      </c>
      <c r="G1890" s="113" t="s">
        <v>3093</v>
      </c>
      <c r="H1890" s="161">
        <v>0</v>
      </c>
      <c r="I1890" s="161" t="s">
        <v>7138</v>
      </c>
    </row>
    <row r="1891" spans="1:9">
      <c r="A1891" s="113">
        <v>100401602</v>
      </c>
      <c r="B1891" s="113" t="s">
        <v>4703</v>
      </c>
      <c r="C1891" s="113">
        <v>6072036</v>
      </c>
      <c r="D1891" s="113" t="s">
        <v>3093</v>
      </c>
      <c r="E1891" s="113" t="s">
        <v>1620</v>
      </c>
      <c r="F1891" s="113" t="s">
        <v>3093</v>
      </c>
      <c r="G1891" s="113" t="s">
        <v>3093</v>
      </c>
      <c r="H1891" s="161">
        <v>0</v>
      </c>
      <c r="I1891" s="161" t="s">
        <v>7138</v>
      </c>
    </row>
    <row r="1892" spans="1:9">
      <c r="A1892" s="113">
        <v>100401603</v>
      </c>
      <c r="B1892" s="113" t="s">
        <v>4704</v>
      </c>
      <c r="C1892" s="113">
        <v>6072037</v>
      </c>
      <c r="D1892" s="113" t="s">
        <v>3093</v>
      </c>
      <c r="E1892" s="113" t="s">
        <v>1620</v>
      </c>
      <c r="F1892" s="113" t="s">
        <v>3093</v>
      </c>
      <c r="G1892" s="113" t="s">
        <v>3093</v>
      </c>
      <c r="H1892" s="161">
        <v>0</v>
      </c>
      <c r="I1892" s="161" t="s">
        <v>7138</v>
      </c>
    </row>
    <row r="1893" spans="1:9">
      <c r="A1893" s="113">
        <v>100401604</v>
      </c>
      <c r="B1893" s="113" t="s">
        <v>4705</v>
      </c>
      <c r="C1893" s="113">
        <v>6072038</v>
      </c>
      <c r="D1893" s="113" t="s">
        <v>3093</v>
      </c>
      <c r="E1893" s="113" t="s">
        <v>1620</v>
      </c>
      <c r="F1893" s="113" t="s">
        <v>3093</v>
      </c>
      <c r="G1893" s="113" t="s">
        <v>3093</v>
      </c>
      <c r="H1893" s="161">
        <v>0</v>
      </c>
      <c r="I1893" s="161" t="s">
        <v>7138</v>
      </c>
    </row>
    <row r="1894" spans="1:9">
      <c r="A1894" s="113">
        <v>100401605</v>
      </c>
      <c r="B1894" s="113" t="s">
        <v>4706</v>
      </c>
      <c r="C1894" s="113">
        <v>6072040</v>
      </c>
      <c r="D1894" s="113" t="s">
        <v>3093</v>
      </c>
      <c r="E1894" s="113" t="s">
        <v>1620</v>
      </c>
      <c r="F1894" s="113" t="s">
        <v>3093</v>
      </c>
      <c r="G1894" s="113" t="s">
        <v>3093</v>
      </c>
      <c r="H1894" s="161">
        <v>27.12</v>
      </c>
      <c r="I1894" s="161">
        <v>2</v>
      </c>
    </row>
    <row r="1895" spans="1:9">
      <c r="A1895" s="113">
        <v>100401606</v>
      </c>
      <c r="B1895" s="113" t="s">
        <v>4707</v>
      </c>
      <c r="C1895" s="113">
        <v>6072041</v>
      </c>
      <c r="D1895" s="113" t="s">
        <v>3093</v>
      </c>
      <c r="E1895" s="113" t="s">
        <v>1620</v>
      </c>
      <c r="F1895" s="113" t="s">
        <v>3093</v>
      </c>
      <c r="G1895" s="113" t="s">
        <v>3093</v>
      </c>
      <c r="H1895" s="161">
        <v>27.12</v>
      </c>
      <c r="I1895" s="161">
        <v>2</v>
      </c>
    </row>
    <row r="1896" spans="1:9">
      <c r="A1896" s="113">
        <v>100401607</v>
      </c>
      <c r="B1896" s="113" t="s">
        <v>4708</v>
      </c>
      <c r="C1896" s="113">
        <v>6072042</v>
      </c>
      <c r="D1896" s="113" t="s">
        <v>3093</v>
      </c>
      <c r="E1896" s="113" t="s">
        <v>1620</v>
      </c>
      <c r="F1896" s="113" t="s">
        <v>3093</v>
      </c>
      <c r="G1896" s="113" t="s">
        <v>3093</v>
      </c>
      <c r="H1896" s="161">
        <v>0</v>
      </c>
      <c r="I1896" s="161" t="s">
        <v>7138</v>
      </c>
    </row>
    <row r="1897" spans="1:9">
      <c r="A1897" s="113">
        <v>100401608</v>
      </c>
      <c r="B1897" s="113" t="s">
        <v>4709</v>
      </c>
      <c r="C1897" s="113">
        <v>6072043</v>
      </c>
      <c r="D1897" s="113" t="s">
        <v>3093</v>
      </c>
      <c r="E1897" s="113" t="s">
        <v>1620</v>
      </c>
      <c r="F1897" s="113" t="s">
        <v>3093</v>
      </c>
      <c r="G1897" s="113" t="s">
        <v>3093</v>
      </c>
      <c r="H1897" s="161">
        <v>0</v>
      </c>
      <c r="I1897" s="161" t="s">
        <v>7138</v>
      </c>
    </row>
    <row r="1898" spans="1:9">
      <c r="A1898" s="113">
        <v>100401609</v>
      </c>
      <c r="B1898" s="113" t="s">
        <v>4710</v>
      </c>
      <c r="C1898" s="113">
        <v>6072044</v>
      </c>
      <c r="D1898" s="113" t="s">
        <v>3093</v>
      </c>
      <c r="E1898" s="113" t="s">
        <v>1620</v>
      </c>
      <c r="F1898" s="113" t="s">
        <v>3093</v>
      </c>
      <c r="G1898" s="113" t="s">
        <v>3093</v>
      </c>
      <c r="H1898" s="161">
        <v>0</v>
      </c>
      <c r="I1898" s="161" t="s">
        <v>7138</v>
      </c>
    </row>
    <row r="1899" spans="1:9">
      <c r="A1899" s="113">
        <v>100401610</v>
      </c>
      <c r="B1899" s="113" t="s">
        <v>4711</v>
      </c>
      <c r="C1899" s="113">
        <v>6072045</v>
      </c>
      <c r="D1899" s="113" t="s">
        <v>3093</v>
      </c>
      <c r="E1899" s="113" t="s">
        <v>1620</v>
      </c>
      <c r="F1899" s="113" t="s">
        <v>3093</v>
      </c>
      <c r="G1899" s="113" t="s">
        <v>3093</v>
      </c>
      <c r="H1899" s="161">
        <v>551.66999999999996</v>
      </c>
      <c r="I1899" s="161">
        <v>1</v>
      </c>
    </row>
    <row r="1900" spans="1:9">
      <c r="A1900" s="113">
        <v>100401611</v>
      </c>
      <c r="B1900" s="113" t="s">
        <v>4712</v>
      </c>
      <c r="C1900" s="113">
        <v>6072046</v>
      </c>
      <c r="D1900" s="113" t="s">
        <v>3093</v>
      </c>
      <c r="E1900" s="113" t="s">
        <v>1620</v>
      </c>
      <c r="F1900" s="113" t="s">
        <v>3093</v>
      </c>
      <c r="G1900" s="113" t="s">
        <v>3093</v>
      </c>
      <c r="H1900" s="161">
        <v>557.75</v>
      </c>
      <c r="I1900" s="161">
        <v>1</v>
      </c>
    </row>
    <row r="1901" spans="1:9">
      <c r="A1901" s="113">
        <v>100401612</v>
      </c>
      <c r="B1901" s="113" t="s">
        <v>2936</v>
      </c>
      <c r="C1901" s="113">
        <v>6072047</v>
      </c>
      <c r="D1901" s="113" t="s">
        <v>3093</v>
      </c>
      <c r="E1901" s="113" t="s">
        <v>1620</v>
      </c>
      <c r="F1901" s="113" t="s">
        <v>3093</v>
      </c>
      <c r="G1901" s="113" t="s">
        <v>3093</v>
      </c>
      <c r="H1901" s="161">
        <v>575</v>
      </c>
      <c r="I1901" s="161">
        <v>14</v>
      </c>
    </row>
    <row r="1902" spans="1:9">
      <c r="A1902" s="113">
        <v>100401613</v>
      </c>
      <c r="B1902" s="113" t="s">
        <v>2937</v>
      </c>
      <c r="C1902" s="113">
        <v>6072048</v>
      </c>
      <c r="D1902" s="113" t="s">
        <v>3093</v>
      </c>
      <c r="E1902" s="113" t="s">
        <v>1620</v>
      </c>
      <c r="F1902" s="113" t="s">
        <v>3093</v>
      </c>
      <c r="G1902" s="113" t="s">
        <v>3093</v>
      </c>
      <c r="H1902" s="161">
        <v>472.15</v>
      </c>
      <c r="I1902" s="161">
        <v>8</v>
      </c>
    </row>
    <row r="1903" spans="1:9">
      <c r="A1903" s="113">
        <v>100401614</v>
      </c>
      <c r="B1903" s="113" t="s">
        <v>2938</v>
      </c>
      <c r="C1903" s="113">
        <v>6072049</v>
      </c>
      <c r="D1903" s="113" t="s">
        <v>3093</v>
      </c>
      <c r="E1903" s="113" t="s">
        <v>1620</v>
      </c>
      <c r="F1903" s="113" t="s">
        <v>3093</v>
      </c>
      <c r="G1903" s="113" t="s">
        <v>3093</v>
      </c>
      <c r="H1903" s="161">
        <v>155</v>
      </c>
      <c r="I1903" s="161">
        <v>1</v>
      </c>
    </row>
    <row r="1904" spans="1:9">
      <c r="A1904" s="113">
        <v>100401615</v>
      </c>
      <c r="B1904" s="113" t="s">
        <v>2939</v>
      </c>
      <c r="C1904" s="113">
        <v>6072050</v>
      </c>
      <c r="D1904" s="113" t="s">
        <v>3093</v>
      </c>
      <c r="E1904" s="113" t="s">
        <v>1620</v>
      </c>
      <c r="F1904" s="113" t="s">
        <v>3093</v>
      </c>
      <c r="G1904" s="113" t="s">
        <v>3093</v>
      </c>
      <c r="H1904" s="161">
        <v>553.76</v>
      </c>
      <c r="I1904" s="161">
        <v>5</v>
      </c>
    </row>
    <row r="1905" spans="1:9">
      <c r="A1905" s="113">
        <v>100401616</v>
      </c>
      <c r="B1905" s="113" t="s">
        <v>2940</v>
      </c>
      <c r="C1905" s="113">
        <v>6072051</v>
      </c>
      <c r="D1905" s="113" t="s">
        <v>3093</v>
      </c>
      <c r="E1905" s="113" t="s">
        <v>1620</v>
      </c>
      <c r="F1905" s="113" t="s">
        <v>3093</v>
      </c>
      <c r="G1905" s="113" t="s">
        <v>3093</v>
      </c>
      <c r="H1905" s="161">
        <v>480</v>
      </c>
      <c r="I1905" s="161">
        <v>2</v>
      </c>
    </row>
    <row r="1906" spans="1:9">
      <c r="A1906" s="113">
        <v>100401617</v>
      </c>
      <c r="B1906" s="113" t="s">
        <v>4713</v>
      </c>
      <c r="C1906" s="113">
        <v>6072052</v>
      </c>
      <c r="D1906" s="113" t="s">
        <v>3093</v>
      </c>
      <c r="E1906" s="113" t="s">
        <v>1620</v>
      </c>
      <c r="F1906" s="113" t="s">
        <v>3093</v>
      </c>
      <c r="G1906" s="113" t="s">
        <v>3093</v>
      </c>
      <c r="H1906" s="161">
        <v>0</v>
      </c>
      <c r="I1906" s="161" t="s">
        <v>7138</v>
      </c>
    </row>
    <row r="1907" spans="1:9">
      <c r="A1907" s="113">
        <v>100401618</v>
      </c>
      <c r="B1907" s="113" t="s">
        <v>4714</v>
      </c>
      <c r="C1907" s="113">
        <v>6072053</v>
      </c>
      <c r="D1907" s="113" t="s">
        <v>3093</v>
      </c>
      <c r="E1907" s="113" t="s">
        <v>1620</v>
      </c>
      <c r="F1907" s="113" t="s">
        <v>3093</v>
      </c>
      <c r="G1907" s="113" t="s">
        <v>3093</v>
      </c>
      <c r="H1907" s="161">
        <v>0</v>
      </c>
      <c r="I1907" s="161" t="s">
        <v>7138</v>
      </c>
    </row>
    <row r="1908" spans="1:9">
      <c r="A1908" s="113">
        <v>100401619</v>
      </c>
      <c r="B1908" s="113" t="s">
        <v>4715</v>
      </c>
      <c r="C1908" s="113">
        <v>6072054</v>
      </c>
      <c r="D1908" s="113" t="s">
        <v>3093</v>
      </c>
      <c r="E1908" s="113" t="s">
        <v>1620</v>
      </c>
      <c r="F1908" s="113" t="s">
        <v>3093</v>
      </c>
      <c r="G1908" s="113" t="s">
        <v>3093</v>
      </c>
      <c r="H1908" s="161">
        <v>0</v>
      </c>
      <c r="I1908" s="161" t="s">
        <v>7138</v>
      </c>
    </row>
    <row r="1909" spans="1:9">
      <c r="A1909" s="113">
        <v>100401620</v>
      </c>
      <c r="B1909" s="113" t="s">
        <v>2941</v>
      </c>
      <c r="C1909" s="113">
        <v>6072055</v>
      </c>
      <c r="D1909" s="113" t="s">
        <v>3093</v>
      </c>
      <c r="E1909" s="113" t="s">
        <v>1620</v>
      </c>
      <c r="F1909" s="113" t="s">
        <v>3093</v>
      </c>
      <c r="G1909" s="113" t="s">
        <v>3093</v>
      </c>
      <c r="H1909" s="161">
        <v>0</v>
      </c>
      <c r="I1909" s="161" t="s">
        <v>7138</v>
      </c>
    </row>
    <row r="1910" spans="1:9">
      <c r="A1910" s="113">
        <v>100401621</v>
      </c>
      <c r="B1910" s="113" t="s">
        <v>2942</v>
      </c>
      <c r="C1910" s="113">
        <v>6072056</v>
      </c>
      <c r="D1910" s="113" t="s">
        <v>3093</v>
      </c>
      <c r="E1910" s="113" t="s">
        <v>1620</v>
      </c>
      <c r="F1910" s="113" t="s">
        <v>3093</v>
      </c>
      <c r="G1910" s="113" t="s">
        <v>3093</v>
      </c>
      <c r="H1910" s="161">
        <v>0</v>
      </c>
      <c r="I1910" s="161" t="s">
        <v>7138</v>
      </c>
    </row>
    <row r="1911" spans="1:9">
      <c r="A1911" s="113">
        <v>100401622</v>
      </c>
      <c r="B1911" s="113" t="s">
        <v>4716</v>
      </c>
      <c r="C1911" s="113">
        <v>6072057</v>
      </c>
      <c r="D1911" s="113" t="s">
        <v>3093</v>
      </c>
      <c r="E1911" s="113" t="s">
        <v>1620</v>
      </c>
      <c r="F1911" s="113" t="s">
        <v>3093</v>
      </c>
      <c r="G1911" s="113" t="s">
        <v>3093</v>
      </c>
      <c r="H1911" s="161">
        <v>370.7</v>
      </c>
      <c r="I1911" s="161">
        <v>8</v>
      </c>
    </row>
    <row r="1912" spans="1:9">
      <c r="A1912" s="113">
        <v>100401623</v>
      </c>
      <c r="B1912" s="113" t="s">
        <v>4717</v>
      </c>
      <c r="C1912" s="113">
        <v>6072058</v>
      </c>
      <c r="D1912" s="113" t="s">
        <v>3093</v>
      </c>
      <c r="E1912" s="113" t="s">
        <v>1620</v>
      </c>
      <c r="F1912" s="113" t="s">
        <v>3093</v>
      </c>
      <c r="G1912" s="113" t="s">
        <v>3093</v>
      </c>
      <c r="H1912" s="161">
        <v>0</v>
      </c>
      <c r="I1912" s="161" t="s">
        <v>7138</v>
      </c>
    </row>
    <row r="1913" spans="1:9">
      <c r="A1913" s="113">
        <v>100401624</v>
      </c>
      <c r="B1913" s="113" t="s">
        <v>2943</v>
      </c>
      <c r="C1913" s="113">
        <v>6072059</v>
      </c>
      <c r="D1913" s="113" t="s">
        <v>3093</v>
      </c>
      <c r="E1913" s="113" t="s">
        <v>1620</v>
      </c>
      <c r="F1913" s="113" t="s">
        <v>3093</v>
      </c>
      <c r="G1913" s="113" t="s">
        <v>3093</v>
      </c>
      <c r="H1913" s="161">
        <v>0</v>
      </c>
      <c r="I1913" s="161" t="s">
        <v>7138</v>
      </c>
    </row>
    <row r="1914" spans="1:9">
      <c r="A1914" s="113">
        <v>100401625</v>
      </c>
      <c r="B1914" s="113" t="s">
        <v>2944</v>
      </c>
      <c r="C1914" s="113">
        <v>6072060</v>
      </c>
      <c r="D1914" s="113" t="s">
        <v>3093</v>
      </c>
      <c r="E1914" s="113" t="s">
        <v>1620</v>
      </c>
      <c r="F1914" s="113" t="s">
        <v>3093</v>
      </c>
      <c r="G1914" s="113" t="s">
        <v>3093</v>
      </c>
      <c r="H1914" s="161">
        <v>735.4</v>
      </c>
      <c r="I1914" s="161">
        <v>1</v>
      </c>
    </row>
    <row r="1915" spans="1:9">
      <c r="A1915" s="113">
        <v>100401626</v>
      </c>
      <c r="B1915" s="113" t="s">
        <v>2945</v>
      </c>
      <c r="C1915" s="113">
        <v>6072061</v>
      </c>
      <c r="D1915" s="113" t="s">
        <v>3093</v>
      </c>
      <c r="E1915" s="113" t="s">
        <v>1620</v>
      </c>
      <c r="F1915" s="113" t="s">
        <v>3093</v>
      </c>
      <c r="G1915" s="113" t="s">
        <v>3093</v>
      </c>
      <c r="H1915" s="161">
        <v>0</v>
      </c>
      <c r="I1915" s="161" t="s">
        <v>7138</v>
      </c>
    </row>
    <row r="1916" spans="1:9">
      <c r="A1916" s="113">
        <v>100401627</v>
      </c>
      <c r="B1916" s="113" t="s">
        <v>4718</v>
      </c>
      <c r="C1916" s="113">
        <v>6072062</v>
      </c>
      <c r="D1916" s="113" t="s">
        <v>3093</v>
      </c>
      <c r="E1916" s="113" t="s">
        <v>1620</v>
      </c>
      <c r="F1916" s="113" t="s">
        <v>3093</v>
      </c>
      <c r="G1916" s="113" t="s">
        <v>3093</v>
      </c>
      <c r="H1916" s="161">
        <v>0</v>
      </c>
      <c r="I1916" s="161" t="s">
        <v>7138</v>
      </c>
    </row>
    <row r="1917" spans="1:9">
      <c r="A1917" s="113">
        <v>100401628</v>
      </c>
      <c r="B1917" s="113" t="s">
        <v>4719</v>
      </c>
      <c r="C1917" s="113">
        <v>6072063</v>
      </c>
      <c r="D1917" s="113" t="s">
        <v>3093</v>
      </c>
      <c r="E1917" s="113" t="s">
        <v>1620</v>
      </c>
      <c r="F1917" s="113" t="s">
        <v>3093</v>
      </c>
      <c r="G1917" s="113" t="s">
        <v>3093</v>
      </c>
      <c r="H1917" s="161">
        <v>51.57</v>
      </c>
      <c r="I1917" s="161">
        <v>0</v>
      </c>
    </row>
    <row r="1918" spans="1:9">
      <c r="A1918" s="113">
        <v>100401629</v>
      </c>
      <c r="B1918" s="113" t="s">
        <v>4720</v>
      </c>
      <c r="C1918" s="113">
        <v>6072064</v>
      </c>
      <c r="D1918" s="113" t="s">
        <v>3093</v>
      </c>
      <c r="E1918" s="113" t="s">
        <v>1620</v>
      </c>
      <c r="F1918" s="113" t="s">
        <v>3093</v>
      </c>
      <c r="G1918" s="113" t="s">
        <v>3093</v>
      </c>
      <c r="H1918" s="161">
        <v>47.89</v>
      </c>
      <c r="I1918" s="161">
        <v>0</v>
      </c>
    </row>
    <row r="1919" spans="1:9">
      <c r="A1919" s="113">
        <v>100401630</v>
      </c>
      <c r="B1919" s="113" t="s">
        <v>4721</v>
      </c>
      <c r="C1919" s="113">
        <v>6072066</v>
      </c>
      <c r="D1919" s="113" t="s">
        <v>3093</v>
      </c>
      <c r="E1919" s="113" t="s">
        <v>1620</v>
      </c>
      <c r="F1919" s="113" t="s">
        <v>3093</v>
      </c>
      <c r="G1919" s="113" t="s">
        <v>3093</v>
      </c>
      <c r="H1919" s="161">
        <v>0</v>
      </c>
      <c r="I1919" s="161" t="s">
        <v>7138</v>
      </c>
    </row>
    <row r="1920" spans="1:9">
      <c r="A1920" s="113">
        <v>100401631</v>
      </c>
      <c r="B1920" s="113" t="s">
        <v>4722</v>
      </c>
      <c r="C1920" s="113">
        <v>6072067</v>
      </c>
      <c r="D1920" s="113" t="s">
        <v>3093</v>
      </c>
      <c r="E1920" s="113" t="s">
        <v>1620</v>
      </c>
      <c r="F1920" s="113" t="s">
        <v>3093</v>
      </c>
      <c r="G1920" s="113" t="s">
        <v>3093</v>
      </c>
      <c r="H1920" s="161">
        <v>0</v>
      </c>
      <c r="I1920" s="161" t="s">
        <v>7138</v>
      </c>
    </row>
    <row r="1921" spans="1:9">
      <c r="A1921" s="113">
        <v>100401632</v>
      </c>
      <c r="B1921" s="113" t="s">
        <v>4723</v>
      </c>
      <c r="C1921" s="113">
        <v>6072068</v>
      </c>
      <c r="D1921" s="113" t="s">
        <v>3093</v>
      </c>
      <c r="E1921" s="113" t="s">
        <v>1620</v>
      </c>
      <c r="F1921" s="113" t="s">
        <v>3093</v>
      </c>
      <c r="G1921" s="113" t="s">
        <v>3093</v>
      </c>
      <c r="H1921" s="161">
        <v>0</v>
      </c>
      <c r="I1921" s="161" t="s">
        <v>7138</v>
      </c>
    </row>
    <row r="1922" spans="1:9">
      <c r="A1922" s="113">
        <v>100401633</v>
      </c>
      <c r="B1922" s="113" t="s">
        <v>4724</v>
      </c>
      <c r="C1922" s="113">
        <v>6072069</v>
      </c>
      <c r="D1922" s="113" t="s">
        <v>3093</v>
      </c>
      <c r="E1922" s="113" t="s">
        <v>1620</v>
      </c>
      <c r="F1922" s="113" t="s">
        <v>3093</v>
      </c>
      <c r="G1922" s="113" t="s">
        <v>3093</v>
      </c>
      <c r="H1922" s="161">
        <v>41.55</v>
      </c>
      <c r="I1922" s="161">
        <v>1</v>
      </c>
    </row>
    <row r="1923" spans="1:9">
      <c r="A1923" s="113">
        <v>100401634</v>
      </c>
      <c r="B1923" s="113" t="s">
        <v>4725</v>
      </c>
      <c r="C1923" s="113">
        <v>6072070</v>
      </c>
      <c r="D1923" s="113" t="s">
        <v>3093</v>
      </c>
      <c r="E1923" s="113" t="s">
        <v>1620</v>
      </c>
      <c r="F1923" s="113" t="s">
        <v>3093</v>
      </c>
      <c r="G1923" s="113" t="s">
        <v>3093</v>
      </c>
      <c r="H1923" s="161">
        <v>0</v>
      </c>
      <c r="I1923" s="161" t="s">
        <v>7138</v>
      </c>
    </row>
    <row r="1924" spans="1:9">
      <c r="A1924" s="113">
        <v>100401635</v>
      </c>
      <c r="B1924" s="113" t="s">
        <v>4726</v>
      </c>
      <c r="C1924" s="113">
        <v>6073004</v>
      </c>
      <c r="D1924" s="113" t="s">
        <v>3093</v>
      </c>
      <c r="E1924" s="113" t="s">
        <v>1620</v>
      </c>
      <c r="F1924" s="113" t="s">
        <v>3093</v>
      </c>
      <c r="G1924" s="113" t="s">
        <v>3093</v>
      </c>
      <c r="H1924" s="161">
        <v>0</v>
      </c>
      <c r="I1924" s="161" t="s">
        <v>7138</v>
      </c>
    </row>
    <row r="1925" spans="1:9">
      <c r="A1925" s="113">
        <v>100401636</v>
      </c>
      <c r="B1925" s="113" t="s">
        <v>4727</v>
      </c>
      <c r="C1925" s="113">
        <v>6073005</v>
      </c>
      <c r="D1925" s="113" t="s">
        <v>3093</v>
      </c>
      <c r="E1925" s="113" t="s">
        <v>1620</v>
      </c>
      <c r="F1925" s="113" t="s">
        <v>3093</v>
      </c>
      <c r="G1925" s="113" t="s">
        <v>3093</v>
      </c>
      <c r="H1925" s="161">
        <v>0</v>
      </c>
      <c r="I1925" s="161" t="s">
        <v>7138</v>
      </c>
    </row>
    <row r="1926" spans="1:9">
      <c r="A1926" s="113">
        <v>100401637</v>
      </c>
      <c r="B1926" s="113" t="s">
        <v>4728</v>
      </c>
      <c r="C1926" s="113">
        <v>6073006</v>
      </c>
      <c r="D1926" s="113" t="s">
        <v>3093</v>
      </c>
      <c r="E1926" s="113" t="s">
        <v>1620</v>
      </c>
      <c r="F1926" s="113" t="s">
        <v>3093</v>
      </c>
      <c r="G1926" s="113" t="s">
        <v>3093</v>
      </c>
      <c r="H1926" s="161">
        <v>0</v>
      </c>
      <c r="I1926" s="161" t="s">
        <v>7138</v>
      </c>
    </row>
    <row r="1927" spans="1:9">
      <c r="A1927" s="113">
        <v>100401638</v>
      </c>
      <c r="B1927" s="113" t="s">
        <v>2946</v>
      </c>
      <c r="C1927" s="113">
        <v>6073010</v>
      </c>
      <c r="D1927" s="113" t="s">
        <v>3093</v>
      </c>
      <c r="E1927" s="113" t="s">
        <v>1620</v>
      </c>
      <c r="F1927" s="113" t="s">
        <v>3093</v>
      </c>
      <c r="G1927" s="113" t="s">
        <v>3093</v>
      </c>
      <c r="H1927" s="161">
        <v>0</v>
      </c>
      <c r="I1927" s="161" t="s">
        <v>7138</v>
      </c>
    </row>
    <row r="1928" spans="1:9">
      <c r="A1928" s="113">
        <v>100401639</v>
      </c>
      <c r="B1928" s="113" t="s">
        <v>4729</v>
      </c>
      <c r="C1928" s="113">
        <v>6073011</v>
      </c>
      <c r="D1928" s="113" t="s">
        <v>3093</v>
      </c>
      <c r="E1928" s="113" t="s">
        <v>1620</v>
      </c>
      <c r="F1928" s="113" t="s">
        <v>3093</v>
      </c>
      <c r="G1928" s="113" t="s">
        <v>3093</v>
      </c>
      <c r="H1928" s="161">
        <v>33.1</v>
      </c>
      <c r="I1928" s="161">
        <v>0</v>
      </c>
    </row>
    <row r="1929" spans="1:9">
      <c r="A1929" s="113">
        <v>100401640</v>
      </c>
      <c r="B1929" s="113" t="s">
        <v>4730</v>
      </c>
      <c r="C1929" s="113">
        <v>6073012</v>
      </c>
      <c r="D1929" s="113" t="s">
        <v>3093</v>
      </c>
      <c r="E1929" s="113" t="s">
        <v>1620</v>
      </c>
      <c r="F1929" s="113" t="s">
        <v>3093</v>
      </c>
      <c r="G1929" s="113" t="s">
        <v>3093</v>
      </c>
      <c r="H1929" s="161">
        <v>16.14</v>
      </c>
      <c r="I1929" s="161">
        <v>0</v>
      </c>
    </row>
    <row r="1930" spans="1:9">
      <c r="A1930" s="113">
        <v>100401641</v>
      </c>
      <c r="B1930" s="113" t="s">
        <v>4731</v>
      </c>
      <c r="C1930" s="113">
        <v>6073013</v>
      </c>
      <c r="D1930" s="113" t="s">
        <v>3093</v>
      </c>
      <c r="E1930" s="113" t="s">
        <v>1620</v>
      </c>
      <c r="F1930" s="113" t="s">
        <v>3093</v>
      </c>
      <c r="G1930" s="113" t="s">
        <v>3093</v>
      </c>
      <c r="H1930" s="161">
        <v>12.89</v>
      </c>
      <c r="I1930" s="161">
        <v>4</v>
      </c>
    </row>
    <row r="1931" spans="1:9">
      <c r="A1931" s="113">
        <v>100401642</v>
      </c>
      <c r="B1931" s="113" t="s">
        <v>4732</v>
      </c>
      <c r="C1931" s="113">
        <v>6074008</v>
      </c>
      <c r="D1931" s="113" t="s">
        <v>3093</v>
      </c>
      <c r="E1931" s="113" t="s">
        <v>1620</v>
      </c>
      <c r="F1931" s="113" t="s">
        <v>3093</v>
      </c>
      <c r="G1931" s="113" t="s">
        <v>3093</v>
      </c>
      <c r="H1931" s="161">
        <v>0</v>
      </c>
      <c r="I1931" s="161" t="s">
        <v>7138</v>
      </c>
    </row>
    <row r="1932" spans="1:9">
      <c r="A1932" s="113">
        <v>100401643</v>
      </c>
      <c r="B1932" s="113" t="s">
        <v>4733</v>
      </c>
      <c r="C1932" s="113">
        <v>6074009</v>
      </c>
      <c r="D1932" s="113" t="s">
        <v>3093</v>
      </c>
      <c r="E1932" s="113" t="s">
        <v>1620</v>
      </c>
      <c r="F1932" s="113" t="s">
        <v>3093</v>
      </c>
      <c r="G1932" s="113" t="s">
        <v>3093</v>
      </c>
      <c r="H1932" s="161">
        <v>0</v>
      </c>
      <c r="I1932" s="161" t="s">
        <v>7138</v>
      </c>
    </row>
    <row r="1933" spans="1:9">
      <c r="A1933" s="113">
        <v>100401644</v>
      </c>
      <c r="B1933" s="113" t="s">
        <v>4734</v>
      </c>
      <c r="C1933" s="113">
        <v>6074016</v>
      </c>
      <c r="D1933" s="113" t="s">
        <v>3093</v>
      </c>
      <c r="E1933" s="113" t="s">
        <v>1620</v>
      </c>
      <c r="F1933" s="113" t="s">
        <v>3093</v>
      </c>
      <c r="G1933" s="113" t="s">
        <v>3093</v>
      </c>
      <c r="H1933" s="161">
        <v>0</v>
      </c>
      <c r="I1933" s="161" t="s">
        <v>7138</v>
      </c>
    </row>
    <row r="1934" spans="1:9">
      <c r="A1934" s="113">
        <v>100401645</v>
      </c>
      <c r="B1934" s="113" t="s">
        <v>4735</v>
      </c>
      <c r="C1934" s="113">
        <v>6074020</v>
      </c>
      <c r="D1934" s="113" t="s">
        <v>3093</v>
      </c>
      <c r="E1934" s="113" t="s">
        <v>1620</v>
      </c>
      <c r="F1934" s="113" t="s">
        <v>3093</v>
      </c>
      <c r="G1934" s="113" t="s">
        <v>3093</v>
      </c>
      <c r="H1934" s="161">
        <v>0</v>
      </c>
      <c r="I1934" s="161" t="s">
        <v>7138</v>
      </c>
    </row>
    <row r="1935" spans="1:9">
      <c r="A1935" s="113">
        <v>100401646</v>
      </c>
      <c r="B1935" s="113" t="s">
        <v>4736</v>
      </c>
      <c r="C1935" s="113">
        <v>6074021</v>
      </c>
      <c r="D1935" s="113" t="s">
        <v>3093</v>
      </c>
      <c r="E1935" s="113" t="s">
        <v>1620</v>
      </c>
      <c r="F1935" s="113" t="s">
        <v>3093</v>
      </c>
      <c r="G1935" s="113" t="s">
        <v>3093</v>
      </c>
      <c r="H1935" s="161">
        <v>0</v>
      </c>
      <c r="I1935" s="161" t="s">
        <v>7138</v>
      </c>
    </row>
    <row r="1936" spans="1:9">
      <c r="A1936" s="113">
        <v>100401647</v>
      </c>
      <c r="B1936" s="113" t="s">
        <v>4737</v>
      </c>
      <c r="C1936" s="113">
        <v>6074022</v>
      </c>
      <c r="D1936" s="113" t="s">
        <v>3093</v>
      </c>
      <c r="E1936" s="113" t="s">
        <v>1620</v>
      </c>
      <c r="F1936" s="113" t="s">
        <v>3093</v>
      </c>
      <c r="G1936" s="113" t="s">
        <v>3093</v>
      </c>
      <c r="H1936" s="161">
        <v>0</v>
      </c>
      <c r="I1936" s="161" t="s">
        <v>7138</v>
      </c>
    </row>
    <row r="1937" spans="1:9">
      <c r="A1937" s="113">
        <v>100401648</v>
      </c>
      <c r="B1937" s="113" t="s">
        <v>4738</v>
      </c>
      <c r="C1937" s="113">
        <v>6074023</v>
      </c>
      <c r="D1937" s="113" t="s">
        <v>3093</v>
      </c>
      <c r="E1937" s="113" t="s">
        <v>1620</v>
      </c>
      <c r="F1937" s="113" t="s">
        <v>3093</v>
      </c>
      <c r="G1937" s="113" t="s">
        <v>3093</v>
      </c>
      <c r="H1937" s="161">
        <v>0</v>
      </c>
      <c r="I1937" s="161" t="s">
        <v>7138</v>
      </c>
    </row>
    <row r="1938" spans="1:9">
      <c r="A1938" s="113">
        <v>100401649</v>
      </c>
      <c r="B1938" s="113" t="s">
        <v>4739</v>
      </c>
      <c r="C1938" s="113">
        <v>6074024</v>
      </c>
      <c r="D1938" s="113" t="s">
        <v>3093</v>
      </c>
      <c r="E1938" s="113" t="s">
        <v>1620</v>
      </c>
      <c r="F1938" s="113" t="s">
        <v>3093</v>
      </c>
      <c r="G1938" s="113" t="s">
        <v>3093</v>
      </c>
      <c r="H1938" s="161">
        <v>0</v>
      </c>
      <c r="I1938" s="161" t="s">
        <v>7138</v>
      </c>
    </row>
    <row r="1939" spans="1:9">
      <c r="A1939" s="113">
        <v>100401650</v>
      </c>
      <c r="B1939" s="113" t="s">
        <v>4740</v>
      </c>
      <c r="C1939" s="113">
        <v>6074025</v>
      </c>
      <c r="D1939" s="113" t="s">
        <v>3093</v>
      </c>
      <c r="E1939" s="113" t="s">
        <v>1620</v>
      </c>
      <c r="F1939" s="113" t="s">
        <v>3093</v>
      </c>
      <c r="G1939" s="113" t="s">
        <v>3093</v>
      </c>
      <c r="H1939" s="161">
        <v>0</v>
      </c>
      <c r="I1939" s="161" t="s">
        <v>7138</v>
      </c>
    </row>
    <row r="1940" spans="1:9">
      <c r="A1940" s="113">
        <v>100401651</v>
      </c>
      <c r="B1940" s="113" t="s">
        <v>4741</v>
      </c>
      <c r="C1940" s="113">
        <v>6074026</v>
      </c>
      <c r="D1940" s="113" t="s">
        <v>3093</v>
      </c>
      <c r="E1940" s="113" t="s">
        <v>1620</v>
      </c>
      <c r="F1940" s="113" t="s">
        <v>3093</v>
      </c>
      <c r="G1940" s="113" t="s">
        <v>3093</v>
      </c>
      <c r="H1940" s="161">
        <v>0</v>
      </c>
      <c r="I1940" s="161" t="s">
        <v>7138</v>
      </c>
    </row>
    <row r="1941" spans="1:9">
      <c r="A1941" s="113">
        <v>100401652</v>
      </c>
      <c r="B1941" s="113" t="s">
        <v>4742</v>
      </c>
      <c r="C1941" s="113">
        <v>6074027</v>
      </c>
      <c r="D1941" s="113" t="s">
        <v>3093</v>
      </c>
      <c r="E1941" s="113" t="s">
        <v>1620</v>
      </c>
      <c r="F1941" s="113" t="s">
        <v>3093</v>
      </c>
      <c r="G1941" s="113" t="s">
        <v>3093</v>
      </c>
      <c r="H1941" s="161">
        <v>0</v>
      </c>
      <c r="I1941" s="161" t="s">
        <v>7138</v>
      </c>
    </row>
    <row r="1942" spans="1:9">
      <c r="A1942" s="113">
        <v>100401653</v>
      </c>
      <c r="B1942" s="113" t="s">
        <v>4743</v>
      </c>
      <c r="C1942" s="113">
        <v>6074028</v>
      </c>
      <c r="D1942" s="113" t="s">
        <v>3093</v>
      </c>
      <c r="E1942" s="113" t="s">
        <v>1620</v>
      </c>
      <c r="F1942" s="113" t="s">
        <v>3093</v>
      </c>
      <c r="G1942" s="113" t="s">
        <v>3093</v>
      </c>
      <c r="H1942" s="161">
        <v>0</v>
      </c>
      <c r="I1942" s="161" t="s">
        <v>7138</v>
      </c>
    </row>
    <row r="1943" spans="1:9">
      <c r="A1943" s="113">
        <v>100401654</v>
      </c>
      <c r="B1943" s="113" t="s">
        <v>4744</v>
      </c>
      <c r="C1943" s="113">
        <v>6074029</v>
      </c>
      <c r="D1943" s="113" t="s">
        <v>3093</v>
      </c>
      <c r="E1943" s="113" t="s">
        <v>1620</v>
      </c>
      <c r="F1943" s="113" t="s">
        <v>3093</v>
      </c>
      <c r="G1943" s="113" t="s">
        <v>3093</v>
      </c>
      <c r="H1943" s="161">
        <v>0</v>
      </c>
      <c r="I1943" s="161" t="s">
        <v>7138</v>
      </c>
    </row>
    <row r="1944" spans="1:9">
      <c r="A1944" s="113">
        <v>100401655</v>
      </c>
      <c r="B1944" s="113" t="s">
        <v>4745</v>
      </c>
      <c r="C1944" s="113">
        <v>6074030</v>
      </c>
      <c r="D1944" s="113" t="s">
        <v>3093</v>
      </c>
      <c r="E1944" s="113" t="s">
        <v>1620</v>
      </c>
      <c r="F1944" s="113" t="s">
        <v>3093</v>
      </c>
      <c r="G1944" s="113" t="s">
        <v>3093</v>
      </c>
      <c r="H1944" s="161">
        <v>0</v>
      </c>
      <c r="I1944" s="161" t="s">
        <v>7138</v>
      </c>
    </row>
    <row r="1945" spans="1:9">
      <c r="A1945" s="113">
        <v>100401656</v>
      </c>
      <c r="B1945" s="113" t="s">
        <v>4746</v>
      </c>
      <c r="C1945" s="113">
        <v>6074031</v>
      </c>
      <c r="D1945" s="113" t="s">
        <v>3093</v>
      </c>
      <c r="E1945" s="113" t="s">
        <v>1620</v>
      </c>
      <c r="F1945" s="113" t="s">
        <v>3093</v>
      </c>
      <c r="G1945" s="113" t="s">
        <v>3093</v>
      </c>
      <c r="H1945" s="161">
        <v>0</v>
      </c>
      <c r="I1945" s="161" t="s">
        <v>7138</v>
      </c>
    </row>
    <row r="1946" spans="1:9">
      <c r="A1946" s="113">
        <v>100401657</v>
      </c>
      <c r="B1946" s="113" t="s">
        <v>4747</v>
      </c>
      <c r="C1946" s="113">
        <v>6074032</v>
      </c>
      <c r="D1946" s="113" t="s">
        <v>3093</v>
      </c>
      <c r="E1946" s="113" t="s">
        <v>1620</v>
      </c>
      <c r="F1946" s="113" t="s">
        <v>3093</v>
      </c>
      <c r="G1946" s="113" t="s">
        <v>3093</v>
      </c>
      <c r="H1946" s="161">
        <v>0</v>
      </c>
      <c r="I1946" s="161" t="s">
        <v>7138</v>
      </c>
    </row>
    <row r="1947" spans="1:9">
      <c r="A1947" s="113">
        <v>100401658</v>
      </c>
      <c r="B1947" s="113" t="s">
        <v>4748</v>
      </c>
      <c r="C1947" s="113">
        <v>6074033</v>
      </c>
      <c r="D1947" s="113" t="s">
        <v>3093</v>
      </c>
      <c r="E1947" s="113" t="s">
        <v>1620</v>
      </c>
      <c r="F1947" s="113" t="s">
        <v>3093</v>
      </c>
      <c r="G1947" s="113" t="s">
        <v>3093</v>
      </c>
      <c r="H1947" s="161">
        <v>0</v>
      </c>
      <c r="I1947" s="161" t="s">
        <v>7138</v>
      </c>
    </row>
    <row r="1948" spans="1:9">
      <c r="A1948" s="113">
        <v>100401659</v>
      </c>
      <c r="B1948" s="113" t="s">
        <v>4749</v>
      </c>
      <c r="C1948" s="113">
        <v>6074034</v>
      </c>
      <c r="D1948" s="113" t="s">
        <v>3093</v>
      </c>
      <c r="E1948" s="113" t="s">
        <v>1620</v>
      </c>
      <c r="F1948" s="113" t="s">
        <v>3093</v>
      </c>
      <c r="G1948" s="113" t="s">
        <v>3093</v>
      </c>
      <c r="H1948" s="161">
        <v>0</v>
      </c>
      <c r="I1948" s="161" t="s">
        <v>7138</v>
      </c>
    </row>
    <row r="1949" spans="1:9">
      <c r="A1949" s="113">
        <v>100401660</v>
      </c>
      <c r="B1949" s="113" t="s">
        <v>4750</v>
      </c>
      <c r="C1949" s="113">
        <v>6074035</v>
      </c>
      <c r="D1949" s="113" t="s">
        <v>3093</v>
      </c>
      <c r="E1949" s="113" t="s">
        <v>1620</v>
      </c>
      <c r="F1949" s="113" t="s">
        <v>3093</v>
      </c>
      <c r="G1949" s="113" t="s">
        <v>3093</v>
      </c>
      <c r="H1949" s="161">
        <v>0</v>
      </c>
      <c r="I1949" s="161" t="s">
        <v>7138</v>
      </c>
    </row>
    <row r="1950" spans="1:9">
      <c r="A1950" s="113">
        <v>100401661</v>
      </c>
      <c r="B1950" s="113" t="s">
        <v>4751</v>
      </c>
      <c r="C1950" s="113">
        <v>6074036</v>
      </c>
      <c r="D1950" s="113" t="s">
        <v>3093</v>
      </c>
      <c r="E1950" s="113" t="s">
        <v>1620</v>
      </c>
      <c r="F1950" s="113" t="s">
        <v>3093</v>
      </c>
      <c r="G1950" s="113" t="s">
        <v>3093</v>
      </c>
      <c r="H1950" s="161">
        <v>0</v>
      </c>
      <c r="I1950" s="161" t="s">
        <v>7138</v>
      </c>
    </row>
    <row r="1951" spans="1:9">
      <c r="A1951" s="113">
        <v>100401662</v>
      </c>
      <c r="B1951" s="113" t="s">
        <v>4752</v>
      </c>
      <c r="C1951" s="113">
        <v>6074040</v>
      </c>
      <c r="D1951" s="113" t="s">
        <v>3093</v>
      </c>
      <c r="E1951" s="113" t="s">
        <v>1620</v>
      </c>
      <c r="F1951" s="113" t="s">
        <v>3093</v>
      </c>
      <c r="G1951" s="113" t="s">
        <v>3093</v>
      </c>
      <c r="H1951" s="161">
        <v>0</v>
      </c>
      <c r="I1951" s="161" t="s">
        <v>7138</v>
      </c>
    </row>
    <row r="1952" spans="1:9">
      <c r="A1952" s="113">
        <v>100401666</v>
      </c>
      <c r="B1952" s="113" t="s">
        <v>4753</v>
      </c>
      <c r="C1952" s="113">
        <v>6075013</v>
      </c>
      <c r="D1952" s="113" t="s">
        <v>3093</v>
      </c>
      <c r="E1952" s="113" t="s">
        <v>1620</v>
      </c>
      <c r="F1952" s="113" t="s">
        <v>3093</v>
      </c>
      <c r="G1952" s="113" t="s">
        <v>3093</v>
      </c>
      <c r="H1952" s="161">
        <v>0</v>
      </c>
      <c r="I1952" s="161" t="s">
        <v>7138</v>
      </c>
    </row>
    <row r="1953" spans="1:9">
      <c r="A1953" s="113">
        <v>100401667</v>
      </c>
      <c r="B1953" s="113" t="s">
        <v>4754</v>
      </c>
      <c r="C1953" s="113">
        <v>6075020</v>
      </c>
      <c r="D1953" s="113" t="s">
        <v>3093</v>
      </c>
      <c r="E1953" s="113" t="s">
        <v>1620</v>
      </c>
      <c r="F1953" s="113" t="s">
        <v>3093</v>
      </c>
      <c r="G1953" s="113" t="s">
        <v>3093</v>
      </c>
      <c r="H1953" s="161">
        <v>0</v>
      </c>
      <c r="I1953" s="161" t="s">
        <v>7138</v>
      </c>
    </row>
    <row r="1954" spans="1:9">
      <c r="A1954" s="113">
        <v>100401668</v>
      </c>
      <c r="B1954" s="113" t="s">
        <v>4755</v>
      </c>
      <c r="C1954" s="113">
        <v>6075021</v>
      </c>
      <c r="D1954" s="113" t="s">
        <v>3093</v>
      </c>
      <c r="E1954" s="113" t="s">
        <v>1620</v>
      </c>
      <c r="F1954" s="113" t="s">
        <v>3093</v>
      </c>
      <c r="G1954" s="113" t="s">
        <v>3093</v>
      </c>
      <c r="H1954" s="161">
        <v>0</v>
      </c>
      <c r="I1954" s="161" t="s">
        <v>7138</v>
      </c>
    </row>
    <row r="1955" spans="1:9">
      <c r="A1955" s="113">
        <v>100401669</v>
      </c>
      <c r="B1955" s="113" t="s">
        <v>4756</v>
      </c>
      <c r="C1955" s="113">
        <v>6075022</v>
      </c>
      <c r="D1955" s="113" t="s">
        <v>3093</v>
      </c>
      <c r="E1955" s="113" t="s">
        <v>1620</v>
      </c>
      <c r="F1955" s="113" t="s">
        <v>3093</v>
      </c>
      <c r="G1955" s="113" t="s">
        <v>3093</v>
      </c>
      <c r="H1955" s="161">
        <v>0</v>
      </c>
      <c r="I1955" s="161" t="s">
        <v>7138</v>
      </c>
    </row>
    <row r="1956" spans="1:9">
      <c r="A1956" s="113">
        <v>100401670</v>
      </c>
      <c r="B1956" s="113" t="s">
        <v>4757</v>
      </c>
      <c r="C1956" s="113">
        <v>6075023</v>
      </c>
      <c r="D1956" s="113" t="s">
        <v>3093</v>
      </c>
      <c r="E1956" s="113" t="s">
        <v>1620</v>
      </c>
      <c r="F1956" s="113" t="s">
        <v>3093</v>
      </c>
      <c r="G1956" s="113" t="s">
        <v>3093</v>
      </c>
      <c r="H1956" s="161">
        <v>0</v>
      </c>
      <c r="I1956" s="161" t="s">
        <v>7138</v>
      </c>
    </row>
    <row r="1957" spans="1:9">
      <c r="A1957" s="113">
        <v>100401671</v>
      </c>
      <c r="B1957" s="113" t="s">
        <v>4758</v>
      </c>
      <c r="C1957" s="113">
        <v>6075030</v>
      </c>
      <c r="D1957" s="113" t="s">
        <v>3093</v>
      </c>
      <c r="E1957" s="113" t="s">
        <v>1620</v>
      </c>
      <c r="F1957" s="113" t="s">
        <v>3093</v>
      </c>
      <c r="G1957" s="113" t="s">
        <v>3093</v>
      </c>
      <c r="H1957" s="161">
        <v>0</v>
      </c>
      <c r="I1957" s="161" t="s">
        <v>7138</v>
      </c>
    </row>
    <row r="1958" spans="1:9">
      <c r="A1958" s="113">
        <v>100401672</v>
      </c>
      <c r="B1958" s="113" t="s">
        <v>4759</v>
      </c>
      <c r="C1958" s="113">
        <v>6075031</v>
      </c>
      <c r="D1958" s="113" t="s">
        <v>3093</v>
      </c>
      <c r="E1958" s="113" t="s">
        <v>1620</v>
      </c>
      <c r="F1958" s="113" t="s">
        <v>3093</v>
      </c>
      <c r="G1958" s="113" t="s">
        <v>3093</v>
      </c>
      <c r="H1958" s="161">
        <v>12.89</v>
      </c>
      <c r="I1958" s="161">
        <v>5</v>
      </c>
    </row>
    <row r="1959" spans="1:9">
      <c r="A1959" s="113">
        <v>100401673</v>
      </c>
      <c r="B1959" s="113" t="s">
        <v>4760</v>
      </c>
      <c r="C1959" s="113">
        <v>6075032</v>
      </c>
      <c r="D1959" s="113" t="s">
        <v>3093</v>
      </c>
      <c r="E1959" s="113" t="s">
        <v>1620</v>
      </c>
      <c r="F1959" s="113" t="s">
        <v>3093</v>
      </c>
      <c r="G1959" s="113" t="s">
        <v>3093</v>
      </c>
      <c r="H1959" s="161">
        <v>12.89</v>
      </c>
      <c r="I1959" s="161">
        <v>5</v>
      </c>
    </row>
    <row r="1960" spans="1:9">
      <c r="A1960" s="113">
        <v>100401674</v>
      </c>
      <c r="B1960" s="113" t="s">
        <v>4761</v>
      </c>
      <c r="C1960" s="113">
        <v>6075033</v>
      </c>
      <c r="D1960" s="113" t="s">
        <v>3093</v>
      </c>
      <c r="E1960" s="113" t="s">
        <v>1620</v>
      </c>
      <c r="F1960" s="113" t="s">
        <v>3093</v>
      </c>
      <c r="G1960" s="113" t="s">
        <v>3093</v>
      </c>
      <c r="H1960" s="161">
        <v>12.89</v>
      </c>
      <c r="I1960" s="161">
        <v>5</v>
      </c>
    </row>
    <row r="1961" spans="1:9">
      <c r="A1961" s="113">
        <v>100401675</v>
      </c>
      <c r="B1961" s="113" t="s">
        <v>2947</v>
      </c>
      <c r="C1961" s="113">
        <v>6075034</v>
      </c>
      <c r="D1961" s="113" t="s">
        <v>3093</v>
      </c>
      <c r="E1961" s="113" t="s">
        <v>1620</v>
      </c>
      <c r="F1961" s="113" t="s">
        <v>3093</v>
      </c>
      <c r="G1961" s="113" t="s">
        <v>3093</v>
      </c>
      <c r="H1961" s="161">
        <v>12.89</v>
      </c>
      <c r="I1961" s="161">
        <v>3</v>
      </c>
    </row>
    <row r="1962" spans="1:9">
      <c r="A1962" s="113">
        <v>100401676</v>
      </c>
      <c r="B1962" s="113" t="s">
        <v>2948</v>
      </c>
      <c r="C1962" s="113">
        <v>6075035</v>
      </c>
      <c r="D1962" s="113" t="s">
        <v>3093</v>
      </c>
      <c r="E1962" s="113" t="s">
        <v>1620</v>
      </c>
      <c r="F1962" s="113" t="s">
        <v>3093</v>
      </c>
      <c r="G1962" s="113" t="s">
        <v>3093</v>
      </c>
      <c r="H1962" s="161">
        <v>158</v>
      </c>
      <c r="I1962" s="161">
        <v>3</v>
      </c>
    </row>
    <row r="1963" spans="1:9">
      <c r="A1963" s="113">
        <v>100401677</v>
      </c>
      <c r="B1963" s="113" t="s">
        <v>4762</v>
      </c>
      <c r="C1963" s="113">
        <v>6075036</v>
      </c>
      <c r="D1963" s="113" t="s">
        <v>3093</v>
      </c>
      <c r="E1963" s="113" t="s">
        <v>1620</v>
      </c>
      <c r="F1963" s="113" t="s">
        <v>3093</v>
      </c>
      <c r="G1963" s="113" t="s">
        <v>3093</v>
      </c>
      <c r="H1963" s="161">
        <v>0</v>
      </c>
      <c r="I1963" s="161" t="s">
        <v>7138</v>
      </c>
    </row>
    <row r="1964" spans="1:9">
      <c r="A1964" s="113">
        <v>100401678</v>
      </c>
      <c r="B1964" s="113" t="s">
        <v>4763</v>
      </c>
      <c r="C1964" s="113">
        <v>6075037</v>
      </c>
      <c r="D1964" s="113" t="s">
        <v>3093</v>
      </c>
      <c r="E1964" s="113" t="s">
        <v>1620</v>
      </c>
      <c r="F1964" s="113" t="s">
        <v>3093</v>
      </c>
      <c r="G1964" s="113" t="s">
        <v>3093</v>
      </c>
      <c r="H1964" s="161">
        <v>321.45999999999998</v>
      </c>
      <c r="I1964" s="161">
        <v>8</v>
      </c>
    </row>
    <row r="1965" spans="1:9">
      <c r="A1965" s="113">
        <v>100401679</v>
      </c>
      <c r="B1965" s="113" t="s">
        <v>4764</v>
      </c>
      <c r="C1965" s="113">
        <v>6075038</v>
      </c>
      <c r="D1965" s="113" t="s">
        <v>3093</v>
      </c>
      <c r="E1965" s="113" t="s">
        <v>1620</v>
      </c>
      <c r="F1965" s="113" t="s">
        <v>3093</v>
      </c>
      <c r="G1965" s="113" t="s">
        <v>3093</v>
      </c>
      <c r="H1965" s="161">
        <v>592</v>
      </c>
      <c r="I1965" s="161">
        <v>0</v>
      </c>
    </row>
    <row r="1966" spans="1:9">
      <c r="A1966" s="113">
        <v>100401680</v>
      </c>
      <c r="B1966" s="113" t="s">
        <v>4765</v>
      </c>
      <c r="C1966" s="113">
        <v>6075039</v>
      </c>
      <c r="D1966" s="113" t="s">
        <v>3093</v>
      </c>
      <c r="E1966" s="113" t="s">
        <v>1620</v>
      </c>
      <c r="F1966" s="113" t="s">
        <v>3093</v>
      </c>
      <c r="G1966" s="113" t="s">
        <v>3093</v>
      </c>
      <c r="H1966" s="161">
        <v>426.58</v>
      </c>
      <c r="I1966" s="161">
        <v>6</v>
      </c>
    </row>
    <row r="1967" spans="1:9">
      <c r="A1967" s="113">
        <v>100401681</v>
      </c>
      <c r="B1967" s="113" t="s">
        <v>4766</v>
      </c>
      <c r="C1967" s="113">
        <v>6075040</v>
      </c>
      <c r="D1967" s="113" t="s">
        <v>3093</v>
      </c>
      <c r="E1967" s="113" t="s">
        <v>1620</v>
      </c>
      <c r="F1967" s="113" t="s">
        <v>3093</v>
      </c>
      <c r="G1967" s="113" t="s">
        <v>3093</v>
      </c>
      <c r="H1967" s="161">
        <v>64.8</v>
      </c>
      <c r="I1967" s="161">
        <v>6</v>
      </c>
    </row>
    <row r="1968" spans="1:9">
      <c r="A1968" s="113">
        <v>100401682</v>
      </c>
      <c r="B1968" s="113" t="s">
        <v>4767</v>
      </c>
      <c r="C1968" s="113">
        <v>6075041</v>
      </c>
      <c r="D1968" s="113" t="s">
        <v>3093</v>
      </c>
      <c r="E1968" s="113" t="s">
        <v>1620</v>
      </c>
      <c r="F1968" s="113" t="s">
        <v>3093</v>
      </c>
      <c r="G1968" s="113" t="s">
        <v>3093</v>
      </c>
      <c r="H1968" s="161">
        <v>375.55</v>
      </c>
      <c r="I1968" s="161">
        <v>8</v>
      </c>
    </row>
    <row r="1969" spans="1:9">
      <c r="A1969" s="113">
        <v>100401683</v>
      </c>
      <c r="B1969" s="113" t="s">
        <v>4768</v>
      </c>
      <c r="C1969" s="113">
        <v>6075042</v>
      </c>
      <c r="D1969" s="113" t="s">
        <v>3093</v>
      </c>
      <c r="E1969" s="113" t="s">
        <v>1620</v>
      </c>
      <c r="F1969" s="113" t="s">
        <v>3093</v>
      </c>
      <c r="G1969" s="113" t="s">
        <v>3093</v>
      </c>
      <c r="H1969" s="161">
        <v>89.27</v>
      </c>
      <c r="I1969" s="161" t="s">
        <v>7138</v>
      </c>
    </row>
    <row r="1970" spans="1:9">
      <c r="A1970" s="113">
        <v>100401684</v>
      </c>
      <c r="B1970" s="113" t="s">
        <v>4769</v>
      </c>
      <c r="C1970" s="113">
        <v>6075043</v>
      </c>
      <c r="D1970" s="113" t="s">
        <v>3093</v>
      </c>
      <c r="E1970" s="113" t="s">
        <v>1620</v>
      </c>
      <c r="F1970" s="113" t="s">
        <v>3093</v>
      </c>
      <c r="G1970" s="113" t="s">
        <v>3093</v>
      </c>
      <c r="H1970" s="161">
        <v>0</v>
      </c>
      <c r="I1970" s="161" t="s">
        <v>7138</v>
      </c>
    </row>
    <row r="1971" spans="1:9">
      <c r="A1971" s="113">
        <v>100401685</v>
      </c>
      <c r="B1971" s="113" t="s">
        <v>4770</v>
      </c>
      <c r="C1971" s="113">
        <v>6080026</v>
      </c>
      <c r="D1971" s="113" t="s">
        <v>3093</v>
      </c>
      <c r="E1971" s="113" t="s">
        <v>1620</v>
      </c>
      <c r="F1971" s="113" t="s">
        <v>3093</v>
      </c>
      <c r="G1971" s="113" t="s">
        <v>3093</v>
      </c>
      <c r="H1971" s="161">
        <v>0</v>
      </c>
      <c r="I1971" s="161" t="s">
        <v>7138</v>
      </c>
    </row>
    <row r="1972" spans="1:9">
      <c r="A1972" s="113">
        <v>100401686</v>
      </c>
      <c r="B1972" s="113" t="s">
        <v>4771</v>
      </c>
      <c r="C1972" s="113">
        <v>6080027</v>
      </c>
      <c r="D1972" s="113" t="s">
        <v>3093</v>
      </c>
      <c r="E1972" s="113" t="s">
        <v>1620</v>
      </c>
      <c r="F1972" s="113" t="s">
        <v>3093</v>
      </c>
      <c r="G1972" s="113" t="s">
        <v>3093</v>
      </c>
      <c r="H1972" s="161">
        <v>0</v>
      </c>
      <c r="I1972" s="161" t="s">
        <v>7138</v>
      </c>
    </row>
    <row r="1973" spans="1:9">
      <c r="A1973" s="113">
        <v>100401687</v>
      </c>
      <c r="B1973" s="113" t="s">
        <v>4772</v>
      </c>
      <c r="C1973" s="113">
        <v>6080028</v>
      </c>
      <c r="D1973" s="113" t="s">
        <v>3093</v>
      </c>
      <c r="E1973" s="113" t="s">
        <v>1620</v>
      </c>
      <c r="F1973" s="113" t="s">
        <v>3093</v>
      </c>
      <c r="G1973" s="113" t="s">
        <v>3093</v>
      </c>
      <c r="H1973" s="161">
        <v>0</v>
      </c>
      <c r="I1973" s="161" t="s">
        <v>7138</v>
      </c>
    </row>
    <row r="1974" spans="1:9">
      <c r="A1974" s="113">
        <v>100401688</v>
      </c>
      <c r="B1974" s="113" t="s">
        <v>4773</v>
      </c>
      <c r="C1974" s="113">
        <v>6080029</v>
      </c>
      <c r="D1974" s="113" t="s">
        <v>3093</v>
      </c>
      <c r="E1974" s="113" t="s">
        <v>1620</v>
      </c>
      <c r="F1974" s="113" t="s">
        <v>3093</v>
      </c>
      <c r="G1974" s="113" t="s">
        <v>3093</v>
      </c>
      <c r="H1974" s="161">
        <v>0</v>
      </c>
      <c r="I1974" s="161" t="s">
        <v>7138</v>
      </c>
    </row>
    <row r="1975" spans="1:9">
      <c r="A1975" s="113">
        <v>100401689</v>
      </c>
      <c r="B1975" s="113" t="s">
        <v>4774</v>
      </c>
      <c r="C1975" s="113">
        <v>6080040</v>
      </c>
      <c r="D1975" s="113" t="s">
        <v>3093</v>
      </c>
      <c r="E1975" s="113" t="s">
        <v>1620</v>
      </c>
      <c r="F1975" s="113" t="s">
        <v>3093</v>
      </c>
      <c r="G1975" s="113" t="s">
        <v>3093</v>
      </c>
      <c r="H1975" s="161">
        <v>0</v>
      </c>
      <c r="I1975" s="161" t="s">
        <v>7138</v>
      </c>
    </row>
    <row r="1976" spans="1:9">
      <c r="A1976" s="113">
        <v>100401690</v>
      </c>
      <c r="B1976" s="113" t="s">
        <v>4775</v>
      </c>
      <c r="C1976" s="113">
        <v>6080050</v>
      </c>
      <c r="D1976" s="113" t="s">
        <v>3093</v>
      </c>
      <c r="E1976" s="113" t="s">
        <v>1620</v>
      </c>
      <c r="F1976" s="113" t="s">
        <v>3093</v>
      </c>
      <c r="G1976" s="113" t="s">
        <v>3093</v>
      </c>
      <c r="H1976" s="161">
        <v>0</v>
      </c>
      <c r="I1976" s="161" t="s">
        <v>7138</v>
      </c>
    </row>
    <row r="1977" spans="1:9">
      <c r="A1977" s="113">
        <v>100401691</v>
      </c>
      <c r="B1977" s="113" t="s">
        <v>4776</v>
      </c>
      <c r="C1977" s="113">
        <v>6080051</v>
      </c>
      <c r="D1977" s="113" t="s">
        <v>3093</v>
      </c>
      <c r="E1977" s="113" t="s">
        <v>1620</v>
      </c>
      <c r="F1977" s="113" t="s">
        <v>3093</v>
      </c>
      <c r="G1977" s="113" t="s">
        <v>3093</v>
      </c>
      <c r="H1977" s="161">
        <v>0</v>
      </c>
      <c r="I1977" s="161" t="s">
        <v>7138</v>
      </c>
    </row>
    <row r="1978" spans="1:9">
      <c r="A1978" s="113">
        <v>100401692</v>
      </c>
      <c r="B1978" s="113" t="s">
        <v>2949</v>
      </c>
      <c r="C1978" s="113">
        <v>6080053</v>
      </c>
      <c r="D1978" s="113" t="s">
        <v>3093</v>
      </c>
      <c r="E1978" s="113" t="s">
        <v>1620</v>
      </c>
      <c r="F1978" s="113" t="s">
        <v>3093</v>
      </c>
      <c r="G1978" s="113" t="s">
        <v>3093</v>
      </c>
      <c r="H1978" s="161">
        <v>0</v>
      </c>
      <c r="I1978" s="161" t="s">
        <v>7138</v>
      </c>
    </row>
    <row r="1979" spans="1:9">
      <c r="A1979" s="113">
        <v>100401693</v>
      </c>
      <c r="B1979" s="113" t="s">
        <v>4777</v>
      </c>
      <c r="C1979" s="113">
        <v>6080054</v>
      </c>
      <c r="D1979" s="113" t="s">
        <v>3093</v>
      </c>
      <c r="E1979" s="113" t="s">
        <v>1620</v>
      </c>
      <c r="F1979" s="113" t="s">
        <v>3093</v>
      </c>
      <c r="G1979" s="113" t="s">
        <v>3093</v>
      </c>
      <c r="H1979" s="161">
        <v>0</v>
      </c>
      <c r="I1979" s="161" t="s">
        <v>7138</v>
      </c>
    </row>
    <row r="1980" spans="1:9">
      <c r="A1980" s="113">
        <v>100401694</v>
      </c>
      <c r="B1980" s="113" t="s">
        <v>4778</v>
      </c>
      <c r="C1980" s="113">
        <v>6080055</v>
      </c>
      <c r="D1980" s="113" t="s">
        <v>3093</v>
      </c>
      <c r="E1980" s="113" t="s">
        <v>1620</v>
      </c>
      <c r="F1980" s="113" t="s">
        <v>3093</v>
      </c>
      <c r="G1980" s="113" t="s">
        <v>3093</v>
      </c>
      <c r="H1980" s="161">
        <v>0</v>
      </c>
      <c r="I1980" s="161" t="s">
        <v>7138</v>
      </c>
    </row>
    <row r="1981" spans="1:9">
      <c r="A1981" s="113">
        <v>100401695</v>
      </c>
      <c r="B1981" s="113" t="s">
        <v>4779</v>
      </c>
      <c r="C1981" s="113">
        <v>6080056</v>
      </c>
      <c r="D1981" s="113" t="s">
        <v>3093</v>
      </c>
      <c r="E1981" s="113" t="s">
        <v>1620</v>
      </c>
      <c r="F1981" s="113" t="s">
        <v>3093</v>
      </c>
      <c r="G1981" s="113" t="s">
        <v>3093</v>
      </c>
      <c r="H1981" s="161">
        <v>0</v>
      </c>
      <c r="I1981" s="161" t="s">
        <v>7138</v>
      </c>
    </row>
    <row r="1982" spans="1:9">
      <c r="A1982" s="113">
        <v>100401696</v>
      </c>
      <c r="B1982" s="113" t="s">
        <v>4780</v>
      </c>
      <c r="C1982" s="113">
        <v>6080057</v>
      </c>
      <c r="D1982" s="113" t="s">
        <v>3093</v>
      </c>
      <c r="E1982" s="113" t="s">
        <v>1620</v>
      </c>
      <c r="F1982" s="113" t="s">
        <v>3093</v>
      </c>
      <c r="G1982" s="113" t="s">
        <v>3093</v>
      </c>
      <c r="H1982" s="161">
        <v>0</v>
      </c>
      <c r="I1982" s="161" t="s">
        <v>7138</v>
      </c>
    </row>
    <row r="1983" spans="1:9">
      <c r="A1983" s="113">
        <v>100401697</v>
      </c>
      <c r="B1983" s="113" t="s">
        <v>2950</v>
      </c>
      <c r="C1983" s="113">
        <v>6080058</v>
      </c>
      <c r="D1983" s="113" t="s">
        <v>3093</v>
      </c>
      <c r="E1983" s="113" t="s">
        <v>1620</v>
      </c>
      <c r="F1983" s="113" t="s">
        <v>3093</v>
      </c>
      <c r="G1983" s="113" t="s">
        <v>3093</v>
      </c>
      <c r="H1983" s="161">
        <v>0</v>
      </c>
      <c r="I1983" s="161" t="s">
        <v>7138</v>
      </c>
    </row>
    <row r="1984" spans="1:9">
      <c r="A1984" s="113">
        <v>100401698</v>
      </c>
      <c r="B1984" s="113" t="s">
        <v>2951</v>
      </c>
      <c r="C1984" s="113">
        <v>6080059</v>
      </c>
      <c r="D1984" s="113" t="s">
        <v>3093</v>
      </c>
      <c r="E1984" s="113" t="s">
        <v>1620</v>
      </c>
      <c r="F1984" s="113" t="s">
        <v>3093</v>
      </c>
      <c r="G1984" s="113" t="s">
        <v>3093</v>
      </c>
      <c r="H1984" s="161">
        <v>0</v>
      </c>
      <c r="I1984" s="161" t="s">
        <v>7138</v>
      </c>
    </row>
    <row r="1985" spans="1:9">
      <c r="A1985" s="113">
        <v>100401699</v>
      </c>
      <c r="B1985" s="113" t="s">
        <v>2952</v>
      </c>
      <c r="C1985" s="113">
        <v>6080060</v>
      </c>
      <c r="D1985" s="113" t="s">
        <v>3093</v>
      </c>
      <c r="E1985" s="113" t="s">
        <v>1620</v>
      </c>
      <c r="F1985" s="113" t="s">
        <v>3093</v>
      </c>
      <c r="G1985" s="113" t="s">
        <v>3093</v>
      </c>
      <c r="H1985" s="161">
        <v>0</v>
      </c>
      <c r="I1985" s="161" t="s">
        <v>7138</v>
      </c>
    </row>
    <row r="1986" spans="1:9">
      <c r="A1986" s="113">
        <v>100401700</v>
      </c>
      <c r="B1986" s="113" t="s">
        <v>4781</v>
      </c>
      <c r="C1986" s="113">
        <v>6080061</v>
      </c>
      <c r="D1986" s="113" t="s">
        <v>3093</v>
      </c>
      <c r="E1986" s="113" t="s">
        <v>1620</v>
      </c>
      <c r="F1986" s="113" t="s">
        <v>3093</v>
      </c>
      <c r="G1986" s="113" t="s">
        <v>3093</v>
      </c>
      <c r="H1986" s="161">
        <v>0</v>
      </c>
      <c r="I1986" s="161" t="s">
        <v>7138</v>
      </c>
    </row>
    <row r="1987" spans="1:9">
      <c r="A1987" s="113">
        <v>100401701</v>
      </c>
      <c r="B1987" s="113" t="s">
        <v>4782</v>
      </c>
      <c r="C1987" s="113">
        <v>6080064</v>
      </c>
      <c r="D1987" s="113" t="s">
        <v>3093</v>
      </c>
      <c r="E1987" s="113" t="s">
        <v>1620</v>
      </c>
      <c r="F1987" s="113" t="s">
        <v>3093</v>
      </c>
      <c r="G1987" s="113" t="s">
        <v>3093</v>
      </c>
      <c r="H1987" s="161">
        <v>578.33000000000004</v>
      </c>
      <c r="I1987" s="161">
        <v>6</v>
      </c>
    </row>
    <row r="1988" spans="1:9">
      <c r="A1988" s="113">
        <v>100401702</v>
      </c>
      <c r="B1988" s="113" t="s">
        <v>4783</v>
      </c>
      <c r="C1988" s="113">
        <v>6080067</v>
      </c>
      <c r="D1988" s="113" t="s">
        <v>3093</v>
      </c>
      <c r="E1988" s="113" t="s">
        <v>1620</v>
      </c>
      <c r="F1988" s="113" t="s">
        <v>3093</v>
      </c>
      <c r="G1988" s="113" t="s">
        <v>3093</v>
      </c>
      <c r="H1988" s="161">
        <v>14.69</v>
      </c>
      <c r="I1988" s="161" t="s">
        <v>7138</v>
      </c>
    </row>
    <row r="1989" spans="1:9">
      <c r="A1989" s="113">
        <v>100401703</v>
      </c>
      <c r="B1989" s="113" t="s">
        <v>4784</v>
      </c>
      <c r="C1989" s="113">
        <v>6080074</v>
      </c>
      <c r="D1989" s="113" t="s">
        <v>3093</v>
      </c>
      <c r="E1989" s="113" t="s">
        <v>1620</v>
      </c>
      <c r="F1989" s="113" t="s">
        <v>3093</v>
      </c>
      <c r="G1989" s="113" t="s">
        <v>3093</v>
      </c>
      <c r="H1989" s="161">
        <v>0</v>
      </c>
      <c r="I1989" s="161" t="s">
        <v>7138</v>
      </c>
    </row>
    <row r="1990" spans="1:9">
      <c r="A1990" s="113">
        <v>100401704</v>
      </c>
      <c r="B1990" s="113" t="s">
        <v>4785</v>
      </c>
      <c r="C1990" s="113">
        <v>6080077</v>
      </c>
      <c r="D1990" s="113" t="s">
        <v>3093</v>
      </c>
      <c r="E1990" s="113" t="s">
        <v>1620</v>
      </c>
      <c r="F1990" s="113" t="s">
        <v>3093</v>
      </c>
      <c r="G1990" s="113" t="s">
        <v>3093</v>
      </c>
      <c r="H1990" s="161">
        <v>75</v>
      </c>
      <c r="I1990" s="161">
        <v>12</v>
      </c>
    </row>
    <row r="1991" spans="1:9">
      <c r="A1991" s="113">
        <v>100401705</v>
      </c>
      <c r="B1991" s="113" t="s">
        <v>4786</v>
      </c>
      <c r="C1991" s="113">
        <v>6080078</v>
      </c>
      <c r="D1991" s="113" t="s">
        <v>3093</v>
      </c>
      <c r="E1991" s="113" t="s">
        <v>1620</v>
      </c>
      <c r="F1991" s="113" t="s">
        <v>3093</v>
      </c>
      <c r="G1991" s="113" t="s">
        <v>3093</v>
      </c>
      <c r="H1991" s="161">
        <v>189</v>
      </c>
      <c r="I1991" s="161">
        <v>24</v>
      </c>
    </row>
    <row r="1992" spans="1:9">
      <c r="A1992" s="113">
        <v>100401706</v>
      </c>
      <c r="B1992" s="113" t="s">
        <v>4787</v>
      </c>
      <c r="C1992" s="113">
        <v>6080079</v>
      </c>
      <c r="D1992" s="113" t="s">
        <v>3093</v>
      </c>
      <c r="E1992" s="113" t="s">
        <v>1620</v>
      </c>
      <c r="F1992" s="113" t="s">
        <v>3093</v>
      </c>
      <c r="G1992" s="113" t="s">
        <v>3093</v>
      </c>
      <c r="H1992" s="161">
        <v>195.27</v>
      </c>
      <c r="I1992" s="161">
        <v>2</v>
      </c>
    </row>
    <row r="1993" spans="1:9">
      <c r="A1993" s="113">
        <v>100401707</v>
      </c>
      <c r="B1993" s="113" t="s">
        <v>4788</v>
      </c>
      <c r="C1993" s="113">
        <v>6080080</v>
      </c>
      <c r="D1993" s="113" t="s">
        <v>3093</v>
      </c>
      <c r="E1993" s="113" t="s">
        <v>1620</v>
      </c>
      <c r="F1993" s="113" t="s">
        <v>3093</v>
      </c>
      <c r="G1993" s="113" t="s">
        <v>3093</v>
      </c>
      <c r="H1993" s="161">
        <v>195.27</v>
      </c>
      <c r="I1993" s="161">
        <v>2</v>
      </c>
    </row>
    <row r="1994" spans="1:9">
      <c r="A1994" s="113">
        <v>100401708</v>
      </c>
      <c r="B1994" s="113" t="s">
        <v>4789</v>
      </c>
      <c r="C1994" s="113">
        <v>6080081</v>
      </c>
      <c r="D1994" s="113" t="s">
        <v>3093</v>
      </c>
      <c r="E1994" s="113" t="s">
        <v>1620</v>
      </c>
      <c r="F1994" s="113" t="s">
        <v>3093</v>
      </c>
      <c r="G1994" s="113" t="s">
        <v>3093</v>
      </c>
      <c r="H1994" s="161">
        <v>189</v>
      </c>
      <c r="I1994" s="161">
        <v>24</v>
      </c>
    </row>
    <row r="1995" spans="1:9">
      <c r="A1995" s="113">
        <v>100401709</v>
      </c>
      <c r="B1995" s="113" t="s">
        <v>4790</v>
      </c>
      <c r="C1995" s="113">
        <v>6080082</v>
      </c>
      <c r="D1995" s="113" t="s">
        <v>3093</v>
      </c>
      <c r="E1995" s="113" t="s">
        <v>1620</v>
      </c>
      <c r="F1995" s="113" t="s">
        <v>3093</v>
      </c>
      <c r="G1995" s="113" t="s">
        <v>3093</v>
      </c>
      <c r="H1995" s="161">
        <v>280</v>
      </c>
      <c r="I1995" s="161">
        <v>36</v>
      </c>
    </row>
    <row r="1996" spans="1:9">
      <c r="A1996" s="113">
        <v>100401710</v>
      </c>
      <c r="B1996" s="113" t="s">
        <v>4791</v>
      </c>
      <c r="C1996" s="113">
        <v>6080083</v>
      </c>
      <c r="D1996" s="113" t="s">
        <v>3093</v>
      </c>
      <c r="E1996" s="113" t="s">
        <v>1620</v>
      </c>
      <c r="F1996" s="113" t="s">
        <v>3093</v>
      </c>
      <c r="G1996" s="113" t="s">
        <v>3093</v>
      </c>
      <c r="H1996" s="161">
        <v>0</v>
      </c>
      <c r="I1996" s="161" t="s">
        <v>7138</v>
      </c>
    </row>
    <row r="1997" spans="1:9">
      <c r="A1997" s="113">
        <v>100401711</v>
      </c>
      <c r="B1997" s="113" t="s">
        <v>4792</v>
      </c>
      <c r="C1997" s="113">
        <v>6080084</v>
      </c>
      <c r="D1997" s="113" t="s">
        <v>3093</v>
      </c>
      <c r="E1997" s="113" t="s">
        <v>1620</v>
      </c>
      <c r="F1997" s="113" t="s">
        <v>3093</v>
      </c>
      <c r="G1997" s="113" t="s">
        <v>3093</v>
      </c>
      <c r="H1997" s="161">
        <v>0</v>
      </c>
      <c r="I1997" s="161" t="s">
        <v>7138</v>
      </c>
    </row>
    <row r="1998" spans="1:9">
      <c r="A1998" s="113">
        <v>100401712</v>
      </c>
      <c r="B1998" s="113" t="s">
        <v>4793</v>
      </c>
      <c r="C1998" s="113">
        <v>6080085</v>
      </c>
      <c r="D1998" s="113" t="s">
        <v>3093</v>
      </c>
      <c r="E1998" s="113" t="s">
        <v>1620</v>
      </c>
      <c r="F1998" s="113" t="s">
        <v>3093</v>
      </c>
      <c r="G1998" s="113" t="s">
        <v>3093</v>
      </c>
      <c r="H1998" s="161">
        <v>0</v>
      </c>
      <c r="I1998" s="161" t="s">
        <v>7138</v>
      </c>
    </row>
    <row r="1999" spans="1:9">
      <c r="A1999" s="113">
        <v>100401713</v>
      </c>
      <c r="B1999" s="113" t="s">
        <v>4794</v>
      </c>
      <c r="C1999" s="113">
        <v>6080100</v>
      </c>
      <c r="D1999" s="113" t="s">
        <v>3093</v>
      </c>
      <c r="E1999" s="113" t="s">
        <v>1620</v>
      </c>
      <c r="F1999" s="113" t="s">
        <v>3093</v>
      </c>
      <c r="G1999" s="113" t="s">
        <v>3093</v>
      </c>
      <c r="H1999" s="161">
        <v>19.45</v>
      </c>
      <c r="I1999" s="161">
        <v>0</v>
      </c>
    </row>
    <row r="2000" spans="1:9">
      <c r="A2000" s="113">
        <v>100401714</v>
      </c>
      <c r="B2000" s="113" t="s">
        <v>4795</v>
      </c>
      <c r="C2000" s="113">
        <v>6080101</v>
      </c>
      <c r="D2000" s="113" t="s">
        <v>3093</v>
      </c>
      <c r="E2000" s="113" t="s">
        <v>1620</v>
      </c>
      <c r="F2000" s="113" t="s">
        <v>3093</v>
      </c>
      <c r="G2000" s="113" t="s">
        <v>3093</v>
      </c>
      <c r="H2000" s="161">
        <v>8.3000000000000007</v>
      </c>
      <c r="I2000" s="161">
        <v>1</v>
      </c>
    </row>
    <row r="2001" spans="1:9">
      <c r="A2001" s="113">
        <v>100401715</v>
      </c>
      <c r="B2001" s="113" t="s">
        <v>4796</v>
      </c>
      <c r="C2001" s="113">
        <v>6080102</v>
      </c>
      <c r="D2001" s="113" t="s">
        <v>3093</v>
      </c>
      <c r="E2001" s="113" t="s">
        <v>1620</v>
      </c>
      <c r="F2001" s="113" t="s">
        <v>3093</v>
      </c>
      <c r="G2001" s="113" t="s">
        <v>3093</v>
      </c>
      <c r="H2001" s="161">
        <v>2.5</v>
      </c>
      <c r="I2001" s="161">
        <v>2</v>
      </c>
    </row>
    <row r="2002" spans="1:9">
      <c r="A2002" s="113">
        <v>100401716</v>
      </c>
      <c r="B2002" s="113" t="s">
        <v>652</v>
      </c>
      <c r="C2002" s="113">
        <v>6080103</v>
      </c>
      <c r="D2002" s="113" t="s">
        <v>3093</v>
      </c>
      <c r="E2002" s="113" t="s">
        <v>1620</v>
      </c>
      <c r="F2002" s="113" t="s">
        <v>3093</v>
      </c>
      <c r="G2002" s="113" t="s">
        <v>3093</v>
      </c>
      <c r="H2002" s="161">
        <v>12.39</v>
      </c>
      <c r="I2002" s="161">
        <v>2</v>
      </c>
    </row>
    <row r="2003" spans="1:9">
      <c r="A2003" s="113">
        <v>100401717</v>
      </c>
      <c r="B2003" s="113" t="s">
        <v>4797</v>
      </c>
      <c r="C2003" s="113">
        <v>6080104</v>
      </c>
      <c r="D2003" s="113" t="s">
        <v>3093</v>
      </c>
      <c r="E2003" s="113" t="s">
        <v>1620</v>
      </c>
      <c r="F2003" s="113" t="s">
        <v>3093</v>
      </c>
      <c r="G2003" s="113" t="s">
        <v>3093</v>
      </c>
      <c r="H2003" s="161">
        <v>80</v>
      </c>
      <c r="I2003" s="161">
        <v>5</v>
      </c>
    </row>
    <row r="2004" spans="1:9">
      <c r="A2004" s="113">
        <v>100401718</v>
      </c>
      <c r="B2004" s="113" t="s">
        <v>4798</v>
      </c>
      <c r="C2004" s="113">
        <v>6080105</v>
      </c>
      <c r="D2004" s="113" t="s">
        <v>3093</v>
      </c>
      <c r="E2004" s="113" t="s">
        <v>1620</v>
      </c>
      <c r="F2004" s="113" t="s">
        <v>3093</v>
      </c>
      <c r="G2004" s="113" t="s">
        <v>3093</v>
      </c>
      <c r="H2004" s="161">
        <v>160</v>
      </c>
      <c r="I2004" s="161">
        <v>10</v>
      </c>
    </row>
    <row r="2005" spans="1:9">
      <c r="A2005" s="113">
        <v>100401719</v>
      </c>
      <c r="B2005" s="113" t="s">
        <v>4799</v>
      </c>
      <c r="C2005" s="113">
        <v>6080106</v>
      </c>
      <c r="D2005" s="113" t="s">
        <v>3093</v>
      </c>
      <c r="E2005" s="113" t="s">
        <v>1620</v>
      </c>
      <c r="F2005" s="113" t="s">
        <v>3093</v>
      </c>
      <c r="G2005" s="113" t="s">
        <v>3093</v>
      </c>
      <c r="H2005" s="161">
        <v>0</v>
      </c>
      <c r="I2005" s="161" t="s">
        <v>7138</v>
      </c>
    </row>
    <row r="2006" spans="1:9">
      <c r="A2006" s="113">
        <v>100401720</v>
      </c>
      <c r="B2006" s="113" t="s">
        <v>2953</v>
      </c>
      <c r="C2006" s="113">
        <v>6081021</v>
      </c>
      <c r="D2006" s="113" t="s">
        <v>3093</v>
      </c>
      <c r="E2006" s="113" t="s">
        <v>1620</v>
      </c>
      <c r="F2006" s="113" t="s">
        <v>3093</v>
      </c>
      <c r="G2006" s="113" t="s">
        <v>3093</v>
      </c>
      <c r="H2006" s="161">
        <v>29</v>
      </c>
      <c r="I2006" s="161">
        <v>3</v>
      </c>
    </row>
    <row r="2007" spans="1:9">
      <c r="A2007" s="113">
        <v>100401721</v>
      </c>
      <c r="B2007" s="113" t="s">
        <v>4800</v>
      </c>
      <c r="C2007" s="113">
        <v>6081022</v>
      </c>
      <c r="D2007" s="113" t="s">
        <v>3093</v>
      </c>
      <c r="E2007" s="113" t="s">
        <v>1620</v>
      </c>
      <c r="F2007" s="113" t="s">
        <v>3093</v>
      </c>
      <c r="G2007" s="113" t="s">
        <v>3093</v>
      </c>
      <c r="H2007" s="161">
        <v>17.149999999999999</v>
      </c>
      <c r="I2007" s="161">
        <v>3</v>
      </c>
    </row>
    <row r="2008" spans="1:9">
      <c r="A2008" s="113">
        <v>100401722</v>
      </c>
      <c r="B2008" s="113" t="s">
        <v>4801</v>
      </c>
      <c r="C2008" s="113">
        <v>6081023</v>
      </c>
      <c r="D2008" s="113" t="s">
        <v>3093</v>
      </c>
      <c r="E2008" s="113" t="s">
        <v>1620</v>
      </c>
      <c r="F2008" s="113" t="s">
        <v>3093</v>
      </c>
      <c r="G2008" s="113" t="s">
        <v>3093</v>
      </c>
      <c r="H2008" s="161">
        <v>0</v>
      </c>
      <c r="I2008" s="161" t="s">
        <v>7138</v>
      </c>
    </row>
    <row r="2009" spans="1:9">
      <c r="A2009" s="113">
        <v>100401723</v>
      </c>
      <c r="B2009" s="113" t="s">
        <v>4802</v>
      </c>
      <c r="C2009" s="113">
        <v>6081024</v>
      </c>
      <c r="D2009" s="113" t="s">
        <v>3093</v>
      </c>
      <c r="E2009" s="113" t="s">
        <v>1620</v>
      </c>
      <c r="F2009" s="113" t="s">
        <v>3093</v>
      </c>
      <c r="G2009" s="113" t="s">
        <v>3093</v>
      </c>
      <c r="H2009" s="161">
        <v>0</v>
      </c>
      <c r="I2009" s="161" t="s">
        <v>7138</v>
      </c>
    </row>
    <row r="2010" spans="1:9">
      <c r="A2010" s="113">
        <v>100401724</v>
      </c>
      <c r="B2010" s="113" t="s">
        <v>2954</v>
      </c>
      <c r="C2010" s="113">
        <v>6081025</v>
      </c>
      <c r="D2010" s="113" t="s">
        <v>3093</v>
      </c>
      <c r="E2010" s="113" t="s">
        <v>1620</v>
      </c>
      <c r="F2010" s="113" t="s">
        <v>3093</v>
      </c>
      <c r="G2010" s="113" t="s">
        <v>3093</v>
      </c>
      <c r="H2010" s="161">
        <v>0</v>
      </c>
      <c r="I2010" s="161" t="s">
        <v>7138</v>
      </c>
    </row>
    <row r="2011" spans="1:9">
      <c r="A2011" s="113">
        <v>100401725</v>
      </c>
      <c r="B2011" s="113" t="s">
        <v>4803</v>
      </c>
      <c r="C2011" s="113">
        <v>6081026</v>
      </c>
      <c r="D2011" s="113" t="s">
        <v>3093</v>
      </c>
      <c r="E2011" s="113" t="s">
        <v>1620</v>
      </c>
      <c r="F2011" s="113" t="s">
        <v>3093</v>
      </c>
      <c r="G2011" s="113" t="s">
        <v>3093</v>
      </c>
      <c r="H2011" s="161">
        <v>0</v>
      </c>
      <c r="I2011" s="161" t="s">
        <v>7138</v>
      </c>
    </row>
    <row r="2012" spans="1:9">
      <c r="A2012" s="113">
        <v>100401726</v>
      </c>
      <c r="B2012" s="113" t="s">
        <v>4804</v>
      </c>
      <c r="C2012" s="113">
        <v>6081027</v>
      </c>
      <c r="D2012" s="113" t="s">
        <v>3093</v>
      </c>
      <c r="E2012" s="113" t="s">
        <v>1620</v>
      </c>
      <c r="F2012" s="113" t="s">
        <v>3093</v>
      </c>
      <c r="G2012" s="113" t="s">
        <v>3093</v>
      </c>
      <c r="H2012" s="161">
        <v>0</v>
      </c>
      <c r="I2012" s="161" t="s">
        <v>7138</v>
      </c>
    </row>
    <row r="2013" spans="1:9">
      <c r="A2013" s="113">
        <v>100401727</v>
      </c>
      <c r="B2013" s="113" t="s">
        <v>4805</v>
      </c>
      <c r="C2013" s="113">
        <v>6081028</v>
      </c>
      <c r="D2013" s="113" t="s">
        <v>3093</v>
      </c>
      <c r="E2013" s="113" t="s">
        <v>1620</v>
      </c>
      <c r="F2013" s="113" t="s">
        <v>3093</v>
      </c>
      <c r="G2013" s="113" t="s">
        <v>3093</v>
      </c>
      <c r="H2013" s="161">
        <v>0</v>
      </c>
      <c r="I2013" s="161" t="s">
        <v>7138</v>
      </c>
    </row>
    <row r="2014" spans="1:9">
      <c r="A2014" s="113">
        <v>100401728</v>
      </c>
      <c r="B2014" s="113" t="s">
        <v>4806</v>
      </c>
      <c r="C2014" s="113">
        <v>6081038</v>
      </c>
      <c r="D2014" s="113" t="s">
        <v>3093</v>
      </c>
      <c r="E2014" s="113" t="s">
        <v>1620</v>
      </c>
      <c r="F2014" s="113" t="s">
        <v>3093</v>
      </c>
      <c r="G2014" s="113" t="s">
        <v>3093</v>
      </c>
      <c r="H2014" s="161">
        <v>0</v>
      </c>
      <c r="I2014" s="161" t="s">
        <v>7138</v>
      </c>
    </row>
    <row r="2015" spans="1:9">
      <c r="A2015" s="113">
        <v>100401729</v>
      </c>
      <c r="B2015" s="113" t="s">
        <v>4807</v>
      </c>
      <c r="C2015" s="113">
        <v>6081039</v>
      </c>
      <c r="D2015" s="113" t="s">
        <v>3093</v>
      </c>
      <c r="E2015" s="113" t="s">
        <v>1620</v>
      </c>
      <c r="F2015" s="113" t="s">
        <v>3093</v>
      </c>
      <c r="G2015" s="113" t="s">
        <v>3093</v>
      </c>
      <c r="H2015" s="161">
        <v>0</v>
      </c>
      <c r="I2015" s="161" t="s">
        <v>7138</v>
      </c>
    </row>
    <row r="2016" spans="1:9">
      <c r="A2016" s="113">
        <v>100401730</v>
      </c>
      <c r="B2016" s="113" t="s">
        <v>4808</v>
      </c>
      <c r="C2016" s="113">
        <v>6081040</v>
      </c>
      <c r="D2016" s="113" t="s">
        <v>3093</v>
      </c>
      <c r="E2016" s="113" t="s">
        <v>1620</v>
      </c>
      <c r="F2016" s="113" t="s">
        <v>3093</v>
      </c>
      <c r="G2016" s="113" t="s">
        <v>3093</v>
      </c>
      <c r="H2016" s="161">
        <v>0</v>
      </c>
      <c r="I2016" s="161" t="s">
        <v>7138</v>
      </c>
    </row>
    <row r="2017" spans="1:9">
      <c r="A2017" s="113">
        <v>100401731</v>
      </c>
      <c r="B2017" s="113" t="s">
        <v>4809</v>
      </c>
      <c r="C2017" s="113">
        <v>6081041</v>
      </c>
      <c r="D2017" s="113" t="s">
        <v>3093</v>
      </c>
      <c r="E2017" s="113" t="s">
        <v>1620</v>
      </c>
      <c r="F2017" s="113" t="s">
        <v>3093</v>
      </c>
      <c r="G2017" s="113" t="s">
        <v>3093</v>
      </c>
      <c r="H2017" s="161">
        <v>0</v>
      </c>
      <c r="I2017" s="161" t="s">
        <v>7138</v>
      </c>
    </row>
    <row r="2018" spans="1:9">
      <c r="A2018" s="113">
        <v>100401732</v>
      </c>
      <c r="B2018" s="113" t="s">
        <v>4810</v>
      </c>
      <c r="C2018" s="113">
        <v>6081042</v>
      </c>
      <c r="D2018" s="113" t="s">
        <v>3093</v>
      </c>
      <c r="E2018" s="113" t="s">
        <v>1620</v>
      </c>
      <c r="F2018" s="113" t="s">
        <v>3093</v>
      </c>
      <c r="G2018" s="113" t="s">
        <v>3093</v>
      </c>
      <c r="H2018" s="161">
        <v>0</v>
      </c>
      <c r="I2018" s="161" t="s">
        <v>7138</v>
      </c>
    </row>
    <row r="2019" spans="1:9">
      <c r="A2019" s="113">
        <v>100401733</v>
      </c>
      <c r="B2019" s="113" t="s">
        <v>2955</v>
      </c>
      <c r="C2019" s="113">
        <v>6081043</v>
      </c>
      <c r="D2019" s="113" t="s">
        <v>3093</v>
      </c>
      <c r="E2019" s="113" t="s">
        <v>1620</v>
      </c>
      <c r="F2019" s="113" t="s">
        <v>3093</v>
      </c>
      <c r="G2019" s="113" t="s">
        <v>3093</v>
      </c>
      <c r="H2019" s="161">
        <v>0</v>
      </c>
      <c r="I2019" s="161" t="s">
        <v>7138</v>
      </c>
    </row>
    <row r="2020" spans="1:9">
      <c r="A2020" s="113">
        <v>100401734</v>
      </c>
      <c r="B2020" s="113" t="s">
        <v>4811</v>
      </c>
      <c r="C2020" s="113">
        <v>6081044</v>
      </c>
      <c r="D2020" s="113" t="s">
        <v>3093</v>
      </c>
      <c r="E2020" s="113" t="s">
        <v>1620</v>
      </c>
      <c r="F2020" s="113" t="s">
        <v>3093</v>
      </c>
      <c r="G2020" s="113" t="s">
        <v>3093</v>
      </c>
      <c r="H2020" s="161">
        <v>0</v>
      </c>
      <c r="I2020" s="161" t="s">
        <v>7138</v>
      </c>
    </row>
    <row r="2021" spans="1:9">
      <c r="A2021" s="113">
        <v>100401735</v>
      </c>
      <c r="B2021" s="113" t="s">
        <v>4812</v>
      </c>
      <c r="C2021" s="113">
        <v>6081045</v>
      </c>
      <c r="D2021" s="113" t="s">
        <v>3093</v>
      </c>
      <c r="E2021" s="113" t="s">
        <v>1620</v>
      </c>
      <c r="F2021" s="113" t="s">
        <v>3093</v>
      </c>
      <c r="G2021" s="113" t="s">
        <v>3093</v>
      </c>
      <c r="H2021" s="161">
        <v>0</v>
      </c>
      <c r="I2021" s="161" t="s">
        <v>7138</v>
      </c>
    </row>
    <row r="2022" spans="1:9">
      <c r="A2022" s="113">
        <v>100401736</v>
      </c>
      <c r="B2022" s="113" t="s">
        <v>2956</v>
      </c>
      <c r="C2022" s="113">
        <v>6081046</v>
      </c>
      <c r="D2022" s="113" t="s">
        <v>3093</v>
      </c>
      <c r="E2022" s="113" t="s">
        <v>1620</v>
      </c>
      <c r="F2022" s="113" t="s">
        <v>3093</v>
      </c>
      <c r="G2022" s="113" t="s">
        <v>3093</v>
      </c>
      <c r="H2022" s="161">
        <v>0</v>
      </c>
      <c r="I2022" s="161" t="s">
        <v>7138</v>
      </c>
    </row>
    <row r="2023" spans="1:9">
      <c r="A2023" s="113">
        <v>100401737</v>
      </c>
      <c r="B2023" s="113" t="s">
        <v>4813</v>
      </c>
      <c r="C2023" s="113">
        <v>6081047</v>
      </c>
      <c r="D2023" s="113" t="s">
        <v>3093</v>
      </c>
      <c r="E2023" s="113" t="s">
        <v>1620</v>
      </c>
      <c r="F2023" s="113" t="s">
        <v>3093</v>
      </c>
      <c r="G2023" s="113" t="s">
        <v>3093</v>
      </c>
      <c r="H2023" s="161">
        <v>0</v>
      </c>
      <c r="I2023" s="161" t="s">
        <v>7138</v>
      </c>
    </row>
    <row r="2024" spans="1:9">
      <c r="A2024" s="113">
        <v>100401738</v>
      </c>
      <c r="B2024" s="113" t="s">
        <v>4814</v>
      </c>
      <c r="C2024" s="113">
        <v>6081048</v>
      </c>
      <c r="D2024" s="113" t="s">
        <v>3093</v>
      </c>
      <c r="E2024" s="113" t="s">
        <v>1620</v>
      </c>
      <c r="F2024" s="113" t="s">
        <v>3093</v>
      </c>
      <c r="G2024" s="113" t="s">
        <v>3093</v>
      </c>
      <c r="H2024" s="161">
        <v>0</v>
      </c>
      <c r="I2024" s="161" t="s">
        <v>7138</v>
      </c>
    </row>
    <row r="2025" spans="1:9">
      <c r="A2025" s="113">
        <v>100401739</v>
      </c>
      <c r="B2025" s="113" t="s">
        <v>4815</v>
      </c>
      <c r="C2025" s="113">
        <v>6081049</v>
      </c>
      <c r="D2025" s="113" t="s">
        <v>3093</v>
      </c>
      <c r="E2025" s="113" t="s">
        <v>1620</v>
      </c>
      <c r="F2025" s="113" t="s">
        <v>3093</v>
      </c>
      <c r="G2025" s="113" t="s">
        <v>3093</v>
      </c>
      <c r="H2025" s="161">
        <v>0</v>
      </c>
      <c r="I2025" s="161" t="s">
        <v>7138</v>
      </c>
    </row>
    <row r="2026" spans="1:9">
      <c r="A2026" s="113">
        <v>100401740</v>
      </c>
      <c r="B2026" s="113" t="s">
        <v>4816</v>
      </c>
      <c r="C2026" s="113">
        <v>6081050</v>
      </c>
      <c r="D2026" s="113" t="s">
        <v>3093</v>
      </c>
      <c r="E2026" s="113" t="s">
        <v>1620</v>
      </c>
      <c r="F2026" s="113" t="s">
        <v>3093</v>
      </c>
      <c r="G2026" s="113" t="s">
        <v>3093</v>
      </c>
      <c r="H2026" s="161">
        <v>0</v>
      </c>
      <c r="I2026" s="161" t="s">
        <v>7138</v>
      </c>
    </row>
    <row r="2027" spans="1:9">
      <c r="A2027" s="113">
        <v>100401741</v>
      </c>
      <c r="B2027" s="113" t="s">
        <v>4817</v>
      </c>
      <c r="C2027" s="113">
        <v>6081051</v>
      </c>
      <c r="D2027" s="113" t="s">
        <v>3093</v>
      </c>
      <c r="E2027" s="113" t="s">
        <v>1620</v>
      </c>
      <c r="F2027" s="113" t="s">
        <v>3093</v>
      </c>
      <c r="G2027" s="113" t="s">
        <v>3093</v>
      </c>
      <c r="H2027" s="161">
        <v>0</v>
      </c>
      <c r="I2027" s="161" t="s">
        <v>7138</v>
      </c>
    </row>
    <row r="2028" spans="1:9">
      <c r="A2028" s="113">
        <v>100401742</v>
      </c>
      <c r="B2028" s="113" t="s">
        <v>4818</v>
      </c>
      <c r="C2028" s="113">
        <v>6081052</v>
      </c>
      <c r="D2028" s="113" t="s">
        <v>3093</v>
      </c>
      <c r="E2028" s="113" t="s">
        <v>1620</v>
      </c>
      <c r="F2028" s="113" t="s">
        <v>3093</v>
      </c>
      <c r="G2028" s="113" t="s">
        <v>3093</v>
      </c>
      <c r="H2028" s="161">
        <v>0</v>
      </c>
      <c r="I2028" s="161" t="s">
        <v>7138</v>
      </c>
    </row>
    <row r="2029" spans="1:9">
      <c r="A2029" s="113">
        <v>100401743</v>
      </c>
      <c r="B2029" s="113" t="s">
        <v>4819</v>
      </c>
      <c r="C2029" s="113">
        <v>6081054</v>
      </c>
      <c r="D2029" s="113" t="s">
        <v>3093</v>
      </c>
      <c r="E2029" s="113" t="s">
        <v>1620</v>
      </c>
      <c r="F2029" s="113" t="s">
        <v>3093</v>
      </c>
      <c r="G2029" s="113" t="s">
        <v>3093</v>
      </c>
      <c r="H2029" s="161">
        <v>300</v>
      </c>
      <c r="I2029" s="161">
        <v>2</v>
      </c>
    </row>
    <row r="2030" spans="1:9">
      <c r="A2030" s="113">
        <v>100401744</v>
      </c>
      <c r="B2030" s="113" t="s">
        <v>4820</v>
      </c>
      <c r="C2030" s="113">
        <v>6081055</v>
      </c>
      <c r="D2030" s="113" t="s">
        <v>3093</v>
      </c>
      <c r="E2030" s="113" t="s">
        <v>1620</v>
      </c>
      <c r="F2030" s="113" t="s">
        <v>3093</v>
      </c>
      <c r="G2030" s="113" t="s">
        <v>3093</v>
      </c>
      <c r="H2030" s="161">
        <v>300</v>
      </c>
      <c r="I2030" s="161">
        <v>2</v>
      </c>
    </row>
    <row r="2031" spans="1:9">
      <c r="A2031" s="113">
        <v>100401745</v>
      </c>
      <c r="B2031" s="113" t="s">
        <v>4821</v>
      </c>
      <c r="C2031" s="113">
        <v>6081056</v>
      </c>
      <c r="D2031" s="113" t="s">
        <v>3093</v>
      </c>
      <c r="E2031" s="113" t="s">
        <v>1620</v>
      </c>
      <c r="F2031" s="113" t="s">
        <v>3093</v>
      </c>
      <c r="G2031" s="113" t="s">
        <v>3093</v>
      </c>
      <c r="H2031" s="161">
        <v>110</v>
      </c>
      <c r="I2031" s="161">
        <v>1</v>
      </c>
    </row>
    <row r="2032" spans="1:9">
      <c r="A2032" s="113">
        <v>100401746</v>
      </c>
      <c r="B2032" s="113" t="s">
        <v>4822</v>
      </c>
      <c r="C2032" s="113">
        <v>6081057</v>
      </c>
      <c r="D2032" s="113" t="s">
        <v>3093</v>
      </c>
      <c r="E2032" s="113" t="s">
        <v>1620</v>
      </c>
      <c r="F2032" s="113" t="s">
        <v>3093</v>
      </c>
      <c r="G2032" s="113" t="s">
        <v>3093</v>
      </c>
      <c r="H2032" s="161">
        <v>110</v>
      </c>
      <c r="I2032" s="161">
        <v>2</v>
      </c>
    </row>
    <row r="2033" spans="1:9">
      <c r="A2033" s="113">
        <v>100401747</v>
      </c>
      <c r="B2033" s="113" t="s">
        <v>4823</v>
      </c>
      <c r="C2033" s="113">
        <v>6081058</v>
      </c>
      <c r="D2033" s="113" t="s">
        <v>3093</v>
      </c>
      <c r="E2033" s="113" t="s">
        <v>1620</v>
      </c>
      <c r="F2033" s="113" t="s">
        <v>3093</v>
      </c>
      <c r="G2033" s="113" t="s">
        <v>3093</v>
      </c>
      <c r="H2033" s="161">
        <v>75.5</v>
      </c>
      <c r="I2033" s="161">
        <v>2</v>
      </c>
    </row>
    <row r="2034" spans="1:9">
      <c r="A2034" s="113">
        <v>100401748</v>
      </c>
      <c r="B2034" s="113" t="s">
        <v>4824</v>
      </c>
      <c r="C2034" s="113">
        <v>6081059</v>
      </c>
      <c r="D2034" s="113" t="s">
        <v>3093</v>
      </c>
      <c r="E2034" s="113" t="s">
        <v>1620</v>
      </c>
      <c r="F2034" s="113" t="s">
        <v>3093</v>
      </c>
      <c r="G2034" s="113" t="s">
        <v>3093</v>
      </c>
      <c r="H2034" s="161">
        <v>66</v>
      </c>
      <c r="I2034" s="161">
        <v>2</v>
      </c>
    </row>
    <row r="2035" spans="1:9">
      <c r="A2035" s="113">
        <v>100401749</v>
      </c>
      <c r="B2035" s="113" t="s">
        <v>4825</v>
      </c>
      <c r="C2035" s="113">
        <v>6081060</v>
      </c>
      <c r="D2035" s="113" t="s">
        <v>3093</v>
      </c>
      <c r="E2035" s="113" t="s">
        <v>1620</v>
      </c>
      <c r="F2035" s="113" t="s">
        <v>3093</v>
      </c>
      <c r="G2035" s="113" t="s">
        <v>3093</v>
      </c>
      <c r="H2035" s="161">
        <v>66</v>
      </c>
      <c r="I2035" s="161">
        <v>2</v>
      </c>
    </row>
    <row r="2036" spans="1:9">
      <c r="A2036" s="113">
        <v>100401750</v>
      </c>
      <c r="B2036" s="113" t="s">
        <v>4826</v>
      </c>
      <c r="C2036" s="113">
        <v>6081061</v>
      </c>
      <c r="D2036" s="113" t="s">
        <v>3093</v>
      </c>
      <c r="E2036" s="113" t="s">
        <v>1620</v>
      </c>
      <c r="F2036" s="113" t="s">
        <v>3093</v>
      </c>
      <c r="G2036" s="113" t="s">
        <v>3093</v>
      </c>
      <c r="H2036" s="161">
        <v>0</v>
      </c>
      <c r="I2036" s="161" t="s">
        <v>7138</v>
      </c>
    </row>
    <row r="2037" spans="1:9">
      <c r="A2037" s="113">
        <v>100401751</v>
      </c>
      <c r="B2037" s="113" t="s">
        <v>4827</v>
      </c>
      <c r="C2037" s="113">
        <v>6081062</v>
      </c>
      <c r="D2037" s="113" t="s">
        <v>3093</v>
      </c>
      <c r="E2037" s="113" t="s">
        <v>1620</v>
      </c>
      <c r="F2037" s="113" t="s">
        <v>3093</v>
      </c>
      <c r="G2037" s="113" t="s">
        <v>3093</v>
      </c>
      <c r="H2037" s="161">
        <v>7.91</v>
      </c>
      <c r="I2037" s="161">
        <v>0</v>
      </c>
    </row>
    <row r="2038" spans="1:9">
      <c r="A2038" s="113">
        <v>100401752</v>
      </c>
      <c r="B2038" s="113" t="s">
        <v>4828</v>
      </c>
      <c r="C2038" s="113">
        <v>6081063</v>
      </c>
      <c r="D2038" s="113" t="s">
        <v>3093</v>
      </c>
      <c r="E2038" s="113" t="s">
        <v>1620</v>
      </c>
      <c r="F2038" s="113" t="s">
        <v>3093</v>
      </c>
      <c r="G2038" s="113" t="s">
        <v>3093</v>
      </c>
      <c r="H2038" s="161">
        <v>8.48</v>
      </c>
      <c r="I2038" s="161">
        <v>0</v>
      </c>
    </row>
    <row r="2039" spans="1:9">
      <c r="A2039" s="113">
        <v>100401753</v>
      </c>
      <c r="B2039" s="113" t="s">
        <v>4829</v>
      </c>
      <c r="C2039" s="113">
        <v>6081064</v>
      </c>
      <c r="D2039" s="113" t="s">
        <v>3093</v>
      </c>
      <c r="E2039" s="113" t="s">
        <v>1620</v>
      </c>
      <c r="F2039" s="113" t="s">
        <v>3093</v>
      </c>
      <c r="G2039" s="113" t="s">
        <v>3093</v>
      </c>
      <c r="H2039" s="161">
        <v>18.97</v>
      </c>
      <c r="I2039" s="161">
        <v>8</v>
      </c>
    </row>
    <row r="2040" spans="1:9">
      <c r="A2040" s="113">
        <v>100401754</v>
      </c>
      <c r="B2040" s="113" t="s">
        <v>4830</v>
      </c>
      <c r="C2040" s="113">
        <v>6081065</v>
      </c>
      <c r="D2040" s="113" t="s">
        <v>3093</v>
      </c>
      <c r="E2040" s="113" t="s">
        <v>1620</v>
      </c>
      <c r="F2040" s="113" t="s">
        <v>3093</v>
      </c>
      <c r="G2040" s="113" t="s">
        <v>3093</v>
      </c>
      <c r="H2040" s="161">
        <v>23.07</v>
      </c>
      <c r="I2040" s="161">
        <v>10</v>
      </c>
    </row>
    <row r="2041" spans="1:9">
      <c r="A2041" s="113">
        <v>100401755</v>
      </c>
      <c r="B2041" s="113" t="s">
        <v>4831</v>
      </c>
      <c r="C2041" s="113">
        <v>6081066</v>
      </c>
      <c r="D2041" s="113" t="s">
        <v>3093</v>
      </c>
      <c r="E2041" s="113" t="s">
        <v>1620</v>
      </c>
      <c r="F2041" s="113" t="s">
        <v>3093</v>
      </c>
      <c r="G2041" s="113" t="s">
        <v>3093</v>
      </c>
      <c r="H2041" s="161">
        <v>9.0399999999999991</v>
      </c>
      <c r="I2041" s="161">
        <v>0</v>
      </c>
    </row>
    <row r="2042" spans="1:9">
      <c r="A2042" s="113">
        <v>100401756</v>
      </c>
      <c r="B2042" s="113" t="s">
        <v>4832</v>
      </c>
      <c r="C2042" s="113">
        <v>6081067</v>
      </c>
      <c r="D2042" s="113" t="s">
        <v>3093</v>
      </c>
      <c r="E2042" s="113" t="s">
        <v>1620</v>
      </c>
      <c r="F2042" s="113" t="s">
        <v>3093</v>
      </c>
      <c r="G2042" s="113" t="s">
        <v>3093</v>
      </c>
      <c r="H2042" s="161">
        <v>0</v>
      </c>
      <c r="I2042" s="161" t="s">
        <v>7138</v>
      </c>
    </row>
    <row r="2043" spans="1:9">
      <c r="A2043" s="113">
        <v>100401757</v>
      </c>
      <c r="B2043" s="113" t="s">
        <v>2957</v>
      </c>
      <c r="C2043" s="113">
        <v>6081070</v>
      </c>
      <c r="D2043" s="113" t="s">
        <v>3093</v>
      </c>
      <c r="E2043" s="113" t="s">
        <v>1620</v>
      </c>
      <c r="F2043" s="113" t="s">
        <v>3093</v>
      </c>
      <c r="G2043" s="113" t="s">
        <v>3093</v>
      </c>
      <c r="H2043" s="161">
        <v>16.48</v>
      </c>
      <c r="I2043" s="161">
        <v>10</v>
      </c>
    </row>
    <row r="2044" spans="1:9">
      <c r="A2044" s="113">
        <v>100401758</v>
      </c>
      <c r="B2044" s="113" t="s">
        <v>4833</v>
      </c>
      <c r="C2044" s="113">
        <v>6081071</v>
      </c>
      <c r="D2044" s="113" t="s">
        <v>3093</v>
      </c>
      <c r="E2044" s="113" t="s">
        <v>1620</v>
      </c>
      <c r="F2044" s="113" t="s">
        <v>3093</v>
      </c>
      <c r="G2044" s="113" t="s">
        <v>3093</v>
      </c>
      <c r="H2044" s="161">
        <v>16.48</v>
      </c>
      <c r="I2044" s="161">
        <v>4</v>
      </c>
    </row>
    <row r="2045" spans="1:9">
      <c r="A2045" s="113">
        <v>100401759</v>
      </c>
      <c r="B2045" s="113" t="s">
        <v>4834</v>
      </c>
      <c r="C2045" s="113">
        <v>6082010</v>
      </c>
      <c r="D2045" s="113" t="s">
        <v>3093</v>
      </c>
      <c r="E2045" s="113" t="s">
        <v>1620</v>
      </c>
      <c r="F2045" s="113" t="s">
        <v>3093</v>
      </c>
      <c r="G2045" s="113" t="s">
        <v>3093</v>
      </c>
      <c r="H2045" s="161">
        <v>583.70000000000005</v>
      </c>
      <c r="I2045" s="161">
        <v>0</v>
      </c>
    </row>
    <row r="2046" spans="1:9">
      <c r="A2046" s="113">
        <v>100401760</v>
      </c>
      <c r="B2046" s="113" t="s">
        <v>4835</v>
      </c>
      <c r="C2046" s="113">
        <v>6082011</v>
      </c>
      <c r="D2046" s="113" t="s">
        <v>3093</v>
      </c>
      <c r="E2046" s="113" t="s">
        <v>1620</v>
      </c>
      <c r="F2046" s="113" t="s">
        <v>3093</v>
      </c>
      <c r="G2046" s="113" t="s">
        <v>3093</v>
      </c>
      <c r="H2046" s="161">
        <v>9.99</v>
      </c>
      <c r="I2046" s="161">
        <v>2</v>
      </c>
    </row>
    <row r="2047" spans="1:9">
      <c r="A2047" s="113">
        <v>100401761</v>
      </c>
      <c r="B2047" s="113" t="s">
        <v>4836</v>
      </c>
      <c r="C2047" s="113">
        <v>6082012</v>
      </c>
      <c r="D2047" s="113" t="s">
        <v>3093</v>
      </c>
      <c r="E2047" s="113" t="s">
        <v>1620</v>
      </c>
      <c r="F2047" s="113" t="s">
        <v>3093</v>
      </c>
      <c r="G2047" s="113" t="s">
        <v>3093</v>
      </c>
      <c r="H2047" s="161">
        <v>0</v>
      </c>
      <c r="I2047" s="161" t="s">
        <v>7138</v>
      </c>
    </row>
    <row r="2048" spans="1:9">
      <c r="A2048" s="113">
        <v>100401762</v>
      </c>
      <c r="B2048" s="113" t="s">
        <v>4837</v>
      </c>
      <c r="C2048" s="113">
        <v>6082013</v>
      </c>
      <c r="D2048" s="113" t="s">
        <v>3093</v>
      </c>
      <c r="E2048" s="113" t="s">
        <v>1620</v>
      </c>
      <c r="F2048" s="113" t="s">
        <v>3093</v>
      </c>
      <c r="G2048" s="113" t="s">
        <v>3093</v>
      </c>
      <c r="H2048" s="161">
        <v>0</v>
      </c>
      <c r="I2048" s="161" t="s">
        <v>7138</v>
      </c>
    </row>
    <row r="2049" spans="1:9">
      <c r="A2049" s="113">
        <v>100401763</v>
      </c>
      <c r="B2049" s="113" t="s">
        <v>4838</v>
      </c>
      <c r="C2049" s="113">
        <v>6082014</v>
      </c>
      <c r="D2049" s="113" t="s">
        <v>3093</v>
      </c>
      <c r="E2049" s="113" t="s">
        <v>1620</v>
      </c>
      <c r="F2049" s="113" t="s">
        <v>3093</v>
      </c>
      <c r="G2049" s="113" t="s">
        <v>3093</v>
      </c>
      <c r="H2049" s="161">
        <v>0</v>
      </c>
      <c r="I2049" s="161" t="s">
        <v>7138</v>
      </c>
    </row>
    <row r="2050" spans="1:9">
      <c r="A2050" s="113">
        <v>100401764</v>
      </c>
      <c r="B2050" s="113" t="s">
        <v>4839</v>
      </c>
      <c r="C2050" s="113">
        <v>6082015</v>
      </c>
      <c r="D2050" s="113" t="s">
        <v>3093</v>
      </c>
      <c r="E2050" s="113" t="s">
        <v>1620</v>
      </c>
      <c r="F2050" s="113" t="s">
        <v>3093</v>
      </c>
      <c r="G2050" s="113" t="s">
        <v>3093</v>
      </c>
      <c r="H2050" s="161">
        <v>0</v>
      </c>
      <c r="I2050" s="161" t="s">
        <v>7138</v>
      </c>
    </row>
    <row r="2051" spans="1:9">
      <c r="A2051" s="113">
        <v>100401765</v>
      </c>
      <c r="B2051" s="113" t="s">
        <v>4840</v>
      </c>
      <c r="C2051" s="113">
        <v>6082016</v>
      </c>
      <c r="D2051" s="113" t="s">
        <v>3093</v>
      </c>
      <c r="E2051" s="113" t="s">
        <v>1620</v>
      </c>
      <c r="F2051" s="113" t="s">
        <v>3093</v>
      </c>
      <c r="G2051" s="113" t="s">
        <v>3093</v>
      </c>
      <c r="H2051" s="161">
        <v>1150</v>
      </c>
      <c r="I2051" s="161">
        <v>2</v>
      </c>
    </row>
    <row r="2052" spans="1:9">
      <c r="A2052" s="113">
        <v>100401766</v>
      </c>
      <c r="B2052" s="113" t="s">
        <v>4841</v>
      </c>
      <c r="C2052" s="113">
        <v>6082017</v>
      </c>
      <c r="D2052" s="113" t="s">
        <v>3093</v>
      </c>
      <c r="E2052" s="113" t="s">
        <v>1620</v>
      </c>
      <c r="F2052" s="113" t="s">
        <v>3093</v>
      </c>
      <c r="G2052" s="113" t="s">
        <v>3093</v>
      </c>
      <c r="H2052" s="161">
        <v>430</v>
      </c>
      <c r="I2052" s="161">
        <v>8</v>
      </c>
    </row>
    <row r="2053" spans="1:9">
      <c r="A2053" s="113">
        <v>100401767</v>
      </c>
      <c r="B2053" s="113" t="s">
        <v>4842</v>
      </c>
      <c r="C2053" s="113">
        <v>6082018</v>
      </c>
      <c r="D2053" s="113" t="s">
        <v>3093</v>
      </c>
      <c r="E2053" s="113" t="s">
        <v>1620</v>
      </c>
      <c r="F2053" s="113" t="s">
        <v>3093</v>
      </c>
      <c r="G2053" s="113" t="s">
        <v>3093</v>
      </c>
      <c r="H2053" s="161">
        <v>848</v>
      </c>
      <c r="I2053" s="161">
        <v>2</v>
      </c>
    </row>
    <row r="2054" spans="1:9">
      <c r="A2054" s="113">
        <v>100401768</v>
      </c>
      <c r="B2054" s="113" t="s">
        <v>4843</v>
      </c>
      <c r="C2054" s="113">
        <v>6082019</v>
      </c>
      <c r="D2054" s="113" t="s">
        <v>3093</v>
      </c>
      <c r="E2054" s="113" t="s">
        <v>1620</v>
      </c>
      <c r="F2054" s="113" t="s">
        <v>3093</v>
      </c>
      <c r="G2054" s="113" t="s">
        <v>3093</v>
      </c>
      <c r="H2054" s="161">
        <v>220</v>
      </c>
      <c r="I2054" s="161">
        <v>6</v>
      </c>
    </row>
    <row r="2055" spans="1:9">
      <c r="A2055" s="113">
        <v>100401769</v>
      </c>
      <c r="B2055" s="113" t="s">
        <v>2958</v>
      </c>
      <c r="C2055" s="113">
        <v>6082020</v>
      </c>
      <c r="D2055" s="113" t="s">
        <v>3093</v>
      </c>
      <c r="E2055" s="113" t="s">
        <v>1620</v>
      </c>
      <c r="F2055" s="113" t="s">
        <v>3093</v>
      </c>
      <c r="G2055" s="115" t="s">
        <v>3093</v>
      </c>
      <c r="H2055" s="161">
        <v>47</v>
      </c>
      <c r="I2055" s="161" t="s">
        <v>7138</v>
      </c>
    </row>
    <row r="2056" spans="1:9">
      <c r="A2056" s="113">
        <v>100401770</v>
      </c>
      <c r="B2056" s="113" t="s">
        <v>4844</v>
      </c>
      <c r="C2056" s="113">
        <v>6082021</v>
      </c>
      <c r="D2056" s="113" t="s">
        <v>3093</v>
      </c>
      <c r="E2056" s="113" t="s">
        <v>1620</v>
      </c>
      <c r="F2056" s="113" t="s">
        <v>3093</v>
      </c>
      <c r="G2056" s="113" t="s">
        <v>3093</v>
      </c>
      <c r="H2056" s="161">
        <v>49</v>
      </c>
      <c r="I2056" s="161">
        <v>6</v>
      </c>
    </row>
    <row r="2057" spans="1:9">
      <c r="A2057" s="113">
        <v>100401771</v>
      </c>
      <c r="B2057" s="113" t="s">
        <v>4845</v>
      </c>
      <c r="C2057" s="113">
        <v>6083010</v>
      </c>
      <c r="D2057" s="113" t="s">
        <v>3093</v>
      </c>
      <c r="E2057" s="113" t="s">
        <v>1620</v>
      </c>
      <c r="F2057" s="113" t="s">
        <v>3093</v>
      </c>
      <c r="G2057" s="113" t="s">
        <v>3093</v>
      </c>
      <c r="H2057" s="161">
        <v>0</v>
      </c>
      <c r="I2057" s="161" t="s">
        <v>7138</v>
      </c>
    </row>
    <row r="2058" spans="1:9">
      <c r="A2058" s="113">
        <v>100401772</v>
      </c>
      <c r="B2058" s="113" t="s">
        <v>2959</v>
      </c>
      <c r="C2058" s="113">
        <v>6083011</v>
      </c>
      <c r="D2058" s="113" t="s">
        <v>3093</v>
      </c>
      <c r="E2058" s="113" t="s">
        <v>1620</v>
      </c>
      <c r="F2058" s="113" t="s">
        <v>3093</v>
      </c>
      <c r="G2058" s="113" t="s">
        <v>3093</v>
      </c>
      <c r="H2058" s="161">
        <v>472.46</v>
      </c>
      <c r="I2058" s="161">
        <v>4</v>
      </c>
    </row>
    <row r="2059" spans="1:9">
      <c r="A2059" s="113">
        <v>100401773</v>
      </c>
      <c r="B2059" s="113" t="s">
        <v>4846</v>
      </c>
      <c r="C2059" s="113">
        <v>6083012</v>
      </c>
      <c r="D2059" s="113" t="s">
        <v>3093</v>
      </c>
      <c r="E2059" s="113" t="s">
        <v>1620</v>
      </c>
      <c r="F2059" s="113" t="s">
        <v>3093</v>
      </c>
      <c r="G2059" s="113" t="s">
        <v>3093</v>
      </c>
      <c r="H2059" s="161">
        <v>469.42</v>
      </c>
      <c r="I2059" s="161">
        <v>4</v>
      </c>
    </row>
    <row r="2060" spans="1:9">
      <c r="A2060" s="113">
        <v>100401774</v>
      </c>
      <c r="B2060" s="113" t="s">
        <v>4847</v>
      </c>
      <c r="C2060" s="113">
        <v>6083013</v>
      </c>
      <c r="D2060" s="113" t="s">
        <v>3093</v>
      </c>
      <c r="E2060" s="113" t="s">
        <v>1620</v>
      </c>
      <c r="F2060" s="113" t="s">
        <v>3093</v>
      </c>
      <c r="G2060" s="113" t="s">
        <v>3093</v>
      </c>
      <c r="H2060" s="161">
        <v>0</v>
      </c>
      <c r="I2060" s="161" t="s">
        <v>7138</v>
      </c>
    </row>
    <row r="2061" spans="1:9">
      <c r="A2061" s="113">
        <v>100401775</v>
      </c>
      <c r="B2061" s="113" t="s">
        <v>4848</v>
      </c>
      <c r="C2061" s="113">
        <v>6083014</v>
      </c>
      <c r="D2061" s="113" t="s">
        <v>3093</v>
      </c>
      <c r="E2061" s="113" t="s">
        <v>1620</v>
      </c>
      <c r="F2061" s="113" t="s">
        <v>3093</v>
      </c>
      <c r="G2061" s="113" t="s">
        <v>3093</v>
      </c>
      <c r="H2061" s="161">
        <v>0</v>
      </c>
      <c r="I2061" s="161" t="s">
        <v>7138</v>
      </c>
    </row>
    <row r="2062" spans="1:9">
      <c r="A2062" s="113">
        <v>100401776</v>
      </c>
      <c r="B2062" s="113" t="s">
        <v>4849</v>
      </c>
      <c r="C2062" s="113">
        <v>6083015</v>
      </c>
      <c r="D2062" s="113" t="s">
        <v>3093</v>
      </c>
      <c r="E2062" s="113" t="s">
        <v>1620</v>
      </c>
      <c r="F2062" s="113" t="s">
        <v>3093</v>
      </c>
      <c r="G2062" s="113" t="s">
        <v>3093</v>
      </c>
      <c r="H2062" s="161">
        <v>0</v>
      </c>
      <c r="I2062" s="161" t="s">
        <v>7138</v>
      </c>
    </row>
    <row r="2063" spans="1:9">
      <c r="A2063" s="113">
        <v>100401777</v>
      </c>
      <c r="B2063" s="113" t="s">
        <v>4850</v>
      </c>
      <c r="C2063" s="113">
        <v>6083016</v>
      </c>
      <c r="D2063" s="113" t="s">
        <v>3093</v>
      </c>
      <c r="E2063" s="113" t="s">
        <v>1620</v>
      </c>
      <c r="F2063" s="113" t="s">
        <v>3093</v>
      </c>
      <c r="G2063" s="113" t="s">
        <v>3093</v>
      </c>
      <c r="H2063" s="161">
        <v>0</v>
      </c>
      <c r="I2063" s="161" t="s">
        <v>7138</v>
      </c>
    </row>
    <row r="2064" spans="1:9">
      <c r="A2064" s="113">
        <v>100401778</v>
      </c>
      <c r="B2064" s="113" t="s">
        <v>2960</v>
      </c>
      <c r="C2064" s="113">
        <v>6083019</v>
      </c>
      <c r="D2064" s="113" t="s">
        <v>3093</v>
      </c>
      <c r="E2064" s="113" t="s">
        <v>1620</v>
      </c>
      <c r="F2064" s="113" t="s">
        <v>3093</v>
      </c>
      <c r="G2064" s="113" t="s">
        <v>3093</v>
      </c>
      <c r="H2064" s="161">
        <v>0</v>
      </c>
      <c r="I2064" s="161" t="s">
        <v>7138</v>
      </c>
    </row>
    <row r="2065" spans="1:9">
      <c r="A2065" s="113">
        <v>100401779</v>
      </c>
      <c r="B2065" s="113" t="s">
        <v>4851</v>
      </c>
      <c r="C2065" s="113">
        <v>6083020</v>
      </c>
      <c r="D2065" s="113" t="s">
        <v>3093</v>
      </c>
      <c r="E2065" s="113" t="s">
        <v>1620</v>
      </c>
      <c r="F2065" s="113" t="s">
        <v>3093</v>
      </c>
      <c r="G2065" s="113" t="s">
        <v>3093</v>
      </c>
      <c r="H2065" s="161">
        <v>36.380000000000003</v>
      </c>
      <c r="I2065" s="161">
        <v>12</v>
      </c>
    </row>
    <row r="2066" spans="1:9">
      <c r="A2066" s="113">
        <v>100401780</v>
      </c>
      <c r="B2066" s="113" t="s">
        <v>4852</v>
      </c>
      <c r="C2066" s="113">
        <v>6083021</v>
      </c>
      <c r="D2066" s="113" t="s">
        <v>3093</v>
      </c>
      <c r="E2066" s="113" t="s">
        <v>1620</v>
      </c>
      <c r="F2066" s="113" t="s">
        <v>3093</v>
      </c>
      <c r="G2066" s="113" t="s">
        <v>3093</v>
      </c>
      <c r="H2066" s="161">
        <v>35</v>
      </c>
      <c r="I2066" s="161">
        <v>1</v>
      </c>
    </row>
    <row r="2067" spans="1:9">
      <c r="A2067" s="113">
        <v>100401781</v>
      </c>
      <c r="B2067" s="113" t="s">
        <v>4853</v>
      </c>
      <c r="C2067" s="113">
        <v>6083022</v>
      </c>
      <c r="D2067" s="113" t="s">
        <v>3093</v>
      </c>
      <c r="E2067" s="113" t="s">
        <v>1620</v>
      </c>
      <c r="F2067" s="113" t="s">
        <v>3093</v>
      </c>
      <c r="G2067" s="113" t="s">
        <v>3093</v>
      </c>
      <c r="H2067" s="161">
        <v>36</v>
      </c>
      <c r="I2067" s="161">
        <v>10</v>
      </c>
    </row>
    <row r="2068" spans="1:9">
      <c r="A2068" s="113">
        <v>100401782</v>
      </c>
      <c r="B2068" s="113" t="s">
        <v>4854</v>
      </c>
      <c r="C2068" s="113">
        <v>6083023</v>
      </c>
      <c r="D2068" s="113" t="s">
        <v>3093</v>
      </c>
      <c r="E2068" s="113" t="s">
        <v>1620</v>
      </c>
      <c r="F2068" s="113" t="s">
        <v>3093</v>
      </c>
      <c r="G2068" s="113" t="s">
        <v>3093</v>
      </c>
      <c r="H2068" s="161">
        <v>9</v>
      </c>
      <c r="I2068" s="161">
        <v>6</v>
      </c>
    </row>
    <row r="2069" spans="1:9">
      <c r="A2069" s="113">
        <v>100401783</v>
      </c>
      <c r="B2069" s="113" t="s">
        <v>4855</v>
      </c>
      <c r="C2069" s="113">
        <v>6083024</v>
      </c>
      <c r="D2069" s="113" t="s">
        <v>3093</v>
      </c>
      <c r="E2069" s="113" t="s">
        <v>1620</v>
      </c>
      <c r="F2069" s="113" t="s">
        <v>3093</v>
      </c>
      <c r="G2069" s="113" t="s">
        <v>3093</v>
      </c>
      <c r="H2069" s="161">
        <v>190</v>
      </c>
      <c r="I2069" s="161">
        <v>1</v>
      </c>
    </row>
    <row r="2070" spans="1:9">
      <c r="A2070" s="113">
        <v>100401784</v>
      </c>
      <c r="B2070" s="113" t="s">
        <v>4856</v>
      </c>
      <c r="C2070" s="113">
        <v>6083025</v>
      </c>
      <c r="D2070" s="113" t="s">
        <v>3093</v>
      </c>
      <c r="E2070" s="113" t="s">
        <v>1620</v>
      </c>
      <c r="F2070" s="113" t="s">
        <v>3093</v>
      </c>
      <c r="G2070" s="113" t="s">
        <v>3093</v>
      </c>
      <c r="H2070" s="161">
        <v>40</v>
      </c>
      <c r="I2070" s="161">
        <v>6</v>
      </c>
    </row>
    <row r="2071" spans="1:9">
      <c r="A2071" s="113">
        <v>100401785</v>
      </c>
      <c r="B2071" s="113" t="s">
        <v>4857</v>
      </c>
      <c r="C2071" s="113">
        <v>6083026</v>
      </c>
      <c r="D2071" s="113" t="s">
        <v>3093</v>
      </c>
      <c r="E2071" s="113" t="s">
        <v>1620</v>
      </c>
      <c r="F2071" s="113" t="s">
        <v>3093</v>
      </c>
      <c r="G2071" s="113" t="s">
        <v>3093</v>
      </c>
      <c r="H2071" s="161">
        <v>40</v>
      </c>
      <c r="I2071" s="161">
        <v>6</v>
      </c>
    </row>
    <row r="2072" spans="1:9">
      <c r="A2072" s="113">
        <v>100401786</v>
      </c>
      <c r="B2072" s="113" t="s">
        <v>4858</v>
      </c>
      <c r="C2072" s="113">
        <v>6083027</v>
      </c>
      <c r="D2072" s="113" t="s">
        <v>3093</v>
      </c>
      <c r="E2072" s="113" t="s">
        <v>1620</v>
      </c>
      <c r="F2072" s="113" t="s">
        <v>3093</v>
      </c>
      <c r="G2072" s="113" t="s">
        <v>3093</v>
      </c>
      <c r="H2072" s="161">
        <v>126</v>
      </c>
      <c r="I2072" s="161">
        <v>6</v>
      </c>
    </row>
    <row r="2073" spans="1:9">
      <c r="A2073" s="113">
        <v>100401787</v>
      </c>
      <c r="B2073" s="113" t="s">
        <v>4859</v>
      </c>
      <c r="C2073" s="113">
        <v>6083028</v>
      </c>
      <c r="D2073" s="113" t="s">
        <v>3093</v>
      </c>
      <c r="E2073" s="113" t="s">
        <v>1620</v>
      </c>
      <c r="F2073" s="113" t="s">
        <v>3093</v>
      </c>
      <c r="G2073" s="113" t="s">
        <v>3093</v>
      </c>
      <c r="H2073" s="161">
        <v>6</v>
      </c>
      <c r="I2073" s="161">
        <v>2</v>
      </c>
    </row>
    <row r="2074" spans="1:9">
      <c r="A2074" s="113">
        <v>100401788</v>
      </c>
      <c r="B2074" s="113" t="s">
        <v>4860</v>
      </c>
      <c r="C2074" s="113">
        <v>6083029</v>
      </c>
      <c r="D2074" s="113" t="s">
        <v>3093</v>
      </c>
      <c r="E2074" s="113" t="s">
        <v>1620</v>
      </c>
      <c r="F2074" s="113" t="s">
        <v>3093</v>
      </c>
      <c r="G2074" s="113" t="s">
        <v>3093</v>
      </c>
      <c r="H2074" s="161">
        <v>16.09</v>
      </c>
      <c r="I2074" s="161">
        <v>1</v>
      </c>
    </row>
    <row r="2075" spans="1:9">
      <c r="A2075" s="113">
        <v>100401789</v>
      </c>
      <c r="B2075" s="113" t="s">
        <v>4861</v>
      </c>
      <c r="C2075" s="113">
        <v>6083030</v>
      </c>
      <c r="D2075" s="113" t="s">
        <v>3093</v>
      </c>
      <c r="E2075" s="113" t="s">
        <v>1620</v>
      </c>
      <c r="F2075" s="113" t="s">
        <v>3093</v>
      </c>
      <c r="G2075" s="113" t="s">
        <v>3093</v>
      </c>
      <c r="H2075" s="161">
        <v>25.54</v>
      </c>
      <c r="I2075" s="161">
        <v>1</v>
      </c>
    </row>
    <row r="2076" spans="1:9">
      <c r="A2076" s="113">
        <v>100401790</v>
      </c>
      <c r="B2076" s="113" t="s">
        <v>4862</v>
      </c>
      <c r="C2076" s="113">
        <v>6083031</v>
      </c>
      <c r="D2076" s="113" t="s">
        <v>3093</v>
      </c>
      <c r="E2076" s="113" t="s">
        <v>1620</v>
      </c>
      <c r="F2076" s="113" t="s">
        <v>3093</v>
      </c>
      <c r="G2076" s="113" t="s">
        <v>3093</v>
      </c>
      <c r="H2076" s="161">
        <v>12.43</v>
      </c>
      <c r="I2076" s="161">
        <v>1</v>
      </c>
    </row>
    <row r="2077" spans="1:9">
      <c r="A2077" s="113">
        <v>100401791</v>
      </c>
      <c r="B2077" s="113" t="s">
        <v>4863</v>
      </c>
      <c r="C2077" s="113">
        <v>6083032</v>
      </c>
      <c r="D2077" s="113" t="s">
        <v>3093</v>
      </c>
      <c r="E2077" s="113" t="s">
        <v>1620</v>
      </c>
      <c r="F2077" s="113" t="s">
        <v>3093</v>
      </c>
      <c r="G2077" s="113" t="s">
        <v>3093</v>
      </c>
      <c r="H2077" s="161">
        <v>26.85</v>
      </c>
      <c r="I2077" s="161">
        <v>0</v>
      </c>
    </row>
    <row r="2078" spans="1:9">
      <c r="A2078" s="113">
        <v>100401792</v>
      </c>
      <c r="B2078" s="113" t="s">
        <v>4864</v>
      </c>
      <c r="C2078" s="113">
        <v>6083033</v>
      </c>
      <c r="D2078" s="113" t="s">
        <v>3093</v>
      </c>
      <c r="E2078" s="113" t="s">
        <v>1620</v>
      </c>
      <c r="F2078" s="113" t="s">
        <v>3093</v>
      </c>
      <c r="G2078" s="113" t="s">
        <v>3093</v>
      </c>
      <c r="H2078" s="161">
        <v>0</v>
      </c>
      <c r="I2078" s="161" t="s">
        <v>7138</v>
      </c>
    </row>
    <row r="2079" spans="1:9">
      <c r="A2079" s="113">
        <v>100401793</v>
      </c>
      <c r="B2079" s="113" t="s">
        <v>4865</v>
      </c>
      <c r="C2079" s="113">
        <v>6083034</v>
      </c>
      <c r="D2079" s="113" t="s">
        <v>3093</v>
      </c>
      <c r="E2079" s="113" t="s">
        <v>1620</v>
      </c>
      <c r="F2079" s="113" t="s">
        <v>3093</v>
      </c>
      <c r="G2079" s="113" t="s">
        <v>3093</v>
      </c>
      <c r="H2079" s="161">
        <v>0</v>
      </c>
      <c r="I2079" s="161" t="s">
        <v>7138</v>
      </c>
    </row>
    <row r="2080" spans="1:9">
      <c r="A2080" s="113">
        <v>100401794</v>
      </c>
      <c r="B2080" s="113" t="s">
        <v>4866</v>
      </c>
      <c r="C2080" s="113">
        <v>6083035</v>
      </c>
      <c r="D2080" s="113" t="s">
        <v>3093</v>
      </c>
      <c r="E2080" s="113" t="s">
        <v>1620</v>
      </c>
      <c r="F2080" s="113" t="s">
        <v>3093</v>
      </c>
      <c r="G2080" s="113" t="s">
        <v>3093</v>
      </c>
      <c r="H2080" s="161">
        <v>0</v>
      </c>
      <c r="I2080" s="161" t="s">
        <v>7138</v>
      </c>
    </row>
    <row r="2081" spans="1:9">
      <c r="A2081" s="113">
        <v>100401795</v>
      </c>
      <c r="B2081" s="113" t="s">
        <v>4867</v>
      </c>
      <c r="C2081" s="113">
        <v>6083036</v>
      </c>
      <c r="D2081" s="113" t="s">
        <v>3093</v>
      </c>
      <c r="E2081" s="113" t="s">
        <v>1620</v>
      </c>
      <c r="F2081" s="113" t="s">
        <v>3093</v>
      </c>
      <c r="G2081" s="113" t="s">
        <v>3093</v>
      </c>
      <c r="H2081" s="161">
        <v>0</v>
      </c>
      <c r="I2081" s="161" t="s">
        <v>7138</v>
      </c>
    </row>
    <row r="2082" spans="1:9">
      <c r="A2082" s="113">
        <v>100401796</v>
      </c>
      <c r="B2082" s="113" t="s">
        <v>4868</v>
      </c>
      <c r="C2082" s="113">
        <v>6083037</v>
      </c>
      <c r="D2082" s="113" t="s">
        <v>3093</v>
      </c>
      <c r="E2082" s="113" t="s">
        <v>1620</v>
      </c>
      <c r="F2082" s="113" t="s">
        <v>3093</v>
      </c>
      <c r="G2082" s="113" t="s">
        <v>3093</v>
      </c>
      <c r="H2082" s="161">
        <v>0</v>
      </c>
      <c r="I2082" s="161" t="s">
        <v>7138</v>
      </c>
    </row>
    <row r="2083" spans="1:9">
      <c r="A2083" s="113">
        <v>100401797</v>
      </c>
      <c r="B2083" s="113" t="s">
        <v>4869</v>
      </c>
      <c r="C2083" s="113">
        <v>6083038</v>
      </c>
      <c r="D2083" s="113" t="s">
        <v>3093</v>
      </c>
      <c r="E2083" s="113" t="s">
        <v>1620</v>
      </c>
      <c r="F2083" s="113" t="s">
        <v>3093</v>
      </c>
      <c r="G2083" s="113" t="s">
        <v>3093</v>
      </c>
      <c r="H2083" s="161">
        <v>0</v>
      </c>
      <c r="I2083" s="161" t="s">
        <v>7138</v>
      </c>
    </row>
    <row r="2084" spans="1:9">
      <c r="A2084" s="113">
        <v>100401798</v>
      </c>
      <c r="B2084" s="113" t="s">
        <v>4870</v>
      </c>
      <c r="C2084" s="113">
        <v>6083040</v>
      </c>
      <c r="D2084" s="113" t="s">
        <v>3093</v>
      </c>
      <c r="E2084" s="113" t="s">
        <v>1620</v>
      </c>
      <c r="F2084" s="113" t="s">
        <v>3093</v>
      </c>
      <c r="G2084" s="113" t="s">
        <v>3093</v>
      </c>
      <c r="H2084" s="161">
        <v>0</v>
      </c>
      <c r="I2084" s="161" t="s">
        <v>7138</v>
      </c>
    </row>
    <row r="2085" spans="1:9">
      <c r="A2085" s="113">
        <v>100401799</v>
      </c>
      <c r="B2085" s="113" t="s">
        <v>4871</v>
      </c>
      <c r="C2085" s="113">
        <v>6084016</v>
      </c>
      <c r="D2085" s="113" t="s">
        <v>3093</v>
      </c>
      <c r="E2085" s="113" t="s">
        <v>1620</v>
      </c>
      <c r="F2085" s="113" t="s">
        <v>3093</v>
      </c>
      <c r="G2085" s="113" t="s">
        <v>3093</v>
      </c>
      <c r="H2085" s="161">
        <v>0</v>
      </c>
      <c r="I2085" s="161" t="s">
        <v>7138</v>
      </c>
    </row>
    <row r="2086" spans="1:9">
      <c r="A2086" s="113">
        <v>100401800</v>
      </c>
      <c r="B2086" s="113" t="s">
        <v>4872</v>
      </c>
      <c r="C2086" s="113">
        <v>6084017</v>
      </c>
      <c r="D2086" s="113" t="s">
        <v>3093</v>
      </c>
      <c r="E2086" s="113" t="s">
        <v>1620</v>
      </c>
      <c r="F2086" s="113" t="s">
        <v>3093</v>
      </c>
      <c r="G2086" s="113" t="s">
        <v>3093</v>
      </c>
      <c r="H2086" s="161">
        <v>0</v>
      </c>
      <c r="I2086" s="161" t="s">
        <v>7138</v>
      </c>
    </row>
    <row r="2087" spans="1:9">
      <c r="A2087" s="113">
        <v>100401801</v>
      </c>
      <c r="B2087" s="113" t="s">
        <v>4873</v>
      </c>
      <c r="C2087" s="113">
        <v>6084018</v>
      </c>
      <c r="D2087" s="113" t="s">
        <v>3093</v>
      </c>
      <c r="E2087" s="113" t="s">
        <v>1620</v>
      </c>
      <c r="F2087" s="113" t="s">
        <v>3093</v>
      </c>
      <c r="G2087" s="113" t="s">
        <v>3093</v>
      </c>
      <c r="H2087" s="161">
        <v>0</v>
      </c>
      <c r="I2087" s="161" t="s">
        <v>7138</v>
      </c>
    </row>
    <row r="2088" spans="1:9">
      <c r="A2088" s="113">
        <v>100401802</v>
      </c>
      <c r="B2088" s="113" t="s">
        <v>4874</v>
      </c>
      <c r="C2088" s="113">
        <v>6084019</v>
      </c>
      <c r="D2088" s="113" t="s">
        <v>3093</v>
      </c>
      <c r="E2088" s="113" t="s">
        <v>1620</v>
      </c>
      <c r="F2088" s="113" t="s">
        <v>3093</v>
      </c>
      <c r="G2088" s="113" t="s">
        <v>3093</v>
      </c>
      <c r="H2088" s="161">
        <v>0</v>
      </c>
      <c r="I2088" s="161" t="s">
        <v>7138</v>
      </c>
    </row>
    <row r="2089" spans="1:9">
      <c r="A2089" s="113">
        <v>100401803</v>
      </c>
      <c r="B2089" s="113" t="s">
        <v>4875</v>
      </c>
      <c r="C2089" s="113">
        <v>6084020</v>
      </c>
      <c r="D2089" s="113" t="s">
        <v>3093</v>
      </c>
      <c r="E2089" s="113" t="s">
        <v>1620</v>
      </c>
      <c r="F2089" s="113" t="s">
        <v>3093</v>
      </c>
      <c r="G2089" s="113" t="s">
        <v>3093</v>
      </c>
      <c r="H2089" s="161">
        <v>0</v>
      </c>
      <c r="I2089" s="161" t="s">
        <v>7138</v>
      </c>
    </row>
    <row r="2090" spans="1:9">
      <c r="A2090" s="113">
        <v>100401804</v>
      </c>
      <c r="B2090" s="113" t="s">
        <v>4876</v>
      </c>
      <c r="C2090" s="113">
        <v>6084021</v>
      </c>
      <c r="D2090" s="113" t="s">
        <v>3093</v>
      </c>
      <c r="E2090" s="113" t="s">
        <v>1620</v>
      </c>
      <c r="F2090" s="113" t="s">
        <v>3093</v>
      </c>
      <c r="G2090" s="113" t="s">
        <v>3093</v>
      </c>
      <c r="H2090" s="161">
        <v>0</v>
      </c>
      <c r="I2090" s="161" t="s">
        <v>7138</v>
      </c>
    </row>
    <row r="2091" spans="1:9">
      <c r="A2091" s="113">
        <v>100401805</v>
      </c>
      <c r="B2091" s="113" t="s">
        <v>4877</v>
      </c>
      <c r="C2091" s="113">
        <v>6084022</v>
      </c>
      <c r="D2091" s="113" t="s">
        <v>3093</v>
      </c>
      <c r="E2091" s="113" t="s">
        <v>1620</v>
      </c>
      <c r="F2091" s="113" t="s">
        <v>3093</v>
      </c>
      <c r="G2091" s="113" t="s">
        <v>3093</v>
      </c>
      <c r="H2091" s="161">
        <v>0</v>
      </c>
      <c r="I2091" s="161" t="s">
        <v>7138</v>
      </c>
    </row>
    <row r="2092" spans="1:9">
      <c r="A2092" s="113">
        <v>100401806</v>
      </c>
      <c r="B2092" s="113" t="s">
        <v>4878</v>
      </c>
      <c r="C2092" s="113">
        <v>6084023</v>
      </c>
      <c r="D2092" s="113" t="s">
        <v>3093</v>
      </c>
      <c r="E2092" s="113" t="s">
        <v>1620</v>
      </c>
      <c r="F2092" s="113" t="s">
        <v>3093</v>
      </c>
      <c r="G2092" s="113" t="s">
        <v>3093</v>
      </c>
      <c r="H2092" s="161">
        <v>0</v>
      </c>
      <c r="I2092" s="161" t="s">
        <v>7138</v>
      </c>
    </row>
    <row r="2093" spans="1:9">
      <c r="A2093" s="113">
        <v>100401807</v>
      </c>
      <c r="B2093" s="113" t="s">
        <v>4879</v>
      </c>
      <c r="C2093" s="113">
        <v>6084024</v>
      </c>
      <c r="D2093" s="113" t="s">
        <v>3093</v>
      </c>
      <c r="E2093" s="113" t="s">
        <v>1620</v>
      </c>
      <c r="F2093" s="113" t="s">
        <v>3093</v>
      </c>
      <c r="G2093" s="113" t="s">
        <v>3093</v>
      </c>
      <c r="H2093" s="161">
        <v>0</v>
      </c>
      <c r="I2093" s="161" t="s">
        <v>7138</v>
      </c>
    </row>
    <row r="2094" spans="1:9">
      <c r="A2094" s="113">
        <v>100401808</v>
      </c>
      <c r="B2094" s="113" t="s">
        <v>4880</v>
      </c>
      <c r="C2094" s="113">
        <v>6084025</v>
      </c>
      <c r="D2094" s="113" t="s">
        <v>3093</v>
      </c>
      <c r="E2094" s="113" t="s">
        <v>1620</v>
      </c>
      <c r="F2094" s="113" t="s">
        <v>3093</v>
      </c>
      <c r="G2094" s="113" t="s">
        <v>3093</v>
      </c>
      <c r="H2094" s="161">
        <v>0</v>
      </c>
      <c r="I2094" s="161" t="s">
        <v>7138</v>
      </c>
    </row>
    <row r="2095" spans="1:9">
      <c r="A2095" s="113">
        <v>100401809</v>
      </c>
      <c r="B2095" s="113" t="s">
        <v>4881</v>
      </c>
      <c r="C2095" s="113">
        <v>6084026</v>
      </c>
      <c r="D2095" s="113" t="s">
        <v>3093</v>
      </c>
      <c r="E2095" s="113" t="s">
        <v>1620</v>
      </c>
      <c r="F2095" s="113" t="s">
        <v>3093</v>
      </c>
      <c r="G2095" s="113" t="s">
        <v>3093</v>
      </c>
      <c r="H2095" s="161">
        <v>0</v>
      </c>
      <c r="I2095" s="161" t="s">
        <v>7138</v>
      </c>
    </row>
    <row r="2096" spans="1:9">
      <c r="A2096" s="113">
        <v>100401810</v>
      </c>
      <c r="B2096" s="113" t="s">
        <v>4882</v>
      </c>
      <c r="C2096" s="113">
        <v>6084027</v>
      </c>
      <c r="D2096" s="113" t="s">
        <v>3093</v>
      </c>
      <c r="E2096" s="113" t="s">
        <v>1620</v>
      </c>
      <c r="F2096" s="113" t="s">
        <v>3093</v>
      </c>
      <c r="G2096" s="113" t="s">
        <v>3093</v>
      </c>
      <c r="H2096" s="161">
        <v>0</v>
      </c>
      <c r="I2096" s="161" t="s">
        <v>7138</v>
      </c>
    </row>
    <row r="2097" spans="1:9">
      <c r="A2097" s="113">
        <v>100401811</v>
      </c>
      <c r="B2097" s="113" t="s">
        <v>4883</v>
      </c>
      <c r="C2097" s="113">
        <v>6084028</v>
      </c>
      <c r="D2097" s="113" t="s">
        <v>3093</v>
      </c>
      <c r="E2097" s="113" t="s">
        <v>1620</v>
      </c>
      <c r="F2097" s="113" t="s">
        <v>3093</v>
      </c>
      <c r="G2097" s="113" t="s">
        <v>3093</v>
      </c>
      <c r="H2097" s="161">
        <v>0</v>
      </c>
      <c r="I2097" s="161" t="s">
        <v>7138</v>
      </c>
    </row>
    <row r="2098" spans="1:9">
      <c r="A2098" s="113">
        <v>100401812</v>
      </c>
      <c r="B2098" s="113" t="s">
        <v>4884</v>
      </c>
      <c r="C2098" s="113">
        <v>6084029</v>
      </c>
      <c r="D2098" s="113" t="s">
        <v>3093</v>
      </c>
      <c r="E2098" s="113" t="s">
        <v>1620</v>
      </c>
      <c r="F2098" s="113" t="s">
        <v>3093</v>
      </c>
      <c r="G2098" s="113" t="s">
        <v>3093</v>
      </c>
      <c r="H2098" s="161">
        <v>0</v>
      </c>
      <c r="I2098" s="161" t="s">
        <v>7138</v>
      </c>
    </row>
    <row r="2099" spans="1:9">
      <c r="A2099" s="113">
        <v>100401813</v>
      </c>
      <c r="B2099" s="113" t="s">
        <v>4885</v>
      </c>
      <c r="C2099" s="113">
        <v>6084030</v>
      </c>
      <c r="D2099" s="113" t="s">
        <v>3093</v>
      </c>
      <c r="E2099" s="113" t="s">
        <v>1620</v>
      </c>
      <c r="F2099" s="113" t="s">
        <v>3093</v>
      </c>
      <c r="G2099" s="113" t="s">
        <v>3093</v>
      </c>
      <c r="H2099" s="161">
        <v>0</v>
      </c>
      <c r="I2099" s="161" t="s">
        <v>7138</v>
      </c>
    </row>
    <row r="2100" spans="1:9">
      <c r="A2100" s="113">
        <v>100401814</v>
      </c>
      <c r="B2100" s="113" t="s">
        <v>4886</v>
      </c>
      <c r="C2100" s="113">
        <v>6084031</v>
      </c>
      <c r="D2100" s="113" t="s">
        <v>3093</v>
      </c>
      <c r="E2100" s="113" t="s">
        <v>1620</v>
      </c>
      <c r="F2100" s="113" t="s">
        <v>3093</v>
      </c>
      <c r="G2100" s="113" t="s">
        <v>3093</v>
      </c>
      <c r="H2100" s="161">
        <v>0</v>
      </c>
      <c r="I2100" s="161" t="s">
        <v>7138</v>
      </c>
    </row>
    <row r="2101" spans="1:9">
      <c r="A2101" s="113">
        <v>100401815</v>
      </c>
      <c r="B2101" s="113" t="s">
        <v>4887</v>
      </c>
      <c r="C2101" s="113">
        <v>6084032</v>
      </c>
      <c r="D2101" s="113" t="s">
        <v>3093</v>
      </c>
      <c r="E2101" s="113" t="s">
        <v>1620</v>
      </c>
      <c r="F2101" s="113" t="s">
        <v>3093</v>
      </c>
      <c r="G2101" s="113" t="s">
        <v>3093</v>
      </c>
      <c r="H2101" s="161">
        <v>0</v>
      </c>
      <c r="I2101" s="161" t="s">
        <v>7138</v>
      </c>
    </row>
    <row r="2102" spans="1:9">
      <c r="A2102" s="113">
        <v>100401816</v>
      </c>
      <c r="B2102" s="113" t="s">
        <v>4888</v>
      </c>
      <c r="C2102" s="113">
        <v>6084033</v>
      </c>
      <c r="D2102" s="113" t="s">
        <v>3093</v>
      </c>
      <c r="E2102" s="113" t="s">
        <v>1620</v>
      </c>
      <c r="F2102" s="113" t="s">
        <v>3093</v>
      </c>
      <c r="G2102" s="113" t="s">
        <v>3093</v>
      </c>
      <c r="H2102" s="161">
        <v>0</v>
      </c>
      <c r="I2102" s="161" t="s">
        <v>7138</v>
      </c>
    </row>
    <row r="2103" spans="1:9">
      <c r="A2103" s="113">
        <v>100401817</v>
      </c>
      <c r="B2103" s="113" t="s">
        <v>4889</v>
      </c>
      <c r="C2103" s="113">
        <v>6084034</v>
      </c>
      <c r="D2103" s="113" t="s">
        <v>3093</v>
      </c>
      <c r="E2103" s="113" t="s">
        <v>1620</v>
      </c>
      <c r="F2103" s="113" t="s">
        <v>3093</v>
      </c>
      <c r="G2103" s="113" t="s">
        <v>3093</v>
      </c>
      <c r="H2103" s="161">
        <v>0</v>
      </c>
      <c r="I2103" s="161" t="s">
        <v>7138</v>
      </c>
    </row>
    <row r="2104" spans="1:9">
      <c r="A2104" s="113">
        <v>100401818</v>
      </c>
      <c r="B2104" s="113" t="s">
        <v>4890</v>
      </c>
      <c r="C2104" s="113">
        <v>6084035</v>
      </c>
      <c r="D2104" s="113" t="s">
        <v>3093</v>
      </c>
      <c r="E2104" s="113" t="s">
        <v>1620</v>
      </c>
      <c r="F2104" s="113" t="s">
        <v>3093</v>
      </c>
      <c r="G2104" s="113" t="s">
        <v>3093</v>
      </c>
      <c r="H2104" s="161">
        <v>0</v>
      </c>
      <c r="I2104" s="161" t="s">
        <v>7138</v>
      </c>
    </row>
    <row r="2105" spans="1:9">
      <c r="A2105" s="113">
        <v>100401819</v>
      </c>
      <c r="B2105" s="113" t="s">
        <v>4891</v>
      </c>
      <c r="C2105" s="113">
        <v>6084036</v>
      </c>
      <c r="D2105" s="113" t="s">
        <v>3093</v>
      </c>
      <c r="E2105" s="113" t="s">
        <v>1620</v>
      </c>
      <c r="F2105" s="113" t="s">
        <v>3093</v>
      </c>
      <c r="G2105" s="113" t="s">
        <v>3093</v>
      </c>
      <c r="H2105" s="161">
        <v>0</v>
      </c>
      <c r="I2105" s="161" t="s">
        <v>7138</v>
      </c>
    </row>
    <row r="2106" spans="1:9">
      <c r="A2106" s="113">
        <v>100401820</v>
      </c>
      <c r="B2106" s="113" t="s">
        <v>4892</v>
      </c>
      <c r="C2106" s="113">
        <v>6084037</v>
      </c>
      <c r="D2106" s="113" t="s">
        <v>3093</v>
      </c>
      <c r="E2106" s="113" t="s">
        <v>1620</v>
      </c>
      <c r="F2106" s="113" t="s">
        <v>3093</v>
      </c>
      <c r="G2106" s="113" t="s">
        <v>3093</v>
      </c>
      <c r="H2106" s="161">
        <v>0</v>
      </c>
      <c r="I2106" s="161" t="s">
        <v>7138</v>
      </c>
    </row>
    <row r="2107" spans="1:9">
      <c r="A2107" s="113">
        <v>100401821</v>
      </c>
      <c r="B2107" s="113" t="s">
        <v>4893</v>
      </c>
      <c r="C2107" s="113">
        <v>6084038</v>
      </c>
      <c r="D2107" s="113" t="s">
        <v>3093</v>
      </c>
      <c r="E2107" s="113" t="s">
        <v>1620</v>
      </c>
      <c r="F2107" s="113" t="s">
        <v>3093</v>
      </c>
      <c r="G2107" s="113" t="s">
        <v>3093</v>
      </c>
      <c r="H2107" s="161">
        <v>0</v>
      </c>
      <c r="I2107" s="161" t="s">
        <v>7138</v>
      </c>
    </row>
    <row r="2108" spans="1:9">
      <c r="A2108" s="113">
        <v>100401822</v>
      </c>
      <c r="B2108" s="113" t="s">
        <v>4894</v>
      </c>
      <c r="C2108" s="113">
        <v>6084039</v>
      </c>
      <c r="D2108" s="113" t="s">
        <v>3093</v>
      </c>
      <c r="E2108" s="113" t="s">
        <v>1620</v>
      </c>
      <c r="F2108" s="113" t="s">
        <v>3093</v>
      </c>
      <c r="G2108" s="113" t="s">
        <v>3093</v>
      </c>
      <c r="H2108" s="161">
        <v>0</v>
      </c>
      <c r="I2108" s="161" t="s">
        <v>7138</v>
      </c>
    </row>
    <row r="2109" spans="1:9">
      <c r="A2109" s="113">
        <v>100401823</v>
      </c>
      <c r="B2109" s="113" t="s">
        <v>4895</v>
      </c>
      <c r="C2109" s="113">
        <v>6084040</v>
      </c>
      <c r="D2109" s="113" t="s">
        <v>3093</v>
      </c>
      <c r="E2109" s="113" t="s">
        <v>1620</v>
      </c>
      <c r="F2109" s="113" t="s">
        <v>3093</v>
      </c>
      <c r="G2109" s="113" t="s">
        <v>3093</v>
      </c>
      <c r="H2109" s="161">
        <v>0</v>
      </c>
      <c r="I2109" s="161" t="s">
        <v>7138</v>
      </c>
    </row>
    <row r="2110" spans="1:9">
      <c r="A2110" s="113">
        <v>100401824</v>
      </c>
      <c r="B2110" s="113" t="s">
        <v>4896</v>
      </c>
      <c r="C2110" s="113">
        <v>6084041</v>
      </c>
      <c r="D2110" s="113" t="s">
        <v>3093</v>
      </c>
      <c r="E2110" s="113" t="s">
        <v>1620</v>
      </c>
      <c r="F2110" s="113" t="s">
        <v>3093</v>
      </c>
      <c r="G2110" s="113" t="s">
        <v>3093</v>
      </c>
      <c r="H2110" s="161">
        <v>0</v>
      </c>
      <c r="I2110" s="161" t="s">
        <v>7138</v>
      </c>
    </row>
    <row r="2111" spans="1:9">
      <c r="A2111" s="113">
        <v>100401825</v>
      </c>
      <c r="B2111" s="113" t="s">
        <v>4897</v>
      </c>
      <c r="C2111" s="113">
        <v>6084042</v>
      </c>
      <c r="D2111" s="113" t="s">
        <v>3093</v>
      </c>
      <c r="E2111" s="113" t="s">
        <v>1620</v>
      </c>
      <c r="F2111" s="113" t="s">
        <v>3093</v>
      </c>
      <c r="G2111" s="113" t="s">
        <v>3093</v>
      </c>
      <c r="H2111" s="161">
        <v>0</v>
      </c>
      <c r="I2111" s="161" t="s">
        <v>7138</v>
      </c>
    </row>
    <row r="2112" spans="1:9">
      <c r="A2112" s="113">
        <v>100401826</v>
      </c>
      <c r="B2112" s="113" t="s">
        <v>4898</v>
      </c>
      <c r="C2112" s="113">
        <v>6084043</v>
      </c>
      <c r="D2112" s="113" t="s">
        <v>3093</v>
      </c>
      <c r="E2112" s="113" t="s">
        <v>1620</v>
      </c>
      <c r="F2112" s="113" t="s">
        <v>3093</v>
      </c>
      <c r="G2112" s="113" t="s">
        <v>3093</v>
      </c>
      <c r="H2112" s="161">
        <v>0</v>
      </c>
      <c r="I2112" s="161" t="s">
        <v>7138</v>
      </c>
    </row>
    <row r="2113" spans="1:9">
      <c r="A2113" s="113">
        <v>100401827</v>
      </c>
      <c r="B2113" s="113" t="s">
        <v>4899</v>
      </c>
      <c r="C2113" s="113">
        <v>6084044</v>
      </c>
      <c r="D2113" s="113" t="s">
        <v>3093</v>
      </c>
      <c r="E2113" s="113" t="s">
        <v>1620</v>
      </c>
      <c r="F2113" s="113" t="s">
        <v>3093</v>
      </c>
      <c r="G2113" s="113" t="s">
        <v>3093</v>
      </c>
      <c r="H2113" s="161">
        <v>0</v>
      </c>
      <c r="I2113" s="161" t="s">
        <v>7138</v>
      </c>
    </row>
    <row r="2114" spans="1:9">
      <c r="A2114" s="113">
        <v>100401828</v>
      </c>
      <c r="B2114" s="113" t="s">
        <v>4900</v>
      </c>
      <c r="C2114" s="113">
        <v>6084045</v>
      </c>
      <c r="D2114" s="113" t="s">
        <v>3093</v>
      </c>
      <c r="E2114" s="113" t="s">
        <v>1620</v>
      </c>
      <c r="F2114" s="113" t="s">
        <v>3093</v>
      </c>
      <c r="G2114" s="113" t="s">
        <v>3093</v>
      </c>
      <c r="H2114" s="161">
        <v>0</v>
      </c>
      <c r="I2114" s="161" t="s">
        <v>7138</v>
      </c>
    </row>
    <row r="2115" spans="1:9">
      <c r="A2115" s="113">
        <v>100401829</v>
      </c>
      <c r="B2115" s="113" t="s">
        <v>4901</v>
      </c>
      <c r="C2115" s="113">
        <v>6084046</v>
      </c>
      <c r="D2115" s="113" t="s">
        <v>3093</v>
      </c>
      <c r="E2115" s="113" t="s">
        <v>1620</v>
      </c>
      <c r="F2115" s="113" t="s">
        <v>3093</v>
      </c>
      <c r="G2115" s="113" t="s">
        <v>3093</v>
      </c>
      <c r="H2115" s="161">
        <v>0</v>
      </c>
      <c r="I2115" s="161" t="s">
        <v>7138</v>
      </c>
    </row>
    <row r="2116" spans="1:9">
      <c r="A2116" s="113">
        <v>100401830</v>
      </c>
      <c r="B2116" s="113" t="s">
        <v>4902</v>
      </c>
      <c r="C2116" s="113">
        <v>6084047</v>
      </c>
      <c r="D2116" s="113" t="s">
        <v>3093</v>
      </c>
      <c r="E2116" s="113" t="s">
        <v>1620</v>
      </c>
      <c r="F2116" s="113" t="s">
        <v>3093</v>
      </c>
      <c r="G2116" s="113" t="s">
        <v>3093</v>
      </c>
      <c r="H2116" s="161">
        <v>0</v>
      </c>
      <c r="I2116" s="161" t="s">
        <v>7138</v>
      </c>
    </row>
    <row r="2117" spans="1:9">
      <c r="A2117" s="113">
        <v>100401831</v>
      </c>
      <c r="B2117" s="113" t="s">
        <v>4903</v>
      </c>
      <c r="C2117" s="113">
        <v>6084048</v>
      </c>
      <c r="D2117" s="113" t="s">
        <v>3093</v>
      </c>
      <c r="E2117" s="113" t="s">
        <v>1620</v>
      </c>
      <c r="F2117" s="113" t="s">
        <v>3093</v>
      </c>
      <c r="G2117" s="113" t="s">
        <v>3093</v>
      </c>
      <c r="H2117" s="161">
        <v>0</v>
      </c>
      <c r="I2117" s="161" t="s">
        <v>7138</v>
      </c>
    </row>
    <row r="2118" spans="1:9">
      <c r="A2118" s="113">
        <v>100401832</v>
      </c>
      <c r="B2118" s="113" t="s">
        <v>4904</v>
      </c>
      <c r="C2118" s="113">
        <v>6084049</v>
      </c>
      <c r="D2118" s="113" t="s">
        <v>3093</v>
      </c>
      <c r="E2118" s="113" t="s">
        <v>1620</v>
      </c>
      <c r="F2118" s="113" t="s">
        <v>3093</v>
      </c>
      <c r="G2118" s="113" t="s">
        <v>3093</v>
      </c>
      <c r="H2118" s="161">
        <v>0</v>
      </c>
      <c r="I2118" s="161" t="s">
        <v>7138</v>
      </c>
    </row>
    <row r="2119" spans="1:9">
      <c r="A2119" s="113">
        <v>100401833</v>
      </c>
      <c r="B2119" s="113" t="s">
        <v>4905</v>
      </c>
      <c r="C2119" s="113">
        <v>6084050</v>
      </c>
      <c r="D2119" s="113" t="s">
        <v>3093</v>
      </c>
      <c r="E2119" s="113" t="s">
        <v>1620</v>
      </c>
      <c r="F2119" s="113" t="s">
        <v>3093</v>
      </c>
      <c r="G2119" s="113" t="s">
        <v>3093</v>
      </c>
      <c r="H2119" s="161">
        <v>0</v>
      </c>
      <c r="I2119" s="161" t="s">
        <v>7138</v>
      </c>
    </row>
    <row r="2120" spans="1:9">
      <c r="A2120" s="113">
        <v>100401834</v>
      </c>
      <c r="B2120" s="113" t="s">
        <v>4906</v>
      </c>
      <c r="C2120" s="113">
        <v>6084051</v>
      </c>
      <c r="D2120" s="113" t="s">
        <v>3093</v>
      </c>
      <c r="E2120" s="113" t="s">
        <v>1620</v>
      </c>
      <c r="F2120" s="113" t="s">
        <v>3093</v>
      </c>
      <c r="G2120" s="113" t="s">
        <v>3093</v>
      </c>
      <c r="H2120" s="161">
        <v>0</v>
      </c>
      <c r="I2120" s="161" t="s">
        <v>7138</v>
      </c>
    </row>
    <row r="2121" spans="1:9">
      <c r="A2121" s="113">
        <v>100401835</v>
      </c>
      <c r="B2121" s="113" t="s">
        <v>4907</v>
      </c>
      <c r="C2121" s="113">
        <v>6084052</v>
      </c>
      <c r="D2121" s="113" t="s">
        <v>3093</v>
      </c>
      <c r="E2121" s="113" t="s">
        <v>1620</v>
      </c>
      <c r="F2121" s="113" t="s">
        <v>3093</v>
      </c>
      <c r="G2121" s="113" t="s">
        <v>3093</v>
      </c>
      <c r="H2121" s="161">
        <v>0</v>
      </c>
      <c r="I2121" s="161" t="s">
        <v>7138</v>
      </c>
    </row>
    <row r="2122" spans="1:9">
      <c r="A2122" s="113">
        <v>100401836</v>
      </c>
      <c r="B2122" s="113" t="s">
        <v>4908</v>
      </c>
      <c r="C2122" s="113">
        <v>6084053</v>
      </c>
      <c r="D2122" s="113" t="s">
        <v>3093</v>
      </c>
      <c r="E2122" s="113" t="s">
        <v>1620</v>
      </c>
      <c r="F2122" s="113" t="s">
        <v>3093</v>
      </c>
      <c r="G2122" s="113" t="s">
        <v>3093</v>
      </c>
      <c r="H2122" s="161">
        <v>0</v>
      </c>
      <c r="I2122" s="161" t="s">
        <v>7138</v>
      </c>
    </row>
    <row r="2123" spans="1:9">
      <c r="A2123" s="113">
        <v>100401837</v>
      </c>
      <c r="B2123" s="113" t="s">
        <v>4909</v>
      </c>
      <c r="C2123" s="113">
        <v>6084054</v>
      </c>
      <c r="D2123" s="113" t="s">
        <v>3093</v>
      </c>
      <c r="E2123" s="113" t="s">
        <v>1620</v>
      </c>
      <c r="F2123" s="113" t="s">
        <v>3093</v>
      </c>
      <c r="G2123" s="113" t="s">
        <v>3093</v>
      </c>
      <c r="H2123" s="161">
        <v>0</v>
      </c>
      <c r="I2123" s="161" t="s">
        <v>7138</v>
      </c>
    </row>
    <row r="2124" spans="1:9">
      <c r="A2124" s="113">
        <v>100401838</v>
      </c>
      <c r="B2124" s="113" t="s">
        <v>4910</v>
      </c>
      <c r="C2124" s="113">
        <v>6084055</v>
      </c>
      <c r="D2124" s="113" t="s">
        <v>3093</v>
      </c>
      <c r="E2124" s="113" t="s">
        <v>1620</v>
      </c>
      <c r="F2124" s="113" t="s">
        <v>3093</v>
      </c>
      <c r="G2124" s="113" t="s">
        <v>3093</v>
      </c>
      <c r="H2124" s="161">
        <v>0</v>
      </c>
      <c r="I2124" s="161" t="s">
        <v>7138</v>
      </c>
    </row>
    <row r="2125" spans="1:9">
      <c r="A2125" s="113">
        <v>100401839</v>
      </c>
      <c r="B2125" s="113" t="s">
        <v>4911</v>
      </c>
      <c r="C2125" s="113">
        <v>6084056</v>
      </c>
      <c r="D2125" s="113" t="s">
        <v>3093</v>
      </c>
      <c r="E2125" s="113" t="s">
        <v>1620</v>
      </c>
      <c r="F2125" s="113" t="s">
        <v>3093</v>
      </c>
      <c r="G2125" s="113" t="s">
        <v>3093</v>
      </c>
      <c r="H2125" s="161">
        <v>0</v>
      </c>
      <c r="I2125" s="161" t="s">
        <v>7138</v>
      </c>
    </row>
    <row r="2126" spans="1:9">
      <c r="A2126" s="113">
        <v>100401840</v>
      </c>
      <c r="B2126" s="113" t="s">
        <v>4912</v>
      </c>
      <c r="C2126" s="113">
        <v>6084057</v>
      </c>
      <c r="D2126" s="113" t="s">
        <v>3093</v>
      </c>
      <c r="E2126" s="113" t="s">
        <v>1620</v>
      </c>
      <c r="F2126" s="113" t="s">
        <v>3093</v>
      </c>
      <c r="G2126" s="113" t="s">
        <v>3093</v>
      </c>
      <c r="H2126" s="161">
        <v>0</v>
      </c>
      <c r="I2126" s="161" t="s">
        <v>7138</v>
      </c>
    </row>
    <row r="2127" spans="1:9">
      <c r="A2127" s="113">
        <v>100401841</v>
      </c>
      <c r="B2127" s="113" t="s">
        <v>4913</v>
      </c>
      <c r="C2127" s="113">
        <v>6084058</v>
      </c>
      <c r="D2127" s="113" t="s">
        <v>3093</v>
      </c>
      <c r="E2127" s="113" t="s">
        <v>1620</v>
      </c>
      <c r="F2127" s="113" t="s">
        <v>3093</v>
      </c>
      <c r="G2127" s="113" t="s">
        <v>3093</v>
      </c>
      <c r="H2127" s="161">
        <v>0</v>
      </c>
      <c r="I2127" s="161" t="s">
        <v>7138</v>
      </c>
    </row>
    <row r="2128" spans="1:9">
      <c r="A2128" s="113">
        <v>100401842</v>
      </c>
      <c r="B2128" s="113" t="s">
        <v>4914</v>
      </c>
      <c r="C2128" s="113">
        <v>6084059</v>
      </c>
      <c r="D2128" s="113" t="s">
        <v>3093</v>
      </c>
      <c r="E2128" s="113" t="s">
        <v>1620</v>
      </c>
      <c r="F2128" s="113" t="s">
        <v>3093</v>
      </c>
      <c r="G2128" s="113" t="s">
        <v>3093</v>
      </c>
      <c r="H2128" s="161">
        <v>0</v>
      </c>
      <c r="I2128" s="161" t="s">
        <v>7138</v>
      </c>
    </row>
    <row r="2129" spans="1:9">
      <c r="A2129" s="113">
        <v>100401843</v>
      </c>
      <c r="B2129" s="113" t="s">
        <v>4915</v>
      </c>
      <c r="C2129" s="113">
        <v>6084060</v>
      </c>
      <c r="D2129" s="113" t="s">
        <v>3093</v>
      </c>
      <c r="E2129" s="113" t="s">
        <v>1620</v>
      </c>
      <c r="F2129" s="113" t="s">
        <v>3093</v>
      </c>
      <c r="G2129" s="113" t="s">
        <v>3093</v>
      </c>
      <c r="H2129" s="161">
        <v>0</v>
      </c>
      <c r="I2129" s="161" t="s">
        <v>7138</v>
      </c>
    </row>
    <row r="2130" spans="1:9">
      <c r="A2130" s="113">
        <v>100401845</v>
      </c>
      <c r="B2130" s="113" t="s">
        <v>4916</v>
      </c>
      <c r="C2130" s="113">
        <v>6084063</v>
      </c>
      <c r="D2130" s="113" t="s">
        <v>3093</v>
      </c>
      <c r="E2130" s="113" t="s">
        <v>1620</v>
      </c>
      <c r="F2130" s="113" t="s">
        <v>3093</v>
      </c>
      <c r="G2130" s="113" t="s">
        <v>3093</v>
      </c>
      <c r="H2130" s="161">
        <v>0</v>
      </c>
      <c r="I2130" s="161" t="s">
        <v>7138</v>
      </c>
    </row>
    <row r="2131" spans="1:9">
      <c r="A2131" s="113">
        <v>100401846</v>
      </c>
      <c r="B2131" s="113" t="s">
        <v>4917</v>
      </c>
      <c r="C2131" s="113">
        <v>6084064</v>
      </c>
      <c r="D2131" s="113" t="s">
        <v>3093</v>
      </c>
      <c r="E2131" s="113" t="s">
        <v>1620</v>
      </c>
      <c r="F2131" s="113" t="s">
        <v>3093</v>
      </c>
      <c r="G2131" s="113" t="s">
        <v>3093</v>
      </c>
      <c r="H2131" s="161">
        <v>0</v>
      </c>
      <c r="I2131" s="161" t="s">
        <v>7138</v>
      </c>
    </row>
    <row r="2132" spans="1:9">
      <c r="A2132" s="113">
        <v>100401847</v>
      </c>
      <c r="B2132" s="113" t="s">
        <v>4918</v>
      </c>
      <c r="C2132" s="113">
        <v>6084065</v>
      </c>
      <c r="D2132" s="113" t="s">
        <v>3093</v>
      </c>
      <c r="E2132" s="113" t="s">
        <v>1620</v>
      </c>
      <c r="F2132" s="113" t="s">
        <v>3093</v>
      </c>
      <c r="G2132" s="113" t="s">
        <v>3093</v>
      </c>
      <c r="H2132" s="161">
        <v>0</v>
      </c>
      <c r="I2132" s="161" t="s">
        <v>7138</v>
      </c>
    </row>
    <row r="2133" spans="1:9">
      <c r="A2133" s="113">
        <v>100401848</v>
      </c>
      <c r="B2133" s="113" t="s">
        <v>4919</v>
      </c>
      <c r="C2133" s="113">
        <v>6084066</v>
      </c>
      <c r="D2133" s="113" t="s">
        <v>3093</v>
      </c>
      <c r="E2133" s="113" t="s">
        <v>1620</v>
      </c>
      <c r="F2133" s="113" t="s">
        <v>3093</v>
      </c>
      <c r="G2133" s="113" t="s">
        <v>3093</v>
      </c>
      <c r="H2133" s="161">
        <v>0</v>
      </c>
      <c r="I2133" s="161" t="s">
        <v>7138</v>
      </c>
    </row>
    <row r="2134" spans="1:9">
      <c r="A2134" s="113">
        <v>100401849</v>
      </c>
      <c r="B2134" s="113" t="s">
        <v>4920</v>
      </c>
      <c r="C2134" s="113">
        <v>6084067</v>
      </c>
      <c r="D2134" s="113" t="s">
        <v>3093</v>
      </c>
      <c r="E2134" s="113" t="s">
        <v>1620</v>
      </c>
      <c r="F2134" s="113" t="s">
        <v>3093</v>
      </c>
      <c r="G2134" s="113" t="s">
        <v>3093</v>
      </c>
      <c r="H2134" s="161">
        <v>0</v>
      </c>
      <c r="I2134" s="161" t="s">
        <v>7138</v>
      </c>
    </row>
    <row r="2135" spans="1:9">
      <c r="A2135" s="113">
        <v>100401851</v>
      </c>
      <c r="B2135" s="113" t="s">
        <v>2962</v>
      </c>
      <c r="C2135" s="113">
        <v>6084073</v>
      </c>
      <c r="D2135" s="113" t="s">
        <v>3093</v>
      </c>
      <c r="E2135" s="113" t="s">
        <v>1620</v>
      </c>
      <c r="F2135" s="113" t="s">
        <v>3093</v>
      </c>
      <c r="G2135" s="113" t="s">
        <v>3093</v>
      </c>
      <c r="H2135" s="161">
        <v>0</v>
      </c>
      <c r="I2135" s="161" t="s">
        <v>7138</v>
      </c>
    </row>
    <row r="2136" spans="1:9">
      <c r="A2136" s="113">
        <v>100401852</v>
      </c>
      <c r="B2136" s="113" t="s">
        <v>2963</v>
      </c>
      <c r="C2136" s="113">
        <v>6084074</v>
      </c>
      <c r="D2136" s="113" t="s">
        <v>3093</v>
      </c>
      <c r="E2136" s="113" t="s">
        <v>1620</v>
      </c>
      <c r="F2136" s="113" t="s">
        <v>3093</v>
      </c>
      <c r="G2136" s="113" t="s">
        <v>3093</v>
      </c>
      <c r="H2136" s="161">
        <v>0</v>
      </c>
      <c r="I2136" s="161" t="s">
        <v>7138</v>
      </c>
    </row>
    <row r="2137" spans="1:9">
      <c r="A2137" s="113">
        <v>100401853</v>
      </c>
      <c r="B2137" s="113" t="s">
        <v>2964</v>
      </c>
      <c r="C2137" s="113">
        <v>6084075</v>
      </c>
      <c r="D2137" s="113" t="s">
        <v>3093</v>
      </c>
      <c r="E2137" s="113" t="s">
        <v>1620</v>
      </c>
      <c r="F2137" s="113" t="s">
        <v>3093</v>
      </c>
      <c r="G2137" s="113" t="s">
        <v>3093</v>
      </c>
      <c r="H2137" s="161">
        <v>0</v>
      </c>
      <c r="I2137" s="161" t="s">
        <v>7138</v>
      </c>
    </row>
    <row r="2138" spans="1:9">
      <c r="A2138" s="113">
        <v>100401854</v>
      </c>
      <c r="B2138" s="113" t="s">
        <v>2965</v>
      </c>
      <c r="C2138" s="113">
        <v>6084076</v>
      </c>
      <c r="D2138" s="113" t="s">
        <v>3093</v>
      </c>
      <c r="E2138" s="113" t="s">
        <v>1620</v>
      </c>
      <c r="F2138" s="113" t="s">
        <v>3093</v>
      </c>
      <c r="G2138" s="113" t="s">
        <v>3093</v>
      </c>
      <c r="H2138" s="161">
        <v>0</v>
      </c>
      <c r="I2138" s="161" t="s">
        <v>7138</v>
      </c>
    </row>
    <row r="2139" spans="1:9">
      <c r="A2139" s="113">
        <v>100401855</v>
      </c>
      <c r="B2139" s="113" t="s">
        <v>2966</v>
      </c>
      <c r="C2139" s="113">
        <v>6084077</v>
      </c>
      <c r="D2139" s="113" t="s">
        <v>3093</v>
      </c>
      <c r="E2139" s="113" t="s">
        <v>1620</v>
      </c>
      <c r="F2139" s="113" t="s">
        <v>3093</v>
      </c>
      <c r="G2139" s="113" t="s">
        <v>3093</v>
      </c>
      <c r="H2139" s="161">
        <v>0</v>
      </c>
      <c r="I2139" s="161" t="s">
        <v>7138</v>
      </c>
    </row>
    <row r="2140" spans="1:9">
      <c r="A2140" s="113">
        <v>100401856</v>
      </c>
      <c r="B2140" s="113" t="s">
        <v>2967</v>
      </c>
      <c r="C2140" s="113">
        <v>6084078</v>
      </c>
      <c r="D2140" s="113" t="s">
        <v>3093</v>
      </c>
      <c r="E2140" s="113" t="s">
        <v>1620</v>
      </c>
      <c r="F2140" s="113" t="s">
        <v>3093</v>
      </c>
      <c r="G2140" s="113" t="s">
        <v>3093</v>
      </c>
      <c r="H2140" s="161">
        <v>0</v>
      </c>
      <c r="I2140" s="161" t="s">
        <v>7138</v>
      </c>
    </row>
    <row r="2141" spans="1:9">
      <c r="A2141" s="113">
        <v>100401857</v>
      </c>
      <c r="B2141" s="113" t="s">
        <v>2968</v>
      </c>
      <c r="C2141" s="113">
        <v>6084079</v>
      </c>
      <c r="D2141" s="113" t="s">
        <v>3093</v>
      </c>
      <c r="E2141" s="113" t="s">
        <v>1620</v>
      </c>
      <c r="F2141" s="113" t="s">
        <v>3093</v>
      </c>
      <c r="G2141" s="113" t="s">
        <v>3093</v>
      </c>
      <c r="H2141" s="161">
        <v>0</v>
      </c>
      <c r="I2141" s="161" t="s">
        <v>7138</v>
      </c>
    </row>
    <row r="2142" spans="1:9">
      <c r="A2142" s="113">
        <v>100401858</v>
      </c>
      <c r="B2142" s="113" t="s">
        <v>4921</v>
      </c>
      <c r="C2142" s="113">
        <v>6084080</v>
      </c>
      <c r="D2142" s="113" t="s">
        <v>3093</v>
      </c>
      <c r="E2142" s="113" t="s">
        <v>1620</v>
      </c>
      <c r="F2142" s="113" t="s">
        <v>3093</v>
      </c>
      <c r="G2142" s="113" t="s">
        <v>3093</v>
      </c>
      <c r="H2142" s="161">
        <v>299</v>
      </c>
      <c r="I2142" s="161">
        <v>10</v>
      </c>
    </row>
    <row r="2143" spans="1:9">
      <c r="A2143" s="113">
        <v>100401860</v>
      </c>
      <c r="B2143" s="113" t="s">
        <v>4922</v>
      </c>
      <c r="C2143" s="113">
        <v>6084082</v>
      </c>
      <c r="D2143" s="113" t="s">
        <v>3093</v>
      </c>
      <c r="E2143" s="113" t="s">
        <v>1620</v>
      </c>
      <c r="F2143" s="113" t="s">
        <v>3093</v>
      </c>
      <c r="G2143" s="113" t="s">
        <v>3093</v>
      </c>
      <c r="H2143" s="161">
        <v>61.02</v>
      </c>
      <c r="I2143" s="161" t="s">
        <v>7138</v>
      </c>
    </row>
    <row r="2144" spans="1:9">
      <c r="A2144" s="113">
        <v>100401861</v>
      </c>
      <c r="B2144" s="113" t="s">
        <v>2969</v>
      </c>
      <c r="C2144" s="113">
        <v>6084083</v>
      </c>
      <c r="D2144" s="113" t="s">
        <v>3093</v>
      </c>
      <c r="E2144" s="113" t="s">
        <v>1620</v>
      </c>
      <c r="F2144" s="113" t="s">
        <v>3093</v>
      </c>
      <c r="G2144" s="113" t="s">
        <v>3093</v>
      </c>
      <c r="H2144" s="161">
        <v>0</v>
      </c>
      <c r="I2144" s="161" t="s">
        <v>7138</v>
      </c>
    </row>
    <row r="2145" spans="1:9">
      <c r="A2145" s="113">
        <v>100401862</v>
      </c>
      <c r="B2145" s="113" t="s">
        <v>2970</v>
      </c>
      <c r="C2145" s="113">
        <v>6084084</v>
      </c>
      <c r="D2145" s="113" t="s">
        <v>3093</v>
      </c>
      <c r="E2145" s="113" t="s">
        <v>1620</v>
      </c>
      <c r="F2145" s="113" t="s">
        <v>3093</v>
      </c>
      <c r="G2145" s="113" t="s">
        <v>3093</v>
      </c>
      <c r="H2145" s="161">
        <v>0</v>
      </c>
      <c r="I2145" s="161" t="s">
        <v>7138</v>
      </c>
    </row>
    <row r="2146" spans="1:9">
      <c r="A2146" s="113">
        <v>100401863</v>
      </c>
      <c r="B2146" s="113" t="s">
        <v>2971</v>
      </c>
      <c r="C2146" s="113">
        <v>6084085</v>
      </c>
      <c r="D2146" s="113" t="s">
        <v>3093</v>
      </c>
      <c r="E2146" s="113" t="s">
        <v>1620</v>
      </c>
      <c r="F2146" s="113" t="s">
        <v>3093</v>
      </c>
      <c r="G2146" s="113" t="s">
        <v>3093</v>
      </c>
      <c r="H2146" s="161">
        <v>0</v>
      </c>
      <c r="I2146" s="161" t="s">
        <v>7138</v>
      </c>
    </row>
    <row r="2147" spans="1:9">
      <c r="A2147" s="113">
        <v>100401864</v>
      </c>
      <c r="B2147" s="113" t="s">
        <v>4923</v>
      </c>
      <c r="C2147" s="113">
        <v>6084090</v>
      </c>
      <c r="D2147" s="113" t="s">
        <v>3093</v>
      </c>
      <c r="E2147" s="113" t="s">
        <v>1620</v>
      </c>
      <c r="F2147" s="113" t="s">
        <v>3093</v>
      </c>
      <c r="G2147" s="113" t="s">
        <v>3093</v>
      </c>
      <c r="H2147" s="161">
        <v>0</v>
      </c>
      <c r="I2147" s="161" t="s">
        <v>7138</v>
      </c>
    </row>
    <row r="2148" spans="1:9">
      <c r="A2148" s="113">
        <v>100401865</v>
      </c>
      <c r="B2148" s="113" t="s">
        <v>4924</v>
      </c>
      <c r="C2148" s="113">
        <v>6084091</v>
      </c>
      <c r="D2148" s="113" t="s">
        <v>3093</v>
      </c>
      <c r="E2148" s="113" t="s">
        <v>1620</v>
      </c>
      <c r="F2148" s="113" t="s">
        <v>3093</v>
      </c>
      <c r="G2148" s="113" t="s">
        <v>3093</v>
      </c>
      <c r="H2148" s="161">
        <v>0</v>
      </c>
      <c r="I2148" s="161" t="s">
        <v>7138</v>
      </c>
    </row>
    <row r="2149" spans="1:9">
      <c r="A2149" s="113">
        <v>100401866</v>
      </c>
      <c r="B2149" s="113" t="s">
        <v>4925</v>
      </c>
      <c r="C2149" s="113">
        <v>6084092</v>
      </c>
      <c r="D2149" s="113" t="s">
        <v>3093</v>
      </c>
      <c r="E2149" s="113" t="s">
        <v>1620</v>
      </c>
      <c r="F2149" s="113" t="s">
        <v>3093</v>
      </c>
      <c r="G2149" s="113" t="s">
        <v>3093</v>
      </c>
      <c r="H2149" s="161">
        <v>0</v>
      </c>
      <c r="I2149" s="161" t="s">
        <v>7138</v>
      </c>
    </row>
    <row r="2150" spans="1:9">
      <c r="A2150" s="113">
        <v>100401867</v>
      </c>
      <c r="B2150" s="113" t="s">
        <v>4926</v>
      </c>
      <c r="C2150" s="113">
        <v>6085004</v>
      </c>
      <c r="D2150" s="113" t="s">
        <v>3093</v>
      </c>
      <c r="E2150" s="113" t="s">
        <v>1620</v>
      </c>
      <c r="F2150" s="113" t="s">
        <v>3093</v>
      </c>
      <c r="G2150" s="113" t="s">
        <v>3093</v>
      </c>
      <c r="H2150" s="161">
        <v>165</v>
      </c>
      <c r="I2150" s="161" t="s">
        <v>7138</v>
      </c>
    </row>
    <row r="2151" spans="1:9">
      <c r="A2151" s="113">
        <v>100401868</v>
      </c>
      <c r="B2151" s="113" t="s">
        <v>4927</v>
      </c>
      <c r="C2151" s="113">
        <v>6085010</v>
      </c>
      <c r="D2151" s="113" t="s">
        <v>3093</v>
      </c>
      <c r="E2151" s="113" t="s">
        <v>1620</v>
      </c>
      <c r="F2151" s="113" t="s">
        <v>3093</v>
      </c>
      <c r="G2151" s="113" t="s">
        <v>3093</v>
      </c>
      <c r="H2151" s="161">
        <v>0</v>
      </c>
      <c r="I2151" s="161" t="s">
        <v>7138</v>
      </c>
    </row>
    <row r="2152" spans="1:9">
      <c r="A2152" s="113">
        <v>100401869</v>
      </c>
      <c r="B2152" s="113" t="s">
        <v>4928</v>
      </c>
      <c r="C2152" s="113">
        <v>6085011</v>
      </c>
      <c r="D2152" s="113" t="s">
        <v>3093</v>
      </c>
      <c r="E2152" s="113" t="s">
        <v>1620</v>
      </c>
      <c r="F2152" s="113" t="s">
        <v>3093</v>
      </c>
      <c r="G2152" s="113" t="s">
        <v>3093</v>
      </c>
      <c r="H2152" s="161">
        <v>0</v>
      </c>
      <c r="I2152" s="161" t="s">
        <v>7138</v>
      </c>
    </row>
    <row r="2153" spans="1:9">
      <c r="A2153" s="113">
        <v>100401870</v>
      </c>
      <c r="B2153" s="113" t="s">
        <v>4929</v>
      </c>
      <c r="C2153" s="113">
        <v>6085012</v>
      </c>
      <c r="D2153" s="113" t="s">
        <v>3093</v>
      </c>
      <c r="E2153" s="113" t="s">
        <v>1620</v>
      </c>
      <c r="F2153" s="113" t="s">
        <v>3093</v>
      </c>
      <c r="G2153" s="113" t="s">
        <v>3093</v>
      </c>
      <c r="H2153" s="161">
        <v>0</v>
      </c>
      <c r="I2153" s="161" t="s">
        <v>7138</v>
      </c>
    </row>
    <row r="2154" spans="1:9">
      <c r="A2154" s="113">
        <v>100401871</v>
      </c>
      <c r="B2154" s="113" t="s">
        <v>4930</v>
      </c>
      <c r="C2154" s="113">
        <v>6085013</v>
      </c>
      <c r="D2154" s="113" t="s">
        <v>3093</v>
      </c>
      <c r="E2154" s="113" t="s">
        <v>1620</v>
      </c>
      <c r="F2154" s="113" t="s">
        <v>3093</v>
      </c>
      <c r="G2154" s="113" t="s">
        <v>3093</v>
      </c>
      <c r="H2154" s="161">
        <v>0</v>
      </c>
      <c r="I2154" s="161" t="s">
        <v>7138</v>
      </c>
    </row>
    <row r="2155" spans="1:9">
      <c r="A2155" s="113">
        <v>100401872</v>
      </c>
      <c r="B2155" s="113" t="s">
        <v>4931</v>
      </c>
      <c r="C2155" s="113">
        <v>6086018</v>
      </c>
      <c r="D2155" s="113" t="s">
        <v>3093</v>
      </c>
      <c r="E2155" s="113" t="s">
        <v>1620</v>
      </c>
      <c r="F2155" s="113" t="s">
        <v>3093</v>
      </c>
      <c r="G2155" s="113" t="s">
        <v>3093</v>
      </c>
      <c r="H2155" s="161">
        <v>50.85</v>
      </c>
      <c r="I2155" s="161">
        <v>0</v>
      </c>
    </row>
    <row r="2156" spans="1:9">
      <c r="A2156" s="113">
        <v>100401873</v>
      </c>
      <c r="B2156" s="113" t="s">
        <v>4932</v>
      </c>
      <c r="C2156" s="113">
        <v>6086019</v>
      </c>
      <c r="D2156" s="113" t="s">
        <v>3093</v>
      </c>
      <c r="E2156" s="113" t="s">
        <v>1620</v>
      </c>
      <c r="F2156" s="113" t="s">
        <v>3093</v>
      </c>
      <c r="G2156" s="113" t="s">
        <v>3093</v>
      </c>
      <c r="H2156" s="161">
        <v>13</v>
      </c>
      <c r="I2156" s="161">
        <v>0</v>
      </c>
    </row>
    <row r="2157" spans="1:9">
      <c r="A2157" s="113">
        <v>100401875</v>
      </c>
      <c r="B2157" s="113" t="s">
        <v>4933</v>
      </c>
      <c r="C2157" s="113">
        <v>6086021</v>
      </c>
      <c r="D2157" s="113" t="s">
        <v>3093</v>
      </c>
      <c r="E2157" s="113" t="s">
        <v>1620</v>
      </c>
      <c r="F2157" s="113" t="s">
        <v>3093</v>
      </c>
      <c r="G2157" s="113" t="s">
        <v>3093</v>
      </c>
      <c r="H2157" s="161">
        <v>0</v>
      </c>
      <c r="I2157" s="161" t="s">
        <v>7138</v>
      </c>
    </row>
    <row r="2158" spans="1:9">
      <c r="A2158" s="113">
        <v>100401877</v>
      </c>
      <c r="B2158" s="113" t="s">
        <v>4934</v>
      </c>
      <c r="C2158" s="113">
        <v>6086023</v>
      </c>
      <c r="D2158" s="113" t="s">
        <v>3093</v>
      </c>
      <c r="E2158" s="113" t="s">
        <v>1620</v>
      </c>
      <c r="F2158" s="113" t="s">
        <v>3093</v>
      </c>
      <c r="G2158" s="113" t="s">
        <v>3093</v>
      </c>
      <c r="H2158" s="161">
        <v>0</v>
      </c>
      <c r="I2158" s="161" t="s">
        <v>7138</v>
      </c>
    </row>
    <row r="2159" spans="1:9">
      <c r="A2159" s="113">
        <v>100401878</v>
      </c>
      <c r="B2159" s="113" t="s">
        <v>700</v>
      </c>
      <c r="C2159" s="113">
        <v>6086024</v>
      </c>
      <c r="D2159" s="113" t="s">
        <v>3093</v>
      </c>
      <c r="E2159" s="113" t="s">
        <v>1620</v>
      </c>
      <c r="F2159" s="113" t="s">
        <v>3093</v>
      </c>
      <c r="G2159" s="113" t="s">
        <v>3093</v>
      </c>
      <c r="H2159" s="161">
        <v>2.95</v>
      </c>
      <c r="I2159" s="161">
        <v>6</v>
      </c>
    </row>
    <row r="2160" spans="1:9">
      <c r="A2160" s="113">
        <v>100401879</v>
      </c>
      <c r="B2160" s="113" t="s">
        <v>4935</v>
      </c>
      <c r="C2160" s="113">
        <v>6086025</v>
      </c>
      <c r="D2160" s="113" t="s">
        <v>3093</v>
      </c>
      <c r="E2160" s="113" t="s">
        <v>1620</v>
      </c>
      <c r="F2160" s="113" t="s">
        <v>3093</v>
      </c>
      <c r="G2160" s="113" t="s">
        <v>3093</v>
      </c>
      <c r="H2160" s="161">
        <v>29</v>
      </c>
      <c r="I2160" s="161">
        <v>0</v>
      </c>
    </row>
    <row r="2161" spans="1:9">
      <c r="A2161" s="113">
        <v>100401880</v>
      </c>
      <c r="B2161" s="113" t="s">
        <v>4936</v>
      </c>
      <c r="C2161" s="113">
        <v>6086026</v>
      </c>
      <c r="D2161" s="113" t="s">
        <v>3093</v>
      </c>
      <c r="E2161" s="113" t="s">
        <v>1620</v>
      </c>
      <c r="F2161" s="113" t="s">
        <v>3093</v>
      </c>
      <c r="G2161" s="113" t="s">
        <v>3093</v>
      </c>
      <c r="H2161" s="161">
        <v>30</v>
      </c>
      <c r="I2161" s="161">
        <v>12</v>
      </c>
    </row>
    <row r="2162" spans="1:9">
      <c r="A2162" s="113">
        <v>100401881</v>
      </c>
      <c r="B2162" s="113" t="s">
        <v>4937</v>
      </c>
      <c r="C2162" s="113">
        <v>6086027</v>
      </c>
      <c r="D2162" s="113" t="s">
        <v>3093</v>
      </c>
      <c r="E2162" s="113" t="s">
        <v>1620</v>
      </c>
      <c r="F2162" s="113" t="s">
        <v>3093</v>
      </c>
      <c r="G2162" s="113" t="s">
        <v>3093</v>
      </c>
      <c r="H2162" s="161">
        <v>0</v>
      </c>
      <c r="I2162" s="161" t="s">
        <v>7138</v>
      </c>
    </row>
    <row r="2163" spans="1:9">
      <c r="A2163" s="113">
        <v>100401882</v>
      </c>
      <c r="B2163" s="113" t="s">
        <v>4938</v>
      </c>
      <c r="C2163" s="113">
        <v>6086030</v>
      </c>
      <c r="D2163" s="113" t="s">
        <v>3093</v>
      </c>
      <c r="E2163" s="113" t="s">
        <v>1620</v>
      </c>
      <c r="F2163" s="113" t="s">
        <v>3093</v>
      </c>
      <c r="G2163" s="113" t="s">
        <v>3093</v>
      </c>
      <c r="H2163" s="161">
        <v>13.5</v>
      </c>
      <c r="I2163" s="161">
        <v>8</v>
      </c>
    </row>
    <row r="2164" spans="1:9">
      <c r="A2164" s="113">
        <v>100401883</v>
      </c>
      <c r="B2164" s="113" t="s">
        <v>4939</v>
      </c>
      <c r="C2164" s="113">
        <v>6086031</v>
      </c>
      <c r="D2164" s="113" t="s">
        <v>3093</v>
      </c>
      <c r="E2164" s="113" t="s">
        <v>1620</v>
      </c>
      <c r="F2164" s="113" t="s">
        <v>3093</v>
      </c>
      <c r="G2164" s="113" t="s">
        <v>3093</v>
      </c>
      <c r="H2164" s="161">
        <v>0</v>
      </c>
      <c r="I2164" s="161" t="s">
        <v>7138</v>
      </c>
    </row>
    <row r="2165" spans="1:9">
      <c r="A2165" s="113">
        <v>100401884</v>
      </c>
      <c r="B2165" s="113" t="s">
        <v>4940</v>
      </c>
      <c r="C2165" s="113">
        <v>6086032</v>
      </c>
      <c r="D2165" s="113" t="s">
        <v>3093</v>
      </c>
      <c r="E2165" s="113" t="s">
        <v>1620</v>
      </c>
      <c r="F2165" s="113" t="s">
        <v>3093</v>
      </c>
      <c r="G2165" s="113" t="s">
        <v>3093</v>
      </c>
      <c r="H2165" s="161">
        <v>0</v>
      </c>
      <c r="I2165" s="161" t="s">
        <v>7138</v>
      </c>
    </row>
    <row r="2166" spans="1:9">
      <c r="A2166" s="113">
        <v>100401885</v>
      </c>
      <c r="B2166" s="113" t="s">
        <v>4941</v>
      </c>
      <c r="C2166" s="113">
        <v>6086033</v>
      </c>
      <c r="D2166" s="113" t="s">
        <v>3093</v>
      </c>
      <c r="E2166" s="113" t="s">
        <v>1620</v>
      </c>
      <c r="F2166" s="113" t="s">
        <v>3093</v>
      </c>
      <c r="G2166" s="113" t="s">
        <v>3093</v>
      </c>
      <c r="H2166" s="161">
        <v>0</v>
      </c>
      <c r="I2166" s="161" t="s">
        <v>7138</v>
      </c>
    </row>
    <row r="2167" spans="1:9">
      <c r="A2167" s="113">
        <v>100401886</v>
      </c>
      <c r="B2167" s="113" t="s">
        <v>4942</v>
      </c>
      <c r="C2167" s="113">
        <v>6086034</v>
      </c>
      <c r="D2167" s="113" t="s">
        <v>3093</v>
      </c>
      <c r="E2167" s="113" t="s">
        <v>1620</v>
      </c>
      <c r="F2167" s="113" t="s">
        <v>3093</v>
      </c>
      <c r="G2167" s="113" t="s">
        <v>3093</v>
      </c>
      <c r="H2167" s="161">
        <v>0</v>
      </c>
      <c r="I2167" s="161" t="s">
        <v>7138</v>
      </c>
    </row>
    <row r="2168" spans="1:9">
      <c r="A2168" s="113">
        <v>100401887</v>
      </c>
      <c r="B2168" s="113" t="s">
        <v>4943</v>
      </c>
      <c r="C2168" s="113">
        <v>6086035</v>
      </c>
      <c r="D2168" s="113" t="s">
        <v>3093</v>
      </c>
      <c r="E2168" s="113" t="s">
        <v>1620</v>
      </c>
      <c r="F2168" s="113" t="s">
        <v>3093</v>
      </c>
      <c r="G2168" s="113" t="s">
        <v>3093</v>
      </c>
      <c r="H2168" s="161">
        <v>0</v>
      </c>
      <c r="I2168" s="161" t="s">
        <v>7138</v>
      </c>
    </row>
    <row r="2169" spans="1:9">
      <c r="A2169" s="113">
        <v>100401888</v>
      </c>
      <c r="B2169" s="113" t="s">
        <v>4944</v>
      </c>
      <c r="C2169" s="113">
        <v>6086036</v>
      </c>
      <c r="D2169" s="113" t="s">
        <v>3093</v>
      </c>
      <c r="E2169" s="113" t="s">
        <v>1620</v>
      </c>
      <c r="F2169" s="113" t="s">
        <v>3093</v>
      </c>
      <c r="G2169" s="113" t="s">
        <v>3093</v>
      </c>
      <c r="H2169" s="161">
        <v>0</v>
      </c>
      <c r="I2169" s="161" t="s">
        <v>7138</v>
      </c>
    </row>
    <row r="2170" spans="1:9">
      <c r="A2170" s="113">
        <v>100401889</v>
      </c>
      <c r="B2170" s="113" t="s">
        <v>4945</v>
      </c>
      <c r="C2170" s="113">
        <v>6086037</v>
      </c>
      <c r="D2170" s="113" t="s">
        <v>3093</v>
      </c>
      <c r="E2170" s="113" t="s">
        <v>1620</v>
      </c>
      <c r="F2170" s="113" t="s">
        <v>3093</v>
      </c>
      <c r="G2170" s="113" t="s">
        <v>3093</v>
      </c>
      <c r="H2170" s="161">
        <v>21.19</v>
      </c>
      <c r="I2170" s="161">
        <v>2</v>
      </c>
    </row>
    <row r="2171" spans="1:9">
      <c r="A2171" s="113">
        <v>100401890</v>
      </c>
      <c r="B2171" s="113" t="s">
        <v>4946</v>
      </c>
      <c r="C2171" s="113">
        <v>6086038</v>
      </c>
      <c r="D2171" s="113" t="s">
        <v>3093</v>
      </c>
      <c r="E2171" s="113" t="s">
        <v>1620</v>
      </c>
      <c r="F2171" s="113" t="s">
        <v>3093</v>
      </c>
      <c r="G2171" s="113" t="s">
        <v>3093</v>
      </c>
      <c r="H2171" s="161">
        <v>246</v>
      </c>
      <c r="I2171" s="161">
        <v>2</v>
      </c>
    </row>
    <row r="2172" spans="1:9">
      <c r="A2172" s="113">
        <v>100401891</v>
      </c>
      <c r="B2172" s="113" t="s">
        <v>4947</v>
      </c>
      <c r="C2172" s="113">
        <v>6086039</v>
      </c>
      <c r="D2172" s="113" t="s">
        <v>3093</v>
      </c>
      <c r="E2172" s="113" t="s">
        <v>1620</v>
      </c>
      <c r="F2172" s="113" t="s">
        <v>3093</v>
      </c>
      <c r="G2172" s="113" t="s">
        <v>3093</v>
      </c>
      <c r="H2172" s="161">
        <v>0</v>
      </c>
      <c r="I2172" s="161" t="s">
        <v>7138</v>
      </c>
    </row>
    <row r="2173" spans="1:9">
      <c r="A2173" s="113">
        <v>100401892</v>
      </c>
      <c r="B2173" s="113" t="s">
        <v>4948</v>
      </c>
      <c r="C2173" s="113">
        <v>6086040</v>
      </c>
      <c r="D2173" s="113" t="s">
        <v>3093</v>
      </c>
      <c r="E2173" s="113" t="s">
        <v>1620</v>
      </c>
      <c r="F2173" s="113" t="s">
        <v>3093</v>
      </c>
      <c r="G2173" s="113" t="s">
        <v>3093</v>
      </c>
      <c r="H2173" s="161">
        <v>23.8</v>
      </c>
      <c r="I2173" s="161">
        <v>2</v>
      </c>
    </row>
    <row r="2174" spans="1:9">
      <c r="A2174" s="113">
        <v>100401893</v>
      </c>
      <c r="B2174" s="113" t="s">
        <v>4949</v>
      </c>
      <c r="C2174" s="113">
        <v>6086041</v>
      </c>
      <c r="D2174" s="113" t="s">
        <v>3093</v>
      </c>
      <c r="E2174" s="113" t="s">
        <v>1620</v>
      </c>
      <c r="F2174" s="113" t="s">
        <v>3093</v>
      </c>
      <c r="G2174" s="113" t="s">
        <v>3093</v>
      </c>
      <c r="H2174" s="161">
        <v>0</v>
      </c>
      <c r="I2174" s="161" t="s">
        <v>7138</v>
      </c>
    </row>
    <row r="2175" spans="1:9">
      <c r="A2175" s="113">
        <v>100401894</v>
      </c>
      <c r="B2175" s="113" t="s">
        <v>2972</v>
      </c>
      <c r="C2175" s="113">
        <v>6086042</v>
      </c>
      <c r="D2175" s="113" t="s">
        <v>3093</v>
      </c>
      <c r="E2175" s="113" t="s">
        <v>1620</v>
      </c>
      <c r="F2175" s="113" t="s">
        <v>3093</v>
      </c>
      <c r="G2175" s="113" t="s">
        <v>3093</v>
      </c>
      <c r="H2175" s="161">
        <v>0</v>
      </c>
      <c r="I2175" s="161" t="s">
        <v>7138</v>
      </c>
    </row>
    <row r="2176" spans="1:9">
      <c r="A2176" s="113">
        <v>100401895</v>
      </c>
      <c r="B2176" s="113" t="s">
        <v>4950</v>
      </c>
      <c r="C2176" s="113">
        <v>6086043</v>
      </c>
      <c r="D2176" s="113" t="s">
        <v>3093</v>
      </c>
      <c r="E2176" s="113" t="s">
        <v>1620</v>
      </c>
      <c r="F2176" s="113" t="s">
        <v>3093</v>
      </c>
      <c r="G2176" s="113" t="s">
        <v>3093</v>
      </c>
      <c r="H2176" s="161">
        <v>0</v>
      </c>
      <c r="I2176" s="161" t="s">
        <v>7138</v>
      </c>
    </row>
    <row r="2177" spans="1:9">
      <c r="A2177" s="113">
        <v>100401896</v>
      </c>
      <c r="B2177" s="113" t="s">
        <v>4951</v>
      </c>
      <c r="C2177" s="113">
        <v>6086044</v>
      </c>
      <c r="D2177" s="113" t="s">
        <v>3093</v>
      </c>
      <c r="E2177" s="113" t="s">
        <v>1620</v>
      </c>
      <c r="F2177" s="113" t="s">
        <v>3093</v>
      </c>
      <c r="G2177" s="113" t="s">
        <v>3093</v>
      </c>
      <c r="H2177" s="161">
        <v>4</v>
      </c>
      <c r="I2177" s="161">
        <v>2</v>
      </c>
    </row>
    <row r="2178" spans="1:9">
      <c r="A2178" s="113">
        <v>100401897</v>
      </c>
      <c r="B2178" s="113" t="s">
        <v>4952</v>
      </c>
      <c r="C2178" s="113">
        <v>6086045</v>
      </c>
      <c r="D2178" s="113" t="s">
        <v>3093</v>
      </c>
      <c r="E2178" s="113" t="s">
        <v>1620</v>
      </c>
      <c r="F2178" s="113" t="s">
        <v>3093</v>
      </c>
      <c r="G2178" s="113" t="s">
        <v>3093</v>
      </c>
      <c r="H2178" s="161">
        <v>0</v>
      </c>
      <c r="I2178" s="161" t="s">
        <v>7138</v>
      </c>
    </row>
    <row r="2179" spans="1:9">
      <c r="A2179" s="113">
        <v>100401898</v>
      </c>
      <c r="B2179" s="113" t="s">
        <v>4953</v>
      </c>
      <c r="C2179" s="113">
        <v>6086046</v>
      </c>
      <c r="D2179" s="113" t="s">
        <v>3093</v>
      </c>
      <c r="E2179" s="113" t="s">
        <v>1620</v>
      </c>
      <c r="F2179" s="113" t="s">
        <v>3093</v>
      </c>
      <c r="G2179" s="113" t="s">
        <v>3093</v>
      </c>
      <c r="H2179" s="161">
        <v>0</v>
      </c>
      <c r="I2179" s="161" t="s">
        <v>7138</v>
      </c>
    </row>
    <row r="2180" spans="1:9">
      <c r="A2180" s="113">
        <v>100401899</v>
      </c>
      <c r="B2180" s="113" t="s">
        <v>4954</v>
      </c>
      <c r="C2180" s="113">
        <v>6086047</v>
      </c>
      <c r="D2180" s="113" t="s">
        <v>3093</v>
      </c>
      <c r="E2180" s="113" t="s">
        <v>1620</v>
      </c>
      <c r="F2180" s="113" t="s">
        <v>3093</v>
      </c>
      <c r="G2180" s="113" t="s">
        <v>3093</v>
      </c>
      <c r="H2180" s="161">
        <v>0</v>
      </c>
      <c r="I2180" s="161" t="s">
        <v>7138</v>
      </c>
    </row>
    <row r="2181" spans="1:9">
      <c r="A2181" s="113">
        <v>100401900</v>
      </c>
      <c r="B2181" s="113" t="s">
        <v>4955</v>
      </c>
      <c r="C2181" s="113">
        <v>6086048</v>
      </c>
      <c r="D2181" s="113" t="s">
        <v>3093</v>
      </c>
      <c r="E2181" s="113" t="s">
        <v>1620</v>
      </c>
      <c r="F2181" s="113" t="s">
        <v>3093</v>
      </c>
      <c r="G2181" s="113" t="s">
        <v>3093</v>
      </c>
      <c r="H2181" s="161">
        <v>0</v>
      </c>
      <c r="I2181" s="161" t="s">
        <v>7138</v>
      </c>
    </row>
    <row r="2182" spans="1:9">
      <c r="A2182" s="113">
        <v>100401901</v>
      </c>
      <c r="B2182" s="113" t="s">
        <v>4956</v>
      </c>
      <c r="C2182" s="113">
        <v>6086049</v>
      </c>
      <c r="D2182" s="113" t="s">
        <v>3093</v>
      </c>
      <c r="E2182" s="113" t="s">
        <v>1620</v>
      </c>
      <c r="F2182" s="113" t="s">
        <v>3093</v>
      </c>
      <c r="G2182" s="113" t="s">
        <v>3093</v>
      </c>
      <c r="H2182" s="161">
        <v>0</v>
      </c>
      <c r="I2182" s="161" t="s">
        <v>7138</v>
      </c>
    </row>
    <row r="2183" spans="1:9">
      <c r="A2183" s="113">
        <v>100401902</v>
      </c>
      <c r="B2183" s="113" t="s">
        <v>4957</v>
      </c>
      <c r="C2183" s="113">
        <v>6086050</v>
      </c>
      <c r="D2183" s="113" t="s">
        <v>3093</v>
      </c>
      <c r="E2183" s="113" t="s">
        <v>1620</v>
      </c>
      <c r="F2183" s="113" t="s">
        <v>3093</v>
      </c>
      <c r="G2183" s="113" t="s">
        <v>3093</v>
      </c>
      <c r="H2183" s="161">
        <v>0</v>
      </c>
      <c r="I2183" s="161" t="s">
        <v>7138</v>
      </c>
    </row>
    <row r="2184" spans="1:9">
      <c r="A2184" s="113">
        <v>100401903</v>
      </c>
      <c r="B2184" s="113" t="s">
        <v>4958</v>
      </c>
      <c r="C2184" s="113">
        <v>6087011</v>
      </c>
      <c r="D2184" s="113" t="s">
        <v>3093</v>
      </c>
      <c r="E2184" s="113" t="s">
        <v>1620</v>
      </c>
      <c r="F2184" s="113" t="s">
        <v>3093</v>
      </c>
      <c r="G2184" s="113" t="s">
        <v>3093</v>
      </c>
      <c r="H2184" s="161">
        <v>250</v>
      </c>
      <c r="I2184" s="161">
        <v>2</v>
      </c>
    </row>
    <row r="2185" spans="1:9">
      <c r="A2185" s="113">
        <v>100401904</v>
      </c>
      <c r="B2185" s="113" t="s">
        <v>4959</v>
      </c>
      <c r="C2185" s="113">
        <v>6087012</v>
      </c>
      <c r="D2185" s="113" t="s">
        <v>3093</v>
      </c>
      <c r="E2185" s="113" t="s">
        <v>1620</v>
      </c>
      <c r="F2185" s="113" t="s">
        <v>3093</v>
      </c>
      <c r="G2185" s="113" t="s">
        <v>3093</v>
      </c>
      <c r="H2185" s="161">
        <v>0</v>
      </c>
      <c r="I2185" s="161" t="s">
        <v>7138</v>
      </c>
    </row>
    <row r="2186" spans="1:9">
      <c r="A2186" s="113">
        <v>100401905</v>
      </c>
      <c r="B2186" s="113" t="s">
        <v>4960</v>
      </c>
      <c r="C2186" s="113">
        <v>6087013</v>
      </c>
      <c r="D2186" s="113" t="s">
        <v>3093</v>
      </c>
      <c r="E2186" s="113" t="s">
        <v>1620</v>
      </c>
      <c r="F2186" s="113" t="s">
        <v>3093</v>
      </c>
      <c r="G2186" s="113" t="s">
        <v>3093</v>
      </c>
      <c r="H2186" s="161">
        <v>0</v>
      </c>
      <c r="I2186" s="161" t="s">
        <v>7138</v>
      </c>
    </row>
    <row r="2187" spans="1:9">
      <c r="A2187" s="113">
        <v>100401906</v>
      </c>
      <c r="B2187" s="113" t="s">
        <v>4961</v>
      </c>
      <c r="C2187" s="113">
        <v>6087014</v>
      </c>
      <c r="D2187" s="113" t="s">
        <v>3093</v>
      </c>
      <c r="E2187" s="113" t="s">
        <v>1620</v>
      </c>
      <c r="F2187" s="113" t="s">
        <v>3093</v>
      </c>
      <c r="G2187" s="113" t="s">
        <v>3093</v>
      </c>
      <c r="H2187" s="161">
        <v>0</v>
      </c>
      <c r="I2187" s="161" t="s">
        <v>7138</v>
      </c>
    </row>
    <row r="2188" spans="1:9">
      <c r="A2188" s="113">
        <v>100401907</v>
      </c>
      <c r="B2188" s="113" t="s">
        <v>4962</v>
      </c>
      <c r="C2188" s="113">
        <v>6087015</v>
      </c>
      <c r="D2188" s="113" t="s">
        <v>3093</v>
      </c>
      <c r="E2188" s="113" t="s">
        <v>1620</v>
      </c>
      <c r="F2188" s="113" t="s">
        <v>3093</v>
      </c>
      <c r="G2188" s="113" t="s">
        <v>3093</v>
      </c>
      <c r="H2188" s="161">
        <v>1285.24</v>
      </c>
      <c r="I2188" s="161">
        <v>0</v>
      </c>
    </row>
    <row r="2189" spans="1:9">
      <c r="A2189" s="113">
        <v>100401908</v>
      </c>
      <c r="B2189" s="113" t="s">
        <v>4963</v>
      </c>
      <c r="C2189" s="113">
        <v>6087016</v>
      </c>
      <c r="D2189" s="113" t="s">
        <v>3093</v>
      </c>
      <c r="E2189" s="113" t="s">
        <v>1620</v>
      </c>
      <c r="F2189" s="113" t="s">
        <v>3093</v>
      </c>
      <c r="G2189" s="113" t="s">
        <v>3093</v>
      </c>
      <c r="H2189" s="161">
        <v>0</v>
      </c>
      <c r="I2189" s="161" t="s">
        <v>7138</v>
      </c>
    </row>
    <row r="2190" spans="1:9">
      <c r="A2190" s="113">
        <v>100401909</v>
      </c>
      <c r="B2190" s="113" t="s">
        <v>4964</v>
      </c>
      <c r="C2190" s="113">
        <v>6087017</v>
      </c>
      <c r="D2190" s="113" t="s">
        <v>3093</v>
      </c>
      <c r="E2190" s="113" t="s">
        <v>1620</v>
      </c>
      <c r="F2190" s="113" t="s">
        <v>3093</v>
      </c>
      <c r="G2190" s="113" t="s">
        <v>3093</v>
      </c>
      <c r="H2190" s="161">
        <v>518</v>
      </c>
      <c r="I2190" s="161">
        <v>0</v>
      </c>
    </row>
    <row r="2191" spans="1:9">
      <c r="A2191" s="113">
        <v>100401910</v>
      </c>
      <c r="B2191" s="113" t="s">
        <v>4965</v>
      </c>
      <c r="C2191" s="113">
        <v>6087018</v>
      </c>
      <c r="D2191" s="113" t="s">
        <v>3093</v>
      </c>
      <c r="E2191" s="113" t="s">
        <v>1620</v>
      </c>
      <c r="F2191" s="113" t="s">
        <v>3093</v>
      </c>
      <c r="G2191" s="113" t="s">
        <v>3093</v>
      </c>
      <c r="H2191" s="161">
        <v>988</v>
      </c>
      <c r="I2191" s="161">
        <v>12</v>
      </c>
    </row>
    <row r="2192" spans="1:9">
      <c r="A2192" s="113">
        <v>100401911</v>
      </c>
      <c r="B2192" s="113" t="s">
        <v>4966</v>
      </c>
      <c r="C2192" s="113">
        <v>6087020</v>
      </c>
      <c r="D2192" s="113" t="s">
        <v>3093</v>
      </c>
      <c r="E2192" s="113" t="s">
        <v>1620</v>
      </c>
      <c r="F2192" s="113" t="s">
        <v>3093</v>
      </c>
      <c r="G2192" s="113" t="s">
        <v>3093</v>
      </c>
      <c r="H2192" s="161">
        <v>623</v>
      </c>
      <c r="I2192" s="161">
        <v>4</v>
      </c>
    </row>
    <row r="2193" spans="1:9">
      <c r="A2193" s="113">
        <v>100401912</v>
      </c>
      <c r="B2193" s="113" t="s">
        <v>2973</v>
      </c>
      <c r="C2193" s="113">
        <v>6087021</v>
      </c>
      <c r="D2193" s="113" t="s">
        <v>3093</v>
      </c>
      <c r="E2193" s="113" t="s">
        <v>1620</v>
      </c>
      <c r="F2193" s="113" t="s">
        <v>3093</v>
      </c>
      <c r="G2193" s="113" t="s">
        <v>3093</v>
      </c>
      <c r="H2193" s="161">
        <v>0</v>
      </c>
      <c r="I2193" s="161" t="s">
        <v>7138</v>
      </c>
    </row>
    <row r="2194" spans="1:9">
      <c r="A2194" s="113">
        <v>100401913</v>
      </c>
      <c r="B2194" s="113" t="s">
        <v>4967</v>
      </c>
      <c r="C2194" s="113">
        <v>6087022</v>
      </c>
      <c r="D2194" s="113" t="s">
        <v>3093</v>
      </c>
      <c r="E2194" s="113" t="s">
        <v>1620</v>
      </c>
      <c r="F2194" s="113" t="s">
        <v>3093</v>
      </c>
      <c r="G2194" s="113" t="s">
        <v>3093</v>
      </c>
      <c r="H2194" s="161">
        <v>0</v>
      </c>
      <c r="I2194" s="161" t="s">
        <v>7138</v>
      </c>
    </row>
    <row r="2195" spans="1:9">
      <c r="A2195" s="113">
        <v>100401914</v>
      </c>
      <c r="B2195" s="113" t="s">
        <v>4968</v>
      </c>
      <c r="C2195" s="113">
        <v>6087023</v>
      </c>
      <c r="D2195" s="113" t="s">
        <v>3093</v>
      </c>
      <c r="E2195" s="113" t="s">
        <v>1620</v>
      </c>
      <c r="F2195" s="113" t="s">
        <v>3093</v>
      </c>
      <c r="G2195" s="113" t="s">
        <v>3093</v>
      </c>
      <c r="H2195" s="161">
        <v>182.53</v>
      </c>
      <c r="I2195" s="161">
        <v>6</v>
      </c>
    </row>
    <row r="2196" spans="1:9">
      <c r="A2196" s="113">
        <v>100401915</v>
      </c>
      <c r="B2196" s="113" t="s">
        <v>2974</v>
      </c>
      <c r="C2196" s="113">
        <v>6087024</v>
      </c>
      <c r="D2196" s="113" t="s">
        <v>3093</v>
      </c>
      <c r="E2196" s="113" t="s">
        <v>1620</v>
      </c>
      <c r="F2196" s="113" t="s">
        <v>3093</v>
      </c>
      <c r="G2196" s="113" t="s">
        <v>3093</v>
      </c>
      <c r="H2196" s="161">
        <v>678</v>
      </c>
      <c r="I2196" s="161">
        <v>1</v>
      </c>
    </row>
    <row r="2197" spans="1:9">
      <c r="A2197" s="113">
        <v>100401916</v>
      </c>
      <c r="B2197" s="113" t="s">
        <v>4969</v>
      </c>
      <c r="C2197" s="113">
        <v>6087025</v>
      </c>
      <c r="D2197" s="113" t="s">
        <v>3093</v>
      </c>
      <c r="E2197" s="113" t="s">
        <v>1620</v>
      </c>
      <c r="F2197" s="113" t="s">
        <v>3093</v>
      </c>
      <c r="G2197" s="113" t="s">
        <v>3093</v>
      </c>
      <c r="H2197" s="161">
        <v>164.05</v>
      </c>
      <c r="I2197" s="161">
        <v>2</v>
      </c>
    </row>
    <row r="2198" spans="1:9">
      <c r="A2198" s="113">
        <v>100401917</v>
      </c>
      <c r="B2198" s="113" t="s">
        <v>4970</v>
      </c>
      <c r="C2198" s="113">
        <v>6087026</v>
      </c>
      <c r="D2198" s="113" t="s">
        <v>3093</v>
      </c>
      <c r="E2198" s="113" t="s">
        <v>1620</v>
      </c>
      <c r="F2198" s="113" t="s">
        <v>3093</v>
      </c>
      <c r="G2198" s="113" t="s">
        <v>3093</v>
      </c>
      <c r="H2198" s="161">
        <v>188.04</v>
      </c>
      <c r="I2198" s="161">
        <v>1</v>
      </c>
    </row>
    <row r="2199" spans="1:9">
      <c r="A2199" s="113">
        <v>100401918</v>
      </c>
      <c r="B2199" s="113" t="s">
        <v>2975</v>
      </c>
      <c r="C2199" s="113">
        <v>6087027</v>
      </c>
      <c r="D2199" s="113" t="s">
        <v>3093</v>
      </c>
      <c r="E2199" s="113" t="s">
        <v>1620</v>
      </c>
      <c r="F2199" s="113" t="s">
        <v>3093</v>
      </c>
      <c r="G2199" s="113" t="s">
        <v>3093</v>
      </c>
      <c r="H2199" s="161">
        <v>240</v>
      </c>
      <c r="I2199" s="161">
        <v>8</v>
      </c>
    </row>
    <row r="2200" spans="1:9">
      <c r="A2200" s="113">
        <v>100401919</v>
      </c>
      <c r="B2200" s="113" t="s">
        <v>4971</v>
      </c>
      <c r="C2200" s="113">
        <v>6087028</v>
      </c>
      <c r="D2200" s="113" t="s">
        <v>3093</v>
      </c>
      <c r="E2200" s="113" t="s">
        <v>1620</v>
      </c>
      <c r="F2200" s="113" t="s">
        <v>3093</v>
      </c>
      <c r="G2200" s="113" t="s">
        <v>3093</v>
      </c>
      <c r="H2200" s="161">
        <v>0</v>
      </c>
      <c r="I2200" s="161" t="s">
        <v>7138</v>
      </c>
    </row>
    <row r="2201" spans="1:9">
      <c r="A2201" s="113">
        <v>100401920</v>
      </c>
      <c r="B2201" s="113" t="s">
        <v>2976</v>
      </c>
      <c r="C2201" s="113">
        <v>6087029</v>
      </c>
      <c r="D2201" s="113" t="s">
        <v>3093</v>
      </c>
      <c r="E2201" s="113" t="s">
        <v>1620</v>
      </c>
      <c r="F2201" s="113" t="s">
        <v>3093</v>
      </c>
      <c r="G2201" s="113" t="s">
        <v>3093</v>
      </c>
      <c r="H2201" s="161">
        <v>0</v>
      </c>
      <c r="I2201" s="161" t="s">
        <v>7138</v>
      </c>
    </row>
    <row r="2202" spans="1:9">
      <c r="A2202" s="113">
        <v>100401921</v>
      </c>
      <c r="B2202" s="113" t="s">
        <v>4972</v>
      </c>
      <c r="C2202" s="113">
        <v>6087030</v>
      </c>
      <c r="D2202" s="113" t="s">
        <v>3093</v>
      </c>
      <c r="E2202" s="113" t="s">
        <v>1620</v>
      </c>
      <c r="F2202" s="113" t="s">
        <v>3093</v>
      </c>
      <c r="G2202" s="113" t="s">
        <v>3093</v>
      </c>
      <c r="H2202" s="161">
        <v>0</v>
      </c>
      <c r="I2202" s="161" t="s">
        <v>7138</v>
      </c>
    </row>
    <row r="2203" spans="1:9">
      <c r="A2203" s="113">
        <v>100401922</v>
      </c>
      <c r="B2203" s="113" t="s">
        <v>4973</v>
      </c>
      <c r="C2203" s="113">
        <v>6087031</v>
      </c>
      <c r="D2203" s="113" t="s">
        <v>3093</v>
      </c>
      <c r="E2203" s="113" t="s">
        <v>1620</v>
      </c>
      <c r="F2203" s="113" t="s">
        <v>3093</v>
      </c>
      <c r="G2203" s="113" t="s">
        <v>3093</v>
      </c>
      <c r="H2203" s="161">
        <v>0</v>
      </c>
      <c r="I2203" s="161" t="s">
        <v>7138</v>
      </c>
    </row>
    <row r="2204" spans="1:9">
      <c r="A2204" s="113">
        <v>100401923</v>
      </c>
      <c r="B2204" s="113" t="s">
        <v>4974</v>
      </c>
      <c r="C2204" s="113">
        <v>6087032</v>
      </c>
      <c r="D2204" s="113" t="s">
        <v>3093</v>
      </c>
      <c r="E2204" s="113" t="s">
        <v>1620</v>
      </c>
      <c r="F2204" s="113" t="s">
        <v>3093</v>
      </c>
      <c r="G2204" s="113" t="s">
        <v>3093</v>
      </c>
      <c r="H2204" s="161">
        <v>242.63</v>
      </c>
      <c r="I2204" s="161">
        <v>0</v>
      </c>
    </row>
    <row r="2205" spans="1:9">
      <c r="A2205" s="113">
        <v>100401924</v>
      </c>
      <c r="B2205" s="113" t="s">
        <v>4975</v>
      </c>
      <c r="C2205" s="113">
        <v>6087033</v>
      </c>
      <c r="D2205" s="113" t="s">
        <v>3093</v>
      </c>
      <c r="E2205" s="113" t="s">
        <v>1620</v>
      </c>
      <c r="F2205" s="113" t="s">
        <v>3093</v>
      </c>
      <c r="G2205" s="113" t="s">
        <v>3093</v>
      </c>
      <c r="H2205" s="161">
        <v>596.29999999999995</v>
      </c>
      <c r="I2205" s="161">
        <v>4</v>
      </c>
    </row>
    <row r="2206" spans="1:9">
      <c r="A2206" s="113">
        <v>100401925</v>
      </c>
      <c r="B2206" s="113" t="s">
        <v>4976</v>
      </c>
      <c r="C2206" s="113">
        <v>6087034</v>
      </c>
      <c r="D2206" s="113" t="s">
        <v>3093</v>
      </c>
      <c r="E2206" s="113" t="s">
        <v>1620</v>
      </c>
      <c r="F2206" s="113" t="s">
        <v>3093</v>
      </c>
      <c r="G2206" s="113" t="s">
        <v>3093</v>
      </c>
      <c r="H2206" s="161">
        <v>0</v>
      </c>
      <c r="I2206" s="161" t="s">
        <v>7138</v>
      </c>
    </row>
    <row r="2207" spans="1:9">
      <c r="A2207" s="113">
        <v>100401926</v>
      </c>
      <c r="B2207" s="113" t="s">
        <v>4977</v>
      </c>
      <c r="C2207" s="113">
        <v>6087035</v>
      </c>
      <c r="D2207" s="113" t="s">
        <v>3093</v>
      </c>
      <c r="E2207" s="113" t="s">
        <v>1620</v>
      </c>
      <c r="F2207" s="113" t="s">
        <v>3093</v>
      </c>
      <c r="G2207" s="113" t="s">
        <v>3093</v>
      </c>
      <c r="H2207" s="161">
        <v>0</v>
      </c>
      <c r="I2207" s="161" t="s">
        <v>7138</v>
      </c>
    </row>
    <row r="2208" spans="1:9">
      <c r="A2208" s="113">
        <v>100401927</v>
      </c>
      <c r="B2208" s="113" t="s">
        <v>4978</v>
      </c>
      <c r="C2208" s="113">
        <v>6087036</v>
      </c>
      <c r="D2208" s="113" t="s">
        <v>3093</v>
      </c>
      <c r="E2208" s="113" t="s">
        <v>1620</v>
      </c>
      <c r="F2208" s="113" t="s">
        <v>3093</v>
      </c>
      <c r="G2208" s="113" t="s">
        <v>3093</v>
      </c>
      <c r="H2208" s="161">
        <v>0</v>
      </c>
      <c r="I2208" s="161" t="s">
        <v>7138</v>
      </c>
    </row>
    <row r="2209" spans="1:9">
      <c r="A2209" s="113">
        <v>100401928</v>
      </c>
      <c r="B2209" s="113" t="s">
        <v>4979</v>
      </c>
      <c r="C2209" s="113">
        <v>6087037</v>
      </c>
      <c r="D2209" s="113" t="s">
        <v>3093</v>
      </c>
      <c r="E2209" s="113" t="s">
        <v>1620</v>
      </c>
      <c r="F2209" s="113" t="s">
        <v>3093</v>
      </c>
      <c r="G2209" s="113" t="s">
        <v>3093</v>
      </c>
      <c r="H2209" s="161">
        <v>0</v>
      </c>
      <c r="I2209" s="161" t="s">
        <v>7138</v>
      </c>
    </row>
    <row r="2210" spans="1:9">
      <c r="A2210" s="113">
        <v>100401929</v>
      </c>
      <c r="B2210" s="113" t="s">
        <v>4980</v>
      </c>
      <c r="C2210" s="113">
        <v>6087038</v>
      </c>
      <c r="D2210" s="113" t="s">
        <v>3093</v>
      </c>
      <c r="E2210" s="113" t="s">
        <v>1620</v>
      </c>
      <c r="F2210" s="113" t="s">
        <v>3093</v>
      </c>
      <c r="G2210" s="113" t="s">
        <v>3093</v>
      </c>
      <c r="H2210" s="161">
        <v>0</v>
      </c>
      <c r="I2210" s="161" t="s">
        <v>7138</v>
      </c>
    </row>
    <row r="2211" spans="1:9">
      <c r="A2211" s="113">
        <v>100401930</v>
      </c>
      <c r="B2211" s="113" t="s">
        <v>4981</v>
      </c>
      <c r="C2211" s="113">
        <v>6087039</v>
      </c>
      <c r="D2211" s="113" t="s">
        <v>3093</v>
      </c>
      <c r="E2211" s="113" t="s">
        <v>1620</v>
      </c>
      <c r="F2211" s="113" t="s">
        <v>3093</v>
      </c>
      <c r="G2211" s="113" t="s">
        <v>3093</v>
      </c>
      <c r="H2211" s="161">
        <v>0</v>
      </c>
      <c r="I2211" s="161" t="s">
        <v>7138</v>
      </c>
    </row>
    <row r="2212" spans="1:9">
      <c r="A2212" s="113">
        <v>100401931</v>
      </c>
      <c r="B2212" s="113" t="s">
        <v>4982</v>
      </c>
      <c r="C2212" s="113">
        <v>6087040</v>
      </c>
      <c r="D2212" s="113" t="s">
        <v>3093</v>
      </c>
      <c r="E2212" s="113" t="s">
        <v>1620</v>
      </c>
      <c r="F2212" s="113" t="s">
        <v>3093</v>
      </c>
      <c r="G2212" s="113" t="s">
        <v>3093</v>
      </c>
      <c r="H2212" s="161">
        <v>0</v>
      </c>
      <c r="I2212" s="161" t="s">
        <v>7138</v>
      </c>
    </row>
    <row r="2213" spans="1:9">
      <c r="A2213" s="113">
        <v>100401932</v>
      </c>
      <c r="B2213" s="113" t="s">
        <v>4983</v>
      </c>
      <c r="C2213" s="113">
        <v>6087041</v>
      </c>
      <c r="D2213" s="113" t="s">
        <v>3093</v>
      </c>
      <c r="E2213" s="113" t="s">
        <v>1620</v>
      </c>
      <c r="F2213" s="113" t="s">
        <v>3093</v>
      </c>
      <c r="G2213" s="113" t="s">
        <v>3093</v>
      </c>
      <c r="H2213" s="161">
        <v>2013.66</v>
      </c>
      <c r="I2213" s="161" t="s">
        <v>7138</v>
      </c>
    </row>
    <row r="2214" spans="1:9">
      <c r="A2214" s="113">
        <v>100401933</v>
      </c>
      <c r="B2214" s="113" t="s">
        <v>4984</v>
      </c>
      <c r="C2214" s="113">
        <v>6087042</v>
      </c>
      <c r="D2214" s="113" t="s">
        <v>3093</v>
      </c>
      <c r="E2214" s="113" t="s">
        <v>1620</v>
      </c>
      <c r="F2214" s="113" t="s">
        <v>3093</v>
      </c>
      <c r="G2214" s="113" t="s">
        <v>3093</v>
      </c>
      <c r="H2214" s="161">
        <v>0</v>
      </c>
      <c r="I2214" s="161" t="s">
        <v>7138</v>
      </c>
    </row>
    <row r="2215" spans="1:9">
      <c r="A2215" s="113">
        <v>100401934</v>
      </c>
      <c r="B2215" s="113" t="s">
        <v>4985</v>
      </c>
      <c r="C2215" s="113">
        <v>6087043</v>
      </c>
      <c r="D2215" s="113" t="s">
        <v>3093</v>
      </c>
      <c r="E2215" s="113" t="s">
        <v>1620</v>
      </c>
      <c r="F2215" s="113" t="s">
        <v>3093</v>
      </c>
      <c r="G2215" s="113" t="s">
        <v>3093</v>
      </c>
      <c r="H2215" s="161">
        <v>0</v>
      </c>
      <c r="I2215" s="161" t="s">
        <v>7138</v>
      </c>
    </row>
    <row r="2216" spans="1:9">
      <c r="A2216" s="113">
        <v>100401935</v>
      </c>
      <c r="B2216" s="113" t="s">
        <v>4986</v>
      </c>
      <c r="C2216" s="113">
        <v>6087044</v>
      </c>
      <c r="D2216" s="113" t="s">
        <v>3093</v>
      </c>
      <c r="E2216" s="113" t="s">
        <v>1620</v>
      </c>
      <c r="F2216" s="113" t="s">
        <v>3093</v>
      </c>
      <c r="G2216" s="113" t="s">
        <v>3093</v>
      </c>
      <c r="H2216" s="161">
        <v>0</v>
      </c>
      <c r="I2216" s="161" t="s">
        <v>7138</v>
      </c>
    </row>
    <row r="2217" spans="1:9">
      <c r="A2217" s="113">
        <v>100401936</v>
      </c>
      <c r="B2217" s="113" t="s">
        <v>4987</v>
      </c>
      <c r="C2217" s="113">
        <v>6087045</v>
      </c>
      <c r="D2217" s="113" t="s">
        <v>3093</v>
      </c>
      <c r="E2217" s="113" t="s">
        <v>1620</v>
      </c>
      <c r="F2217" s="113" t="s">
        <v>3093</v>
      </c>
      <c r="G2217" s="113" t="s">
        <v>3093</v>
      </c>
      <c r="H2217" s="161">
        <v>0</v>
      </c>
      <c r="I2217" s="161" t="s">
        <v>7138</v>
      </c>
    </row>
    <row r="2218" spans="1:9">
      <c r="A2218" s="113">
        <v>100401937</v>
      </c>
      <c r="B2218" s="113" t="s">
        <v>4988</v>
      </c>
      <c r="C2218" s="113">
        <v>6087046</v>
      </c>
      <c r="D2218" s="113" t="s">
        <v>3093</v>
      </c>
      <c r="E2218" s="113" t="s">
        <v>1620</v>
      </c>
      <c r="F2218" s="113" t="s">
        <v>3093</v>
      </c>
      <c r="G2218" s="113" t="s">
        <v>3093</v>
      </c>
      <c r="H2218" s="161">
        <v>0</v>
      </c>
      <c r="I2218" s="161" t="s">
        <v>7138</v>
      </c>
    </row>
    <row r="2219" spans="1:9">
      <c r="A2219" s="113">
        <v>100401938</v>
      </c>
      <c r="B2219" s="113" t="s">
        <v>4989</v>
      </c>
      <c r="C2219" s="113">
        <v>6087047</v>
      </c>
      <c r="D2219" s="113" t="s">
        <v>3093</v>
      </c>
      <c r="E2219" s="113" t="s">
        <v>1620</v>
      </c>
      <c r="F2219" s="113" t="s">
        <v>3093</v>
      </c>
      <c r="G2219" s="113" t="s">
        <v>3093</v>
      </c>
      <c r="H2219" s="161">
        <v>0</v>
      </c>
      <c r="I2219" s="161" t="s">
        <v>7138</v>
      </c>
    </row>
    <row r="2220" spans="1:9">
      <c r="A2220" s="113">
        <v>100401939</v>
      </c>
      <c r="B2220" s="113" t="s">
        <v>4990</v>
      </c>
      <c r="C2220" s="113">
        <v>6087048</v>
      </c>
      <c r="D2220" s="113" t="s">
        <v>3093</v>
      </c>
      <c r="E2220" s="113" t="s">
        <v>1620</v>
      </c>
      <c r="F2220" s="113" t="s">
        <v>3093</v>
      </c>
      <c r="G2220" s="113" t="s">
        <v>3093</v>
      </c>
      <c r="H2220" s="161">
        <v>0</v>
      </c>
      <c r="I2220" s="161" t="s">
        <v>7138</v>
      </c>
    </row>
    <row r="2221" spans="1:9">
      <c r="A2221" s="113">
        <v>100401940</v>
      </c>
      <c r="B2221" s="113" t="s">
        <v>4991</v>
      </c>
      <c r="C2221" s="113">
        <v>6087049</v>
      </c>
      <c r="D2221" s="113" t="s">
        <v>3093</v>
      </c>
      <c r="E2221" s="113" t="s">
        <v>1620</v>
      </c>
      <c r="F2221" s="113" t="s">
        <v>3093</v>
      </c>
      <c r="G2221" s="113" t="s">
        <v>3093</v>
      </c>
      <c r="H2221" s="161">
        <v>0</v>
      </c>
      <c r="I2221" s="161" t="s">
        <v>7138</v>
      </c>
    </row>
    <row r="2222" spans="1:9">
      <c r="A2222" s="113">
        <v>100401941</v>
      </c>
      <c r="B2222" s="113" t="s">
        <v>4992</v>
      </c>
      <c r="C2222" s="113">
        <v>6087050</v>
      </c>
      <c r="D2222" s="113" t="s">
        <v>3093</v>
      </c>
      <c r="E2222" s="113" t="s">
        <v>1620</v>
      </c>
      <c r="F2222" s="113" t="s">
        <v>3093</v>
      </c>
      <c r="G2222" s="113" t="s">
        <v>3093</v>
      </c>
      <c r="H2222" s="161">
        <v>0</v>
      </c>
      <c r="I2222" s="161" t="s">
        <v>7138</v>
      </c>
    </row>
    <row r="2223" spans="1:9">
      <c r="A2223" s="113">
        <v>100401942</v>
      </c>
      <c r="B2223" s="113" t="s">
        <v>4993</v>
      </c>
      <c r="C2223" s="113">
        <v>6087051</v>
      </c>
      <c r="D2223" s="113" t="s">
        <v>3093</v>
      </c>
      <c r="E2223" s="113" t="s">
        <v>1620</v>
      </c>
      <c r="F2223" s="113" t="s">
        <v>3093</v>
      </c>
      <c r="G2223" s="113" t="s">
        <v>3093</v>
      </c>
      <c r="H2223" s="161">
        <v>0</v>
      </c>
      <c r="I2223" s="161" t="s">
        <v>7138</v>
      </c>
    </row>
    <row r="2224" spans="1:9">
      <c r="A2224" s="113">
        <v>100401943</v>
      </c>
      <c r="B2224" s="113" t="s">
        <v>4994</v>
      </c>
      <c r="C2224" s="113">
        <v>6087053</v>
      </c>
      <c r="D2224" s="113" t="s">
        <v>3093</v>
      </c>
      <c r="E2224" s="113" t="s">
        <v>1620</v>
      </c>
      <c r="F2224" s="113" t="s">
        <v>3093</v>
      </c>
      <c r="G2224" s="113" t="s">
        <v>3093</v>
      </c>
      <c r="H2224" s="161">
        <v>0</v>
      </c>
      <c r="I2224" s="161" t="s">
        <v>7138</v>
      </c>
    </row>
    <row r="2225" spans="1:9">
      <c r="A2225" s="113">
        <v>100401944</v>
      </c>
      <c r="B2225" s="113" t="s">
        <v>2977</v>
      </c>
      <c r="C2225" s="113">
        <v>6087057</v>
      </c>
      <c r="D2225" s="113" t="s">
        <v>3093</v>
      </c>
      <c r="E2225" s="113" t="s">
        <v>1620</v>
      </c>
      <c r="F2225" s="113" t="s">
        <v>3093</v>
      </c>
      <c r="G2225" s="113" t="s">
        <v>3093</v>
      </c>
      <c r="H2225" s="161">
        <v>0</v>
      </c>
      <c r="I2225" s="161" t="s">
        <v>7138</v>
      </c>
    </row>
    <row r="2226" spans="1:9">
      <c r="A2226" s="113">
        <v>100401945</v>
      </c>
      <c r="B2226" s="113" t="s">
        <v>4995</v>
      </c>
      <c r="C2226" s="113">
        <v>6087058</v>
      </c>
      <c r="D2226" s="113" t="s">
        <v>3093</v>
      </c>
      <c r="E2226" s="113" t="s">
        <v>1620</v>
      </c>
      <c r="F2226" s="113" t="s">
        <v>3093</v>
      </c>
      <c r="G2226" s="113" t="s">
        <v>3093</v>
      </c>
      <c r="H2226" s="161">
        <v>0</v>
      </c>
      <c r="I2226" s="161" t="s">
        <v>7138</v>
      </c>
    </row>
    <row r="2227" spans="1:9">
      <c r="A2227" s="113">
        <v>100401946</v>
      </c>
      <c r="B2227" s="113" t="s">
        <v>4996</v>
      </c>
      <c r="C2227" s="113">
        <v>6087059</v>
      </c>
      <c r="D2227" s="113" t="s">
        <v>3093</v>
      </c>
      <c r="E2227" s="113" t="s">
        <v>1620</v>
      </c>
      <c r="F2227" s="113" t="s">
        <v>3093</v>
      </c>
      <c r="G2227" s="113" t="s">
        <v>3093</v>
      </c>
      <c r="H2227" s="161">
        <v>0</v>
      </c>
      <c r="I2227" s="161" t="s">
        <v>7138</v>
      </c>
    </row>
    <row r="2228" spans="1:9">
      <c r="A2228" s="113">
        <v>100401947</v>
      </c>
      <c r="B2228" s="113" t="s">
        <v>4997</v>
      </c>
      <c r="C2228" s="113">
        <v>6087060</v>
      </c>
      <c r="D2228" s="113" t="s">
        <v>3093</v>
      </c>
      <c r="E2228" s="113" t="s">
        <v>1620</v>
      </c>
      <c r="F2228" s="113" t="s">
        <v>3093</v>
      </c>
      <c r="G2228" s="113" t="s">
        <v>3093</v>
      </c>
      <c r="H2228" s="161">
        <v>0</v>
      </c>
      <c r="I2228" s="161" t="s">
        <v>7138</v>
      </c>
    </row>
    <row r="2229" spans="1:9">
      <c r="A2229" s="113">
        <v>100401948</v>
      </c>
      <c r="B2229" s="113" t="s">
        <v>4998</v>
      </c>
      <c r="C2229" s="113">
        <v>6087061</v>
      </c>
      <c r="D2229" s="113" t="s">
        <v>3093</v>
      </c>
      <c r="E2229" s="113" t="s">
        <v>1620</v>
      </c>
      <c r="F2229" s="113" t="s">
        <v>3093</v>
      </c>
      <c r="G2229" s="113" t="s">
        <v>3093</v>
      </c>
      <c r="H2229" s="161">
        <v>122.55</v>
      </c>
      <c r="I2229" s="161">
        <v>1</v>
      </c>
    </row>
    <row r="2230" spans="1:9">
      <c r="A2230" s="113">
        <v>100401949</v>
      </c>
      <c r="B2230" s="113" t="s">
        <v>4999</v>
      </c>
      <c r="C2230" s="113">
        <v>6087062</v>
      </c>
      <c r="D2230" s="113" t="s">
        <v>3093</v>
      </c>
      <c r="E2230" s="113" t="s">
        <v>1620</v>
      </c>
      <c r="F2230" s="113" t="s">
        <v>3093</v>
      </c>
      <c r="G2230" s="113" t="s">
        <v>3093</v>
      </c>
      <c r="H2230" s="161">
        <v>0</v>
      </c>
      <c r="I2230" s="161" t="s">
        <v>7138</v>
      </c>
    </row>
    <row r="2231" spans="1:9">
      <c r="A2231" s="113">
        <v>100401950</v>
      </c>
      <c r="B2231" s="113" t="s">
        <v>5000</v>
      </c>
      <c r="C2231" s="113">
        <v>6087065</v>
      </c>
      <c r="D2231" s="113" t="s">
        <v>3093</v>
      </c>
      <c r="E2231" s="113" t="s">
        <v>1620</v>
      </c>
      <c r="F2231" s="113" t="s">
        <v>3093</v>
      </c>
      <c r="G2231" s="113" t="s">
        <v>3093</v>
      </c>
      <c r="H2231" s="161">
        <v>0</v>
      </c>
      <c r="I2231" s="161" t="s">
        <v>7138</v>
      </c>
    </row>
    <row r="2232" spans="1:9">
      <c r="A2232" s="113">
        <v>100401951</v>
      </c>
      <c r="B2232" s="113" t="s">
        <v>5001</v>
      </c>
      <c r="C2232" s="113">
        <v>6087066</v>
      </c>
      <c r="D2232" s="113" t="s">
        <v>3093</v>
      </c>
      <c r="E2232" s="113" t="s">
        <v>1620</v>
      </c>
      <c r="F2232" s="113" t="s">
        <v>3093</v>
      </c>
      <c r="G2232" s="113" t="s">
        <v>3093</v>
      </c>
      <c r="H2232" s="161">
        <v>0</v>
      </c>
      <c r="I2232" s="161" t="s">
        <v>7138</v>
      </c>
    </row>
    <row r="2233" spans="1:9">
      <c r="A2233" s="113">
        <v>100401952</v>
      </c>
      <c r="B2233" s="113" t="s">
        <v>5002</v>
      </c>
      <c r="C2233" s="113">
        <v>6087067</v>
      </c>
      <c r="D2233" s="113" t="s">
        <v>3093</v>
      </c>
      <c r="E2233" s="113" t="s">
        <v>1620</v>
      </c>
      <c r="F2233" s="113" t="s">
        <v>3093</v>
      </c>
      <c r="G2233" s="113" t="s">
        <v>3093</v>
      </c>
      <c r="H2233" s="161">
        <v>547.5</v>
      </c>
      <c r="I2233" s="161" t="s">
        <v>7138</v>
      </c>
    </row>
    <row r="2234" spans="1:9">
      <c r="A2234" s="113">
        <v>100401953</v>
      </c>
      <c r="B2234" s="113" t="s">
        <v>5003</v>
      </c>
      <c r="C2234" s="113">
        <v>6087069</v>
      </c>
      <c r="D2234" s="113" t="s">
        <v>3093</v>
      </c>
      <c r="E2234" s="113" t="s">
        <v>1620</v>
      </c>
      <c r="F2234" s="113" t="s">
        <v>3093</v>
      </c>
      <c r="G2234" s="113" t="s">
        <v>3093</v>
      </c>
      <c r="H2234" s="161">
        <v>0</v>
      </c>
      <c r="I2234" s="161" t="s">
        <v>7138</v>
      </c>
    </row>
    <row r="2235" spans="1:9">
      <c r="A2235" s="113">
        <v>100401954</v>
      </c>
      <c r="B2235" s="113" t="s">
        <v>5004</v>
      </c>
      <c r="C2235" s="113">
        <v>6087070</v>
      </c>
      <c r="D2235" s="113" t="s">
        <v>3093</v>
      </c>
      <c r="E2235" s="113" t="s">
        <v>1620</v>
      </c>
      <c r="F2235" s="113" t="s">
        <v>3093</v>
      </c>
      <c r="G2235" s="113" t="s">
        <v>3093</v>
      </c>
      <c r="H2235" s="161">
        <v>0</v>
      </c>
      <c r="I2235" s="161" t="s">
        <v>7138</v>
      </c>
    </row>
    <row r="2236" spans="1:9">
      <c r="A2236" s="113">
        <v>100401955</v>
      </c>
      <c r="B2236" s="113" t="s">
        <v>5005</v>
      </c>
      <c r="C2236" s="113">
        <v>6087071</v>
      </c>
      <c r="D2236" s="113" t="s">
        <v>3093</v>
      </c>
      <c r="E2236" s="113" t="s">
        <v>1620</v>
      </c>
      <c r="F2236" s="113" t="s">
        <v>3093</v>
      </c>
      <c r="G2236" s="113" t="s">
        <v>3093</v>
      </c>
      <c r="H2236" s="161">
        <v>0</v>
      </c>
      <c r="I2236" s="161" t="s">
        <v>7138</v>
      </c>
    </row>
    <row r="2237" spans="1:9">
      <c r="A2237" s="113">
        <v>100401956</v>
      </c>
      <c r="B2237" s="113" t="s">
        <v>5006</v>
      </c>
      <c r="C2237" s="113">
        <v>6087072</v>
      </c>
      <c r="D2237" s="113" t="s">
        <v>3093</v>
      </c>
      <c r="E2237" s="113" t="s">
        <v>1620</v>
      </c>
      <c r="F2237" s="113" t="s">
        <v>3093</v>
      </c>
      <c r="G2237" s="113" t="s">
        <v>3093</v>
      </c>
      <c r="H2237" s="161">
        <v>0</v>
      </c>
      <c r="I2237" s="161" t="s">
        <v>7138</v>
      </c>
    </row>
    <row r="2238" spans="1:9">
      <c r="A2238" s="113">
        <v>100401957</v>
      </c>
      <c r="B2238" s="113" t="s">
        <v>5007</v>
      </c>
      <c r="C2238" s="113">
        <v>6087073</v>
      </c>
      <c r="D2238" s="113" t="s">
        <v>3093</v>
      </c>
      <c r="E2238" s="113" t="s">
        <v>1620</v>
      </c>
      <c r="F2238" s="113" t="s">
        <v>3093</v>
      </c>
      <c r="G2238" s="113" t="s">
        <v>3093</v>
      </c>
      <c r="H2238" s="161">
        <v>0</v>
      </c>
      <c r="I2238" s="161" t="s">
        <v>7138</v>
      </c>
    </row>
    <row r="2239" spans="1:9">
      <c r="A2239" s="113">
        <v>100401958</v>
      </c>
      <c r="B2239" s="113" t="s">
        <v>5008</v>
      </c>
      <c r="C2239" s="113">
        <v>6087074</v>
      </c>
      <c r="D2239" s="113" t="s">
        <v>3093</v>
      </c>
      <c r="E2239" s="113" t="s">
        <v>1620</v>
      </c>
      <c r="F2239" s="113" t="s">
        <v>3093</v>
      </c>
      <c r="G2239" s="113" t="s">
        <v>3093</v>
      </c>
      <c r="H2239" s="161">
        <v>0</v>
      </c>
      <c r="I2239" s="161" t="s">
        <v>7138</v>
      </c>
    </row>
    <row r="2240" spans="1:9">
      <c r="A2240" s="113">
        <v>100401959</v>
      </c>
      <c r="B2240" s="113" t="s">
        <v>5009</v>
      </c>
      <c r="C2240" s="113">
        <v>6087075</v>
      </c>
      <c r="D2240" s="113" t="s">
        <v>3093</v>
      </c>
      <c r="E2240" s="113" t="s">
        <v>1620</v>
      </c>
      <c r="F2240" s="113" t="s">
        <v>3093</v>
      </c>
      <c r="G2240" s="113" t="s">
        <v>3093</v>
      </c>
      <c r="H2240" s="161">
        <v>0</v>
      </c>
      <c r="I2240" s="161" t="s">
        <v>7138</v>
      </c>
    </row>
    <row r="2241" spans="1:9">
      <c r="A2241" s="113">
        <v>100401960</v>
      </c>
      <c r="B2241" s="113" t="s">
        <v>5010</v>
      </c>
      <c r="C2241" s="113">
        <v>6087076</v>
      </c>
      <c r="D2241" s="113" t="s">
        <v>3093</v>
      </c>
      <c r="E2241" s="113" t="s">
        <v>1620</v>
      </c>
      <c r="F2241" s="113" t="s">
        <v>3093</v>
      </c>
      <c r="G2241" s="113" t="s">
        <v>3093</v>
      </c>
      <c r="H2241" s="161">
        <v>0</v>
      </c>
      <c r="I2241" s="161" t="s">
        <v>7138</v>
      </c>
    </row>
    <row r="2242" spans="1:9">
      <c r="A2242" s="113">
        <v>100401961</v>
      </c>
      <c r="B2242" s="113" t="s">
        <v>5011</v>
      </c>
      <c r="C2242" s="113">
        <v>6087077</v>
      </c>
      <c r="D2242" s="113" t="s">
        <v>3093</v>
      </c>
      <c r="E2242" s="113" t="s">
        <v>1620</v>
      </c>
      <c r="F2242" s="113" t="s">
        <v>3093</v>
      </c>
      <c r="G2242" s="113" t="s">
        <v>3093</v>
      </c>
      <c r="H2242" s="161">
        <v>0</v>
      </c>
      <c r="I2242" s="161" t="s">
        <v>7138</v>
      </c>
    </row>
    <row r="2243" spans="1:9">
      <c r="A2243" s="113">
        <v>100401962</v>
      </c>
      <c r="B2243" s="113" t="s">
        <v>5012</v>
      </c>
      <c r="C2243" s="113">
        <v>6087078</v>
      </c>
      <c r="D2243" s="113" t="s">
        <v>3093</v>
      </c>
      <c r="E2243" s="113" t="s">
        <v>1620</v>
      </c>
      <c r="F2243" s="113" t="s">
        <v>3093</v>
      </c>
      <c r="G2243" s="113" t="s">
        <v>3093</v>
      </c>
      <c r="H2243" s="161">
        <v>0</v>
      </c>
      <c r="I2243" s="161" t="s">
        <v>7138</v>
      </c>
    </row>
    <row r="2244" spans="1:9">
      <c r="A2244" s="113">
        <v>100401963</v>
      </c>
      <c r="B2244" s="113" t="s">
        <v>5013</v>
      </c>
      <c r="C2244" s="113">
        <v>6087079</v>
      </c>
      <c r="D2244" s="113" t="s">
        <v>3093</v>
      </c>
      <c r="E2244" s="113" t="s">
        <v>1620</v>
      </c>
      <c r="F2244" s="113" t="s">
        <v>3093</v>
      </c>
      <c r="G2244" s="113" t="s">
        <v>3093</v>
      </c>
      <c r="H2244" s="161">
        <v>0</v>
      </c>
      <c r="I2244" s="161" t="s">
        <v>7138</v>
      </c>
    </row>
    <row r="2245" spans="1:9">
      <c r="A2245" s="113">
        <v>100401964</v>
      </c>
      <c r="B2245" s="113" t="s">
        <v>2978</v>
      </c>
      <c r="C2245" s="113">
        <v>6088013</v>
      </c>
      <c r="D2245" s="113" t="s">
        <v>3093</v>
      </c>
      <c r="E2245" s="113" t="s">
        <v>1620</v>
      </c>
      <c r="F2245" s="113" t="s">
        <v>3093</v>
      </c>
      <c r="G2245" s="113" t="s">
        <v>3093</v>
      </c>
      <c r="H2245" s="161">
        <v>0</v>
      </c>
      <c r="I2245" s="161" t="s">
        <v>7138</v>
      </c>
    </row>
    <row r="2246" spans="1:9">
      <c r="A2246" s="113">
        <v>100401965</v>
      </c>
      <c r="B2246" s="113" t="s">
        <v>5014</v>
      </c>
      <c r="C2246" s="113">
        <v>6088014</v>
      </c>
      <c r="D2246" s="113" t="s">
        <v>3093</v>
      </c>
      <c r="E2246" s="113" t="s">
        <v>1620</v>
      </c>
      <c r="F2246" s="113" t="s">
        <v>3093</v>
      </c>
      <c r="G2246" s="113" t="s">
        <v>3093</v>
      </c>
      <c r="H2246" s="161">
        <v>0</v>
      </c>
      <c r="I2246" s="161" t="s">
        <v>7138</v>
      </c>
    </row>
    <row r="2247" spans="1:9">
      <c r="A2247" s="113">
        <v>100401966</v>
      </c>
      <c r="B2247" s="113" t="s">
        <v>5015</v>
      </c>
      <c r="C2247" s="113">
        <v>6088015</v>
      </c>
      <c r="D2247" s="113" t="s">
        <v>3093</v>
      </c>
      <c r="E2247" s="113" t="s">
        <v>1620</v>
      </c>
      <c r="F2247" s="113" t="s">
        <v>3093</v>
      </c>
      <c r="G2247" s="113" t="s">
        <v>3093</v>
      </c>
      <c r="H2247" s="161">
        <v>41.58</v>
      </c>
      <c r="I2247" s="161">
        <v>3</v>
      </c>
    </row>
    <row r="2248" spans="1:9">
      <c r="A2248" s="113">
        <v>100401967</v>
      </c>
      <c r="B2248" s="113" t="s">
        <v>5016</v>
      </c>
      <c r="C2248" s="113">
        <v>6088016</v>
      </c>
      <c r="D2248" s="113" t="s">
        <v>3093</v>
      </c>
      <c r="E2248" s="113" t="s">
        <v>1620</v>
      </c>
      <c r="F2248" s="113" t="s">
        <v>3093</v>
      </c>
      <c r="G2248" s="113" t="s">
        <v>3093</v>
      </c>
      <c r="H2248" s="161">
        <v>0</v>
      </c>
      <c r="I2248" s="161" t="s">
        <v>7138</v>
      </c>
    </row>
    <row r="2249" spans="1:9">
      <c r="A2249" s="113">
        <v>100401968</v>
      </c>
      <c r="B2249" s="113" t="s">
        <v>5017</v>
      </c>
      <c r="C2249" s="113">
        <v>6089000</v>
      </c>
      <c r="D2249" s="113" t="s">
        <v>3093</v>
      </c>
      <c r="E2249" s="113" t="s">
        <v>1620</v>
      </c>
      <c r="F2249" s="113" t="s">
        <v>3093</v>
      </c>
      <c r="G2249" s="113" t="s">
        <v>3093</v>
      </c>
      <c r="H2249" s="161">
        <v>39.549999999999997</v>
      </c>
      <c r="I2249" s="161">
        <v>1</v>
      </c>
    </row>
    <row r="2250" spans="1:9">
      <c r="A2250" s="113">
        <v>100401969</v>
      </c>
      <c r="B2250" s="113" t="s">
        <v>5018</v>
      </c>
      <c r="C2250" s="113">
        <v>6089001</v>
      </c>
      <c r="D2250" s="113" t="s">
        <v>3093</v>
      </c>
      <c r="E2250" s="113" t="s">
        <v>1620</v>
      </c>
      <c r="F2250" s="113" t="s">
        <v>3093</v>
      </c>
      <c r="G2250" s="113" t="s">
        <v>3093</v>
      </c>
      <c r="H2250" s="161">
        <v>39.549999999999997</v>
      </c>
      <c r="I2250" s="161">
        <v>1</v>
      </c>
    </row>
    <row r="2251" spans="1:9">
      <c r="A2251" s="113">
        <v>100401970</v>
      </c>
      <c r="B2251" s="113" t="s">
        <v>5019</v>
      </c>
      <c r="C2251" s="113">
        <v>6089002</v>
      </c>
      <c r="D2251" s="113" t="s">
        <v>3093</v>
      </c>
      <c r="E2251" s="113" t="s">
        <v>1620</v>
      </c>
      <c r="F2251" s="113" t="s">
        <v>3093</v>
      </c>
      <c r="G2251" s="113" t="s">
        <v>3093</v>
      </c>
      <c r="H2251" s="161">
        <v>39.549999999999997</v>
      </c>
      <c r="I2251" s="161">
        <v>2</v>
      </c>
    </row>
    <row r="2252" spans="1:9">
      <c r="A2252" s="113">
        <v>100401971</v>
      </c>
      <c r="B2252" s="113" t="s">
        <v>5020</v>
      </c>
      <c r="C2252" s="113">
        <v>6089003</v>
      </c>
      <c r="D2252" s="113" t="s">
        <v>3093</v>
      </c>
      <c r="E2252" s="113" t="s">
        <v>1620</v>
      </c>
      <c r="F2252" s="113" t="s">
        <v>3093</v>
      </c>
      <c r="G2252" s="113" t="s">
        <v>3093</v>
      </c>
      <c r="H2252" s="161">
        <v>0</v>
      </c>
      <c r="I2252" s="161" t="s">
        <v>7138</v>
      </c>
    </row>
    <row r="2253" spans="1:9">
      <c r="A2253" s="113">
        <v>100401972</v>
      </c>
      <c r="B2253" s="113" t="s">
        <v>2979</v>
      </c>
      <c r="C2253" s="113">
        <v>6089004</v>
      </c>
      <c r="D2253" s="113" t="s">
        <v>3093</v>
      </c>
      <c r="E2253" s="113" t="s">
        <v>1620</v>
      </c>
      <c r="F2253" s="113" t="s">
        <v>3093</v>
      </c>
      <c r="G2253" s="113" t="s">
        <v>3093</v>
      </c>
      <c r="H2253" s="161">
        <v>39.549999999999997</v>
      </c>
      <c r="I2253" s="161">
        <v>2</v>
      </c>
    </row>
    <row r="2254" spans="1:9">
      <c r="A2254" s="113">
        <v>100401973</v>
      </c>
      <c r="B2254" s="113" t="s">
        <v>5021</v>
      </c>
      <c r="C2254" s="113">
        <v>6089005</v>
      </c>
      <c r="D2254" s="113" t="s">
        <v>3093</v>
      </c>
      <c r="E2254" s="113" t="s">
        <v>1620</v>
      </c>
      <c r="F2254" s="113" t="s">
        <v>3093</v>
      </c>
      <c r="G2254" s="113" t="s">
        <v>3093</v>
      </c>
      <c r="H2254" s="161">
        <v>39.549999999999997</v>
      </c>
      <c r="I2254" s="161">
        <v>2</v>
      </c>
    </row>
    <row r="2255" spans="1:9">
      <c r="A2255" s="113">
        <v>100401974</v>
      </c>
      <c r="B2255" s="113" t="s">
        <v>2980</v>
      </c>
      <c r="C2255" s="113">
        <v>6089006</v>
      </c>
      <c r="D2255" s="113" t="s">
        <v>3093</v>
      </c>
      <c r="E2255" s="113" t="s">
        <v>1620</v>
      </c>
      <c r="F2255" s="113" t="s">
        <v>3093</v>
      </c>
      <c r="G2255" s="113" t="s">
        <v>3093</v>
      </c>
      <c r="H2255" s="161">
        <v>39.549999999999997</v>
      </c>
      <c r="I2255" s="161">
        <v>2</v>
      </c>
    </row>
    <row r="2256" spans="1:9">
      <c r="A2256" s="113">
        <v>100401975</v>
      </c>
      <c r="B2256" s="113" t="s">
        <v>5022</v>
      </c>
      <c r="C2256" s="113">
        <v>6089007</v>
      </c>
      <c r="D2256" s="113" t="s">
        <v>3093</v>
      </c>
      <c r="E2256" s="113" t="s">
        <v>1620</v>
      </c>
      <c r="F2256" s="113" t="s">
        <v>3093</v>
      </c>
      <c r="G2256" s="113" t="s">
        <v>3093</v>
      </c>
      <c r="H2256" s="161">
        <v>39.549999999999997</v>
      </c>
      <c r="I2256" s="161">
        <v>2</v>
      </c>
    </row>
    <row r="2257" spans="1:9">
      <c r="A2257" s="113">
        <v>100401976</v>
      </c>
      <c r="B2257" s="113" t="s">
        <v>2981</v>
      </c>
      <c r="C2257" s="113">
        <v>6089008</v>
      </c>
      <c r="D2257" s="113" t="s">
        <v>3093</v>
      </c>
      <c r="E2257" s="113" t="s">
        <v>1620</v>
      </c>
      <c r="F2257" s="113" t="s">
        <v>3093</v>
      </c>
      <c r="G2257" s="113" t="s">
        <v>3093</v>
      </c>
      <c r="H2257" s="161">
        <v>39.549999999999997</v>
      </c>
      <c r="I2257" s="161">
        <v>2</v>
      </c>
    </row>
    <row r="2258" spans="1:9">
      <c r="A2258" s="113">
        <v>100401977</v>
      </c>
      <c r="B2258" s="113" t="s">
        <v>2982</v>
      </c>
      <c r="C2258" s="113">
        <v>6089009</v>
      </c>
      <c r="D2258" s="113" t="s">
        <v>3093</v>
      </c>
      <c r="E2258" s="113" t="s">
        <v>1620</v>
      </c>
      <c r="F2258" s="113" t="s">
        <v>3093</v>
      </c>
      <c r="G2258" s="113" t="s">
        <v>3093</v>
      </c>
      <c r="H2258" s="161">
        <v>39.549999999999997</v>
      </c>
      <c r="I2258" s="161">
        <v>2</v>
      </c>
    </row>
    <row r="2259" spans="1:9">
      <c r="A2259" s="113">
        <v>100401978</v>
      </c>
      <c r="B2259" s="113" t="s">
        <v>2983</v>
      </c>
      <c r="C2259" s="113">
        <v>6089010</v>
      </c>
      <c r="D2259" s="113" t="s">
        <v>3093</v>
      </c>
      <c r="E2259" s="113" t="s">
        <v>1620</v>
      </c>
      <c r="F2259" s="113" t="s">
        <v>3093</v>
      </c>
      <c r="G2259" s="113" t="s">
        <v>3093</v>
      </c>
      <c r="H2259" s="161">
        <v>39.549999999999997</v>
      </c>
      <c r="I2259" s="161">
        <v>2</v>
      </c>
    </row>
    <row r="2260" spans="1:9">
      <c r="A2260" s="113">
        <v>100401979</v>
      </c>
      <c r="B2260" s="113" t="s">
        <v>2984</v>
      </c>
      <c r="C2260" s="113">
        <v>6089011</v>
      </c>
      <c r="D2260" s="113" t="s">
        <v>3093</v>
      </c>
      <c r="E2260" s="113" t="s">
        <v>1620</v>
      </c>
      <c r="F2260" s="113" t="s">
        <v>3093</v>
      </c>
      <c r="G2260" s="113" t="s">
        <v>3093</v>
      </c>
      <c r="H2260" s="161">
        <v>39.549999999999997</v>
      </c>
      <c r="I2260" s="161">
        <v>2</v>
      </c>
    </row>
    <row r="2261" spans="1:9">
      <c r="A2261" s="113">
        <v>100401980</v>
      </c>
      <c r="B2261" s="113" t="s">
        <v>5023</v>
      </c>
      <c r="C2261" s="113">
        <v>6089012</v>
      </c>
      <c r="D2261" s="113" t="s">
        <v>3093</v>
      </c>
      <c r="E2261" s="113" t="s">
        <v>1620</v>
      </c>
      <c r="F2261" s="113" t="s">
        <v>3093</v>
      </c>
      <c r="G2261" s="113" t="s">
        <v>3093</v>
      </c>
      <c r="H2261" s="161">
        <v>39.549999999999997</v>
      </c>
      <c r="I2261" s="161">
        <v>2</v>
      </c>
    </row>
    <row r="2262" spans="1:9">
      <c r="A2262" s="113">
        <v>100401981</v>
      </c>
      <c r="B2262" s="113" t="s">
        <v>5024</v>
      </c>
      <c r="C2262" s="113">
        <v>6089013</v>
      </c>
      <c r="D2262" s="113" t="s">
        <v>3093</v>
      </c>
      <c r="E2262" s="113" t="s">
        <v>1620</v>
      </c>
      <c r="F2262" s="113" t="s">
        <v>3093</v>
      </c>
      <c r="G2262" s="113" t="s">
        <v>3093</v>
      </c>
      <c r="H2262" s="161">
        <v>0</v>
      </c>
      <c r="I2262" s="161" t="s">
        <v>7138</v>
      </c>
    </row>
    <row r="2263" spans="1:9">
      <c r="A2263" s="113">
        <v>100401982</v>
      </c>
      <c r="B2263" s="113" t="s">
        <v>5025</v>
      </c>
      <c r="C2263" s="113">
        <v>6089014</v>
      </c>
      <c r="D2263" s="113" t="s">
        <v>3093</v>
      </c>
      <c r="E2263" s="113" t="s">
        <v>1620</v>
      </c>
      <c r="F2263" s="113" t="s">
        <v>3093</v>
      </c>
      <c r="G2263" s="113" t="s">
        <v>3093</v>
      </c>
      <c r="H2263" s="161">
        <v>39.549999999999997</v>
      </c>
      <c r="I2263" s="161">
        <v>2</v>
      </c>
    </row>
    <row r="2264" spans="1:9">
      <c r="A2264" s="113">
        <v>100401983</v>
      </c>
      <c r="B2264" s="113" t="s">
        <v>5026</v>
      </c>
      <c r="C2264" s="113">
        <v>6089015</v>
      </c>
      <c r="D2264" s="113" t="s">
        <v>3093</v>
      </c>
      <c r="E2264" s="113" t="s">
        <v>1620</v>
      </c>
      <c r="F2264" s="113" t="s">
        <v>3093</v>
      </c>
      <c r="G2264" s="113" t="s">
        <v>3093</v>
      </c>
      <c r="H2264" s="161">
        <v>0</v>
      </c>
      <c r="I2264" s="161" t="s">
        <v>7138</v>
      </c>
    </row>
    <row r="2265" spans="1:9">
      <c r="A2265" s="113">
        <v>100401984</v>
      </c>
      <c r="B2265" s="113" t="s">
        <v>5027</v>
      </c>
      <c r="C2265" s="113">
        <v>6089016</v>
      </c>
      <c r="D2265" s="113" t="s">
        <v>3093</v>
      </c>
      <c r="E2265" s="113" t="s">
        <v>1620</v>
      </c>
      <c r="F2265" s="113" t="s">
        <v>3093</v>
      </c>
      <c r="G2265" s="113" t="s">
        <v>3093</v>
      </c>
      <c r="H2265" s="161">
        <v>0</v>
      </c>
      <c r="I2265" s="161" t="s">
        <v>7138</v>
      </c>
    </row>
    <row r="2266" spans="1:9">
      <c r="A2266" s="113">
        <v>100401985</v>
      </c>
      <c r="B2266" s="113" t="s">
        <v>5028</v>
      </c>
      <c r="C2266" s="113">
        <v>6089017</v>
      </c>
      <c r="D2266" s="113" t="s">
        <v>3093</v>
      </c>
      <c r="E2266" s="113" t="s">
        <v>1620</v>
      </c>
      <c r="F2266" s="113" t="s">
        <v>3093</v>
      </c>
      <c r="G2266" s="113" t="s">
        <v>3093</v>
      </c>
      <c r="H2266" s="161">
        <v>39.549999999999997</v>
      </c>
      <c r="I2266" s="161">
        <v>2</v>
      </c>
    </row>
    <row r="2267" spans="1:9">
      <c r="A2267" s="113">
        <v>100401986</v>
      </c>
      <c r="B2267" s="113" t="s">
        <v>5029</v>
      </c>
      <c r="C2267" s="113">
        <v>6089018</v>
      </c>
      <c r="D2267" s="113" t="s">
        <v>3093</v>
      </c>
      <c r="E2267" s="113" t="s">
        <v>1620</v>
      </c>
      <c r="F2267" s="113" t="s">
        <v>3093</v>
      </c>
      <c r="G2267" s="113" t="s">
        <v>3093</v>
      </c>
      <c r="H2267" s="161">
        <v>39.549999999999997</v>
      </c>
      <c r="I2267" s="161">
        <v>2</v>
      </c>
    </row>
    <row r="2268" spans="1:9">
      <c r="A2268" s="113">
        <v>100401987</v>
      </c>
      <c r="B2268" s="113" t="s">
        <v>5030</v>
      </c>
      <c r="C2268" s="113">
        <v>6089019</v>
      </c>
      <c r="D2268" s="113" t="s">
        <v>3093</v>
      </c>
      <c r="E2268" s="113" t="s">
        <v>1620</v>
      </c>
      <c r="F2268" s="113" t="s">
        <v>3093</v>
      </c>
      <c r="G2268" s="113" t="s">
        <v>3093</v>
      </c>
      <c r="H2268" s="161">
        <v>39.549999999999997</v>
      </c>
      <c r="I2268" s="161">
        <v>2</v>
      </c>
    </row>
    <row r="2269" spans="1:9">
      <c r="A2269" s="113">
        <v>100401988</v>
      </c>
      <c r="B2269" s="113" t="s">
        <v>5031</v>
      </c>
      <c r="C2269" s="113">
        <v>6089020</v>
      </c>
      <c r="D2269" s="113" t="s">
        <v>3093</v>
      </c>
      <c r="E2269" s="113" t="s">
        <v>1620</v>
      </c>
      <c r="F2269" s="113" t="s">
        <v>3093</v>
      </c>
      <c r="G2269" s="113" t="s">
        <v>3093</v>
      </c>
      <c r="H2269" s="161">
        <v>39.549999999999997</v>
      </c>
      <c r="I2269" s="161">
        <v>2</v>
      </c>
    </row>
    <row r="2270" spans="1:9">
      <c r="A2270" s="113">
        <v>100401989</v>
      </c>
      <c r="B2270" s="113" t="s">
        <v>5032</v>
      </c>
      <c r="C2270" s="113">
        <v>6089021</v>
      </c>
      <c r="D2270" s="113" t="s">
        <v>3093</v>
      </c>
      <c r="E2270" s="113" t="s">
        <v>1620</v>
      </c>
      <c r="F2270" s="113" t="s">
        <v>3093</v>
      </c>
      <c r="G2270" s="113" t="s">
        <v>3093</v>
      </c>
      <c r="H2270" s="161">
        <v>39.549999999999997</v>
      </c>
      <c r="I2270" s="161">
        <v>2</v>
      </c>
    </row>
    <row r="2271" spans="1:9">
      <c r="A2271" s="113">
        <v>100401990</v>
      </c>
      <c r="B2271" s="113" t="s">
        <v>5033</v>
      </c>
      <c r="C2271" s="113">
        <v>6089022</v>
      </c>
      <c r="D2271" s="113" t="s">
        <v>3093</v>
      </c>
      <c r="E2271" s="113" t="s">
        <v>1620</v>
      </c>
      <c r="F2271" s="113" t="s">
        <v>3093</v>
      </c>
      <c r="G2271" s="113" t="s">
        <v>3093</v>
      </c>
      <c r="H2271" s="161">
        <v>39.549999999999997</v>
      </c>
      <c r="I2271" s="161">
        <v>3</v>
      </c>
    </row>
    <row r="2272" spans="1:9">
      <c r="A2272" s="113">
        <v>100401991</v>
      </c>
      <c r="B2272" s="113" t="s">
        <v>5034</v>
      </c>
      <c r="C2272" s="113">
        <v>6089023</v>
      </c>
      <c r="D2272" s="113" t="s">
        <v>3093</v>
      </c>
      <c r="E2272" s="113" t="s">
        <v>1620</v>
      </c>
      <c r="F2272" s="113" t="s">
        <v>3093</v>
      </c>
      <c r="G2272" s="113" t="s">
        <v>3093</v>
      </c>
      <c r="H2272" s="161">
        <v>39.549999999999997</v>
      </c>
      <c r="I2272" s="161">
        <v>4</v>
      </c>
    </row>
    <row r="2273" spans="1:9">
      <c r="A2273" s="113">
        <v>100401992</v>
      </c>
      <c r="B2273" s="113" t="s">
        <v>5035</v>
      </c>
      <c r="C2273" s="113">
        <v>6089024</v>
      </c>
      <c r="D2273" s="113" t="s">
        <v>3093</v>
      </c>
      <c r="E2273" s="113" t="s">
        <v>1620</v>
      </c>
      <c r="F2273" s="113" t="s">
        <v>3093</v>
      </c>
      <c r="G2273" s="113" t="s">
        <v>3093</v>
      </c>
      <c r="H2273" s="161">
        <v>39.549999999999997</v>
      </c>
      <c r="I2273" s="161">
        <v>4</v>
      </c>
    </row>
    <row r="2274" spans="1:9">
      <c r="A2274" s="113">
        <v>100401993</v>
      </c>
      <c r="B2274" s="113" t="s">
        <v>5036</v>
      </c>
      <c r="C2274" s="113">
        <v>6089025</v>
      </c>
      <c r="D2274" s="113" t="s">
        <v>3093</v>
      </c>
      <c r="E2274" s="113" t="s">
        <v>1620</v>
      </c>
      <c r="F2274" s="113" t="s">
        <v>3093</v>
      </c>
      <c r="G2274" s="113" t="s">
        <v>3093</v>
      </c>
      <c r="H2274" s="161">
        <v>39.549999999999997</v>
      </c>
      <c r="I2274" s="161">
        <v>1</v>
      </c>
    </row>
    <row r="2275" spans="1:9">
      <c r="A2275" s="113">
        <v>100401994</v>
      </c>
      <c r="B2275" s="113" t="s">
        <v>5037</v>
      </c>
      <c r="C2275" s="113">
        <v>7014126</v>
      </c>
      <c r="D2275" s="113" t="s">
        <v>3093</v>
      </c>
      <c r="E2275" s="113" t="s">
        <v>1620</v>
      </c>
      <c r="F2275" s="113" t="s">
        <v>3093</v>
      </c>
      <c r="G2275" s="113" t="s">
        <v>3093</v>
      </c>
      <c r="H2275" s="161">
        <v>0.05</v>
      </c>
      <c r="I2275" s="161">
        <v>134</v>
      </c>
    </row>
    <row r="2276" spans="1:9">
      <c r="A2276" s="113">
        <v>100401995</v>
      </c>
      <c r="B2276" s="113" t="s">
        <v>5038</v>
      </c>
      <c r="C2276" s="113">
        <v>7014127</v>
      </c>
      <c r="D2276" s="113" t="s">
        <v>3093</v>
      </c>
      <c r="E2276" s="113" t="s">
        <v>1620</v>
      </c>
      <c r="F2276" s="113" t="s">
        <v>3093</v>
      </c>
      <c r="G2276" s="113" t="s">
        <v>3093</v>
      </c>
      <c r="H2276" s="161">
        <v>0.08</v>
      </c>
      <c r="I2276" s="161">
        <v>70</v>
      </c>
    </row>
    <row r="2277" spans="1:9">
      <c r="A2277" s="113">
        <v>100401996</v>
      </c>
      <c r="B2277" s="113" t="s">
        <v>5039</v>
      </c>
      <c r="C2277" s="113">
        <v>7014128</v>
      </c>
      <c r="D2277" s="113" t="s">
        <v>3093</v>
      </c>
      <c r="E2277" s="113" t="s">
        <v>1620</v>
      </c>
      <c r="F2277" s="113" t="s">
        <v>3093</v>
      </c>
      <c r="G2277" s="113" t="s">
        <v>3093</v>
      </c>
      <c r="H2277" s="161">
        <v>0.1</v>
      </c>
      <c r="I2277" s="161">
        <v>200</v>
      </c>
    </row>
    <row r="2278" spans="1:9">
      <c r="A2278" s="113">
        <v>100401997</v>
      </c>
      <c r="B2278" s="113" t="s">
        <v>5040</v>
      </c>
      <c r="C2278" s="113">
        <v>7014129</v>
      </c>
      <c r="D2278" s="113" t="s">
        <v>3093</v>
      </c>
      <c r="E2278" s="113" t="s">
        <v>1620</v>
      </c>
      <c r="F2278" s="113" t="s">
        <v>3093</v>
      </c>
      <c r="G2278" s="113" t="s">
        <v>3093</v>
      </c>
      <c r="H2278" s="161">
        <v>0.05</v>
      </c>
      <c r="I2278" s="161">
        <v>200</v>
      </c>
    </row>
    <row r="2279" spans="1:9">
      <c r="A2279" s="113">
        <v>100401998</v>
      </c>
      <c r="B2279" s="113" t="s">
        <v>5041</v>
      </c>
      <c r="C2279" s="113">
        <v>7014130</v>
      </c>
      <c r="D2279" s="113" t="s">
        <v>3093</v>
      </c>
      <c r="E2279" s="113" t="s">
        <v>1620</v>
      </c>
      <c r="F2279" s="113" t="s">
        <v>3093</v>
      </c>
      <c r="G2279" s="113" t="s">
        <v>3093</v>
      </c>
      <c r="H2279" s="161">
        <v>7.0000000000000007E-2</v>
      </c>
      <c r="I2279" s="161">
        <v>75</v>
      </c>
    </row>
    <row r="2280" spans="1:9">
      <c r="A2280" s="113">
        <v>100401999</v>
      </c>
      <c r="B2280" s="113" t="s">
        <v>5042</v>
      </c>
      <c r="C2280" s="113">
        <v>7014131</v>
      </c>
      <c r="D2280" s="113" t="s">
        <v>3093</v>
      </c>
      <c r="E2280" s="113" t="s">
        <v>1620</v>
      </c>
      <c r="F2280" s="113" t="s">
        <v>3093</v>
      </c>
      <c r="G2280" s="113" t="s">
        <v>3093</v>
      </c>
      <c r="H2280" s="161">
        <v>0.15</v>
      </c>
      <c r="I2280" s="161">
        <v>200</v>
      </c>
    </row>
    <row r="2281" spans="1:9">
      <c r="A2281" s="113">
        <v>100402000</v>
      </c>
      <c r="B2281" s="113" t="s">
        <v>5043</v>
      </c>
      <c r="C2281" s="113">
        <v>7014132</v>
      </c>
      <c r="D2281" s="113" t="s">
        <v>3093</v>
      </c>
      <c r="E2281" s="113" t="s">
        <v>1620</v>
      </c>
      <c r="F2281" s="113" t="s">
        <v>3093</v>
      </c>
      <c r="G2281" s="113" t="s">
        <v>3093</v>
      </c>
      <c r="H2281" s="161">
        <v>0.28499999999999998</v>
      </c>
      <c r="I2281" s="161">
        <v>0</v>
      </c>
    </row>
    <row r="2282" spans="1:9">
      <c r="A2282" s="113">
        <v>100402001</v>
      </c>
      <c r="B2282" s="113" t="s">
        <v>5044</v>
      </c>
      <c r="C2282" s="113">
        <v>7014133</v>
      </c>
      <c r="D2282" s="113" t="s">
        <v>3093</v>
      </c>
      <c r="E2282" s="113" t="s">
        <v>1620</v>
      </c>
      <c r="F2282" s="113" t="s">
        <v>3093</v>
      </c>
      <c r="G2282" s="113" t="s">
        <v>3093</v>
      </c>
      <c r="H2282" s="161">
        <v>0.25</v>
      </c>
      <c r="I2282" s="161">
        <v>40</v>
      </c>
    </row>
    <row r="2283" spans="1:9">
      <c r="A2283" s="113">
        <v>100402002</v>
      </c>
      <c r="B2283" s="113" t="s">
        <v>5045</v>
      </c>
      <c r="C2283" s="113">
        <v>7014134</v>
      </c>
      <c r="D2283" s="113" t="s">
        <v>3093</v>
      </c>
      <c r="E2283" s="113" t="s">
        <v>1620</v>
      </c>
      <c r="F2283" s="113" t="s">
        <v>3093</v>
      </c>
      <c r="G2283" s="113" t="s">
        <v>3093</v>
      </c>
      <c r="H2283" s="161">
        <v>0.25</v>
      </c>
      <c r="I2283" s="161">
        <v>100</v>
      </c>
    </row>
    <row r="2284" spans="1:9">
      <c r="A2284" s="113">
        <v>100402003</v>
      </c>
      <c r="B2284" s="113" t="s">
        <v>5046</v>
      </c>
      <c r="C2284" s="113">
        <v>7016148</v>
      </c>
      <c r="D2284" s="113" t="s">
        <v>3093</v>
      </c>
      <c r="E2284" s="113" t="s">
        <v>1620</v>
      </c>
      <c r="F2284" s="113" t="s">
        <v>3093</v>
      </c>
      <c r="G2284" s="113" t="s">
        <v>3093</v>
      </c>
      <c r="H2284" s="161">
        <v>24</v>
      </c>
      <c r="I2284" s="161">
        <v>0</v>
      </c>
    </row>
    <row r="2285" spans="1:9">
      <c r="A2285" s="113">
        <v>100402004</v>
      </c>
      <c r="B2285" s="113" t="s">
        <v>5047</v>
      </c>
      <c r="C2285" s="113">
        <v>7018051</v>
      </c>
      <c r="D2285" s="113" t="s">
        <v>3093</v>
      </c>
      <c r="E2285" s="113" t="s">
        <v>1620</v>
      </c>
      <c r="F2285" s="113" t="s">
        <v>3093</v>
      </c>
      <c r="G2285" s="113" t="s">
        <v>3093</v>
      </c>
      <c r="H2285" s="161">
        <v>1704.0752</v>
      </c>
      <c r="I2285" s="161">
        <v>1</v>
      </c>
    </row>
    <row r="2286" spans="1:9">
      <c r="A2286" s="113">
        <v>100402005</v>
      </c>
      <c r="B2286" s="113" t="s">
        <v>5048</v>
      </c>
      <c r="C2286" s="113">
        <v>7018052</v>
      </c>
      <c r="D2286" s="113" t="s">
        <v>3093</v>
      </c>
      <c r="E2286" s="113" t="s">
        <v>1620</v>
      </c>
      <c r="F2286" s="113" t="s">
        <v>3093</v>
      </c>
      <c r="G2286" s="113" t="s">
        <v>3093</v>
      </c>
      <c r="H2286" s="161">
        <v>2973.2</v>
      </c>
      <c r="I2286" s="161">
        <v>11</v>
      </c>
    </row>
    <row r="2287" spans="1:9">
      <c r="A2287" s="113">
        <v>100402006</v>
      </c>
      <c r="B2287" s="113" t="s">
        <v>5049</v>
      </c>
      <c r="C2287" s="113">
        <v>7018055</v>
      </c>
      <c r="D2287" s="113" t="s">
        <v>3093</v>
      </c>
      <c r="E2287" s="113" t="s">
        <v>1620</v>
      </c>
      <c r="F2287" s="113" t="s">
        <v>3093</v>
      </c>
      <c r="G2287" s="113" t="s">
        <v>3093</v>
      </c>
      <c r="H2287" s="161">
        <v>177.1</v>
      </c>
      <c r="I2287" s="161">
        <v>60</v>
      </c>
    </row>
    <row r="2288" spans="1:9">
      <c r="A2288" s="113">
        <v>100402007</v>
      </c>
      <c r="B2288" s="113" t="s">
        <v>5050</v>
      </c>
      <c r="C2288" s="113">
        <v>7018056</v>
      </c>
      <c r="D2288" s="113" t="s">
        <v>3093</v>
      </c>
      <c r="E2288" s="113" t="s">
        <v>1620</v>
      </c>
      <c r="F2288" s="113" t="s">
        <v>3093</v>
      </c>
      <c r="G2288" s="113" t="s">
        <v>3093</v>
      </c>
      <c r="H2288" s="161">
        <v>200</v>
      </c>
      <c r="I2288" s="161">
        <v>60</v>
      </c>
    </row>
    <row r="2289" spans="1:9">
      <c r="A2289" s="113">
        <v>100402008</v>
      </c>
      <c r="B2289" s="113" t="s">
        <v>5051</v>
      </c>
      <c r="C2289" s="113">
        <v>7018059</v>
      </c>
      <c r="D2289" s="113" t="s">
        <v>3093</v>
      </c>
      <c r="E2289" s="113" t="s">
        <v>1620</v>
      </c>
      <c r="F2289" s="113" t="s">
        <v>3093</v>
      </c>
      <c r="G2289" s="113" t="s">
        <v>3093</v>
      </c>
      <c r="H2289" s="161">
        <v>0.35</v>
      </c>
      <c r="I2289" s="161">
        <v>24000</v>
      </c>
    </row>
    <row r="2290" spans="1:9">
      <c r="A2290" s="113">
        <v>100402009</v>
      </c>
      <c r="B2290" s="113" t="s">
        <v>5052</v>
      </c>
      <c r="C2290" s="113">
        <v>7018065</v>
      </c>
      <c r="D2290" s="113" t="s">
        <v>3093</v>
      </c>
      <c r="E2290" s="113" t="s">
        <v>1620</v>
      </c>
      <c r="F2290" s="113" t="s">
        <v>3093</v>
      </c>
      <c r="G2290" s="113" t="s">
        <v>3093</v>
      </c>
      <c r="H2290" s="161">
        <v>0</v>
      </c>
      <c r="I2290" s="161" t="s">
        <v>7138</v>
      </c>
    </row>
    <row r="2291" spans="1:9">
      <c r="A2291" s="113">
        <v>100402010</v>
      </c>
      <c r="B2291" s="113" t="s">
        <v>5053</v>
      </c>
      <c r="C2291" s="113">
        <v>7018066</v>
      </c>
      <c r="D2291" s="113" t="s">
        <v>3093</v>
      </c>
      <c r="E2291" s="113" t="s">
        <v>1620</v>
      </c>
      <c r="F2291" s="113" t="s">
        <v>3093</v>
      </c>
      <c r="G2291" s="113" t="s">
        <v>3093</v>
      </c>
      <c r="H2291" s="161">
        <v>1249.8</v>
      </c>
      <c r="I2291" s="161">
        <v>3</v>
      </c>
    </row>
    <row r="2292" spans="1:9">
      <c r="A2292" s="113">
        <v>100402011</v>
      </c>
      <c r="B2292" s="113" t="s">
        <v>5054</v>
      </c>
      <c r="C2292" s="113">
        <v>7018067</v>
      </c>
      <c r="D2292" s="113" t="s">
        <v>3093</v>
      </c>
      <c r="E2292" s="113" t="s">
        <v>1620</v>
      </c>
      <c r="F2292" s="113" t="s">
        <v>3093</v>
      </c>
      <c r="G2292" s="113" t="s">
        <v>3093</v>
      </c>
      <c r="H2292" s="161">
        <v>1404.38</v>
      </c>
      <c r="I2292" s="161">
        <v>10</v>
      </c>
    </row>
    <row r="2293" spans="1:9">
      <c r="A2293" s="113">
        <v>100402012</v>
      </c>
      <c r="B2293" s="113" t="s">
        <v>5055</v>
      </c>
      <c r="C2293" s="113">
        <v>7018068</v>
      </c>
      <c r="D2293" s="113" t="s">
        <v>3093</v>
      </c>
      <c r="E2293" s="113" t="s">
        <v>1620</v>
      </c>
      <c r="F2293" s="113" t="s">
        <v>3093</v>
      </c>
      <c r="G2293" s="113" t="s">
        <v>3093</v>
      </c>
      <c r="H2293" s="161">
        <v>0</v>
      </c>
      <c r="I2293" s="161" t="s">
        <v>7138</v>
      </c>
    </row>
    <row r="2294" spans="1:9">
      <c r="A2294" s="113">
        <v>100402013</v>
      </c>
      <c r="B2294" s="113" t="s">
        <v>5056</v>
      </c>
      <c r="C2294" s="113">
        <v>7018101</v>
      </c>
      <c r="D2294" s="113" t="s">
        <v>3093</v>
      </c>
      <c r="E2294" s="113" t="s">
        <v>1620</v>
      </c>
      <c r="F2294" s="113" t="s">
        <v>3093</v>
      </c>
      <c r="G2294" s="113" t="s">
        <v>3093</v>
      </c>
      <c r="H2294" s="161">
        <v>6.8</v>
      </c>
      <c r="I2294" s="161">
        <v>0</v>
      </c>
    </row>
    <row r="2295" spans="1:9">
      <c r="A2295" s="113">
        <v>100402014</v>
      </c>
      <c r="B2295" s="113" t="s">
        <v>5057</v>
      </c>
      <c r="C2295" s="113">
        <v>7031060</v>
      </c>
      <c r="D2295" s="113" t="s">
        <v>3093</v>
      </c>
      <c r="E2295" s="113" t="s">
        <v>1620</v>
      </c>
      <c r="F2295" s="113" t="s">
        <v>3093</v>
      </c>
      <c r="G2295" s="113" t="s">
        <v>3093</v>
      </c>
      <c r="H2295" s="161">
        <v>90</v>
      </c>
      <c r="I2295" s="161">
        <v>12</v>
      </c>
    </row>
    <row r="2296" spans="1:9">
      <c r="A2296" s="113">
        <v>100402015</v>
      </c>
      <c r="B2296" s="113" t="s">
        <v>5058</v>
      </c>
      <c r="C2296" s="113">
        <v>7031061</v>
      </c>
      <c r="D2296" s="113" t="s">
        <v>3093</v>
      </c>
      <c r="E2296" s="113" t="s">
        <v>1620</v>
      </c>
      <c r="F2296" s="113" t="s">
        <v>3093</v>
      </c>
      <c r="G2296" s="113" t="s">
        <v>3093</v>
      </c>
      <c r="H2296" s="161">
        <v>75</v>
      </c>
      <c r="I2296" s="161">
        <v>75</v>
      </c>
    </row>
    <row r="2297" spans="1:9">
      <c r="A2297" s="113">
        <v>100402016</v>
      </c>
      <c r="B2297" s="113" t="s">
        <v>5059</v>
      </c>
      <c r="C2297" s="113">
        <v>7031062</v>
      </c>
      <c r="D2297" s="113" t="s">
        <v>3093</v>
      </c>
      <c r="E2297" s="113" t="s">
        <v>1620</v>
      </c>
      <c r="F2297" s="113" t="s">
        <v>3093</v>
      </c>
      <c r="G2297" s="113" t="s">
        <v>3093</v>
      </c>
      <c r="H2297" s="161">
        <v>162.97999999999999</v>
      </c>
      <c r="I2297" s="161">
        <v>6</v>
      </c>
    </row>
    <row r="2298" spans="1:9">
      <c r="A2298" s="113">
        <v>100402017</v>
      </c>
      <c r="B2298" s="113" t="s">
        <v>5060</v>
      </c>
      <c r="C2298" s="113">
        <v>7031075</v>
      </c>
      <c r="D2298" s="113" t="s">
        <v>3093</v>
      </c>
      <c r="E2298" s="113" t="s">
        <v>1620</v>
      </c>
      <c r="F2298" s="113" t="s">
        <v>3093</v>
      </c>
      <c r="G2298" s="113" t="s">
        <v>3093</v>
      </c>
      <c r="H2298" s="161">
        <v>169.88</v>
      </c>
      <c r="I2298" s="161">
        <v>0</v>
      </c>
    </row>
    <row r="2299" spans="1:9">
      <c r="A2299" s="113">
        <v>100402018</v>
      </c>
      <c r="B2299" s="113" t="s">
        <v>5061</v>
      </c>
      <c r="C2299" s="113">
        <v>7031076</v>
      </c>
      <c r="D2299" s="113" t="s">
        <v>3093</v>
      </c>
      <c r="E2299" s="113" t="s">
        <v>1620</v>
      </c>
      <c r="F2299" s="113" t="s">
        <v>3093</v>
      </c>
      <c r="G2299" s="113" t="s">
        <v>3093</v>
      </c>
      <c r="H2299" s="161">
        <v>104</v>
      </c>
      <c r="I2299" s="161">
        <v>0</v>
      </c>
    </row>
    <row r="2300" spans="1:9">
      <c r="A2300" s="113">
        <v>100402019</v>
      </c>
      <c r="B2300" s="113" t="s">
        <v>5062</v>
      </c>
      <c r="C2300" s="113">
        <v>7031077</v>
      </c>
      <c r="D2300" s="113" t="s">
        <v>3093</v>
      </c>
      <c r="E2300" s="113" t="s">
        <v>1620</v>
      </c>
      <c r="F2300" s="113" t="s">
        <v>3093</v>
      </c>
      <c r="G2300" s="113" t="s">
        <v>3093</v>
      </c>
      <c r="H2300" s="161">
        <v>3.35</v>
      </c>
      <c r="I2300" s="161">
        <v>600</v>
      </c>
    </row>
    <row r="2301" spans="1:9">
      <c r="A2301" s="113">
        <v>100402020</v>
      </c>
      <c r="B2301" s="113" t="s">
        <v>2985</v>
      </c>
      <c r="C2301" s="113">
        <v>7031078</v>
      </c>
      <c r="D2301" s="113" t="s">
        <v>3093</v>
      </c>
      <c r="E2301" s="113" t="s">
        <v>1620</v>
      </c>
      <c r="F2301" s="113" t="s">
        <v>3093</v>
      </c>
      <c r="G2301" s="113" t="s">
        <v>3093</v>
      </c>
      <c r="H2301" s="161">
        <v>7</v>
      </c>
      <c r="I2301" s="161">
        <v>0</v>
      </c>
    </row>
    <row r="2302" spans="1:9">
      <c r="A2302" s="113">
        <v>100402021</v>
      </c>
      <c r="B2302" s="113" t="s">
        <v>5063</v>
      </c>
      <c r="C2302" s="113">
        <v>7032060</v>
      </c>
      <c r="D2302" s="113" t="s">
        <v>3093</v>
      </c>
      <c r="E2302" s="113" t="s">
        <v>1620</v>
      </c>
      <c r="F2302" s="113" t="s">
        <v>3093</v>
      </c>
      <c r="G2302" s="113" t="s">
        <v>3093</v>
      </c>
      <c r="H2302" s="161">
        <v>2.72</v>
      </c>
      <c r="I2302" s="161">
        <v>1500</v>
      </c>
    </row>
    <row r="2303" spans="1:9">
      <c r="A2303" s="113">
        <v>100402022</v>
      </c>
      <c r="B2303" s="113" t="s">
        <v>5064</v>
      </c>
      <c r="C2303" s="113">
        <v>7032063</v>
      </c>
      <c r="D2303" s="113" t="s">
        <v>3093</v>
      </c>
      <c r="E2303" s="113" t="s">
        <v>1620</v>
      </c>
      <c r="F2303" s="113" t="s">
        <v>3093</v>
      </c>
      <c r="G2303" s="113" t="s">
        <v>3093</v>
      </c>
      <c r="H2303" s="161">
        <v>16</v>
      </c>
      <c r="I2303" s="161">
        <v>24</v>
      </c>
    </row>
    <row r="2304" spans="1:9">
      <c r="A2304" s="113">
        <v>100402023</v>
      </c>
      <c r="B2304" s="113" t="s">
        <v>5065</v>
      </c>
      <c r="C2304" s="113">
        <v>7034018</v>
      </c>
      <c r="D2304" s="113" t="s">
        <v>3093</v>
      </c>
      <c r="E2304" s="113" t="s">
        <v>1620</v>
      </c>
      <c r="F2304" s="113" t="s">
        <v>3093</v>
      </c>
      <c r="G2304" s="113" t="s">
        <v>3093</v>
      </c>
      <c r="H2304" s="161">
        <v>0</v>
      </c>
      <c r="I2304" s="161" t="s">
        <v>7138</v>
      </c>
    </row>
    <row r="2305" spans="1:9">
      <c r="A2305" s="113">
        <v>100402024</v>
      </c>
      <c r="B2305" s="113" t="s">
        <v>5066</v>
      </c>
      <c r="C2305" s="113">
        <v>7034026</v>
      </c>
      <c r="D2305" s="113" t="s">
        <v>3093</v>
      </c>
      <c r="E2305" s="113" t="s">
        <v>1620</v>
      </c>
      <c r="F2305" s="113" t="s">
        <v>3093</v>
      </c>
      <c r="G2305" s="113" t="s">
        <v>3093</v>
      </c>
      <c r="H2305" s="161">
        <v>2</v>
      </c>
      <c r="I2305" s="161">
        <v>250</v>
      </c>
    </row>
    <row r="2306" spans="1:9">
      <c r="A2306" s="113">
        <v>100402025</v>
      </c>
      <c r="B2306" s="113" t="s">
        <v>5067</v>
      </c>
      <c r="C2306" s="113">
        <v>7034051</v>
      </c>
      <c r="D2306" s="113" t="s">
        <v>3093</v>
      </c>
      <c r="E2306" s="113" t="s">
        <v>1620</v>
      </c>
      <c r="F2306" s="113" t="s">
        <v>3093</v>
      </c>
      <c r="G2306" s="113" t="s">
        <v>3093</v>
      </c>
      <c r="H2306" s="161">
        <v>135</v>
      </c>
      <c r="I2306" s="161">
        <v>4</v>
      </c>
    </row>
    <row r="2307" spans="1:9">
      <c r="A2307" s="113">
        <v>100402026</v>
      </c>
      <c r="B2307" s="113" t="s">
        <v>5068</v>
      </c>
      <c r="C2307" s="113">
        <v>7036034</v>
      </c>
      <c r="D2307" s="113" t="s">
        <v>3093</v>
      </c>
      <c r="E2307" s="113" t="s">
        <v>1620</v>
      </c>
      <c r="F2307" s="113" t="s">
        <v>3093</v>
      </c>
      <c r="G2307" s="113" t="s">
        <v>3093</v>
      </c>
      <c r="H2307" s="161">
        <v>173.02</v>
      </c>
      <c r="I2307" s="161">
        <v>100</v>
      </c>
    </row>
    <row r="2308" spans="1:9">
      <c r="A2308" s="113">
        <v>100402027</v>
      </c>
      <c r="B2308" s="113" t="s">
        <v>5069</v>
      </c>
      <c r="C2308" s="113">
        <v>7036046</v>
      </c>
      <c r="D2308" s="113" t="s">
        <v>3093</v>
      </c>
      <c r="E2308" s="113" t="s">
        <v>1620</v>
      </c>
      <c r="F2308" s="113" t="s">
        <v>3093</v>
      </c>
      <c r="G2308" s="113" t="s">
        <v>3093</v>
      </c>
      <c r="H2308" s="161">
        <v>279.99</v>
      </c>
      <c r="I2308" s="161">
        <v>0</v>
      </c>
    </row>
    <row r="2309" spans="1:9">
      <c r="A2309" s="113">
        <v>100402028</v>
      </c>
      <c r="B2309" s="113" t="s">
        <v>5070</v>
      </c>
      <c r="C2309" s="113">
        <v>7036157</v>
      </c>
      <c r="D2309" s="113" t="s">
        <v>3093</v>
      </c>
      <c r="E2309" s="113" t="s">
        <v>1620</v>
      </c>
      <c r="F2309" s="113" t="s">
        <v>3093</v>
      </c>
      <c r="G2309" s="113" t="s">
        <v>3093</v>
      </c>
      <c r="H2309" s="161">
        <v>575</v>
      </c>
      <c r="I2309" s="161">
        <v>10</v>
      </c>
    </row>
    <row r="2310" spans="1:9">
      <c r="A2310" s="113">
        <v>100402029</v>
      </c>
      <c r="B2310" s="113" t="s">
        <v>5071</v>
      </c>
      <c r="C2310" s="113">
        <v>7037077</v>
      </c>
      <c r="D2310" s="113" t="s">
        <v>3093</v>
      </c>
      <c r="E2310" s="113" t="s">
        <v>1620</v>
      </c>
      <c r="F2310" s="113" t="s">
        <v>3093</v>
      </c>
      <c r="G2310" s="113" t="s">
        <v>3093</v>
      </c>
      <c r="H2310" s="161">
        <v>95</v>
      </c>
      <c r="I2310" s="161">
        <v>0</v>
      </c>
    </row>
    <row r="2311" spans="1:9">
      <c r="A2311" s="113">
        <v>100402030</v>
      </c>
      <c r="B2311" s="113" t="s">
        <v>5072</v>
      </c>
      <c r="C2311" s="113">
        <v>7037082</v>
      </c>
      <c r="D2311" s="113" t="s">
        <v>3093</v>
      </c>
      <c r="E2311" s="113" t="s">
        <v>1620</v>
      </c>
      <c r="F2311" s="113" t="s">
        <v>3093</v>
      </c>
      <c r="G2311" s="113" t="s">
        <v>3093</v>
      </c>
      <c r="H2311" s="161">
        <v>190.5</v>
      </c>
      <c r="I2311" s="161">
        <v>0</v>
      </c>
    </row>
    <row r="2312" spans="1:9">
      <c r="A2312" s="113">
        <v>100402031</v>
      </c>
      <c r="B2312" s="113" t="s">
        <v>5073</v>
      </c>
      <c r="C2312" s="113">
        <v>7037086</v>
      </c>
      <c r="D2312" s="113" t="s">
        <v>3093</v>
      </c>
      <c r="E2312" s="113" t="s">
        <v>1620</v>
      </c>
      <c r="F2312" s="113" t="s">
        <v>3093</v>
      </c>
      <c r="G2312" s="113" t="s">
        <v>3093</v>
      </c>
      <c r="H2312" s="161">
        <v>300.61</v>
      </c>
      <c r="I2312" s="161">
        <v>70</v>
      </c>
    </row>
    <row r="2313" spans="1:9">
      <c r="A2313" s="113">
        <v>100402032</v>
      </c>
      <c r="B2313" s="113" t="s">
        <v>2986</v>
      </c>
      <c r="C2313" s="113">
        <v>7037116</v>
      </c>
      <c r="D2313" s="113" t="s">
        <v>3093</v>
      </c>
      <c r="E2313" s="113" t="s">
        <v>1620</v>
      </c>
      <c r="F2313" s="113" t="s">
        <v>3093</v>
      </c>
      <c r="G2313" s="113" t="s">
        <v>3093</v>
      </c>
      <c r="H2313" s="161">
        <v>10.33</v>
      </c>
      <c r="I2313" s="161">
        <v>300</v>
      </c>
    </row>
    <row r="2314" spans="1:9">
      <c r="A2314" s="113">
        <v>100402033</v>
      </c>
      <c r="B2314" s="113" t="s">
        <v>5074</v>
      </c>
      <c r="C2314" s="113">
        <v>7037117</v>
      </c>
      <c r="D2314" s="113" t="s">
        <v>3093</v>
      </c>
      <c r="E2314" s="113" t="s">
        <v>1620</v>
      </c>
      <c r="F2314" s="113" t="s">
        <v>3093</v>
      </c>
      <c r="G2314" s="113" t="s">
        <v>3093</v>
      </c>
      <c r="H2314" s="161">
        <v>13.75</v>
      </c>
      <c r="I2314" s="161">
        <v>300</v>
      </c>
    </row>
    <row r="2315" spans="1:9">
      <c r="A2315" s="113">
        <v>100402034</v>
      </c>
      <c r="B2315" s="113" t="s">
        <v>5075</v>
      </c>
      <c r="C2315" s="113">
        <v>7037121</v>
      </c>
      <c r="D2315" s="113" t="s">
        <v>3093</v>
      </c>
      <c r="E2315" s="113" t="s">
        <v>1620</v>
      </c>
      <c r="F2315" s="113" t="s">
        <v>3093</v>
      </c>
      <c r="G2315" s="113" t="s">
        <v>3093</v>
      </c>
      <c r="H2315" s="161">
        <v>125</v>
      </c>
      <c r="I2315" s="161">
        <v>0</v>
      </c>
    </row>
    <row r="2316" spans="1:9">
      <c r="A2316" s="113">
        <v>100402035</v>
      </c>
      <c r="B2316" s="113" t="s">
        <v>5076</v>
      </c>
      <c r="C2316" s="113">
        <v>7037122</v>
      </c>
      <c r="D2316" s="113" t="s">
        <v>3093</v>
      </c>
      <c r="E2316" s="113" t="s">
        <v>1620</v>
      </c>
      <c r="F2316" s="113" t="s">
        <v>3093</v>
      </c>
      <c r="G2316" s="113" t="s">
        <v>3093</v>
      </c>
      <c r="H2316" s="161">
        <v>6.5</v>
      </c>
      <c r="I2316" s="161">
        <v>300</v>
      </c>
    </row>
    <row r="2317" spans="1:9">
      <c r="A2317" s="113">
        <v>100402036</v>
      </c>
      <c r="B2317" s="113" t="s">
        <v>2987</v>
      </c>
      <c r="C2317" s="113">
        <v>7037136</v>
      </c>
      <c r="D2317" s="113" t="s">
        <v>3093</v>
      </c>
      <c r="E2317" s="113" t="s">
        <v>1620</v>
      </c>
      <c r="F2317" s="113" t="s">
        <v>3093</v>
      </c>
      <c r="G2317" s="113" t="s">
        <v>3093</v>
      </c>
      <c r="H2317" s="161">
        <v>141.38999999999999</v>
      </c>
      <c r="I2317" s="161">
        <v>0</v>
      </c>
    </row>
    <row r="2318" spans="1:9">
      <c r="A2318" s="113">
        <v>100402037</v>
      </c>
      <c r="B2318" s="113" t="s">
        <v>5077</v>
      </c>
      <c r="C2318" s="113">
        <v>7037143</v>
      </c>
      <c r="D2318" s="113" t="s">
        <v>3093</v>
      </c>
      <c r="E2318" s="113" t="s">
        <v>1620</v>
      </c>
      <c r="F2318" s="113" t="s">
        <v>3093</v>
      </c>
      <c r="G2318" s="113" t="s">
        <v>3093</v>
      </c>
      <c r="H2318" s="161">
        <v>78</v>
      </c>
      <c r="I2318" s="161">
        <v>0</v>
      </c>
    </row>
    <row r="2319" spans="1:9">
      <c r="A2319" s="113">
        <v>100402038</v>
      </c>
      <c r="B2319" s="113" t="s">
        <v>5078</v>
      </c>
      <c r="C2319" s="113">
        <v>7037144</v>
      </c>
      <c r="D2319" s="113" t="s">
        <v>3093</v>
      </c>
      <c r="E2319" s="113" t="s">
        <v>1620</v>
      </c>
      <c r="F2319" s="113" t="s">
        <v>3093</v>
      </c>
      <c r="G2319" s="113" t="s">
        <v>3093</v>
      </c>
      <c r="H2319" s="161">
        <v>80</v>
      </c>
      <c r="I2319" s="161">
        <v>10</v>
      </c>
    </row>
    <row r="2320" spans="1:9">
      <c r="A2320" s="113">
        <v>100402039</v>
      </c>
      <c r="B2320" s="113" t="s">
        <v>5079</v>
      </c>
      <c r="C2320" s="113">
        <v>7037145</v>
      </c>
      <c r="D2320" s="113" t="s">
        <v>3093</v>
      </c>
      <c r="E2320" s="113" t="s">
        <v>1620</v>
      </c>
      <c r="F2320" s="113" t="s">
        <v>3093</v>
      </c>
      <c r="G2320" s="113" t="s">
        <v>3093</v>
      </c>
      <c r="H2320" s="161">
        <v>81</v>
      </c>
      <c r="I2320" s="161">
        <v>10</v>
      </c>
    </row>
    <row r="2321" spans="1:9">
      <c r="A2321" s="113">
        <v>100402040</v>
      </c>
      <c r="B2321" s="113" t="s">
        <v>5080</v>
      </c>
      <c r="C2321" s="113">
        <v>7037148</v>
      </c>
      <c r="D2321" s="113" t="s">
        <v>3093</v>
      </c>
      <c r="E2321" s="113" t="s">
        <v>1620</v>
      </c>
      <c r="F2321" s="113" t="s">
        <v>3093</v>
      </c>
      <c r="G2321" s="113" t="s">
        <v>3093</v>
      </c>
      <c r="H2321" s="161">
        <v>0</v>
      </c>
      <c r="I2321" s="161" t="s">
        <v>7138</v>
      </c>
    </row>
    <row r="2322" spans="1:9">
      <c r="A2322" s="113">
        <v>100402041</v>
      </c>
      <c r="B2322" s="113" t="s">
        <v>5081</v>
      </c>
      <c r="C2322" s="113">
        <v>7038021</v>
      </c>
      <c r="D2322" s="113" t="s">
        <v>3093</v>
      </c>
      <c r="E2322" s="113" t="s">
        <v>1620</v>
      </c>
      <c r="F2322" s="113" t="s">
        <v>3093</v>
      </c>
      <c r="G2322" s="113" t="s">
        <v>3093</v>
      </c>
      <c r="H2322" s="161">
        <v>42.17</v>
      </c>
      <c r="I2322" s="161">
        <v>5</v>
      </c>
    </row>
    <row r="2323" spans="1:9">
      <c r="A2323" s="113">
        <v>100402042</v>
      </c>
      <c r="B2323" s="113" t="s">
        <v>5082</v>
      </c>
      <c r="C2323" s="113">
        <v>7038035</v>
      </c>
      <c r="D2323" s="113" t="s">
        <v>3093</v>
      </c>
      <c r="E2323" s="113" t="s">
        <v>1620</v>
      </c>
      <c r="F2323" s="113" t="s">
        <v>3093</v>
      </c>
      <c r="G2323" s="113" t="s">
        <v>3093</v>
      </c>
      <c r="H2323" s="161">
        <v>915</v>
      </c>
      <c r="I2323" s="161" t="s">
        <v>7138</v>
      </c>
    </row>
    <row r="2324" spans="1:9">
      <c r="A2324" s="113">
        <v>100402043</v>
      </c>
      <c r="B2324" s="113" t="s">
        <v>5083</v>
      </c>
      <c r="C2324" s="113">
        <v>7038056</v>
      </c>
      <c r="D2324" s="113" t="s">
        <v>3093</v>
      </c>
      <c r="E2324" s="113" t="s">
        <v>1620</v>
      </c>
      <c r="F2324" s="113" t="s">
        <v>3093</v>
      </c>
      <c r="G2324" s="113" t="s">
        <v>3093</v>
      </c>
      <c r="H2324" s="161">
        <v>693.12</v>
      </c>
      <c r="I2324" s="161">
        <v>0</v>
      </c>
    </row>
    <row r="2325" spans="1:9">
      <c r="A2325" s="113">
        <v>100402044</v>
      </c>
      <c r="B2325" s="113" t="s">
        <v>5084</v>
      </c>
      <c r="C2325" s="113">
        <v>7038057</v>
      </c>
      <c r="D2325" s="113" t="s">
        <v>3093</v>
      </c>
      <c r="E2325" s="113" t="s">
        <v>1620</v>
      </c>
      <c r="F2325" s="113" t="s">
        <v>3093</v>
      </c>
      <c r="G2325" s="113" t="s">
        <v>3093</v>
      </c>
      <c r="H2325" s="161">
        <v>836</v>
      </c>
      <c r="I2325" s="161">
        <v>15</v>
      </c>
    </row>
    <row r="2326" spans="1:9">
      <c r="A2326" s="113">
        <v>100402045</v>
      </c>
      <c r="B2326" s="113" t="s">
        <v>5085</v>
      </c>
      <c r="C2326" s="113">
        <v>7038071</v>
      </c>
      <c r="D2326" s="113" t="s">
        <v>3093</v>
      </c>
      <c r="E2326" s="113" t="s">
        <v>1620</v>
      </c>
      <c r="F2326" s="113" t="s">
        <v>3093</v>
      </c>
      <c r="G2326" s="113" t="s">
        <v>3093</v>
      </c>
      <c r="H2326" s="161">
        <v>120</v>
      </c>
      <c r="I2326" s="161">
        <v>30</v>
      </c>
    </row>
    <row r="2327" spans="1:9">
      <c r="A2327" s="113">
        <v>100402046</v>
      </c>
      <c r="B2327" s="113" t="s">
        <v>5086</v>
      </c>
      <c r="C2327" s="113">
        <v>7038072</v>
      </c>
      <c r="D2327" s="113" t="s">
        <v>3093</v>
      </c>
      <c r="E2327" s="113" t="s">
        <v>1620</v>
      </c>
      <c r="F2327" s="113" t="s">
        <v>3093</v>
      </c>
      <c r="G2327" s="113" t="s">
        <v>3093</v>
      </c>
      <c r="H2327" s="161">
        <v>120</v>
      </c>
      <c r="I2327" s="161">
        <v>5</v>
      </c>
    </row>
    <row r="2328" spans="1:9">
      <c r="A2328" s="113">
        <v>100402047</v>
      </c>
      <c r="B2328" s="113" t="s">
        <v>5087</v>
      </c>
      <c r="C2328" s="113">
        <v>7038073</v>
      </c>
      <c r="D2328" s="113" t="s">
        <v>3093</v>
      </c>
      <c r="E2328" s="113" t="s">
        <v>1620</v>
      </c>
      <c r="F2328" s="113" t="s">
        <v>3093</v>
      </c>
      <c r="G2328" s="115" t="s">
        <v>3093</v>
      </c>
      <c r="H2328" s="161">
        <v>120</v>
      </c>
      <c r="I2328" s="161">
        <v>49</v>
      </c>
    </row>
    <row r="2329" spans="1:9">
      <c r="A2329" s="113">
        <v>100402048</v>
      </c>
      <c r="B2329" s="113" t="s">
        <v>5088</v>
      </c>
      <c r="C2329" s="113">
        <v>7038074</v>
      </c>
      <c r="D2329" s="113" t="s">
        <v>3093</v>
      </c>
      <c r="E2329" s="113" t="s">
        <v>1620</v>
      </c>
      <c r="F2329" s="113" t="s">
        <v>3093</v>
      </c>
      <c r="G2329" s="113" t="s">
        <v>3093</v>
      </c>
      <c r="H2329" s="161">
        <v>120</v>
      </c>
      <c r="I2329" s="161">
        <v>40</v>
      </c>
    </row>
    <row r="2330" spans="1:9">
      <c r="A2330" s="113">
        <v>100402049</v>
      </c>
      <c r="B2330" s="113" t="s">
        <v>5089</v>
      </c>
      <c r="C2330" s="113">
        <v>7038131</v>
      </c>
      <c r="D2330" s="113" t="s">
        <v>3093</v>
      </c>
      <c r="E2330" s="113" t="s">
        <v>1620</v>
      </c>
      <c r="F2330" s="113" t="s">
        <v>3093</v>
      </c>
      <c r="G2330" s="113" t="s">
        <v>3093</v>
      </c>
      <c r="H2330" s="161">
        <v>0</v>
      </c>
      <c r="I2330" s="161" t="s">
        <v>7138</v>
      </c>
    </row>
    <row r="2331" spans="1:9">
      <c r="A2331" s="113">
        <v>100402050</v>
      </c>
      <c r="B2331" s="113" t="s">
        <v>5090</v>
      </c>
      <c r="C2331" s="113">
        <v>7042035</v>
      </c>
      <c r="D2331" s="113" t="s">
        <v>3093</v>
      </c>
      <c r="E2331" s="113" t="s">
        <v>1620</v>
      </c>
      <c r="F2331" s="113" t="s">
        <v>3093</v>
      </c>
      <c r="G2331" s="113" t="s">
        <v>3093</v>
      </c>
      <c r="H2331" s="161">
        <v>7.99</v>
      </c>
      <c r="I2331" s="161">
        <v>2</v>
      </c>
    </row>
    <row r="2332" spans="1:9">
      <c r="A2332" s="113">
        <v>100402051</v>
      </c>
      <c r="B2332" s="113" t="s">
        <v>5091</v>
      </c>
      <c r="C2332" s="113">
        <v>7042065</v>
      </c>
      <c r="D2332" s="113" t="s">
        <v>3093</v>
      </c>
      <c r="E2332" s="113" t="s">
        <v>1620</v>
      </c>
      <c r="F2332" s="113" t="s">
        <v>3093</v>
      </c>
      <c r="G2332" s="113" t="s">
        <v>3093</v>
      </c>
      <c r="H2332" s="161">
        <v>0</v>
      </c>
      <c r="I2332" s="161" t="s">
        <v>7138</v>
      </c>
    </row>
    <row r="2333" spans="1:9">
      <c r="A2333" s="113">
        <v>100402052</v>
      </c>
      <c r="B2333" s="113" t="s">
        <v>2988</v>
      </c>
      <c r="C2333" s="113">
        <v>7042096</v>
      </c>
      <c r="D2333" s="113" t="s">
        <v>3093</v>
      </c>
      <c r="E2333" s="113" t="s">
        <v>1620</v>
      </c>
      <c r="F2333" s="113" t="s">
        <v>3093</v>
      </c>
      <c r="G2333" s="113" t="s">
        <v>3093</v>
      </c>
      <c r="H2333" s="161">
        <v>12</v>
      </c>
      <c r="I2333" s="161">
        <v>2</v>
      </c>
    </row>
    <row r="2334" spans="1:9">
      <c r="A2334" s="113">
        <v>100402053</v>
      </c>
      <c r="B2334" s="113" t="s">
        <v>5092</v>
      </c>
      <c r="C2334" s="113">
        <v>7042102</v>
      </c>
      <c r="D2334" s="113" t="s">
        <v>3093</v>
      </c>
      <c r="E2334" s="113" t="s">
        <v>1620</v>
      </c>
      <c r="F2334" s="113" t="s">
        <v>3093</v>
      </c>
      <c r="G2334" s="113" t="s">
        <v>3093</v>
      </c>
      <c r="H2334" s="161">
        <v>56.5</v>
      </c>
      <c r="I2334" s="161">
        <v>60</v>
      </c>
    </row>
    <row r="2335" spans="1:9">
      <c r="A2335" s="113">
        <v>100402054</v>
      </c>
      <c r="B2335" s="113" t="s">
        <v>5093</v>
      </c>
      <c r="C2335" s="113">
        <v>7054015</v>
      </c>
      <c r="D2335" s="113" t="s">
        <v>3093</v>
      </c>
      <c r="E2335" s="113" t="s">
        <v>1620</v>
      </c>
      <c r="F2335" s="113" t="s">
        <v>3093</v>
      </c>
      <c r="G2335" s="113" t="s">
        <v>3093</v>
      </c>
      <c r="H2335" s="161">
        <v>749.17</v>
      </c>
      <c r="I2335" s="161">
        <v>24</v>
      </c>
    </row>
    <row r="2336" spans="1:9">
      <c r="A2336" s="113">
        <v>100402055</v>
      </c>
      <c r="B2336" s="113" t="s">
        <v>5094</v>
      </c>
      <c r="C2336" s="113">
        <v>7054047</v>
      </c>
      <c r="D2336" s="113" t="s">
        <v>3093</v>
      </c>
      <c r="E2336" s="113" t="s">
        <v>1620</v>
      </c>
      <c r="F2336" s="113" t="s">
        <v>3093</v>
      </c>
      <c r="G2336" s="113" t="s">
        <v>3093</v>
      </c>
      <c r="H2336" s="161">
        <v>0</v>
      </c>
      <c r="I2336" s="161" t="s">
        <v>7138</v>
      </c>
    </row>
    <row r="2337" spans="1:9">
      <c r="A2337" s="113">
        <v>100402056</v>
      </c>
      <c r="B2337" s="113" t="s">
        <v>5095</v>
      </c>
      <c r="C2337" s="113">
        <v>7054048</v>
      </c>
      <c r="D2337" s="113" t="s">
        <v>3093</v>
      </c>
      <c r="E2337" s="113" t="s">
        <v>1620</v>
      </c>
      <c r="F2337" s="113" t="s">
        <v>3093</v>
      </c>
      <c r="G2337" s="113" t="s">
        <v>3093</v>
      </c>
      <c r="H2337" s="161">
        <v>0</v>
      </c>
      <c r="I2337" s="161" t="s">
        <v>7138</v>
      </c>
    </row>
    <row r="2338" spans="1:9">
      <c r="A2338" s="113">
        <v>100402057</v>
      </c>
      <c r="B2338" s="113" t="s">
        <v>5096</v>
      </c>
      <c r="C2338" s="113">
        <v>7054074</v>
      </c>
      <c r="D2338" s="113" t="s">
        <v>3093</v>
      </c>
      <c r="E2338" s="113" t="s">
        <v>1620</v>
      </c>
      <c r="F2338" s="113" t="s">
        <v>3093</v>
      </c>
      <c r="G2338" s="113" t="s">
        <v>3093</v>
      </c>
      <c r="H2338" s="161">
        <v>1263</v>
      </c>
      <c r="I2338" s="161" t="s">
        <v>7138</v>
      </c>
    </row>
    <row r="2339" spans="1:9">
      <c r="A2339" s="113">
        <v>100402058</v>
      </c>
      <c r="B2339" s="113" t="s">
        <v>5097</v>
      </c>
      <c r="C2339" s="113">
        <v>7054075</v>
      </c>
      <c r="D2339" s="113" t="s">
        <v>3093</v>
      </c>
      <c r="E2339" s="113" t="s">
        <v>1620</v>
      </c>
      <c r="F2339" s="113" t="s">
        <v>3093</v>
      </c>
      <c r="G2339" s="113" t="s">
        <v>3093</v>
      </c>
      <c r="H2339" s="161">
        <v>822</v>
      </c>
      <c r="I2339" s="161">
        <v>3</v>
      </c>
    </row>
    <row r="2340" spans="1:9">
      <c r="A2340" s="113">
        <v>100402059</v>
      </c>
      <c r="B2340" s="113" t="s">
        <v>5098</v>
      </c>
      <c r="C2340" s="113">
        <v>7054079</v>
      </c>
      <c r="D2340" s="113" t="s">
        <v>3093</v>
      </c>
      <c r="E2340" s="113" t="s">
        <v>1620</v>
      </c>
      <c r="F2340" s="113" t="s">
        <v>3093</v>
      </c>
      <c r="G2340" s="113" t="s">
        <v>3093</v>
      </c>
      <c r="H2340" s="161">
        <v>0</v>
      </c>
      <c r="I2340" s="161" t="s">
        <v>7138</v>
      </c>
    </row>
    <row r="2341" spans="1:9">
      <c r="A2341" s="113">
        <v>100402060</v>
      </c>
      <c r="B2341" s="113" t="s">
        <v>5099</v>
      </c>
      <c r="C2341" s="113">
        <v>7054082</v>
      </c>
      <c r="D2341" s="113" t="s">
        <v>3093</v>
      </c>
      <c r="E2341" s="113" t="s">
        <v>1620</v>
      </c>
      <c r="F2341" s="113" t="s">
        <v>3093</v>
      </c>
      <c r="G2341" s="113" t="s">
        <v>3093</v>
      </c>
      <c r="H2341" s="161">
        <v>1474.65</v>
      </c>
      <c r="I2341" s="161">
        <v>24</v>
      </c>
    </row>
    <row r="2342" spans="1:9">
      <c r="A2342" s="113">
        <v>100402061</v>
      </c>
      <c r="B2342" s="113" t="s">
        <v>5100</v>
      </c>
      <c r="C2342" s="113">
        <v>7054083</v>
      </c>
      <c r="D2342" s="113" t="s">
        <v>3093</v>
      </c>
      <c r="E2342" s="113" t="s">
        <v>1620</v>
      </c>
      <c r="F2342" s="113" t="s">
        <v>3093</v>
      </c>
      <c r="G2342" s="113" t="s">
        <v>3093</v>
      </c>
      <c r="H2342" s="161">
        <v>200</v>
      </c>
      <c r="I2342" s="161">
        <v>2</v>
      </c>
    </row>
    <row r="2343" spans="1:9">
      <c r="A2343" s="113">
        <v>100402062</v>
      </c>
      <c r="B2343" s="113" t="s">
        <v>5101</v>
      </c>
      <c r="C2343" s="113">
        <v>7054084</v>
      </c>
      <c r="D2343" s="113" t="s">
        <v>3093</v>
      </c>
      <c r="E2343" s="113" t="s">
        <v>1620</v>
      </c>
      <c r="F2343" s="113" t="s">
        <v>3093</v>
      </c>
      <c r="G2343" s="113" t="s">
        <v>3093</v>
      </c>
      <c r="H2343" s="161">
        <v>446</v>
      </c>
      <c r="I2343" s="161">
        <v>1</v>
      </c>
    </row>
    <row r="2344" spans="1:9">
      <c r="A2344" s="113">
        <v>100402063</v>
      </c>
      <c r="B2344" s="113" t="s">
        <v>5102</v>
      </c>
      <c r="C2344" s="113">
        <v>7054085</v>
      </c>
      <c r="D2344" s="113" t="s">
        <v>3093</v>
      </c>
      <c r="E2344" s="113" t="s">
        <v>1620</v>
      </c>
      <c r="F2344" s="113" t="s">
        <v>3093</v>
      </c>
      <c r="G2344" s="113" t="s">
        <v>3093</v>
      </c>
      <c r="H2344" s="161">
        <v>299</v>
      </c>
      <c r="I2344" s="161">
        <v>1</v>
      </c>
    </row>
    <row r="2345" spans="1:9">
      <c r="A2345" s="113">
        <v>100402064</v>
      </c>
      <c r="B2345" s="113" t="s">
        <v>5103</v>
      </c>
      <c r="C2345" s="113">
        <v>7054086</v>
      </c>
      <c r="D2345" s="113" t="s">
        <v>3093</v>
      </c>
      <c r="E2345" s="113" t="s">
        <v>1620</v>
      </c>
      <c r="F2345" s="113" t="s">
        <v>3093</v>
      </c>
      <c r="G2345" s="113" t="s">
        <v>3093</v>
      </c>
      <c r="H2345" s="161">
        <v>350</v>
      </c>
      <c r="I2345" s="161">
        <v>1080</v>
      </c>
    </row>
    <row r="2346" spans="1:9">
      <c r="A2346" s="113">
        <v>100402065</v>
      </c>
      <c r="B2346" s="113" t="s">
        <v>5104</v>
      </c>
      <c r="C2346" s="113">
        <v>7054120</v>
      </c>
      <c r="D2346" s="113" t="s">
        <v>3093</v>
      </c>
      <c r="E2346" s="113" t="s">
        <v>1620</v>
      </c>
      <c r="F2346" s="113" t="s">
        <v>3093</v>
      </c>
      <c r="G2346" s="113" t="s">
        <v>3093</v>
      </c>
      <c r="H2346" s="161">
        <v>0</v>
      </c>
      <c r="I2346" s="161" t="s">
        <v>7138</v>
      </c>
    </row>
    <row r="2347" spans="1:9">
      <c r="A2347" s="113">
        <v>100402066</v>
      </c>
      <c r="B2347" s="113" t="s">
        <v>5105</v>
      </c>
      <c r="C2347" s="113">
        <v>7054121</v>
      </c>
      <c r="D2347" s="113" t="s">
        <v>3093</v>
      </c>
      <c r="E2347" s="113" t="s">
        <v>1620</v>
      </c>
      <c r="F2347" s="113" t="s">
        <v>3093</v>
      </c>
      <c r="G2347" s="113" t="s">
        <v>3093</v>
      </c>
      <c r="H2347" s="161">
        <v>0</v>
      </c>
      <c r="I2347" s="161" t="s">
        <v>7138</v>
      </c>
    </row>
    <row r="2348" spans="1:9">
      <c r="A2348" s="113">
        <v>100402067</v>
      </c>
      <c r="B2348" s="113" t="s">
        <v>5106</v>
      </c>
      <c r="C2348" s="113">
        <v>7054122</v>
      </c>
      <c r="D2348" s="113" t="s">
        <v>3093</v>
      </c>
      <c r="E2348" s="113" t="s">
        <v>1620</v>
      </c>
      <c r="F2348" s="113" t="s">
        <v>3093</v>
      </c>
      <c r="G2348" s="113" t="s">
        <v>3093</v>
      </c>
      <c r="H2348" s="161">
        <v>0</v>
      </c>
      <c r="I2348" s="161" t="s">
        <v>7138</v>
      </c>
    </row>
    <row r="2349" spans="1:9">
      <c r="A2349" s="113">
        <v>100402068</v>
      </c>
      <c r="B2349" s="113" t="s">
        <v>5107</v>
      </c>
      <c r="C2349" s="113">
        <v>7054123</v>
      </c>
      <c r="D2349" s="113" t="s">
        <v>3093</v>
      </c>
      <c r="E2349" s="113" t="s">
        <v>1620</v>
      </c>
      <c r="F2349" s="113" t="s">
        <v>3093</v>
      </c>
      <c r="G2349" s="113" t="s">
        <v>3093</v>
      </c>
      <c r="H2349" s="161">
        <v>0</v>
      </c>
      <c r="I2349" s="161" t="s">
        <v>7138</v>
      </c>
    </row>
    <row r="2350" spans="1:9">
      <c r="A2350" s="113">
        <v>100402069</v>
      </c>
      <c r="B2350" s="113" t="s">
        <v>5108</v>
      </c>
      <c r="C2350" s="113">
        <v>7054124</v>
      </c>
      <c r="D2350" s="113" t="s">
        <v>3093</v>
      </c>
      <c r="E2350" s="113" t="s">
        <v>1620</v>
      </c>
      <c r="F2350" s="113" t="s">
        <v>3093</v>
      </c>
      <c r="G2350" s="113" t="s">
        <v>3093</v>
      </c>
      <c r="H2350" s="161">
        <v>0</v>
      </c>
      <c r="I2350" s="161" t="s">
        <v>7138</v>
      </c>
    </row>
    <row r="2351" spans="1:9">
      <c r="A2351" s="113">
        <v>100402070</v>
      </c>
      <c r="B2351" s="113" t="s">
        <v>5109</v>
      </c>
      <c r="C2351" s="113">
        <v>7054136</v>
      </c>
      <c r="D2351" s="113" t="s">
        <v>3093</v>
      </c>
      <c r="E2351" s="113" t="s">
        <v>1620</v>
      </c>
      <c r="F2351" s="113" t="s">
        <v>3093</v>
      </c>
      <c r="G2351" s="113" t="s">
        <v>3093</v>
      </c>
      <c r="H2351" s="161">
        <v>36.700000000000003</v>
      </c>
      <c r="I2351" s="161">
        <v>1200</v>
      </c>
    </row>
    <row r="2352" spans="1:9">
      <c r="A2352" s="113">
        <v>100402071</v>
      </c>
      <c r="B2352" s="113" t="s">
        <v>2989</v>
      </c>
      <c r="C2352" s="113">
        <v>7054141</v>
      </c>
      <c r="D2352" s="113" t="s">
        <v>3093</v>
      </c>
      <c r="E2352" s="113" t="s">
        <v>1620</v>
      </c>
      <c r="F2352" s="113" t="s">
        <v>3093</v>
      </c>
      <c r="G2352" s="113" t="s">
        <v>3093</v>
      </c>
      <c r="H2352" s="161">
        <v>0</v>
      </c>
      <c r="I2352" s="161" t="s">
        <v>7138</v>
      </c>
    </row>
    <row r="2353" spans="1:9">
      <c r="A2353" s="113">
        <v>100402072</v>
      </c>
      <c r="B2353" s="113" t="s">
        <v>5110</v>
      </c>
      <c r="C2353" s="113">
        <v>7060036</v>
      </c>
      <c r="D2353" s="113" t="s">
        <v>3093</v>
      </c>
      <c r="E2353" s="113" t="s">
        <v>1620</v>
      </c>
      <c r="F2353" s="113" t="s">
        <v>3093</v>
      </c>
      <c r="G2353" s="113" t="s">
        <v>3093</v>
      </c>
      <c r="H2353" s="161">
        <v>0</v>
      </c>
      <c r="I2353" s="161" t="s">
        <v>7138</v>
      </c>
    </row>
    <row r="2354" spans="1:9">
      <c r="A2354" s="113">
        <v>100402073</v>
      </c>
      <c r="B2354" s="113" t="s">
        <v>5111</v>
      </c>
      <c r="C2354" s="113">
        <v>7060037</v>
      </c>
      <c r="D2354" s="113" t="s">
        <v>3093</v>
      </c>
      <c r="E2354" s="113" t="s">
        <v>1620</v>
      </c>
      <c r="F2354" s="113" t="s">
        <v>3093</v>
      </c>
      <c r="G2354" s="113" t="s">
        <v>3093</v>
      </c>
      <c r="H2354" s="161">
        <v>0</v>
      </c>
      <c r="I2354" s="161" t="s">
        <v>7138</v>
      </c>
    </row>
    <row r="2355" spans="1:9">
      <c r="A2355" s="113">
        <v>100402074</v>
      </c>
      <c r="B2355" s="113" t="s">
        <v>5112</v>
      </c>
      <c r="C2355" s="113">
        <v>7072017</v>
      </c>
      <c r="D2355" s="113" t="s">
        <v>3093</v>
      </c>
      <c r="E2355" s="113" t="s">
        <v>1620</v>
      </c>
      <c r="F2355" s="113" t="s">
        <v>3093</v>
      </c>
      <c r="G2355" s="113" t="s">
        <v>3093</v>
      </c>
      <c r="H2355" s="161">
        <v>0</v>
      </c>
      <c r="I2355" s="161" t="s">
        <v>7138</v>
      </c>
    </row>
    <row r="2356" spans="1:9">
      <c r="A2356" s="113">
        <v>100402075</v>
      </c>
      <c r="B2356" s="113" t="s">
        <v>5113</v>
      </c>
      <c r="C2356" s="113">
        <v>7072018</v>
      </c>
      <c r="D2356" s="113" t="s">
        <v>3093</v>
      </c>
      <c r="E2356" s="113" t="s">
        <v>1620</v>
      </c>
      <c r="F2356" s="113" t="s">
        <v>3093</v>
      </c>
      <c r="G2356" s="113" t="s">
        <v>3093</v>
      </c>
      <c r="H2356" s="161">
        <v>1734</v>
      </c>
      <c r="I2356" s="161">
        <v>3</v>
      </c>
    </row>
    <row r="2357" spans="1:9">
      <c r="A2357" s="113">
        <v>100402076</v>
      </c>
      <c r="B2357" s="113" t="s">
        <v>5114</v>
      </c>
      <c r="C2357" s="113">
        <v>7072022</v>
      </c>
      <c r="D2357" s="113" t="s">
        <v>3093</v>
      </c>
      <c r="E2357" s="113" t="s">
        <v>1620</v>
      </c>
      <c r="F2357" s="113" t="s">
        <v>3093</v>
      </c>
      <c r="G2357" s="113" t="s">
        <v>3093</v>
      </c>
      <c r="H2357" s="161">
        <v>0.6</v>
      </c>
      <c r="I2357" s="161">
        <v>0</v>
      </c>
    </row>
    <row r="2358" spans="1:9">
      <c r="A2358" s="113">
        <v>100402077</v>
      </c>
      <c r="B2358" s="113" t="s">
        <v>2990</v>
      </c>
      <c r="C2358" s="113">
        <v>7072024</v>
      </c>
      <c r="D2358" s="113" t="s">
        <v>3093</v>
      </c>
      <c r="E2358" s="113" t="s">
        <v>1620</v>
      </c>
      <c r="F2358" s="113" t="s">
        <v>3093</v>
      </c>
      <c r="G2358" s="113" t="s">
        <v>3093</v>
      </c>
      <c r="H2358" s="161">
        <v>4.95</v>
      </c>
      <c r="I2358" s="161">
        <v>60</v>
      </c>
    </row>
    <row r="2359" spans="1:9">
      <c r="A2359" s="113">
        <v>100402078</v>
      </c>
      <c r="B2359" s="113" t="s">
        <v>5115</v>
      </c>
      <c r="C2359" s="113">
        <v>7072100</v>
      </c>
      <c r="D2359" s="113" t="s">
        <v>3093</v>
      </c>
      <c r="E2359" s="113" t="s">
        <v>1620</v>
      </c>
      <c r="F2359" s="113" t="s">
        <v>3093</v>
      </c>
      <c r="G2359" s="113" t="s">
        <v>3093</v>
      </c>
      <c r="H2359" s="161">
        <v>5478.03</v>
      </c>
      <c r="I2359" s="161">
        <v>1</v>
      </c>
    </row>
    <row r="2360" spans="1:9">
      <c r="A2360" s="113">
        <v>100402079</v>
      </c>
      <c r="B2360" s="113" t="s">
        <v>5116</v>
      </c>
      <c r="C2360" s="113">
        <v>7072102</v>
      </c>
      <c r="D2360" s="113" t="s">
        <v>3093</v>
      </c>
      <c r="E2360" s="113" t="s">
        <v>1620</v>
      </c>
      <c r="F2360" s="113" t="s">
        <v>3093</v>
      </c>
      <c r="G2360" s="113" t="s">
        <v>3093</v>
      </c>
      <c r="H2360" s="161">
        <v>0</v>
      </c>
      <c r="I2360" s="161" t="s">
        <v>7138</v>
      </c>
    </row>
    <row r="2361" spans="1:9">
      <c r="A2361" s="113">
        <v>100402080</v>
      </c>
      <c r="B2361" s="113" t="s">
        <v>5117</v>
      </c>
      <c r="C2361" s="113">
        <v>7072103</v>
      </c>
      <c r="D2361" s="113" t="s">
        <v>3093</v>
      </c>
      <c r="E2361" s="113" t="s">
        <v>1620</v>
      </c>
      <c r="F2361" s="113" t="s">
        <v>3093</v>
      </c>
      <c r="G2361" s="113" t="s">
        <v>3093</v>
      </c>
      <c r="H2361" s="161">
        <v>0</v>
      </c>
      <c r="I2361" s="161" t="s">
        <v>7138</v>
      </c>
    </row>
    <row r="2362" spans="1:9">
      <c r="A2362" s="113">
        <v>100402081</v>
      </c>
      <c r="B2362" s="113" t="s">
        <v>5118</v>
      </c>
      <c r="C2362" s="113">
        <v>7072109</v>
      </c>
      <c r="D2362" s="113" t="s">
        <v>3093</v>
      </c>
      <c r="E2362" s="113" t="s">
        <v>1620</v>
      </c>
      <c r="F2362" s="113" t="s">
        <v>3093</v>
      </c>
      <c r="G2362" s="113" t="s">
        <v>3093</v>
      </c>
      <c r="H2362" s="161">
        <v>0</v>
      </c>
      <c r="I2362" s="161" t="s">
        <v>7138</v>
      </c>
    </row>
    <row r="2363" spans="1:9">
      <c r="A2363" s="113">
        <v>100402082</v>
      </c>
      <c r="B2363" s="113" t="s">
        <v>5119</v>
      </c>
      <c r="C2363" s="113">
        <v>7072110</v>
      </c>
      <c r="D2363" s="113" t="s">
        <v>3093</v>
      </c>
      <c r="E2363" s="113" t="s">
        <v>1620</v>
      </c>
      <c r="F2363" s="113" t="s">
        <v>3093</v>
      </c>
      <c r="G2363" s="113" t="s">
        <v>3093</v>
      </c>
      <c r="H2363" s="161">
        <v>0</v>
      </c>
      <c r="I2363" s="161" t="s">
        <v>7138</v>
      </c>
    </row>
    <row r="2364" spans="1:9">
      <c r="A2364" s="113">
        <v>100402083</v>
      </c>
      <c r="B2364" s="113" t="s">
        <v>5120</v>
      </c>
      <c r="C2364" s="113">
        <v>7080189</v>
      </c>
      <c r="D2364" s="113" t="s">
        <v>3093</v>
      </c>
      <c r="E2364" s="113" t="s">
        <v>1620</v>
      </c>
      <c r="F2364" s="113" t="s">
        <v>3093</v>
      </c>
      <c r="G2364" s="113" t="s">
        <v>3093</v>
      </c>
      <c r="H2364" s="161">
        <v>2070</v>
      </c>
      <c r="I2364" s="161">
        <v>12</v>
      </c>
    </row>
    <row r="2365" spans="1:9">
      <c r="A2365" s="113">
        <v>100402084</v>
      </c>
      <c r="B2365" s="113" t="s">
        <v>5121</v>
      </c>
      <c r="C2365" s="113">
        <v>7080203</v>
      </c>
      <c r="D2365" s="113" t="s">
        <v>3093</v>
      </c>
      <c r="E2365" s="113" t="s">
        <v>1620</v>
      </c>
      <c r="F2365" s="113" t="s">
        <v>3093</v>
      </c>
      <c r="G2365" s="113" t="s">
        <v>3093</v>
      </c>
      <c r="H2365" s="161">
        <v>65</v>
      </c>
      <c r="I2365" s="161">
        <v>12</v>
      </c>
    </row>
    <row r="2366" spans="1:9">
      <c r="A2366" s="113">
        <v>100402085</v>
      </c>
      <c r="B2366" s="113" t="s">
        <v>5122</v>
      </c>
      <c r="C2366" s="113">
        <v>7080204</v>
      </c>
      <c r="D2366" s="113" t="s">
        <v>3093</v>
      </c>
      <c r="E2366" s="113" t="s">
        <v>1620</v>
      </c>
      <c r="F2366" s="113" t="s">
        <v>3093</v>
      </c>
      <c r="G2366" s="113" t="s">
        <v>3093</v>
      </c>
      <c r="H2366" s="161">
        <v>56.5</v>
      </c>
      <c r="I2366" s="161">
        <v>31</v>
      </c>
    </row>
    <row r="2367" spans="1:9">
      <c r="A2367" s="113">
        <v>100402086</v>
      </c>
      <c r="B2367" s="113" t="s">
        <v>5123</v>
      </c>
      <c r="C2367" s="113">
        <v>7090077</v>
      </c>
      <c r="D2367" s="113" t="s">
        <v>3093</v>
      </c>
      <c r="E2367" s="113" t="s">
        <v>1620</v>
      </c>
      <c r="F2367" s="113" t="s">
        <v>3093</v>
      </c>
      <c r="G2367" s="113" t="s">
        <v>3093</v>
      </c>
      <c r="H2367" s="161">
        <v>6</v>
      </c>
      <c r="I2367" s="161">
        <v>12</v>
      </c>
    </row>
    <row r="2368" spans="1:9">
      <c r="A2368" s="113">
        <v>100402087</v>
      </c>
      <c r="B2368" s="113" t="s">
        <v>5124</v>
      </c>
      <c r="C2368" s="113">
        <v>7090135</v>
      </c>
      <c r="D2368" s="113" t="s">
        <v>3093</v>
      </c>
      <c r="E2368" s="113" t="s">
        <v>1620</v>
      </c>
      <c r="F2368" s="113" t="s">
        <v>3093</v>
      </c>
      <c r="G2368" s="113" t="s">
        <v>3093</v>
      </c>
      <c r="H2368" s="161">
        <v>23.86</v>
      </c>
      <c r="I2368" s="161">
        <v>2</v>
      </c>
    </row>
    <row r="2369" spans="1:9">
      <c r="A2369" s="113">
        <v>100402088</v>
      </c>
      <c r="B2369" s="113" t="s">
        <v>5125</v>
      </c>
      <c r="C2369" s="113">
        <v>7110031</v>
      </c>
      <c r="D2369" s="113" t="s">
        <v>3093</v>
      </c>
      <c r="E2369" s="113" t="s">
        <v>1620</v>
      </c>
      <c r="F2369" s="113" t="s">
        <v>3093</v>
      </c>
      <c r="G2369" s="113" t="s">
        <v>3093</v>
      </c>
      <c r="H2369" s="161">
        <v>155</v>
      </c>
      <c r="I2369" s="161">
        <v>12</v>
      </c>
    </row>
    <row r="2370" spans="1:9">
      <c r="A2370" s="113">
        <v>100402089</v>
      </c>
      <c r="B2370" s="113" t="s">
        <v>5126</v>
      </c>
      <c r="C2370" s="113">
        <v>7110032</v>
      </c>
      <c r="D2370" s="113" t="s">
        <v>3093</v>
      </c>
      <c r="E2370" s="113" t="s">
        <v>1620</v>
      </c>
      <c r="F2370" s="113" t="s">
        <v>3093</v>
      </c>
      <c r="G2370" s="113" t="s">
        <v>3093</v>
      </c>
      <c r="H2370" s="161">
        <v>167</v>
      </c>
      <c r="I2370" s="161">
        <v>0</v>
      </c>
    </row>
    <row r="2371" spans="1:9">
      <c r="A2371" s="113">
        <v>100402090</v>
      </c>
      <c r="B2371" s="113" t="s">
        <v>5127</v>
      </c>
      <c r="C2371" s="113">
        <v>7111064</v>
      </c>
      <c r="D2371" s="113" t="s">
        <v>3093</v>
      </c>
      <c r="E2371" s="113" t="s">
        <v>1620</v>
      </c>
      <c r="F2371" s="113" t="s">
        <v>3093</v>
      </c>
      <c r="G2371" s="113" t="s">
        <v>3093</v>
      </c>
      <c r="H2371" s="161">
        <v>650</v>
      </c>
      <c r="I2371" s="161">
        <v>3</v>
      </c>
    </row>
    <row r="2372" spans="1:9">
      <c r="A2372" s="113">
        <v>100402091</v>
      </c>
      <c r="B2372" s="113" t="s">
        <v>5128</v>
      </c>
      <c r="C2372" s="113">
        <v>7111077</v>
      </c>
      <c r="D2372" s="113" t="s">
        <v>3093</v>
      </c>
      <c r="E2372" s="113" t="s">
        <v>1620</v>
      </c>
      <c r="F2372" s="113" t="s">
        <v>3093</v>
      </c>
      <c r="G2372" s="113" t="s">
        <v>3093</v>
      </c>
      <c r="H2372" s="161">
        <v>0</v>
      </c>
      <c r="I2372" s="161" t="s">
        <v>7138</v>
      </c>
    </row>
    <row r="2373" spans="1:9">
      <c r="A2373" s="113">
        <v>100402092</v>
      </c>
      <c r="B2373" s="113" t="s">
        <v>5129</v>
      </c>
      <c r="C2373" s="113">
        <v>7111079</v>
      </c>
      <c r="D2373" s="113" t="s">
        <v>3093</v>
      </c>
      <c r="E2373" s="113" t="s">
        <v>1620</v>
      </c>
      <c r="F2373" s="113" t="s">
        <v>3093</v>
      </c>
      <c r="G2373" s="113" t="s">
        <v>3093</v>
      </c>
      <c r="H2373" s="161">
        <v>0</v>
      </c>
      <c r="I2373" s="161" t="s">
        <v>7138</v>
      </c>
    </row>
    <row r="2374" spans="1:9">
      <c r="A2374" s="113">
        <v>100402093</v>
      </c>
      <c r="B2374" s="113" t="s">
        <v>5130</v>
      </c>
      <c r="C2374" s="113">
        <v>7111082</v>
      </c>
      <c r="D2374" s="113" t="s">
        <v>3093</v>
      </c>
      <c r="E2374" s="113" t="s">
        <v>1620</v>
      </c>
      <c r="F2374" s="113" t="s">
        <v>3093</v>
      </c>
      <c r="G2374" s="113" t="s">
        <v>3093</v>
      </c>
      <c r="H2374" s="161">
        <v>350</v>
      </c>
      <c r="I2374" s="161">
        <v>4</v>
      </c>
    </row>
    <row r="2375" spans="1:9">
      <c r="A2375" s="113">
        <v>100402094</v>
      </c>
      <c r="B2375" s="113" t="s">
        <v>5131</v>
      </c>
      <c r="C2375" s="113">
        <v>7111083</v>
      </c>
      <c r="D2375" s="113" t="s">
        <v>3093</v>
      </c>
      <c r="E2375" s="113" t="s">
        <v>1620</v>
      </c>
      <c r="F2375" s="113" t="s">
        <v>3093</v>
      </c>
      <c r="G2375" s="113" t="s">
        <v>3093</v>
      </c>
      <c r="H2375" s="161">
        <v>541.5</v>
      </c>
      <c r="I2375" s="161">
        <v>3</v>
      </c>
    </row>
    <row r="2376" spans="1:9">
      <c r="A2376" s="113">
        <v>100402095</v>
      </c>
      <c r="B2376" s="113" t="s">
        <v>5132</v>
      </c>
      <c r="C2376" s="113">
        <v>7111084</v>
      </c>
      <c r="D2376" s="113" t="s">
        <v>3093</v>
      </c>
      <c r="E2376" s="113" t="s">
        <v>1620</v>
      </c>
      <c r="F2376" s="113" t="s">
        <v>3093</v>
      </c>
      <c r="G2376" s="113" t="s">
        <v>3093</v>
      </c>
      <c r="H2376" s="161">
        <v>282.5</v>
      </c>
      <c r="I2376" s="161">
        <v>2</v>
      </c>
    </row>
    <row r="2377" spans="1:9">
      <c r="A2377" s="113">
        <v>100402096</v>
      </c>
      <c r="B2377" s="113" t="s">
        <v>5133</v>
      </c>
      <c r="C2377" s="113">
        <v>7111086</v>
      </c>
      <c r="D2377" s="113" t="s">
        <v>3093</v>
      </c>
      <c r="E2377" s="113" t="s">
        <v>1620</v>
      </c>
      <c r="F2377" s="113" t="s">
        <v>3093</v>
      </c>
      <c r="G2377" s="113" t="s">
        <v>3093</v>
      </c>
      <c r="H2377" s="161">
        <v>484.4</v>
      </c>
      <c r="I2377" s="161">
        <v>62</v>
      </c>
    </row>
    <row r="2378" spans="1:9">
      <c r="A2378" s="113">
        <v>100402097</v>
      </c>
      <c r="B2378" s="113" t="s">
        <v>5134</v>
      </c>
      <c r="C2378" s="113">
        <v>7111087</v>
      </c>
      <c r="D2378" s="113" t="s">
        <v>3093</v>
      </c>
      <c r="E2378" s="113" t="s">
        <v>1620</v>
      </c>
      <c r="F2378" s="113" t="s">
        <v>3093</v>
      </c>
      <c r="G2378" s="113" t="s">
        <v>3093</v>
      </c>
      <c r="H2378" s="161">
        <v>45</v>
      </c>
      <c r="I2378" s="161">
        <v>24</v>
      </c>
    </row>
    <row r="2379" spans="1:9">
      <c r="A2379" s="113">
        <v>100402098</v>
      </c>
      <c r="B2379" s="113" t="s">
        <v>5135</v>
      </c>
      <c r="C2379" s="113">
        <v>7111088</v>
      </c>
      <c r="D2379" s="113" t="s">
        <v>3093</v>
      </c>
      <c r="E2379" s="113" t="s">
        <v>1620</v>
      </c>
      <c r="F2379" s="113" t="s">
        <v>3093</v>
      </c>
      <c r="G2379" s="113" t="s">
        <v>3093</v>
      </c>
      <c r="H2379" s="161">
        <v>36.67</v>
      </c>
      <c r="I2379" s="161">
        <v>12</v>
      </c>
    </row>
    <row r="2380" spans="1:9">
      <c r="A2380" s="113">
        <v>100402099</v>
      </c>
      <c r="B2380" s="113" t="s">
        <v>5136</v>
      </c>
      <c r="C2380" s="113">
        <v>7111091</v>
      </c>
      <c r="D2380" s="113" t="s">
        <v>3093</v>
      </c>
      <c r="E2380" s="113" t="s">
        <v>1620</v>
      </c>
      <c r="F2380" s="113" t="s">
        <v>3093</v>
      </c>
      <c r="G2380" s="113" t="s">
        <v>3093</v>
      </c>
      <c r="H2380" s="161">
        <v>135</v>
      </c>
      <c r="I2380" s="161">
        <v>3</v>
      </c>
    </row>
    <row r="2381" spans="1:9">
      <c r="A2381" s="113">
        <v>100402100</v>
      </c>
      <c r="B2381" s="113" t="s">
        <v>2991</v>
      </c>
      <c r="C2381" s="113">
        <v>7111105</v>
      </c>
      <c r="D2381" s="113" t="s">
        <v>3093</v>
      </c>
      <c r="E2381" s="113" t="s">
        <v>1620</v>
      </c>
      <c r="F2381" s="113" t="s">
        <v>3093</v>
      </c>
      <c r="G2381" s="113" t="s">
        <v>3093</v>
      </c>
      <c r="H2381" s="161">
        <v>361.63</v>
      </c>
      <c r="I2381" s="161">
        <v>1</v>
      </c>
    </row>
    <row r="2382" spans="1:9">
      <c r="A2382" s="113">
        <v>100402101</v>
      </c>
      <c r="B2382" s="113" t="s">
        <v>5137</v>
      </c>
      <c r="C2382" s="113">
        <v>7111169</v>
      </c>
      <c r="D2382" s="113" t="s">
        <v>3093</v>
      </c>
      <c r="E2382" s="113" t="s">
        <v>1620</v>
      </c>
      <c r="F2382" s="113" t="s">
        <v>3093</v>
      </c>
      <c r="G2382" s="113" t="s">
        <v>3093</v>
      </c>
      <c r="H2382" s="161">
        <v>574.35</v>
      </c>
      <c r="I2382" s="161">
        <v>4</v>
      </c>
    </row>
    <row r="2383" spans="1:9">
      <c r="A2383" s="113">
        <v>100402102</v>
      </c>
      <c r="B2383" s="113" t="s">
        <v>5138</v>
      </c>
      <c r="C2383" s="113">
        <v>7112012</v>
      </c>
      <c r="D2383" s="113" t="s">
        <v>3093</v>
      </c>
      <c r="E2383" s="113" t="s">
        <v>1620</v>
      </c>
      <c r="F2383" s="113" t="s">
        <v>3093</v>
      </c>
      <c r="G2383" s="113" t="s">
        <v>3093</v>
      </c>
      <c r="H2383" s="161">
        <v>34.9</v>
      </c>
      <c r="I2383" s="161">
        <v>3</v>
      </c>
    </row>
    <row r="2384" spans="1:9">
      <c r="A2384" s="113">
        <v>100402103</v>
      </c>
      <c r="B2384" s="113" t="s">
        <v>5139</v>
      </c>
      <c r="C2384" s="113">
        <v>7112080</v>
      </c>
      <c r="D2384" s="113" t="s">
        <v>3093</v>
      </c>
      <c r="E2384" s="113" t="s">
        <v>1620</v>
      </c>
      <c r="F2384" s="113" t="s">
        <v>3093</v>
      </c>
      <c r="G2384" s="113" t="s">
        <v>3093</v>
      </c>
      <c r="H2384" s="161">
        <v>52.71</v>
      </c>
      <c r="I2384" s="161">
        <v>6</v>
      </c>
    </row>
    <row r="2385" spans="1:9">
      <c r="A2385" s="113">
        <v>100402104</v>
      </c>
      <c r="B2385" s="113" t="s">
        <v>5140</v>
      </c>
      <c r="C2385" s="113">
        <v>7991208</v>
      </c>
      <c r="D2385" s="113" t="s">
        <v>3093</v>
      </c>
      <c r="E2385" s="113" t="s">
        <v>1620</v>
      </c>
      <c r="F2385" s="113" t="s">
        <v>3093</v>
      </c>
      <c r="G2385" s="113" t="s">
        <v>3093</v>
      </c>
      <c r="H2385" s="161">
        <v>743</v>
      </c>
      <c r="I2385" s="161">
        <v>2</v>
      </c>
    </row>
    <row r="2386" spans="1:9">
      <c r="A2386" s="113">
        <v>100402105</v>
      </c>
      <c r="B2386" s="113" t="s">
        <v>5141</v>
      </c>
      <c r="C2386" s="113">
        <v>7991446</v>
      </c>
      <c r="D2386" s="113" t="s">
        <v>3093</v>
      </c>
      <c r="E2386" s="113" t="s">
        <v>1620</v>
      </c>
      <c r="F2386" s="113" t="s">
        <v>3093</v>
      </c>
      <c r="G2386" s="113" t="s">
        <v>3093</v>
      </c>
      <c r="H2386" s="161">
        <v>171.76</v>
      </c>
      <c r="I2386" s="161">
        <v>2</v>
      </c>
    </row>
    <row r="2387" spans="1:9">
      <c r="A2387" s="113">
        <v>100402106</v>
      </c>
      <c r="B2387" s="113" t="s">
        <v>5142</v>
      </c>
      <c r="C2387" s="113">
        <v>7992006</v>
      </c>
      <c r="D2387" s="113" t="s">
        <v>3093</v>
      </c>
      <c r="E2387" s="113" t="s">
        <v>1620</v>
      </c>
      <c r="F2387" s="113" t="s">
        <v>3093</v>
      </c>
      <c r="G2387" s="113" t="s">
        <v>3093</v>
      </c>
      <c r="H2387" s="161">
        <v>575</v>
      </c>
      <c r="I2387" s="161" t="s">
        <v>7138</v>
      </c>
    </row>
    <row r="2388" spans="1:9">
      <c r="A2388" s="113">
        <v>100402107</v>
      </c>
      <c r="B2388" s="113" t="s">
        <v>2992</v>
      </c>
      <c r="C2388" s="113">
        <v>7992632</v>
      </c>
      <c r="D2388" s="113" t="s">
        <v>3093</v>
      </c>
      <c r="E2388" s="113" t="s">
        <v>1620</v>
      </c>
      <c r="F2388" s="113" t="s">
        <v>3093</v>
      </c>
      <c r="G2388" s="113" t="s">
        <v>3093</v>
      </c>
      <c r="H2388" s="161">
        <v>0</v>
      </c>
      <c r="I2388" s="161" t="s">
        <v>7138</v>
      </c>
    </row>
    <row r="2389" spans="1:9">
      <c r="A2389" s="113">
        <v>100402108</v>
      </c>
      <c r="B2389" s="113" t="s">
        <v>5143</v>
      </c>
      <c r="C2389" s="113">
        <v>6050339</v>
      </c>
      <c r="D2389" s="113" t="s">
        <v>3093</v>
      </c>
      <c r="E2389" s="113" t="s">
        <v>1620</v>
      </c>
      <c r="F2389" s="113" t="s">
        <v>3093</v>
      </c>
      <c r="G2389" s="113" t="s">
        <v>3093</v>
      </c>
      <c r="H2389" s="161">
        <v>0</v>
      </c>
      <c r="I2389" s="161" t="s">
        <v>7138</v>
      </c>
    </row>
    <row r="2390" spans="1:9">
      <c r="A2390" s="113">
        <v>100402109</v>
      </c>
      <c r="B2390" s="113" t="s">
        <v>5144</v>
      </c>
      <c r="C2390" s="113">
        <v>6089026</v>
      </c>
      <c r="D2390" s="113" t="s">
        <v>3093</v>
      </c>
      <c r="E2390" s="113" t="s">
        <v>1620</v>
      </c>
      <c r="F2390" s="113" t="s">
        <v>3093</v>
      </c>
      <c r="G2390" s="113" t="s">
        <v>3093</v>
      </c>
      <c r="H2390" s="161">
        <v>171.76</v>
      </c>
      <c r="I2390" s="161">
        <v>2</v>
      </c>
    </row>
    <row r="2391" spans="1:9">
      <c r="A2391" s="113">
        <v>100402110</v>
      </c>
      <c r="B2391" s="113" t="s">
        <v>5145</v>
      </c>
      <c r="C2391" s="113">
        <v>6033060</v>
      </c>
      <c r="D2391" s="113" t="s">
        <v>3093</v>
      </c>
      <c r="E2391" s="113" t="s">
        <v>1620</v>
      </c>
      <c r="F2391" s="113" t="s">
        <v>3093</v>
      </c>
      <c r="G2391" s="113" t="s">
        <v>3093</v>
      </c>
      <c r="H2391" s="161">
        <v>171.76</v>
      </c>
      <c r="I2391" s="161">
        <v>1</v>
      </c>
    </row>
    <row r="2392" spans="1:9">
      <c r="A2392" s="113">
        <v>100402111</v>
      </c>
      <c r="B2392" s="113" t="s">
        <v>5146</v>
      </c>
      <c r="C2392" s="113">
        <v>6050338</v>
      </c>
      <c r="D2392" s="113" t="s">
        <v>3093</v>
      </c>
      <c r="E2392" s="113" t="s">
        <v>1620</v>
      </c>
      <c r="F2392" s="113" t="s">
        <v>3093</v>
      </c>
      <c r="G2392" s="113" t="s">
        <v>3093</v>
      </c>
      <c r="H2392" s="161">
        <v>0</v>
      </c>
      <c r="I2392" s="161" t="s">
        <v>7138</v>
      </c>
    </row>
    <row r="2393" spans="1:9">
      <c r="A2393" s="113">
        <v>100402112</v>
      </c>
      <c r="B2393" s="113" t="s">
        <v>5147</v>
      </c>
      <c r="C2393" s="113" t="s">
        <v>3093</v>
      </c>
      <c r="D2393" s="113" t="s">
        <v>3093</v>
      </c>
      <c r="E2393" s="113" t="s">
        <v>1620</v>
      </c>
      <c r="F2393" s="113" t="s">
        <v>3093</v>
      </c>
      <c r="G2393" s="113" t="s">
        <v>3093</v>
      </c>
      <c r="H2393" s="161">
        <v>171.76</v>
      </c>
      <c r="I2393" s="161">
        <v>5</v>
      </c>
    </row>
    <row r="2394" spans="1:9">
      <c r="A2394" s="113">
        <v>100402113</v>
      </c>
      <c r="B2394" s="113" t="s">
        <v>5148</v>
      </c>
      <c r="C2394" s="113" t="s">
        <v>3093</v>
      </c>
      <c r="D2394" s="113" t="s">
        <v>3093</v>
      </c>
      <c r="E2394" s="113" t="s">
        <v>1620</v>
      </c>
      <c r="F2394" s="113" t="s">
        <v>3093</v>
      </c>
      <c r="G2394" s="113" t="s">
        <v>3093</v>
      </c>
      <c r="H2394" s="161">
        <v>171.76</v>
      </c>
      <c r="I2394" s="161">
        <v>3</v>
      </c>
    </row>
    <row r="2395" spans="1:9">
      <c r="A2395" s="113">
        <v>100402114</v>
      </c>
      <c r="B2395" s="113" t="s">
        <v>5149</v>
      </c>
      <c r="C2395" s="113" t="s">
        <v>3093</v>
      </c>
      <c r="D2395" s="113" t="s">
        <v>3093</v>
      </c>
      <c r="E2395" s="113" t="s">
        <v>1620</v>
      </c>
      <c r="F2395" s="113" t="s">
        <v>3093</v>
      </c>
      <c r="G2395" s="113" t="s">
        <v>3093</v>
      </c>
      <c r="H2395" s="161">
        <v>171.76</v>
      </c>
      <c r="I2395" s="161">
        <v>4</v>
      </c>
    </row>
    <row r="2396" spans="1:9">
      <c r="A2396" s="113">
        <v>100402115</v>
      </c>
      <c r="B2396" s="113" t="s">
        <v>5150</v>
      </c>
      <c r="C2396" s="113" t="s">
        <v>3093</v>
      </c>
      <c r="D2396" s="113" t="s">
        <v>3093</v>
      </c>
      <c r="E2396" s="113" t="s">
        <v>1620</v>
      </c>
      <c r="F2396" s="113" t="s">
        <v>3093</v>
      </c>
      <c r="G2396" s="113" t="s">
        <v>3093</v>
      </c>
      <c r="H2396" s="161">
        <v>0</v>
      </c>
      <c r="I2396" s="161" t="s">
        <v>7138</v>
      </c>
    </row>
    <row r="2397" spans="1:9">
      <c r="A2397" s="113">
        <v>100402116</v>
      </c>
      <c r="B2397" s="113" t="s">
        <v>5151</v>
      </c>
      <c r="C2397" s="113" t="s">
        <v>3093</v>
      </c>
      <c r="D2397" s="113" t="s">
        <v>3093</v>
      </c>
      <c r="E2397" s="113" t="s">
        <v>1620</v>
      </c>
      <c r="F2397" s="113" t="s">
        <v>3093</v>
      </c>
      <c r="G2397" s="113" t="s">
        <v>3093</v>
      </c>
      <c r="H2397" s="161">
        <v>2.2599999999999998</v>
      </c>
      <c r="I2397" s="161" t="s">
        <v>7138</v>
      </c>
    </row>
    <row r="2398" spans="1:9">
      <c r="A2398" s="113">
        <v>100402117</v>
      </c>
      <c r="B2398" s="113" t="s">
        <v>5152</v>
      </c>
      <c r="C2398" s="113" t="s">
        <v>3093</v>
      </c>
      <c r="D2398" s="113" t="s">
        <v>3093</v>
      </c>
      <c r="E2398" s="113" t="s">
        <v>1620</v>
      </c>
      <c r="F2398" s="113" t="s">
        <v>3093</v>
      </c>
      <c r="G2398" s="113" t="s">
        <v>3093</v>
      </c>
      <c r="H2398" s="161">
        <v>0</v>
      </c>
      <c r="I2398" s="161" t="s">
        <v>7138</v>
      </c>
    </row>
    <row r="2399" spans="1:9">
      <c r="A2399" s="113">
        <v>100402118</v>
      </c>
      <c r="B2399" s="113" t="s">
        <v>5153</v>
      </c>
      <c r="C2399" s="113" t="s">
        <v>3093</v>
      </c>
      <c r="D2399" s="113" t="s">
        <v>3093</v>
      </c>
      <c r="E2399" s="113" t="s">
        <v>1620</v>
      </c>
      <c r="F2399" s="113" t="s">
        <v>3093</v>
      </c>
      <c r="G2399" s="113" t="s">
        <v>3093</v>
      </c>
      <c r="H2399" s="161">
        <v>350</v>
      </c>
      <c r="I2399" s="161" t="s">
        <v>7138</v>
      </c>
    </row>
    <row r="2400" spans="1:9">
      <c r="A2400" s="113">
        <v>100402119</v>
      </c>
      <c r="B2400" s="113" t="s">
        <v>5154</v>
      </c>
      <c r="C2400" s="113" t="s">
        <v>3093</v>
      </c>
      <c r="D2400" s="113" t="s">
        <v>3093</v>
      </c>
      <c r="E2400" s="113" t="s">
        <v>1620</v>
      </c>
      <c r="F2400" s="113" t="s">
        <v>3093</v>
      </c>
      <c r="G2400" s="113" t="s">
        <v>3093</v>
      </c>
      <c r="H2400" s="161">
        <v>0</v>
      </c>
      <c r="I2400" s="161" t="s">
        <v>7138</v>
      </c>
    </row>
    <row r="2401" spans="1:9">
      <c r="A2401" s="113">
        <v>100402120</v>
      </c>
      <c r="B2401" s="113" t="s">
        <v>5155</v>
      </c>
      <c r="C2401" s="113" t="s">
        <v>3093</v>
      </c>
      <c r="D2401" s="113" t="s">
        <v>3093</v>
      </c>
      <c r="E2401" s="113" t="s">
        <v>1620</v>
      </c>
      <c r="F2401" s="113" t="s">
        <v>3093</v>
      </c>
      <c r="G2401" s="113" t="s">
        <v>3093</v>
      </c>
      <c r="H2401" s="161">
        <v>0</v>
      </c>
      <c r="I2401" s="161" t="s">
        <v>7138</v>
      </c>
    </row>
    <row r="2402" spans="1:9">
      <c r="A2402" s="113">
        <v>100402121</v>
      </c>
      <c r="B2402" s="113" t="s">
        <v>5156</v>
      </c>
      <c r="C2402" s="113" t="s">
        <v>3093</v>
      </c>
      <c r="D2402" s="113" t="s">
        <v>3093</v>
      </c>
      <c r="E2402" s="113" t="s">
        <v>1620</v>
      </c>
      <c r="F2402" s="113" t="s">
        <v>3093</v>
      </c>
      <c r="G2402" s="113" t="s">
        <v>3093</v>
      </c>
      <c r="H2402" s="161">
        <v>0</v>
      </c>
      <c r="I2402" s="161" t="s">
        <v>7138</v>
      </c>
    </row>
    <row r="2403" spans="1:9">
      <c r="A2403" s="113">
        <v>100402122</v>
      </c>
      <c r="B2403" s="113" t="s">
        <v>5157</v>
      </c>
      <c r="C2403" s="113" t="s">
        <v>3093</v>
      </c>
      <c r="D2403" s="113" t="s">
        <v>3093</v>
      </c>
      <c r="E2403" s="113" t="s">
        <v>1620</v>
      </c>
      <c r="F2403" s="113" t="s">
        <v>3093</v>
      </c>
      <c r="G2403" s="113" t="s">
        <v>3093</v>
      </c>
      <c r="H2403" s="161">
        <v>0</v>
      </c>
      <c r="I2403" s="161" t="s">
        <v>7138</v>
      </c>
    </row>
    <row r="2404" spans="1:9">
      <c r="A2404" s="113">
        <v>100402123</v>
      </c>
      <c r="B2404" s="113" t="s">
        <v>5158</v>
      </c>
      <c r="C2404" s="113" t="s">
        <v>3093</v>
      </c>
      <c r="D2404" s="113" t="s">
        <v>3093</v>
      </c>
      <c r="E2404" s="113" t="s">
        <v>1620</v>
      </c>
      <c r="F2404" s="113" t="s">
        <v>3093</v>
      </c>
      <c r="G2404" s="113" t="s">
        <v>3093</v>
      </c>
      <c r="H2404" s="161">
        <v>0</v>
      </c>
      <c r="I2404" s="161" t="s">
        <v>7138</v>
      </c>
    </row>
    <row r="2405" spans="1:9">
      <c r="A2405" s="113">
        <v>100402124</v>
      </c>
      <c r="B2405" s="113" t="s">
        <v>5159</v>
      </c>
      <c r="C2405" s="113" t="s">
        <v>3093</v>
      </c>
      <c r="D2405" s="113" t="s">
        <v>3093</v>
      </c>
      <c r="E2405" s="113" t="s">
        <v>1620</v>
      </c>
      <c r="F2405" s="113" t="s">
        <v>3093</v>
      </c>
      <c r="G2405" s="113" t="s">
        <v>3093</v>
      </c>
      <c r="H2405" s="161">
        <v>316.92</v>
      </c>
      <c r="I2405" s="161" t="s">
        <v>7138</v>
      </c>
    </row>
    <row r="2406" spans="1:9">
      <c r="A2406" s="113">
        <v>100402125</v>
      </c>
      <c r="B2406" s="113" t="s">
        <v>5160</v>
      </c>
      <c r="C2406" s="113" t="s">
        <v>3093</v>
      </c>
      <c r="D2406" s="113" t="s">
        <v>7139</v>
      </c>
      <c r="E2406" s="113" t="s">
        <v>1620</v>
      </c>
      <c r="F2406" s="113" t="s">
        <v>7139</v>
      </c>
      <c r="G2406" s="113" t="s">
        <v>7139</v>
      </c>
      <c r="H2406" s="161">
        <v>0</v>
      </c>
      <c r="I2406" s="161" t="s">
        <v>7139</v>
      </c>
    </row>
    <row r="2407" spans="1:9">
      <c r="A2407" s="113">
        <v>100402126</v>
      </c>
      <c r="B2407" s="113" t="s">
        <v>5161</v>
      </c>
      <c r="C2407" s="113" t="s">
        <v>3093</v>
      </c>
      <c r="D2407" s="113" t="s">
        <v>7139</v>
      </c>
      <c r="E2407" s="113" t="s">
        <v>1620</v>
      </c>
      <c r="F2407" s="113" t="s">
        <v>7139</v>
      </c>
      <c r="G2407" s="113" t="s">
        <v>7139</v>
      </c>
      <c r="H2407" s="161">
        <v>0</v>
      </c>
      <c r="I2407" s="161" t="s">
        <v>7139</v>
      </c>
    </row>
    <row r="2408" spans="1:9">
      <c r="A2408" s="113">
        <v>100421008</v>
      </c>
      <c r="B2408" s="113" t="s">
        <v>5162</v>
      </c>
      <c r="C2408" s="113" t="s">
        <v>3093</v>
      </c>
      <c r="D2408" s="113" t="s">
        <v>3093</v>
      </c>
      <c r="E2408" s="113" t="s">
        <v>1620</v>
      </c>
      <c r="F2408" s="113" t="s">
        <v>3093</v>
      </c>
      <c r="G2408" s="113" t="s">
        <v>3093</v>
      </c>
      <c r="H2408" s="161">
        <v>171.76</v>
      </c>
      <c r="I2408" s="161">
        <v>2</v>
      </c>
    </row>
    <row r="2409" spans="1:9">
      <c r="A2409" s="113">
        <v>100421009</v>
      </c>
      <c r="B2409" s="113" t="s">
        <v>5163</v>
      </c>
      <c r="C2409" s="113" t="s">
        <v>3093</v>
      </c>
      <c r="D2409" s="113" t="s">
        <v>3093</v>
      </c>
      <c r="E2409" s="113" t="s">
        <v>1620</v>
      </c>
      <c r="F2409" s="113" t="s">
        <v>3093</v>
      </c>
      <c r="G2409" s="113" t="s">
        <v>3093</v>
      </c>
      <c r="H2409" s="161">
        <v>171.76</v>
      </c>
      <c r="I2409" s="161">
        <v>2</v>
      </c>
    </row>
    <row r="2410" spans="1:9">
      <c r="A2410" s="113">
        <v>100421010</v>
      </c>
      <c r="B2410" s="113" t="s">
        <v>5164</v>
      </c>
      <c r="C2410" s="113" t="s">
        <v>3093</v>
      </c>
      <c r="D2410" s="113" t="s">
        <v>3093</v>
      </c>
      <c r="E2410" s="113" t="s">
        <v>1620</v>
      </c>
      <c r="F2410" s="113" t="s">
        <v>3093</v>
      </c>
      <c r="G2410" s="113" t="s">
        <v>3093</v>
      </c>
      <c r="H2410" s="161">
        <v>171.76</v>
      </c>
      <c r="I2410" s="161">
        <v>2</v>
      </c>
    </row>
    <row r="2411" spans="1:9">
      <c r="A2411" s="113">
        <v>100421011</v>
      </c>
      <c r="B2411" s="113" t="s">
        <v>5165</v>
      </c>
      <c r="C2411" s="113" t="s">
        <v>3093</v>
      </c>
      <c r="D2411" s="113" t="s">
        <v>3093</v>
      </c>
      <c r="E2411" s="113" t="s">
        <v>1620</v>
      </c>
      <c r="F2411" s="113" t="s">
        <v>3093</v>
      </c>
      <c r="G2411" s="113" t="s">
        <v>3093</v>
      </c>
      <c r="H2411" s="161">
        <v>171.76</v>
      </c>
      <c r="I2411" s="161">
        <v>1</v>
      </c>
    </row>
    <row r="2412" spans="1:9">
      <c r="A2412" s="113">
        <v>100500001</v>
      </c>
      <c r="B2412" s="113" t="s">
        <v>521</v>
      </c>
      <c r="C2412" s="113">
        <v>4002065</v>
      </c>
      <c r="D2412" s="113" t="s">
        <v>3093</v>
      </c>
      <c r="E2412" s="113" t="s">
        <v>1620</v>
      </c>
      <c r="F2412" s="113" t="s">
        <v>3093</v>
      </c>
      <c r="G2412" s="113" t="s">
        <v>3093</v>
      </c>
      <c r="H2412" s="161">
        <v>6</v>
      </c>
      <c r="I2412" s="161">
        <v>0</v>
      </c>
    </row>
    <row r="2413" spans="1:9">
      <c r="A2413" s="113">
        <v>100500002</v>
      </c>
      <c r="B2413" s="113" t="s">
        <v>5166</v>
      </c>
      <c r="C2413" s="113">
        <v>4002066</v>
      </c>
      <c r="D2413" s="113" t="s">
        <v>3093</v>
      </c>
      <c r="E2413" s="113" t="s">
        <v>1620</v>
      </c>
      <c r="F2413" s="113" t="s">
        <v>3093</v>
      </c>
      <c r="G2413" s="113" t="s">
        <v>3093</v>
      </c>
      <c r="H2413" s="161">
        <v>14.999000000000001</v>
      </c>
      <c r="I2413" s="161">
        <v>0</v>
      </c>
    </row>
    <row r="2414" spans="1:9">
      <c r="A2414" s="113">
        <v>100500003</v>
      </c>
      <c r="B2414" s="113" t="s">
        <v>5167</v>
      </c>
      <c r="C2414" s="113">
        <v>4002100</v>
      </c>
      <c r="D2414" s="113" t="s">
        <v>3093</v>
      </c>
      <c r="E2414" s="113" t="s">
        <v>1620</v>
      </c>
      <c r="F2414" s="113" t="s">
        <v>3093</v>
      </c>
      <c r="G2414" s="113" t="s">
        <v>3093</v>
      </c>
      <c r="H2414" s="161">
        <v>19.2</v>
      </c>
      <c r="I2414" s="161">
        <v>60</v>
      </c>
    </row>
    <row r="2415" spans="1:9">
      <c r="A2415" s="113">
        <v>100500004</v>
      </c>
      <c r="B2415" s="113" t="s">
        <v>5168</v>
      </c>
      <c r="C2415" s="113">
        <v>4002101</v>
      </c>
      <c r="D2415" s="113" t="s">
        <v>3093</v>
      </c>
      <c r="E2415" s="113" t="s">
        <v>1620</v>
      </c>
      <c r="F2415" s="113" t="s">
        <v>3093</v>
      </c>
      <c r="G2415" s="113" t="s">
        <v>3093</v>
      </c>
      <c r="H2415" s="161">
        <v>19.2</v>
      </c>
      <c r="I2415" s="161">
        <v>0</v>
      </c>
    </row>
    <row r="2416" spans="1:9">
      <c r="A2416" s="113">
        <v>100500005</v>
      </c>
      <c r="B2416" s="113" t="s">
        <v>5169</v>
      </c>
      <c r="C2416" s="113">
        <v>4002102</v>
      </c>
      <c r="D2416" s="113" t="s">
        <v>3093</v>
      </c>
      <c r="E2416" s="113" t="s">
        <v>1620</v>
      </c>
      <c r="F2416" s="113" t="s">
        <v>3093</v>
      </c>
      <c r="G2416" s="113" t="s">
        <v>3093</v>
      </c>
      <c r="H2416" s="161">
        <v>22.86</v>
      </c>
      <c r="I2416" s="161">
        <v>12</v>
      </c>
    </row>
    <row r="2417" spans="1:9">
      <c r="A2417" s="113">
        <v>100500006</v>
      </c>
      <c r="B2417" s="113" t="s">
        <v>5170</v>
      </c>
      <c r="C2417" s="113">
        <v>4003011</v>
      </c>
      <c r="D2417" s="113" t="s">
        <v>3093</v>
      </c>
      <c r="E2417" s="113" t="s">
        <v>1620</v>
      </c>
      <c r="F2417" s="113" t="s">
        <v>3093</v>
      </c>
      <c r="G2417" s="113" t="s">
        <v>3093</v>
      </c>
      <c r="H2417" s="161">
        <v>2.4500000000000002</v>
      </c>
      <c r="I2417" s="161">
        <v>0</v>
      </c>
    </row>
    <row r="2418" spans="1:9">
      <c r="A2418" s="113">
        <v>100500007</v>
      </c>
      <c r="B2418" s="113" t="s">
        <v>5171</v>
      </c>
      <c r="C2418" s="113">
        <v>4003012</v>
      </c>
      <c r="D2418" s="113" t="s">
        <v>3093</v>
      </c>
      <c r="E2418" s="113" t="s">
        <v>1620</v>
      </c>
      <c r="F2418" s="113" t="s">
        <v>3093</v>
      </c>
      <c r="G2418" s="113" t="s">
        <v>3093</v>
      </c>
      <c r="H2418" s="161">
        <v>4.6500000000000004</v>
      </c>
      <c r="I2418" s="161">
        <v>25</v>
      </c>
    </row>
    <row r="2419" spans="1:9">
      <c r="A2419" s="113">
        <v>100500008</v>
      </c>
      <c r="B2419" s="113" t="s">
        <v>5172</v>
      </c>
      <c r="C2419" s="113">
        <v>4003041</v>
      </c>
      <c r="D2419" s="113" t="s">
        <v>3093</v>
      </c>
      <c r="E2419" s="113" t="s">
        <v>1620</v>
      </c>
      <c r="F2419" s="113" t="s">
        <v>3093</v>
      </c>
      <c r="G2419" s="113" t="s">
        <v>3093</v>
      </c>
      <c r="H2419" s="161">
        <v>3.3</v>
      </c>
      <c r="I2419" s="161">
        <v>3</v>
      </c>
    </row>
    <row r="2420" spans="1:9">
      <c r="A2420" s="113">
        <v>100500009</v>
      </c>
      <c r="B2420" s="113" t="s">
        <v>5173</v>
      </c>
      <c r="C2420" s="113">
        <v>4005095</v>
      </c>
      <c r="D2420" s="113" t="s">
        <v>3093</v>
      </c>
      <c r="E2420" s="113" t="s">
        <v>1620</v>
      </c>
      <c r="F2420" s="113" t="s">
        <v>3093</v>
      </c>
      <c r="G2420" s="113" t="s">
        <v>3093</v>
      </c>
      <c r="H2420" s="161">
        <v>1.9</v>
      </c>
      <c r="I2420" s="161">
        <v>54</v>
      </c>
    </row>
    <row r="2421" spans="1:9">
      <c r="A2421" s="113">
        <v>100500010</v>
      </c>
      <c r="B2421" s="113" t="s">
        <v>5174</v>
      </c>
      <c r="C2421" s="113">
        <v>4005096</v>
      </c>
      <c r="D2421" s="113" t="s">
        <v>3093</v>
      </c>
      <c r="E2421" s="113" t="s">
        <v>1620</v>
      </c>
      <c r="F2421" s="113" t="s">
        <v>3093</v>
      </c>
      <c r="G2421" s="113" t="s">
        <v>3093</v>
      </c>
      <c r="H2421" s="161">
        <v>2</v>
      </c>
      <c r="I2421" s="161">
        <v>0</v>
      </c>
    </row>
    <row r="2422" spans="1:9">
      <c r="A2422" s="113">
        <v>100500011</v>
      </c>
      <c r="B2422" s="113" t="s">
        <v>5175</v>
      </c>
      <c r="C2422" s="113">
        <v>4005097</v>
      </c>
      <c r="D2422" s="113" t="s">
        <v>3093</v>
      </c>
      <c r="E2422" s="113" t="s">
        <v>1620</v>
      </c>
      <c r="F2422" s="113" t="s">
        <v>3093</v>
      </c>
      <c r="G2422" s="113" t="s">
        <v>3093</v>
      </c>
      <c r="H2422" s="161">
        <v>2.1</v>
      </c>
      <c r="I2422" s="161">
        <v>80</v>
      </c>
    </row>
    <row r="2423" spans="1:9">
      <c r="A2423" s="113">
        <v>100500012</v>
      </c>
      <c r="B2423" s="113" t="s">
        <v>5176</v>
      </c>
      <c r="C2423" s="113">
        <v>4005098</v>
      </c>
      <c r="D2423" s="113" t="s">
        <v>3093</v>
      </c>
      <c r="E2423" s="113" t="s">
        <v>1620</v>
      </c>
      <c r="F2423" s="113" t="s">
        <v>3093</v>
      </c>
      <c r="G2423" s="113" t="s">
        <v>3093</v>
      </c>
      <c r="H2423" s="161">
        <v>2.38</v>
      </c>
      <c r="I2423" s="161">
        <v>57</v>
      </c>
    </row>
    <row r="2424" spans="1:9">
      <c r="A2424" s="113">
        <v>100500013</v>
      </c>
      <c r="B2424" s="113" t="s">
        <v>5177</v>
      </c>
      <c r="C2424" s="113">
        <v>4005099</v>
      </c>
      <c r="D2424" s="113" t="s">
        <v>3093</v>
      </c>
      <c r="E2424" s="113" t="s">
        <v>1620</v>
      </c>
      <c r="F2424" s="113" t="s">
        <v>3093</v>
      </c>
      <c r="G2424" s="113" t="s">
        <v>3093</v>
      </c>
      <c r="H2424" s="161">
        <v>2</v>
      </c>
      <c r="I2424" s="161">
        <v>85</v>
      </c>
    </row>
    <row r="2425" spans="1:9">
      <c r="A2425" s="113">
        <v>100500014</v>
      </c>
      <c r="B2425" s="113" t="s">
        <v>5178</v>
      </c>
      <c r="C2425" s="113">
        <v>4005100</v>
      </c>
      <c r="D2425" s="113" t="s">
        <v>3093</v>
      </c>
      <c r="E2425" s="113" t="s">
        <v>1620</v>
      </c>
      <c r="F2425" s="113" t="s">
        <v>3093</v>
      </c>
      <c r="G2425" s="113" t="s">
        <v>3093</v>
      </c>
      <c r="H2425" s="161">
        <v>2</v>
      </c>
      <c r="I2425" s="161">
        <v>43</v>
      </c>
    </row>
    <row r="2426" spans="1:9">
      <c r="A2426" s="113">
        <v>100500015</v>
      </c>
      <c r="B2426" s="113" t="s">
        <v>5179</v>
      </c>
      <c r="C2426" s="113">
        <v>4005101</v>
      </c>
      <c r="D2426" s="113" t="s">
        <v>3093</v>
      </c>
      <c r="E2426" s="113" t="s">
        <v>1620</v>
      </c>
      <c r="F2426" s="113" t="s">
        <v>3093</v>
      </c>
      <c r="G2426" s="113" t="s">
        <v>3093</v>
      </c>
      <c r="H2426" s="161">
        <v>2</v>
      </c>
      <c r="I2426" s="161">
        <v>42</v>
      </c>
    </row>
    <row r="2427" spans="1:9">
      <c r="A2427" s="113">
        <v>100500016</v>
      </c>
      <c r="B2427" s="113" t="s">
        <v>5180</v>
      </c>
      <c r="C2427" s="113">
        <v>4005102</v>
      </c>
      <c r="D2427" s="113" t="s">
        <v>3093</v>
      </c>
      <c r="E2427" s="113" t="s">
        <v>1620</v>
      </c>
      <c r="F2427" s="113" t="s">
        <v>3093</v>
      </c>
      <c r="G2427" s="113" t="s">
        <v>3093</v>
      </c>
      <c r="H2427" s="161">
        <v>2.0499999999999998</v>
      </c>
      <c r="I2427" s="161">
        <v>142</v>
      </c>
    </row>
    <row r="2428" spans="1:9">
      <c r="A2428" s="113">
        <v>100500017</v>
      </c>
      <c r="B2428" s="113" t="s">
        <v>5181</v>
      </c>
      <c r="C2428" s="113">
        <v>4005103</v>
      </c>
      <c r="D2428" s="113" t="s">
        <v>3093</v>
      </c>
      <c r="E2428" s="113" t="s">
        <v>1620</v>
      </c>
      <c r="F2428" s="113" t="s">
        <v>3093</v>
      </c>
      <c r="G2428" s="113" t="s">
        <v>3093</v>
      </c>
      <c r="H2428" s="161">
        <v>2.2000000000000002</v>
      </c>
      <c r="I2428" s="161">
        <v>0</v>
      </c>
    </row>
    <row r="2429" spans="1:9">
      <c r="A2429" s="113">
        <v>100500018</v>
      </c>
      <c r="B2429" s="113" t="s">
        <v>5182</v>
      </c>
      <c r="C2429" s="113">
        <v>4005104</v>
      </c>
      <c r="D2429" s="113" t="s">
        <v>3093</v>
      </c>
      <c r="E2429" s="113" t="s">
        <v>1620</v>
      </c>
      <c r="F2429" s="113" t="s">
        <v>3093</v>
      </c>
      <c r="G2429" s="113" t="s">
        <v>3093</v>
      </c>
      <c r="H2429" s="161">
        <v>1.5</v>
      </c>
      <c r="I2429" s="161">
        <v>0</v>
      </c>
    </row>
    <row r="2430" spans="1:9">
      <c r="A2430" s="113">
        <v>100500019</v>
      </c>
      <c r="B2430" s="113" t="s">
        <v>5183</v>
      </c>
      <c r="C2430" s="113">
        <v>4005106</v>
      </c>
      <c r="D2430" s="113" t="s">
        <v>3093</v>
      </c>
      <c r="E2430" s="113" t="s">
        <v>1620</v>
      </c>
      <c r="F2430" s="113" t="s">
        <v>3093</v>
      </c>
      <c r="G2430" s="113" t="s">
        <v>3093</v>
      </c>
      <c r="H2430" s="161">
        <v>2</v>
      </c>
      <c r="I2430" s="161">
        <v>11</v>
      </c>
    </row>
    <row r="2431" spans="1:9">
      <c r="A2431" s="113">
        <v>100500020</v>
      </c>
      <c r="B2431" s="113" t="s">
        <v>5184</v>
      </c>
      <c r="C2431" s="113">
        <v>4005107</v>
      </c>
      <c r="D2431" s="113" t="s">
        <v>3093</v>
      </c>
      <c r="E2431" s="113" t="s">
        <v>1620</v>
      </c>
      <c r="F2431" s="113" t="s">
        <v>3093</v>
      </c>
      <c r="G2431" s="113" t="s">
        <v>3093</v>
      </c>
      <c r="H2431" s="161">
        <v>5.59</v>
      </c>
      <c r="I2431" s="161">
        <v>12</v>
      </c>
    </row>
    <row r="2432" spans="1:9">
      <c r="A2432" s="113">
        <v>100500021</v>
      </c>
      <c r="B2432" s="113" t="s">
        <v>5185</v>
      </c>
      <c r="C2432" s="113">
        <v>4005109</v>
      </c>
      <c r="D2432" s="113" t="s">
        <v>3093</v>
      </c>
      <c r="E2432" s="113" t="s">
        <v>1620</v>
      </c>
      <c r="F2432" s="113" t="s">
        <v>3093</v>
      </c>
      <c r="G2432" s="113" t="s">
        <v>3093</v>
      </c>
      <c r="H2432" s="161">
        <v>2.97</v>
      </c>
      <c r="I2432" s="161">
        <v>0</v>
      </c>
    </row>
    <row r="2433" spans="1:9">
      <c r="A2433" s="113">
        <v>100500022</v>
      </c>
      <c r="B2433" s="113" t="s">
        <v>5186</v>
      </c>
      <c r="C2433" s="113">
        <v>4005126</v>
      </c>
      <c r="D2433" s="113" t="s">
        <v>3093</v>
      </c>
      <c r="E2433" s="113" t="s">
        <v>1620</v>
      </c>
      <c r="F2433" s="113" t="s">
        <v>3093</v>
      </c>
      <c r="G2433" s="113" t="s">
        <v>3093</v>
      </c>
      <c r="H2433" s="161">
        <v>6.35</v>
      </c>
      <c r="I2433" s="161">
        <v>0</v>
      </c>
    </row>
    <row r="2434" spans="1:9">
      <c r="A2434" s="113">
        <v>100500023</v>
      </c>
      <c r="B2434" s="113" t="s">
        <v>5187</v>
      </c>
      <c r="C2434" s="113">
        <v>4005141</v>
      </c>
      <c r="D2434" s="113" t="s">
        <v>3093</v>
      </c>
      <c r="E2434" s="113" t="s">
        <v>1620</v>
      </c>
      <c r="F2434" s="113" t="s">
        <v>3093</v>
      </c>
      <c r="G2434" s="113" t="s">
        <v>3093</v>
      </c>
      <c r="H2434" s="161">
        <v>6.35</v>
      </c>
      <c r="I2434" s="161">
        <v>10</v>
      </c>
    </row>
    <row r="2435" spans="1:9">
      <c r="A2435" s="113">
        <v>100500024</v>
      </c>
      <c r="B2435" s="113" t="s">
        <v>5188</v>
      </c>
      <c r="C2435" s="113">
        <v>4005152</v>
      </c>
      <c r="D2435" s="113" t="s">
        <v>3093</v>
      </c>
      <c r="E2435" s="113" t="s">
        <v>1620</v>
      </c>
      <c r="F2435" s="113" t="s">
        <v>3093</v>
      </c>
      <c r="G2435" s="113" t="s">
        <v>3093</v>
      </c>
      <c r="H2435" s="161">
        <v>2.0699999999999998</v>
      </c>
      <c r="I2435" s="161">
        <v>20</v>
      </c>
    </row>
    <row r="2436" spans="1:9">
      <c r="A2436" s="113">
        <v>100500025</v>
      </c>
      <c r="B2436" s="113" t="s">
        <v>5189</v>
      </c>
      <c r="C2436" s="113">
        <v>4005183</v>
      </c>
      <c r="D2436" s="113" t="s">
        <v>3093</v>
      </c>
      <c r="E2436" s="113" t="s">
        <v>1620</v>
      </c>
      <c r="F2436" s="113" t="s">
        <v>3093</v>
      </c>
      <c r="G2436" s="113" t="s">
        <v>3093</v>
      </c>
      <c r="H2436" s="161">
        <v>2</v>
      </c>
      <c r="I2436" s="161">
        <v>40</v>
      </c>
    </row>
    <row r="2437" spans="1:9">
      <c r="A2437" s="113">
        <v>100500026</v>
      </c>
      <c r="B2437" s="113" t="s">
        <v>5190</v>
      </c>
      <c r="C2437" s="113">
        <v>4005184</v>
      </c>
      <c r="D2437" s="113" t="s">
        <v>3093</v>
      </c>
      <c r="E2437" s="113" t="s">
        <v>1620</v>
      </c>
      <c r="F2437" s="113" t="s">
        <v>3093</v>
      </c>
      <c r="G2437" s="113" t="s">
        <v>3093</v>
      </c>
      <c r="H2437" s="161">
        <v>2</v>
      </c>
      <c r="I2437" s="161">
        <v>40</v>
      </c>
    </row>
    <row r="2438" spans="1:9">
      <c r="A2438" s="113">
        <v>100500027</v>
      </c>
      <c r="B2438" s="113" t="s">
        <v>5191</v>
      </c>
      <c r="C2438" s="113">
        <v>6050336</v>
      </c>
      <c r="D2438" s="113" t="s">
        <v>3093</v>
      </c>
      <c r="E2438" s="113" t="s">
        <v>1620</v>
      </c>
      <c r="F2438" s="113" t="s">
        <v>3093</v>
      </c>
      <c r="G2438" s="113" t="s">
        <v>3093</v>
      </c>
      <c r="H2438" s="161">
        <v>0</v>
      </c>
      <c r="I2438" s="161" t="s">
        <v>7138</v>
      </c>
    </row>
    <row r="2439" spans="1:9">
      <c r="A2439" s="113">
        <v>100500028</v>
      </c>
      <c r="B2439" s="113" t="s">
        <v>5192</v>
      </c>
      <c r="C2439" s="113">
        <v>6050337</v>
      </c>
      <c r="D2439" s="113" t="s">
        <v>3093</v>
      </c>
      <c r="E2439" s="113" t="s">
        <v>1620</v>
      </c>
      <c r="F2439" s="113" t="s">
        <v>3093</v>
      </c>
      <c r="G2439" s="113" t="s">
        <v>3093</v>
      </c>
      <c r="H2439" s="161">
        <v>0</v>
      </c>
      <c r="I2439" s="161" t="s">
        <v>7138</v>
      </c>
    </row>
    <row r="2440" spans="1:9">
      <c r="A2440" s="113">
        <v>100500029</v>
      </c>
      <c r="B2440" s="113" t="s">
        <v>5193</v>
      </c>
      <c r="C2440" s="113">
        <v>6054185</v>
      </c>
      <c r="D2440" s="113" t="s">
        <v>3093</v>
      </c>
      <c r="E2440" s="113" t="s">
        <v>1620</v>
      </c>
      <c r="F2440" s="113" t="s">
        <v>3093</v>
      </c>
      <c r="G2440" s="113" t="s">
        <v>3093</v>
      </c>
      <c r="H2440" s="161">
        <v>0</v>
      </c>
      <c r="I2440" s="161" t="s">
        <v>7138</v>
      </c>
    </row>
    <row r="2441" spans="1:9">
      <c r="A2441" s="113">
        <v>100500030</v>
      </c>
      <c r="B2441" s="113" t="s">
        <v>5194</v>
      </c>
      <c r="C2441" s="113">
        <v>6054252</v>
      </c>
      <c r="D2441" s="113" t="s">
        <v>3093</v>
      </c>
      <c r="E2441" s="113" t="s">
        <v>1620</v>
      </c>
      <c r="F2441" s="113" t="s">
        <v>3093</v>
      </c>
      <c r="G2441" s="113" t="s">
        <v>3093</v>
      </c>
      <c r="H2441" s="161">
        <v>0</v>
      </c>
      <c r="I2441" s="161" t="s">
        <v>7138</v>
      </c>
    </row>
    <row r="2442" spans="1:9">
      <c r="A2442" s="113">
        <v>100500031</v>
      </c>
      <c r="B2442" s="113" t="s">
        <v>5195</v>
      </c>
      <c r="C2442" s="113">
        <v>6054253</v>
      </c>
      <c r="D2442" s="113" t="s">
        <v>3093</v>
      </c>
      <c r="E2442" s="113" t="s">
        <v>1620</v>
      </c>
      <c r="F2442" s="113" t="s">
        <v>3093</v>
      </c>
      <c r="G2442" s="113" t="s">
        <v>3093</v>
      </c>
      <c r="H2442" s="161">
        <v>430.19</v>
      </c>
      <c r="I2442" s="161">
        <v>0</v>
      </c>
    </row>
    <row r="2443" spans="1:9">
      <c r="A2443" s="113">
        <v>100500032</v>
      </c>
      <c r="B2443" s="113" t="s">
        <v>5196</v>
      </c>
      <c r="C2443" s="113">
        <v>6054254</v>
      </c>
      <c r="D2443" s="113" t="s">
        <v>3093</v>
      </c>
      <c r="E2443" s="113" t="s">
        <v>1620</v>
      </c>
      <c r="F2443" s="113" t="s">
        <v>3093</v>
      </c>
      <c r="G2443" s="113" t="s">
        <v>3093</v>
      </c>
      <c r="H2443" s="161">
        <v>430.19</v>
      </c>
      <c r="I2443" s="161">
        <v>2</v>
      </c>
    </row>
    <row r="2444" spans="1:9">
      <c r="A2444" s="113">
        <v>100500033</v>
      </c>
      <c r="B2444" s="113" t="s">
        <v>5197</v>
      </c>
      <c r="C2444" s="113">
        <v>6054265</v>
      </c>
      <c r="D2444" s="113" t="s">
        <v>3093</v>
      </c>
      <c r="E2444" s="113" t="s">
        <v>1620</v>
      </c>
      <c r="F2444" s="113" t="s">
        <v>3093</v>
      </c>
      <c r="G2444" s="113" t="s">
        <v>3093</v>
      </c>
      <c r="H2444" s="161">
        <v>8.36</v>
      </c>
      <c r="I2444" s="161">
        <v>2</v>
      </c>
    </row>
    <row r="2445" spans="1:9">
      <c r="A2445" s="113">
        <v>100500034</v>
      </c>
      <c r="B2445" s="113" t="s">
        <v>5198</v>
      </c>
      <c r="C2445" s="113">
        <v>6056042</v>
      </c>
      <c r="D2445" s="113" t="s">
        <v>3093</v>
      </c>
      <c r="E2445" s="113" t="s">
        <v>1620</v>
      </c>
      <c r="F2445" s="113" t="s">
        <v>3093</v>
      </c>
      <c r="G2445" s="113" t="s">
        <v>3093</v>
      </c>
      <c r="H2445" s="161">
        <v>0</v>
      </c>
      <c r="I2445" s="161" t="s">
        <v>7138</v>
      </c>
    </row>
    <row r="2446" spans="1:9">
      <c r="A2446" s="113">
        <v>100500035</v>
      </c>
      <c r="B2446" s="113" t="s">
        <v>5199</v>
      </c>
      <c r="C2446" s="113">
        <v>6056048</v>
      </c>
      <c r="D2446" s="113" t="s">
        <v>3093</v>
      </c>
      <c r="E2446" s="113" t="s">
        <v>1620</v>
      </c>
      <c r="F2446" s="113" t="s">
        <v>3093</v>
      </c>
      <c r="G2446" s="113" t="s">
        <v>3093</v>
      </c>
      <c r="H2446" s="161">
        <v>0</v>
      </c>
      <c r="I2446" s="161" t="s">
        <v>7138</v>
      </c>
    </row>
    <row r="2447" spans="1:9">
      <c r="A2447" s="113">
        <v>100500036</v>
      </c>
      <c r="B2447" s="113" t="s">
        <v>5200</v>
      </c>
      <c r="C2447" s="113">
        <v>6056049</v>
      </c>
      <c r="D2447" s="113" t="s">
        <v>3093</v>
      </c>
      <c r="E2447" s="113" t="s">
        <v>1620</v>
      </c>
      <c r="F2447" s="113" t="s">
        <v>3093</v>
      </c>
      <c r="G2447" s="113" t="s">
        <v>3093</v>
      </c>
      <c r="H2447" s="161">
        <v>0</v>
      </c>
      <c r="I2447" s="161" t="s">
        <v>7138</v>
      </c>
    </row>
    <row r="2448" spans="1:9">
      <c r="A2448" s="113">
        <v>100500037</v>
      </c>
      <c r="B2448" s="113" t="s">
        <v>5201</v>
      </c>
      <c r="C2448" s="113">
        <v>6056050</v>
      </c>
      <c r="D2448" s="113" t="s">
        <v>3093</v>
      </c>
      <c r="E2448" s="113" t="s">
        <v>1620</v>
      </c>
      <c r="F2448" s="113" t="s">
        <v>3093</v>
      </c>
      <c r="G2448" s="113" t="s">
        <v>3093</v>
      </c>
      <c r="H2448" s="161">
        <v>0</v>
      </c>
      <c r="I2448" s="161" t="s">
        <v>7138</v>
      </c>
    </row>
    <row r="2449" spans="1:9">
      <c r="A2449" s="113">
        <v>100500038</v>
      </c>
      <c r="B2449" s="113" t="s">
        <v>5202</v>
      </c>
      <c r="C2449" s="113">
        <v>6056051</v>
      </c>
      <c r="D2449" s="113" t="s">
        <v>3093</v>
      </c>
      <c r="E2449" s="113" t="s">
        <v>1620</v>
      </c>
      <c r="F2449" s="113" t="s">
        <v>3093</v>
      </c>
      <c r="G2449" s="113" t="s">
        <v>3093</v>
      </c>
      <c r="H2449" s="161">
        <v>1362.8</v>
      </c>
      <c r="I2449" s="161">
        <v>1</v>
      </c>
    </row>
    <row r="2450" spans="1:9">
      <c r="A2450" s="113">
        <v>100500039</v>
      </c>
      <c r="B2450" s="113" t="s">
        <v>5203</v>
      </c>
      <c r="C2450" s="113">
        <v>6080034</v>
      </c>
      <c r="D2450" s="113" t="s">
        <v>3093</v>
      </c>
      <c r="E2450" s="113" t="s">
        <v>1620</v>
      </c>
      <c r="F2450" s="113" t="s">
        <v>3093</v>
      </c>
      <c r="G2450" s="113" t="s">
        <v>3093</v>
      </c>
      <c r="H2450" s="161">
        <v>640</v>
      </c>
      <c r="I2450" s="161">
        <v>1</v>
      </c>
    </row>
    <row r="2451" spans="1:9">
      <c r="A2451" s="113">
        <v>100500040</v>
      </c>
      <c r="B2451" s="113" t="s">
        <v>5204</v>
      </c>
      <c r="C2451" s="113">
        <v>6080035</v>
      </c>
      <c r="D2451" s="113" t="s">
        <v>3093</v>
      </c>
      <c r="E2451" s="113" t="s">
        <v>1620</v>
      </c>
      <c r="F2451" s="113" t="s">
        <v>3093</v>
      </c>
      <c r="G2451" s="113" t="s">
        <v>3093</v>
      </c>
      <c r="H2451" s="161">
        <v>360</v>
      </c>
      <c r="I2451" s="161" t="s">
        <v>7138</v>
      </c>
    </row>
    <row r="2452" spans="1:9">
      <c r="A2452" s="113">
        <v>100500041</v>
      </c>
      <c r="B2452" s="113" t="s">
        <v>5205</v>
      </c>
      <c r="C2452" s="113">
        <v>6080037</v>
      </c>
      <c r="D2452" s="113" t="s">
        <v>3093</v>
      </c>
      <c r="E2452" s="113" t="s">
        <v>1620</v>
      </c>
      <c r="F2452" s="113" t="s">
        <v>3093</v>
      </c>
      <c r="G2452" s="113" t="s">
        <v>3093</v>
      </c>
      <c r="H2452" s="161">
        <v>0</v>
      </c>
      <c r="I2452" s="161" t="s">
        <v>7138</v>
      </c>
    </row>
    <row r="2453" spans="1:9">
      <c r="A2453" s="113">
        <v>100500042</v>
      </c>
      <c r="B2453" s="113" t="s">
        <v>5206</v>
      </c>
      <c r="C2453" s="113">
        <v>6080038</v>
      </c>
      <c r="D2453" s="113" t="s">
        <v>3093</v>
      </c>
      <c r="E2453" s="113" t="s">
        <v>1620</v>
      </c>
      <c r="F2453" s="113" t="s">
        <v>3093</v>
      </c>
      <c r="G2453" s="113" t="s">
        <v>3093</v>
      </c>
      <c r="H2453" s="161">
        <v>0</v>
      </c>
      <c r="I2453" s="161" t="s">
        <v>7138</v>
      </c>
    </row>
    <row r="2454" spans="1:9">
      <c r="A2454" s="113">
        <v>100500043</v>
      </c>
      <c r="B2454" s="113" t="s">
        <v>5207</v>
      </c>
      <c r="C2454" s="113">
        <v>6080039</v>
      </c>
      <c r="D2454" s="113" t="s">
        <v>3093</v>
      </c>
      <c r="E2454" s="113" t="s">
        <v>1620</v>
      </c>
      <c r="F2454" s="113" t="s">
        <v>3093</v>
      </c>
      <c r="G2454" s="113" t="s">
        <v>3093</v>
      </c>
      <c r="H2454" s="161">
        <v>0</v>
      </c>
      <c r="I2454" s="161" t="s">
        <v>7138</v>
      </c>
    </row>
    <row r="2455" spans="1:9">
      <c r="A2455" s="113">
        <v>100500044</v>
      </c>
      <c r="B2455" s="113" t="s">
        <v>5208</v>
      </c>
      <c r="C2455" s="113">
        <v>6080041</v>
      </c>
      <c r="D2455" s="113" t="s">
        <v>3093</v>
      </c>
      <c r="E2455" s="113" t="s">
        <v>1620</v>
      </c>
      <c r="F2455" s="113" t="s">
        <v>3093</v>
      </c>
      <c r="G2455" s="113" t="s">
        <v>3093</v>
      </c>
      <c r="H2455" s="161">
        <v>0</v>
      </c>
      <c r="I2455" s="161" t="s">
        <v>7138</v>
      </c>
    </row>
    <row r="2456" spans="1:9">
      <c r="A2456" s="113">
        <v>100500045</v>
      </c>
      <c r="B2456" s="113" t="s">
        <v>5209</v>
      </c>
      <c r="C2456" s="113">
        <v>6080042</v>
      </c>
      <c r="D2456" s="113" t="s">
        <v>3093</v>
      </c>
      <c r="E2456" s="113" t="s">
        <v>1620</v>
      </c>
      <c r="F2456" s="113" t="s">
        <v>3093</v>
      </c>
      <c r="G2456" s="113" t="s">
        <v>3093</v>
      </c>
      <c r="H2456" s="161">
        <v>0</v>
      </c>
      <c r="I2456" s="161" t="s">
        <v>7138</v>
      </c>
    </row>
    <row r="2457" spans="1:9">
      <c r="A2457" s="113">
        <v>100500046</v>
      </c>
      <c r="B2457" s="113" t="s">
        <v>5210</v>
      </c>
      <c r="C2457" s="113">
        <v>6080043</v>
      </c>
      <c r="D2457" s="113" t="s">
        <v>3093</v>
      </c>
      <c r="E2457" s="113" t="s">
        <v>1620</v>
      </c>
      <c r="F2457" s="113" t="s">
        <v>3093</v>
      </c>
      <c r="G2457" s="113" t="s">
        <v>3093</v>
      </c>
      <c r="H2457" s="161">
        <v>0</v>
      </c>
      <c r="I2457" s="161" t="s">
        <v>7138</v>
      </c>
    </row>
    <row r="2458" spans="1:9">
      <c r="A2458" s="113">
        <v>100500047</v>
      </c>
      <c r="B2458" s="113" t="s">
        <v>5211</v>
      </c>
      <c r="C2458" s="113">
        <v>6080044</v>
      </c>
      <c r="D2458" s="113" t="s">
        <v>3093</v>
      </c>
      <c r="E2458" s="113" t="s">
        <v>1620</v>
      </c>
      <c r="F2458" s="113" t="s">
        <v>3093</v>
      </c>
      <c r="G2458" s="113" t="s">
        <v>3093</v>
      </c>
      <c r="H2458" s="161">
        <v>0</v>
      </c>
      <c r="I2458" s="161" t="s">
        <v>7138</v>
      </c>
    </row>
    <row r="2459" spans="1:9">
      <c r="A2459" s="113">
        <v>100500048</v>
      </c>
      <c r="B2459" s="113" t="s">
        <v>5212</v>
      </c>
      <c r="C2459" s="113">
        <v>6080045</v>
      </c>
      <c r="D2459" s="113" t="s">
        <v>3093</v>
      </c>
      <c r="E2459" s="113" t="s">
        <v>1620</v>
      </c>
      <c r="F2459" s="113" t="s">
        <v>3093</v>
      </c>
      <c r="G2459" s="113" t="s">
        <v>3093</v>
      </c>
      <c r="H2459" s="161">
        <v>0</v>
      </c>
      <c r="I2459" s="161" t="s">
        <v>7138</v>
      </c>
    </row>
    <row r="2460" spans="1:9">
      <c r="A2460" s="113">
        <v>100500049</v>
      </c>
      <c r="B2460" s="113" t="s">
        <v>5213</v>
      </c>
      <c r="C2460" s="113">
        <v>6080046</v>
      </c>
      <c r="D2460" s="113" t="s">
        <v>3093</v>
      </c>
      <c r="E2460" s="113" t="s">
        <v>1620</v>
      </c>
      <c r="F2460" s="113" t="s">
        <v>3093</v>
      </c>
      <c r="G2460" s="113" t="s">
        <v>3093</v>
      </c>
      <c r="H2460" s="161">
        <v>0</v>
      </c>
      <c r="I2460" s="161" t="s">
        <v>7138</v>
      </c>
    </row>
    <row r="2461" spans="1:9">
      <c r="A2461" s="113">
        <v>100500050</v>
      </c>
      <c r="B2461" s="113" t="s">
        <v>5214</v>
      </c>
      <c r="C2461" s="113">
        <v>6080048</v>
      </c>
      <c r="D2461" s="113" t="s">
        <v>3093</v>
      </c>
      <c r="E2461" s="113" t="s">
        <v>1620</v>
      </c>
      <c r="F2461" s="113" t="s">
        <v>3093</v>
      </c>
      <c r="G2461" s="113" t="s">
        <v>3093</v>
      </c>
      <c r="H2461" s="161">
        <v>0</v>
      </c>
      <c r="I2461" s="161" t="s">
        <v>7138</v>
      </c>
    </row>
    <row r="2462" spans="1:9">
      <c r="A2462" s="113">
        <v>100500051</v>
      </c>
      <c r="B2462" s="113" t="s">
        <v>5215</v>
      </c>
      <c r="C2462" s="113">
        <v>6080052</v>
      </c>
      <c r="D2462" s="113" t="s">
        <v>3093</v>
      </c>
      <c r="E2462" s="113" t="s">
        <v>1620</v>
      </c>
      <c r="F2462" s="113" t="s">
        <v>3093</v>
      </c>
      <c r="G2462" s="113" t="s">
        <v>3093</v>
      </c>
      <c r="H2462" s="161">
        <v>3500</v>
      </c>
      <c r="I2462" s="161">
        <v>2</v>
      </c>
    </row>
    <row r="2463" spans="1:9">
      <c r="A2463" s="113">
        <v>100500052</v>
      </c>
      <c r="B2463" s="113" t="s">
        <v>5216</v>
      </c>
      <c r="C2463" s="113">
        <v>6080065</v>
      </c>
      <c r="D2463" s="113" t="s">
        <v>3093</v>
      </c>
      <c r="E2463" s="113" t="s">
        <v>1620</v>
      </c>
      <c r="F2463" s="113" t="s">
        <v>3093</v>
      </c>
      <c r="G2463" s="113" t="s">
        <v>3093</v>
      </c>
      <c r="H2463" s="161">
        <v>900</v>
      </c>
      <c r="I2463" s="161">
        <v>3</v>
      </c>
    </row>
    <row r="2464" spans="1:9">
      <c r="A2464" s="113">
        <v>100500053</v>
      </c>
      <c r="B2464" s="113" t="s">
        <v>5217</v>
      </c>
      <c r="C2464" s="113">
        <v>6080068</v>
      </c>
      <c r="D2464" s="113" t="s">
        <v>3093</v>
      </c>
      <c r="E2464" s="113" t="s">
        <v>1620</v>
      </c>
      <c r="F2464" s="113" t="s">
        <v>3093</v>
      </c>
      <c r="G2464" s="113" t="s">
        <v>3093</v>
      </c>
      <c r="H2464" s="161">
        <v>2500</v>
      </c>
      <c r="I2464" s="161">
        <v>6</v>
      </c>
    </row>
    <row r="2465" spans="1:9">
      <c r="A2465" s="113">
        <v>100500054</v>
      </c>
      <c r="B2465" s="113" t="s">
        <v>5218</v>
      </c>
      <c r="C2465" s="113">
        <v>6080069</v>
      </c>
      <c r="D2465" s="113" t="s">
        <v>3093</v>
      </c>
      <c r="E2465" s="113" t="s">
        <v>1620</v>
      </c>
      <c r="F2465" s="113" t="s">
        <v>3093</v>
      </c>
      <c r="G2465" s="113" t="s">
        <v>3093</v>
      </c>
      <c r="H2465" s="161">
        <v>2100</v>
      </c>
      <c r="I2465" s="161">
        <v>6</v>
      </c>
    </row>
    <row r="2466" spans="1:9">
      <c r="A2466" s="113">
        <v>100500055</v>
      </c>
      <c r="B2466" s="113" t="s">
        <v>5219</v>
      </c>
      <c r="C2466" s="113">
        <v>6080070</v>
      </c>
      <c r="D2466" s="113" t="s">
        <v>3093</v>
      </c>
      <c r="E2466" s="113" t="s">
        <v>1620</v>
      </c>
      <c r="F2466" s="113" t="s">
        <v>3093</v>
      </c>
      <c r="G2466" s="113" t="s">
        <v>3093</v>
      </c>
      <c r="H2466" s="161">
        <v>2100</v>
      </c>
      <c r="I2466" s="161">
        <v>12</v>
      </c>
    </row>
    <row r="2467" spans="1:9">
      <c r="A2467" s="113">
        <v>100500056</v>
      </c>
      <c r="B2467" s="113" t="s">
        <v>5220</v>
      </c>
      <c r="C2467" s="113">
        <v>6080071</v>
      </c>
      <c r="D2467" s="113" t="s">
        <v>3093</v>
      </c>
      <c r="E2467" s="113" t="s">
        <v>1620</v>
      </c>
      <c r="F2467" s="113" t="s">
        <v>3093</v>
      </c>
      <c r="G2467" s="113" t="s">
        <v>3093</v>
      </c>
      <c r="H2467" s="161">
        <v>2500</v>
      </c>
      <c r="I2467" s="161" t="s">
        <v>7138</v>
      </c>
    </row>
    <row r="2468" spans="1:9">
      <c r="A2468" s="113">
        <v>100500057</v>
      </c>
      <c r="B2468" s="113" t="s">
        <v>5221</v>
      </c>
      <c r="C2468" s="113">
        <v>6080072</v>
      </c>
      <c r="D2468" s="113" t="s">
        <v>3093</v>
      </c>
      <c r="E2468" s="113" t="s">
        <v>1620</v>
      </c>
      <c r="F2468" s="113" t="s">
        <v>3093</v>
      </c>
      <c r="G2468" s="113" t="s">
        <v>3093</v>
      </c>
      <c r="H2468" s="161">
        <v>0</v>
      </c>
      <c r="I2468" s="161" t="s">
        <v>7138</v>
      </c>
    </row>
    <row r="2469" spans="1:9">
      <c r="A2469" s="113">
        <v>100500058</v>
      </c>
      <c r="B2469" s="113" t="s">
        <v>5222</v>
      </c>
      <c r="C2469" s="113">
        <v>6080073</v>
      </c>
      <c r="D2469" s="113" t="s">
        <v>3093</v>
      </c>
      <c r="E2469" s="113" t="s">
        <v>1620</v>
      </c>
      <c r="F2469" s="113" t="s">
        <v>3093</v>
      </c>
      <c r="G2469" s="113" t="s">
        <v>3093</v>
      </c>
      <c r="H2469" s="161">
        <v>0</v>
      </c>
      <c r="I2469" s="161" t="s">
        <v>7138</v>
      </c>
    </row>
    <row r="2470" spans="1:9">
      <c r="A2470" s="113">
        <v>100500059</v>
      </c>
      <c r="B2470" s="113" t="s">
        <v>5223</v>
      </c>
      <c r="C2470" s="113">
        <v>6080075</v>
      </c>
      <c r="D2470" s="113" t="s">
        <v>3093</v>
      </c>
      <c r="E2470" s="113" t="s">
        <v>1620</v>
      </c>
      <c r="F2470" s="113" t="s">
        <v>3093</v>
      </c>
      <c r="G2470" s="113" t="s">
        <v>3093</v>
      </c>
      <c r="H2470" s="161">
        <v>0</v>
      </c>
      <c r="I2470" s="161" t="s">
        <v>7138</v>
      </c>
    </row>
    <row r="2471" spans="1:9">
      <c r="A2471" s="113">
        <v>100500060</v>
      </c>
      <c r="B2471" s="113" t="s">
        <v>5224</v>
      </c>
      <c r="C2471" s="113">
        <v>6080076</v>
      </c>
      <c r="D2471" s="113" t="s">
        <v>3093</v>
      </c>
      <c r="E2471" s="113" t="s">
        <v>1620</v>
      </c>
      <c r="F2471" s="113" t="s">
        <v>3093</v>
      </c>
      <c r="G2471" s="113" t="s">
        <v>3093</v>
      </c>
      <c r="H2471" s="161">
        <v>0</v>
      </c>
      <c r="I2471" s="161" t="s">
        <v>7138</v>
      </c>
    </row>
    <row r="2472" spans="1:9">
      <c r="A2472" s="113">
        <v>100500061</v>
      </c>
      <c r="B2472" s="113" t="s">
        <v>5225</v>
      </c>
      <c r="C2472" s="113">
        <v>6080086</v>
      </c>
      <c r="D2472" s="113" t="s">
        <v>3093</v>
      </c>
      <c r="E2472" s="113" t="s">
        <v>1620</v>
      </c>
      <c r="F2472" s="113" t="s">
        <v>3093</v>
      </c>
      <c r="G2472" s="113" t="s">
        <v>3093</v>
      </c>
      <c r="H2472" s="161">
        <v>2500</v>
      </c>
      <c r="I2472" s="161">
        <v>4</v>
      </c>
    </row>
    <row r="2473" spans="1:9">
      <c r="A2473" s="113">
        <v>100500062</v>
      </c>
      <c r="B2473" s="113" t="s">
        <v>5226</v>
      </c>
      <c r="C2473" s="113">
        <v>6080087</v>
      </c>
      <c r="D2473" s="113" t="s">
        <v>3093</v>
      </c>
      <c r="E2473" s="113" t="s">
        <v>1620</v>
      </c>
      <c r="F2473" s="113" t="s">
        <v>3093</v>
      </c>
      <c r="G2473" s="113" t="s">
        <v>3093</v>
      </c>
      <c r="H2473" s="161">
        <v>0</v>
      </c>
      <c r="I2473" s="161" t="s">
        <v>7138</v>
      </c>
    </row>
    <row r="2474" spans="1:9">
      <c r="A2474" s="113">
        <v>100500063</v>
      </c>
      <c r="B2474" s="113" t="s">
        <v>5227</v>
      </c>
      <c r="C2474" s="113">
        <v>6081037</v>
      </c>
      <c r="D2474" s="113" t="s">
        <v>3093</v>
      </c>
      <c r="E2474" s="113" t="s">
        <v>1620</v>
      </c>
      <c r="F2474" s="113" t="s">
        <v>3093</v>
      </c>
      <c r="G2474" s="113" t="s">
        <v>3093</v>
      </c>
      <c r="H2474" s="161">
        <v>0</v>
      </c>
      <c r="I2474" s="161" t="s">
        <v>7138</v>
      </c>
    </row>
    <row r="2475" spans="1:9">
      <c r="A2475" s="113">
        <v>100500064</v>
      </c>
      <c r="B2475" s="113" t="s">
        <v>5228</v>
      </c>
      <c r="C2475" s="113">
        <v>6086017</v>
      </c>
      <c r="D2475" s="113" t="s">
        <v>3093</v>
      </c>
      <c r="E2475" s="113" t="s">
        <v>1620</v>
      </c>
      <c r="F2475" s="113" t="s">
        <v>3093</v>
      </c>
      <c r="G2475" s="113" t="s">
        <v>3093</v>
      </c>
      <c r="H2475" s="161">
        <v>0</v>
      </c>
      <c r="I2475" s="161" t="s">
        <v>7138</v>
      </c>
    </row>
    <row r="2476" spans="1:9">
      <c r="A2476" s="113">
        <v>100500065</v>
      </c>
      <c r="B2476" s="113" t="s">
        <v>5229</v>
      </c>
      <c r="C2476" s="113">
        <v>6087068</v>
      </c>
      <c r="D2476" s="113" t="s">
        <v>3093</v>
      </c>
      <c r="E2476" s="113" t="s">
        <v>1620</v>
      </c>
      <c r="F2476" s="113" t="s">
        <v>3093</v>
      </c>
      <c r="G2476" s="113" t="s">
        <v>3093</v>
      </c>
      <c r="H2476" s="161">
        <v>0</v>
      </c>
      <c r="I2476" s="161" t="s">
        <v>7138</v>
      </c>
    </row>
    <row r="2477" spans="1:9">
      <c r="A2477" s="113">
        <v>100500066</v>
      </c>
      <c r="B2477" s="113" t="s">
        <v>2993</v>
      </c>
      <c r="C2477" s="113">
        <v>7015084</v>
      </c>
      <c r="D2477" s="113" t="s">
        <v>3093</v>
      </c>
      <c r="E2477" s="113" t="s">
        <v>1620</v>
      </c>
      <c r="F2477" s="113" t="s">
        <v>3093</v>
      </c>
      <c r="G2477" s="113" t="s">
        <v>3093</v>
      </c>
      <c r="H2477" s="161">
        <v>35.03</v>
      </c>
      <c r="I2477" s="161" t="s">
        <v>7138</v>
      </c>
    </row>
    <row r="2478" spans="1:9">
      <c r="A2478" s="113">
        <v>100500067</v>
      </c>
      <c r="B2478" s="113" t="s">
        <v>5230</v>
      </c>
      <c r="C2478" s="113">
        <v>7015085</v>
      </c>
      <c r="D2478" s="113" t="s">
        <v>3093</v>
      </c>
      <c r="E2478" s="113" t="s">
        <v>1620</v>
      </c>
      <c r="F2478" s="113" t="s">
        <v>3093</v>
      </c>
      <c r="G2478" s="113" t="s">
        <v>3093</v>
      </c>
      <c r="H2478" s="161">
        <v>120</v>
      </c>
      <c r="I2478" s="161">
        <v>7</v>
      </c>
    </row>
    <row r="2479" spans="1:9">
      <c r="A2479" s="113">
        <v>100500068</v>
      </c>
      <c r="B2479" s="113" t="s">
        <v>5231</v>
      </c>
      <c r="C2479" s="113">
        <v>7015101</v>
      </c>
      <c r="D2479" s="113" t="s">
        <v>3093</v>
      </c>
      <c r="E2479" s="113" t="s">
        <v>1620</v>
      </c>
      <c r="F2479" s="113" t="s">
        <v>3093</v>
      </c>
      <c r="G2479" s="113" t="s">
        <v>3093</v>
      </c>
      <c r="H2479" s="161">
        <v>185</v>
      </c>
      <c r="I2479" s="161" t="s">
        <v>7138</v>
      </c>
    </row>
    <row r="2480" spans="1:9">
      <c r="A2480" s="113">
        <v>100500069</v>
      </c>
      <c r="B2480" s="113" t="s">
        <v>5232</v>
      </c>
      <c r="C2480" s="113">
        <v>7015102</v>
      </c>
      <c r="D2480" s="113" t="s">
        <v>3093</v>
      </c>
      <c r="E2480" s="113" t="s">
        <v>1620</v>
      </c>
      <c r="F2480" s="113" t="s">
        <v>3093</v>
      </c>
      <c r="G2480" s="113" t="s">
        <v>3093</v>
      </c>
      <c r="H2480" s="161">
        <v>3.5</v>
      </c>
      <c r="I2480" s="161">
        <v>360</v>
      </c>
    </row>
    <row r="2481" spans="1:9">
      <c r="A2481" s="113">
        <v>100500070</v>
      </c>
      <c r="B2481" s="113" t="s">
        <v>5233</v>
      </c>
      <c r="C2481" s="113">
        <v>7015103</v>
      </c>
      <c r="D2481" s="113" t="s">
        <v>3093</v>
      </c>
      <c r="E2481" s="113" t="s">
        <v>1620</v>
      </c>
      <c r="F2481" s="113" t="s">
        <v>3093</v>
      </c>
      <c r="G2481" s="113" t="s">
        <v>3093</v>
      </c>
      <c r="H2481" s="161">
        <v>0</v>
      </c>
      <c r="I2481" s="161" t="s">
        <v>7138</v>
      </c>
    </row>
    <row r="2482" spans="1:9">
      <c r="A2482" s="113">
        <v>100500071</v>
      </c>
      <c r="B2482" s="113" t="s">
        <v>5234</v>
      </c>
      <c r="C2482" s="113">
        <v>7015105</v>
      </c>
      <c r="D2482" s="113" t="s">
        <v>3093</v>
      </c>
      <c r="E2482" s="113" t="s">
        <v>1620</v>
      </c>
      <c r="F2482" s="113" t="s">
        <v>3093</v>
      </c>
      <c r="G2482" s="113" t="s">
        <v>3093</v>
      </c>
      <c r="H2482" s="161">
        <v>1.9</v>
      </c>
      <c r="I2482" s="161">
        <v>4202</v>
      </c>
    </row>
    <row r="2483" spans="1:9">
      <c r="A2483" s="113">
        <v>100500072</v>
      </c>
      <c r="B2483" s="113" t="s">
        <v>5235</v>
      </c>
      <c r="C2483" s="113">
        <v>7015129</v>
      </c>
      <c r="D2483" s="113" t="s">
        <v>3093</v>
      </c>
      <c r="E2483" s="113" t="s">
        <v>1620</v>
      </c>
      <c r="F2483" s="113" t="s">
        <v>3093</v>
      </c>
      <c r="G2483" s="113" t="s">
        <v>3093</v>
      </c>
      <c r="H2483" s="161">
        <v>14.72</v>
      </c>
      <c r="I2483" s="161">
        <v>24</v>
      </c>
    </row>
    <row r="2484" spans="1:9">
      <c r="A2484" s="113">
        <v>100500073</v>
      </c>
      <c r="B2484" s="113" t="s">
        <v>5236</v>
      </c>
      <c r="C2484" s="113">
        <v>7015132</v>
      </c>
      <c r="D2484" s="113" t="s">
        <v>3093</v>
      </c>
      <c r="E2484" s="113" t="s">
        <v>1620</v>
      </c>
      <c r="F2484" s="113" t="s">
        <v>3093</v>
      </c>
      <c r="G2484" s="113" t="s">
        <v>3093</v>
      </c>
      <c r="H2484" s="161">
        <v>480</v>
      </c>
      <c r="I2484" s="161">
        <v>30</v>
      </c>
    </row>
    <row r="2485" spans="1:9">
      <c r="A2485" s="113">
        <v>100500074</v>
      </c>
      <c r="B2485" s="113" t="s">
        <v>5237</v>
      </c>
      <c r="C2485" s="113">
        <v>7015133</v>
      </c>
      <c r="D2485" s="113" t="s">
        <v>3093</v>
      </c>
      <c r="E2485" s="113" t="s">
        <v>1620</v>
      </c>
      <c r="F2485" s="113" t="s">
        <v>3093</v>
      </c>
      <c r="G2485" s="113" t="s">
        <v>3093</v>
      </c>
      <c r="H2485" s="161">
        <v>480</v>
      </c>
      <c r="I2485" s="161">
        <v>20</v>
      </c>
    </row>
    <row r="2486" spans="1:9">
      <c r="A2486" s="113">
        <v>100500075</v>
      </c>
      <c r="B2486" s="113" t="s">
        <v>5238</v>
      </c>
      <c r="C2486" s="113">
        <v>7015134</v>
      </c>
      <c r="D2486" s="113" t="s">
        <v>3093</v>
      </c>
      <c r="E2486" s="113" t="s">
        <v>1620</v>
      </c>
      <c r="F2486" s="113" t="s">
        <v>3093</v>
      </c>
      <c r="G2486" s="113" t="s">
        <v>3093</v>
      </c>
      <c r="H2486" s="161">
        <v>139</v>
      </c>
      <c r="I2486" s="161">
        <v>20</v>
      </c>
    </row>
    <row r="2487" spans="1:9">
      <c r="A2487" s="113">
        <v>100500076</v>
      </c>
      <c r="B2487" s="113" t="s">
        <v>5239</v>
      </c>
      <c r="C2487" s="113">
        <v>7015135</v>
      </c>
      <c r="D2487" s="113" t="s">
        <v>3093</v>
      </c>
      <c r="E2487" s="113" t="s">
        <v>1620</v>
      </c>
      <c r="F2487" s="113" t="s">
        <v>3093</v>
      </c>
      <c r="G2487" s="113" t="s">
        <v>3093</v>
      </c>
      <c r="H2487" s="161">
        <v>572.21</v>
      </c>
      <c r="I2487" s="161">
        <v>5</v>
      </c>
    </row>
    <row r="2488" spans="1:9">
      <c r="A2488" s="113">
        <v>100500077</v>
      </c>
      <c r="B2488" s="113" t="s">
        <v>5240</v>
      </c>
      <c r="C2488" s="113">
        <v>7015140</v>
      </c>
      <c r="D2488" s="113" t="s">
        <v>3093</v>
      </c>
      <c r="E2488" s="113" t="s">
        <v>1620</v>
      </c>
      <c r="F2488" s="113" t="s">
        <v>3093</v>
      </c>
      <c r="G2488" s="113" t="s">
        <v>3093</v>
      </c>
      <c r="H2488" s="161">
        <v>0</v>
      </c>
      <c r="I2488" s="161" t="s">
        <v>7138</v>
      </c>
    </row>
    <row r="2489" spans="1:9">
      <c r="A2489" s="113">
        <v>100500078</v>
      </c>
      <c r="B2489" s="113" t="s">
        <v>5241</v>
      </c>
      <c r="C2489" s="113">
        <v>7016076</v>
      </c>
      <c r="D2489" s="113" t="s">
        <v>3093</v>
      </c>
      <c r="E2489" s="113" t="s">
        <v>1620</v>
      </c>
      <c r="F2489" s="113" t="s">
        <v>3093</v>
      </c>
      <c r="G2489" s="113" t="s">
        <v>3093</v>
      </c>
      <c r="H2489" s="161">
        <v>49.88</v>
      </c>
      <c r="I2489" s="161">
        <v>4</v>
      </c>
    </row>
    <row r="2490" spans="1:9">
      <c r="A2490" s="113">
        <v>100500079</v>
      </c>
      <c r="B2490" s="113" t="s">
        <v>5242</v>
      </c>
      <c r="C2490" s="113">
        <v>7016188</v>
      </c>
      <c r="D2490" s="113" t="s">
        <v>3093</v>
      </c>
      <c r="E2490" s="113" t="s">
        <v>1620</v>
      </c>
      <c r="F2490" s="113" t="s">
        <v>3093</v>
      </c>
      <c r="G2490" s="113" t="s">
        <v>3093</v>
      </c>
      <c r="H2490" s="161">
        <v>280</v>
      </c>
      <c r="I2490" s="161">
        <v>0</v>
      </c>
    </row>
    <row r="2491" spans="1:9">
      <c r="A2491" s="113">
        <v>100500080</v>
      </c>
      <c r="B2491" s="113" t="s">
        <v>5243</v>
      </c>
      <c r="C2491" s="113">
        <v>7016218</v>
      </c>
      <c r="D2491" s="113" t="s">
        <v>3093</v>
      </c>
      <c r="E2491" s="113" t="s">
        <v>1620</v>
      </c>
      <c r="F2491" s="113" t="s">
        <v>3093</v>
      </c>
      <c r="G2491" s="113" t="s">
        <v>3093</v>
      </c>
      <c r="H2491" s="161">
        <v>19</v>
      </c>
      <c r="I2491" s="161">
        <v>72</v>
      </c>
    </row>
    <row r="2492" spans="1:9">
      <c r="A2492" s="113">
        <v>100500081</v>
      </c>
      <c r="B2492" s="113" t="s">
        <v>5244</v>
      </c>
      <c r="C2492" s="113">
        <v>7018110</v>
      </c>
      <c r="D2492" s="113" t="s">
        <v>3093</v>
      </c>
      <c r="E2492" s="113" t="s">
        <v>1620</v>
      </c>
      <c r="F2492" s="113" t="s">
        <v>3093</v>
      </c>
      <c r="G2492" s="113" t="s">
        <v>3093</v>
      </c>
      <c r="H2492" s="161">
        <v>83.82</v>
      </c>
      <c r="I2492" s="161">
        <v>15</v>
      </c>
    </row>
    <row r="2493" spans="1:9">
      <c r="A2493" s="113">
        <v>100500082</v>
      </c>
      <c r="B2493" s="113" t="s">
        <v>5245</v>
      </c>
      <c r="C2493" s="113">
        <v>7020270</v>
      </c>
      <c r="D2493" s="113" t="s">
        <v>3093</v>
      </c>
      <c r="E2493" s="113" t="s">
        <v>1620</v>
      </c>
      <c r="F2493" s="113" t="s">
        <v>3093</v>
      </c>
      <c r="G2493" s="113" t="s">
        <v>3093</v>
      </c>
      <c r="H2493" s="161">
        <v>2000</v>
      </c>
      <c r="I2493" s="161">
        <v>120</v>
      </c>
    </row>
    <row r="2494" spans="1:9">
      <c r="A2494" s="113">
        <v>100500083</v>
      </c>
      <c r="B2494" s="113" t="s">
        <v>5246</v>
      </c>
      <c r="C2494" s="113">
        <v>7020271</v>
      </c>
      <c r="D2494" s="113" t="s">
        <v>3093</v>
      </c>
      <c r="E2494" s="113" t="s">
        <v>1620</v>
      </c>
      <c r="F2494" s="113" t="s">
        <v>3093</v>
      </c>
      <c r="G2494" s="113" t="s">
        <v>3093</v>
      </c>
      <c r="H2494" s="161">
        <v>1929.97</v>
      </c>
      <c r="I2494" s="161">
        <v>120</v>
      </c>
    </row>
    <row r="2495" spans="1:9">
      <c r="A2495" s="113">
        <v>100500084</v>
      </c>
      <c r="B2495" s="113" t="s">
        <v>5247</v>
      </c>
      <c r="C2495" s="113">
        <v>7030026</v>
      </c>
      <c r="D2495" s="113" t="s">
        <v>3093</v>
      </c>
      <c r="E2495" s="113" t="s">
        <v>1620</v>
      </c>
      <c r="F2495" s="113" t="s">
        <v>3093</v>
      </c>
      <c r="G2495" s="113" t="s">
        <v>3093</v>
      </c>
      <c r="H2495" s="161">
        <v>0</v>
      </c>
      <c r="I2495" s="161" t="s">
        <v>7138</v>
      </c>
    </row>
    <row r="2496" spans="1:9">
      <c r="A2496" s="113">
        <v>100500085</v>
      </c>
      <c r="B2496" s="113" t="s">
        <v>5248</v>
      </c>
      <c r="C2496" s="113">
        <v>7030043</v>
      </c>
      <c r="D2496" s="113" t="s">
        <v>3093</v>
      </c>
      <c r="E2496" s="113" t="s">
        <v>1620</v>
      </c>
      <c r="F2496" s="113" t="s">
        <v>3093</v>
      </c>
      <c r="G2496" s="113" t="s">
        <v>3093</v>
      </c>
      <c r="H2496" s="161">
        <v>559.67999999999995</v>
      </c>
      <c r="I2496" s="161">
        <v>1</v>
      </c>
    </row>
    <row r="2497" spans="1:9">
      <c r="A2497" s="113">
        <v>100500086</v>
      </c>
      <c r="B2497" s="113" t="s">
        <v>5249</v>
      </c>
      <c r="C2497" s="113">
        <v>7030046</v>
      </c>
      <c r="D2497" s="113" t="s">
        <v>3093</v>
      </c>
      <c r="E2497" s="113" t="s">
        <v>1620</v>
      </c>
      <c r="F2497" s="113" t="s">
        <v>3093</v>
      </c>
      <c r="G2497" s="113" t="s">
        <v>3093</v>
      </c>
      <c r="H2497" s="161">
        <v>531.97</v>
      </c>
      <c r="I2497" s="161">
        <v>4</v>
      </c>
    </row>
    <row r="2498" spans="1:9">
      <c r="A2498" s="113">
        <v>100500087</v>
      </c>
      <c r="B2498" s="113" t="s">
        <v>5250</v>
      </c>
      <c r="C2498" s="113">
        <v>7030047</v>
      </c>
      <c r="D2498" s="113" t="s">
        <v>3093</v>
      </c>
      <c r="E2498" s="113" t="s">
        <v>1620</v>
      </c>
      <c r="F2498" s="113" t="s">
        <v>3093</v>
      </c>
      <c r="G2498" s="113" t="s">
        <v>3093</v>
      </c>
      <c r="H2498" s="161">
        <v>664</v>
      </c>
      <c r="I2498" s="161">
        <v>0</v>
      </c>
    </row>
    <row r="2499" spans="1:9">
      <c r="A2499" s="113">
        <v>100500088</v>
      </c>
      <c r="B2499" s="113" t="s">
        <v>5251</v>
      </c>
      <c r="C2499" s="113">
        <v>7030048</v>
      </c>
      <c r="D2499" s="113" t="s">
        <v>3093</v>
      </c>
      <c r="E2499" s="113" t="s">
        <v>1620</v>
      </c>
      <c r="F2499" s="113" t="s">
        <v>3093</v>
      </c>
      <c r="G2499" s="113" t="s">
        <v>3093</v>
      </c>
      <c r="H2499" s="161">
        <v>0</v>
      </c>
      <c r="I2499" s="161" t="s">
        <v>7138</v>
      </c>
    </row>
    <row r="2500" spans="1:9">
      <c r="A2500" s="113">
        <v>100500089</v>
      </c>
      <c r="B2500" s="113" t="s">
        <v>5252</v>
      </c>
      <c r="C2500" s="113">
        <v>7030051</v>
      </c>
      <c r="D2500" s="113" t="s">
        <v>3093</v>
      </c>
      <c r="E2500" s="113" t="s">
        <v>1620</v>
      </c>
      <c r="F2500" s="113" t="s">
        <v>3093</v>
      </c>
      <c r="G2500" s="113" t="s">
        <v>3093</v>
      </c>
      <c r="H2500" s="161">
        <v>535</v>
      </c>
      <c r="I2500" s="161">
        <v>33</v>
      </c>
    </row>
    <row r="2501" spans="1:9">
      <c r="A2501" s="113">
        <v>100500090</v>
      </c>
      <c r="B2501" s="113" t="s">
        <v>5253</v>
      </c>
      <c r="C2501" s="113">
        <v>7030052</v>
      </c>
      <c r="D2501" s="113" t="s">
        <v>3093</v>
      </c>
      <c r="E2501" s="113" t="s">
        <v>1620</v>
      </c>
      <c r="F2501" s="113" t="s">
        <v>3093</v>
      </c>
      <c r="G2501" s="113" t="s">
        <v>3093</v>
      </c>
      <c r="H2501" s="161">
        <v>833.56</v>
      </c>
      <c r="I2501" s="161">
        <v>0</v>
      </c>
    </row>
    <row r="2502" spans="1:9">
      <c r="A2502" s="113">
        <v>100500091</v>
      </c>
      <c r="B2502" s="113" t="s">
        <v>5254</v>
      </c>
      <c r="C2502" s="113">
        <v>7030053</v>
      </c>
      <c r="D2502" s="113" t="s">
        <v>3093</v>
      </c>
      <c r="E2502" s="113" t="s">
        <v>1620</v>
      </c>
      <c r="F2502" s="113" t="s">
        <v>3093</v>
      </c>
      <c r="G2502" s="113" t="s">
        <v>3093</v>
      </c>
      <c r="H2502" s="161">
        <v>560</v>
      </c>
      <c r="I2502" s="161">
        <v>36</v>
      </c>
    </row>
    <row r="2503" spans="1:9">
      <c r="A2503" s="113">
        <v>100500092</v>
      </c>
      <c r="B2503" s="113" t="s">
        <v>5255</v>
      </c>
      <c r="C2503" s="113">
        <v>7030061</v>
      </c>
      <c r="D2503" s="113" t="s">
        <v>3093</v>
      </c>
      <c r="E2503" s="113" t="s">
        <v>1620</v>
      </c>
      <c r="F2503" s="113" t="s">
        <v>3093</v>
      </c>
      <c r="G2503" s="113" t="s">
        <v>3093</v>
      </c>
      <c r="H2503" s="161">
        <v>141.19</v>
      </c>
      <c r="I2503" s="161">
        <v>2</v>
      </c>
    </row>
    <row r="2504" spans="1:9">
      <c r="A2504" s="113">
        <v>100500093</v>
      </c>
      <c r="B2504" s="113" t="s">
        <v>5256</v>
      </c>
      <c r="C2504" s="113">
        <v>7030062</v>
      </c>
      <c r="D2504" s="113" t="s">
        <v>3093</v>
      </c>
      <c r="E2504" s="113" t="s">
        <v>1620</v>
      </c>
      <c r="F2504" s="113" t="s">
        <v>3093</v>
      </c>
      <c r="G2504" s="113" t="s">
        <v>3093</v>
      </c>
      <c r="H2504" s="161">
        <v>0</v>
      </c>
      <c r="I2504" s="161" t="s">
        <v>7138</v>
      </c>
    </row>
    <row r="2505" spans="1:9">
      <c r="A2505" s="113">
        <v>100500094</v>
      </c>
      <c r="B2505" s="113" t="s">
        <v>5257</v>
      </c>
      <c r="C2505" s="113">
        <v>7030064</v>
      </c>
      <c r="D2505" s="113" t="s">
        <v>3093</v>
      </c>
      <c r="E2505" s="113" t="s">
        <v>1620</v>
      </c>
      <c r="F2505" s="113" t="s">
        <v>3093</v>
      </c>
      <c r="G2505" s="113" t="s">
        <v>3093</v>
      </c>
      <c r="H2505" s="161">
        <v>625</v>
      </c>
      <c r="I2505" s="161">
        <v>90</v>
      </c>
    </row>
    <row r="2506" spans="1:9">
      <c r="A2506" s="113">
        <v>100500095</v>
      </c>
      <c r="B2506" s="113" t="s">
        <v>5258</v>
      </c>
      <c r="C2506" s="113">
        <v>7031041</v>
      </c>
      <c r="D2506" s="113" t="s">
        <v>3093</v>
      </c>
      <c r="E2506" s="113" t="s">
        <v>1620</v>
      </c>
      <c r="F2506" s="113" t="s">
        <v>3093</v>
      </c>
      <c r="G2506" s="113" t="s">
        <v>3093</v>
      </c>
      <c r="H2506" s="161">
        <v>178</v>
      </c>
      <c r="I2506" s="161">
        <v>24</v>
      </c>
    </row>
    <row r="2507" spans="1:9">
      <c r="A2507" s="113">
        <v>100500096</v>
      </c>
      <c r="B2507" s="113" t="s">
        <v>5259</v>
      </c>
      <c r="C2507" s="113">
        <v>7031042</v>
      </c>
      <c r="D2507" s="113" t="s">
        <v>3093</v>
      </c>
      <c r="E2507" s="113" t="s">
        <v>1620</v>
      </c>
      <c r="F2507" s="113" t="s">
        <v>3093</v>
      </c>
      <c r="G2507" s="113" t="s">
        <v>3093</v>
      </c>
      <c r="H2507" s="161">
        <v>290</v>
      </c>
      <c r="I2507" s="161">
        <v>0</v>
      </c>
    </row>
    <row r="2508" spans="1:9">
      <c r="A2508" s="113">
        <v>100500097</v>
      </c>
      <c r="B2508" s="113" t="s">
        <v>5260</v>
      </c>
      <c r="C2508" s="113">
        <v>7031043</v>
      </c>
      <c r="D2508" s="113" t="s">
        <v>3093</v>
      </c>
      <c r="E2508" s="113" t="s">
        <v>1620</v>
      </c>
      <c r="F2508" s="113" t="s">
        <v>3093</v>
      </c>
      <c r="G2508" s="113" t="s">
        <v>3093</v>
      </c>
      <c r="H2508" s="161">
        <v>235</v>
      </c>
      <c r="I2508" s="161">
        <v>6</v>
      </c>
    </row>
    <row r="2509" spans="1:9">
      <c r="A2509" s="113">
        <v>100500098</v>
      </c>
      <c r="B2509" s="113" t="s">
        <v>5261</v>
      </c>
      <c r="C2509" s="113">
        <v>7031044</v>
      </c>
      <c r="D2509" s="113" t="s">
        <v>3093</v>
      </c>
      <c r="E2509" s="113" t="s">
        <v>1620</v>
      </c>
      <c r="F2509" s="113" t="s">
        <v>3093</v>
      </c>
      <c r="G2509" s="113" t="s">
        <v>3093</v>
      </c>
      <c r="H2509" s="161">
        <v>177</v>
      </c>
      <c r="I2509" s="161">
        <v>0</v>
      </c>
    </row>
    <row r="2510" spans="1:9">
      <c r="A2510" s="113">
        <v>100500099</v>
      </c>
      <c r="B2510" s="113" t="s">
        <v>5262</v>
      </c>
      <c r="C2510" s="113">
        <v>7031045</v>
      </c>
      <c r="D2510" s="113" t="s">
        <v>3093</v>
      </c>
      <c r="E2510" s="113" t="s">
        <v>1620</v>
      </c>
      <c r="F2510" s="113" t="s">
        <v>3093</v>
      </c>
      <c r="G2510" s="113" t="s">
        <v>3093</v>
      </c>
      <c r="H2510" s="161">
        <v>289</v>
      </c>
      <c r="I2510" s="161">
        <v>6</v>
      </c>
    </row>
    <row r="2511" spans="1:9">
      <c r="A2511" s="113">
        <v>100500100</v>
      </c>
      <c r="B2511" s="113" t="s">
        <v>5263</v>
      </c>
      <c r="C2511" s="113">
        <v>7031046</v>
      </c>
      <c r="D2511" s="113" t="s">
        <v>3093</v>
      </c>
      <c r="E2511" s="113" t="s">
        <v>1620</v>
      </c>
      <c r="F2511" s="113" t="s">
        <v>3093</v>
      </c>
      <c r="G2511" s="113" t="s">
        <v>3093</v>
      </c>
      <c r="H2511" s="161">
        <v>445</v>
      </c>
      <c r="I2511" s="161">
        <v>1</v>
      </c>
    </row>
    <row r="2512" spans="1:9">
      <c r="A2512" s="113">
        <v>100500101</v>
      </c>
      <c r="B2512" s="113" t="s">
        <v>5264</v>
      </c>
      <c r="C2512" s="113">
        <v>7031047</v>
      </c>
      <c r="D2512" s="113" t="s">
        <v>3093</v>
      </c>
      <c r="E2512" s="113" t="s">
        <v>1620</v>
      </c>
      <c r="F2512" s="113" t="s">
        <v>3093</v>
      </c>
      <c r="G2512" s="113" t="s">
        <v>3093</v>
      </c>
      <c r="H2512" s="161">
        <v>450</v>
      </c>
      <c r="I2512" s="161">
        <v>0</v>
      </c>
    </row>
    <row r="2513" spans="1:9">
      <c r="A2513" s="113">
        <v>100500102</v>
      </c>
      <c r="B2513" s="113" t="s">
        <v>5265</v>
      </c>
      <c r="C2513" s="113">
        <v>7031048</v>
      </c>
      <c r="D2513" s="113" t="s">
        <v>3093</v>
      </c>
      <c r="E2513" s="113" t="s">
        <v>1620</v>
      </c>
      <c r="F2513" s="113" t="s">
        <v>3093</v>
      </c>
      <c r="G2513" s="113" t="s">
        <v>3093</v>
      </c>
      <c r="H2513" s="161">
        <v>560</v>
      </c>
      <c r="I2513" s="161">
        <v>0</v>
      </c>
    </row>
    <row r="2514" spans="1:9">
      <c r="A2514" s="113">
        <v>100500103</v>
      </c>
      <c r="B2514" s="113" t="s">
        <v>5266</v>
      </c>
      <c r="C2514" s="113">
        <v>7031051</v>
      </c>
      <c r="D2514" s="113" t="s">
        <v>3093</v>
      </c>
      <c r="E2514" s="113" t="s">
        <v>1620</v>
      </c>
      <c r="F2514" s="113" t="s">
        <v>3093</v>
      </c>
      <c r="G2514" s="113" t="s">
        <v>3093</v>
      </c>
      <c r="H2514" s="161">
        <v>213.57</v>
      </c>
      <c r="I2514" s="161">
        <v>12</v>
      </c>
    </row>
    <row r="2515" spans="1:9">
      <c r="A2515" s="113">
        <v>100500104</v>
      </c>
      <c r="B2515" s="113" t="s">
        <v>5267</v>
      </c>
      <c r="C2515" s="113">
        <v>7031052</v>
      </c>
      <c r="D2515" s="113" t="s">
        <v>3093</v>
      </c>
      <c r="E2515" s="113" t="s">
        <v>1620</v>
      </c>
      <c r="F2515" s="113" t="s">
        <v>3093</v>
      </c>
      <c r="G2515" s="113" t="s">
        <v>3093</v>
      </c>
      <c r="H2515" s="161">
        <v>183.25</v>
      </c>
      <c r="I2515" s="161">
        <v>12</v>
      </c>
    </row>
    <row r="2516" spans="1:9">
      <c r="A2516" s="113">
        <v>100500105</v>
      </c>
      <c r="B2516" s="113" t="s">
        <v>5268</v>
      </c>
      <c r="C2516" s="113">
        <v>7031053</v>
      </c>
      <c r="D2516" s="113" t="s">
        <v>3093</v>
      </c>
      <c r="E2516" s="113" t="s">
        <v>1620</v>
      </c>
      <c r="F2516" s="113" t="s">
        <v>3093</v>
      </c>
      <c r="G2516" s="113" t="s">
        <v>3093</v>
      </c>
      <c r="H2516" s="161">
        <v>183.25</v>
      </c>
      <c r="I2516" s="161">
        <v>1</v>
      </c>
    </row>
    <row r="2517" spans="1:9">
      <c r="A2517" s="113">
        <v>100500106</v>
      </c>
      <c r="B2517" s="113" t="s">
        <v>5269</v>
      </c>
      <c r="C2517" s="113">
        <v>7031054</v>
      </c>
      <c r="D2517" s="113" t="s">
        <v>3093</v>
      </c>
      <c r="E2517" s="113" t="s">
        <v>1620</v>
      </c>
      <c r="F2517" s="113" t="s">
        <v>3093</v>
      </c>
      <c r="G2517" s="113" t="s">
        <v>3093</v>
      </c>
      <c r="H2517" s="161">
        <v>312.88</v>
      </c>
      <c r="I2517" s="161">
        <v>2</v>
      </c>
    </row>
    <row r="2518" spans="1:9">
      <c r="A2518" s="113">
        <v>100500107</v>
      </c>
      <c r="B2518" s="113" t="s">
        <v>5270</v>
      </c>
      <c r="C2518" s="113">
        <v>7031057</v>
      </c>
      <c r="D2518" s="113" t="s">
        <v>3093</v>
      </c>
      <c r="E2518" s="113" t="s">
        <v>1620</v>
      </c>
      <c r="F2518" s="113" t="s">
        <v>3093</v>
      </c>
      <c r="G2518" s="113" t="s">
        <v>3093</v>
      </c>
      <c r="H2518" s="161">
        <v>350</v>
      </c>
      <c r="I2518" s="161">
        <v>0</v>
      </c>
    </row>
    <row r="2519" spans="1:9">
      <c r="A2519" s="113">
        <v>100500108</v>
      </c>
      <c r="B2519" s="113" t="s">
        <v>5271</v>
      </c>
      <c r="C2519" s="113">
        <v>7031058</v>
      </c>
      <c r="D2519" s="113" t="s">
        <v>3093</v>
      </c>
      <c r="E2519" s="113" t="s">
        <v>1620</v>
      </c>
      <c r="F2519" s="113" t="s">
        <v>3093</v>
      </c>
      <c r="G2519" s="113" t="s">
        <v>3093</v>
      </c>
      <c r="H2519" s="161">
        <v>275</v>
      </c>
      <c r="I2519" s="161">
        <v>0</v>
      </c>
    </row>
    <row r="2520" spans="1:9">
      <c r="A2520" s="113">
        <v>100500109</v>
      </c>
      <c r="B2520" s="113" t="s">
        <v>5272</v>
      </c>
      <c r="C2520" s="113">
        <v>7031068</v>
      </c>
      <c r="D2520" s="113" t="s">
        <v>3093</v>
      </c>
      <c r="E2520" s="113" t="s">
        <v>1620</v>
      </c>
      <c r="F2520" s="113" t="s">
        <v>3093</v>
      </c>
      <c r="G2520" s="113" t="s">
        <v>3093</v>
      </c>
      <c r="H2520" s="161">
        <v>494.94</v>
      </c>
      <c r="I2520" s="161">
        <v>2</v>
      </c>
    </row>
    <row r="2521" spans="1:9">
      <c r="A2521" s="113">
        <v>100500110</v>
      </c>
      <c r="B2521" s="113" t="s">
        <v>5273</v>
      </c>
      <c r="C2521" s="113">
        <v>7031069</v>
      </c>
      <c r="D2521" s="113" t="s">
        <v>3093</v>
      </c>
      <c r="E2521" s="113" t="s">
        <v>1620</v>
      </c>
      <c r="F2521" s="113" t="s">
        <v>3093</v>
      </c>
      <c r="G2521" s="113" t="s">
        <v>3093</v>
      </c>
      <c r="H2521" s="161">
        <v>378</v>
      </c>
      <c r="I2521" s="161">
        <v>54</v>
      </c>
    </row>
    <row r="2522" spans="1:9">
      <c r="A2522" s="113">
        <v>100500111</v>
      </c>
      <c r="B2522" s="113" t="s">
        <v>5274</v>
      </c>
      <c r="C2522" s="113">
        <v>7031070</v>
      </c>
      <c r="D2522" s="113" t="s">
        <v>3093</v>
      </c>
      <c r="E2522" s="113" t="s">
        <v>1620</v>
      </c>
      <c r="F2522" s="113" t="s">
        <v>3093</v>
      </c>
      <c r="G2522" s="113" t="s">
        <v>3093</v>
      </c>
      <c r="H2522" s="161">
        <v>280</v>
      </c>
      <c r="I2522" s="161">
        <v>50</v>
      </c>
    </row>
    <row r="2523" spans="1:9">
      <c r="A2523" s="113">
        <v>100500112</v>
      </c>
      <c r="B2523" s="113" t="s">
        <v>5275</v>
      </c>
      <c r="C2523" s="113">
        <v>7031071</v>
      </c>
      <c r="D2523" s="113" t="s">
        <v>3093</v>
      </c>
      <c r="E2523" s="113" t="s">
        <v>1620</v>
      </c>
      <c r="F2523" s="113" t="s">
        <v>3093</v>
      </c>
      <c r="G2523" s="113" t="s">
        <v>3093</v>
      </c>
      <c r="H2523" s="161">
        <v>825.84</v>
      </c>
      <c r="I2523" s="161">
        <v>0</v>
      </c>
    </row>
    <row r="2524" spans="1:9">
      <c r="A2524" s="113">
        <v>100500113</v>
      </c>
      <c r="B2524" s="113" t="s">
        <v>5276</v>
      </c>
      <c r="C2524" s="113">
        <v>7031073</v>
      </c>
      <c r="D2524" s="113" t="s">
        <v>3093</v>
      </c>
      <c r="E2524" s="113" t="s">
        <v>1620</v>
      </c>
      <c r="F2524" s="113" t="s">
        <v>3093</v>
      </c>
      <c r="G2524" s="113" t="s">
        <v>3093</v>
      </c>
      <c r="H2524" s="161">
        <v>0</v>
      </c>
      <c r="I2524" s="161" t="s">
        <v>7138</v>
      </c>
    </row>
    <row r="2525" spans="1:9">
      <c r="A2525" s="113">
        <v>100500114</v>
      </c>
      <c r="B2525" s="113" t="s">
        <v>5277</v>
      </c>
      <c r="C2525" s="113">
        <v>7031074</v>
      </c>
      <c r="D2525" s="113" t="s">
        <v>3093</v>
      </c>
      <c r="E2525" s="113" t="s">
        <v>1620</v>
      </c>
      <c r="F2525" s="113" t="s">
        <v>3093</v>
      </c>
      <c r="G2525" s="113" t="s">
        <v>3093</v>
      </c>
      <c r="H2525" s="161">
        <v>1703.31</v>
      </c>
      <c r="I2525" s="161">
        <v>0</v>
      </c>
    </row>
    <row r="2526" spans="1:9">
      <c r="A2526" s="113">
        <v>100500115</v>
      </c>
      <c r="B2526" s="113" t="s">
        <v>5278</v>
      </c>
      <c r="C2526" s="113">
        <v>7031079</v>
      </c>
      <c r="D2526" s="113" t="s">
        <v>3093</v>
      </c>
      <c r="E2526" s="113" t="s">
        <v>1620</v>
      </c>
      <c r="F2526" s="113" t="s">
        <v>3093</v>
      </c>
      <c r="G2526" s="113" t="s">
        <v>3093</v>
      </c>
      <c r="H2526" s="161">
        <v>1078</v>
      </c>
      <c r="I2526" s="161">
        <v>6</v>
      </c>
    </row>
    <row r="2527" spans="1:9">
      <c r="A2527" s="113">
        <v>100500116</v>
      </c>
      <c r="B2527" s="113" t="s">
        <v>5279</v>
      </c>
      <c r="C2527" s="113">
        <v>7033022</v>
      </c>
      <c r="D2527" s="113" t="s">
        <v>3093</v>
      </c>
      <c r="E2527" s="113" t="s">
        <v>1620</v>
      </c>
      <c r="F2527" s="113" t="s">
        <v>3093</v>
      </c>
      <c r="G2527" s="113" t="s">
        <v>3093</v>
      </c>
      <c r="H2527" s="161">
        <v>1078</v>
      </c>
      <c r="I2527" s="161">
        <v>5</v>
      </c>
    </row>
    <row r="2528" spans="1:9">
      <c r="A2528" s="113">
        <v>100500117</v>
      </c>
      <c r="B2528" s="113" t="s">
        <v>5280</v>
      </c>
      <c r="C2528" s="113">
        <v>7033023</v>
      </c>
      <c r="D2528" s="113" t="s">
        <v>3093</v>
      </c>
      <c r="E2528" s="113" t="s">
        <v>1620</v>
      </c>
      <c r="F2528" s="113" t="s">
        <v>3093</v>
      </c>
      <c r="G2528" s="113" t="s">
        <v>3093</v>
      </c>
      <c r="H2528" s="161">
        <v>1500</v>
      </c>
      <c r="I2528" s="161">
        <v>8</v>
      </c>
    </row>
    <row r="2529" spans="1:9">
      <c r="A2529" s="113">
        <v>100500118</v>
      </c>
      <c r="B2529" s="113" t="s">
        <v>5281</v>
      </c>
      <c r="C2529" s="113">
        <v>7033024</v>
      </c>
      <c r="D2529" s="113" t="s">
        <v>3093</v>
      </c>
      <c r="E2529" s="113" t="s">
        <v>1620</v>
      </c>
      <c r="F2529" s="113" t="s">
        <v>3093</v>
      </c>
      <c r="G2529" s="113" t="s">
        <v>3093</v>
      </c>
      <c r="H2529" s="161">
        <v>1500</v>
      </c>
      <c r="I2529" s="161">
        <v>10</v>
      </c>
    </row>
    <row r="2530" spans="1:9">
      <c r="A2530" s="113">
        <v>100500119</v>
      </c>
      <c r="B2530" s="113" t="s">
        <v>5282</v>
      </c>
      <c r="C2530" s="113">
        <v>7033025</v>
      </c>
      <c r="D2530" s="113" t="s">
        <v>3093</v>
      </c>
      <c r="E2530" s="113" t="s">
        <v>1620</v>
      </c>
      <c r="F2530" s="113" t="s">
        <v>3093</v>
      </c>
      <c r="G2530" s="113" t="s">
        <v>3093</v>
      </c>
      <c r="H2530" s="161">
        <v>4</v>
      </c>
      <c r="I2530" s="161">
        <v>24</v>
      </c>
    </row>
    <row r="2531" spans="1:9">
      <c r="A2531" s="113">
        <v>100500120</v>
      </c>
      <c r="B2531" s="113" t="s">
        <v>5283</v>
      </c>
      <c r="C2531" s="113">
        <v>7033026</v>
      </c>
      <c r="D2531" s="113" t="s">
        <v>3093</v>
      </c>
      <c r="E2531" s="113" t="s">
        <v>1620</v>
      </c>
      <c r="F2531" s="113" t="s">
        <v>3093</v>
      </c>
      <c r="G2531" s="113" t="s">
        <v>3093</v>
      </c>
      <c r="H2531" s="161">
        <v>4</v>
      </c>
      <c r="I2531" s="161">
        <v>24</v>
      </c>
    </row>
    <row r="2532" spans="1:9">
      <c r="A2532" s="113">
        <v>100500121</v>
      </c>
      <c r="B2532" s="113" t="s">
        <v>5284</v>
      </c>
      <c r="C2532" s="113">
        <v>7033027</v>
      </c>
      <c r="D2532" s="113" t="s">
        <v>3093</v>
      </c>
      <c r="E2532" s="113" t="s">
        <v>1620</v>
      </c>
      <c r="F2532" s="113" t="s">
        <v>3093</v>
      </c>
      <c r="G2532" s="113" t="s">
        <v>3093</v>
      </c>
      <c r="H2532" s="161">
        <v>145</v>
      </c>
      <c r="I2532" s="161">
        <v>0</v>
      </c>
    </row>
    <row r="2533" spans="1:9">
      <c r="A2533" s="113">
        <v>100500122</v>
      </c>
      <c r="B2533" s="113" t="s">
        <v>5285</v>
      </c>
      <c r="C2533" s="113">
        <v>7033037</v>
      </c>
      <c r="D2533" s="113" t="s">
        <v>3093</v>
      </c>
      <c r="E2533" s="113" t="s">
        <v>1620</v>
      </c>
      <c r="F2533" s="113" t="s">
        <v>3093</v>
      </c>
      <c r="G2533" s="113" t="s">
        <v>3093</v>
      </c>
      <c r="H2533" s="161">
        <v>0</v>
      </c>
      <c r="I2533" s="161" t="s">
        <v>7138</v>
      </c>
    </row>
    <row r="2534" spans="1:9">
      <c r="A2534" s="113">
        <v>100500123</v>
      </c>
      <c r="B2534" s="113" t="s">
        <v>5286</v>
      </c>
      <c r="C2534" s="113">
        <v>7033038</v>
      </c>
      <c r="D2534" s="113" t="s">
        <v>3093</v>
      </c>
      <c r="E2534" s="113" t="s">
        <v>1620</v>
      </c>
      <c r="F2534" s="113" t="s">
        <v>3093</v>
      </c>
      <c r="G2534" s="113" t="s">
        <v>3093</v>
      </c>
      <c r="H2534" s="161">
        <v>325</v>
      </c>
      <c r="I2534" s="161">
        <v>25</v>
      </c>
    </row>
    <row r="2535" spans="1:9">
      <c r="A2535" s="113">
        <v>100500124</v>
      </c>
      <c r="B2535" s="113" t="s">
        <v>5287</v>
      </c>
      <c r="C2535" s="113">
        <v>7033040</v>
      </c>
      <c r="D2535" s="113" t="s">
        <v>3093</v>
      </c>
      <c r="E2535" s="113" t="s">
        <v>1620</v>
      </c>
      <c r="F2535" s="113" t="s">
        <v>3093</v>
      </c>
      <c r="G2535" s="113" t="s">
        <v>3093</v>
      </c>
      <c r="H2535" s="161">
        <v>155</v>
      </c>
      <c r="I2535" s="161">
        <v>3</v>
      </c>
    </row>
    <row r="2536" spans="1:9">
      <c r="A2536" s="113">
        <v>100500125</v>
      </c>
      <c r="B2536" s="113" t="s">
        <v>5288</v>
      </c>
      <c r="C2536" s="113">
        <v>7033041</v>
      </c>
      <c r="D2536" s="113" t="s">
        <v>3093</v>
      </c>
      <c r="E2536" s="113" t="s">
        <v>1620</v>
      </c>
      <c r="F2536" s="113" t="s">
        <v>3093</v>
      </c>
      <c r="G2536" s="113" t="s">
        <v>3093</v>
      </c>
      <c r="H2536" s="161">
        <v>145</v>
      </c>
      <c r="I2536" s="161">
        <v>0</v>
      </c>
    </row>
    <row r="2537" spans="1:9">
      <c r="A2537" s="113">
        <v>100500126</v>
      </c>
      <c r="B2537" s="113" t="s">
        <v>5289</v>
      </c>
      <c r="C2537" s="113">
        <v>7033042</v>
      </c>
      <c r="D2537" s="113" t="s">
        <v>3093</v>
      </c>
      <c r="E2537" s="113" t="s">
        <v>1620</v>
      </c>
      <c r="F2537" s="113" t="s">
        <v>3093</v>
      </c>
      <c r="G2537" s="113" t="s">
        <v>3093</v>
      </c>
      <c r="H2537" s="161">
        <v>39.549999999999997</v>
      </c>
      <c r="I2537" s="161" t="s">
        <v>7138</v>
      </c>
    </row>
    <row r="2538" spans="1:9">
      <c r="A2538" s="113">
        <v>100500127</v>
      </c>
      <c r="B2538" s="113" t="s">
        <v>5290</v>
      </c>
      <c r="C2538" s="113">
        <v>7033043</v>
      </c>
      <c r="D2538" s="113" t="s">
        <v>3093</v>
      </c>
      <c r="E2538" s="113" t="s">
        <v>1620</v>
      </c>
      <c r="F2538" s="113" t="s">
        <v>3093</v>
      </c>
      <c r="G2538" s="113" t="s">
        <v>3093</v>
      </c>
      <c r="H2538" s="161">
        <v>420</v>
      </c>
      <c r="I2538" s="161">
        <v>0</v>
      </c>
    </row>
    <row r="2539" spans="1:9">
      <c r="A2539" s="113">
        <v>100500128</v>
      </c>
      <c r="B2539" s="113" t="s">
        <v>5291</v>
      </c>
      <c r="C2539" s="113">
        <v>7033044</v>
      </c>
      <c r="D2539" s="113" t="s">
        <v>3093</v>
      </c>
      <c r="E2539" s="113" t="s">
        <v>1620</v>
      </c>
      <c r="F2539" s="113" t="s">
        <v>3093</v>
      </c>
      <c r="G2539" s="113" t="s">
        <v>3093</v>
      </c>
      <c r="H2539" s="161">
        <v>295</v>
      </c>
      <c r="I2539" s="161">
        <v>0</v>
      </c>
    </row>
    <row r="2540" spans="1:9">
      <c r="A2540" s="113">
        <v>100500129</v>
      </c>
      <c r="B2540" s="113" t="s">
        <v>5292</v>
      </c>
      <c r="C2540" s="113">
        <v>7033046</v>
      </c>
      <c r="D2540" s="113" t="s">
        <v>3093</v>
      </c>
      <c r="E2540" s="113" t="s">
        <v>1620</v>
      </c>
      <c r="F2540" s="113" t="s">
        <v>3093</v>
      </c>
      <c r="G2540" s="113" t="s">
        <v>3093</v>
      </c>
      <c r="H2540" s="161">
        <v>198</v>
      </c>
      <c r="I2540" s="161">
        <v>197</v>
      </c>
    </row>
    <row r="2541" spans="1:9">
      <c r="A2541" s="113">
        <v>100500130</v>
      </c>
      <c r="B2541" s="113" t="s">
        <v>5293</v>
      </c>
      <c r="C2541" s="113">
        <v>7033047</v>
      </c>
      <c r="D2541" s="113" t="s">
        <v>3093</v>
      </c>
      <c r="E2541" s="113" t="s">
        <v>1620</v>
      </c>
      <c r="F2541" s="113" t="s">
        <v>3093</v>
      </c>
      <c r="G2541" s="113" t="s">
        <v>3093</v>
      </c>
      <c r="H2541" s="161">
        <v>570</v>
      </c>
      <c r="I2541" s="161">
        <v>24</v>
      </c>
    </row>
    <row r="2542" spans="1:9">
      <c r="A2542" s="113">
        <v>100500131</v>
      </c>
      <c r="B2542" s="113" t="s">
        <v>5294</v>
      </c>
      <c r="C2542" s="113">
        <v>7033048</v>
      </c>
      <c r="D2542" s="113" t="s">
        <v>3093</v>
      </c>
      <c r="E2542" s="113" t="s">
        <v>1620</v>
      </c>
      <c r="F2542" s="113" t="s">
        <v>3093</v>
      </c>
      <c r="G2542" s="113" t="s">
        <v>3093</v>
      </c>
      <c r="H2542" s="161">
        <v>159.97710000000001</v>
      </c>
      <c r="I2542" s="161">
        <v>8</v>
      </c>
    </row>
    <row r="2543" spans="1:9">
      <c r="A2543" s="113">
        <v>100500132</v>
      </c>
      <c r="B2543" s="113" t="s">
        <v>5295</v>
      </c>
      <c r="C2543" s="113">
        <v>7033049</v>
      </c>
      <c r="D2543" s="113" t="s">
        <v>3093</v>
      </c>
      <c r="E2543" s="113" t="s">
        <v>1620</v>
      </c>
      <c r="F2543" s="113" t="s">
        <v>3093</v>
      </c>
      <c r="G2543" s="113" t="s">
        <v>3093</v>
      </c>
      <c r="H2543" s="161">
        <v>120</v>
      </c>
      <c r="I2543" s="161">
        <v>0</v>
      </c>
    </row>
    <row r="2544" spans="1:9">
      <c r="A2544" s="113">
        <v>100500133</v>
      </c>
      <c r="B2544" s="113" t="s">
        <v>5296</v>
      </c>
      <c r="C2544" s="113">
        <v>7033050</v>
      </c>
      <c r="D2544" s="113" t="s">
        <v>3093</v>
      </c>
      <c r="E2544" s="113" t="s">
        <v>1620</v>
      </c>
      <c r="F2544" s="113" t="s">
        <v>3093</v>
      </c>
      <c r="G2544" s="113" t="s">
        <v>3093</v>
      </c>
      <c r="H2544" s="161">
        <v>700</v>
      </c>
      <c r="I2544" s="161">
        <v>5</v>
      </c>
    </row>
    <row r="2545" spans="1:9">
      <c r="A2545" s="113">
        <v>100500134</v>
      </c>
      <c r="B2545" s="113" t="s">
        <v>5297</v>
      </c>
      <c r="C2545" s="113">
        <v>7033051</v>
      </c>
      <c r="D2545" s="113" t="s">
        <v>3093</v>
      </c>
      <c r="E2545" s="113" t="s">
        <v>1620</v>
      </c>
      <c r="F2545" s="113" t="s">
        <v>3093</v>
      </c>
      <c r="G2545" s="113" t="s">
        <v>3093</v>
      </c>
      <c r="H2545" s="161">
        <v>0</v>
      </c>
      <c r="I2545" s="161" t="s">
        <v>7138</v>
      </c>
    </row>
    <row r="2546" spans="1:9">
      <c r="A2546" s="113">
        <v>100500135</v>
      </c>
      <c r="B2546" s="113" t="s">
        <v>5298</v>
      </c>
      <c r="C2546" s="113">
        <v>7033054</v>
      </c>
      <c r="D2546" s="113" t="s">
        <v>3093</v>
      </c>
      <c r="E2546" s="113" t="s">
        <v>1620</v>
      </c>
      <c r="F2546" s="113" t="s">
        <v>3093</v>
      </c>
      <c r="G2546" s="113" t="s">
        <v>3093</v>
      </c>
      <c r="H2546" s="161">
        <v>50.35</v>
      </c>
      <c r="I2546" s="161">
        <v>0</v>
      </c>
    </row>
    <row r="2547" spans="1:9">
      <c r="A2547" s="113">
        <v>100500136</v>
      </c>
      <c r="B2547" s="113" t="s">
        <v>5299</v>
      </c>
      <c r="C2547" s="113">
        <v>7033055</v>
      </c>
      <c r="D2547" s="113" t="s">
        <v>3093</v>
      </c>
      <c r="E2547" s="113" t="s">
        <v>1620</v>
      </c>
      <c r="F2547" s="113" t="s">
        <v>3093</v>
      </c>
      <c r="G2547" s="113" t="s">
        <v>3093</v>
      </c>
      <c r="H2547" s="161">
        <v>50.35</v>
      </c>
      <c r="I2547" s="161">
        <v>0</v>
      </c>
    </row>
    <row r="2548" spans="1:9">
      <c r="A2548" s="113">
        <v>100500137</v>
      </c>
      <c r="B2548" s="113" t="s">
        <v>5300</v>
      </c>
      <c r="C2548" s="113">
        <v>7033056</v>
      </c>
      <c r="D2548" s="113" t="s">
        <v>3093</v>
      </c>
      <c r="E2548" s="113" t="s">
        <v>1620</v>
      </c>
      <c r="F2548" s="113" t="s">
        <v>3093</v>
      </c>
      <c r="G2548" s="113" t="s">
        <v>3093</v>
      </c>
      <c r="H2548" s="161">
        <v>10.25</v>
      </c>
      <c r="I2548" s="161">
        <v>0</v>
      </c>
    </row>
    <row r="2549" spans="1:9">
      <c r="A2549" s="113">
        <v>100500138</v>
      </c>
      <c r="B2549" s="113" t="s">
        <v>5301</v>
      </c>
      <c r="C2549" s="113">
        <v>7033057</v>
      </c>
      <c r="D2549" s="113" t="s">
        <v>3093</v>
      </c>
      <c r="E2549" s="113" t="s">
        <v>1620</v>
      </c>
      <c r="F2549" s="113" t="s">
        <v>3093</v>
      </c>
      <c r="G2549" s="113" t="s">
        <v>3093</v>
      </c>
      <c r="H2549" s="161">
        <v>0</v>
      </c>
      <c r="I2549" s="161" t="s">
        <v>7138</v>
      </c>
    </row>
    <row r="2550" spans="1:9">
      <c r="A2550" s="113">
        <v>100500139</v>
      </c>
      <c r="B2550" s="113" t="s">
        <v>5302</v>
      </c>
      <c r="C2550" s="113">
        <v>7033058</v>
      </c>
      <c r="D2550" s="113" t="s">
        <v>3093</v>
      </c>
      <c r="E2550" s="113" t="s">
        <v>1620</v>
      </c>
      <c r="F2550" s="113" t="s">
        <v>3093</v>
      </c>
      <c r="G2550" s="113" t="s">
        <v>3093</v>
      </c>
      <c r="H2550" s="161">
        <v>385</v>
      </c>
      <c r="I2550" s="161">
        <v>20</v>
      </c>
    </row>
    <row r="2551" spans="1:9">
      <c r="A2551" s="113">
        <v>100500140</v>
      </c>
      <c r="B2551" s="113" t="s">
        <v>5303</v>
      </c>
      <c r="C2551" s="113">
        <v>7033060</v>
      </c>
      <c r="D2551" s="113" t="s">
        <v>3093</v>
      </c>
      <c r="E2551" s="113" t="s">
        <v>1620</v>
      </c>
      <c r="F2551" s="113" t="s">
        <v>3093</v>
      </c>
      <c r="G2551" s="113" t="s">
        <v>3093</v>
      </c>
      <c r="H2551" s="161">
        <v>50.35</v>
      </c>
      <c r="I2551" s="161">
        <v>0</v>
      </c>
    </row>
    <row r="2552" spans="1:9">
      <c r="A2552" s="113">
        <v>100500141</v>
      </c>
      <c r="B2552" s="113" t="s">
        <v>5304</v>
      </c>
      <c r="C2552" s="113">
        <v>7033061</v>
      </c>
      <c r="D2552" s="113" t="s">
        <v>3093</v>
      </c>
      <c r="E2552" s="113" t="s">
        <v>1620</v>
      </c>
      <c r="F2552" s="113" t="s">
        <v>3093</v>
      </c>
      <c r="G2552" s="113" t="s">
        <v>3093</v>
      </c>
      <c r="H2552" s="161">
        <v>177</v>
      </c>
      <c r="I2552" s="161">
        <v>80</v>
      </c>
    </row>
    <row r="2553" spans="1:9">
      <c r="A2553" s="113">
        <v>100500142</v>
      </c>
      <c r="B2553" s="113" t="s">
        <v>5305</v>
      </c>
      <c r="C2553" s="113">
        <v>7033062</v>
      </c>
      <c r="D2553" s="113" t="s">
        <v>3093</v>
      </c>
      <c r="E2553" s="113" t="s">
        <v>1620</v>
      </c>
      <c r="F2553" s="113" t="s">
        <v>3093</v>
      </c>
      <c r="G2553" s="113" t="s">
        <v>3093</v>
      </c>
      <c r="H2553" s="161">
        <v>177</v>
      </c>
      <c r="I2553" s="161">
        <v>7</v>
      </c>
    </row>
    <row r="2554" spans="1:9">
      <c r="A2554" s="113">
        <v>100500143</v>
      </c>
      <c r="B2554" s="113" t="s">
        <v>5306</v>
      </c>
      <c r="C2554" s="113">
        <v>7033064</v>
      </c>
      <c r="D2554" s="113" t="s">
        <v>3093</v>
      </c>
      <c r="E2554" s="113" t="s">
        <v>1620</v>
      </c>
      <c r="F2554" s="113" t="s">
        <v>3093</v>
      </c>
      <c r="G2554" s="113" t="s">
        <v>3093</v>
      </c>
      <c r="H2554" s="161">
        <v>179</v>
      </c>
      <c r="I2554" s="161">
        <v>0</v>
      </c>
    </row>
    <row r="2555" spans="1:9">
      <c r="A2555" s="113">
        <v>100500144</v>
      </c>
      <c r="B2555" s="113" t="s">
        <v>5307</v>
      </c>
      <c r="C2555" s="113">
        <v>7033065</v>
      </c>
      <c r="D2555" s="113" t="s">
        <v>3093</v>
      </c>
      <c r="E2555" s="113" t="s">
        <v>1620</v>
      </c>
      <c r="F2555" s="113" t="s">
        <v>3093</v>
      </c>
      <c r="G2555" s="113" t="s">
        <v>3093</v>
      </c>
      <c r="H2555" s="161">
        <v>175</v>
      </c>
      <c r="I2555" s="161">
        <v>0</v>
      </c>
    </row>
    <row r="2556" spans="1:9">
      <c r="A2556" s="113">
        <v>100500145</v>
      </c>
      <c r="B2556" s="113" t="s">
        <v>5308</v>
      </c>
      <c r="C2556" s="113">
        <v>7033066</v>
      </c>
      <c r="D2556" s="113" t="s">
        <v>3093</v>
      </c>
      <c r="E2556" s="113" t="s">
        <v>1620</v>
      </c>
      <c r="F2556" s="113" t="s">
        <v>3093</v>
      </c>
      <c r="G2556" s="113" t="s">
        <v>3093</v>
      </c>
      <c r="H2556" s="161">
        <v>135</v>
      </c>
      <c r="I2556" s="161">
        <v>0</v>
      </c>
    </row>
    <row r="2557" spans="1:9">
      <c r="A2557" s="113">
        <v>100500146</v>
      </c>
      <c r="B2557" s="113" t="s">
        <v>5309</v>
      </c>
      <c r="C2557" s="113">
        <v>7033067</v>
      </c>
      <c r="D2557" s="113" t="s">
        <v>3093</v>
      </c>
      <c r="E2557" s="113" t="s">
        <v>1620</v>
      </c>
      <c r="F2557" s="113" t="s">
        <v>3093</v>
      </c>
      <c r="G2557" s="113" t="s">
        <v>3093</v>
      </c>
      <c r="H2557" s="161">
        <v>180</v>
      </c>
      <c r="I2557" s="161">
        <v>0</v>
      </c>
    </row>
    <row r="2558" spans="1:9">
      <c r="A2558" s="113">
        <v>100500147</v>
      </c>
      <c r="B2558" s="113" t="s">
        <v>5310</v>
      </c>
      <c r="C2558" s="113">
        <v>7033068</v>
      </c>
      <c r="D2558" s="113" t="s">
        <v>3093</v>
      </c>
      <c r="E2558" s="113" t="s">
        <v>1620</v>
      </c>
      <c r="F2558" s="113" t="s">
        <v>3093</v>
      </c>
      <c r="G2558" s="113" t="s">
        <v>3093</v>
      </c>
      <c r="H2558" s="161">
        <v>150</v>
      </c>
      <c r="I2558" s="161">
        <v>0</v>
      </c>
    </row>
    <row r="2559" spans="1:9">
      <c r="A2559" s="113">
        <v>100500148</v>
      </c>
      <c r="B2559" s="113" t="s">
        <v>5311</v>
      </c>
      <c r="C2559" s="113">
        <v>7033069</v>
      </c>
      <c r="D2559" s="113" t="s">
        <v>3093</v>
      </c>
      <c r="E2559" s="113" t="s">
        <v>1620</v>
      </c>
      <c r="F2559" s="113" t="s">
        <v>3093</v>
      </c>
      <c r="G2559" s="113" t="s">
        <v>3093</v>
      </c>
      <c r="H2559" s="161">
        <v>47.5</v>
      </c>
      <c r="I2559" s="161">
        <v>48</v>
      </c>
    </row>
    <row r="2560" spans="1:9">
      <c r="A2560" s="113">
        <v>100500149</v>
      </c>
      <c r="B2560" s="113" t="s">
        <v>5312</v>
      </c>
      <c r="C2560" s="113">
        <v>7033072</v>
      </c>
      <c r="D2560" s="113" t="s">
        <v>3093</v>
      </c>
      <c r="E2560" s="113" t="s">
        <v>1620</v>
      </c>
      <c r="F2560" s="113" t="s">
        <v>3093</v>
      </c>
      <c r="G2560" s="113" t="s">
        <v>3093</v>
      </c>
      <c r="H2560" s="161">
        <v>41</v>
      </c>
      <c r="I2560" s="161">
        <v>0</v>
      </c>
    </row>
    <row r="2561" spans="1:9">
      <c r="A2561" s="113">
        <v>100500150</v>
      </c>
      <c r="B2561" s="113" t="s">
        <v>5313</v>
      </c>
      <c r="C2561" s="113">
        <v>7033073</v>
      </c>
      <c r="D2561" s="113" t="s">
        <v>3093</v>
      </c>
      <c r="E2561" s="113" t="s">
        <v>1620</v>
      </c>
      <c r="F2561" s="113" t="s">
        <v>3093</v>
      </c>
      <c r="G2561" s="113" t="s">
        <v>3093</v>
      </c>
      <c r="H2561" s="161">
        <v>169</v>
      </c>
      <c r="I2561" s="161">
        <v>8</v>
      </c>
    </row>
    <row r="2562" spans="1:9">
      <c r="A2562" s="113">
        <v>100500151</v>
      </c>
      <c r="B2562" s="113" t="s">
        <v>5314</v>
      </c>
      <c r="C2562" s="113">
        <v>7033074</v>
      </c>
      <c r="D2562" s="113" t="s">
        <v>3093</v>
      </c>
      <c r="E2562" s="113" t="s">
        <v>1620</v>
      </c>
      <c r="F2562" s="113" t="s">
        <v>3093</v>
      </c>
      <c r="G2562" s="113" t="s">
        <v>3093</v>
      </c>
      <c r="H2562" s="161">
        <v>434.59649999999999</v>
      </c>
      <c r="I2562" s="161">
        <v>0</v>
      </c>
    </row>
    <row r="2563" spans="1:9">
      <c r="A2563" s="113">
        <v>100500152</v>
      </c>
      <c r="B2563" s="113" t="s">
        <v>5315</v>
      </c>
      <c r="C2563" s="113">
        <v>7033075</v>
      </c>
      <c r="D2563" s="113" t="s">
        <v>3093</v>
      </c>
      <c r="E2563" s="113" t="s">
        <v>1620</v>
      </c>
      <c r="F2563" s="113" t="s">
        <v>3093</v>
      </c>
      <c r="G2563" s="113" t="s">
        <v>3093</v>
      </c>
      <c r="H2563" s="161">
        <v>100.81480000000001</v>
      </c>
      <c r="I2563" s="161">
        <v>0</v>
      </c>
    </row>
    <row r="2564" spans="1:9">
      <c r="A2564" s="113">
        <v>100500153</v>
      </c>
      <c r="B2564" s="113" t="s">
        <v>2994</v>
      </c>
      <c r="C2564" s="113">
        <v>7033076</v>
      </c>
      <c r="D2564" s="113" t="s">
        <v>3093</v>
      </c>
      <c r="E2564" s="113" t="s">
        <v>1620</v>
      </c>
      <c r="F2564" s="113" t="s">
        <v>3093</v>
      </c>
      <c r="G2564" s="113" t="s">
        <v>3093</v>
      </c>
      <c r="H2564" s="161">
        <v>30</v>
      </c>
      <c r="I2564" s="161">
        <v>0</v>
      </c>
    </row>
    <row r="2565" spans="1:9">
      <c r="A2565" s="113">
        <v>100500154</v>
      </c>
      <c r="B2565" s="113" t="s">
        <v>5316</v>
      </c>
      <c r="C2565" s="113">
        <v>7033077</v>
      </c>
      <c r="D2565" s="113" t="s">
        <v>3093</v>
      </c>
      <c r="E2565" s="113" t="s">
        <v>1620</v>
      </c>
      <c r="F2565" s="113" t="s">
        <v>3093</v>
      </c>
      <c r="G2565" s="113" t="s">
        <v>3093</v>
      </c>
      <c r="H2565" s="161">
        <v>439</v>
      </c>
      <c r="I2565" s="161">
        <v>0</v>
      </c>
    </row>
    <row r="2566" spans="1:9">
      <c r="A2566" s="113">
        <v>100500155</v>
      </c>
      <c r="B2566" s="113" t="s">
        <v>5317</v>
      </c>
      <c r="C2566" s="113">
        <v>7033078</v>
      </c>
      <c r="D2566" s="113" t="s">
        <v>3093</v>
      </c>
      <c r="E2566" s="113" t="s">
        <v>1620</v>
      </c>
      <c r="F2566" s="113" t="s">
        <v>3093</v>
      </c>
      <c r="G2566" s="113" t="s">
        <v>3093</v>
      </c>
      <c r="H2566" s="161">
        <v>24</v>
      </c>
      <c r="I2566" s="161">
        <v>6</v>
      </c>
    </row>
    <row r="2567" spans="1:9">
      <c r="A2567" s="113">
        <v>100500156</v>
      </c>
      <c r="B2567" s="113" t="s">
        <v>5318</v>
      </c>
      <c r="C2567" s="113">
        <v>7033079</v>
      </c>
      <c r="D2567" s="113" t="s">
        <v>3093</v>
      </c>
      <c r="E2567" s="113" t="s">
        <v>1620</v>
      </c>
      <c r="F2567" s="113" t="s">
        <v>3093</v>
      </c>
      <c r="G2567" s="113" t="s">
        <v>3093</v>
      </c>
      <c r="H2567" s="161">
        <v>0</v>
      </c>
      <c r="I2567" s="161" t="s">
        <v>7138</v>
      </c>
    </row>
    <row r="2568" spans="1:9">
      <c r="A2568" s="113">
        <v>100500157</v>
      </c>
      <c r="B2568" s="113" t="s">
        <v>5319</v>
      </c>
      <c r="C2568" s="113">
        <v>7033080</v>
      </c>
      <c r="D2568" s="113" t="s">
        <v>3093</v>
      </c>
      <c r="E2568" s="113" t="s">
        <v>1620</v>
      </c>
      <c r="F2568" s="113" t="s">
        <v>3093</v>
      </c>
      <c r="G2568" s="113" t="s">
        <v>3093</v>
      </c>
      <c r="H2568" s="161">
        <v>40</v>
      </c>
      <c r="I2568" s="161">
        <v>3</v>
      </c>
    </row>
    <row r="2569" spans="1:9">
      <c r="A2569" s="113">
        <v>100500158</v>
      </c>
      <c r="B2569" s="113" t="s">
        <v>5320</v>
      </c>
      <c r="C2569" s="113">
        <v>7033081</v>
      </c>
      <c r="D2569" s="113" t="s">
        <v>3093</v>
      </c>
      <c r="E2569" s="113" t="s">
        <v>1620</v>
      </c>
      <c r="F2569" s="113" t="s">
        <v>3093</v>
      </c>
      <c r="G2569" s="113" t="s">
        <v>3093</v>
      </c>
      <c r="H2569" s="161">
        <v>40</v>
      </c>
      <c r="I2569" s="161">
        <v>0</v>
      </c>
    </row>
    <row r="2570" spans="1:9">
      <c r="A2570" s="113">
        <v>100500159</v>
      </c>
      <c r="B2570" s="113" t="s">
        <v>5321</v>
      </c>
      <c r="C2570" s="113">
        <v>7033086</v>
      </c>
      <c r="D2570" s="113" t="s">
        <v>3093</v>
      </c>
      <c r="E2570" s="113" t="s">
        <v>1620</v>
      </c>
      <c r="F2570" s="113" t="s">
        <v>3093</v>
      </c>
      <c r="G2570" s="113" t="s">
        <v>3093</v>
      </c>
      <c r="H2570" s="161">
        <v>0</v>
      </c>
      <c r="I2570" s="161" t="s">
        <v>7138</v>
      </c>
    </row>
    <row r="2571" spans="1:9">
      <c r="A2571" s="113">
        <v>100500160</v>
      </c>
      <c r="B2571" s="113" t="s">
        <v>5322</v>
      </c>
      <c r="C2571" s="113">
        <v>7033087</v>
      </c>
      <c r="D2571" s="113" t="s">
        <v>3093</v>
      </c>
      <c r="E2571" s="113" t="s">
        <v>1620</v>
      </c>
      <c r="F2571" s="113" t="s">
        <v>3093</v>
      </c>
      <c r="G2571" s="113" t="s">
        <v>3093</v>
      </c>
      <c r="H2571" s="161">
        <v>618.67669999999998</v>
      </c>
      <c r="I2571" s="161">
        <v>0</v>
      </c>
    </row>
    <row r="2572" spans="1:9">
      <c r="A2572" s="113">
        <v>100500161</v>
      </c>
      <c r="B2572" s="113" t="s">
        <v>5323</v>
      </c>
      <c r="C2572" s="113">
        <v>7033088</v>
      </c>
      <c r="D2572" s="113" t="s">
        <v>3093</v>
      </c>
      <c r="E2572" s="113" t="s">
        <v>1620</v>
      </c>
      <c r="F2572" s="113" t="s">
        <v>3093</v>
      </c>
      <c r="G2572" s="113" t="s">
        <v>3093</v>
      </c>
      <c r="H2572" s="161">
        <v>1695</v>
      </c>
      <c r="I2572" s="161">
        <v>32</v>
      </c>
    </row>
    <row r="2573" spans="1:9">
      <c r="A2573" s="113">
        <v>100500162</v>
      </c>
      <c r="B2573" s="113" t="s">
        <v>5324</v>
      </c>
      <c r="C2573" s="113">
        <v>7033089</v>
      </c>
      <c r="D2573" s="113" t="s">
        <v>3093</v>
      </c>
      <c r="E2573" s="113" t="s">
        <v>1620</v>
      </c>
      <c r="F2573" s="113" t="s">
        <v>3093</v>
      </c>
      <c r="G2573" s="113" t="s">
        <v>3093</v>
      </c>
      <c r="H2573" s="161">
        <v>145</v>
      </c>
      <c r="I2573" s="161">
        <v>0</v>
      </c>
    </row>
    <row r="2574" spans="1:9">
      <c r="A2574" s="113">
        <v>100500163</v>
      </c>
      <c r="B2574" s="113" t="s">
        <v>5325</v>
      </c>
      <c r="C2574" s="113">
        <v>7033090</v>
      </c>
      <c r="D2574" s="113" t="s">
        <v>3093</v>
      </c>
      <c r="E2574" s="113" t="s">
        <v>1620</v>
      </c>
      <c r="F2574" s="113" t="s">
        <v>3093</v>
      </c>
      <c r="G2574" s="113" t="s">
        <v>3093</v>
      </c>
      <c r="H2574" s="161">
        <v>245</v>
      </c>
      <c r="I2574" s="161">
        <v>0</v>
      </c>
    </row>
    <row r="2575" spans="1:9">
      <c r="A2575" s="113">
        <v>100500164</v>
      </c>
      <c r="B2575" s="113" t="s">
        <v>5326</v>
      </c>
      <c r="C2575" s="113">
        <v>7033100</v>
      </c>
      <c r="D2575" s="113" t="s">
        <v>3093</v>
      </c>
      <c r="E2575" s="113" t="s">
        <v>1620</v>
      </c>
      <c r="F2575" s="113" t="s">
        <v>3093</v>
      </c>
      <c r="G2575" s="113" t="s">
        <v>3093</v>
      </c>
      <c r="H2575" s="161">
        <v>0</v>
      </c>
      <c r="I2575" s="161" t="s">
        <v>7138</v>
      </c>
    </row>
    <row r="2576" spans="1:9">
      <c r="A2576" s="113">
        <v>100500165</v>
      </c>
      <c r="B2576" s="113" t="s">
        <v>5327</v>
      </c>
      <c r="C2576" s="113">
        <v>7033101</v>
      </c>
      <c r="D2576" s="113" t="s">
        <v>3093</v>
      </c>
      <c r="E2576" s="113" t="s">
        <v>1620</v>
      </c>
      <c r="F2576" s="113" t="s">
        <v>3093</v>
      </c>
      <c r="G2576" s="113" t="s">
        <v>3093</v>
      </c>
      <c r="H2576" s="161">
        <v>162.91669999999999</v>
      </c>
      <c r="I2576" s="161">
        <v>0</v>
      </c>
    </row>
    <row r="2577" spans="1:9">
      <c r="A2577" s="113">
        <v>100500166</v>
      </c>
      <c r="B2577" s="113" t="s">
        <v>5328</v>
      </c>
      <c r="C2577" s="113">
        <v>7033102</v>
      </c>
      <c r="D2577" s="113" t="s">
        <v>3093</v>
      </c>
      <c r="E2577" s="113" t="s">
        <v>1620</v>
      </c>
      <c r="F2577" s="113" t="s">
        <v>3093</v>
      </c>
      <c r="G2577" s="113" t="s">
        <v>3093</v>
      </c>
      <c r="H2577" s="161">
        <v>55.7346</v>
      </c>
      <c r="I2577" s="161">
        <v>0</v>
      </c>
    </row>
    <row r="2578" spans="1:9">
      <c r="A2578" s="113">
        <v>100500167</v>
      </c>
      <c r="B2578" s="113" t="s">
        <v>5329</v>
      </c>
      <c r="C2578" s="113">
        <v>7033103</v>
      </c>
      <c r="D2578" s="113" t="s">
        <v>3093</v>
      </c>
      <c r="E2578" s="113" t="s">
        <v>1620</v>
      </c>
      <c r="F2578" s="113" t="s">
        <v>3093</v>
      </c>
      <c r="G2578" s="113" t="s">
        <v>3093</v>
      </c>
      <c r="H2578" s="161">
        <v>135.04929999999999</v>
      </c>
      <c r="I2578" s="161">
        <v>0</v>
      </c>
    </row>
    <row r="2579" spans="1:9">
      <c r="A2579" s="113">
        <v>100500168</v>
      </c>
      <c r="B2579" s="113" t="s">
        <v>5330</v>
      </c>
      <c r="C2579" s="113">
        <v>7033105</v>
      </c>
      <c r="D2579" s="113" t="s">
        <v>3093</v>
      </c>
      <c r="E2579" s="113" t="s">
        <v>1620</v>
      </c>
      <c r="F2579" s="113" t="s">
        <v>3093</v>
      </c>
      <c r="G2579" s="113" t="s">
        <v>3093</v>
      </c>
      <c r="H2579" s="161">
        <v>0</v>
      </c>
      <c r="I2579" s="161" t="s">
        <v>7138</v>
      </c>
    </row>
    <row r="2580" spans="1:9">
      <c r="A2580" s="113">
        <v>100500169</v>
      </c>
      <c r="B2580" s="113" t="s">
        <v>5331</v>
      </c>
      <c r="C2580" s="113">
        <v>7033106</v>
      </c>
      <c r="D2580" s="113" t="s">
        <v>3093</v>
      </c>
      <c r="E2580" s="113" t="s">
        <v>1620</v>
      </c>
      <c r="F2580" s="113" t="s">
        <v>3093</v>
      </c>
      <c r="G2580" s="113" t="s">
        <v>3093</v>
      </c>
      <c r="H2580" s="161">
        <v>0</v>
      </c>
      <c r="I2580" s="161" t="s">
        <v>7138</v>
      </c>
    </row>
    <row r="2581" spans="1:9">
      <c r="A2581" s="113">
        <v>100500170</v>
      </c>
      <c r="B2581" s="113" t="s">
        <v>5332</v>
      </c>
      <c r="C2581" s="113">
        <v>7033108</v>
      </c>
      <c r="D2581" s="113" t="s">
        <v>3093</v>
      </c>
      <c r="E2581" s="113" t="s">
        <v>1620</v>
      </c>
      <c r="F2581" s="113" t="s">
        <v>3093</v>
      </c>
      <c r="G2581" s="113" t="s">
        <v>3093</v>
      </c>
      <c r="H2581" s="161">
        <v>53.859000000000002</v>
      </c>
      <c r="I2581" s="161">
        <v>75</v>
      </c>
    </row>
    <row r="2582" spans="1:9">
      <c r="A2582" s="113">
        <v>100500171</v>
      </c>
      <c r="B2582" s="113" t="s">
        <v>5333</v>
      </c>
      <c r="C2582" s="113">
        <v>7033109</v>
      </c>
      <c r="D2582" s="113" t="s">
        <v>3093</v>
      </c>
      <c r="E2582" s="113" t="s">
        <v>1620</v>
      </c>
      <c r="F2582" s="113" t="s">
        <v>3093</v>
      </c>
      <c r="G2582" s="113" t="s">
        <v>3093</v>
      </c>
      <c r="H2582" s="161">
        <v>0</v>
      </c>
      <c r="I2582" s="161" t="s">
        <v>7138</v>
      </c>
    </row>
    <row r="2583" spans="1:9">
      <c r="A2583" s="113">
        <v>100500172</v>
      </c>
      <c r="B2583" s="113" t="s">
        <v>5334</v>
      </c>
      <c r="C2583" s="113">
        <v>7033111</v>
      </c>
      <c r="D2583" s="113" t="s">
        <v>3093</v>
      </c>
      <c r="E2583" s="113" t="s">
        <v>1620</v>
      </c>
      <c r="F2583" s="113" t="s">
        <v>3093</v>
      </c>
      <c r="G2583" s="113" t="s">
        <v>3093</v>
      </c>
      <c r="H2583" s="161">
        <v>1575</v>
      </c>
      <c r="I2583" s="161">
        <v>12</v>
      </c>
    </row>
    <row r="2584" spans="1:9">
      <c r="A2584" s="113">
        <v>100500173</v>
      </c>
      <c r="B2584" s="113" t="s">
        <v>5335</v>
      </c>
      <c r="C2584" s="113">
        <v>7033112</v>
      </c>
      <c r="D2584" s="113" t="s">
        <v>3093</v>
      </c>
      <c r="E2584" s="113" t="s">
        <v>1620</v>
      </c>
      <c r="F2584" s="113" t="s">
        <v>3093</v>
      </c>
      <c r="G2584" s="113" t="s">
        <v>3093</v>
      </c>
      <c r="H2584" s="161">
        <v>19.2</v>
      </c>
      <c r="I2584" s="161">
        <v>120</v>
      </c>
    </row>
    <row r="2585" spans="1:9">
      <c r="A2585" s="113">
        <v>100500174</v>
      </c>
      <c r="B2585" s="113" t="s">
        <v>5336</v>
      </c>
      <c r="C2585" s="113">
        <v>7033113</v>
      </c>
      <c r="D2585" s="113" t="s">
        <v>3093</v>
      </c>
      <c r="E2585" s="113" t="s">
        <v>1620</v>
      </c>
      <c r="F2585" s="113" t="s">
        <v>3093</v>
      </c>
      <c r="G2585" s="113" t="s">
        <v>3093</v>
      </c>
      <c r="H2585" s="161">
        <v>0</v>
      </c>
      <c r="I2585" s="161" t="s">
        <v>7138</v>
      </c>
    </row>
    <row r="2586" spans="1:9">
      <c r="A2586" s="113">
        <v>100500175</v>
      </c>
      <c r="B2586" s="113" t="s">
        <v>5337</v>
      </c>
      <c r="C2586" s="113">
        <v>7033114</v>
      </c>
      <c r="D2586" s="113" t="s">
        <v>3093</v>
      </c>
      <c r="E2586" s="113" t="s">
        <v>1620</v>
      </c>
      <c r="F2586" s="113" t="s">
        <v>3093</v>
      </c>
      <c r="G2586" s="113" t="s">
        <v>3093</v>
      </c>
      <c r="H2586" s="161">
        <v>0</v>
      </c>
      <c r="I2586" s="161" t="s">
        <v>7138</v>
      </c>
    </row>
    <row r="2587" spans="1:9">
      <c r="A2587" s="113">
        <v>100500176</v>
      </c>
      <c r="B2587" s="113" t="s">
        <v>5338</v>
      </c>
      <c r="C2587" s="113">
        <v>7033117</v>
      </c>
      <c r="D2587" s="113" t="s">
        <v>3093</v>
      </c>
      <c r="E2587" s="113" t="s">
        <v>1620</v>
      </c>
      <c r="F2587" s="113" t="s">
        <v>3093</v>
      </c>
      <c r="G2587" s="113" t="s">
        <v>3093</v>
      </c>
      <c r="H2587" s="161">
        <v>0</v>
      </c>
      <c r="I2587" s="161" t="s">
        <v>7138</v>
      </c>
    </row>
    <row r="2588" spans="1:9">
      <c r="A2588" s="113">
        <v>100500177</v>
      </c>
      <c r="B2588" s="113" t="s">
        <v>5339</v>
      </c>
      <c r="C2588" s="113">
        <v>7033122</v>
      </c>
      <c r="D2588" s="113" t="s">
        <v>3093</v>
      </c>
      <c r="E2588" s="113" t="s">
        <v>1620</v>
      </c>
      <c r="F2588" s="113" t="s">
        <v>3093</v>
      </c>
      <c r="G2588" s="113" t="s">
        <v>3093</v>
      </c>
      <c r="H2588" s="161">
        <v>420</v>
      </c>
      <c r="I2588" s="161">
        <v>46</v>
      </c>
    </row>
    <row r="2589" spans="1:9">
      <c r="A2589" s="113">
        <v>100500178</v>
      </c>
      <c r="B2589" s="113" t="s">
        <v>5340</v>
      </c>
      <c r="C2589" s="113">
        <v>7033123</v>
      </c>
      <c r="D2589" s="113" t="s">
        <v>3093</v>
      </c>
      <c r="E2589" s="113" t="s">
        <v>1620</v>
      </c>
      <c r="F2589" s="113" t="s">
        <v>3093</v>
      </c>
      <c r="G2589" s="113" t="s">
        <v>3093</v>
      </c>
      <c r="H2589" s="161">
        <v>420</v>
      </c>
      <c r="I2589" s="161">
        <v>46</v>
      </c>
    </row>
    <row r="2590" spans="1:9">
      <c r="A2590" s="113">
        <v>100500179</v>
      </c>
      <c r="B2590" s="113" t="s">
        <v>5341</v>
      </c>
      <c r="C2590" s="113">
        <v>7033124</v>
      </c>
      <c r="D2590" s="113" t="s">
        <v>3093</v>
      </c>
      <c r="E2590" s="113" t="s">
        <v>1620</v>
      </c>
      <c r="F2590" s="113" t="s">
        <v>3093</v>
      </c>
      <c r="G2590" s="113" t="s">
        <v>3093</v>
      </c>
      <c r="H2590" s="161">
        <v>420</v>
      </c>
      <c r="I2590" s="161">
        <v>46</v>
      </c>
    </row>
    <row r="2591" spans="1:9">
      <c r="A2591" s="113">
        <v>100500180</v>
      </c>
      <c r="B2591" s="113" t="s">
        <v>2995</v>
      </c>
      <c r="C2591" s="113">
        <v>7034040</v>
      </c>
      <c r="D2591" s="113" t="s">
        <v>3093</v>
      </c>
      <c r="E2591" s="113" t="s">
        <v>1620</v>
      </c>
      <c r="F2591" s="113" t="s">
        <v>3093</v>
      </c>
      <c r="G2591" s="113" t="s">
        <v>3093</v>
      </c>
      <c r="H2591" s="161">
        <v>95</v>
      </c>
      <c r="I2591" s="161">
        <v>3</v>
      </c>
    </row>
    <row r="2592" spans="1:9">
      <c r="A2592" s="113">
        <v>100500181</v>
      </c>
      <c r="B2592" s="113" t="s">
        <v>5342</v>
      </c>
      <c r="C2592" s="113">
        <v>7034041</v>
      </c>
      <c r="D2592" s="113" t="s">
        <v>3093</v>
      </c>
      <c r="E2592" s="113" t="s">
        <v>1620</v>
      </c>
      <c r="F2592" s="113" t="s">
        <v>3093</v>
      </c>
      <c r="G2592" s="113" t="s">
        <v>3093</v>
      </c>
      <c r="H2592" s="161">
        <v>0</v>
      </c>
      <c r="I2592" s="161" t="s">
        <v>7138</v>
      </c>
    </row>
    <row r="2593" spans="1:9">
      <c r="A2593" s="113">
        <v>100500182</v>
      </c>
      <c r="B2593" s="113" t="s">
        <v>5343</v>
      </c>
      <c r="C2593" s="113">
        <v>7036107</v>
      </c>
      <c r="D2593" s="113" t="s">
        <v>3093</v>
      </c>
      <c r="E2593" s="113" t="s">
        <v>1620</v>
      </c>
      <c r="F2593" s="113" t="s">
        <v>3093</v>
      </c>
      <c r="G2593" s="113" t="s">
        <v>3093</v>
      </c>
      <c r="H2593" s="161">
        <v>120</v>
      </c>
      <c r="I2593" s="161">
        <v>20</v>
      </c>
    </row>
    <row r="2594" spans="1:9">
      <c r="A2594" s="113">
        <v>100500183</v>
      </c>
      <c r="B2594" s="113" t="s">
        <v>5344</v>
      </c>
      <c r="C2594" s="113">
        <v>7037079</v>
      </c>
      <c r="D2594" s="113" t="s">
        <v>3093</v>
      </c>
      <c r="E2594" s="113" t="s">
        <v>1620</v>
      </c>
      <c r="F2594" s="113" t="s">
        <v>3093</v>
      </c>
      <c r="G2594" s="113" t="s">
        <v>3093</v>
      </c>
      <c r="H2594" s="161">
        <v>60.37</v>
      </c>
      <c r="I2594" s="161">
        <v>0</v>
      </c>
    </row>
    <row r="2595" spans="1:9">
      <c r="A2595" s="113">
        <v>100500184</v>
      </c>
      <c r="B2595" s="113" t="s">
        <v>5345</v>
      </c>
      <c r="C2595" s="113">
        <v>7037098</v>
      </c>
      <c r="D2595" s="113" t="s">
        <v>3093</v>
      </c>
      <c r="E2595" s="113" t="s">
        <v>1620</v>
      </c>
      <c r="F2595" s="113" t="s">
        <v>3093</v>
      </c>
      <c r="G2595" s="113" t="s">
        <v>3093</v>
      </c>
      <c r="H2595" s="161">
        <v>140</v>
      </c>
      <c r="I2595" s="161">
        <v>0</v>
      </c>
    </row>
    <row r="2596" spans="1:9">
      <c r="A2596" s="113">
        <v>100500185</v>
      </c>
      <c r="B2596" s="113" t="s">
        <v>5346</v>
      </c>
      <c r="C2596" s="113">
        <v>7037099</v>
      </c>
      <c r="D2596" s="113" t="s">
        <v>3093</v>
      </c>
      <c r="E2596" s="113" t="s">
        <v>1620</v>
      </c>
      <c r="F2596" s="113" t="s">
        <v>3093</v>
      </c>
      <c r="G2596" s="113" t="s">
        <v>3093</v>
      </c>
      <c r="H2596" s="161">
        <v>116.93</v>
      </c>
      <c r="I2596" s="161">
        <v>2160</v>
      </c>
    </row>
    <row r="2597" spans="1:9">
      <c r="A2597" s="113">
        <v>100500186</v>
      </c>
      <c r="B2597" s="113" t="s">
        <v>5347</v>
      </c>
      <c r="C2597" s="113">
        <v>7037104</v>
      </c>
      <c r="D2597" s="113" t="s">
        <v>3093</v>
      </c>
      <c r="E2597" s="113" t="s">
        <v>1620</v>
      </c>
      <c r="F2597" s="113" t="s">
        <v>3093</v>
      </c>
      <c r="G2597" s="113" t="s">
        <v>3093</v>
      </c>
      <c r="H2597" s="161">
        <v>92.9</v>
      </c>
      <c r="I2597" s="161">
        <v>0</v>
      </c>
    </row>
    <row r="2598" spans="1:9">
      <c r="A2598" s="113">
        <v>100500187</v>
      </c>
      <c r="B2598" s="113" t="s">
        <v>5348</v>
      </c>
      <c r="C2598" s="113">
        <v>7037109</v>
      </c>
      <c r="D2598" s="113" t="s">
        <v>3093</v>
      </c>
      <c r="E2598" s="113" t="s">
        <v>1620</v>
      </c>
      <c r="F2598" s="113" t="s">
        <v>3093</v>
      </c>
      <c r="G2598" s="113" t="s">
        <v>3093</v>
      </c>
      <c r="H2598" s="161">
        <v>65</v>
      </c>
      <c r="I2598" s="161">
        <v>0</v>
      </c>
    </row>
    <row r="2599" spans="1:9">
      <c r="A2599" s="113">
        <v>100500188</v>
      </c>
      <c r="B2599" s="113" t="s">
        <v>5349</v>
      </c>
      <c r="C2599" s="113">
        <v>7037112</v>
      </c>
      <c r="D2599" s="113" t="s">
        <v>3093</v>
      </c>
      <c r="E2599" s="113" t="s">
        <v>1620</v>
      </c>
      <c r="F2599" s="113" t="s">
        <v>3093</v>
      </c>
      <c r="G2599" s="113" t="s">
        <v>3093</v>
      </c>
      <c r="H2599" s="161">
        <v>16.16</v>
      </c>
      <c r="I2599" s="161">
        <v>1</v>
      </c>
    </row>
    <row r="2600" spans="1:9">
      <c r="A2600" s="113">
        <v>100500189</v>
      </c>
      <c r="B2600" s="113" t="s">
        <v>5350</v>
      </c>
      <c r="C2600" s="113">
        <v>7037113</v>
      </c>
      <c r="D2600" s="113" t="s">
        <v>3093</v>
      </c>
      <c r="E2600" s="113" t="s">
        <v>1620</v>
      </c>
      <c r="F2600" s="113" t="s">
        <v>3093</v>
      </c>
      <c r="G2600" s="113" t="s">
        <v>3093</v>
      </c>
      <c r="H2600" s="161">
        <v>120.92</v>
      </c>
      <c r="I2600" s="161" t="s">
        <v>7138</v>
      </c>
    </row>
    <row r="2601" spans="1:9">
      <c r="A2601" s="113">
        <v>100500190</v>
      </c>
      <c r="B2601" s="113" t="s">
        <v>5351</v>
      </c>
      <c r="C2601" s="113">
        <v>7037130</v>
      </c>
      <c r="D2601" s="113" t="s">
        <v>3093</v>
      </c>
      <c r="E2601" s="113" t="s">
        <v>1620</v>
      </c>
      <c r="F2601" s="113" t="s">
        <v>3093</v>
      </c>
      <c r="G2601" s="113" t="s">
        <v>3093</v>
      </c>
      <c r="H2601" s="161">
        <v>62.76</v>
      </c>
      <c r="I2601" s="161">
        <v>0</v>
      </c>
    </row>
    <row r="2602" spans="1:9">
      <c r="A2602" s="113">
        <v>100500191</v>
      </c>
      <c r="B2602" s="113" t="s">
        <v>5352</v>
      </c>
      <c r="C2602" s="113">
        <v>7037132</v>
      </c>
      <c r="D2602" s="113" t="s">
        <v>3093</v>
      </c>
      <c r="E2602" s="113" t="s">
        <v>1620</v>
      </c>
      <c r="F2602" s="113" t="s">
        <v>3093</v>
      </c>
      <c r="G2602" s="113" t="s">
        <v>3093</v>
      </c>
      <c r="H2602" s="161">
        <v>40</v>
      </c>
      <c r="I2602" s="161" t="s">
        <v>7138</v>
      </c>
    </row>
    <row r="2603" spans="1:9">
      <c r="A2603" s="113">
        <v>100500192</v>
      </c>
      <c r="B2603" s="113" t="s">
        <v>5353</v>
      </c>
      <c r="C2603" s="113">
        <v>7037135</v>
      </c>
      <c r="D2603" s="113" t="s">
        <v>3093</v>
      </c>
      <c r="E2603" s="113" t="s">
        <v>1620</v>
      </c>
      <c r="F2603" s="113" t="s">
        <v>3093</v>
      </c>
      <c r="G2603" s="113" t="s">
        <v>3093</v>
      </c>
      <c r="H2603" s="161">
        <v>164.05</v>
      </c>
      <c r="I2603" s="161">
        <v>10</v>
      </c>
    </row>
    <row r="2604" spans="1:9">
      <c r="A2604" s="113">
        <v>100500193</v>
      </c>
      <c r="B2604" s="113" t="s">
        <v>5354</v>
      </c>
      <c r="C2604" s="113">
        <v>7037152</v>
      </c>
      <c r="D2604" s="113" t="s">
        <v>3093</v>
      </c>
      <c r="E2604" s="113" t="s">
        <v>1620</v>
      </c>
      <c r="F2604" s="113" t="s">
        <v>3093</v>
      </c>
      <c r="G2604" s="113" t="s">
        <v>3093</v>
      </c>
      <c r="H2604" s="161">
        <v>0</v>
      </c>
      <c r="I2604" s="161" t="s">
        <v>7138</v>
      </c>
    </row>
    <row r="2605" spans="1:9">
      <c r="A2605" s="113">
        <v>100500194</v>
      </c>
      <c r="B2605" s="113" t="s">
        <v>5355</v>
      </c>
      <c r="C2605" s="113">
        <v>7037155</v>
      </c>
      <c r="D2605" s="113" t="s">
        <v>3093</v>
      </c>
      <c r="E2605" s="113" t="s">
        <v>1620</v>
      </c>
      <c r="F2605" s="113" t="s">
        <v>3093</v>
      </c>
      <c r="G2605" s="113" t="s">
        <v>3093</v>
      </c>
      <c r="H2605" s="161">
        <v>610</v>
      </c>
      <c r="I2605" s="161">
        <v>0</v>
      </c>
    </row>
    <row r="2606" spans="1:9">
      <c r="A2606" s="113">
        <v>100500195</v>
      </c>
      <c r="B2606" s="113" t="s">
        <v>5356</v>
      </c>
      <c r="C2606" s="113">
        <v>7037164</v>
      </c>
      <c r="D2606" s="113" t="s">
        <v>3093</v>
      </c>
      <c r="E2606" s="113" t="s">
        <v>1620</v>
      </c>
      <c r="F2606" s="113" t="s">
        <v>3093</v>
      </c>
      <c r="G2606" s="113" t="s">
        <v>3093</v>
      </c>
      <c r="H2606" s="161">
        <v>599</v>
      </c>
      <c r="I2606" s="161">
        <v>0</v>
      </c>
    </row>
    <row r="2607" spans="1:9">
      <c r="A2607" s="113">
        <v>100500196</v>
      </c>
      <c r="B2607" s="113" t="s">
        <v>5357</v>
      </c>
      <c r="C2607" s="113">
        <v>7037171</v>
      </c>
      <c r="D2607" s="113" t="s">
        <v>3093</v>
      </c>
      <c r="E2607" s="113" t="s">
        <v>1620</v>
      </c>
      <c r="F2607" s="113" t="s">
        <v>3093</v>
      </c>
      <c r="G2607" s="113" t="s">
        <v>3093</v>
      </c>
      <c r="H2607" s="161">
        <v>179.44</v>
      </c>
      <c r="I2607" s="161">
        <v>0</v>
      </c>
    </row>
    <row r="2608" spans="1:9">
      <c r="A2608" s="113">
        <v>100500197</v>
      </c>
      <c r="B2608" s="113" t="s">
        <v>5358</v>
      </c>
      <c r="C2608" s="113">
        <v>7037173</v>
      </c>
      <c r="D2608" s="113" t="s">
        <v>3093</v>
      </c>
      <c r="E2608" s="113" t="s">
        <v>1620</v>
      </c>
      <c r="F2608" s="113" t="s">
        <v>3093</v>
      </c>
      <c r="G2608" s="113" t="s">
        <v>3093</v>
      </c>
      <c r="H2608" s="161">
        <v>570</v>
      </c>
      <c r="I2608" s="161">
        <v>0</v>
      </c>
    </row>
    <row r="2609" spans="1:9">
      <c r="A2609" s="113">
        <v>100500198</v>
      </c>
      <c r="B2609" s="113" t="s">
        <v>5359</v>
      </c>
      <c r="C2609" s="113">
        <v>7037174</v>
      </c>
      <c r="D2609" s="113" t="s">
        <v>3093</v>
      </c>
      <c r="E2609" s="113" t="s">
        <v>1620</v>
      </c>
      <c r="F2609" s="113" t="s">
        <v>3093</v>
      </c>
      <c r="G2609" s="113" t="s">
        <v>3093</v>
      </c>
      <c r="H2609" s="161">
        <v>570</v>
      </c>
      <c r="I2609" s="161">
        <v>240</v>
      </c>
    </row>
    <row r="2610" spans="1:9">
      <c r="A2610" s="113">
        <v>100500199</v>
      </c>
      <c r="B2610" s="113" t="s">
        <v>5360</v>
      </c>
      <c r="C2610" s="113">
        <v>7037175</v>
      </c>
      <c r="D2610" s="113" t="s">
        <v>3093</v>
      </c>
      <c r="E2610" s="113" t="s">
        <v>1620</v>
      </c>
      <c r="F2610" s="113" t="s">
        <v>3093</v>
      </c>
      <c r="G2610" s="113" t="s">
        <v>3093</v>
      </c>
      <c r="H2610" s="161">
        <v>110</v>
      </c>
      <c r="I2610" s="161">
        <v>0</v>
      </c>
    </row>
    <row r="2611" spans="1:9">
      <c r="A2611" s="113">
        <v>100500200</v>
      </c>
      <c r="B2611" s="113" t="s">
        <v>5361</v>
      </c>
      <c r="C2611" s="113">
        <v>7038022</v>
      </c>
      <c r="D2611" s="113" t="s">
        <v>3093</v>
      </c>
      <c r="E2611" s="113" t="s">
        <v>1620</v>
      </c>
      <c r="F2611" s="113" t="s">
        <v>3093</v>
      </c>
      <c r="G2611" s="115" t="s">
        <v>3093</v>
      </c>
      <c r="H2611" s="161">
        <v>450</v>
      </c>
      <c r="I2611" s="161">
        <v>12</v>
      </c>
    </row>
    <row r="2612" spans="1:9">
      <c r="A2612" s="113">
        <v>100500201</v>
      </c>
      <c r="B2612" s="113" t="s">
        <v>5362</v>
      </c>
      <c r="C2612" s="113">
        <v>7038028</v>
      </c>
      <c r="D2612" s="113" t="s">
        <v>3093</v>
      </c>
      <c r="E2612" s="113" t="s">
        <v>1620</v>
      </c>
      <c r="F2612" s="113" t="s">
        <v>3093</v>
      </c>
      <c r="G2612" s="113" t="s">
        <v>3093</v>
      </c>
      <c r="H2612" s="161">
        <v>195.27</v>
      </c>
      <c r="I2612" s="161">
        <v>5</v>
      </c>
    </row>
    <row r="2613" spans="1:9">
      <c r="A2613" s="113">
        <v>100500202</v>
      </c>
      <c r="B2613" s="113" t="s">
        <v>5363</v>
      </c>
      <c r="C2613" s="113">
        <v>7038036</v>
      </c>
      <c r="D2613" s="113" t="s">
        <v>3093</v>
      </c>
      <c r="E2613" s="113" t="s">
        <v>1620</v>
      </c>
      <c r="F2613" s="113" t="s">
        <v>3093</v>
      </c>
      <c r="G2613" s="113" t="s">
        <v>3093</v>
      </c>
      <c r="H2613" s="161">
        <v>1263.8699999999999</v>
      </c>
      <c r="I2613" s="161">
        <v>4</v>
      </c>
    </row>
    <row r="2614" spans="1:9">
      <c r="A2614" s="113">
        <v>100500203</v>
      </c>
      <c r="B2614" s="113" t="s">
        <v>1311</v>
      </c>
      <c r="C2614" s="113">
        <v>7038066</v>
      </c>
      <c r="D2614" s="113" t="s">
        <v>3093</v>
      </c>
      <c r="E2614" s="113" t="s">
        <v>1620</v>
      </c>
      <c r="F2614" s="113" t="s">
        <v>3093</v>
      </c>
      <c r="G2614" s="113" t="s">
        <v>3093</v>
      </c>
      <c r="H2614" s="161">
        <v>32.130000000000003</v>
      </c>
      <c r="I2614" s="161">
        <v>2</v>
      </c>
    </row>
    <row r="2615" spans="1:9">
      <c r="A2615" s="113">
        <v>100500204</v>
      </c>
      <c r="B2615" s="113" t="s">
        <v>5364</v>
      </c>
      <c r="C2615" s="113">
        <v>7042019</v>
      </c>
      <c r="D2615" s="113" t="s">
        <v>3093</v>
      </c>
      <c r="E2615" s="113" t="s">
        <v>1620</v>
      </c>
      <c r="F2615" s="113" t="s">
        <v>3093</v>
      </c>
      <c r="G2615" s="113" t="s">
        <v>3093</v>
      </c>
      <c r="H2615" s="161">
        <v>200</v>
      </c>
      <c r="I2615" s="161">
        <v>50</v>
      </c>
    </row>
    <row r="2616" spans="1:9">
      <c r="A2616" s="113">
        <v>100500205</v>
      </c>
      <c r="B2616" s="113" t="s">
        <v>5365</v>
      </c>
      <c r="C2616" s="113">
        <v>7042029</v>
      </c>
      <c r="D2616" s="113" t="s">
        <v>3093</v>
      </c>
      <c r="E2616" s="113" t="s">
        <v>1620</v>
      </c>
      <c r="F2616" s="113" t="s">
        <v>3093</v>
      </c>
      <c r="G2616" s="113" t="s">
        <v>3093</v>
      </c>
      <c r="H2616" s="161">
        <v>80</v>
      </c>
      <c r="I2616" s="161">
        <v>0</v>
      </c>
    </row>
    <row r="2617" spans="1:9">
      <c r="A2617" s="113">
        <v>100500206</v>
      </c>
      <c r="B2617" s="113" t="s">
        <v>5366</v>
      </c>
      <c r="C2617" s="113">
        <v>7042032</v>
      </c>
      <c r="D2617" s="113" t="s">
        <v>3093</v>
      </c>
      <c r="E2617" s="113" t="s">
        <v>1620</v>
      </c>
      <c r="F2617" s="113" t="s">
        <v>3093</v>
      </c>
      <c r="G2617" s="113" t="s">
        <v>3093</v>
      </c>
      <c r="H2617" s="161">
        <v>83</v>
      </c>
      <c r="I2617" s="161">
        <v>2</v>
      </c>
    </row>
    <row r="2618" spans="1:9">
      <c r="A2618" s="113">
        <v>100500207</v>
      </c>
      <c r="B2618" s="113" t="s">
        <v>5367</v>
      </c>
      <c r="C2618" s="113">
        <v>7042041</v>
      </c>
      <c r="D2618" s="113" t="s">
        <v>3093</v>
      </c>
      <c r="E2618" s="113" t="s">
        <v>1620</v>
      </c>
      <c r="F2618" s="113" t="s">
        <v>3093</v>
      </c>
      <c r="G2618" s="113" t="s">
        <v>3093</v>
      </c>
      <c r="H2618" s="161">
        <v>180</v>
      </c>
      <c r="I2618" s="161">
        <v>0</v>
      </c>
    </row>
    <row r="2619" spans="1:9">
      <c r="A2619" s="113">
        <v>100500208</v>
      </c>
      <c r="B2619" s="113" t="s">
        <v>2996</v>
      </c>
      <c r="C2619" s="113">
        <v>7042042</v>
      </c>
      <c r="D2619" s="113" t="s">
        <v>3093</v>
      </c>
      <c r="E2619" s="113" t="s">
        <v>1620</v>
      </c>
      <c r="F2619" s="113" t="s">
        <v>3093</v>
      </c>
      <c r="G2619" s="113" t="s">
        <v>3093</v>
      </c>
      <c r="H2619" s="161">
        <v>128.5</v>
      </c>
      <c r="I2619" s="161">
        <v>2</v>
      </c>
    </row>
    <row r="2620" spans="1:9">
      <c r="A2620" s="113">
        <v>100500209</v>
      </c>
      <c r="B2620" s="113" t="s">
        <v>5368</v>
      </c>
      <c r="C2620" s="113">
        <v>7042082</v>
      </c>
      <c r="D2620" s="113" t="s">
        <v>3093</v>
      </c>
      <c r="E2620" s="113" t="s">
        <v>1620</v>
      </c>
      <c r="F2620" s="113" t="s">
        <v>3093</v>
      </c>
      <c r="G2620" s="113" t="s">
        <v>3093</v>
      </c>
      <c r="H2620" s="161">
        <v>385</v>
      </c>
      <c r="I2620" s="161">
        <v>0</v>
      </c>
    </row>
    <row r="2621" spans="1:9">
      <c r="A2621" s="113">
        <v>100500210</v>
      </c>
      <c r="B2621" s="113" t="s">
        <v>5369</v>
      </c>
      <c r="C2621" s="113">
        <v>7042083</v>
      </c>
      <c r="D2621" s="113" t="s">
        <v>3093</v>
      </c>
      <c r="E2621" s="113" t="s">
        <v>1620</v>
      </c>
      <c r="F2621" s="113" t="s">
        <v>3093</v>
      </c>
      <c r="G2621" s="113" t="s">
        <v>3093</v>
      </c>
      <c r="H2621" s="161">
        <v>1980</v>
      </c>
      <c r="I2621" s="161">
        <v>1</v>
      </c>
    </row>
    <row r="2622" spans="1:9">
      <c r="A2622" s="113">
        <v>100500211</v>
      </c>
      <c r="B2622" s="113" t="s">
        <v>5370</v>
      </c>
      <c r="C2622" s="113">
        <v>7042084</v>
      </c>
      <c r="D2622" s="113" t="s">
        <v>3093</v>
      </c>
      <c r="E2622" s="113" t="s">
        <v>1620</v>
      </c>
      <c r="F2622" s="113" t="s">
        <v>3093</v>
      </c>
      <c r="G2622" s="113" t="s">
        <v>3093</v>
      </c>
      <c r="H2622" s="161">
        <v>390</v>
      </c>
      <c r="I2622" s="161">
        <v>2</v>
      </c>
    </row>
    <row r="2623" spans="1:9">
      <c r="A2623" s="113">
        <v>100500212</v>
      </c>
      <c r="B2623" s="113" t="s">
        <v>5371</v>
      </c>
      <c r="C2623" s="113">
        <v>7042091</v>
      </c>
      <c r="D2623" s="113" t="s">
        <v>3093</v>
      </c>
      <c r="E2623" s="113" t="s">
        <v>1620</v>
      </c>
      <c r="F2623" s="113" t="s">
        <v>3093</v>
      </c>
      <c r="G2623" s="113" t="s">
        <v>3093</v>
      </c>
      <c r="H2623" s="161">
        <v>139.25</v>
      </c>
      <c r="I2623" s="161">
        <v>0</v>
      </c>
    </row>
    <row r="2624" spans="1:9">
      <c r="A2624" s="113">
        <v>100500213</v>
      </c>
      <c r="B2624" s="113" t="s">
        <v>5372</v>
      </c>
      <c r="C2624" s="113">
        <v>7042093</v>
      </c>
      <c r="D2624" s="113" t="s">
        <v>3093</v>
      </c>
      <c r="E2624" s="113" t="s">
        <v>1620</v>
      </c>
      <c r="F2624" s="113" t="s">
        <v>3093</v>
      </c>
      <c r="G2624" s="113" t="s">
        <v>3093</v>
      </c>
      <c r="H2624" s="161">
        <v>675</v>
      </c>
      <c r="I2624" s="161">
        <v>0</v>
      </c>
    </row>
    <row r="2625" spans="1:9">
      <c r="A2625" s="113">
        <v>100500214</v>
      </c>
      <c r="B2625" s="113" t="s">
        <v>5373</v>
      </c>
      <c r="C2625" s="113">
        <v>7042103</v>
      </c>
      <c r="D2625" s="113" t="s">
        <v>3093</v>
      </c>
      <c r="E2625" s="113" t="s">
        <v>1620</v>
      </c>
      <c r="F2625" s="113" t="s">
        <v>3093</v>
      </c>
      <c r="G2625" s="113" t="s">
        <v>3093</v>
      </c>
      <c r="H2625" s="161">
        <v>380</v>
      </c>
      <c r="I2625" s="161">
        <v>12</v>
      </c>
    </row>
    <row r="2626" spans="1:9">
      <c r="A2626" s="113">
        <v>100500215</v>
      </c>
      <c r="B2626" s="113" t="s">
        <v>5374</v>
      </c>
      <c r="C2626" s="113">
        <v>7042104</v>
      </c>
      <c r="D2626" s="113" t="s">
        <v>3093</v>
      </c>
      <c r="E2626" s="113" t="s">
        <v>1620</v>
      </c>
      <c r="F2626" s="113" t="s">
        <v>3093</v>
      </c>
      <c r="G2626" s="113" t="s">
        <v>3093</v>
      </c>
      <c r="H2626" s="161">
        <v>9600</v>
      </c>
      <c r="I2626" s="161">
        <v>0</v>
      </c>
    </row>
    <row r="2627" spans="1:9">
      <c r="A2627" s="113">
        <v>100500216</v>
      </c>
      <c r="B2627" s="113" t="s">
        <v>5375</v>
      </c>
      <c r="C2627" s="113">
        <v>7042105</v>
      </c>
      <c r="D2627" s="113" t="s">
        <v>3093</v>
      </c>
      <c r="E2627" s="113" t="s">
        <v>1620</v>
      </c>
      <c r="F2627" s="113" t="s">
        <v>3093</v>
      </c>
      <c r="G2627" s="113" t="s">
        <v>3093</v>
      </c>
      <c r="H2627" s="161">
        <v>475</v>
      </c>
      <c r="I2627" s="161">
        <v>24</v>
      </c>
    </row>
    <row r="2628" spans="1:9">
      <c r="A2628" s="113">
        <v>100500217</v>
      </c>
      <c r="B2628" s="113" t="s">
        <v>5376</v>
      </c>
      <c r="C2628" s="113">
        <v>7042106</v>
      </c>
      <c r="D2628" s="113" t="s">
        <v>3093</v>
      </c>
      <c r="E2628" s="113" t="s">
        <v>1620</v>
      </c>
      <c r="F2628" s="113" t="s">
        <v>3093</v>
      </c>
      <c r="G2628" s="113" t="s">
        <v>3093</v>
      </c>
      <c r="H2628" s="161">
        <v>475</v>
      </c>
      <c r="I2628" s="161">
        <v>24</v>
      </c>
    </row>
    <row r="2629" spans="1:9">
      <c r="A2629" s="113">
        <v>100500218</v>
      </c>
      <c r="B2629" s="113" t="s">
        <v>5377</v>
      </c>
      <c r="C2629" s="113">
        <v>7042108</v>
      </c>
      <c r="D2629" s="113" t="s">
        <v>3093</v>
      </c>
      <c r="E2629" s="113" t="s">
        <v>1620</v>
      </c>
      <c r="F2629" s="113" t="s">
        <v>3093</v>
      </c>
      <c r="G2629" s="113" t="s">
        <v>3093</v>
      </c>
      <c r="H2629" s="161">
        <v>0</v>
      </c>
      <c r="I2629" s="161" t="s">
        <v>7138</v>
      </c>
    </row>
    <row r="2630" spans="1:9">
      <c r="A2630" s="113">
        <v>100500219</v>
      </c>
      <c r="B2630" s="113" t="s">
        <v>5378</v>
      </c>
      <c r="C2630" s="113">
        <v>7042109</v>
      </c>
      <c r="D2630" s="113" t="s">
        <v>3093</v>
      </c>
      <c r="E2630" s="113" t="s">
        <v>1620</v>
      </c>
      <c r="F2630" s="113" t="s">
        <v>3093</v>
      </c>
      <c r="G2630" s="113" t="s">
        <v>3093</v>
      </c>
      <c r="H2630" s="161">
        <v>0</v>
      </c>
      <c r="I2630" s="161" t="s">
        <v>7138</v>
      </c>
    </row>
    <row r="2631" spans="1:9">
      <c r="A2631" s="113">
        <v>100500220</v>
      </c>
      <c r="B2631" s="113" t="s">
        <v>5379</v>
      </c>
      <c r="C2631" s="113">
        <v>7042110</v>
      </c>
      <c r="D2631" s="113" t="s">
        <v>3093</v>
      </c>
      <c r="E2631" s="113" t="s">
        <v>1620</v>
      </c>
      <c r="F2631" s="113" t="s">
        <v>3093</v>
      </c>
      <c r="G2631" s="113" t="s">
        <v>3093</v>
      </c>
      <c r="H2631" s="161">
        <v>0</v>
      </c>
      <c r="I2631" s="161" t="s">
        <v>7138</v>
      </c>
    </row>
    <row r="2632" spans="1:9">
      <c r="A2632" s="113">
        <v>100500221</v>
      </c>
      <c r="B2632" s="113" t="s">
        <v>5380</v>
      </c>
      <c r="C2632" s="113">
        <v>7042111</v>
      </c>
      <c r="D2632" s="113" t="s">
        <v>3093</v>
      </c>
      <c r="E2632" s="113" t="s">
        <v>1620</v>
      </c>
      <c r="F2632" s="113" t="s">
        <v>3093</v>
      </c>
      <c r="G2632" s="113" t="s">
        <v>3093</v>
      </c>
      <c r="H2632" s="161">
        <v>0</v>
      </c>
      <c r="I2632" s="161" t="s">
        <v>7138</v>
      </c>
    </row>
    <row r="2633" spans="1:9">
      <c r="A2633" s="113">
        <v>100500222</v>
      </c>
      <c r="B2633" s="113" t="s">
        <v>5381</v>
      </c>
      <c r="C2633" s="113">
        <v>7042117</v>
      </c>
      <c r="D2633" s="113" t="s">
        <v>3093</v>
      </c>
      <c r="E2633" s="113" t="s">
        <v>1620</v>
      </c>
      <c r="F2633" s="113" t="s">
        <v>3093</v>
      </c>
      <c r="G2633" s="113" t="s">
        <v>3093</v>
      </c>
      <c r="H2633" s="161">
        <v>678</v>
      </c>
      <c r="I2633" s="161" t="s">
        <v>7138</v>
      </c>
    </row>
    <row r="2634" spans="1:9">
      <c r="A2634" s="113">
        <v>100500223</v>
      </c>
      <c r="B2634" s="113" t="s">
        <v>5382</v>
      </c>
      <c r="C2634" s="113">
        <v>7054016</v>
      </c>
      <c r="D2634" s="113" t="s">
        <v>3093</v>
      </c>
      <c r="E2634" s="113" t="s">
        <v>1620</v>
      </c>
      <c r="F2634" s="113" t="s">
        <v>3093</v>
      </c>
      <c r="G2634" s="113" t="s">
        <v>3093</v>
      </c>
      <c r="H2634" s="161">
        <v>0</v>
      </c>
      <c r="I2634" s="161" t="s">
        <v>7138</v>
      </c>
    </row>
    <row r="2635" spans="1:9">
      <c r="A2635" s="113">
        <v>100500224</v>
      </c>
      <c r="B2635" s="113" t="s">
        <v>5383</v>
      </c>
      <c r="C2635" s="113">
        <v>7054027</v>
      </c>
      <c r="D2635" s="113" t="s">
        <v>3093</v>
      </c>
      <c r="E2635" s="113" t="s">
        <v>1620</v>
      </c>
      <c r="F2635" s="113" t="s">
        <v>3093</v>
      </c>
      <c r="G2635" s="113" t="s">
        <v>3093</v>
      </c>
      <c r="H2635" s="161">
        <v>0</v>
      </c>
      <c r="I2635" s="161" t="s">
        <v>7138</v>
      </c>
    </row>
    <row r="2636" spans="1:9">
      <c r="A2636" s="113">
        <v>100500225</v>
      </c>
      <c r="B2636" s="113" t="s">
        <v>5384</v>
      </c>
      <c r="C2636" s="113">
        <v>7054029</v>
      </c>
      <c r="D2636" s="113" t="s">
        <v>3093</v>
      </c>
      <c r="E2636" s="113" t="s">
        <v>1620</v>
      </c>
      <c r="F2636" s="113" t="s">
        <v>3093</v>
      </c>
      <c r="G2636" s="113" t="s">
        <v>3093</v>
      </c>
      <c r="H2636" s="161">
        <v>4020</v>
      </c>
      <c r="I2636" s="161" t="s">
        <v>7138</v>
      </c>
    </row>
    <row r="2637" spans="1:9">
      <c r="A2637" s="113">
        <v>100500226</v>
      </c>
      <c r="B2637" s="113" t="s">
        <v>5385</v>
      </c>
      <c r="C2637" s="113">
        <v>7054032</v>
      </c>
      <c r="D2637" s="113" t="s">
        <v>3093</v>
      </c>
      <c r="E2637" s="113" t="s">
        <v>1620</v>
      </c>
      <c r="F2637" s="113" t="s">
        <v>3093</v>
      </c>
      <c r="G2637" s="113" t="s">
        <v>3093</v>
      </c>
      <c r="H2637" s="161">
        <v>8900</v>
      </c>
      <c r="I2637" s="161">
        <v>0</v>
      </c>
    </row>
    <row r="2638" spans="1:9">
      <c r="A2638" s="113">
        <v>100500227</v>
      </c>
      <c r="B2638" s="113" t="s">
        <v>5386</v>
      </c>
      <c r="C2638" s="113">
        <v>7054033</v>
      </c>
      <c r="D2638" s="113" t="s">
        <v>3093</v>
      </c>
      <c r="E2638" s="113" t="s">
        <v>1620</v>
      </c>
      <c r="F2638" s="113" t="s">
        <v>3093</v>
      </c>
      <c r="G2638" s="113" t="s">
        <v>3093</v>
      </c>
      <c r="H2638" s="161">
        <v>4950</v>
      </c>
      <c r="I2638" s="161">
        <v>1</v>
      </c>
    </row>
    <row r="2639" spans="1:9">
      <c r="A2639" s="113">
        <v>100500228</v>
      </c>
      <c r="B2639" s="113" t="s">
        <v>5387</v>
      </c>
      <c r="C2639" s="113">
        <v>7054034</v>
      </c>
      <c r="D2639" s="113" t="s">
        <v>3093</v>
      </c>
      <c r="E2639" s="113" t="s">
        <v>1620</v>
      </c>
      <c r="F2639" s="113" t="s">
        <v>3093</v>
      </c>
      <c r="G2639" s="113" t="s">
        <v>3093</v>
      </c>
      <c r="H2639" s="161">
        <v>43808.87</v>
      </c>
      <c r="I2639" s="161">
        <v>0</v>
      </c>
    </row>
    <row r="2640" spans="1:9">
      <c r="A2640" s="113">
        <v>100500229</v>
      </c>
      <c r="B2640" s="113" t="s">
        <v>5388</v>
      </c>
      <c r="C2640" s="113">
        <v>7054035</v>
      </c>
      <c r="D2640" s="113" t="s">
        <v>3093</v>
      </c>
      <c r="E2640" s="113" t="s">
        <v>1620</v>
      </c>
      <c r="F2640" s="113" t="s">
        <v>3093</v>
      </c>
      <c r="G2640" s="113" t="s">
        <v>3093</v>
      </c>
      <c r="H2640" s="161">
        <v>40162.480000000003</v>
      </c>
      <c r="I2640" s="161">
        <v>1</v>
      </c>
    </row>
    <row r="2641" spans="1:9">
      <c r="A2641" s="113">
        <v>100500230</v>
      </c>
      <c r="B2641" s="113" t="s">
        <v>5389</v>
      </c>
      <c r="C2641" s="113">
        <v>7054036</v>
      </c>
      <c r="D2641" s="113" t="s">
        <v>3093</v>
      </c>
      <c r="E2641" s="113" t="s">
        <v>1620</v>
      </c>
      <c r="F2641" s="113" t="s">
        <v>3093</v>
      </c>
      <c r="G2641" s="113" t="s">
        <v>3093</v>
      </c>
      <c r="H2641" s="161">
        <v>0</v>
      </c>
      <c r="I2641" s="161" t="s">
        <v>7138</v>
      </c>
    </row>
    <row r="2642" spans="1:9">
      <c r="A2642" s="113">
        <v>100500231</v>
      </c>
      <c r="B2642" s="113" t="s">
        <v>5390</v>
      </c>
      <c r="C2642" s="113">
        <v>7054049</v>
      </c>
      <c r="D2642" s="113" t="s">
        <v>3093</v>
      </c>
      <c r="E2642" s="113" t="s">
        <v>1620</v>
      </c>
      <c r="F2642" s="113" t="s">
        <v>3093</v>
      </c>
      <c r="G2642" s="113" t="s">
        <v>3093</v>
      </c>
      <c r="H2642" s="161">
        <v>0</v>
      </c>
      <c r="I2642" s="161" t="s">
        <v>7138</v>
      </c>
    </row>
    <row r="2643" spans="1:9">
      <c r="A2643" s="113">
        <v>100500232</v>
      </c>
      <c r="B2643" s="113" t="s">
        <v>5391</v>
      </c>
      <c r="C2643" s="113">
        <v>7054069</v>
      </c>
      <c r="D2643" s="113" t="s">
        <v>3093</v>
      </c>
      <c r="E2643" s="113" t="s">
        <v>1620</v>
      </c>
      <c r="F2643" s="113" t="s">
        <v>3093</v>
      </c>
      <c r="G2643" s="113" t="s">
        <v>3093</v>
      </c>
      <c r="H2643" s="161">
        <v>50315.23</v>
      </c>
      <c r="I2643" s="161" t="s">
        <v>7138</v>
      </c>
    </row>
    <row r="2644" spans="1:9">
      <c r="A2644" s="113">
        <v>100500233</v>
      </c>
      <c r="B2644" s="113" t="s">
        <v>5392</v>
      </c>
      <c r="C2644" s="113">
        <v>7054087</v>
      </c>
      <c r="D2644" s="113" t="s">
        <v>3093</v>
      </c>
      <c r="E2644" s="113" t="s">
        <v>1620</v>
      </c>
      <c r="F2644" s="113" t="s">
        <v>3093</v>
      </c>
      <c r="G2644" s="113" t="s">
        <v>3093</v>
      </c>
      <c r="H2644" s="161">
        <v>0</v>
      </c>
      <c r="I2644" s="161" t="s">
        <v>7138</v>
      </c>
    </row>
    <row r="2645" spans="1:9">
      <c r="A2645" s="113">
        <v>100500234</v>
      </c>
      <c r="B2645" s="113" t="s">
        <v>5393</v>
      </c>
      <c r="C2645" s="113">
        <v>7054111</v>
      </c>
      <c r="D2645" s="113" t="s">
        <v>3093</v>
      </c>
      <c r="E2645" s="113" t="s">
        <v>1620</v>
      </c>
      <c r="F2645" s="113" t="s">
        <v>3093</v>
      </c>
      <c r="G2645" s="113" t="s">
        <v>3093</v>
      </c>
      <c r="H2645" s="161">
        <v>44146.55</v>
      </c>
      <c r="I2645" s="161" t="s">
        <v>7138</v>
      </c>
    </row>
    <row r="2646" spans="1:9">
      <c r="A2646" s="113">
        <v>100500235</v>
      </c>
      <c r="B2646" s="113" t="s">
        <v>5394</v>
      </c>
      <c r="C2646" s="113">
        <v>7054112</v>
      </c>
      <c r="D2646" s="113" t="s">
        <v>3093</v>
      </c>
      <c r="E2646" s="113" t="s">
        <v>1620</v>
      </c>
      <c r="F2646" s="113" t="s">
        <v>3093</v>
      </c>
      <c r="G2646" s="113" t="s">
        <v>3093</v>
      </c>
      <c r="H2646" s="161">
        <v>44146.559999999998</v>
      </c>
      <c r="I2646" s="161" t="s">
        <v>7138</v>
      </c>
    </row>
    <row r="2647" spans="1:9">
      <c r="A2647" s="113">
        <v>100500236</v>
      </c>
      <c r="B2647" s="113" t="s">
        <v>5395</v>
      </c>
      <c r="C2647" s="113">
        <v>7054113</v>
      </c>
      <c r="D2647" s="113" t="s">
        <v>3093</v>
      </c>
      <c r="E2647" s="113" t="s">
        <v>1620</v>
      </c>
      <c r="F2647" s="113" t="s">
        <v>3093</v>
      </c>
      <c r="G2647" s="113" t="s">
        <v>3093</v>
      </c>
      <c r="H2647" s="161">
        <v>285</v>
      </c>
      <c r="I2647" s="161" t="s">
        <v>7138</v>
      </c>
    </row>
    <row r="2648" spans="1:9">
      <c r="A2648" s="113">
        <v>100500237</v>
      </c>
      <c r="B2648" s="113" t="s">
        <v>5396</v>
      </c>
      <c r="C2648" s="113">
        <v>7054114</v>
      </c>
      <c r="D2648" s="113" t="s">
        <v>3093</v>
      </c>
      <c r="E2648" s="113" t="s">
        <v>1620</v>
      </c>
      <c r="F2648" s="113" t="s">
        <v>3093</v>
      </c>
      <c r="G2648" s="113" t="s">
        <v>3093</v>
      </c>
      <c r="H2648" s="161">
        <v>285</v>
      </c>
      <c r="I2648" s="161" t="s">
        <v>7138</v>
      </c>
    </row>
    <row r="2649" spans="1:9">
      <c r="A2649" s="113">
        <v>100500238</v>
      </c>
      <c r="B2649" s="113" t="s">
        <v>5397</v>
      </c>
      <c r="C2649" s="113">
        <v>7054115</v>
      </c>
      <c r="D2649" s="113" t="s">
        <v>3093</v>
      </c>
      <c r="E2649" s="113" t="s">
        <v>1620</v>
      </c>
      <c r="F2649" s="113" t="s">
        <v>3093</v>
      </c>
      <c r="G2649" s="113" t="s">
        <v>3093</v>
      </c>
      <c r="H2649" s="161">
        <v>0</v>
      </c>
      <c r="I2649" s="161" t="s">
        <v>7138</v>
      </c>
    </row>
    <row r="2650" spans="1:9">
      <c r="A2650" s="113">
        <v>100500239</v>
      </c>
      <c r="B2650" s="113" t="s">
        <v>5398</v>
      </c>
      <c r="C2650" s="113">
        <v>7054116</v>
      </c>
      <c r="D2650" s="113" t="s">
        <v>3093</v>
      </c>
      <c r="E2650" s="113" t="s">
        <v>1620</v>
      </c>
      <c r="F2650" s="113" t="s">
        <v>3093</v>
      </c>
      <c r="G2650" s="113" t="s">
        <v>3093</v>
      </c>
      <c r="H2650" s="161">
        <v>0</v>
      </c>
      <c r="I2650" s="161" t="s">
        <v>7138</v>
      </c>
    </row>
    <row r="2651" spans="1:9">
      <c r="A2651" s="113">
        <v>100500240</v>
      </c>
      <c r="B2651" s="113" t="s">
        <v>5399</v>
      </c>
      <c r="C2651" s="113">
        <v>7054137</v>
      </c>
      <c r="D2651" s="113" t="s">
        <v>3093</v>
      </c>
      <c r="E2651" s="113" t="s">
        <v>1620</v>
      </c>
      <c r="F2651" s="113" t="s">
        <v>3093</v>
      </c>
      <c r="G2651" s="113" t="s">
        <v>3093</v>
      </c>
      <c r="H2651" s="161">
        <v>146</v>
      </c>
      <c r="I2651" s="161">
        <v>240</v>
      </c>
    </row>
    <row r="2652" spans="1:9">
      <c r="A2652" s="113">
        <v>100500241</v>
      </c>
      <c r="B2652" s="113" t="s">
        <v>5400</v>
      </c>
      <c r="C2652" s="113">
        <v>7054138</v>
      </c>
      <c r="D2652" s="113" t="s">
        <v>3093</v>
      </c>
      <c r="E2652" s="113" t="s">
        <v>1620</v>
      </c>
      <c r="F2652" s="113" t="s">
        <v>3093</v>
      </c>
      <c r="G2652" s="113" t="s">
        <v>3093</v>
      </c>
      <c r="H2652" s="161">
        <v>146</v>
      </c>
      <c r="I2652" s="161">
        <v>432</v>
      </c>
    </row>
    <row r="2653" spans="1:9">
      <c r="A2653" s="113">
        <v>100500242</v>
      </c>
      <c r="B2653" s="113" t="s">
        <v>5401</v>
      </c>
      <c r="C2653" s="113">
        <v>7054139</v>
      </c>
      <c r="D2653" s="113" t="s">
        <v>3093</v>
      </c>
      <c r="E2653" s="113" t="s">
        <v>1620</v>
      </c>
      <c r="F2653" s="113" t="s">
        <v>3093</v>
      </c>
      <c r="G2653" s="113" t="s">
        <v>3093</v>
      </c>
      <c r="H2653" s="161">
        <v>0</v>
      </c>
      <c r="I2653" s="161" t="s">
        <v>7138</v>
      </c>
    </row>
    <row r="2654" spans="1:9">
      <c r="A2654" s="113">
        <v>100500243</v>
      </c>
      <c r="B2654" s="113" t="s">
        <v>5402</v>
      </c>
      <c r="C2654" s="113">
        <v>7072019</v>
      </c>
      <c r="D2654" s="113" t="s">
        <v>3093</v>
      </c>
      <c r="E2654" s="113" t="s">
        <v>1620</v>
      </c>
      <c r="F2654" s="113" t="s">
        <v>3093</v>
      </c>
      <c r="G2654" s="113" t="s">
        <v>3093</v>
      </c>
      <c r="H2654" s="161">
        <v>0</v>
      </c>
      <c r="I2654" s="161" t="s">
        <v>7138</v>
      </c>
    </row>
    <row r="2655" spans="1:9">
      <c r="A2655" s="113">
        <v>100500244</v>
      </c>
      <c r="B2655" s="113" t="s">
        <v>5403</v>
      </c>
      <c r="C2655" s="113">
        <v>7072025</v>
      </c>
      <c r="D2655" s="113" t="s">
        <v>3093</v>
      </c>
      <c r="E2655" s="113" t="s">
        <v>1620</v>
      </c>
      <c r="F2655" s="113" t="s">
        <v>3093</v>
      </c>
      <c r="G2655" s="113" t="s">
        <v>3093</v>
      </c>
      <c r="H2655" s="161">
        <v>15764.9</v>
      </c>
      <c r="I2655" s="161">
        <v>1</v>
      </c>
    </row>
    <row r="2656" spans="1:9">
      <c r="A2656" s="113">
        <v>100500245</v>
      </c>
      <c r="B2656" s="113" t="s">
        <v>5404</v>
      </c>
      <c r="C2656" s="113">
        <v>7072026</v>
      </c>
      <c r="D2656" s="113" t="s">
        <v>3093</v>
      </c>
      <c r="E2656" s="113" t="s">
        <v>1620</v>
      </c>
      <c r="F2656" s="113" t="s">
        <v>3093</v>
      </c>
      <c r="G2656" s="113" t="s">
        <v>3093</v>
      </c>
      <c r="H2656" s="161">
        <v>3.1</v>
      </c>
      <c r="I2656" s="161">
        <v>12</v>
      </c>
    </row>
    <row r="2657" spans="1:9">
      <c r="A2657" s="113">
        <v>100500246</v>
      </c>
      <c r="B2657" s="113" t="s">
        <v>5405</v>
      </c>
      <c r="C2657" s="113">
        <v>7072027</v>
      </c>
      <c r="D2657" s="113" t="s">
        <v>3093</v>
      </c>
      <c r="E2657" s="113" t="s">
        <v>1620</v>
      </c>
      <c r="F2657" s="113" t="s">
        <v>3093</v>
      </c>
      <c r="G2657" s="113" t="s">
        <v>3093</v>
      </c>
      <c r="H2657" s="161">
        <v>846.4</v>
      </c>
      <c r="I2657" s="161">
        <v>60</v>
      </c>
    </row>
    <row r="2658" spans="1:9">
      <c r="A2658" s="113">
        <v>100500247</v>
      </c>
      <c r="B2658" s="113" t="s">
        <v>5406</v>
      </c>
      <c r="C2658" s="113">
        <v>7072028</v>
      </c>
      <c r="D2658" s="113" t="s">
        <v>3093</v>
      </c>
      <c r="E2658" s="113" t="s">
        <v>1620</v>
      </c>
      <c r="F2658" s="113" t="s">
        <v>3093</v>
      </c>
      <c r="G2658" s="113" t="s">
        <v>3093</v>
      </c>
      <c r="H2658" s="161">
        <v>59.89</v>
      </c>
      <c r="I2658" s="161">
        <v>0</v>
      </c>
    </row>
    <row r="2659" spans="1:9">
      <c r="A2659" s="113">
        <v>100500248</v>
      </c>
      <c r="B2659" s="113" t="s">
        <v>5407</v>
      </c>
      <c r="C2659" s="113">
        <v>7072030</v>
      </c>
      <c r="D2659" s="113" t="s">
        <v>3093</v>
      </c>
      <c r="E2659" s="113" t="s">
        <v>1620</v>
      </c>
      <c r="F2659" s="113" t="s">
        <v>3093</v>
      </c>
      <c r="G2659" s="113" t="s">
        <v>3093</v>
      </c>
      <c r="H2659" s="161">
        <v>90.74</v>
      </c>
      <c r="I2659" s="161">
        <v>400</v>
      </c>
    </row>
    <row r="2660" spans="1:9">
      <c r="A2660" s="113">
        <v>100500249</v>
      </c>
      <c r="B2660" s="113" t="s">
        <v>5408</v>
      </c>
      <c r="C2660" s="113">
        <v>7072035</v>
      </c>
      <c r="D2660" s="113" t="s">
        <v>3093</v>
      </c>
      <c r="E2660" s="113" t="s">
        <v>1620</v>
      </c>
      <c r="F2660" s="113" t="s">
        <v>3093</v>
      </c>
      <c r="G2660" s="113" t="s">
        <v>3093</v>
      </c>
      <c r="H2660" s="161">
        <v>0</v>
      </c>
      <c r="I2660" s="161" t="s">
        <v>7138</v>
      </c>
    </row>
    <row r="2661" spans="1:9">
      <c r="A2661" s="113">
        <v>100500250</v>
      </c>
      <c r="B2661" s="113" t="s">
        <v>5409</v>
      </c>
      <c r="C2661" s="113">
        <v>7072036</v>
      </c>
      <c r="D2661" s="113" t="s">
        <v>3093</v>
      </c>
      <c r="E2661" s="113" t="s">
        <v>1620</v>
      </c>
      <c r="F2661" s="113" t="s">
        <v>3093</v>
      </c>
      <c r="G2661" s="113" t="s">
        <v>3093</v>
      </c>
      <c r="H2661" s="161">
        <v>0</v>
      </c>
      <c r="I2661" s="161" t="s">
        <v>7138</v>
      </c>
    </row>
    <row r="2662" spans="1:9">
      <c r="A2662" s="113">
        <v>100500251</v>
      </c>
      <c r="B2662" s="113" t="s">
        <v>5410</v>
      </c>
      <c r="C2662" s="113">
        <v>7072037</v>
      </c>
      <c r="D2662" s="113" t="s">
        <v>3093</v>
      </c>
      <c r="E2662" s="113" t="s">
        <v>1620</v>
      </c>
      <c r="F2662" s="113" t="s">
        <v>3093</v>
      </c>
      <c r="G2662" s="113" t="s">
        <v>3093</v>
      </c>
      <c r="H2662" s="161">
        <v>57.5</v>
      </c>
      <c r="I2662" s="161">
        <v>200</v>
      </c>
    </row>
    <row r="2663" spans="1:9">
      <c r="A2663" s="113">
        <v>100500252</v>
      </c>
      <c r="B2663" s="113" t="s">
        <v>5411</v>
      </c>
      <c r="C2663" s="113">
        <v>7072038</v>
      </c>
      <c r="D2663" s="113" t="s">
        <v>3093</v>
      </c>
      <c r="E2663" s="113" t="s">
        <v>1620</v>
      </c>
      <c r="F2663" s="113" t="s">
        <v>3093</v>
      </c>
      <c r="G2663" s="113" t="s">
        <v>3093</v>
      </c>
      <c r="H2663" s="161">
        <v>0</v>
      </c>
      <c r="I2663" s="161" t="s">
        <v>7138</v>
      </c>
    </row>
    <row r="2664" spans="1:9">
      <c r="A2664" s="113">
        <v>100500253</v>
      </c>
      <c r="B2664" s="113" t="s">
        <v>5412</v>
      </c>
      <c r="C2664" s="113">
        <v>7072040</v>
      </c>
      <c r="D2664" s="113" t="s">
        <v>3093</v>
      </c>
      <c r="E2664" s="113" t="s">
        <v>1620</v>
      </c>
      <c r="F2664" s="113" t="s">
        <v>3093</v>
      </c>
      <c r="G2664" s="113" t="s">
        <v>3093</v>
      </c>
      <c r="H2664" s="161">
        <v>0</v>
      </c>
      <c r="I2664" s="161" t="s">
        <v>7138</v>
      </c>
    </row>
    <row r="2665" spans="1:9">
      <c r="A2665" s="113">
        <v>100500254</v>
      </c>
      <c r="B2665" s="113" t="s">
        <v>5413</v>
      </c>
      <c r="C2665" s="113">
        <v>7072043</v>
      </c>
      <c r="D2665" s="113" t="s">
        <v>3093</v>
      </c>
      <c r="E2665" s="113" t="s">
        <v>1620</v>
      </c>
      <c r="F2665" s="113" t="s">
        <v>3093</v>
      </c>
      <c r="G2665" s="113" t="s">
        <v>3093</v>
      </c>
      <c r="H2665" s="161">
        <v>740.82</v>
      </c>
      <c r="I2665" s="161">
        <v>10</v>
      </c>
    </row>
    <row r="2666" spans="1:9">
      <c r="A2666" s="113">
        <v>100500255</v>
      </c>
      <c r="B2666" s="113" t="s">
        <v>5414</v>
      </c>
      <c r="C2666" s="113">
        <v>7072044</v>
      </c>
      <c r="D2666" s="113" t="s">
        <v>3093</v>
      </c>
      <c r="E2666" s="113" t="s">
        <v>1620</v>
      </c>
      <c r="F2666" s="113" t="s">
        <v>3093</v>
      </c>
      <c r="G2666" s="113" t="s">
        <v>3093</v>
      </c>
      <c r="H2666" s="161">
        <v>0</v>
      </c>
      <c r="I2666" s="161" t="s">
        <v>7138</v>
      </c>
    </row>
    <row r="2667" spans="1:9">
      <c r="A2667" s="113">
        <v>100500256</v>
      </c>
      <c r="B2667" s="113" t="s">
        <v>5415</v>
      </c>
      <c r="C2667" s="113">
        <v>7072045</v>
      </c>
      <c r="D2667" s="113" t="s">
        <v>3093</v>
      </c>
      <c r="E2667" s="113" t="s">
        <v>1620</v>
      </c>
      <c r="F2667" s="113" t="s">
        <v>3093</v>
      </c>
      <c r="G2667" s="113" t="s">
        <v>3093</v>
      </c>
      <c r="H2667" s="161">
        <v>2164.86</v>
      </c>
      <c r="I2667" s="161">
        <v>100</v>
      </c>
    </row>
    <row r="2668" spans="1:9">
      <c r="A2668" s="113">
        <v>100500257</v>
      </c>
      <c r="B2668" s="113" t="s">
        <v>5416</v>
      </c>
      <c r="C2668" s="113">
        <v>7072046</v>
      </c>
      <c r="D2668" s="113" t="s">
        <v>3093</v>
      </c>
      <c r="E2668" s="113" t="s">
        <v>1620</v>
      </c>
      <c r="F2668" s="113" t="s">
        <v>3093</v>
      </c>
      <c r="G2668" s="113" t="s">
        <v>3093</v>
      </c>
      <c r="H2668" s="161">
        <v>0</v>
      </c>
      <c r="I2668" s="161" t="s">
        <v>7138</v>
      </c>
    </row>
    <row r="2669" spans="1:9">
      <c r="A2669" s="113">
        <v>100500258</v>
      </c>
      <c r="B2669" s="113" t="s">
        <v>5417</v>
      </c>
      <c r="C2669" s="113">
        <v>7072047</v>
      </c>
      <c r="D2669" s="113" t="s">
        <v>3093</v>
      </c>
      <c r="E2669" s="113" t="s">
        <v>1620</v>
      </c>
      <c r="F2669" s="113" t="s">
        <v>3093</v>
      </c>
      <c r="G2669" s="113" t="s">
        <v>3093</v>
      </c>
      <c r="H2669" s="161">
        <v>79.08</v>
      </c>
      <c r="I2669" s="161">
        <v>200</v>
      </c>
    </row>
    <row r="2670" spans="1:9">
      <c r="A2670" s="113">
        <v>100500259</v>
      </c>
      <c r="B2670" s="113" t="s">
        <v>5418</v>
      </c>
      <c r="C2670" s="113">
        <v>7072048</v>
      </c>
      <c r="D2670" s="113" t="s">
        <v>3093</v>
      </c>
      <c r="E2670" s="113" t="s">
        <v>1620</v>
      </c>
      <c r="F2670" s="113" t="s">
        <v>3093</v>
      </c>
      <c r="G2670" s="113" t="s">
        <v>3093</v>
      </c>
      <c r="H2670" s="161">
        <v>0</v>
      </c>
      <c r="I2670" s="161" t="s">
        <v>7138</v>
      </c>
    </row>
    <row r="2671" spans="1:9">
      <c r="A2671" s="113">
        <v>100500260</v>
      </c>
      <c r="B2671" s="113" t="s">
        <v>5419</v>
      </c>
      <c r="C2671" s="113">
        <v>7072049</v>
      </c>
      <c r="D2671" s="113" t="s">
        <v>3093</v>
      </c>
      <c r="E2671" s="113" t="s">
        <v>1620</v>
      </c>
      <c r="F2671" s="113" t="s">
        <v>3093</v>
      </c>
      <c r="G2671" s="113" t="s">
        <v>3093</v>
      </c>
      <c r="H2671" s="161">
        <v>0</v>
      </c>
      <c r="I2671" s="161" t="s">
        <v>7138</v>
      </c>
    </row>
    <row r="2672" spans="1:9">
      <c r="A2672" s="113">
        <v>100500261</v>
      </c>
      <c r="B2672" s="113" t="s">
        <v>5420</v>
      </c>
      <c r="C2672" s="113">
        <v>7072054</v>
      </c>
      <c r="D2672" s="113" t="s">
        <v>3093</v>
      </c>
      <c r="E2672" s="113" t="s">
        <v>1620</v>
      </c>
      <c r="F2672" s="113" t="s">
        <v>3093</v>
      </c>
      <c r="G2672" s="113" t="s">
        <v>3093</v>
      </c>
      <c r="H2672" s="161">
        <v>0</v>
      </c>
      <c r="I2672" s="161" t="s">
        <v>7138</v>
      </c>
    </row>
    <row r="2673" spans="1:9">
      <c r="A2673" s="113">
        <v>100500262</v>
      </c>
      <c r="B2673" s="113" t="s">
        <v>5421</v>
      </c>
      <c r="C2673" s="113">
        <v>7072055</v>
      </c>
      <c r="D2673" s="113" t="s">
        <v>3093</v>
      </c>
      <c r="E2673" s="113" t="s">
        <v>1620</v>
      </c>
      <c r="F2673" s="113" t="s">
        <v>3093</v>
      </c>
      <c r="G2673" s="113" t="s">
        <v>3093</v>
      </c>
      <c r="H2673" s="161">
        <v>0</v>
      </c>
      <c r="I2673" s="161" t="s">
        <v>7138</v>
      </c>
    </row>
    <row r="2674" spans="1:9">
      <c r="A2674" s="113">
        <v>100500263</v>
      </c>
      <c r="B2674" s="113" t="s">
        <v>5422</v>
      </c>
      <c r="C2674" s="113">
        <v>7072056</v>
      </c>
      <c r="D2674" s="113" t="s">
        <v>3093</v>
      </c>
      <c r="E2674" s="113" t="s">
        <v>1620</v>
      </c>
      <c r="F2674" s="113" t="s">
        <v>3093</v>
      </c>
      <c r="G2674" s="113" t="s">
        <v>3093</v>
      </c>
      <c r="H2674" s="161">
        <v>0</v>
      </c>
      <c r="I2674" s="161" t="s">
        <v>7138</v>
      </c>
    </row>
    <row r="2675" spans="1:9">
      <c r="A2675" s="113">
        <v>100500264</v>
      </c>
      <c r="B2675" s="113" t="s">
        <v>5423</v>
      </c>
      <c r="C2675" s="113">
        <v>7072057</v>
      </c>
      <c r="D2675" s="113" t="s">
        <v>3093</v>
      </c>
      <c r="E2675" s="113" t="s">
        <v>1620</v>
      </c>
      <c r="F2675" s="113" t="s">
        <v>3093</v>
      </c>
      <c r="G2675" s="113" t="s">
        <v>3093</v>
      </c>
      <c r="H2675" s="161">
        <v>0</v>
      </c>
      <c r="I2675" s="161" t="s">
        <v>7138</v>
      </c>
    </row>
    <row r="2676" spans="1:9">
      <c r="A2676" s="113">
        <v>100500265</v>
      </c>
      <c r="B2676" s="113" t="s">
        <v>5424</v>
      </c>
      <c r="C2676" s="113">
        <v>7072058</v>
      </c>
      <c r="D2676" s="113" t="s">
        <v>3093</v>
      </c>
      <c r="E2676" s="113" t="s">
        <v>1620</v>
      </c>
      <c r="F2676" s="113" t="s">
        <v>3093</v>
      </c>
      <c r="G2676" s="113" t="s">
        <v>3093</v>
      </c>
      <c r="H2676" s="161">
        <v>0</v>
      </c>
      <c r="I2676" s="161" t="s">
        <v>7138</v>
      </c>
    </row>
    <row r="2677" spans="1:9">
      <c r="A2677" s="113">
        <v>100500266</v>
      </c>
      <c r="B2677" s="113" t="s">
        <v>5425</v>
      </c>
      <c r="C2677" s="113">
        <v>7072059</v>
      </c>
      <c r="D2677" s="113" t="s">
        <v>3093</v>
      </c>
      <c r="E2677" s="113" t="s">
        <v>1620</v>
      </c>
      <c r="F2677" s="113" t="s">
        <v>3093</v>
      </c>
      <c r="G2677" s="113" t="s">
        <v>3093</v>
      </c>
      <c r="H2677" s="161">
        <v>0</v>
      </c>
      <c r="I2677" s="161" t="s">
        <v>7138</v>
      </c>
    </row>
    <row r="2678" spans="1:9">
      <c r="A2678" s="113">
        <v>100500267</v>
      </c>
      <c r="B2678" s="113" t="s">
        <v>5426</v>
      </c>
      <c r="C2678" s="113">
        <v>7072060</v>
      </c>
      <c r="D2678" s="113" t="s">
        <v>3093</v>
      </c>
      <c r="E2678" s="113" t="s">
        <v>1620</v>
      </c>
      <c r="F2678" s="113" t="s">
        <v>3093</v>
      </c>
      <c r="G2678" s="113" t="s">
        <v>3093</v>
      </c>
      <c r="H2678" s="161">
        <v>0</v>
      </c>
      <c r="I2678" s="161" t="s">
        <v>7138</v>
      </c>
    </row>
    <row r="2679" spans="1:9">
      <c r="A2679" s="113">
        <v>100500268</v>
      </c>
      <c r="B2679" s="113" t="s">
        <v>5427</v>
      </c>
      <c r="C2679" s="113">
        <v>7072061</v>
      </c>
      <c r="D2679" s="113" t="s">
        <v>3093</v>
      </c>
      <c r="E2679" s="113" t="s">
        <v>1620</v>
      </c>
      <c r="F2679" s="113" t="s">
        <v>3093</v>
      </c>
      <c r="G2679" s="113" t="s">
        <v>3093</v>
      </c>
      <c r="H2679" s="161">
        <v>150</v>
      </c>
      <c r="I2679" s="161">
        <v>25</v>
      </c>
    </row>
    <row r="2680" spans="1:9">
      <c r="A2680" s="113">
        <v>100500269</v>
      </c>
      <c r="B2680" s="113" t="s">
        <v>5428</v>
      </c>
      <c r="C2680" s="113">
        <v>7072062</v>
      </c>
      <c r="D2680" s="113" t="s">
        <v>3093</v>
      </c>
      <c r="E2680" s="113" t="s">
        <v>1620</v>
      </c>
      <c r="F2680" s="113" t="s">
        <v>3093</v>
      </c>
      <c r="G2680" s="113" t="s">
        <v>3093</v>
      </c>
      <c r="H2680" s="161">
        <v>17.32</v>
      </c>
      <c r="I2680" s="161">
        <v>50</v>
      </c>
    </row>
    <row r="2681" spans="1:9">
      <c r="A2681" s="113">
        <v>100500270</v>
      </c>
      <c r="B2681" s="113" t="s">
        <v>5429</v>
      </c>
      <c r="C2681" s="113">
        <v>7072063</v>
      </c>
      <c r="D2681" s="113" t="s">
        <v>3093</v>
      </c>
      <c r="E2681" s="113" t="s">
        <v>1620</v>
      </c>
      <c r="F2681" s="113" t="s">
        <v>3093</v>
      </c>
      <c r="G2681" s="113" t="s">
        <v>3093</v>
      </c>
      <c r="H2681" s="161">
        <v>0</v>
      </c>
      <c r="I2681" s="161" t="s">
        <v>7138</v>
      </c>
    </row>
    <row r="2682" spans="1:9">
      <c r="A2682" s="113">
        <v>100500271</v>
      </c>
      <c r="B2682" s="113" t="s">
        <v>5430</v>
      </c>
      <c r="C2682" s="113">
        <v>7072064</v>
      </c>
      <c r="D2682" s="113" t="s">
        <v>3093</v>
      </c>
      <c r="E2682" s="113" t="s">
        <v>1620</v>
      </c>
      <c r="F2682" s="113" t="s">
        <v>3093</v>
      </c>
      <c r="G2682" s="113" t="s">
        <v>3093</v>
      </c>
      <c r="H2682" s="161">
        <v>0</v>
      </c>
      <c r="I2682" s="161" t="s">
        <v>7138</v>
      </c>
    </row>
    <row r="2683" spans="1:9">
      <c r="A2683" s="113">
        <v>100500272</v>
      </c>
      <c r="B2683" s="113" t="s">
        <v>5431</v>
      </c>
      <c r="C2683" s="113">
        <v>7072065</v>
      </c>
      <c r="D2683" s="113" t="s">
        <v>3093</v>
      </c>
      <c r="E2683" s="113" t="s">
        <v>1620</v>
      </c>
      <c r="F2683" s="113" t="s">
        <v>3093</v>
      </c>
      <c r="G2683" s="113" t="s">
        <v>3093</v>
      </c>
      <c r="H2683" s="161">
        <v>0</v>
      </c>
      <c r="I2683" s="161" t="s">
        <v>7138</v>
      </c>
    </row>
    <row r="2684" spans="1:9">
      <c r="A2684" s="113">
        <v>100500273</v>
      </c>
      <c r="B2684" s="113" t="s">
        <v>5432</v>
      </c>
      <c r="C2684" s="113">
        <v>7072066</v>
      </c>
      <c r="D2684" s="113" t="s">
        <v>3093</v>
      </c>
      <c r="E2684" s="113" t="s">
        <v>1620</v>
      </c>
      <c r="F2684" s="113" t="s">
        <v>3093</v>
      </c>
      <c r="G2684" s="113" t="s">
        <v>3093</v>
      </c>
      <c r="H2684" s="161">
        <v>0</v>
      </c>
      <c r="I2684" s="161" t="s">
        <v>7138</v>
      </c>
    </row>
    <row r="2685" spans="1:9">
      <c r="A2685" s="113">
        <v>100500274</v>
      </c>
      <c r="B2685" s="113" t="s">
        <v>5433</v>
      </c>
      <c r="C2685" s="113">
        <v>7072067</v>
      </c>
      <c r="D2685" s="113" t="s">
        <v>3093</v>
      </c>
      <c r="E2685" s="113" t="s">
        <v>1620</v>
      </c>
      <c r="F2685" s="113" t="s">
        <v>3093</v>
      </c>
      <c r="G2685" s="113" t="s">
        <v>3093</v>
      </c>
      <c r="H2685" s="161">
        <v>0</v>
      </c>
      <c r="I2685" s="161" t="s">
        <v>7138</v>
      </c>
    </row>
    <row r="2686" spans="1:9">
      <c r="A2686" s="113">
        <v>100500275</v>
      </c>
      <c r="B2686" s="113" t="s">
        <v>5434</v>
      </c>
      <c r="C2686" s="113">
        <v>7072068</v>
      </c>
      <c r="D2686" s="113" t="s">
        <v>3093</v>
      </c>
      <c r="E2686" s="113" t="s">
        <v>1620</v>
      </c>
      <c r="F2686" s="113" t="s">
        <v>3093</v>
      </c>
      <c r="G2686" s="113" t="s">
        <v>3093</v>
      </c>
      <c r="H2686" s="161">
        <v>0</v>
      </c>
      <c r="I2686" s="161" t="s">
        <v>7138</v>
      </c>
    </row>
    <row r="2687" spans="1:9">
      <c r="A2687" s="113">
        <v>100500276</v>
      </c>
      <c r="B2687" s="113" t="s">
        <v>5435</v>
      </c>
      <c r="C2687" s="113">
        <v>7072075</v>
      </c>
      <c r="D2687" s="113" t="s">
        <v>3093</v>
      </c>
      <c r="E2687" s="113" t="s">
        <v>1620</v>
      </c>
      <c r="F2687" s="113" t="s">
        <v>3093</v>
      </c>
      <c r="G2687" s="113" t="s">
        <v>3093</v>
      </c>
      <c r="H2687" s="161">
        <v>0</v>
      </c>
      <c r="I2687" s="161" t="s">
        <v>7138</v>
      </c>
    </row>
    <row r="2688" spans="1:9">
      <c r="A2688" s="113">
        <v>100500277</v>
      </c>
      <c r="B2688" s="113" t="s">
        <v>5436</v>
      </c>
      <c r="C2688" s="113">
        <v>7072079</v>
      </c>
      <c r="D2688" s="113" t="s">
        <v>3093</v>
      </c>
      <c r="E2688" s="113" t="s">
        <v>1620</v>
      </c>
      <c r="F2688" s="113" t="s">
        <v>3093</v>
      </c>
      <c r="G2688" s="113" t="s">
        <v>3093</v>
      </c>
      <c r="H2688" s="161">
        <v>0</v>
      </c>
      <c r="I2688" s="161" t="s">
        <v>7138</v>
      </c>
    </row>
    <row r="2689" spans="1:9">
      <c r="A2689" s="113">
        <v>100500278</v>
      </c>
      <c r="B2689" s="113" t="s">
        <v>5437</v>
      </c>
      <c r="C2689" s="113">
        <v>7072080</v>
      </c>
      <c r="D2689" s="113" t="s">
        <v>3093</v>
      </c>
      <c r="E2689" s="113" t="s">
        <v>1620</v>
      </c>
      <c r="F2689" s="113" t="s">
        <v>3093</v>
      </c>
      <c r="G2689" s="113" t="s">
        <v>3093</v>
      </c>
      <c r="H2689" s="161">
        <v>0</v>
      </c>
      <c r="I2689" s="161" t="s">
        <v>7138</v>
      </c>
    </row>
    <row r="2690" spans="1:9">
      <c r="A2690" s="113">
        <v>100500279</v>
      </c>
      <c r="B2690" s="113" t="s">
        <v>5438</v>
      </c>
      <c r="C2690" s="113">
        <v>7072081</v>
      </c>
      <c r="D2690" s="113" t="s">
        <v>3093</v>
      </c>
      <c r="E2690" s="113" t="s">
        <v>1620</v>
      </c>
      <c r="F2690" s="113" t="s">
        <v>3093</v>
      </c>
      <c r="G2690" s="113" t="s">
        <v>3093</v>
      </c>
      <c r="H2690" s="161">
        <v>238.52</v>
      </c>
      <c r="I2690" s="161">
        <v>20</v>
      </c>
    </row>
    <row r="2691" spans="1:9">
      <c r="A2691" s="113">
        <v>100500280</v>
      </c>
      <c r="B2691" s="113" t="s">
        <v>5439</v>
      </c>
      <c r="C2691" s="113">
        <v>7072083</v>
      </c>
      <c r="D2691" s="113" t="s">
        <v>3093</v>
      </c>
      <c r="E2691" s="113" t="s">
        <v>1620</v>
      </c>
      <c r="F2691" s="113" t="s">
        <v>3093</v>
      </c>
      <c r="G2691" s="113" t="s">
        <v>3093</v>
      </c>
      <c r="H2691" s="161">
        <v>0</v>
      </c>
      <c r="I2691" s="161" t="s">
        <v>7138</v>
      </c>
    </row>
    <row r="2692" spans="1:9">
      <c r="A2692" s="113">
        <v>100500281</v>
      </c>
      <c r="B2692" s="113" t="s">
        <v>5440</v>
      </c>
      <c r="C2692" s="113">
        <v>7072084</v>
      </c>
      <c r="D2692" s="113" t="s">
        <v>3093</v>
      </c>
      <c r="E2692" s="113" t="s">
        <v>1620</v>
      </c>
      <c r="F2692" s="113" t="s">
        <v>3093</v>
      </c>
      <c r="G2692" s="113" t="s">
        <v>3093</v>
      </c>
      <c r="H2692" s="161">
        <v>386.43</v>
      </c>
      <c r="I2692" s="161">
        <v>2</v>
      </c>
    </row>
    <row r="2693" spans="1:9">
      <c r="A2693" s="113">
        <v>100500282</v>
      </c>
      <c r="B2693" s="113" t="s">
        <v>5441</v>
      </c>
      <c r="C2693" s="113">
        <v>7072085</v>
      </c>
      <c r="D2693" s="113" t="s">
        <v>3093</v>
      </c>
      <c r="E2693" s="113" t="s">
        <v>1620</v>
      </c>
      <c r="F2693" s="113" t="s">
        <v>3093</v>
      </c>
      <c r="G2693" s="113" t="s">
        <v>3093</v>
      </c>
      <c r="H2693" s="161">
        <v>0</v>
      </c>
      <c r="I2693" s="161" t="s">
        <v>7138</v>
      </c>
    </row>
    <row r="2694" spans="1:9">
      <c r="A2694" s="113">
        <v>100500283</v>
      </c>
      <c r="B2694" s="113" t="s">
        <v>5442</v>
      </c>
      <c r="C2694" s="113">
        <v>7072091</v>
      </c>
      <c r="D2694" s="113" t="s">
        <v>3093</v>
      </c>
      <c r="E2694" s="113" t="s">
        <v>1620</v>
      </c>
      <c r="F2694" s="113" t="s">
        <v>3093</v>
      </c>
      <c r="G2694" s="113" t="s">
        <v>3093</v>
      </c>
      <c r="H2694" s="161">
        <v>0</v>
      </c>
      <c r="I2694" s="161" t="s">
        <v>7138</v>
      </c>
    </row>
    <row r="2695" spans="1:9">
      <c r="A2695" s="113">
        <v>100500284</v>
      </c>
      <c r="B2695" s="113" t="s">
        <v>5443</v>
      </c>
      <c r="C2695" s="113">
        <v>7072097</v>
      </c>
      <c r="D2695" s="113" t="s">
        <v>3093</v>
      </c>
      <c r="E2695" s="113" t="s">
        <v>1620</v>
      </c>
      <c r="F2695" s="113" t="s">
        <v>3093</v>
      </c>
      <c r="G2695" s="113" t="s">
        <v>3093</v>
      </c>
      <c r="H2695" s="161">
        <v>0</v>
      </c>
      <c r="I2695" s="161" t="s">
        <v>7138</v>
      </c>
    </row>
    <row r="2696" spans="1:9">
      <c r="A2696" s="113">
        <v>100500285</v>
      </c>
      <c r="B2696" s="113" t="s">
        <v>5444</v>
      </c>
      <c r="C2696" s="113">
        <v>7072098</v>
      </c>
      <c r="D2696" s="113" t="s">
        <v>3093</v>
      </c>
      <c r="E2696" s="113" t="s">
        <v>1620</v>
      </c>
      <c r="F2696" s="113" t="s">
        <v>3093</v>
      </c>
      <c r="G2696" s="113" t="s">
        <v>3093</v>
      </c>
      <c r="H2696" s="161">
        <v>0</v>
      </c>
      <c r="I2696" s="161" t="s">
        <v>7138</v>
      </c>
    </row>
    <row r="2697" spans="1:9">
      <c r="A2697" s="113">
        <v>100500286</v>
      </c>
      <c r="B2697" s="113" t="s">
        <v>5445</v>
      </c>
      <c r="C2697" s="113">
        <v>7072099</v>
      </c>
      <c r="D2697" s="113" t="s">
        <v>3093</v>
      </c>
      <c r="E2697" s="113" t="s">
        <v>1620</v>
      </c>
      <c r="F2697" s="113" t="s">
        <v>3093</v>
      </c>
      <c r="G2697" s="113" t="s">
        <v>3093</v>
      </c>
      <c r="H2697" s="161">
        <v>0</v>
      </c>
      <c r="I2697" s="161" t="s">
        <v>7138</v>
      </c>
    </row>
    <row r="2698" spans="1:9">
      <c r="A2698" s="113">
        <v>100500287</v>
      </c>
      <c r="B2698" s="113" t="s">
        <v>5446</v>
      </c>
      <c r="C2698" s="113">
        <v>7072101</v>
      </c>
      <c r="D2698" s="113" t="s">
        <v>3093</v>
      </c>
      <c r="E2698" s="113" t="s">
        <v>1620</v>
      </c>
      <c r="F2698" s="113" t="s">
        <v>3093</v>
      </c>
      <c r="G2698" s="113" t="s">
        <v>3093</v>
      </c>
      <c r="H2698" s="161">
        <v>0</v>
      </c>
      <c r="I2698" s="161" t="s">
        <v>7138</v>
      </c>
    </row>
    <row r="2699" spans="1:9">
      <c r="A2699" s="113">
        <v>100500288</v>
      </c>
      <c r="B2699" s="113" t="s">
        <v>5447</v>
      </c>
      <c r="C2699" s="113">
        <v>7072106</v>
      </c>
      <c r="D2699" s="113" t="s">
        <v>3093</v>
      </c>
      <c r="E2699" s="113" t="s">
        <v>1620</v>
      </c>
      <c r="F2699" s="113" t="s">
        <v>3093</v>
      </c>
      <c r="G2699" s="113" t="s">
        <v>3093</v>
      </c>
      <c r="H2699" s="161">
        <v>0</v>
      </c>
      <c r="I2699" s="161" t="s">
        <v>7138</v>
      </c>
    </row>
    <row r="2700" spans="1:9">
      <c r="A2700" s="113">
        <v>100500289</v>
      </c>
      <c r="B2700" s="113" t="s">
        <v>5448</v>
      </c>
      <c r="C2700" s="113">
        <v>7072107</v>
      </c>
      <c r="D2700" s="113" t="s">
        <v>3093</v>
      </c>
      <c r="E2700" s="113" t="s">
        <v>1620</v>
      </c>
      <c r="F2700" s="113" t="s">
        <v>3093</v>
      </c>
      <c r="G2700" s="113" t="s">
        <v>3093</v>
      </c>
      <c r="H2700" s="161">
        <v>0</v>
      </c>
      <c r="I2700" s="161" t="s">
        <v>7138</v>
      </c>
    </row>
    <row r="2701" spans="1:9">
      <c r="A2701" s="113">
        <v>100500290</v>
      </c>
      <c r="B2701" s="113" t="s">
        <v>5449</v>
      </c>
      <c r="C2701" s="113">
        <v>7072108</v>
      </c>
      <c r="D2701" s="113" t="s">
        <v>3093</v>
      </c>
      <c r="E2701" s="113" t="s">
        <v>1620</v>
      </c>
      <c r="F2701" s="113" t="s">
        <v>3093</v>
      </c>
      <c r="G2701" s="113" t="s">
        <v>3093</v>
      </c>
      <c r="H2701" s="161">
        <v>957.94</v>
      </c>
      <c r="I2701" s="161">
        <v>10</v>
      </c>
    </row>
    <row r="2702" spans="1:9">
      <c r="A2702" s="113">
        <v>100500291</v>
      </c>
      <c r="B2702" s="113" t="s">
        <v>5450</v>
      </c>
      <c r="C2702" s="113">
        <v>7072111</v>
      </c>
      <c r="D2702" s="113" t="s">
        <v>3093</v>
      </c>
      <c r="E2702" s="113" t="s">
        <v>1620</v>
      </c>
      <c r="F2702" s="113" t="s">
        <v>3093</v>
      </c>
      <c r="G2702" s="113" t="s">
        <v>3093</v>
      </c>
      <c r="H2702" s="161">
        <v>0</v>
      </c>
      <c r="I2702" s="161" t="s">
        <v>7138</v>
      </c>
    </row>
    <row r="2703" spans="1:9">
      <c r="A2703" s="113">
        <v>100500292</v>
      </c>
      <c r="B2703" s="113" t="s">
        <v>5451</v>
      </c>
      <c r="C2703" s="113">
        <v>7072118</v>
      </c>
      <c r="D2703" s="113" t="s">
        <v>3093</v>
      </c>
      <c r="E2703" s="113" t="s">
        <v>1620</v>
      </c>
      <c r="F2703" s="113" t="s">
        <v>3093</v>
      </c>
      <c r="G2703" s="113" t="s">
        <v>3093</v>
      </c>
      <c r="H2703" s="161">
        <v>7148.7421999999997</v>
      </c>
      <c r="I2703" s="161">
        <v>4</v>
      </c>
    </row>
    <row r="2704" spans="1:9">
      <c r="A2704" s="113">
        <v>100500293</v>
      </c>
      <c r="B2704" s="113" t="s">
        <v>5452</v>
      </c>
      <c r="C2704" s="113">
        <v>7072119</v>
      </c>
      <c r="D2704" s="113" t="s">
        <v>3093</v>
      </c>
      <c r="E2704" s="113" t="s">
        <v>1620</v>
      </c>
      <c r="F2704" s="113" t="s">
        <v>3093</v>
      </c>
      <c r="G2704" s="113" t="s">
        <v>3093</v>
      </c>
      <c r="H2704" s="161">
        <v>64367</v>
      </c>
      <c r="I2704" s="161">
        <v>1</v>
      </c>
    </row>
    <row r="2705" spans="1:9">
      <c r="A2705" s="113">
        <v>100500294</v>
      </c>
      <c r="B2705" s="113" t="s">
        <v>5453</v>
      </c>
      <c r="C2705" s="113">
        <v>7080020</v>
      </c>
      <c r="D2705" s="113" t="s">
        <v>3093</v>
      </c>
      <c r="E2705" s="113" t="s">
        <v>1620</v>
      </c>
      <c r="F2705" s="113" t="s">
        <v>3093</v>
      </c>
      <c r="G2705" s="113" t="s">
        <v>3093</v>
      </c>
      <c r="H2705" s="161">
        <v>0</v>
      </c>
      <c r="I2705" s="161" t="s">
        <v>7138</v>
      </c>
    </row>
    <row r="2706" spans="1:9">
      <c r="A2706" s="113">
        <v>100500295</v>
      </c>
      <c r="B2706" s="113" t="s">
        <v>2997</v>
      </c>
      <c r="C2706" s="113">
        <v>7090100</v>
      </c>
      <c r="D2706" s="113" t="s">
        <v>3093</v>
      </c>
      <c r="E2706" s="113" t="s">
        <v>1620</v>
      </c>
      <c r="F2706" s="113" t="s">
        <v>3093</v>
      </c>
      <c r="G2706" s="113" t="s">
        <v>3093</v>
      </c>
      <c r="H2706" s="161">
        <v>20</v>
      </c>
      <c r="I2706" s="161">
        <v>240</v>
      </c>
    </row>
    <row r="2707" spans="1:9">
      <c r="A2707" s="113">
        <v>100500296</v>
      </c>
      <c r="B2707" s="113" t="s">
        <v>5454</v>
      </c>
      <c r="C2707" s="113">
        <v>7090101</v>
      </c>
      <c r="D2707" s="113" t="s">
        <v>3093</v>
      </c>
      <c r="E2707" s="113" t="s">
        <v>1620</v>
      </c>
      <c r="F2707" s="113" t="s">
        <v>3093</v>
      </c>
      <c r="G2707" s="113" t="s">
        <v>3093</v>
      </c>
      <c r="H2707" s="161">
        <v>514.59</v>
      </c>
      <c r="I2707" s="161">
        <v>0</v>
      </c>
    </row>
    <row r="2708" spans="1:9">
      <c r="A2708" s="113">
        <v>100500297</v>
      </c>
      <c r="B2708" s="113" t="s">
        <v>2998</v>
      </c>
      <c r="C2708" s="113">
        <v>7090102</v>
      </c>
      <c r="D2708" s="113" t="s">
        <v>3093</v>
      </c>
      <c r="E2708" s="113" t="s">
        <v>1620</v>
      </c>
      <c r="F2708" s="113" t="s">
        <v>3093</v>
      </c>
      <c r="G2708" s="113" t="s">
        <v>3093</v>
      </c>
      <c r="H2708" s="161">
        <v>0</v>
      </c>
      <c r="I2708" s="161" t="s">
        <v>7138</v>
      </c>
    </row>
    <row r="2709" spans="1:9">
      <c r="A2709" s="113">
        <v>100500298</v>
      </c>
      <c r="B2709" s="113" t="s">
        <v>5455</v>
      </c>
      <c r="C2709" s="113">
        <v>7090104</v>
      </c>
      <c r="D2709" s="113" t="s">
        <v>3093</v>
      </c>
      <c r="E2709" s="113" t="s">
        <v>1620</v>
      </c>
      <c r="F2709" s="113" t="s">
        <v>3093</v>
      </c>
      <c r="G2709" s="113" t="s">
        <v>3093</v>
      </c>
      <c r="H2709" s="161">
        <v>22.06</v>
      </c>
      <c r="I2709" s="161">
        <v>0</v>
      </c>
    </row>
    <row r="2710" spans="1:9">
      <c r="A2710" s="113">
        <v>100500299</v>
      </c>
      <c r="B2710" s="113" t="s">
        <v>5456</v>
      </c>
      <c r="C2710" s="113">
        <v>7090105</v>
      </c>
      <c r="D2710" s="113" t="s">
        <v>3093</v>
      </c>
      <c r="E2710" s="113" t="s">
        <v>1620</v>
      </c>
      <c r="F2710" s="113" t="s">
        <v>3093</v>
      </c>
      <c r="G2710" s="113" t="s">
        <v>3093</v>
      </c>
      <c r="H2710" s="161">
        <v>18</v>
      </c>
      <c r="I2710" s="161">
        <v>24</v>
      </c>
    </row>
    <row r="2711" spans="1:9">
      <c r="A2711" s="113">
        <v>100500300</v>
      </c>
      <c r="B2711" s="113" t="s">
        <v>5457</v>
      </c>
      <c r="C2711" s="113">
        <v>7110018</v>
      </c>
      <c r="D2711" s="113" t="s">
        <v>3093</v>
      </c>
      <c r="E2711" s="113" t="s">
        <v>1620</v>
      </c>
      <c r="F2711" s="113" t="s">
        <v>3093</v>
      </c>
      <c r="G2711" s="113" t="s">
        <v>3093</v>
      </c>
      <c r="H2711" s="161">
        <v>0</v>
      </c>
      <c r="I2711" s="161" t="s">
        <v>7138</v>
      </c>
    </row>
    <row r="2712" spans="1:9">
      <c r="A2712" s="113">
        <v>100500301</v>
      </c>
      <c r="B2712" s="113" t="s">
        <v>5458</v>
      </c>
      <c r="C2712" s="113">
        <v>7110019</v>
      </c>
      <c r="D2712" s="113" t="s">
        <v>3093</v>
      </c>
      <c r="E2712" s="113" t="s">
        <v>1620</v>
      </c>
      <c r="F2712" s="113" t="s">
        <v>3093</v>
      </c>
      <c r="G2712" s="113" t="s">
        <v>3093</v>
      </c>
      <c r="H2712" s="161">
        <v>40</v>
      </c>
      <c r="I2712" s="161">
        <v>700</v>
      </c>
    </row>
    <row r="2713" spans="1:9">
      <c r="A2713" s="113">
        <v>100500302</v>
      </c>
      <c r="B2713" s="113" t="s">
        <v>5459</v>
      </c>
      <c r="C2713" s="113">
        <v>7110036</v>
      </c>
      <c r="D2713" s="113" t="s">
        <v>3093</v>
      </c>
      <c r="E2713" s="113" t="s">
        <v>1620</v>
      </c>
      <c r="F2713" s="113" t="s">
        <v>3093</v>
      </c>
      <c r="G2713" s="113" t="s">
        <v>3093</v>
      </c>
      <c r="H2713" s="161">
        <v>61</v>
      </c>
      <c r="I2713" s="161">
        <v>105</v>
      </c>
    </row>
    <row r="2714" spans="1:9">
      <c r="A2714" s="113">
        <v>100500303</v>
      </c>
      <c r="B2714" s="113" t="s">
        <v>5460</v>
      </c>
      <c r="C2714" s="113">
        <v>7110037</v>
      </c>
      <c r="D2714" s="113" t="s">
        <v>3093</v>
      </c>
      <c r="E2714" s="113" t="s">
        <v>1620</v>
      </c>
      <c r="F2714" s="113" t="s">
        <v>3093</v>
      </c>
      <c r="G2714" s="113" t="s">
        <v>3093</v>
      </c>
      <c r="H2714" s="161">
        <v>28.52</v>
      </c>
      <c r="I2714" s="161">
        <v>200</v>
      </c>
    </row>
    <row r="2715" spans="1:9">
      <c r="A2715" s="113">
        <v>100500304</v>
      </c>
      <c r="B2715" s="113" t="s">
        <v>5461</v>
      </c>
      <c r="C2715" s="113">
        <v>7110038</v>
      </c>
      <c r="D2715" s="113" t="s">
        <v>3093</v>
      </c>
      <c r="E2715" s="113" t="s">
        <v>1620</v>
      </c>
      <c r="F2715" s="113" t="s">
        <v>3093</v>
      </c>
      <c r="G2715" s="113" t="s">
        <v>3093</v>
      </c>
      <c r="H2715" s="161">
        <v>24.47</v>
      </c>
      <c r="I2715" s="161">
        <v>100</v>
      </c>
    </row>
    <row r="2716" spans="1:9">
      <c r="A2716" s="113">
        <v>100500305</v>
      </c>
      <c r="B2716" s="113" t="s">
        <v>5462</v>
      </c>
      <c r="C2716" s="113">
        <v>7110039</v>
      </c>
      <c r="D2716" s="113" t="s">
        <v>3093</v>
      </c>
      <c r="E2716" s="113" t="s">
        <v>1620</v>
      </c>
      <c r="F2716" s="113" t="s">
        <v>3093</v>
      </c>
      <c r="G2716" s="113" t="s">
        <v>3093</v>
      </c>
      <c r="H2716" s="161">
        <v>54.89</v>
      </c>
      <c r="I2716" s="161">
        <v>0</v>
      </c>
    </row>
    <row r="2717" spans="1:9">
      <c r="A2717" s="113">
        <v>100500306</v>
      </c>
      <c r="B2717" s="113" t="s">
        <v>5463</v>
      </c>
      <c r="C2717" s="113">
        <v>7110040</v>
      </c>
      <c r="D2717" s="113" t="s">
        <v>3093</v>
      </c>
      <c r="E2717" s="113" t="s">
        <v>1620</v>
      </c>
      <c r="F2717" s="113" t="s">
        <v>3093</v>
      </c>
      <c r="G2717" s="113" t="s">
        <v>3093</v>
      </c>
      <c r="H2717" s="161">
        <v>24.47</v>
      </c>
      <c r="I2717" s="161">
        <v>120</v>
      </c>
    </row>
    <row r="2718" spans="1:9">
      <c r="A2718" s="113">
        <v>100500307</v>
      </c>
      <c r="B2718" s="113" t="s">
        <v>5464</v>
      </c>
      <c r="C2718" s="113">
        <v>7110041</v>
      </c>
      <c r="D2718" s="113" t="s">
        <v>3093</v>
      </c>
      <c r="E2718" s="113" t="s">
        <v>1620</v>
      </c>
      <c r="F2718" s="113" t="s">
        <v>3093</v>
      </c>
      <c r="G2718" s="113" t="s">
        <v>3093</v>
      </c>
      <c r="H2718" s="161">
        <v>40.770000000000003</v>
      </c>
      <c r="I2718" s="161">
        <v>24</v>
      </c>
    </row>
    <row r="2719" spans="1:9">
      <c r="A2719" s="113">
        <v>100500308</v>
      </c>
      <c r="B2719" s="113" t="s">
        <v>5465</v>
      </c>
      <c r="C2719" s="113">
        <v>7110042</v>
      </c>
      <c r="D2719" s="113" t="s">
        <v>3093</v>
      </c>
      <c r="E2719" s="113" t="s">
        <v>1620</v>
      </c>
      <c r="F2719" s="113" t="s">
        <v>3093</v>
      </c>
      <c r="G2719" s="113" t="s">
        <v>3093</v>
      </c>
      <c r="H2719" s="161">
        <v>40.770000000000003</v>
      </c>
      <c r="I2719" s="161">
        <v>12</v>
      </c>
    </row>
    <row r="2720" spans="1:9">
      <c r="A2720" s="113">
        <v>100500309</v>
      </c>
      <c r="B2720" s="113" t="s">
        <v>5466</v>
      </c>
      <c r="C2720" s="113">
        <v>7110043</v>
      </c>
      <c r="D2720" s="113" t="s">
        <v>3093</v>
      </c>
      <c r="E2720" s="113" t="s">
        <v>1620</v>
      </c>
      <c r="F2720" s="113" t="s">
        <v>3093</v>
      </c>
      <c r="G2720" s="113" t="s">
        <v>3093</v>
      </c>
      <c r="H2720" s="161">
        <v>0</v>
      </c>
      <c r="I2720" s="161" t="s">
        <v>7138</v>
      </c>
    </row>
    <row r="2721" spans="1:9">
      <c r="A2721" s="113">
        <v>100500310</v>
      </c>
      <c r="B2721" s="113" t="s">
        <v>5467</v>
      </c>
      <c r="C2721" s="113">
        <v>7111060</v>
      </c>
      <c r="D2721" s="113" t="s">
        <v>3093</v>
      </c>
      <c r="E2721" s="113" t="s">
        <v>1620</v>
      </c>
      <c r="F2721" s="113" t="s">
        <v>3093</v>
      </c>
      <c r="G2721" s="113" t="s">
        <v>3093</v>
      </c>
      <c r="H2721" s="161">
        <v>0</v>
      </c>
      <c r="I2721" s="161" t="s">
        <v>7138</v>
      </c>
    </row>
    <row r="2722" spans="1:9">
      <c r="A2722" s="113">
        <v>100500311</v>
      </c>
      <c r="B2722" s="113" t="s">
        <v>5468</v>
      </c>
      <c r="C2722" s="113">
        <v>7111062</v>
      </c>
      <c r="D2722" s="113" t="s">
        <v>3093</v>
      </c>
      <c r="E2722" s="113" t="s">
        <v>1620</v>
      </c>
      <c r="F2722" s="113" t="s">
        <v>3093</v>
      </c>
      <c r="G2722" s="113" t="s">
        <v>3093</v>
      </c>
      <c r="H2722" s="161">
        <v>319.12</v>
      </c>
      <c r="I2722" s="161">
        <v>120</v>
      </c>
    </row>
    <row r="2723" spans="1:9">
      <c r="A2723" s="113">
        <v>100500312</v>
      </c>
      <c r="B2723" s="113" t="s">
        <v>5469</v>
      </c>
      <c r="C2723" s="113">
        <v>7111063</v>
      </c>
      <c r="D2723" s="113" t="s">
        <v>3093</v>
      </c>
      <c r="E2723" s="113" t="s">
        <v>1620</v>
      </c>
      <c r="F2723" s="113" t="s">
        <v>3093</v>
      </c>
      <c r="G2723" s="113" t="s">
        <v>3093</v>
      </c>
      <c r="H2723" s="161">
        <v>520.23</v>
      </c>
      <c r="I2723" s="161">
        <v>120</v>
      </c>
    </row>
    <row r="2724" spans="1:9">
      <c r="A2724" s="113">
        <v>100500313</v>
      </c>
      <c r="B2724" s="113" t="s">
        <v>5470</v>
      </c>
      <c r="C2724" s="113">
        <v>7111065</v>
      </c>
      <c r="D2724" s="113" t="s">
        <v>3093</v>
      </c>
      <c r="E2724" s="113" t="s">
        <v>1620</v>
      </c>
      <c r="F2724" s="113" t="s">
        <v>3093</v>
      </c>
      <c r="G2724" s="113" t="s">
        <v>3093</v>
      </c>
      <c r="H2724" s="161">
        <v>2664.02</v>
      </c>
      <c r="I2724" s="161">
        <v>0</v>
      </c>
    </row>
    <row r="2725" spans="1:9">
      <c r="A2725" s="113">
        <v>100500314</v>
      </c>
      <c r="B2725" s="113" t="s">
        <v>5471</v>
      </c>
      <c r="C2725" s="113">
        <v>7111066</v>
      </c>
      <c r="D2725" s="113" t="s">
        <v>3093</v>
      </c>
      <c r="E2725" s="113" t="s">
        <v>1620</v>
      </c>
      <c r="F2725" s="113" t="s">
        <v>3093</v>
      </c>
      <c r="G2725" s="113" t="s">
        <v>3093</v>
      </c>
      <c r="H2725" s="161">
        <v>2645</v>
      </c>
      <c r="I2725" s="161">
        <v>3</v>
      </c>
    </row>
    <row r="2726" spans="1:9">
      <c r="A2726" s="113">
        <v>100500315</v>
      </c>
      <c r="B2726" s="113" t="s">
        <v>5472</v>
      </c>
      <c r="C2726" s="113">
        <v>7111067</v>
      </c>
      <c r="D2726" s="113" t="s">
        <v>3093</v>
      </c>
      <c r="E2726" s="113" t="s">
        <v>1620</v>
      </c>
      <c r="F2726" s="113" t="s">
        <v>3093</v>
      </c>
      <c r="G2726" s="113" t="s">
        <v>3093</v>
      </c>
      <c r="H2726" s="161">
        <v>2100</v>
      </c>
      <c r="I2726" s="161" t="s">
        <v>7138</v>
      </c>
    </row>
    <row r="2727" spans="1:9">
      <c r="A2727" s="113">
        <v>100500316</v>
      </c>
      <c r="B2727" s="113" t="s">
        <v>5473</v>
      </c>
      <c r="C2727" s="113">
        <v>7111068</v>
      </c>
      <c r="D2727" s="113" t="s">
        <v>3093</v>
      </c>
      <c r="E2727" s="113" t="s">
        <v>1620</v>
      </c>
      <c r="F2727" s="113" t="s">
        <v>3093</v>
      </c>
      <c r="G2727" s="113" t="s">
        <v>3093</v>
      </c>
      <c r="H2727" s="161">
        <v>1973.03</v>
      </c>
      <c r="I2727" s="161">
        <v>2</v>
      </c>
    </row>
    <row r="2728" spans="1:9">
      <c r="A2728" s="113">
        <v>100500317</v>
      </c>
      <c r="B2728" s="113" t="s">
        <v>5474</v>
      </c>
      <c r="C2728" s="113">
        <v>7111076</v>
      </c>
      <c r="D2728" s="113" t="s">
        <v>3093</v>
      </c>
      <c r="E2728" s="113" t="s">
        <v>1620</v>
      </c>
      <c r="F2728" s="113" t="s">
        <v>3093</v>
      </c>
      <c r="G2728" s="113" t="s">
        <v>3093</v>
      </c>
      <c r="H2728" s="161">
        <v>250</v>
      </c>
      <c r="I2728" s="161">
        <v>3</v>
      </c>
    </row>
    <row r="2729" spans="1:9">
      <c r="A2729" s="113">
        <v>100500318</v>
      </c>
      <c r="B2729" s="113" t="s">
        <v>5475</v>
      </c>
      <c r="C2729" s="113">
        <v>7111078</v>
      </c>
      <c r="D2729" s="113" t="s">
        <v>3093</v>
      </c>
      <c r="E2729" s="113" t="s">
        <v>1620</v>
      </c>
      <c r="F2729" s="113" t="s">
        <v>3093</v>
      </c>
      <c r="G2729" s="113" t="s">
        <v>3093</v>
      </c>
      <c r="H2729" s="161">
        <v>2825</v>
      </c>
      <c r="I2729" s="161">
        <v>4</v>
      </c>
    </row>
    <row r="2730" spans="1:9">
      <c r="A2730" s="113">
        <v>100500319</v>
      </c>
      <c r="B2730" s="113" t="s">
        <v>5476</v>
      </c>
      <c r="C2730" s="113">
        <v>7111080</v>
      </c>
      <c r="D2730" s="113" t="s">
        <v>3093</v>
      </c>
      <c r="E2730" s="113" t="s">
        <v>1620</v>
      </c>
      <c r="F2730" s="113" t="s">
        <v>3093</v>
      </c>
      <c r="G2730" s="113" t="s">
        <v>3093</v>
      </c>
      <c r="H2730" s="161">
        <v>0</v>
      </c>
      <c r="I2730" s="161" t="s">
        <v>7138</v>
      </c>
    </row>
    <row r="2731" spans="1:9">
      <c r="A2731" s="113">
        <v>100500320</v>
      </c>
      <c r="B2731" s="113" t="s">
        <v>5477</v>
      </c>
      <c r="C2731" s="113">
        <v>7111081</v>
      </c>
      <c r="D2731" s="113" t="s">
        <v>3093</v>
      </c>
      <c r="E2731" s="113" t="s">
        <v>1620</v>
      </c>
      <c r="F2731" s="113" t="s">
        <v>3093</v>
      </c>
      <c r="G2731" s="113" t="s">
        <v>3093</v>
      </c>
      <c r="H2731" s="161">
        <v>0</v>
      </c>
      <c r="I2731" s="161" t="s">
        <v>7138</v>
      </c>
    </row>
    <row r="2732" spans="1:9">
      <c r="A2732" s="113">
        <v>100500321</v>
      </c>
      <c r="B2732" s="113" t="s">
        <v>5478</v>
      </c>
      <c r="C2732" s="113">
        <v>7111085</v>
      </c>
      <c r="D2732" s="113" t="s">
        <v>3093</v>
      </c>
      <c r="E2732" s="113" t="s">
        <v>1620</v>
      </c>
      <c r="F2732" s="113" t="s">
        <v>3093</v>
      </c>
      <c r="G2732" s="113" t="s">
        <v>3093</v>
      </c>
      <c r="H2732" s="161">
        <v>141.25</v>
      </c>
      <c r="I2732" s="161">
        <v>10</v>
      </c>
    </row>
    <row r="2733" spans="1:9">
      <c r="A2733" s="113">
        <v>100500322</v>
      </c>
      <c r="B2733" s="113" t="s">
        <v>5479</v>
      </c>
      <c r="C2733" s="113">
        <v>7111092</v>
      </c>
      <c r="D2733" s="113" t="s">
        <v>3093</v>
      </c>
      <c r="E2733" s="113" t="s">
        <v>1620</v>
      </c>
      <c r="F2733" s="113" t="s">
        <v>3093</v>
      </c>
      <c r="G2733" s="113" t="s">
        <v>3093</v>
      </c>
      <c r="H2733" s="161">
        <v>250</v>
      </c>
      <c r="I2733" s="161">
        <v>11</v>
      </c>
    </row>
    <row r="2734" spans="1:9">
      <c r="A2734" s="113">
        <v>100500323</v>
      </c>
      <c r="B2734" s="113" t="s">
        <v>5480</v>
      </c>
      <c r="C2734" s="113">
        <v>7111095</v>
      </c>
      <c r="D2734" s="113" t="s">
        <v>3093</v>
      </c>
      <c r="E2734" s="113" t="s">
        <v>1620</v>
      </c>
      <c r="F2734" s="113" t="s">
        <v>3093</v>
      </c>
      <c r="G2734" s="113" t="s">
        <v>3093</v>
      </c>
      <c r="H2734" s="161">
        <v>1350.35</v>
      </c>
      <c r="I2734" s="161">
        <v>2</v>
      </c>
    </row>
    <row r="2735" spans="1:9">
      <c r="A2735" s="113">
        <v>100500324</v>
      </c>
      <c r="B2735" s="113" t="s">
        <v>5481</v>
      </c>
      <c r="C2735" s="113">
        <v>7111096</v>
      </c>
      <c r="D2735" s="113" t="s">
        <v>3093</v>
      </c>
      <c r="E2735" s="113" t="s">
        <v>1620</v>
      </c>
      <c r="F2735" s="113" t="s">
        <v>3093</v>
      </c>
      <c r="G2735" s="113" t="s">
        <v>3093</v>
      </c>
      <c r="H2735" s="161">
        <v>1581.26</v>
      </c>
      <c r="I2735" s="161">
        <v>2</v>
      </c>
    </row>
    <row r="2736" spans="1:9">
      <c r="A2736" s="113">
        <v>100500325</v>
      </c>
      <c r="B2736" s="113" t="s">
        <v>5482</v>
      </c>
      <c r="C2736" s="113">
        <v>7111097</v>
      </c>
      <c r="D2736" s="113" t="s">
        <v>3093</v>
      </c>
      <c r="E2736" s="113" t="s">
        <v>1620</v>
      </c>
      <c r="F2736" s="113" t="s">
        <v>3093</v>
      </c>
      <c r="G2736" s="113" t="s">
        <v>3093</v>
      </c>
      <c r="H2736" s="161">
        <v>2100</v>
      </c>
      <c r="I2736" s="161">
        <v>2</v>
      </c>
    </row>
    <row r="2737" spans="1:9">
      <c r="A2737" s="113">
        <v>100500326</v>
      </c>
      <c r="B2737" s="113" t="s">
        <v>5483</v>
      </c>
      <c r="C2737" s="113">
        <v>7111098</v>
      </c>
      <c r="D2737" s="113" t="s">
        <v>3093</v>
      </c>
      <c r="E2737" s="113" t="s">
        <v>1620</v>
      </c>
      <c r="F2737" s="113" t="s">
        <v>3093</v>
      </c>
      <c r="G2737" s="113" t="s">
        <v>3093</v>
      </c>
      <c r="H2737" s="161">
        <v>1530</v>
      </c>
      <c r="I2737" s="161">
        <v>1</v>
      </c>
    </row>
    <row r="2738" spans="1:9">
      <c r="A2738" s="113">
        <v>100500327</v>
      </c>
      <c r="B2738" s="113" t="s">
        <v>5484</v>
      </c>
      <c r="C2738" s="113">
        <v>7111099</v>
      </c>
      <c r="D2738" s="113" t="s">
        <v>3093</v>
      </c>
      <c r="E2738" s="113" t="s">
        <v>1620</v>
      </c>
      <c r="F2738" s="113" t="s">
        <v>3093</v>
      </c>
      <c r="G2738" s="113" t="s">
        <v>3093</v>
      </c>
      <c r="H2738" s="161">
        <v>1500</v>
      </c>
      <c r="I2738" s="161">
        <v>3</v>
      </c>
    </row>
    <row r="2739" spans="1:9">
      <c r="A2739" s="113">
        <v>100500328</v>
      </c>
      <c r="B2739" s="113" t="s">
        <v>5485</v>
      </c>
      <c r="C2739" s="113">
        <v>7111100</v>
      </c>
      <c r="D2739" s="113" t="s">
        <v>3093</v>
      </c>
      <c r="E2739" s="113" t="s">
        <v>1620</v>
      </c>
      <c r="F2739" s="113" t="s">
        <v>3093</v>
      </c>
      <c r="G2739" s="113" t="s">
        <v>3093</v>
      </c>
      <c r="H2739" s="161">
        <v>1581.26</v>
      </c>
      <c r="I2739" s="161">
        <v>2</v>
      </c>
    </row>
    <row r="2740" spans="1:9">
      <c r="A2740" s="113">
        <v>100500329</v>
      </c>
      <c r="B2740" s="113" t="s">
        <v>5486</v>
      </c>
      <c r="C2740" s="113">
        <v>7111101</v>
      </c>
      <c r="D2740" s="113" t="s">
        <v>3093</v>
      </c>
      <c r="E2740" s="113" t="s">
        <v>1620</v>
      </c>
      <c r="F2740" s="113" t="s">
        <v>3093</v>
      </c>
      <c r="G2740" s="113" t="s">
        <v>3093</v>
      </c>
      <c r="H2740" s="161">
        <v>2200</v>
      </c>
      <c r="I2740" s="161">
        <v>0</v>
      </c>
    </row>
    <row r="2741" spans="1:9">
      <c r="A2741" s="113">
        <v>100500330</v>
      </c>
      <c r="B2741" s="113" t="s">
        <v>5487</v>
      </c>
      <c r="C2741" s="113">
        <v>7111102</v>
      </c>
      <c r="D2741" s="113" t="s">
        <v>3093</v>
      </c>
      <c r="E2741" s="113" t="s">
        <v>1620</v>
      </c>
      <c r="F2741" s="113" t="s">
        <v>3093</v>
      </c>
      <c r="G2741" s="113" t="s">
        <v>3093</v>
      </c>
      <c r="H2741" s="161">
        <v>1500</v>
      </c>
      <c r="I2741" s="161">
        <v>2</v>
      </c>
    </row>
    <row r="2742" spans="1:9">
      <c r="A2742" s="113">
        <v>100500331</v>
      </c>
      <c r="B2742" s="113" t="s">
        <v>5488</v>
      </c>
      <c r="C2742" s="113">
        <v>7111103</v>
      </c>
      <c r="D2742" s="113" t="s">
        <v>3093</v>
      </c>
      <c r="E2742" s="113" t="s">
        <v>1620</v>
      </c>
      <c r="F2742" s="113" t="s">
        <v>3093</v>
      </c>
      <c r="G2742" s="113" t="s">
        <v>3093</v>
      </c>
      <c r="H2742" s="161">
        <v>2935</v>
      </c>
      <c r="I2742" s="161">
        <v>1</v>
      </c>
    </row>
    <row r="2743" spans="1:9">
      <c r="A2743" s="113">
        <v>100500332</v>
      </c>
      <c r="B2743" s="113" t="s">
        <v>5489</v>
      </c>
      <c r="C2743" s="113">
        <v>7111106</v>
      </c>
      <c r="D2743" s="113" t="s">
        <v>3093</v>
      </c>
      <c r="E2743" s="113" t="s">
        <v>1620</v>
      </c>
      <c r="F2743" s="113" t="s">
        <v>3093</v>
      </c>
      <c r="G2743" s="113" t="s">
        <v>3093</v>
      </c>
      <c r="H2743" s="161">
        <v>1510</v>
      </c>
      <c r="I2743" s="161">
        <v>1</v>
      </c>
    </row>
    <row r="2744" spans="1:9">
      <c r="A2744" s="113">
        <v>100500333</v>
      </c>
      <c r="B2744" s="113" t="s">
        <v>5490</v>
      </c>
      <c r="C2744" s="113">
        <v>7111107</v>
      </c>
      <c r="D2744" s="113" t="s">
        <v>3093</v>
      </c>
      <c r="E2744" s="113" t="s">
        <v>1620</v>
      </c>
      <c r="F2744" s="113" t="s">
        <v>3093</v>
      </c>
      <c r="G2744" s="113" t="s">
        <v>3093</v>
      </c>
      <c r="H2744" s="161">
        <v>2100</v>
      </c>
      <c r="I2744" s="161">
        <v>5</v>
      </c>
    </row>
    <row r="2745" spans="1:9">
      <c r="A2745" s="113">
        <v>100500334</v>
      </c>
      <c r="B2745" s="113" t="s">
        <v>5491</v>
      </c>
      <c r="C2745" s="113">
        <v>7111108</v>
      </c>
      <c r="D2745" s="113" t="s">
        <v>3093</v>
      </c>
      <c r="E2745" s="113" t="s">
        <v>1620</v>
      </c>
      <c r="F2745" s="113" t="s">
        <v>3093</v>
      </c>
      <c r="G2745" s="113" t="s">
        <v>3093</v>
      </c>
      <c r="H2745" s="161">
        <v>1570</v>
      </c>
      <c r="I2745" s="161">
        <v>5</v>
      </c>
    </row>
    <row r="2746" spans="1:9">
      <c r="A2746" s="113">
        <v>100500335</v>
      </c>
      <c r="B2746" s="113" t="s">
        <v>5492</v>
      </c>
      <c r="C2746" s="113">
        <v>7111109</v>
      </c>
      <c r="D2746" s="113" t="s">
        <v>3093</v>
      </c>
      <c r="E2746" s="113" t="s">
        <v>1620</v>
      </c>
      <c r="F2746" s="113" t="s">
        <v>3093</v>
      </c>
      <c r="G2746" s="113" t="s">
        <v>3093</v>
      </c>
      <c r="H2746" s="161">
        <v>2100</v>
      </c>
      <c r="I2746" s="161">
        <v>0</v>
      </c>
    </row>
    <row r="2747" spans="1:9">
      <c r="A2747" s="113">
        <v>100500336</v>
      </c>
      <c r="B2747" s="113" t="s">
        <v>5493</v>
      </c>
      <c r="C2747" s="113">
        <v>7111110</v>
      </c>
      <c r="D2747" s="113" t="s">
        <v>3093</v>
      </c>
      <c r="E2747" s="113" t="s">
        <v>1620</v>
      </c>
      <c r="F2747" s="113" t="s">
        <v>3093</v>
      </c>
      <c r="G2747" s="113" t="s">
        <v>3093</v>
      </c>
      <c r="H2747" s="161">
        <v>2100</v>
      </c>
      <c r="I2747" s="161">
        <v>0</v>
      </c>
    </row>
    <row r="2748" spans="1:9">
      <c r="A2748" s="113">
        <v>100500337</v>
      </c>
      <c r="B2748" s="113" t="s">
        <v>2999</v>
      </c>
      <c r="C2748" s="113">
        <v>7111111</v>
      </c>
      <c r="D2748" s="113" t="s">
        <v>3093</v>
      </c>
      <c r="E2748" s="113" t="s">
        <v>1620</v>
      </c>
      <c r="F2748" s="113" t="s">
        <v>3093</v>
      </c>
      <c r="G2748" s="113" t="s">
        <v>3093</v>
      </c>
      <c r="H2748" s="161">
        <v>1767.5</v>
      </c>
      <c r="I2748" s="161">
        <v>3</v>
      </c>
    </row>
    <row r="2749" spans="1:9">
      <c r="A2749" s="113">
        <v>100500338</v>
      </c>
      <c r="B2749" s="113" t="s">
        <v>5494</v>
      </c>
      <c r="C2749" s="113">
        <v>7111112</v>
      </c>
      <c r="D2749" s="113" t="s">
        <v>3093</v>
      </c>
      <c r="E2749" s="113" t="s">
        <v>1620</v>
      </c>
      <c r="F2749" s="113" t="s">
        <v>3093</v>
      </c>
      <c r="G2749" s="113" t="s">
        <v>3093</v>
      </c>
      <c r="H2749" s="161">
        <v>512.92999999999995</v>
      </c>
      <c r="I2749" s="161">
        <v>1</v>
      </c>
    </row>
    <row r="2750" spans="1:9">
      <c r="A2750" s="113">
        <v>100500339</v>
      </c>
      <c r="B2750" s="113" t="s">
        <v>5495</v>
      </c>
      <c r="C2750" s="113">
        <v>7111113</v>
      </c>
      <c r="D2750" s="113" t="s">
        <v>3093</v>
      </c>
      <c r="E2750" s="113" t="s">
        <v>1620</v>
      </c>
      <c r="F2750" s="113" t="s">
        <v>3093</v>
      </c>
      <c r="G2750" s="113" t="s">
        <v>3093</v>
      </c>
      <c r="H2750" s="161">
        <v>75</v>
      </c>
      <c r="I2750" s="161">
        <v>0</v>
      </c>
    </row>
    <row r="2751" spans="1:9">
      <c r="A2751" s="113">
        <v>100500340</v>
      </c>
      <c r="B2751" s="113" t="s">
        <v>5496</v>
      </c>
      <c r="C2751" s="113">
        <v>7111114</v>
      </c>
      <c r="D2751" s="113" t="s">
        <v>3093</v>
      </c>
      <c r="E2751" s="113" t="s">
        <v>1620</v>
      </c>
      <c r="F2751" s="113" t="s">
        <v>3093</v>
      </c>
      <c r="G2751" s="113" t="s">
        <v>3093</v>
      </c>
      <c r="H2751" s="161">
        <v>976</v>
      </c>
      <c r="I2751" s="161">
        <v>2</v>
      </c>
    </row>
    <row r="2752" spans="1:9">
      <c r="A2752" s="113">
        <v>100500341</v>
      </c>
      <c r="B2752" s="113" t="s">
        <v>5497</v>
      </c>
      <c r="C2752" s="113">
        <v>7111115</v>
      </c>
      <c r="D2752" s="113" t="s">
        <v>3093</v>
      </c>
      <c r="E2752" s="113" t="s">
        <v>1620</v>
      </c>
      <c r="F2752" s="113" t="s">
        <v>3093</v>
      </c>
      <c r="G2752" s="113" t="s">
        <v>3093</v>
      </c>
      <c r="H2752" s="161">
        <v>0</v>
      </c>
      <c r="I2752" s="161" t="s">
        <v>7138</v>
      </c>
    </row>
    <row r="2753" spans="1:9">
      <c r="A2753" s="113">
        <v>100500342</v>
      </c>
      <c r="B2753" s="113" t="s">
        <v>5498</v>
      </c>
      <c r="C2753" s="113">
        <v>7111116</v>
      </c>
      <c r="D2753" s="113" t="s">
        <v>3093</v>
      </c>
      <c r="E2753" s="113" t="s">
        <v>1620</v>
      </c>
      <c r="F2753" s="113" t="s">
        <v>3093</v>
      </c>
      <c r="G2753" s="113" t="s">
        <v>3093</v>
      </c>
      <c r="H2753" s="161">
        <v>50</v>
      </c>
      <c r="I2753" s="161">
        <v>120</v>
      </c>
    </row>
    <row r="2754" spans="1:9">
      <c r="A2754" s="113">
        <v>100500343</v>
      </c>
      <c r="B2754" s="113" t="s">
        <v>5499</v>
      </c>
      <c r="C2754" s="113">
        <v>7111117</v>
      </c>
      <c r="D2754" s="113" t="s">
        <v>3093</v>
      </c>
      <c r="E2754" s="113" t="s">
        <v>1620</v>
      </c>
      <c r="F2754" s="113" t="s">
        <v>3093</v>
      </c>
      <c r="G2754" s="113" t="s">
        <v>3093</v>
      </c>
      <c r="H2754" s="161">
        <v>429.85</v>
      </c>
      <c r="I2754" s="161">
        <v>6</v>
      </c>
    </row>
    <row r="2755" spans="1:9">
      <c r="A2755" s="113">
        <v>100500344</v>
      </c>
      <c r="B2755" s="113" t="s">
        <v>5500</v>
      </c>
      <c r="C2755" s="113">
        <v>7111118</v>
      </c>
      <c r="D2755" s="113" t="s">
        <v>3093</v>
      </c>
      <c r="E2755" s="113" t="s">
        <v>1620</v>
      </c>
      <c r="F2755" s="113" t="s">
        <v>3093</v>
      </c>
      <c r="G2755" s="113" t="s">
        <v>3093</v>
      </c>
      <c r="H2755" s="161">
        <v>995</v>
      </c>
      <c r="I2755" s="161">
        <v>18</v>
      </c>
    </row>
    <row r="2756" spans="1:9">
      <c r="A2756" s="113">
        <v>100500345</v>
      </c>
      <c r="B2756" s="113" t="s">
        <v>5501</v>
      </c>
      <c r="C2756" s="113">
        <v>7111119</v>
      </c>
      <c r="D2756" s="113" t="s">
        <v>3093</v>
      </c>
      <c r="E2756" s="113" t="s">
        <v>1620</v>
      </c>
      <c r="F2756" s="113" t="s">
        <v>3093</v>
      </c>
      <c r="G2756" s="113" t="s">
        <v>3093</v>
      </c>
      <c r="H2756" s="161">
        <v>1800</v>
      </c>
      <c r="I2756" s="161">
        <v>6</v>
      </c>
    </row>
    <row r="2757" spans="1:9">
      <c r="A2757" s="113">
        <v>100500346</v>
      </c>
      <c r="B2757" s="113" t="s">
        <v>5502</v>
      </c>
      <c r="C2757" s="113">
        <v>7111120</v>
      </c>
      <c r="D2757" s="113" t="s">
        <v>3093</v>
      </c>
      <c r="E2757" s="113" t="s">
        <v>1620</v>
      </c>
      <c r="F2757" s="113" t="s">
        <v>3093</v>
      </c>
      <c r="G2757" s="113" t="s">
        <v>3093</v>
      </c>
      <c r="H2757" s="161">
        <v>419</v>
      </c>
      <c r="I2757" s="161">
        <v>25</v>
      </c>
    </row>
    <row r="2758" spans="1:9">
      <c r="A2758" s="113">
        <v>100500347</v>
      </c>
      <c r="B2758" s="113" t="s">
        <v>5503</v>
      </c>
      <c r="C2758" s="113">
        <v>7111121</v>
      </c>
      <c r="D2758" s="113" t="s">
        <v>3093</v>
      </c>
      <c r="E2758" s="113" t="s">
        <v>1620</v>
      </c>
      <c r="F2758" s="113" t="s">
        <v>3093</v>
      </c>
      <c r="G2758" s="113" t="s">
        <v>3093</v>
      </c>
      <c r="H2758" s="161">
        <v>91.29</v>
      </c>
      <c r="I2758" s="161">
        <v>40</v>
      </c>
    </row>
    <row r="2759" spans="1:9">
      <c r="A2759" s="113">
        <v>100500348</v>
      </c>
      <c r="B2759" s="113" t="s">
        <v>5504</v>
      </c>
      <c r="C2759" s="113">
        <v>7111122</v>
      </c>
      <c r="D2759" s="113" t="s">
        <v>3093</v>
      </c>
      <c r="E2759" s="113" t="s">
        <v>1620</v>
      </c>
      <c r="F2759" s="113" t="s">
        <v>3093</v>
      </c>
      <c r="G2759" s="113" t="s">
        <v>3093</v>
      </c>
      <c r="H2759" s="161">
        <v>745</v>
      </c>
      <c r="I2759" s="161">
        <v>0</v>
      </c>
    </row>
    <row r="2760" spans="1:9">
      <c r="A2760" s="113">
        <v>100500349</v>
      </c>
      <c r="B2760" s="113" t="s">
        <v>5505</v>
      </c>
      <c r="C2760" s="113">
        <v>7111123</v>
      </c>
      <c r="D2760" s="113" t="s">
        <v>3093</v>
      </c>
      <c r="E2760" s="113" t="s">
        <v>1620</v>
      </c>
      <c r="F2760" s="113" t="s">
        <v>3093</v>
      </c>
      <c r="G2760" s="113" t="s">
        <v>3093</v>
      </c>
      <c r="H2760" s="161">
        <v>440.7</v>
      </c>
      <c r="I2760" s="161">
        <v>12</v>
      </c>
    </row>
    <row r="2761" spans="1:9">
      <c r="A2761" s="113">
        <v>100500350</v>
      </c>
      <c r="B2761" s="113" t="s">
        <v>5506</v>
      </c>
      <c r="C2761" s="113">
        <v>7111124</v>
      </c>
      <c r="D2761" s="113" t="s">
        <v>3093</v>
      </c>
      <c r="E2761" s="113" t="s">
        <v>1620</v>
      </c>
      <c r="F2761" s="113" t="s">
        <v>3093</v>
      </c>
      <c r="G2761" s="113" t="s">
        <v>3093</v>
      </c>
      <c r="H2761" s="161">
        <v>395</v>
      </c>
      <c r="I2761" s="161">
        <v>1</v>
      </c>
    </row>
    <row r="2762" spans="1:9">
      <c r="A2762" s="113">
        <v>100500351</v>
      </c>
      <c r="B2762" s="113" t="s">
        <v>5507</v>
      </c>
      <c r="C2762" s="113">
        <v>7111125</v>
      </c>
      <c r="D2762" s="113" t="s">
        <v>3093</v>
      </c>
      <c r="E2762" s="113" t="s">
        <v>1620</v>
      </c>
      <c r="F2762" s="113" t="s">
        <v>3093</v>
      </c>
      <c r="G2762" s="113" t="s">
        <v>3093</v>
      </c>
      <c r="H2762" s="161">
        <v>395</v>
      </c>
      <c r="I2762" s="161">
        <v>1</v>
      </c>
    </row>
    <row r="2763" spans="1:9">
      <c r="A2763" s="113">
        <v>100500352</v>
      </c>
      <c r="B2763" s="113" t="s">
        <v>5508</v>
      </c>
      <c r="C2763" s="113">
        <v>7111128</v>
      </c>
      <c r="D2763" s="113" t="s">
        <v>3093</v>
      </c>
      <c r="E2763" s="113" t="s">
        <v>1620</v>
      </c>
      <c r="F2763" s="113" t="s">
        <v>3093</v>
      </c>
      <c r="G2763" s="113" t="s">
        <v>3093</v>
      </c>
      <c r="H2763" s="161">
        <v>415</v>
      </c>
      <c r="I2763" s="161">
        <v>4</v>
      </c>
    </row>
    <row r="2764" spans="1:9">
      <c r="A2764" s="113">
        <v>100500353</v>
      </c>
      <c r="B2764" s="113" t="s">
        <v>5509</v>
      </c>
      <c r="C2764" s="113">
        <v>7111129</v>
      </c>
      <c r="D2764" s="113" t="s">
        <v>3093</v>
      </c>
      <c r="E2764" s="113" t="s">
        <v>1620</v>
      </c>
      <c r="F2764" s="113" t="s">
        <v>3093</v>
      </c>
      <c r="G2764" s="113" t="s">
        <v>3093</v>
      </c>
      <c r="H2764" s="161">
        <v>71</v>
      </c>
      <c r="I2764" s="161">
        <v>10</v>
      </c>
    </row>
    <row r="2765" spans="1:9">
      <c r="A2765" s="113">
        <v>100500354</v>
      </c>
      <c r="B2765" s="113" t="s">
        <v>5510</v>
      </c>
      <c r="C2765" s="113">
        <v>7111130</v>
      </c>
      <c r="D2765" s="113" t="s">
        <v>3093</v>
      </c>
      <c r="E2765" s="113" t="s">
        <v>1620</v>
      </c>
      <c r="F2765" s="113" t="s">
        <v>3093</v>
      </c>
      <c r="G2765" s="113" t="s">
        <v>3093</v>
      </c>
      <c r="H2765" s="161">
        <v>485.34</v>
      </c>
      <c r="I2765" s="161">
        <v>24</v>
      </c>
    </row>
    <row r="2766" spans="1:9">
      <c r="A2766" s="113">
        <v>100500355</v>
      </c>
      <c r="B2766" s="113" t="s">
        <v>5511</v>
      </c>
      <c r="C2766" s="113">
        <v>7111131</v>
      </c>
      <c r="D2766" s="113" t="s">
        <v>3093</v>
      </c>
      <c r="E2766" s="113" t="s">
        <v>1620</v>
      </c>
      <c r="F2766" s="113" t="s">
        <v>3093</v>
      </c>
      <c r="G2766" s="113" t="s">
        <v>3093</v>
      </c>
      <c r="H2766" s="161">
        <v>895</v>
      </c>
      <c r="I2766" s="161">
        <v>1</v>
      </c>
    </row>
    <row r="2767" spans="1:9">
      <c r="A2767" s="113">
        <v>100500356</v>
      </c>
      <c r="B2767" s="113" t="s">
        <v>5512</v>
      </c>
      <c r="C2767" s="113">
        <v>7111132</v>
      </c>
      <c r="D2767" s="113" t="s">
        <v>3093</v>
      </c>
      <c r="E2767" s="113" t="s">
        <v>1620</v>
      </c>
      <c r="F2767" s="113" t="s">
        <v>3093</v>
      </c>
      <c r="G2767" s="113" t="s">
        <v>3093</v>
      </c>
      <c r="H2767" s="161">
        <v>845</v>
      </c>
      <c r="I2767" s="161">
        <v>1</v>
      </c>
    </row>
    <row r="2768" spans="1:9">
      <c r="A2768" s="113">
        <v>100500357</v>
      </c>
      <c r="B2768" s="113" t="s">
        <v>5513</v>
      </c>
      <c r="C2768" s="113">
        <v>7111133</v>
      </c>
      <c r="D2768" s="113" t="s">
        <v>3093</v>
      </c>
      <c r="E2768" s="113" t="s">
        <v>1620</v>
      </c>
      <c r="F2768" s="113" t="s">
        <v>3093</v>
      </c>
      <c r="G2768" s="113" t="s">
        <v>3093</v>
      </c>
      <c r="H2768" s="161">
        <v>870</v>
      </c>
      <c r="I2768" s="161">
        <v>1</v>
      </c>
    </row>
    <row r="2769" spans="1:9">
      <c r="A2769" s="113">
        <v>100500358</v>
      </c>
      <c r="B2769" s="113" t="s">
        <v>5514</v>
      </c>
      <c r="C2769" s="113">
        <v>7111134</v>
      </c>
      <c r="D2769" s="113" t="s">
        <v>3093</v>
      </c>
      <c r="E2769" s="113" t="s">
        <v>1620</v>
      </c>
      <c r="F2769" s="113" t="s">
        <v>3093</v>
      </c>
      <c r="G2769" s="113" t="s">
        <v>3093</v>
      </c>
      <c r="H2769" s="161">
        <v>940</v>
      </c>
      <c r="I2769" s="161">
        <v>2</v>
      </c>
    </row>
    <row r="2770" spans="1:9">
      <c r="A2770" s="113">
        <v>100500359</v>
      </c>
      <c r="B2770" s="113" t="s">
        <v>5515</v>
      </c>
      <c r="C2770" s="113">
        <v>7111136</v>
      </c>
      <c r="D2770" s="113" t="s">
        <v>3093</v>
      </c>
      <c r="E2770" s="113" t="s">
        <v>1620</v>
      </c>
      <c r="F2770" s="113" t="s">
        <v>3093</v>
      </c>
      <c r="G2770" s="113" t="s">
        <v>3093</v>
      </c>
      <c r="H2770" s="161">
        <v>619</v>
      </c>
      <c r="I2770" s="161">
        <v>0</v>
      </c>
    </row>
    <row r="2771" spans="1:9">
      <c r="A2771" s="113">
        <v>100500360</v>
      </c>
      <c r="B2771" s="113" t="s">
        <v>5516</v>
      </c>
      <c r="C2771" s="113">
        <v>7111137</v>
      </c>
      <c r="D2771" s="113" t="s">
        <v>3093</v>
      </c>
      <c r="E2771" s="113" t="s">
        <v>1620</v>
      </c>
      <c r="F2771" s="113" t="s">
        <v>3093</v>
      </c>
      <c r="G2771" s="113" t="s">
        <v>3093</v>
      </c>
      <c r="H2771" s="161">
        <v>80</v>
      </c>
      <c r="I2771" s="161">
        <v>6</v>
      </c>
    </row>
    <row r="2772" spans="1:9">
      <c r="A2772" s="113">
        <v>100500361</v>
      </c>
      <c r="B2772" s="113" t="s">
        <v>5517</v>
      </c>
      <c r="C2772" s="113">
        <v>7111138</v>
      </c>
      <c r="D2772" s="113" t="s">
        <v>3093</v>
      </c>
      <c r="E2772" s="113" t="s">
        <v>1620</v>
      </c>
      <c r="F2772" s="113" t="s">
        <v>3093</v>
      </c>
      <c r="G2772" s="113" t="s">
        <v>3093</v>
      </c>
      <c r="H2772" s="161">
        <v>75</v>
      </c>
      <c r="I2772" s="161">
        <v>48</v>
      </c>
    </row>
    <row r="2773" spans="1:9">
      <c r="A2773" s="113">
        <v>100500362</v>
      </c>
      <c r="B2773" s="113" t="s">
        <v>5518</v>
      </c>
      <c r="C2773" s="113">
        <v>7111139</v>
      </c>
      <c r="D2773" s="113" t="s">
        <v>3093</v>
      </c>
      <c r="E2773" s="113" t="s">
        <v>1620</v>
      </c>
      <c r="F2773" s="113" t="s">
        <v>3093</v>
      </c>
      <c r="G2773" s="113" t="s">
        <v>3093</v>
      </c>
      <c r="H2773" s="161">
        <v>437</v>
      </c>
      <c r="I2773" s="161">
        <v>10</v>
      </c>
    </row>
    <row r="2774" spans="1:9">
      <c r="A2774" s="113">
        <v>100500363</v>
      </c>
      <c r="B2774" s="113" t="s">
        <v>5519</v>
      </c>
      <c r="C2774" s="113">
        <v>7111140</v>
      </c>
      <c r="D2774" s="113" t="s">
        <v>3093</v>
      </c>
      <c r="E2774" s="113" t="s">
        <v>1620</v>
      </c>
      <c r="F2774" s="113" t="s">
        <v>3093</v>
      </c>
      <c r="G2774" s="113" t="s">
        <v>3093</v>
      </c>
      <c r="H2774" s="161">
        <v>800</v>
      </c>
      <c r="I2774" s="161">
        <v>19</v>
      </c>
    </row>
    <row r="2775" spans="1:9">
      <c r="A2775" s="113">
        <v>100500364</v>
      </c>
      <c r="B2775" s="113" t="s">
        <v>5520</v>
      </c>
      <c r="C2775" s="113">
        <v>7111141</v>
      </c>
      <c r="D2775" s="113" t="s">
        <v>3093</v>
      </c>
      <c r="E2775" s="113" t="s">
        <v>1620</v>
      </c>
      <c r="F2775" s="113" t="s">
        <v>3093</v>
      </c>
      <c r="G2775" s="113" t="s">
        <v>3093</v>
      </c>
      <c r="H2775" s="161">
        <v>664</v>
      </c>
      <c r="I2775" s="161">
        <v>0</v>
      </c>
    </row>
    <row r="2776" spans="1:9">
      <c r="A2776" s="113">
        <v>100500365</v>
      </c>
      <c r="B2776" s="113" t="s">
        <v>5521</v>
      </c>
      <c r="C2776" s="113">
        <v>7111142</v>
      </c>
      <c r="D2776" s="113" t="s">
        <v>3093</v>
      </c>
      <c r="E2776" s="113" t="s">
        <v>1620</v>
      </c>
      <c r="F2776" s="113" t="s">
        <v>3093</v>
      </c>
      <c r="G2776" s="113" t="s">
        <v>3093</v>
      </c>
      <c r="H2776" s="161">
        <v>2099.33</v>
      </c>
      <c r="I2776" s="161">
        <v>6</v>
      </c>
    </row>
    <row r="2777" spans="1:9">
      <c r="A2777" s="113">
        <v>100500366</v>
      </c>
      <c r="B2777" s="113" t="s">
        <v>5522</v>
      </c>
      <c r="C2777" s="113">
        <v>7111147</v>
      </c>
      <c r="D2777" s="113" t="s">
        <v>3093</v>
      </c>
      <c r="E2777" s="113" t="s">
        <v>1620</v>
      </c>
      <c r="F2777" s="113" t="s">
        <v>3093</v>
      </c>
      <c r="G2777" s="113" t="s">
        <v>3093</v>
      </c>
      <c r="H2777" s="161">
        <v>495</v>
      </c>
      <c r="I2777" s="161">
        <v>5</v>
      </c>
    </row>
    <row r="2778" spans="1:9">
      <c r="A2778" s="113">
        <v>100500367</v>
      </c>
      <c r="B2778" s="113" t="s">
        <v>5523</v>
      </c>
      <c r="C2778" s="113">
        <v>7111171</v>
      </c>
      <c r="D2778" s="113" t="s">
        <v>3093</v>
      </c>
      <c r="E2778" s="113" t="s">
        <v>1620</v>
      </c>
      <c r="F2778" s="113" t="s">
        <v>3093</v>
      </c>
      <c r="G2778" s="113" t="s">
        <v>3093</v>
      </c>
      <c r="H2778" s="161">
        <v>5100</v>
      </c>
      <c r="I2778" s="161">
        <v>5</v>
      </c>
    </row>
    <row r="2779" spans="1:9">
      <c r="A2779" s="113">
        <v>100500368</v>
      </c>
      <c r="B2779" s="113" t="s">
        <v>5524</v>
      </c>
      <c r="C2779" s="113">
        <v>7112014</v>
      </c>
      <c r="D2779" s="113" t="s">
        <v>3093</v>
      </c>
      <c r="E2779" s="113" t="s">
        <v>1620</v>
      </c>
      <c r="F2779" s="113" t="s">
        <v>3093</v>
      </c>
      <c r="G2779" s="113" t="s">
        <v>3093</v>
      </c>
      <c r="H2779" s="161">
        <v>494.94</v>
      </c>
      <c r="I2779" s="161">
        <v>0</v>
      </c>
    </row>
    <row r="2780" spans="1:9">
      <c r="A2780" s="113">
        <v>100500369</v>
      </c>
      <c r="B2780" s="113" t="s">
        <v>5525</v>
      </c>
      <c r="C2780" s="113">
        <v>7112063</v>
      </c>
      <c r="D2780" s="113" t="s">
        <v>3093</v>
      </c>
      <c r="E2780" s="113" t="s">
        <v>1620</v>
      </c>
      <c r="F2780" s="113" t="s">
        <v>3093</v>
      </c>
      <c r="G2780" s="113" t="s">
        <v>3093</v>
      </c>
      <c r="H2780" s="161">
        <v>400</v>
      </c>
      <c r="I2780" s="161">
        <v>4</v>
      </c>
    </row>
    <row r="2781" spans="1:9">
      <c r="A2781" s="113">
        <v>100500370</v>
      </c>
      <c r="B2781" s="113" t="s">
        <v>5526</v>
      </c>
      <c r="C2781" s="113">
        <v>7112064</v>
      </c>
      <c r="D2781" s="113" t="s">
        <v>3093</v>
      </c>
      <c r="E2781" s="113" t="s">
        <v>1620</v>
      </c>
      <c r="F2781" s="113" t="s">
        <v>3093</v>
      </c>
      <c r="G2781" s="113" t="s">
        <v>3093</v>
      </c>
      <c r="H2781" s="161">
        <v>600</v>
      </c>
      <c r="I2781" s="161">
        <v>0</v>
      </c>
    </row>
    <row r="2782" spans="1:9">
      <c r="A2782" s="113">
        <v>100500371</v>
      </c>
      <c r="B2782" s="113" t="s">
        <v>5527</v>
      </c>
      <c r="C2782" s="113">
        <v>7112066</v>
      </c>
      <c r="D2782" s="113" t="s">
        <v>3093</v>
      </c>
      <c r="E2782" s="113" t="s">
        <v>1620</v>
      </c>
      <c r="F2782" s="113" t="s">
        <v>3093</v>
      </c>
      <c r="G2782" s="113" t="s">
        <v>3093</v>
      </c>
      <c r="H2782" s="161">
        <v>6.43</v>
      </c>
      <c r="I2782" s="161">
        <v>12</v>
      </c>
    </row>
    <row r="2783" spans="1:9">
      <c r="A2783" s="113">
        <v>100500372</v>
      </c>
      <c r="B2783" s="113" t="s">
        <v>5528</v>
      </c>
      <c r="C2783" s="113">
        <v>7112067</v>
      </c>
      <c r="D2783" s="113" t="s">
        <v>3093</v>
      </c>
      <c r="E2783" s="113" t="s">
        <v>1620</v>
      </c>
      <c r="F2783" s="113" t="s">
        <v>3093</v>
      </c>
      <c r="G2783" s="113" t="s">
        <v>3093</v>
      </c>
      <c r="H2783" s="161">
        <v>6.08</v>
      </c>
      <c r="I2783" s="161">
        <v>120</v>
      </c>
    </row>
    <row r="2784" spans="1:9">
      <c r="A2784" s="113">
        <v>100500373</v>
      </c>
      <c r="B2784" s="113" t="s">
        <v>5529</v>
      </c>
      <c r="C2784" s="113">
        <v>7112068</v>
      </c>
      <c r="D2784" s="113" t="s">
        <v>3093</v>
      </c>
      <c r="E2784" s="113" t="s">
        <v>1620</v>
      </c>
      <c r="F2784" s="113" t="s">
        <v>3093</v>
      </c>
      <c r="G2784" s="113" t="s">
        <v>3093</v>
      </c>
      <c r="H2784" s="161">
        <v>6.27</v>
      </c>
      <c r="I2784" s="161">
        <v>12</v>
      </c>
    </row>
    <row r="2785" spans="1:9">
      <c r="A2785" s="113">
        <v>100500374</v>
      </c>
      <c r="B2785" s="113" t="s">
        <v>5530</v>
      </c>
      <c r="C2785" s="113">
        <v>7112076</v>
      </c>
      <c r="D2785" s="113" t="s">
        <v>3093</v>
      </c>
      <c r="E2785" s="113" t="s">
        <v>1620</v>
      </c>
      <c r="F2785" s="113" t="s">
        <v>3093</v>
      </c>
      <c r="G2785" s="113" t="s">
        <v>3093</v>
      </c>
      <c r="H2785" s="161">
        <v>17.5</v>
      </c>
      <c r="I2785" s="161">
        <v>73</v>
      </c>
    </row>
    <row r="2786" spans="1:9">
      <c r="A2786" s="113">
        <v>100500375</v>
      </c>
      <c r="B2786" s="113" t="s">
        <v>5531</v>
      </c>
      <c r="C2786" s="113" t="s">
        <v>3093</v>
      </c>
      <c r="D2786" s="113" t="s">
        <v>3093</v>
      </c>
      <c r="E2786" s="113" t="s">
        <v>1620</v>
      </c>
      <c r="F2786" s="113" t="s">
        <v>3093</v>
      </c>
      <c r="G2786" s="113" t="s">
        <v>3093</v>
      </c>
      <c r="H2786" s="161">
        <v>7100</v>
      </c>
      <c r="I2786" s="161" t="s">
        <v>7138</v>
      </c>
    </row>
    <row r="2787" spans="1:9">
      <c r="A2787" s="113">
        <v>100500376</v>
      </c>
      <c r="B2787" s="113" t="s">
        <v>5532</v>
      </c>
      <c r="C2787" s="113" t="s">
        <v>3093</v>
      </c>
      <c r="D2787" s="113" t="s">
        <v>3093</v>
      </c>
      <c r="E2787" s="113" t="s">
        <v>1620</v>
      </c>
      <c r="F2787" s="113" t="s">
        <v>3093</v>
      </c>
      <c r="G2787" s="113" t="s">
        <v>3093</v>
      </c>
      <c r="H2787" s="161">
        <v>6800</v>
      </c>
      <c r="I2787" s="161" t="s">
        <v>7138</v>
      </c>
    </row>
    <row r="2788" spans="1:9">
      <c r="A2788" s="113">
        <v>100500377</v>
      </c>
      <c r="B2788" s="113" t="s">
        <v>5533</v>
      </c>
      <c r="C2788" s="113" t="s">
        <v>3093</v>
      </c>
      <c r="D2788" s="113" t="s">
        <v>3093</v>
      </c>
      <c r="E2788" s="113" t="s">
        <v>1620</v>
      </c>
      <c r="F2788" s="113" t="s">
        <v>3093</v>
      </c>
      <c r="G2788" s="113" t="s">
        <v>3093</v>
      </c>
      <c r="H2788" s="161">
        <v>0</v>
      </c>
      <c r="I2788" s="161" t="s">
        <v>7138</v>
      </c>
    </row>
    <row r="2789" spans="1:9">
      <c r="A2789" s="113">
        <v>100500378</v>
      </c>
      <c r="B2789" s="113" t="s">
        <v>5534</v>
      </c>
      <c r="C2789" s="113" t="s">
        <v>3093</v>
      </c>
      <c r="D2789" s="113" t="s">
        <v>3093</v>
      </c>
      <c r="E2789" s="113" t="s">
        <v>1620</v>
      </c>
      <c r="F2789" s="113" t="s">
        <v>3093</v>
      </c>
      <c r="G2789" s="113" t="s">
        <v>3093</v>
      </c>
      <c r="H2789" s="161">
        <v>0</v>
      </c>
      <c r="I2789" s="161" t="s">
        <v>7138</v>
      </c>
    </row>
    <row r="2790" spans="1:9">
      <c r="A2790" s="113">
        <v>100500379</v>
      </c>
      <c r="B2790" s="113" t="s">
        <v>5535</v>
      </c>
      <c r="C2790" s="113" t="s">
        <v>3093</v>
      </c>
      <c r="D2790" s="113" t="s">
        <v>3093</v>
      </c>
      <c r="E2790" s="113" t="s">
        <v>1620</v>
      </c>
      <c r="F2790" s="113" t="s">
        <v>3093</v>
      </c>
      <c r="G2790" s="113" t="s">
        <v>3093</v>
      </c>
      <c r="H2790" s="161">
        <v>0</v>
      </c>
      <c r="I2790" s="161" t="s">
        <v>7138</v>
      </c>
    </row>
    <row r="2791" spans="1:9">
      <c r="A2791" s="113">
        <v>100500380</v>
      </c>
      <c r="B2791" s="113" t="s">
        <v>5536</v>
      </c>
      <c r="C2791" s="113" t="s">
        <v>3093</v>
      </c>
      <c r="D2791" s="113" t="s">
        <v>3093</v>
      </c>
      <c r="E2791" s="113" t="s">
        <v>1620</v>
      </c>
      <c r="F2791" s="113" t="s">
        <v>3093</v>
      </c>
      <c r="G2791" s="113" t="s">
        <v>3093</v>
      </c>
      <c r="H2791" s="161">
        <v>0</v>
      </c>
      <c r="I2791" s="161" t="s">
        <v>7138</v>
      </c>
    </row>
    <row r="2792" spans="1:9">
      <c r="A2792" s="113">
        <v>100600001</v>
      </c>
      <c r="B2792" s="113" t="s">
        <v>5537</v>
      </c>
      <c r="C2792" s="113">
        <v>7015078</v>
      </c>
      <c r="D2792" s="113" t="s">
        <v>3093</v>
      </c>
      <c r="E2792" s="113" t="s">
        <v>1620</v>
      </c>
      <c r="F2792" s="113" t="s">
        <v>3093</v>
      </c>
      <c r="G2792" s="113" t="s">
        <v>3093</v>
      </c>
      <c r="H2792" s="161">
        <v>92</v>
      </c>
      <c r="I2792" s="161">
        <v>2</v>
      </c>
    </row>
    <row r="2793" spans="1:9">
      <c r="A2793" s="113">
        <v>100600002</v>
      </c>
      <c r="B2793" s="113" t="s">
        <v>5538</v>
      </c>
      <c r="C2793" s="113">
        <v>7015079</v>
      </c>
      <c r="D2793" s="113" t="s">
        <v>3093</v>
      </c>
      <c r="E2793" s="113" t="s">
        <v>1620</v>
      </c>
      <c r="F2793" s="113" t="s">
        <v>3093</v>
      </c>
      <c r="G2793" s="113" t="s">
        <v>3093</v>
      </c>
      <c r="H2793" s="161">
        <v>810</v>
      </c>
      <c r="I2793" s="161" t="s">
        <v>7138</v>
      </c>
    </row>
    <row r="2794" spans="1:9">
      <c r="A2794" s="113">
        <v>100600003</v>
      </c>
      <c r="B2794" s="113" t="s">
        <v>5539</v>
      </c>
      <c r="C2794" s="113">
        <v>7015081</v>
      </c>
      <c r="D2794" s="113" t="s">
        <v>3093</v>
      </c>
      <c r="E2794" s="113" t="s">
        <v>1620</v>
      </c>
      <c r="F2794" s="113" t="s">
        <v>3093</v>
      </c>
      <c r="G2794" s="113" t="s">
        <v>3093</v>
      </c>
      <c r="H2794" s="161">
        <v>1770</v>
      </c>
      <c r="I2794" s="161">
        <v>20</v>
      </c>
    </row>
    <row r="2795" spans="1:9">
      <c r="A2795" s="113">
        <v>100600004</v>
      </c>
      <c r="B2795" s="113" t="s">
        <v>5540</v>
      </c>
      <c r="C2795" s="113">
        <v>7015117</v>
      </c>
      <c r="D2795" s="113" t="s">
        <v>3093</v>
      </c>
      <c r="E2795" s="113" t="s">
        <v>1620</v>
      </c>
      <c r="F2795" s="113" t="s">
        <v>3093</v>
      </c>
      <c r="G2795" s="113" t="s">
        <v>3093</v>
      </c>
      <c r="H2795" s="161">
        <v>922</v>
      </c>
      <c r="I2795" s="161">
        <v>1</v>
      </c>
    </row>
    <row r="2796" spans="1:9">
      <c r="A2796" s="113">
        <v>100600005</v>
      </c>
      <c r="B2796" s="113" t="s">
        <v>5541</v>
      </c>
      <c r="C2796" s="113">
        <v>7015122</v>
      </c>
      <c r="D2796" s="113" t="s">
        <v>3093</v>
      </c>
      <c r="E2796" s="113" t="s">
        <v>1620</v>
      </c>
      <c r="F2796" s="113" t="s">
        <v>3093</v>
      </c>
      <c r="G2796" s="113" t="s">
        <v>3093</v>
      </c>
      <c r="H2796" s="161">
        <v>85</v>
      </c>
      <c r="I2796" s="161">
        <v>75</v>
      </c>
    </row>
    <row r="2797" spans="1:9">
      <c r="A2797" s="113">
        <v>100600006</v>
      </c>
      <c r="B2797" s="113" t="s">
        <v>5542</v>
      </c>
      <c r="C2797" s="113">
        <v>7015136</v>
      </c>
      <c r="D2797" s="113" t="s">
        <v>3093</v>
      </c>
      <c r="E2797" s="113" t="s">
        <v>1620</v>
      </c>
      <c r="F2797" s="113" t="s">
        <v>3093</v>
      </c>
      <c r="G2797" s="113" t="s">
        <v>3093</v>
      </c>
      <c r="H2797" s="161">
        <v>0</v>
      </c>
      <c r="I2797" s="161" t="s">
        <v>7138</v>
      </c>
    </row>
    <row r="2798" spans="1:9">
      <c r="A2798" s="113">
        <v>100600007</v>
      </c>
      <c r="B2798" s="113" t="s">
        <v>5543</v>
      </c>
      <c r="C2798" s="113">
        <v>7016161</v>
      </c>
      <c r="D2798" s="113" t="s">
        <v>3093</v>
      </c>
      <c r="E2798" s="113" t="s">
        <v>1620</v>
      </c>
      <c r="F2798" s="113" t="s">
        <v>3093</v>
      </c>
      <c r="G2798" s="113" t="s">
        <v>3093</v>
      </c>
      <c r="H2798" s="161">
        <v>103.33</v>
      </c>
      <c r="I2798" s="161">
        <v>599</v>
      </c>
    </row>
    <row r="2799" spans="1:9">
      <c r="A2799" s="113">
        <v>100600008</v>
      </c>
      <c r="B2799" s="113" t="s">
        <v>5544</v>
      </c>
      <c r="C2799" s="113">
        <v>7016204</v>
      </c>
      <c r="D2799" s="113" t="s">
        <v>3093</v>
      </c>
      <c r="E2799" s="113" t="s">
        <v>1620</v>
      </c>
      <c r="F2799" s="113" t="s">
        <v>3093</v>
      </c>
      <c r="G2799" s="113" t="s">
        <v>3093</v>
      </c>
      <c r="H2799" s="161">
        <v>120</v>
      </c>
      <c r="I2799" s="161">
        <v>30</v>
      </c>
    </row>
    <row r="2800" spans="1:9">
      <c r="A2800" s="113">
        <v>100600009</v>
      </c>
      <c r="B2800" s="113" t="s">
        <v>5545</v>
      </c>
      <c r="C2800" s="113">
        <v>7016205</v>
      </c>
      <c r="D2800" s="113" t="s">
        <v>3093</v>
      </c>
      <c r="E2800" s="113" t="s">
        <v>1620</v>
      </c>
      <c r="F2800" s="113" t="s">
        <v>3093</v>
      </c>
      <c r="G2800" s="113" t="s">
        <v>3093</v>
      </c>
      <c r="H2800" s="161">
        <v>0</v>
      </c>
      <c r="I2800" s="161" t="s">
        <v>7138</v>
      </c>
    </row>
    <row r="2801" spans="1:9">
      <c r="A2801" s="113">
        <v>100600010</v>
      </c>
      <c r="B2801" s="113" t="s">
        <v>5546</v>
      </c>
      <c r="C2801" s="113">
        <v>7016206</v>
      </c>
      <c r="D2801" s="113" t="s">
        <v>3093</v>
      </c>
      <c r="E2801" s="113" t="s">
        <v>1620</v>
      </c>
      <c r="F2801" s="113" t="s">
        <v>3093</v>
      </c>
      <c r="G2801" s="113" t="s">
        <v>3093</v>
      </c>
      <c r="H2801" s="161">
        <v>1687.32</v>
      </c>
      <c r="I2801" s="161">
        <v>1</v>
      </c>
    </row>
    <row r="2802" spans="1:9">
      <c r="A2802" s="113">
        <v>100600011</v>
      </c>
      <c r="B2802" s="113" t="s">
        <v>5547</v>
      </c>
      <c r="C2802" s="113">
        <v>7016216</v>
      </c>
      <c r="D2802" s="113" t="s">
        <v>3093</v>
      </c>
      <c r="E2802" s="113" t="s">
        <v>1620</v>
      </c>
      <c r="F2802" s="113" t="s">
        <v>3093</v>
      </c>
      <c r="G2802" s="113" t="s">
        <v>3093</v>
      </c>
      <c r="H2802" s="161">
        <v>4600</v>
      </c>
      <c r="I2802" s="161">
        <v>1</v>
      </c>
    </row>
    <row r="2803" spans="1:9">
      <c r="A2803" s="113">
        <v>100600012</v>
      </c>
      <c r="B2803" s="113" t="s">
        <v>5548</v>
      </c>
      <c r="C2803" s="113">
        <v>7016223</v>
      </c>
      <c r="D2803" s="113" t="s">
        <v>3093</v>
      </c>
      <c r="E2803" s="113" t="s">
        <v>1620</v>
      </c>
      <c r="F2803" s="113" t="s">
        <v>3093</v>
      </c>
      <c r="G2803" s="113" t="s">
        <v>3093</v>
      </c>
      <c r="H2803" s="161">
        <v>8</v>
      </c>
      <c r="I2803" s="161">
        <v>0</v>
      </c>
    </row>
    <row r="2804" spans="1:9">
      <c r="A2804" s="113">
        <v>100600013</v>
      </c>
      <c r="B2804" s="113" t="s">
        <v>5549</v>
      </c>
      <c r="C2804" s="113">
        <v>7016224</v>
      </c>
      <c r="D2804" s="113" t="s">
        <v>3093</v>
      </c>
      <c r="E2804" s="113" t="s">
        <v>1620</v>
      </c>
      <c r="F2804" s="113" t="s">
        <v>3093</v>
      </c>
      <c r="G2804" s="113" t="s">
        <v>3093</v>
      </c>
      <c r="H2804" s="161">
        <v>500</v>
      </c>
      <c r="I2804" s="161" t="s">
        <v>7138</v>
      </c>
    </row>
    <row r="2805" spans="1:9">
      <c r="A2805" s="113">
        <v>100600014</v>
      </c>
      <c r="B2805" s="113" t="s">
        <v>5550</v>
      </c>
      <c r="C2805" s="113">
        <v>7021010</v>
      </c>
      <c r="D2805" s="113" t="s">
        <v>3093</v>
      </c>
      <c r="E2805" s="113" t="s">
        <v>1620</v>
      </c>
      <c r="F2805" s="113" t="s">
        <v>3093</v>
      </c>
      <c r="G2805" s="113" t="s">
        <v>3093</v>
      </c>
      <c r="H2805" s="161">
        <v>15000</v>
      </c>
      <c r="I2805" s="161">
        <v>3</v>
      </c>
    </row>
    <row r="2806" spans="1:9">
      <c r="A2806" s="113">
        <v>100600015</v>
      </c>
      <c r="B2806" s="113" t="s">
        <v>5551</v>
      </c>
      <c r="C2806" s="113">
        <v>7030022</v>
      </c>
      <c r="D2806" s="113" t="s">
        <v>3093</v>
      </c>
      <c r="E2806" s="113" t="s">
        <v>1620</v>
      </c>
      <c r="F2806" s="113" t="s">
        <v>3093</v>
      </c>
      <c r="G2806" s="113" t="s">
        <v>3093</v>
      </c>
      <c r="H2806" s="161">
        <v>21.9</v>
      </c>
      <c r="I2806" s="161">
        <v>100</v>
      </c>
    </row>
    <row r="2807" spans="1:9">
      <c r="A2807" s="113">
        <v>100600016</v>
      </c>
      <c r="B2807" s="113" t="s">
        <v>5552</v>
      </c>
      <c r="C2807" s="113">
        <v>7030039</v>
      </c>
      <c r="D2807" s="113" t="s">
        <v>3093</v>
      </c>
      <c r="E2807" s="113" t="s">
        <v>1620</v>
      </c>
      <c r="F2807" s="113" t="s">
        <v>3093</v>
      </c>
      <c r="G2807" s="113" t="s">
        <v>3093</v>
      </c>
      <c r="H2807" s="161">
        <v>14.6</v>
      </c>
      <c r="I2807" s="161">
        <v>160</v>
      </c>
    </row>
    <row r="2808" spans="1:9">
      <c r="A2808" s="113">
        <v>100600017</v>
      </c>
      <c r="B2808" s="113" t="s">
        <v>5553</v>
      </c>
      <c r="C2808" s="113">
        <v>7030040</v>
      </c>
      <c r="D2808" s="113" t="s">
        <v>3093</v>
      </c>
      <c r="E2808" s="113" t="s">
        <v>1620</v>
      </c>
      <c r="F2808" s="113" t="s">
        <v>3093</v>
      </c>
      <c r="G2808" s="113" t="s">
        <v>3093</v>
      </c>
      <c r="H2808" s="161">
        <v>14.6</v>
      </c>
      <c r="I2808" s="161">
        <v>90</v>
      </c>
    </row>
    <row r="2809" spans="1:9">
      <c r="A2809" s="113">
        <v>100600018</v>
      </c>
      <c r="B2809" s="113" t="s">
        <v>5554</v>
      </c>
      <c r="C2809" s="113">
        <v>7030041</v>
      </c>
      <c r="D2809" s="113" t="s">
        <v>3093</v>
      </c>
      <c r="E2809" s="113" t="s">
        <v>1620</v>
      </c>
      <c r="F2809" s="113" t="s">
        <v>3093</v>
      </c>
      <c r="G2809" s="113" t="s">
        <v>3093</v>
      </c>
      <c r="H2809" s="161">
        <v>14.9</v>
      </c>
      <c r="I2809" s="161">
        <v>20</v>
      </c>
    </row>
    <row r="2810" spans="1:9">
      <c r="A2810" s="113">
        <v>100600019</v>
      </c>
      <c r="B2810" s="113" t="s">
        <v>5555</v>
      </c>
      <c r="C2810" s="113">
        <v>7030042</v>
      </c>
      <c r="D2810" s="113" t="s">
        <v>3093</v>
      </c>
      <c r="E2810" s="113" t="s">
        <v>1620</v>
      </c>
      <c r="F2810" s="113" t="s">
        <v>3093</v>
      </c>
      <c r="G2810" s="113" t="s">
        <v>3093</v>
      </c>
      <c r="H2810" s="161">
        <v>15.3</v>
      </c>
      <c r="I2810" s="161">
        <v>180</v>
      </c>
    </row>
    <row r="2811" spans="1:9">
      <c r="A2811" s="113">
        <v>100600020</v>
      </c>
      <c r="B2811" s="113" t="s">
        <v>5556</v>
      </c>
      <c r="C2811" s="113">
        <v>7030056</v>
      </c>
      <c r="D2811" s="113" t="s">
        <v>3093</v>
      </c>
      <c r="E2811" s="113" t="s">
        <v>1620</v>
      </c>
      <c r="F2811" s="113" t="s">
        <v>3093</v>
      </c>
      <c r="G2811" s="113" t="s">
        <v>3093</v>
      </c>
      <c r="H2811" s="161">
        <v>14.9</v>
      </c>
      <c r="I2811" s="161">
        <v>80</v>
      </c>
    </row>
    <row r="2812" spans="1:9">
      <c r="A2812" s="113">
        <v>100600021</v>
      </c>
      <c r="B2812" s="113" t="s">
        <v>5557</v>
      </c>
      <c r="C2812" s="113">
        <v>7030058</v>
      </c>
      <c r="D2812" s="113" t="s">
        <v>3093</v>
      </c>
      <c r="E2812" s="113" t="s">
        <v>1620</v>
      </c>
      <c r="F2812" s="113" t="s">
        <v>3093</v>
      </c>
      <c r="G2812" s="113" t="s">
        <v>3093</v>
      </c>
      <c r="H2812" s="161">
        <v>14.9</v>
      </c>
      <c r="I2812" s="161">
        <v>10</v>
      </c>
    </row>
    <row r="2813" spans="1:9">
      <c r="A2813" s="113">
        <v>100600022</v>
      </c>
      <c r="B2813" s="113" t="s">
        <v>5558</v>
      </c>
      <c r="C2813" s="113">
        <v>7030059</v>
      </c>
      <c r="D2813" s="113" t="s">
        <v>3093</v>
      </c>
      <c r="E2813" s="113" t="s">
        <v>1620</v>
      </c>
      <c r="F2813" s="113" t="s">
        <v>3093</v>
      </c>
      <c r="G2813" s="113" t="s">
        <v>3093</v>
      </c>
      <c r="H2813" s="161">
        <v>14.9</v>
      </c>
      <c r="I2813" s="161">
        <v>300</v>
      </c>
    </row>
    <row r="2814" spans="1:9">
      <c r="A2814" s="113">
        <v>100600023</v>
      </c>
      <c r="B2814" s="113" t="s">
        <v>1365</v>
      </c>
      <c r="C2814" s="113">
        <v>7036119</v>
      </c>
      <c r="D2814" s="113" t="s">
        <v>3093</v>
      </c>
      <c r="E2814" s="113" t="s">
        <v>1620</v>
      </c>
      <c r="F2814" s="113" t="s">
        <v>3093</v>
      </c>
      <c r="G2814" s="113" t="s">
        <v>3093</v>
      </c>
      <c r="H2814" s="161">
        <v>25.6</v>
      </c>
      <c r="I2814" s="161">
        <v>0</v>
      </c>
    </row>
    <row r="2815" spans="1:9">
      <c r="A2815" s="113">
        <v>100600024</v>
      </c>
      <c r="B2815" s="113" t="s">
        <v>5559</v>
      </c>
      <c r="C2815" s="113">
        <v>7036120</v>
      </c>
      <c r="D2815" s="113" t="s">
        <v>3093</v>
      </c>
      <c r="E2815" s="113" t="s">
        <v>1620</v>
      </c>
      <c r="F2815" s="113" t="s">
        <v>3093</v>
      </c>
      <c r="G2815" s="113" t="s">
        <v>3093</v>
      </c>
      <c r="H2815" s="161">
        <v>66.5</v>
      </c>
      <c r="I2815" s="161">
        <v>0</v>
      </c>
    </row>
    <row r="2816" spans="1:9">
      <c r="A2816" s="113">
        <v>100600025</v>
      </c>
      <c r="B2816" s="113" t="s">
        <v>5560</v>
      </c>
      <c r="C2816" s="113">
        <v>7036122</v>
      </c>
      <c r="D2816" s="113" t="s">
        <v>3093</v>
      </c>
      <c r="E2816" s="113" t="s">
        <v>1620</v>
      </c>
      <c r="F2816" s="113" t="s">
        <v>3093</v>
      </c>
      <c r="G2816" s="113" t="s">
        <v>3093</v>
      </c>
      <c r="H2816" s="161">
        <v>55</v>
      </c>
      <c r="I2816" s="161">
        <v>54</v>
      </c>
    </row>
    <row r="2817" spans="1:9">
      <c r="A2817" s="113">
        <v>100600026</v>
      </c>
      <c r="B2817" s="113" t="s">
        <v>5561</v>
      </c>
      <c r="C2817" s="113">
        <v>7036123</v>
      </c>
      <c r="D2817" s="113" t="s">
        <v>3093</v>
      </c>
      <c r="E2817" s="113" t="s">
        <v>1620</v>
      </c>
      <c r="F2817" s="113" t="s">
        <v>3093</v>
      </c>
      <c r="G2817" s="113" t="s">
        <v>3093</v>
      </c>
      <c r="H2817" s="161">
        <v>42.86</v>
      </c>
      <c r="I2817" s="161">
        <v>0</v>
      </c>
    </row>
    <row r="2818" spans="1:9">
      <c r="A2818" s="113">
        <v>100600027</v>
      </c>
      <c r="B2818" s="113" t="s">
        <v>5562</v>
      </c>
      <c r="C2818" s="113">
        <v>7036124</v>
      </c>
      <c r="D2818" s="113" t="s">
        <v>3093</v>
      </c>
      <c r="E2818" s="113" t="s">
        <v>1620</v>
      </c>
      <c r="F2818" s="113" t="s">
        <v>3093</v>
      </c>
      <c r="G2818" s="113" t="s">
        <v>3093</v>
      </c>
      <c r="H2818" s="161">
        <v>38.299999999999997</v>
      </c>
      <c r="I2818" s="161">
        <v>11</v>
      </c>
    </row>
    <row r="2819" spans="1:9">
      <c r="A2819" s="113">
        <v>100600028</v>
      </c>
      <c r="B2819" s="113" t="s">
        <v>5563</v>
      </c>
      <c r="C2819" s="113">
        <v>7036125</v>
      </c>
      <c r="D2819" s="113" t="s">
        <v>3093</v>
      </c>
      <c r="E2819" s="113" t="s">
        <v>1620</v>
      </c>
      <c r="F2819" s="113" t="s">
        <v>3093</v>
      </c>
      <c r="G2819" s="113" t="s">
        <v>3093</v>
      </c>
      <c r="H2819" s="161">
        <v>39.950000000000003</v>
      </c>
      <c r="I2819" s="161">
        <v>0</v>
      </c>
    </row>
    <row r="2820" spans="1:9">
      <c r="A2820" s="113">
        <v>100600029</v>
      </c>
      <c r="B2820" s="113" t="s">
        <v>5564</v>
      </c>
      <c r="C2820" s="113">
        <v>7036126</v>
      </c>
      <c r="D2820" s="113" t="s">
        <v>3093</v>
      </c>
      <c r="E2820" s="113" t="s">
        <v>1620</v>
      </c>
      <c r="F2820" s="113" t="s">
        <v>3093</v>
      </c>
      <c r="G2820" s="113" t="s">
        <v>3093</v>
      </c>
      <c r="H2820" s="161">
        <v>35.5</v>
      </c>
      <c r="I2820" s="161">
        <v>0</v>
      </c>
    </row>
    <row r="2821" spans="1:9">
      <c r="A2821" s="113">
        <v>100600030</v>
      </c>
      <c r="B2821" s="113" t="s">
        <v>5565</v>
      </c>
      <c r="C2821" s="113">
        <v>7036127</v>
      </c>
      <c r="D2821" s="113" t="s">
        <v>3093</v>
      </c>
      <c r="E2821" s="113" t="s">
        <v>1620</v>
      </c>
      <c r="F2821" s="113" t="s">
        <v>3093</v>
      </c>
      <c r="G2821" s="113" t="s">
        <v>3093</v>
      </c>
      <c r="H2821" s="161">
        <v>37.950000000000003</v>
      </c>
      <c r="I2821" s="161">
        <v>0</v>
      </c>
    </row>
    <row r="2822" spans="1:9">
      <c r="A2822" s="113">
        <v>100600031</v>
      </c>
      <c r="B2822" s="113" t="s">
        <v>5566</v>
      </c>
      <c r="C2822" s="113">
        <v>7036128</v>
      </c>
      <c r="D2822" s="113" t="s">
        <v>3093</v>
      </c>
      <c r="E2822" s="113" t="s">
        <v>1620</v>
      </c>
      <c r="F2822" s="113" t="s">
        <v>3093</v>
      </c>
      <c r="G2822" s="113" t="s">
        <v>3093</v>
      </c>
      <c r="H2822" s="161">
        <v>37.39</v>
      </c>
      <c r="I2822" s="161">
        <v>0</v>
      </c>
    </row>
    <row r="2823" spans="1:9">
      <c r="A2823" s="113">
        <v>100600032</v>
      </c>
      <c r="B2823" s="113" t="s">
        <v>5567</v>
      </c>
      <c r="C2823" s="113">
        <v>7036129</v>
      </c>
      <c r="D2823" s="113" t="s">
        <v>3093</v>
      </c>
      <c r="E2823" s="113" t="s">
        <v>1620</v>
      </c>
      <c r="F2823" s="113" t="s">
        <v>3093</v>
      </c>
      <c r="G2823" s="113" t="s">
        <v>3093</v>
      </c>
      <c r="H2823" s="161">
        <v>37.619999999999997</v>
      </c>
      <c r="I2823" s="161">
        <v>22</v>
      </c>
    </row>
    <row r="2824" spans="1:9">
      <c r="A2824" s="113">
        <v>100600033</v>
      </c>
      <c r="B2824" s="113" t="s">
        <v>1362</v>
      </c>
      <c r="C2824" s="113">
        <v>7036135</v>
      </c>
      <c r="D2824" s="113" t="s">
        <v>3093</v>
      </c>
      <c r="E2824" s="113" t="s">
        <v>1620</v>
      </c>
      <c r="F2824" s="113" t="s">
        <v>3093</v>
      </c>
      <c r="G2824" s="113" t="s">
        <v>3093</v>
      </c>
      <c r="H2824" s="161">
        <v>33.9</v>
      </c>
      <c r="I2824" s="161">
        <v>18</v>
      </c>
    </row>
    <row r="2825" spans="1:9">
      <c r="A2825" s="113">
        <v>100600034</v>
      </c>
      <c r="B2825" s="113" t="s">
        <v>5568</v>
      </c>
      <c r="C2825" s="113">
        <v>7036136</v>
      </c>
      <c r="D2825" s="113" t="s">
        <v>3093</v>
      </c>
      <c r="E2825" s="113" t="s">
        <v>1620</v>
      </c>
      <c r="F2825" s="113" t="s">
        <v>3093</v>
      </c>
      <c r="G2825" s="113" t="s">
        <v>3093</v>
      </c>
      <c r="H2825" s="161">
        <v>14.9</v>
      </c>
      <c r="I2825" s="161">
        <v>11</v>
      </c>
    </row>
    <row r="2826" spans="1:9">
      <c r="A2826" s="113">
        <v>100600035</v>
      </c>
      <c r="B2826" s="113" t="s">
        <v>1364</v>
      </c>
      <c r="C2826" s="113">
        <v>7036137</v>
      </c>
      <c r="D2826" s="113" t="s">
        <v>3093</v>
      </c>
      <c r="E2826" s="113" t="s">
        <v>1620</v>
      </c>
      <c r="F2826" s="113" t="s">
        <v>3093</v>
      </c>
      <c r="G2826" s="113" t="s">
        <v>3093</v>
      </c>
      <c r="H2826" s="161">
        <v>14.68</v>
      </c>
      <c r="I2826" s="161">
        <v>6</v>
      </c>
    </row>
    <row r="2827" spans="1:9">
      <c r="A2827" s="113">
        <v>100600036</v>
      </c>
      <c r="B2827" s="113" t="s">
        <v>1367</v>
      </c>
      <c r="C2827" s="113">
        <v>7036138</v>
      </c>
      <c r="D2827" s="113" t="s">
        <v>3093</v>
      </c>
      <c r="E2827" s="113" t="s">
        <v>1620</v>
      </c>
      <c r="F2827" s="113" t="s">
        <v>3093</v>
      </c>
      <c r="G2827" s="113" t="s">
        <v>3093</v>
      </c>
      <c r="H2827" s="161">
        <v>39.9</v>
      </c>
      <c r="I2827" s="161">
        <v>0</v>
      </c>
    </row>
    <row r="2828" spans="1:9">
      <c r="A2828" s="113">
        <v>100600037</v>
      </c>
      <c r="B2828" s="113" t="s">
        <v>1366</v>
      </c>
      <c r="C2828" s="113">
        <v>7036139</v>
      </c>
      <c r="D2828" s="113" t="s">
        <v>3093</v>
      </c>
      <c r="E2828" s="113" t="s">
        <v>1620</v>
      </c>
      <c r="F2828" s="113" t="s">
        <v>3093</v>
      </c>
      <c r="G2828" s="113" t="s">
        <v>3093</v>
      </c>
      <c r="H2828" s="161">
        <v>45.2</v>
      </c>
      <c r="I2828" s="161">
        <v>0</v>
      </c>
    </row>
    <row r="2829" spans="1:9">
      <c r="A2829" s="113">
        <v>100600038</v>
      </c>
      <c r="B2829" s="113" t="s">
        <v>3000</v>
      </c>
      <c r="C2829" s="113">
        <v>7036140</v>
      </c>
      <c r="D2829" s="113" t="s">
        <v>3093</v>
      </c>
      <c r="E2829" s="113" t="s">
        <v>1620</v>
      </c>
      <c r="F2829" s="113" t="s">
        <v>3093</v>
      </c>
      <c r="G2829" s="113" t="s">
        <v>3093</v>
      </c>
      <c r="H2829" s="161">
        <v>26</v>
      </c>
      <c r="I2829" s="161">
        <v>22</v>
      </c>
    </row>
    <row r="2830" spans="1:9">
      <c r="A2830" s="113">
        <v>100600039</v>
      </c>
      <c r="B2830" s="113" t="s">
        <v>1369</v>
      </c>
      <c r="C2830" s="113">
        <v>7036141</v>
      </c>
      <c r="D2830" s="113" t="s">
        <v>3093</v>
      </c>
      <c r="E2830" s="113" t="s">
        <v>1620</v>
      </c>
      <c r="F2830" s="113" t="s">
        <v>3093</v>
      </c>
      <c r="G2830" s="113" t="s">
        <v>3093</v>
      </c>
      <c r="H2830" s="161">
        <v>29</v>
      </c>
      <c r="I2830" s="161">
        <v>10</v>
      </c>
    </row>
    <row r="2831" spans="1:9">
      <c r="A2831" s="113">
        <v>100600040</v>
      </c>
      <c r="B2831" s="113" t="s">
        <v>1368</v>
      </c>
      <c r="C2831" s="113">
        <v>7036142</v>
      </c>
      <c r="D2831" s="113" t="s">
        <v>3093</v>
      </c>
      <c r="E2831" s="113" t="s">
        <v>1620</v>
      </c>
      <c r="F2831" s="113" t="s">
        <v>3093</v>
      </c>
      <c r="G2831" s="113" t="s">
        <v>3093</v>
      </c>
      <c r="H2831" s="161">
        <v>27.8</v>
      </c>
      <c r="I2831" s="161">
        <v>0</v>
      </c>
    </row>
    <row r="2832" spans="1:9">
      <c r="A2832" s="113">
        <v>100600041</v>
      </c>
      <c r="B2832" s="113" t="s">
        <v>3001</v>
      </c>
      <c r="C2832" s="113">
        <v>7036143</v>
      </c>
      <c r="D2832" s="113" t="s">
        <v>3093</v>
      </c>
      <c r="E2832" s="113" t="s">
        <v>1620</v>
      </c>
      <c r="F2832" s="113" t="s">
        <v>3093</v>
      </c>
      <c r="G2832" s="113" t="s">
        <v>3093</v>
      </c>
      <c r="H2832" s="161">
        <v>145</v>
      </c>
      <c r="I2832" s="161">
        <v>1</v>
      </c>
    </row>
    <row r="2833" spans="1:9">
      <c r="A2833" s="113">
        <v>100600042</v>
      </c>
      <c r="B2833" s="113" t="s">
        <v>3002</v>
      </c>
      <c r="C2833" s="113">
        <v>7036144</v>
      </c>
      <c r="D2833" s="113" t="s">
        <v>3093</v>
      </c>
      <c r="E2833" s="113" t="s">
        <v>1620</v>
      </c>
      <c r="F2833" s="113" t="s">
        <v>3093</v>
      </c>
      <c r="G2833" s="113" t="s">
        <v>3093</v>
      </c>
      <c r="H2833" s="161">
        <v>35.08</v>
      </c>
      <c r="I2833" s="161">
        <v>1</v>
      </c>
    </row>
    <row r="2834" spans="1:9">
      <c r="A2834" s="113">
        <v>100600043</v>
      </c>
      <c r="B2834" s="113" t="s">
        <v>3003</v>
      </c>
      <c r="C2834" s="113">
        <v>7036145</v>
      </c>
      <c r="D2834" s="113" t="s">
        <v>3093</v>
      </c>
      <c r="E2834" s="113" t="s">
        <v>1620</v>
      </c>
      <c r="F2834" s="113" t="s">
        <v>3093</v>
      </c>
      <c r="G2834" s="113" t="s">
        <v>3093</v>
      </c>
      <c r="H2834" s="161">
        <v>35.08</v>
      </c>
      <c r="I2834" s="161">
        <v>12</v>
      </c>
    </row>
    <row r="2835" spans="1:9">
      <c r="A2835" s="113">
        <v>100600044</v>
      </c>
      <c r="B2835" s="113" t="s">
        <v>3004</v>
      </c>
      <c r="C2835" s="113">
        <v>7036146</v>
      </c>
      <c r="D2835" s="113" t="s">
        <v>3093</v>
      </c>
      <c r="E2835" s="113" t="s">
        <v>1620</v>
      </c>
      <c r="F2835" s="113" t="s">
        <v>3093</v>
      </c>
      <c r="G2835" s="113" t="s">
        <v>3093</v>
      </c>
      <c r="H2835" s="161">
        <v>35.08</v>
      </c>
      <c r="I2835" s="161">
        <v>1</v>
      </c>
    </row>
    <row r="2836" spans="1:9">
      <c r="A2836" s="113">
        <v>100600045</v>
      </c>
      <c r="B2836" s="113" t="s">
        <v>3005</v>
      </c>
      <c r="C2836" s="113">
        <v>7036147</v>
      </c>
      <c r="D2836" s="113" t="s">
        <v>3093</v>
      </c>
      <c r="E2836" s="113" t="s">
        <v>1620</v>
      </c>
      <c r="F2836" s="113" t="s">
        <v>3093</v>
      </c>
      <c r="G2836" s="113" t="s">
        <v>3093</v>
      </c>
      <c r="H2836" s="161">
        <v>0</v>
      </c>
      <c r="I2836" s="161" t="s">
        <v>7138</v>
      </c>
    </row>
    <row r="2837" spans="1:9">
      <c r="A2837" s="113">
        <v>100600046</v>
      </c>
      <c r="B2837" s="113" t="s">
        <v>3006</v>
      </c>
      <c r="C2837" s="113">
        <v>7036148</v>
      </c>
      <c r="D2837" s="113" t="s">
        <v>3093</v>
      </c>
      <c r="E2837" s="113" t="s">
        <v>1620</v>
      </c>
      <c r="F2837" s="113" t="s">
        <v>3093</v>
      </c>
      <c r="G2837" s="113" t="s">
        <v>3093</v>
      </c>
      <c r="H2837" s="161">
        <v>77.41</v>
      </c>
      <c r="I2837" s="161">
        <v>1</v>
      </c>
    </row>
    <row r="2838" spans="1:9">
      <c r="A2838" s="113">
        <v>100600047</v>
      </c>
      <c r="B2838" s="113" t="s">
        <v>5569</v>
      </c>
      <c r="C2838" s="113">
        <v>7038025</v>
      </c>
      <c r="D2838" s="113" t="s">
        <v>3093</v>
      </c>
      <c r="E2838" s="113" t="s">
        <v>1620</v>
      </c>
      <c r="F2838" s="113" t="s">
        <v>3093</v>
      </c>
      <c r="G2838" s="113" t="s">
        <v>3093</v>
      </c>
      <c r="H2838" s="161">
        <v>0</v>
      </c>
      <c r="I2838" s="161" t="s">
        <v>7138</v>
      </c>
    </row>
    <row r="2839" spans="1:9">
      <c r="A2839" s="113">
        <v>100600048</v>
      </c>
      <c r="B2839" s="113" t="s">
        <v>5570</v>
      </c>
      <c r="C2839" s="113">
        <v>7038026</v>
      </c>
      <c r="D2839" s="113" t="s">
        <v>3093</v>
      </c>
      <c r="E2839" s="113" t="s">
        <v>1620</v>
      </c>
      <c r="F2839" s="113" t="s">
        <v>3093</v>
      </c>
      <c r="G2839" s="113" t="s">
        <v>3093</v>
      </c>
      <c r="H2839" s="161">
        <v>0</v>
      </c>
      <c r="I2839" s="161" t="s">
        <v>7138</v>
      </c>
    </row>
    <row r="2840" spans="1:9">
      <c r="A2840" s="113">
        <v>100600049</v>
      </c>
      <c r="B2840" s="113" t="s">
        <v>1328</v>
      </c>
      <c r="C2840" s="113">
        <v>7038050</v>
      </c>
      <c r="D2840" s="113" t="s">
        <v>3093</v>
      </c>
      <c r="E2840" s="113" t="s">
        <v>1620</v>
      </c>
      <c r="F2840" s="113" t="s">
        <v>3093</v>
      </c>
      <c r="G2840" s="113" t="s">
        <v>3093</v>
      </c>
      <c r="H2840" s="161">
        <v>113</v>
      </c>
      <c r="I2840" s="161">
        <v>4</v>
      </c>
    </row>
    <row r="2841" spans="1:9">
      <c r="A2841" s="113">
        <v>100600050</v>
      </c>
      <c r="B2841" s="113" t="s">
        <v>5571</v>
      </c>
      <c r="C2841" s="113">
        <v>7038058</v>
      </c>
      <c r="D2841" s="113" t="s">
        <v>3093</v>
      </c>
      <c r="E2841" s="113" t="s">
        <v>1620</v>
      </c>
      <c r="F2841" s="113" t="s">
        <v>3093</v>
      </c>
      <c r="G2841" s="113" t="s">
        <v>3093</v>
      </c>
      <c r="H2841" s="161">
        <v>4944.5</v>
      </c>
      <c r="I2841" s="161">
        <v>6</v>
      </c>
    </row>
    <row r="2842" spans="1:9">
      <c r="A2842" s="113">
        <v>100600051</v>
      </c>
      <c r="B2842" s="113" t="s">
        <v>5572</v>
      </c>
      <c r="C2842" s="113">
        <v>7038075</v>
      </c>
      <c r="D2842" s="113" t="s">
        <v>3093</v>
      </c>
      <c r="E2842" s="113" t="s">
        <v>1620</v>
      </c>
      <c r="F2842" s="113" t="s">
        <v>3093</v>
      </c>
      <c r="G2842" s="113" t="s">
        <v>3093</v>
      </c>
      <c r="H2842" s="161">
        <v>49</v>
      </c>
      <c r="I2842" s="161">
        <v>150</v>
      </c>
    </row>
    <row r="2843" spans="1:9">
      <c r="A2843" s="113">
        <v>100600052</v>
      </c>
      <c r="B2843" s="113" t="s">
        <v>5573</v>
      </c>
      <c r="C2843" s="113">
        <v>7038076</v>
      </c>
      <c r="D2843" s="113" t="s">
        <v>3093</v>
      </c>
      <c r="E2843" s="113" t="s">
        <v>1620</v>
      </c>
      <c r="F2843" s="113" t="s">
        <v>3093</v>
      </c>
      <c r="G2843" s="113" t="s">
        <v>3093</v>
      </c>
      <c r="H2843" s="161">
        <v>637.39</v>
      </c>
      <c r="I2843" s="161">
        <v>1</v>
      </c>
    </row>
    <row r="2844" spans="1:9">
      <c r="A2844" s="113">
        <v>100600053</v>
      </c>
      <c r="B2844" s="113" t="s">
        <v>5574</v>
      </c>
      <c r="C2844" s="113">
        <v>7038100</v>
      </c>
      <c r="D2844" s="113" t="s">
        <v>3093</v>
      </c>
      <c r="E2844" s="113" t="s">
        <v>1620</v>
      </c>
      <c r="F2844" s="113" t="s">
        <v>3093</v>
      </c>
      <c r="G2844" s="113" t="s">
        <v>3093</v>
      </c>
      <c r="H2844" s="161">
        <v>50</v>
      </c>
      <c r="I2844" s="161">
        <v>48</v>
      </c>
    </row>
    <row r="2845" spans="1:9">
      <c r="A2845" s="113">
        <v>100600054</v>
      </c>
      <c r="B2845" s="113" t="s">
        <v>5575</v>
      </c>
      <c r="C2845" s="113">
        <v>7038101</v>
      </c>
      <c r="D2845" s="113" t="s">
        <v>3093</v>
      </c>
      <c r="E2845" s="113" t="s">
        <v>1620</v>
      </c>
      <c r="F2845" s="113" t="s">
        <v>3093</v>
      </c>
      <c r="G2845" s="113" t="s">
        <v>3093</v>
      </c>
      <c r="H2845" s="161">
        <v>50</v>
      </c>
      <c r="I2845" s="161">
        <v>0</v>
      </c>
    </row>
    <row r="2846" spans="1:9">
      <c r="A2846" s="113">
        <v>100600055</v>
      </c>
      <c r="B2846" s="113" t="s">
        <v>5576</v>
      </c>
      <c r="C2846" s="113">
        <v>7038102</v>
      </c>
      <c r="D2846" s="113" t="s">
        <v>3093</v>
      </c>
      <c r="E2846" s="113" t="s">
        <v>1620</v>
      </c>
      <c r="F2846" s="113" t="s">
        <v>3093</v>
      </c>
      <c r="G2846" s="113" t="s">
        <v>3093</v>
      </c>
      <c r="H2846" s="161">
        <v>39.950000000000003</v>
      </c>
      <c r="I2846" s="161">
        <v>39</v>
      </c>
    </row>
    <row r="2847" spans="1:9">
      <c r="A2847" s="113">
        <v>100600056</v>
      </c>
      <c r="B2847" s="113" t="s">
        <v>5577</v>
      </c>
      <c r="C2847" s="113">
        <v>7038103</v>
      </c>
      <c r="D2847" s="113" t="s">
        <v>3093</v>
      </c>
      <c r="E2847" s="113" t="s">
        <v>1620</v>
      </c>
      <c r="F2847" s="113" t="s">
        <v>3093</v>
      </c>
      <c r="G2847" s="113" t="s">
        <v>3093</v>
      </c>
      <c r="H2847" s="161">
        <v>42.63</v>
      </c>
      <c r="I2847" s="161">
        <v>60</v>
      </c>
    </row>
    <row r="2848" spans="1:9">
      <c r="A2848" s="113">
        <v>100600057</v>
      </c>
      <c r="B2848" s="113" t="s">
        <v>5578</v>
      </c>
      <c r="C2848" s="113">
        <v>7038104</v>
      </c>
      <c r="D2848" s="113" t="s">
        <v>3093</v>
      </c>
      <c r="E2848" s="113" t="s">
        <v>1620</v>
      </c>
      <c r="F2848" s="113" t="s">
        <v>3093</v>
      </c>
      <c r="G2848" s="113" t="s">
        <v>3093</v>
      </c>
      <c r="H2848" s="161">
        <v>43.64</v>
      </c>
      <c r="I2848" s="161">
        <v>0</v>
      </c>
    </row>
    <row r="2849" spans="1:9">
      <c r="A2849" s="113">
        <v>100600058</v>
      </c>
      <c r="B2849" s="113" t="s">
        <v>5579</v>
      </c>
      <c r="C2849" s="113">
        <v>7038105</v>
      </c>
      <c r="D2849" s="113" t="s">
        <v>3093</v>
      </c>
      <c r="E2849" s="113" t="s">
        <v>1620</v>
      </c>
      <c r="F2849" s="113" t="s">
        <v>3093</v>
      </c>
      <c r="G2849" s="113" t="s">
        <v>3093</v>
      </c>
      <c r="H2849" s="161">
        <v>41.7</v>
      </c>
      <c r="I2849" s="161">
        <v>50</v>
      </c>
    </row>
    <row r="2850" spans="1:9">
      <c r="A2850" s="113">
        <v>100600059</v>
      </c>
      <c r="B2850" s="113" t="s">
        <v>5580</v>
      </c>
      <c r="C2850" s="113">
        <v>7040019</v>
      </c>
      <c r="D2850" s="113" t="s">
        <v>3093</v>
      </c>
      <c r="E2850" s="113" t="s">
        <v>1620</v>
      </c>
      <c r="F2850" s="113" t="s">
        <v>3093</v>
      </c>
      <c r="G2850" s="113" t="s">
        <v>3093</v>
      </c>
      <c r="H2850" s="161">
        <v>4.42</v>
      </c>
      <c r="I2850" s="161">
        <v>50</v>
      </c>
    </row>
    <row r="2851" spans="1:9">
      <c r="A2851" s="113">
        <v>100600060</v>
      </c>
      <c r="B2851" s="113" t="s">
        <v>3007</v>
      </c>
      <c r="C2851" s="113">
        <v>7040034</v>
      </c>
      <c r="D2851" s="113" t="s">
        <v>3093</v>
      </c>
      <c r="E2851" s="113" t="s">
        <v>1620</v>
      </c>
      <c r="F2851" s="113" t="s">
        <v>3093</v>
      </c>
      <c r="G2851" s="113" t="s">
        <v>3093</v>
      </c>
      <c r="H2851" s="161">
        <v>211.5</v>
      </c>
      <c r="I2851" s="161">
        <v>20</v>
      </c>
    </row>
    <row r="2852" spans="1:9">
      <c r="A2852" s="113">
        <v>100600061</v>
      </c>
      <c r="B2852" s="113" t="s">
        <v>5581</v>
      </c>
      <c r="C2852" s="113">
        <v>7040046</v>
      </c>
      <c r="D2852" s="113" t="s">
        <v>3093</v>
      </c>
      <c r="E2852" s="113" t="s">
        <v>1620</v>
      </c>
      <c r="F2852" s="113" t="s">
        <v>3093</v>
      </c>
      <c r="G2852" s="113" t="s">
        <v>3093</v>
      </c>
      <c r="H2852" s="161">
        <v>21.8</v>
      </c>
      <c r="I2852" s="161">
        <v>400</v>
      </c>
    </row>
    <row r="2853" spans="1:9">
      <c r="A2853" s="113">
        <v>100600062</v>
      </c>
      <c r="B2853" s="113" t="s">
        <v>5582</v>
      </c>
      <c r="C2853" s="113">
        <v>7040047</v>
      </c>
      <c r="D2853" s="113" t="s">
        <v>3093</v>
      </c>
      <c r="E2853" s="113" t="s">
        <v>1620</v>
      </c>
      <c r="F2853" s="113" t="s">
        <v>3093</v>
      </c>
      <c r="G2853" s="113" t="s">
        <v>3093</v>
      </c>
      <c r="H2853" s="161">
        <v>21.11</v>
      </c>
      <c r="I2853" s="161">
        <v>60</v>
      </c>
    </row>
    <row r="2854" spans="1:9">
      <c r="A2854" s="113">
        <v>100600063</v>
      </c>
      <c r="B2854" s="113" t="s">
        <v>5583</v>
      </c>
      <c r="C2854" s="113">
        <v>7041067</v>
      </c>
      <c r="D2854" s="113" t="s">
        <v>3093</v>
      </c>
      <c r="E2854" s="113" t="s">
        <v>1620</v>
      </c>
      <c r="F2854" s="113" t="s">
        <v>3093</v>
      </c>
      <c r="G2854" s="113" t="s">
        <v>3093</v>
      </c>
      <c r="H2854" s="161">
        <v>3.66</v>
      </c>
      <c r="I2854" s="161">
        <v>10</v>
      </c>
    </row>
    <row r="2855" spans="1:9">
      <c r="A2855" s="113">
        <v>100600064</v>
      </c>
      <c r="B2855" s="113" t="s">
        <v>5584</v>
      </c>
      <c r="C2855" s="113">
        <v>7041068</v>
      </c>
      <c r="D2855" s="113" t="s">
        <v>3093</v>
      </c>
      <c r="E2855" s="113" t="s">
        <v>1620</v>
      </c>
      <c r="F2855" s="113" t="s">
        <v>3093</v>
      </c>
      <c r="G2855" s="113" t="s">
        <v>3093</v>
      </c>
      <c r="H2855" s="161">
        <v>3.66</v>
      </c>
      <c r="I2855" s="161">
        <v>10</v>
      </c>
    </row>
    <row r="2856" spans="1:9">
      <c r="A2856" s="113">
        <v>100600065</v>
      </c>
      <c r="B2856" s="113" t="s">
        <v>5585</v>
      </c>
      <c r="C2856" s="113">
        <v>7041073</v>
      </c>
      <c r="D2856" s="113" t="s">
        <v>3093</v>
      </c>
      <c r="E2856" s="113" t="s">
        <v>1620</v>
      </c>
      <c r="F2856" s="113" t="s">
        <v>3093</v>
      </c>
      <c r="G2856" s="113" t="s">
        <v>3093</v>
      </c>
      <c r="H2856" s="161">
        <v>90</v>
      </c>
      <c r="I2856" s="161">
        <v>313</v>
      </c>
    </row>
    <row r="2857" spans="1:9">
      <c r="A2857" s="113">
        <v>100600066</v>
      </c>
      <c r="B2857" s="113" t="s">
        <v>5586</v>
      </c>
      <c r="C2857" s="113">
        <v>7042081</v>
      </c>
      <c r="D2857" s="113" t="s">
        <v>3093</v>
      </c>
      <c r="E2857" s="113" t="s">
        <v>1620</v>
      </c>
      <c r="F2857" s="113" t="s">
        <v>3093</v>
      </c>
      <c r="G2857" s="113" t="s">
        <v>3093</v>
      </c>
      <c r="H2857" s="161">
        <v>168.45</v>
      </c>
      <c r="I2857" s="161">
        <v>10</v>
      </c>
    </row>
    <row r="2858" spans="1:9">
      <c r="A2858" s="113">
        <v>100600067</v>
      </c>
      <c r="B2858" s="113" t="s">
        <v>5587</v>
      </c>
      <c r="C2858" s="113">
        <v>7042114</v>
      </c>
      <c r="D2858" s="113" t="s">
        <v>3093</v>
      </c>
      <c r="E2858" s="113" t="s">
        <v>1620</v>
      </c>
      <c r="F2858" s="113" t="s">
        <v>3093</v>
      </c>
      <c r="G2858" s="113" t="s">
        <v>3093</v>
      </c>
      <c r="H2858" s="161">
        <v>85</v>
      </c>
      <c r="I2858" s="161">
        <v>90</v>
      </c>
    </row>
    <row r="2859" spans="1:9">
      <c r="A2859" s="113">
        <v>100600068</v>
      </c>
      <c r="B2859" s="113" t="s">
        <v>5588</v>
      </c>
      <c r="C2859" s="113">
        <v>7042115</v>
      </c>
      <c r="D2859" s="113" t="s">
        <v>3093</v>
      </c>
      <c r="E2859" s="113" t="s">
        <v>1620</v>
      </c>
      <c r="F2859" s="113" t="s">
        <v>3093</v>
      </c>
      <c r="G2859" s="113" t="s">
        <v>3093</v>
      </c>
      <c r="H2859" s="161">
        <v>93.85</v>
      </c>
      <c r="I2859" s="161">
        <v>200</v>
      </c>
    </row>
    <row r="2860" spans="1:9">
      <c r="A2860" s="113">
        <v>100600069</v>
      </c>
      <c r="B2860" s="113" t="s">
        <v>5589</v>
      </c>
      <c r="C2860" s="113">
        <v>7090092</v>
      </c>
      <c r="D2860" s="113" t="s">
        <v>3093</v>
      </c>
      <c r="E2860" s="113" t="s">
        <v>1620</v>
      </c>
      <c r="F2860" s="113" t="s">
        <v>3093</v>
      </c>
      <c r="G2860" s="113" t="s">
        <v>3093</v>
      </c>
      <c r="H2860" s="161">
        <v>18.78</v>
      </c>
      <c r="I2860" s="161">
        <v>18</v>
      </c>
    </row>
    <row r="2861" spans="1:9">
      <c r="A2861" s="113">
        <v>100600070</v>
      </c>
      <c r="B2861" s="113" t="s">
        <v>5590</v>
      </c>
      <c r="C2861" s="113">
        <v>7090093</v>
      </c>
      <c r="D2861" s="113" t="s">
        <v>3093</v>
      </c>
      <c r="E2861" s="113" t="s">
        <v>1620</v>
      </c>
      <c r="F2861" s="113" t="s">
        <v>3093</v>
      </c>
      <c r="G2861" s="113" t="s">
        <v>3093</v>
      </c>
      <c r="H2861" s="161">
        <v>16.170000000000002</v>
      </c>
      <c r="I2861" s="161">
        <v>18</v>
      </c>
    </row>
    <row r="2862" spans="1:9">
      <c r="A2862" s="113">
        <v>100600071</v>
      </c>
      <c r="B2862" s="113" t="s">
        <v>5591</v>
      </c>
      <c r="C2862" s="113">
        <v>7090094</v>
      </c>
      <c r="D2862" s="113" t="s">
        <v>3093</v>
      </c>
      <c r="E2862" s="113" t="s">
        <v>1620</v>
      </c>
      <c r="F2862" s="113" t="s">
        <v>3093</v>
      </c>
      <c r="G2862" s="113" t="s">
        <v>3093</v>
      </c>
      <c r="H2862" s="161">
        <v>17.739999999999998</v>
      </c>
      <c r="I2862" s="161">
        <v>18</v>
      </c>
    </row>
    <row r="2863" spans="1:9">
      <c r="A2863" s="113">
        <v>100600072</v>
      </c>
      <c r="B2863" s="113" t="s">
        <v>5592</v>
      </c>
      <c r="C2863" s="113">
        <v>7090114</v>
      </c>
      <c r="D2863" s="113" t="s">
        <v>3093</v>
      </c>
      <c r="E2863" s="113" t="s">
        <v>1620</v>
      </c>
      <c r="F2863" s="113" t="s">
        <v>3093</v>
      </c>
      <c r="G2863" s="113" t="s">
        <v>3093</v>
      </c>
      <c r="H2863" s="161">
        <v>16.41</v>
      </c>
      <c r="I2863" s="161">
        <v>0</v>
      </c>
    </row>
    <row r="2864" spans="1:9">
      <c r="A2864" s="113">
        <v>100600073</v>
      </c>
      <c r="B2864" s="113" t="s">
        <v>5593</v>
      </c>
      <c r="C2864" s="113">
        <v>7090115</v>
      </c>
      <c r="D2864" s="113" t="s">
        <v>3093</v>
      </c>
      <c r="E2864" s="113" t="s">
        <v>1620</v>
      </c>
      <c r="F2864" s="113" t="s">
        <v>3093</v>
      </c>
      <c r="G2864" s="113" t="s">
        <v>3093</v>
      </c>
      <c r="H2864" s="161">
        <v>19.25</v>
      </c>
      <c r="I2864" s="161">
        <v>0</v>
      </c>
    </row>
    <row r="2865" spans="1:9">
      <c r="A2865" s="113">
        <v>100600074</v>
      </c>
      <c r="B2865" s="113" t="s">
        <v>5594</v>
      </c>
      <c r="C2865" s="113">
        <v>7090118</v>
      </c>
      <c r="D2865" s="113" t="s">
        <v>3093</v>
      </c>
      <c r="E2865" s="113" t="s">
        <v>1620</v>
      </c>
      <c r="F2865" s="113" t="s">
        <v>3093</v>
      </c>
      <c r="G2865" s="113" t="s">
        <v>3093</v>
      </c>
      <c r="H2865" s="161">
        <v>567.62</v>
      </c>
      <c r="I2865" s="161">
        <v>0</v>
      </c>
    </row>
    <row r="2866" spans="1:9">
      <c r="A2866" s="113">
        <v>100600075</v>
      </c>
      <c r="B2866" s="113" t="s">
        <v>5595</v>
      </c>
      <c r="C2866" s="113">
        <v>7090119</v>
      </c>
      <c r="D2866" s="113" t="s">
        <v>3093</v>
      </c>
      <c r="E2866" s="113" t="s">
        <v>1620</v>
      </c>
      <c r="F2866" s="113" t="s">
        <v>3093</v>
      </c>
      <c r="G2866" s="113" t="s">
        <v>3093</v>
      </c>
      <c r="H2866" s="161">
        <v>8</v>
      </c>
      <c r="I2866" s="161">
        <v>0</v>
      </c>
    </row>
    <row r="2867" spans="1:9">
      <c r="A2867" s="113">
        <v>100600076</v>
      </c>
      <c r="B2867" s="113" t="s">
        <v>5596</v>
      </c>
      <c r="C2867" s="113">
        <v>7090120</v>
      </c>
      <c r="D2867" s="113" t="s">
        <v>3093</v>
      </c>
      <c r="E2867" s="113" t="s">
        <v>1620</v>
      </c>
      <c r="F2867" s="113" t="s">
        <v>3093</v>
      </c>
      <c r="G2867" s="113" t="s">
        <v>3093</v>
      </c>
      <c r="H2867" s="161">
        <v>690</v>
      </c>
      <c r="I2867" s="161">
        <v>12</v>
      </c>
    </row>
    <row r="2868" spans="1:9">
      <c r="A2868" s="113">
        <v>100600077</v>
      </c>
      <c r="B2868" s="113" t="s">
        <v>5597</v>
      </c>
      <c r="C2868" s="113">
        <v>7090122</v>
      </c>
      <c r="D2868" s="113" t="s">
        <v>3093</v>
      </c>
      <c r="E2868" s="113" t="s">
        <v>1620</v>
      </c>
      <c r="F2868" s="113" t="s">
        <v>3093</v>
      </c>
      <c r="G2868" s="113" t="s">
        <v>3093</v>
      </c>
      <c r="H2868" s="161">
        <v>90</v>
      </c>
      <c r="I2868" s="161">
        <v>4</v>
      </c>
    </row>
    <row r="2869" spans="1:9">
      <c r="A2869" s="113">
        <v>100600078</v>
      </c>
      <c r="B2869" s="113" t="s">
        <v>5598</v>
      </c>
      <c r="C2869" s="113">
        <v>7090123</v>
      </c>
      <c r="D2869" s="113" t="s">
        <v>3093</v>
      </c>
      <c r="E2869" s="113" t="s">
        <v>1620</v>
      </c>
      <c r="F2869" s="113" t="s">
        <v>3093</v>
      </c>
      <c r="G2869" s="113" t="s">
        <v>3093</v>
      </c>
      <c r="H2869" s="161">
        <v>12.5</v>
      </c>
      <c r="I2869" s="161">
        <v>150</v>
      </c>
    </row>
    <row r="2870" spans="1:9">
      <c r="A2870" s="113">
        <v>100600079</v>
      </c>
      <c r="B2870" s="113" t="s">
        <v>5599</v>
      </c>
      <c r="C2870" s="113">
        <v>7090124</v>
      </c>
      <c r="D2870" s="113" t="s">
        <v>3093</v>
      </c>
      <c r="E2870" s="113" t="s">
        <v>1620</v>
      </c>
      <c r="F2870" s="113" t="s">
        <v>3093</v>
      </c>
      <c r="G2870" s="113" t="s">
        <v>3093</v>
      </c>
      <c r="H2870" s="161">
        <v>35</v>
      </c>
      <c r="I2870" s="161">
        <v>240</v>
      </c>
    </row>
    <row r="2871" spans="1:9">
      <c r="A2871" s="113">
        <v>100600080</v>
      </c>
      <c r="B2871" s="113" t="s">
        <v>5600</v>
      </c>
      <c r="C2871" s="113">
        <v>7090136</v>
      </c>
      <c r="D2871" s="113" t="s">
        <v>3093</v>
      </c>
      <c r="E2871" s="113" t="s">
        <v>1620</v>
      </c>
      <c r="F2871" s="113" t="s">
        <v>3093</v>
      </c>
      <c r="G2871" s="113" t="s">
        <v>3093</v>
      </c>
      <c r="H2871" s="161">
        <v>316.75</v>
      </c>
      <c r="I2871" s="161">
        <v>0</v>
      </c>
    </row>
    <row r="2872" spans="1:9">
      <c r="A2872" s="113">
        <v>100600081</v>
      </c>
      <c r="B2872" s="113" t="s">
        <v>5601</v>
      </c>
      <c r="C2872" s="113">
        <v>7090137</v>
      </c>
      <c r="D2872" s="113" t="s">
        <v>3093</v>
      </c>
      <c r="E2872" s="113" t="s">
        <v>1620</v>
      </c>
      <c r="F2872" s="113" t="s">
        <v>3093</v>
      </c>
      <c r="G2872" s="113" t="s">
        <v>3093</v>
      </c>
      <c r="H2872" s="161">
        <v>305.45999999999998</v>
      </c>
      <c r="I2872" s="161">
        <v>0</v>
      </c>
    </row>
    <row r="2873" spans="1:9">
      <c r="A2873" s="113">
        <v>100600082</v>
      </c>
      <c r="B2873" s="113" t="s">
        <v>5602</v>
      </c>
      <c r="C2873" s="113">
        <v>7090150</v>
      </c>
      <c r="D2873" s="113" t="s">
        <v>3093</v>
      </c>
      <c r="E2873" s="113" t="s">
        <v>1620</v>
      </c>
      <c r="F2873" s="113" t="s">
        <v>3093</v>
      </c>
      <c r="G2873" s="113" t="s">
        <v>3093</v>
      </c>
      <c r="H2873" s="161">
        <v>22</v>
      </c>
      <c r="I2873" s="161">
        <v>0</v>
      </c>
    </row>
    <row r="2874" spans="1:9">
      <c r="A2874" s="113">
        <v>100600083</v>
      </c>
      <c r="B2874" s="113" t="s">
        <v>5603</v>
      </c>
      <c r="C2874" s="113">
        <v>7090151</v>
      </c>
      <c r="D2874" s="113" t="s">
        <v>3093</v>
      </c>
      <c r="E2874" s="113" t="s">
        <v>1620</v>
      </c>
      <c r="F2874" s="113" t="s">
        <v>3093</v>
      </c>
      <c r="G2874" s="113" t="s">
        <v>3093</v>
      </c>
      <c r="H2874" s="161">
        <v>56.5</v>
      </c>
      <c r="I2874" s="161">
        <v>37</v>
      </c>
    </row>
    <row r="2875" spans="1:9">
      <c r="A2875" s="113">
        <v>100600084</v>
      </c>
      <c r="B2875" s="113" t="s">
        <v>5604</v>
      </c>
      <c r="C2875" s="113">
        <v>7090152</v>
      </c>
      <c r="D2875" s="113" t="s">
        <v>3093</v>
      </c>
      <c r="E2875" s="113" t="s">
        <v>1620</v>
      </c>
      <c r="F2875" s="113" t="s">
        <v>3093</v>
      </c>
      <c r="G2875" s="113" t="s">
        <v>3093</v>
      </c>
      <c r="H2875" s="161">
        <v>56.5</v>
      </c>
      <c r="I2875" s="161">
        <v>37</v>
      </c>
    </row>
    <row r="2876" spans="1:9">
      <c r="A2876" s="113">
        <v>100600085</v>
      </c>
      <c r="B2876" s="113" t="s">
        <v>5605</v>
      </c>
      <c r="C2876" s="113">
        <v>7090153</v>
      </c>
      <c r="D2876" s="113" t="s">
        <v>3093</v>
      </c>
      <c r="E2876" s="113" t="s">
        <v>1620</v>
      </c>
      <c r="F2876" s="113" t="s">
        <v>3093</v>
      </c>
      <c r="G2876" s="113" t="s">
        <v>3093</v>
      </c>
      <c r="H2876" s="161">
        <v>56.5</v>
      </c>
      <c r="I2876" s="161">
        <v>37</v>
      </c>
    </row>
    <row r="2877" spans="1:9">
      <c r="A2877" s="113">
        <v>100600086</v>
      </c>
      <c r="B2877" s="113" t="s">
        <v>5606</v>
      </c>
      <c r="C2877" s="113">
        <v>7090158</v>
      </c>
      <c r="D2877" s="113" t="s">
        <v>3093</v>
      </c>
      <c r="E2877" s="113" t="s">
        <v>1620</v>
      </c>
      <c r="F2877" s="113" t="s">
        <v>3093</v>
      </c>
      <c r="G2877" s="113" t="s">
        <v>3093</v>
      </c>
      <c r="H2877" s="161">
        <v>15.1</v>
      </c>
      <c r="I2877" s="161">
        <v>1</v>
      </c>
    </row>
    <row r="2878" spans="1:9">
      <c r="A2878" s="113">
        <v>100600087</v>
      </c>
      <c r="B2878" s="113" t="s">
        <v>5607</v>
      </c>
      <c r="C2878" s="113">
        <v>7090175</v>
      </c>
      <c r="D2878" s="113" t="s">
        <v>3093</v>
      </c>
      <c r="E2878" s="113" t="s">
        <v>1620</v>
      </c>
      <c r="F2878" s="113" t="s">
        <v>3093</v>
      </c>
      <c r="G2878" s="113" t="s">
        <v>3093</v>
      </c>
      <c r="H2878" s="161">
        <v>0</v>
      </c>
      <c r="I2878" s="161" t="s">
        <v>7138</v>
      </c>
    </row>
    <row r="2879" spans="1:9">
      <c r="A2879" s="113">
        <v>100600088</v>
      </c>
      <c r="B2879" s="113" t="s">
        <v>5608</v>
      </c>
      <c r="C2879" s="113">
        <v>7090178</v>
      </c>
      <c r="D2879" s="113" t="s">
        <v>3093</v>
      </c>
      <c r="E2879" s="113" t="s">
        <v>1620</v>
      </c>
      <c r="F2879" s="113" t="s">
        <v>3093</v>
      </c>
      <c r="G2879" s="113" t="s">
        <v>3093</v>
      </c>
      <c r="H2879" s="161">
        <v>40</v>
      </c>
      <c r="I2879" s="161" t="s">
        <v>7138</v>
      </c>
    </row>
    <row r="2880" spans="1:9">
      <c r="A2880" s="113">
        <v>100600089</v>
      </c>
      <c r="B2880" s="113" t="s">
        <v>5609</v>
      </c>
      <c r="C2880" s="113">
        <v>7090179</v>
      </c>
      <c r="D2880" s="113" t="s">
        <v>3093</v>
      </c>
      <c r="E2880" s="113" t="s">
        <v>1620</v>
      </c>
      <c r="F2880" s="113" t="s">
        <v>3093</v>
      </c>
      <c r="G2880" s="113" t="s">
        <v>3093</v>
      </c>
      <c r="H2880" s="161">
        <v>0</v>
      </c>
      <c r="I2880" s="161" t="s">
        <v>7138</v>
      </c>
    </row>
    <row r="2881" spans="1:9">
      <c r="A2881" s="113">
        <v>100600092</v>
      </c>
      <c r="B2881" s="113" t="s">
        <v>5610</v>
      </c>
      <c r="C2881" s="113" t="s">
        <v>3093</v>
      </c>
      <c r="D2881" s="113" t="s">
        <v>3093</v>
      </c>
      <c r="E2881" s="113" t="s">
        <v>1620</v>
      </c>
      <c r="F2881" s="113" t="s">
        <v>3093</v>
      </c>
      <c r="G2881" s="113" t="s">
        <v>3093</v>
      </c>
      <c r="H2881" s="161">
        <v>27.12</v>
      </c>
      <c r="I2881" s="161">
        <v>12</v>
      </c>
    </row>
    <row r="2882" spans="1:9">
      <c r="A2882" s="113">
        <v>100600093</v>
      </c>
      <c r="B2882" s="113" t="s">
        <v>5611</v>
      </c>
      <c r="C2882" s="113" t="s">
        <v>3093</v>
      </c>
      <c r="D2882" s="113" t="s">
        <v>3093</v>
      </c>
      <c r="E2882" s="113" t="s">
        <v>1620</v>
      </c>
      <c r="F2882" s="113" t="s">
        <v>3093</v>
      </c>
      <c r="G2882" s="113" t="s">
        <v>3093</v>
      </c>
      <c r="H2882" s="161">
        <v>27.12</v>
      </c>
      <c r="I2882" s="161">
        <v>25</v>
      </c>
    </row>
    <row r="2883" spans="1:9">
      <c r="A2883" s="113">
        <v>100600094</v>
      </c>
      <c r="B2883" s="113" t="s">
        <v>5612</v>
      </c>
      <c r="C2883" s="113" t="s">
        <v>3093</v>
      </c>
      <c r="D2883" s="113" t="s">
        <v>3093</v>
      </c>
      <c r="E2883" s="113" t="s">
        <v>1620</v>
      </c>
      <c r="F2883" s="113" t="s">
        <v>3093</v>
      </c>
      <c r="G2883" s="113" t="s">
        <v>3093</v>
      </c>
      <c r="H2883" s="161">
        <v>27.12</v>
      </c>
      <c r="I2883" s="161">
        <v>25</v>
      </c>
    </row>
    <row r="2884" spans="1:9">
      <c r="A2884" s="113">
        <v>100600095</v>
      </c>
      <c r="B2884" s="113" t="s">
        <v>5613</v>
      </c>
      <c r="C2884" s="113" t="s">
        <v>3093</v>
      </c>
      <c r="D2884" s="113" t="s">
        <v>3093</v>
      </c>
      <c r="E2884" s="113" t="s">
        <v>1620</v>
      </c>
      <c r="F2884" s="113" t="s">
        <v>3093</v>
      </c>
      <c r="G2884" s="113" t="s">
        <v>3093</v>
      </c>
      <c r="H2884" s="161">
        <v>27.12</v>
      </c>
      <c r="I2884" s="161">
        <v>25</v>
      </c>
    </row>
    <row r="2885" spans="1:9">
      <c r="A2885" s="113">
        <v>100600096</v>
      </c>
      <c r="B2885" s="113" t="s">
        <v>5614</v>
      </c>
      <c r="C2885" s="113" t="s">
        <v>3093</v>
      </c>
      <c r="D2885" s="113" t="s">
        <v>3093</v>
      </c>
      <c r="E2885" s="113" t="s">
        <v>1620</v>
      </c>
      <c r="F2885" s="113" t="s">
        <v>3093</v>
      </c>
      <c r="G2885" s="113" t="s">
        <v>3093</v>
      </c>
      <c r="H2885" s="161">
        <v>16.95</v>
      </c>
      <c r="I2885" s="161">
        <v>75</v>
      </c>
    </row>
    <row r="2886" spans="1:9">
      <c r="A2886" s="113">
        <v>100600097</v>
      </c>
      <c r="B2886" s="113" t="s">
        <v>5615</v>
      </c>
      <c r="C2886" s="113" t="s">
        <v>3093</v>
      </c>
      <c r="D2886" s="113" t="s">
        <v>3093</v>
      </c>
      <c r="E2886" s="113" t="s">
        <v>1620</v>
      </c>
      <c r="F2886" s="113" t="s">
        <v>3093</v>
      </c>
      <c r="G2886" s="113" t="s">
        <v>3093</v>
      </c>
      <c r="H2886" s="161">
        <v>16.95</v>
      </c>
      <c r="I2886" s="161">
        <v>30</v>
      </c>
    </row>
    <row r="2887" spans="1:9">
      <c r="A2887" s="113">
        <v>100600098</v>
      </c>
      <c r="B2887" s="113" t="s">
        <v>5616</v>
      </c>
      <c r="C2887" s="113" t="s">
        <v>3093</v>
      </c>
      <c r="D2887" s="113" t="s">
        <v>3093</v>
      </c>
      <c r="E2887" s="113" t="s">
        <v>1620</v>
      </c>
      <c r="F2887" s="113" t="s">
        <v>3093</v>
      </c>
      <c r="G2887" s="113" t="s">
        <v>3093</v>
      </c>
      <c r="H2887" s="161">
        <v>16.95</v>
      </c>
      <c r="I2887" s="161">
        <v>20</v>
      </c>
    </row>
    <row r="2888" spans="1:9">
      <c r="A2888" s="113">
        <v>100600099</v>
      </c>
      <c r="B2888" s="113" t="s">
        <v>5617</v>
      </c>
      <c r="C2888" s="113" t="s">
        <v>3093</v>
      </c>
      <c r="D2888" s="113" t="s">
        <v>3093</v>
      </c>
      <c r="E2888" s="113" t="s">
        <v>1620</v>
      </c>
      <c r="F2888" s="113" t="s">
        <v>3093</v>
      </c>
      <c r="G2888" s="113" t="s">
        <v>3093</v>
      </c>
      <c r="H2888" s="161">
        <v>27.12</v>
      </c>
      <c r="I2888" s="161">
        <v>25</v>
      </c>
    </row>
    <row r="2889" spans="1:9">
      <c r="A2889" s="113">
        <v>100600100</v>
      </c>
      <c r="B2889" s="113" t="s">
        <v>5618</v>
      </c>
      <c r="C2889" s="113" t="s">
        <v>3093</v>
      </c>
      <c r="D2889" s="113" t="s">
        <v>3093</v>
      </c>
      <c r="E2889" s="113" t="s">
        <v>1620</v>
      </c>
      <c r="F2889" s="113" t="s">
        <v>3093</v>
      </c>
      <c r="G2889" s="113" t="s">
        <v>3093</v>
      </c>
      <c r="H2889" s="161">
        <v>27.12</v>
      </c>
      <c r="I2889" s="161">
        <v>20</v>
      </c>
    </row>
    <row r="2890" spans="1:9">
      <c r="A2890" s="113">
        <v>100600101</v>
      </c>
      <c r="B2890" s="113" t="s">
        <v>5619</v>
      </c>
      <c r="C2890" s="113" t="s">
        <v>3093</v>
      </c>
      <c r="D2890" s="113" t="s">
        <v>3093</v>
      </c>
      <c r="E2890" s="113" t="s">
        <v>1620</v>
      </c>
      <c r="F2890" s="113" t="s">
        <v>3093</v>
      </c>
      <c r="G2890" s="113" t="s">
        <v>3093</v>
      </c>
      <c r="H2890" s="161">
        <v>27.12</v>
      </c>
      <c r="I2890" s="161">
        <v>10</v>
      </c>
    </row>
    <row r="2891" spans="1:9">
      <c r="A2891" s="113">
        <v>100600102</v>
      </c>
      <c r="B2891" s="113" t="s">
        <v>5620</v>
      </c>
      <c r="C2891" s="113" t="s">
        <v>3093</v>
      </c>
      <c r="D2891" s="113" t="s">
        <v>3093</v>
      </c>
      <c r="E2891" s="113" t="s">
        <v>1620</v>
      </c>
      <c r="F2891" s="113" t="s">
        <v>3093</v>
      </c>
      <c r="G2891" s="113" t="s">
        <v>3093</v>
      </c>
      <c r="H2891" s="161">
        <v>109.47</v>
      </c>
      <c r="I2891" s="161" t="s">
        <v>7138</v>
      </c>
    </row>
    <row r="2892" spans="1:9">
      <c r="A2892" s="113">
        <v>100700001</v>
      </c>
      <c r="B2892" s="113" t="s">
        <v>5621</v>
      </c>
      <c r="C2892" s="113">
        <v>4001011</v>
      </c>
      <c r="D2892" s="113" t="s">
        <v>3093</v>
      </c>
      <c r="E2892" s="113" t="s">
        <v>1620</v>
      </c>
      <c r="F2892" s="113" t="s">
        <v>3093</v>
      </c>
      <c r="G2892" s="113" t="s">
        <v>3093</v>
      </c>
      <c r="H2892" s="161">
        <v>79</v>
      </c>
      <c r="I2892" s="161">
        <v>6</v>
      </c>
    </row>
    <row r="2893" spans="1:9">
      <c r="A2893" s="113">
        <v>100700002</v>
      </c>
      <c r="B2893" s="113" t="s">
        <v>5622</v>
      </c>
      <c r="C2893" s="113">
        <v>4005056</v>
      </c>
      <c r="D2893" s="113" t="s">
        <v>3093</v>
      </c>
      <c r="E2893" s="113" t="s">
        <v>1620</v>
      </c>
      <c r="F2893" s="113" t="s">
        <v>3093</v>
      </c>
      <c r="G2893" s="113" t="s">
        <v>3093</v>
      </c>
      <c r="H2893" s="161">
        <v>0.1356</v>
      </c>
      <c r="I2893" s="161">
        <v>0</v>
      </c>
    </row>
    <row r="2894" spans="1:9">
      <c r="A2894" s="113">
        <v>100700003</v>
      </c>
      <c r="B2894" s="113" t="s">
        <v>5623</v>
      </c>
      <c r="C2894" s="113">
        <v>4005113</v>
      </c>
      <c r="D2894" s="113" t="s">
        <v>3093</v>
      </c>
      <c r="E2894" s="113" t="s">
        <v>1620</v>
      </c>
      <c r="F2894" s="113" t="s">
        <v>3093</v>
      </c>
      <c r="G2894" s="113" t="s">
        <v>3093</v>
      </c>
      <c r="H2894" s="161">
        <v>24.99</v>
      </c>
      <c r="I2894" s="161">
        <v>0</v>
      </c>
    </row>
    <row r="2895" spans="1:9">
      <c r="A2895" s="113">
        <v>100700004</v>
      </c>
      <c r="B2895" s="113" t="s">
        <v>5624</v>
      </c>
      <c r="C2895" s="113">
        <v>4005114</v>
      </c>
      <c r="D2895" s="113" t="s">
        <v>3093</v>
      </c>
      <c r="E2895" s="113" t="s">
        <v>1620</v>
      </c>
      <c r="F2895" s="113" t="s">
        <v>3093</v>
      </c>
      <c r="G2895" s="113" t="s">
        <v>3093</v>
      </c>
      <c r="H2895" s="161">
        <v>38</v>
      </c>
      <c r="I2895" s="161">
        <v>4</v>
      </c>
    </row>
    <row r="2896" spans="1:9">
      <c r="A2896" s="113">
        <v>100700005</v>
      </c>
      <c r="B2896" s="113" t="s">
        <v>5625</v>
      </c>
      <c r="C2896" s="113">
        <v>4005115</v>
      </c>
      <c r="D2896" s="113" t="s">
        <v>3093</v>
      </c>
      <c r="E2896" s="113" t="s">
        <v>1620</v>
      </c>
      <c r="F2896" s="113" t="s">
        <v>3093</v>
      </c>
      <c r="G2896" s="113" t="s">
        <v>3093</v>
      </c>
      <c r="H2896" s="161">
        <v>0.73829999999999996</v>
      </c>
      <c r="I2896" s="161">
        <v>0</v>
      </c>
    </row>
    <row r="2897" spans="1:9">
      <c r="A2897" s="113">
        <v>100700006</v>
      </c>
      <c r="B2897" s="113" t="s">
        <v>5626</v>
      </c>
      <c r="C2897" s="113">
        <v>4005116</v>
      </c>
      <c r="D2897" s="113" t="s">
        <v>3093</v>
      </c>
      <c r="E2897" s="113" t="s">
        <v>1620</v>
      </c>
      <c r="F2897" s="113" t="s">
        <v>3093</v>
      </c>
      <c r="G2897" s="113" t="s">
        <v>3093</v>
      </c>
      <c r="H2897" s="161">
        <v>2</v>
      </c>
      <c r="I2897" s="161">
        <v>6</v>
      </c>
    </row>
    <row r="2898" spans="1:9">
      <c r="A2898" s="113">
        <v>100700007</v>
      </c>
      <c r="B2898" s="113" t="s">
        <v>624</v>
      </c>
      <c r="C2898" s="113">
        <v>4005122</v>
      </c>
      <c r="D2898" s="113" t="s">
        <v>3093</v>
      </c>
      <c r="E2898" s="113" t="s">
        <v>1620</v>
      </c>
      <c r="F2898" s="113" t="s">
        <v>3093</v>
      </c>
      <c r="G2898" s="113" t="s">
        <v>3093</v>
      </c>
      <c r="H2898" s="161">
        <v>1.0999999999999999E-2</v>
      </c>
      <c r="I2898" s="161">
        <v>6000</v>
      </c>
    </row>
    <row r="2899" spans="1:9">
      <c r="A2899" s="113">
        <v>100700008</v>
      </c>
      <c r="B2899" s="113" t="s">
        <v>5627</v>
      </c>
      <c r="C2899" s="113">
        <v>4005133</v>
      </c>
      <c r="D2899" s="113" t="s">
        <v>3093</v>
      </c>
      <c r="E2899" s="113" t="s">
        <v>1620</v>
      </c>
      <c r="F2899" s="113" t="s">
        <v>3093</v>
      </c>
      <c r="G2899" s="113" t="s">
        <v>3093</v>
      </c>
      <c r="H2899" s="161">
        <v>4.5999999999999999E-2</v>
      </c>
      <c r="I2899" s="161">
        <v>3000</v>
      </c>
    </row>
    <row r="2900" spans="1:9">
      <c r="A2900" s="113">
        <v>100700009</v>
      </c>
      <c r="B2900" s="113" t="s">
        <v>5628</v>
      </c>
      <c r="C2900" s="113">
        <v>4005134</v>
      </c>
      <c r="D2900" s="113" t="s">
        <v>3093</v>
      </c>
      <c r="E2900" s="113" t="s">
        <v>1620</v>
      </c>
      <c r="F2900" s="113" t="s">
        <v>3093</v>
      </c>
      <c r="G2900" s="113" t="s">
        <v>3093</v>
      </c>
      <c r="H2900" s="161">
        <v>3.5</v>
      </c>
      <c r="I2900" s="161">
        <v>0</v>
      </c>
    </row>
    <row r="2901" spans="1:9">
      <c r="A2901" s="113">
        <v>100700010</v>
      </c>
      <c r="B2901" s="113" t="s">
        <v>5629</v>
      </c>
      <c r="C2901" s="113">
        <v>4005150</v>
      </c>
      <c r="D2901" s="113" t="s">
        <v>3093</v>
      </c>
      <c r="E2901" s="113" t="s">
        <v>1620</v>
      </c>
      <c r="F2901" s="113" t="s">
        <v>3093</v>
      </c>
      <c r="G2901" s="113" t="s">
        <v>3093</v>
      </c>
      <c r="H2901" s="161">
        <v>0.75</v>
      </c>
      <c r="I2901" s="161">
        <v>600</v>
      </c>
    </row>
    <row r="2902" spans="1:9">
      <c r="A2902" s="113">
        <v>100700011</v>
      </c>
      <c r="B2902" s="113" t="s">
        <v>5630</v>
      </c>
      <c r="C2902" s="113">
        <v>4005162</v>
      </c>
      <c r="D2902" s="113" t="s">
        <v>3093</v>
      </c>
      <c r="E2902" s="113" t="s">
        <v>1620</v>
      </c>
      <c r="F2902" s="113" t="s">
        <v>3093</v>
      </c>
      <c r="G2902" s="113" t="s">
        <v>3093</v>
      </c>
      <c r="H2902" s="161">
        <v>9.6999999999999993</v>
      </c>
      <c r="I2902" s="161">
        <v>0</v>
      </c>
    </row>
    <row r="2903" spans="1:9">
      <c r="A2903" s="113">
        <v>100700012</v>
      </c>
      <c r="B2903" s="113" t="s">
        <v>5631</v>
      </c>
      <c r="C2903" s="113">
        <v>4005187</v>
      </c>
      <c r="D2903" s="113" t="s">
        <v>3093</v>
      </c>
      <c r="E2903" s="113" t="s">
        <v>1620</v>
      </c>
      <c r="F2903" s="113" t="s">
        <v>3093</v>
      </c>
      <c r="G2903" s="113" t="s">
        <v>3093</v>
      </c>
      <c r="H2903" s="161">
        <v>8.08</v>
      </c>
      <c r="I2903" s="161">
        <v>7</v>
      </c>
    </row>
    <row r="2904" spans="1:9">
      <c r="A2904" s="113">
        <v>100700013</v>
      </c>
      <c r="B2904" s="113" t="s">
        <v>5632</v>
      </c>
      <c r="C2904" s="113">
        <v>4201026</v>
      </c>
      <c r="D2904" s="113" t="s">
        <v>3093</v>
      </c>
      <c r="E2904" s="113" t="s">
        <v>1620</v>
      </c>
      <c r="F2904" s="113" t="s">
        <v>3093</v>
      </c>
      <c r="G2904" s="115" t="s">
        <v>3093</v>
      </c>
      <c r="H2904" s="161">
        <v>1375</v>
      </c>
      <c r="I2904" s="161">
        <v>1</v>
      </c>
    </row>
    <row r="2905" spans="1:9">
      <c r="A2905" s="113">
        <v>100700014</v>
      </c>
      <c r="B2905" s="113" t="s">
        <v>3008</v>
      </c>
      <c r="C2905" s="113">
        <v>4201027</v>
      </c>
      <c r="D2905" s="113" t="s">
        <v>3093</v>
      </c>
      <c r="E2905" s="113" t="s">
        <v>1620</v>
      </c>
      <c r="F2905" s="113" t="s">
        <v>3093</v>
      </c>
      <c r="G2905" s="113" t="s">
        <v>3093</v>
      </c>
      <c r="H2905" s="161">
        <v>65</v>
      </c>
      <c r="I2905" s="161">
        <v>0</v>
      </c>
    </row>
    <row r="2906" spans="1:9">
      <c r="A2906" s="113">
        <v>100700015</v>
      </c>
      <c r="B2906" s="113" t="s">
        <v>3009</v>
      </c>
      <c r="C2906" s="113">
        <v>4201031</v>
      </c>
      <c r="D2906" s="113" t="s">
        <v>3093</v>
      </c>
      <c r="E2906" s="113" t="s">
        <v>1620</v>
      </c>
      <c r="F2906" s="113" t="s">
        <v>3093</v>
      </c>
      <c r="G2906" s="113" t="s">
        <v>3093</v>
      </c>
      <c r="H2906" s="161">
        <v>10</v>
      </c>
      <c r="I2906" s="161">
        <v>2</v>
      </c>
    </row>
    <row r="2907" spans="1:9">
      <c r="A2907" s="113">
        <v>100700016</v>
      </c>
      <c r="B2907" s="113" t="s">
        <v>5633</v>
      </c>
      <c r="C2907" s="113">
        <v>4201032</v>
      </c>
      <c r="D2907" s="113" t="s">
        <v>3093</v>
      </c>
      <c r="E2907" s="113" t="s">
        <v>1620</v>
      </c>
      <c r="F2907" s="113" t="s">
        <v>3093</v>
      </c>
      <c r="G2907" s="113" t="s">
        <v>3093</v>
      </c>
      <c r="H2907" s="161">
        <v>150.72999999999999</v>
      </c>
      <c r="I2907" s="161">
        <v>0</v>
      </c>
    </row>
    <row r="2908" spans="1:9">
      <c r="A2908" s="113">
        <v>100700017</v>
      </c>
      <c r="B2908" s="113" t="s">
        <v>3010</v>
      </c>
      <c r="C2908" s="113">
        <v>4201034</v>
      </c>
      <c r="D2908" s="113" t="s">
        <v>3093</v>
      </c>
      <c r="E2908" s="113" t="s">
        <v>1620</v>
      </c>
      <c r="F2908" s="113" t="s">
        <v>3093</v>
      </c>
      <c r="G2908" s="113" t="s">
        <v>3093</v>
      </c>
      <c r="H2908" s="161">
        <v>25</v>
      </c>
      <c r="I2908" s="161">
        <v>1</v>
      </c>
    </row>
    <row r="2909" spans="1:9">
      <c r="A2909" s="113">
        <v>100700018</v>
      </c>
      <c r="B2909" s="113" t="s">
        <v>3011</v>
      </c>
      <c r="C2909" s="113">
        <v>4201035</v>
      </c>
      <c r="D2909" s="113" t="s">
        <v>3093</v>
      </c>
      <c r="E2909" s="113" t="s">
        <v>1620</v>
      </c>
      <c r="F2909" s="113" t="s">
        <v>3093</v>
      </c>
      <c r="G2909" s="113" t="s">
        <v>3093</v>
      </c>
      <c r="H2909" s="161">
        <v>100</v>
      </c>
      <c r="I2909" s="161">
        <v>1</v>
      </c>
    </row>
    <row r="2910" spans="1:9">
      <c r="A2910" s="113">
        <v>100700019</v>
      </c>
      <c r="B2910" s="113" t="s">
        <v>5634</v>
      </c>
      <c r="C2910" s="113">
        <v>4201044</v>
      </c>
      <c r="D2910" s="113" t="s">
        <v>3093</v>
      </c>
      <c r="E2910" s="113" t="s">
        <v>1620</v>
      </c>
      <c r="F2910" s="113" t="s">
        <v>3093</v>
      </c>
      <c r="G2910" s="113" t="s">
        <v>3093</v>
      </c>
      <c r="H2910" s="161">
        <v>136.07</v>
      </c>
      <c r="I2910" s="161">
        <v>0</v>
      </c>
    </row>
    <row r="2911" spans="1:9">
      <c r="A2911" s="113">
        <v>100700020</v>
      </c>
      <c r="B2911" s="113" t="s">
        <v>5635</v>
      </c>
      <c r="C2911" s="113">
        <v>4201047</v>
      </c>
      <c r="D2911" s="113" t="s">
        <v>3093</v>
      </c>
      <c r="E2911" s="113" t="s">
        <v>1620</v>
      </c>
      <c r="F2911" s="113" t="s">
        <v>3093</v>
      </c>
      <c r="G2911" s="113" t="s">
        <v>3093</v>
      </c>
      <c r="H2911" s="161">
        <v>6.93</v>
      </c>
      <c r="I2911" s="161">
        <v>3</v>
      </c>
    </row>
    <row r="2912" spans="1:9">
      <c r="A2912" s="113">
        <v>100700021</v>
      </c>
      <c r="B2912" s="113" t="s">
        <v>5636</v>
      </c>
      <c r="C2912" s="113">
        <v>4201049</v>
      </c>
      <c r="D2912" s="113" t="s">
        <v>3093</v>
      </c>
      <c r="E2912" s="113" t="s">
        <v>1620</v>
      </c>
      <c r="F2912" s="113" t="s">
        <v>3093</v>
      </c>
      <c r="G2912" s="113" t="s">
        <v>3093</v>
      </c>
      <c r="H2912" s="161">
        <v>49.7</v>
      </c>
      <c r="I2912" s="161">
        <v>8</v>
      </c>
    </row>
    <row r="2913" spans="1:9">
      <c r="A2913" s="113">
        <v>100700022</v>
      </c>
      <c r="B2913" s="113" t="s">
        <v>5637</v>
      </c>
      <c r="C2913" s="113">
        <v>4201055</v>
      </c>
      <c r="D2913" s="113" t="s">
        <v>3093</v>
      </c>
      <c r="E2913" s="113" t="s">
        <v>1620</v>
      </c>
      <c r="F2913" s="113" t="s">
        <v>3093</v>
      </c>
      <c r="G2913" s="113" t="s">
        <v>3093</v>
      </c>
      <c r="H2913" s="161">
        <v>1.95</v>
      </c>
      <c r="I2913" s="161">
        <v>48</v>
      </c>
    </row>
    <row r="2914" spans="1:9">
      <c r="A2914" s="113">
        <v>100700023</v>
      </c>
      <c r="B2914" s="113" t="s">
        <v>5638</v>
      </c>
      <c r="C2914" s="113">
        <v>6080107</v>
      </c>
      <c r="D2914" s="113" t="s">
        <v>3093</v>
      </c>
      <c r="E2914" s="113" t="s">
        <v>1620</v>
      </c>
      <c r="F2914" s="113" t="s">
        <v>3093</v>
      </c>
      <c r="G2914" s="113" t="s">
        <v>3093</v>
      </c>
      <c r="H2914" s="161">
        <v>27.12</v>
      </c>
      <c r="I2914" s="161" t="s">
        <v>7138</v>
      </c>
    </row>
    <row r="2915" spans="1:9">
      <c r="A2915" s="113">
        <v>100700024</v>
      </c>
      <c r="B2915" s="113" t="s">
        <v>5639</v>
      </c>
      <c r="C2915" s="113">
        <v>7011047</v>
      </c>
      <c r="D2915" s="113" t="s">
        <v>3093</v>
      </c>
      <c r="E2915" s="113" t="s">
        <v>1620</v>
      </c>
      <c r="F2915" s="113" t="s">
        <v>3093</v>
      </c>
      <c r="G2915" s="113" t="s">
        <v>3093</v>
      </c>
      <c r="H2915" s="161">
        <v>3.86</v>
      </c>
      <c r="I2915" s="161">
        <v>4150</v>
      </c>
    </row>
    <row r="2916" spans="1:9">
      <c r="A2916" s="113">
        <v>100700025</v>
      </c>
      <c r="B2916" s="113" t="s">
        <v>5640</v>
      </c>
      <c r="C2916" s="113">
        <v>7011098</v>
      </c>
      <c r="D2916" s="113" t="s">
        <v>3093</v>
      </c>
      <c r="E2916" s="113" t="s">
        <v>1620</v>
      </c>
      <c r="F2916" s="113" t="s">
        <v>3093</v>
      </c>
      <c r="G2916" s="113" t="s">
        <v>3093</v>
      </c>
      <c r="H2916" s="161">
        <v>0.27</v>
      </c>
      <c r="I2916" s="161">
        <v>100</v>
      </c>
    </row>
    <row r="2917" spans="1:9">
      <c r="A2917" s="113">
        <v>100700026</v>
      </c>
      <c r="B2917" s="113" t="s">
        <v>5641</v>
      </c>
      <c r="C2917" s="113">
        <v>7011099</v>
      </c>
      <c r="D2917" s="113" t="s">
        <v>3093</v>
      </c>
      <c r="E2917" s="113" t="s">
        <v>1620</v>
      </c>
      <c r="F2917" s="113" t="s">
        <v>3093</v>
      </c>
      <c r="G2917" s="113" t="s">
        <v>3093</v>
      </c>
      <c r="H2917" s="161">
        <v>0.15</v>
      </c>
      <c r="I2917" s="161">
        <v>455</v>
      </c>
    </row>
    <row r="2918" spans="1:9">
      <c r="A2918" s="113">
        <v>100700027</v>
      </c>
      <c r="B2918" s="113" t="s">
        <v>5642</v>
      </c>
      <c r="C2918" s="113">
        <v>7011100</v>
      </c>
      <c r="D2918" s="113" t="s">
        <v>3093</v>
      </c>
      <c r="E2918" s="113" t="s">
        <v>1620</v>
      </c>
      <c r="F2918" s="113" t="s">
        <v>3093</v>
      </c>
      <c r="G2918" s="113" t="s">
        <v>3093</v>
      </c>
      <c r="H2918" s="161">
        <v>0.11</v>
      </c>
      <c r="I2918" s="161">
        <v>0</v>
      </c>
    </row>
    <row r="2919" spans="1:9">
      <c r="A2919" s="113">
        <v>100700028</v>
      </c>
      <c r="B2919" s="113" t="s">
        <v>5643</v>
      </c>
      <c r="C2919" s="113">
        <v>7011101</v>
      </c>
      <c r="D2919" s="113" t="s">
        <v>3093</v>
      </c>
      <c r="E2919" s="113" t="s">
        <v>1620</v>
      </c>
      <c r="F2919" s="113" t="s">
        <v>3093</v>
      </c>
      <c r="G2919" s="113" t="s">
        <v>3093</v>
      </c>
      <c r="H2919" s="161">
        <v>0.05</v>
      </c>
      <c r="I2919" s="161">
        <v>5600</v>
      </c>
    </row>
    <row r="2920" spans="1:9">
      <c r="A2920" s="113">
        <v>100700029</v>
      </c>
      <c r="B2920" s="113" t="s">
        <v>5644</v>
      </c>
      <c r="C2920" s="113">
        <v>7011102</v>
      </c>
      <c r="D2920" s="113" t="s">
        <v>3093</v>
      </c>
      <c r="E2920" s="113" t="s">
        <v>1620</v>
      </c>
      <c r="F2920" s="113" t="s">
        <v>3093</v>
      </c>
      <c r="G2920" s="113" t="s">
        <v>3093</v>
      </c>
      <c r="H2920" s="161">
        <v>0.45</v>
      </c>
      <c r="I2920" s="161">
        <v>1600</v>
      </c>
    </row>
    <row r="2921" spans="1:9">
      <c r="A2921" s="113">
        <v>100700030</v>
      </c>
      <c r="B2921" s="113" t="s">
        <v>5645</v>
      </c>
      <c r="C2921" s="113">
        <v>7011103</v>
      </c>
      <c r="D2921" s="113" t="s">
        <v>3093</v>
      </c>
      <c r="E2921" s="113" t="s">
        <v>1620</v>
      </c>
      <c r="F2921" s="113" t="s">
        <v>3093</v>
      </c>
      <c r="G2921" s="113" t="s">
        <v>3093</v>
      </c>
      <c r="H2921" s="161">
        <v>8.5000000000000006E-2</v>
      </c>
      <c r="I2921" s="161">
        <v>1270</v>
      </c>
    </row>
    <row r="2922" spans="1:9">
      <c r="A2922" s="113">
        <v>100700031</v>
      </c>
      <c r="B2922" s="113" t="s">
        <v>5646</v>
      </c>
      <c r="C2922" s="113">
        <v>7011104</v>
      </c>
      <c r="D2922" s="113" t="s">
        <v>3093</v>
      </c>
      <c r="E2922" s="113" t="s">
        <v>1620</v>
      </c>
      <c r="F2922" s="113" t="s">
        <v>3093</v>
      </c>
      <c r="G2922" s="113" t="s">
        <v>3093</v>
      </c>
      <c r="H2922" s="161">
        <v>0.08</v>
      </c>
      <c r="I2922" s="161">
        <v>640</v>
      </c>
    </row>
    <row r="2923" spans="1:9">
      <c r="A2923" s="113">
        <v>100700032</v>
      </c>
      <c r="B2923" s="113" t="s">
        <v>5647</v>
      </c>
      <c r="C2923" s="113">
        <v>7011105</v>
      </c>
      <c r="D2923" s="113" t="s">
        <v>3093</v>
      </c>
      <c r="E2923" s="113" t="s">
        <v>1620</v>
      </c>
      <c r="F2923" s="113" t="s">
        <v>3093</v>
      </c>
      <c r="G2923" s="113" t="s">
        <v>3093</v>
      </c>
      <c r="H2923" s="161">
        <v>0.1</v>
      </c>
      <c r="I2923" s="161">
        <v>800</v>
      </c>
    </row>
    <row r="2924" spans="1:9">
      <c r="A2924" s="113">
        <v>100700033</v>
      </c>
      <c r="B2924" s="113" t="s">
        <v>5648</v>
      </c>
      <c r="C2924" s="113">
        <v>7011106</v>
      </c>
      <c r="D2924" s="113" t="s">
        <v>3093</v>
      </c>
      <c r="E2924" s="113" t="s">
        <v>1620</v>
      </c>
      <c r="F2924" s="113" t="s">
        <v>3093</v>
      </c>
      <c r="G2924" s="113" t="s">
        <v>3093</v>
      </c>
      <c r="H2924" s="161">
        <v>0.08</v>
      </c>
      <c r="I2924" s="161">
        <v>200</v>
      </c>
    </row>
    <row r="2925" spans="1:9">
      <c r="A2925" s="113">
        <v>100700034</v>
      </c>
      <c r="B2925" s="113" t="s">
        <v>5649</v>
      </c>
      <c r="C2925" s="113">
        <v>7011108</v>
      </c>
      <c r="D2925" s="113" t="s">
        <v>3093</v>
      </c>
      <c r="E2925" s="113" t="s">
        <v>1620</v>
      </c>
      <c r="F2925" s="113" t="s">
        <v>3093</v>
      </c>
      <c r="G2925" s="113" t="s">
        <v>3093</v>
      </c>
      <c r="H2925" s="161">
        <v>1.65</v>
      </c>
      <c r="I2925" s="161">
        <v>0</v>
      </c>
    </row>
    <row r="2926" spans="1:9">
      <c r="A2926" s="113">
        <v>100700035</v>
      </c>
      <c r="B2926" s="113" t="s">
        <v>5650</v>
      </c>
      <c r="C2926" s="113">
        <v>7011109</v>
      </c>
      <c r="D2926" s="113" t="s">
        <v>3093</v>
      </c>
      <c r="E2926" s="113" t="s">
        <v>1620</v>
      </c>
      <c r="F2926" s="113" t="s">
        <v>3093</v>
      </c>
      <c r="G2926" s="113" t="s">
        <v>3093</v>
      </c>
      <c r="H2926" s="161">
        <v>0.19</v>
      </c>
      <c r="I2926" s="161">
        <v>0</v>
      </c>
    </row>
    <row r="2927" spans="1:9">
      <c r="A2927" s="113">
        <v>100700036</v>
      </c>
      <c r="B2927" s="113" t="s">
        <v>5651</v>
      </c>
      <c r="C2927" s="113">
        <v>7011110</v>
      </c>
      <c r="D2927" s="113" t="s">
        <v>3093</v>
      </c>
      <c r="E2927" s="113" t="s">
        <v>1620</v>
      </c>
      <c r="F2927" s="113" t="s">
        <v>3093</v>
      </c>
      <c r="G2927" s="113" t="s">
        <v>3093</v>
      </c>
      <c r="H2927" s="161">
        <v>3</v>
      </c>
      <c r="I2927" s="161">
        <v>3100</v>
      </c>
    </row>
    <row r="2928" spans="1:9">
      <c r="A2928" s="113">
        <v>100700037</v>
      </c>
      <c r="B2928" s="113" t="s">
        <v>5652</v>
      </c>
      <c r="C2928" s="113">
        <v>7013028</v>
      </c>
      <c r="D2928" s="113" t="s">
        <v>3093</v>
      </c>
      <c r="E2928" s="113" t="s">
        <v>2521</v>
      </c>
      <c r="F2928" s="113" t="s">
        <v>3093</v>
      </c>
      <c r="G2928" s="113" t="s">
        <v>3093</v>
      </c>
      <c r="H2928" s="161">
        <v>0</v>
      </c>
      <c r="I2928" s="161" t="s">
        <v>7138</v>
      </c>
    </row>
    <row r="2929" spans="1:9">
      <c r="A2929" s="113">
        <v>100700038</v>
      </c>
      <c r="B2929" s="113" t="s">
        <v>5653</v>
      </c>
      <c r="C2929" s="113">
        <v>7013056</v>
      </c>
      <c r="D2929" s="113" t="s">
        <v>3093</v>
      </c>
      <c r="E2929" s="113" t="s">
        <v>1620</v>
      </c>
      <c r="F2929" s="113" t="s">
        <v>3093</v>
      </c>
      <c r="G2929" s="113" t="s">
        <v>3093</v>
      </c>
      <c r="H2929" s="161">
        <v>0.65</v>
      </c>
      <c r="I2929" s="161">
        <v>5000</v>
      </c>
    </row>
    <row r="2930" spans="1:9">
      <c r="A2930" s="113">
        <v>100700039</v>
      </c>
      <c r="B2930" s="113" t="s">
        <v>5654</v>
      </c>
      <c r="C2930" s="113">
        <v>7014102</v>
      </c>
      <c r="D2930" s="113" t="s">
        <v>3093</v>
      </c>
      <c r="E2930" s="113" t="s">
        <v>1620</v>
      </c>
      <c r="F2930" s="113" t="s">
        <v>3093</v>
      </c>
      <c r="G2930" s="113" t="s">
        <v>3093</v>
      </c>
      <c r="H2930" s="161">
        <v>0.68</v>
      </c>
      <c r="I2930" s="161">
        <v>10</v>
      </c>
    </row>
    <row r="2931" spans="1:9">
      <c r="A2931" s="113">
        <v>100700040</v>
      </c>
      <c r="B2931" s="113" t="s">
        <v>5655</v>
      </c>
      <c r="C2931" s="113">
        <v>7014103</v>
      </c>
      <c r="D2931" s="113" t="s">
        <v>3093</v>
      </c>
      <c r="E2931" s="113" t="s">
        <v>1620</v>
      </c>
      <c r="F2931" s="113" t="s">
        <v>3093</v>
      </c>
      <c r="G2931" s="113" t="s">
        <v>3093</v>
      </c>
      <c r="H2931" s="161">
        <v>2</v>
      </c>
      <c r="I2931" s="161">
        <v>500</v>
      </c>
    </row>
    <row r="2932" spans="1:9">
      <c r="A2932" s="113">
        <v>100700041</v>
      </c>
      <c r="B2932" s="113" t="s">
        <v>5656</v>
      </c>
      <c r="C2932" s="113">
        <v>7014104</v>
      </c>
      <c r="D2932" s="113" t="s">
        <v>3093</v>
      </c>
      <c r="E2932" s="113" t="s">
        <v>1620</v>
      </c>
      <c r="F2932" s="113" t="s">
        <v>3093</v>
      </c>
      <c r="G2932" s="113" t="s">
        <v>3093</v>
      </c>
      <c r="H2932" s="161">
        <v>1.1299999999999999</v>
      </c>
      <c r="I2932" s="161">
        <v>100</v>
      </c>
    </row>
    <row r="2933" spans="1:9">
      <c r="A2933" s="113">
        <v>100700042</v>
      </c>
      <c r="B2933" s="113" t="s">
        <v>5657</v>
      </c>
      <c r="C2933" s="113">
        <v>7014105</v>
      </c>
      <c r="D2933" s="113" t="s">
        <v>3093</v>
      </c>
      <c r="E2933" s="113" t="s">
        <v>1620</v>
      </c>
      <c r="F2933" s="113" t="s">
        <v>3093</v>
      </c>
      <c r="G2933" s="113" t="s">
        <v>3093</v>
      </c>
      <c r="H2933" s="161">
        <v>0.75</v>
      </c>
      <c r="I2933" s="161">
        <v>2</v>
      </c>
    </row>
    <row r="2934" spans="1:9">
      <c r="A2934" s="113">
        <v>100700043</v>
      </c>
      <c r="B2934" s="113" t="s">
        <v>5658</v>
      </c>
      <c r="C2934" s="113">
        <v>7014106</v>
      </c>
      <c r="D2934" s="113" t="s">
        <v>3093</v>
      </c>
      <c r="E2934" s="113" t="s">
        <v>1620</v>
      </c>
      <c r="F2934" s="113" t="s">
        <v>3093</v>
      </c>
      <c r="G2934" s="113" t="s">
        <v>3093</v>
      </c>
      <c r="H2934" s="161">
        <v>2.375</v>
      </c>
      <c r="I2934" s="161">
        <v>60</v>
      </c>
    </row>
    <row r="2935" spans="1:9">
      <c r="A2935" s="113">
        <v>100700044</v>
      </c>
      <c r="B2935" s="113" t="s">
        <v>5659</v>
      </c>
      <c r="C2935" s="113">
        <v>7014107</v>
      </c>
      <c r="D2935" s="113" t="s">
        <v>3093</v>
      </c>
      <c r="E2935" s="113" t="s">
        <v>1620</v>
      </c>
      <c r="F2935" s="113" t="s">
        <v>3093</v>
      </c>
      <c r="G2935" s="113" t="s">
        <v>3093</v>
      </c>
      <c r="H2935" s="161">
        <v>1.4</v>
      </c>
      <c r="I2935" s="161">
        <v>15</v>
      </c>
    </row>
    <row r="2936" spans="1:9">
      <c r="A2936" s="113">
        <v>100700045</v>
      </c>
      <c r="B2936" s="113" t="s">
        <v>5660</v>
      </c>
      <c r="C2936" s="113">
        <v>7014108</v>
      </c>
      <c r="D2936" s="113" t="s">
        <v>3093</v>
      </c>
      <c r="E2936" s="113" t="s">
        <v>1620</v>
      </c>
      <c r="F2936" s="113" t="s">
        <v>3093</v>
      </c>
      <c r="G2936" s="113" t="s">
        <v>3093</v>
      </c>
      <c r="H2936" s="161">
        <v>2.2599999999999998</v>
      </c>
      <c r="I2936" s="161">
        <v>65</v>
      </c>
    </row>
    <row r="2937" spans="1:9">
      <c r="A2937" s="113">
        <v>100700046</v>
      </c>
      <c r="B2937" s="113" t="s">
        <v>5661</v>
      </c>
      <c r="C2937" s="113">
        <v>7014109</v>
      </c>
      <c r="D2937" s="113" t="s">
        <v>3093</v>
      </c>
      <c r="E2937" s="113" t="s">
        <v>1620</v>
      </c>
      <c r="F2937" s="113" t="s">
        <v>3093</v>
      </c>
      <c r="G2937" s="113" t="s">
        <v>3093</v>
      </c>
      <c r="H2937" s="161">
        <v>2.04</v>
      </c>
      <c r="I2937" s="161">
        <v>50</v>
      </c>
    </row>
    <row r="2938" spans="1:9">
      <c r="A2938" s="113">
        <v>100700047</v>
      </c>
      <c r="B2938" s="113" t="s">
        <v>5662</v>
      </c>
      <c r="C2938" s="113">
        <v>7014110</v>
      </c>
      <c r="D2938" s="113" t="s">
        <v>3093</v>
      </c>
      <c r="E2938" s="113" t="s">
        <v>1620</v>
      </c>
      <c r="F2938" s="113" t="s">
        <v>3093</v>
      </c>
      <c r="G2938" s="113" t="s">
        <v>3093</v>
      </c>
      <c r="H2938" s="161">
        <v>4.08</v>
      </c>
      <c r="I2938" s="161">
        <v>5</v>
      </c>
    </row>
    <row r="2939" spans="1:9">
      <c r="A2939" s="113">
        <v>100700048</v>
      </c>
      <c r="B2939" s="113" t="s">
        <v>5663</v>
      </c>
      <c r="C2939" s="113">
        <v>7014111</v>
      </c>
      <c r="D2939" s="113" t="s">
        <v>3093</v>
      </c>
      <c r="E2939" s="113" t="s">
        <v>1620</v>
      </c>
      <c r="F2939" s="113" t="s">
        <v>3093</v>
      </c>
      <c r="G2939" s="113" t="s">
        <v>3093</v>
      </c>
      <c r="H2939" s="161">
        <v>6.12</v>
      </c>
      <c r="I2939" s="161">
        <v>40</v>
      </c>
    </row>
    <row r="2940" spans="1:9">
      <c r="A2940" s="113">
        <v>100700049</v>
      </c>
      <c r="B2940" s="113" t="s">
        <v>5664</v>
      </c>
      <c r="C2940" s="113">
        <v>7014112</v>
      </c>
      <c r="D2940" s="113" t="s">
        <v>3093</v>
      </c>
      <c r="E2940" s="113" t="s">
        <v>1620</v>
      </c>
      <c r="F2940" s="113" t="s">
        <v>3093</v>
      </c>
      <c r="G2940" s="113" t="s">
        <v>3093</v>
      </c>
      <c r="H2940" s="161">
        <v>4</v>
      </c>
      <c r="I2940" s="161">
        <v>10</v>
      </c>
    </row>
    <row r="2941" spans="1:9">
      <c r="A2941" s="113">
        <v>100700050</v>
      </c>
      <c r="B2941" s="113" t="s">
        <v>5665</v>
      </c>
      <c r="C2941" s="113">
        <v>7014113</v>
      </c>
      <c r="D2941" s="113" t="s">
        <v>3093</v>
      </c>
      <c r="E2941" s="113" t="s">
        <v>1620</v>
      </c>
      <c r="F2941" s="113" t="s">
        <v>3093</v>
      </c>
      <c r="G2941" s="113" t="s">
        <v>3093</v>
      </c>
      <c r="H2941" s="161">
        <v>5</v>
      </c>
      <c r="I2941" s="161">
        <v>40</v>
      </c>
    </row>
    <row r="2942" spans="1:9">
      <c r="A2942" s="113">
        <v>100700051</v>
      </c>
      <c r="B2942" s="113" t="s">
        <v>5666</v>
      </c>
      <c r="C2942" s="113">
        <v>7014115</v>
      </c>
      <c r="D2942" s="113" t="s">
        <v>3093</v>
      </c>
      <c r="E2942" s="113" t="s">
        <v>1620</v>
      </c>
      <c r="F2942" s="113" t="s">
        <v>3093</v>
      </c>
      <c r="G2942" s="113" t="s">
        <v>3093</v>
      </c>
      <c r="H2942" s="161">
        <v>187.3</v>
      </c>
      <c r="I2942" s="161">
        <v>0</v>
      </c>
    </row>
    <row r="2943" spans="1:9">
      <c r="A2943" s="113">
        <v>100700052</v>
      </c>
      <c r="B2943" s="113" t="s">
        <v>5667</v>
      </c>
      <c r="C2943" s="113">
        <v>7014116</v>
      </c>
      <c r="D2943" s="113" t="s">
        <v>3093</v>
      </c>
      <c r="E2943" s="113" t="s">
        <v>1620</v>
      </c>
      <c r="F2943" s="113" t="s">
        <v>3093</v>
      </c>
      <c r="G2943" s="113" t="s">
        <v>3093</v>
      </c>
      <c r="H2943" s="161">
        <v>264.64999999999998</v>
      </c>
      <c r="I2943" s="161">
        <v>8</v>
      </c>
    </row>
    <row r="2944" spans="1:9">
      <c r="A2944" s="113">
        <v>100700053</v>
      </c>
      <c r="B2944" s="113" t="s">
        <v>5668</v>
      </c>
      <c r="C2944" s="113">
        <v>7014118</v>
      </c>
      <c r="D2944" s="113" t="s">
        <v>3093</v>
      </c>
      <c r="E2944" s="113" t="s">
        <v>1620</v>
      </c>
      <c r="F2944" s="113" t="s">
        <v>3093</v>
      </c>
      <c r="G2944" s="113" t="s">
        <v>3093</v>
      </c>
      <c r="H2944" s="161">
        <v>27</v>
      </c>
      <c r="I2944" s="161">
        <v>10</v>
      </c>
    </row>
    <row r="2945" spans="1:9">
      <c r="A2945" s="113">
        <v>100700054</v>
      </c>
      <c r="B2945" s="113" t="s">
        <v>5669</v>
      </c>
      <c r="C2945" s="113">
        <v>7014136</v>
      </c>
      <c r="D2945" s="113" t="s">
        <v>3093</v>
      </c>
      <c r="E2945" s="113" t="s">
        <v>1620</v>
      </c>
      <c r="F2945" s="113" t="s">
        <v>3093</v>
      </c>
      <c r="G2945" s="113" t="s">
        <v>3093</v>
      </c>
      <c r="H2945" s="161">
        <v>0</v>
      </c>
      <c r="I2945" s="161" t="s">
        <v>7138</v>
      </c>
    </row>
    <row r="2946" spans="1:9">
      <c r="A2946" s="113">
        <v>100700055</v>
      </c>
      <c r="B2946" s="113" t="s">
        <v>5670</v>
      </c>
      <c r="C2946" s="113">
        <v>7014137</v>
      </c>
      <c r="D2946" s="113" t="s">
        <v>3093</v>
      </c>
      <c r="E2946" s="113" t="s">
        <v>1620</v>
      </c>
      <c r="F2946" s="113" t="s">
        <v>3093</v>
      </c>
      <c r="G2946" s="113" t="s">
        <v>3093</v>
      </c>
      <c r="H2946" s="161">
        <v>7.3</v>
      </c>
      <c r="I2946" s="161">
        <v>10</v>
      </c>
    </row>
    <row r="2947" spans="1:9">
      <c r="A2947" s="113">
        <v>100700056</v>
      </c>
      <c r="B2947" s="113" t="s">
        <v>5671</v>
      </c>
      <c r="C2947" s="113">
        <v>7014139</v>
      </c>
      <c r="D2947" s="113" t="s">
        <v>3093</v>
      </c>
      <c r="E2947" s="113" t="s">
        <v>1620</v>
      </c>
      <c r="F2947" s="113" t="s">
        <v>3093</v>
      </c>
      <c r="G2947" s="113" t="s">
        <v>3093</v>
      </c>
      <c r="H2947" s="161">
        <v>0.35</v>
      </c>
      <c r="I2947" s="161">
        <v>0</v>
      </c>
    </row>
    <row r="2948" spans="1:9">
      <c r="A2948" s="113">
        <v>100700057</v>
      </c>
      <c r="B2948" s="113" t="s">
        <v>5672</v>
      </c>
      <c r="C2948" s="113">
        <v>7014140</v>
      </c>
      <c r="D2948" s="113" t="s">
        <v>3093</v>
      </c>
      <c r="E2948" s="113" t="s">
        <v>1620</v>
      </c>
      <c r="F2948" s="113" t="s">
        <v>3093</v>
      </c>
      <c r="G2948" s="113" t="s">
        <v>3093</v>
      </c>
      <c r="H2948" s="161">
        <v>0.65</v>
      </c>
      <c r="I2948" s="161">
        <v>10</v>
      </c>
    </row>
    <row r="2949" spans="1:9">
      <c r="A2949" s="113">
        <v>100700058</v>
      </c>
      <c r="B2949" s="113" t="s">
        <v>5673</v>
      </c>
      <c r="C2949" s="113">
        <v>7014141</v>
      </c>
      <c r="D2949" s="113" t="s">
        <v>3093</v>
      </c>
      <c r="E2949" s="113" t="s">
        <v>1620</v>
      </c>
      <c r="F2949" s="113" t="s">
        <v>3093</v>
      </c>
      <c r="G2949" s="113" t="s">
        <v>3093</v>
      </c>
      <c r="H2949" s="161">
        <v>0.65</v>
      </c>
      <c r="I2949" s="161">
        <v>45</v>
      </c>
    </row>
    <row r="2950" spans="1:9">
      <c r="A2950" s="113">
        <v>100700059</v>
      </c>
      <c r="B2950" s="113" t="s">
        <v>5674</v>
      </c>
      <c r="C2950" s="113">
        <v>7014143</v>
      </c>
      <c r="D2950" s="113" t="s">
        <v>3093</v>
      </c>
      <c r="E2950" s="113" t="s">
        <v>1620</v>
      </c>
      <c r="F2950" s="113" t="s">
        <v>3093</v>
      </c>
      <c r="G2950" s="113" t="s">
        <v>3093</v>
      </c>
      <c r="H2950" s="161">
        <v>2</v>
      </c>
      <c r="I2950" s="161">
        <v>1560</v>
      </c>
    </row>
    <row r="2951" spans="1:9">
      <c r="A2951" s="113">
        <v>100700060</v>
      </c>
      <c r="B2951" s="113" t="s">
        <v>5675</v>
      </c>
      <c r="C2951" s="113">
        <v>7014170</v>
      </c>
      <c r="D2951" s="113" t="s">
        <v>3093</v>
      </c>
      <c r="E2951" s="113" t="s">
        <v>1620</v>
      </c>
      <c r="F2951" s="113" t="s">
        <v>3093</v>
      </c>
      <c r="G2951" s="113" t="s">
        <v>3093</v>
      </c>
      <c r="H2951" s="161">
        <v>0.03</v>
      </c>
      <c r="I2951" s="161">
        <v>0</v>
      </c>
    </row>
    <row r="2952" spans="1:9">
      <c r="A2952" s="113">
        <v>100700061</v>
      </c>
      <c r="B2952" s="113" t="s">
        <v>5676</v>
      </c>
      <c r="C2952" s="113">
        <v>7014171</v>
      </c>
      <c r="D2952" s="113" t="s">
        <v>3093</v>
      </c>
      <c r="E2952" s="113" t="s">
        <v>1620</v>
      </c>
      <c r="F2952" s="113" t="s">
        <v>3093</v>
      </c>
      <c r="G2952" s="113" t="s">
        <v>3093</v>
      </c>
      <c r="H2952" s="161">
        <v>0.36</v>
      </c>
      <c r="I2952" s="161">
        <v>0</v>
      </c>
    </row>
    <row r="2953" spans="1:9">
      <c r="A2953" s="113">
        <v>100700062</v>
      </c>
      <c r="B2953" s="113" t="s">
        <v>5677</v>
      </c>
      <c r="C2953" s="113">
        <v>7014172</v>
      </c>
      <c r="D2953" s="113" t="s">
        <v>3093</v>
      </c>
      <c r="E2953" s="113" t="s">
        <v>1620</v>
      </c>
      <c r="F2953" s="113" t="s">
        <v>3093</v>
      </c>
      <c r="G2953" s="113" t="s">
        <v>3093</v>
      </c>
      <c r="H2953" s="161">
        <v>0.03</v>
      </c>
      <c r="I2953" s="161">
        <v>0</v>
      </c>
    </row>
    <row r="2954" spans="1:9">
      <c r="A2954" s="113">
        <v>100700063</v>
      </c>
      <c r="B2954" s="113" t="s">
        <v>5678</v>
      </c>
      <c r="C2954" s="113">
        <v>7014173</v>
      </c>
      <c r="D2954" s="113" t="s">
        <v>3093</v>
      </c>
      <c r="E2954" s="113" t="s">
        <v>1620</v>
      </c>
      <c r="F2954" s="113" t="s">
        <v>3093</v>
      </c>
      <c r="G2954" s="113" t="s">
        <v>3093</v>
      </c>
      <c r="H2954" s="161">
        <v>0.95</v>
      </c>
      <c r="I2954" s="161">
        <v>300</v>
      </c>
    </row>
    <row r="2955" spans="1:9">
      <c r="A2955" s="113">
        <v>100700064</v>
      </c>
      <c r="B2955" s="113" t="s">
        <v>5679</v>
      </c>
      <c r="C2955" s="113">
        <v>7015045</v>
      </c>
      <c r="D2955" s="113" t="s">
        <v>3093</v>
      </c>
      <c r="E2955" s="113" t="s">
        <v>1620</v>
      </c>
      <c r="F2955" s="113" t="s">
        <v>3093</v>
      </c>
      <c r="G2955" s="113" t="s">
        <v>3093</v>
      </c>
      <c r="H2955" s="161">
        <v>16500</v>
      </c>
      <c r="I2955" s="161">
        <v>1</v>
      </c>
    </row>
    <row r="2956" spans="1:9">
      <c r="A2956" s="113">
        <v>100700065</v>
      </c>
      <c r="B2956" s="113" t="s">
        <v>5680</v>
      </c>
      <c r="C2956" s="113">
        <v>7015069</v>
      </c>
      <c r="D2956" s="113" t="s">
        <v>3093</v>
      </c>
      <c r="E2956" s="113" t="s">
        <v>1620</v>
      </c>
      <c r="F2956" s="113" t="s">
        <v>3093</v>
      </c>
      <c r="G2956" s="113" t="s">
        <v>3093</v>
      </c>
      <c r="H2956" s="161">
        <v>35</v>
      </c>
      <c r="I2956" s="161">
        <v>76</v>
      </c>
    </row>
    <row r="2957" spans="1:9">
      <c r="A2957" s="113">
        <v>100700066</v>
      </c>
      <c r="B2957" s="113" t="s">
        <v>5681</v>
      </c>
      <c r="C2957" s="113">
        <v>7015076</v>
      </c>
      <c r="D2957" s="113" t="s">
        <v>3093</v>
      </c>
      <c r="E2957" s="113" t="s">
        <v>1620</v>
      </c>
      <c r="F2957" s="113" t="s">
        <v>3093</v>
      </c>
      <c r="G2957" s="113" t="s">
        <v>3093</v>
      </c>
      <c r="H2957" s="161">
        <v>13.75</v>
      </c>
      <c r="I2957" s="161">
        <v>800</v>
      </c>
    </row>
    <row r="2958" spans="1:9">
      <c r="A2958" s="113">
        <v>100700067</v>
      </c>
      <c r="B2958" s="113" t="s">
        <v>5682</v>
      </c>
      <c r="C2958" s="113">
        <v>7015086</v>
      </c>
      <c r="D2958" s="113" t="s">
        <v>3093</v>
      </c>
      <c r="E2958" s="113" t="s">
        <v>2522</v>
      </c>
      <c r="F2958" s="113" t="s">
        <v>3093</v>
      </c>
      <c r="G2958" s="113" t="s">
        <v>3093</v>
      </c>
      <c r="H2958" s="161">
        <v>3.71</v>
      </c>
      <c r="I2958" s="161">
        <v>6</v>
      </c>
    </row>
    <row r="2959" spans="1:9">
      <c r="A2959" s="113">
        <v>100700068</v>
      </c>
      <c r="B2959" s="113" t="s">
        <v>5683</v>
      </c>
      <c r="C2959" s="113">
        <v>7015088</v>
      </c>
      <c r="D2959" s="113" t="s">
        <v>3093</v>
      </c>
      <c r="E2959" s="113" t="s">
        <v>2521</v>
      </c>
      <c r="F2959" s="113" t="s">
        <v>3093</v>
      </c>
      <c r="G2959" s="113" t="s">
        <v>3093</v>
      </c>
      <c r="H2959" s="161">
        <v>4.3749999999999997E-2</v>
      </c>
      <c r="I2959" s="161">
        <v>30</v>
      </c>
    </row>
    <row r="2960" spans="1:9">
      <c r="A2960" s="113">
        <v>100700069</v>
      </c>
      <c r="B2960" s="113" t="s">
        <v>5684</v>
      </c>
      <c r="C2960" s="113">
        <v>7015089</v>
      </c>
      <c r="D2960" s="113" t="s">
        <v>3093</v>
      </c>
      <c r="E2960" s="113" t="s">
        <v>1620</v>
      </c>
      <c r="F2960" s="113" t="s">
        <v>3093</v>
      </c>
      <c r="G2960" s="113" t="s">
        <v>3093</v>
      </c>
      <c r="H2960" s="161">
        <v>55</v>
      </c>
      <c r="I2960" s="161">
        <v>4</v>
      </c>
    </row>
    <row r="2961" spans="1:9">
      <c r="A2961" s="113">
        <v>100700070</v>
      </c>
      <c r="B2961" s="113" t="s">
        <v>5685</v>
      </c>
      <c r="C2961" s="113">
        <v>7015091</v>
      </c>
      <c r="D2961" s="113" t="s">
        <v>3093</v>
      </c>
      <c r="E2961" s="113" t="s">
        <v>1620</v>
      </c>
      <c r="F2961" s="113" t="s">
        <v>3093</v>
      </c>
      <c r="G2961" s="113" t="s">
        <v>3093</v>
      </c>
      <c r="H2961" s="161">
        <v>78</v>
      </c>
      <c r="I2961" s="161">
        <v>36</v>
      </c>
    </row>
    <row r="2962" spans="1:9">
      <c r="A2962" s="113">
        <v>100700071</v>
      </c>
      <c r="B2962" s="113" t="s">
        <v>5686</v>
      </c>
      <c r="C2962" s="113">
        <v>7015124</v>
      </c>
      <c r="D2962" s="113" t="s">
        <v>3093</v>
      </c>
      <c r="E2962" s="113" t="s">
        <v>1620</v>
      </c>
      <c r="F2962" s="113" t="s">
        <v>3093</v>
      </c>
      <c r="G2962" s="113" t="s">
        <v>3093</v>
      </c>
      <c r="H2962" s="161">
        <v>58</v>
      </c>
      <c r="I2962" s="161">
        <v>0</v>
      </c>
    </row>
    <row r="2963" spans="1:9">
      <c r="A2963" s="113">
        <v>100700072</v>
      </c>
      <c r="B2963" s="113" t="s">
        <v>5687</v>
      </c>
      <c r="C2963" s="113">
        <v>7015128</v>
      </c>
      <c r="D2963" s="113" t="s">
        <v>3093</v>
      </c>
      <c r="E2963" s="113" t="s">
        <v>1620</v>
      </c>
      <c r="F2963" s="113" t="s">
        <v>3093</v>
      </c>
      <c r="G2963" s="113" t="s">
        <v>3093</v>
      </c>
      <c r="H2963" s="161">
        <v>43.33</v>
      </c>
      <c r="I2963" s="161">
        <v>0</v>
      </c>
    </row>
    <row r="2964" spans="1:9">
      <c r="A2964" s="113">
        <v>100700073</v>
      </c>
      <c r="B2964" s="113" t="s">
        <v>5688</v>
      </c>
      <c r="C2964" s="113">
        <v>7015130</v>
      </c>
      <c r="D2964" s="113" t="s">
        <v>3093</v>
      </c>
      <c r="E2964" s="113" t="s">
        <v>1620</v>
      </c>
      <c r="F2964" s="113" t="s">
        <v>3093</v>
      </c>
      <c r="G2964" s="113" t="s">
        <v>3093</v>
      </c>
      <c r="H2964" s="161">
        <v>3964.55</v>
      </c>
      <c r="I2964" s="161" t="s">
        <v>7138</v>
      </c>
    </row>
    <row r="2965" spans="1:9">
      <c r="A2965" s="113">
        <v>100700074</v>
      </c>
      <c r="B2965" s="113" t="s">
        <v>5689</v>
      </c>
      <c r="C2965" s="113">
        <v>7015137</v>
      </c>
      <c r="D2965" s="113" t="s">
        <v>3093</v>
      </c>
      <c r="E2965" s="113" t="s">
        <v>1620</v>
      </c>
      <c r="F2965" s="113" t="s">
        <v>3093</v>
      </c>
      <c r="G2965" s="113" t="s">
        <v>3093</v>
      </c>
      <c r="H2965" s="161">
        <v>0</v>
      </c>
      <c r="I2965" s="161" t="s">
        <v>7138</v>
      </c>
    </row>
    <row r="2966" spans="1:9">
      <c r="A2966" s="113">
        <v>100700075</v>
      </c>
      <c r="B2966" s="113" t="s">
        <v>5690</v>
      </c>
      <c r="C2966" s="113">
        <v>7016001</v>
      </c>
      <c r="D2966" s="113" t="s">
        <v>3093</v>
      </c>
      <c r="E2966" s="113" t="s">
        <v>1620</v>
      </c>
      <c r="F2966" s="113" t="s">
        <v>3093</v>
      </c>
      <c r="G2966" s="113" t="s">
        <v>3093</v>
      </c>
      <c r="H2966" s="161">
        <v>1.15E-2</v>
      </c>
      <c r="I2966" s="161">
        <v>1200</v>
      </c>
    </row>
    <row r="2967" spans="1:9">
      <c r="A2967" s="113">
        <v>100700076</v>
      </c>
      <c r="B2967" s="113" t="s">
        <v>5691</v>
      </c>
      <c r="C2967" s="113">
        <v>7016101</v>
      </c>
      <c r="D2967" s="113" t="s">
        <v>3093</v>
      </c>
      <c r="E2967" s="113" t="s">
        <v>1620</v>
      </c>
      <c r="F2967" s="113" t="s">
        <v>3093</v>
      </c>
      <c r="G2967" s="113" t="s">
        <v>3093</v>
      </c>
      <c r="H2967" s="161">
        <v>3.25</v>
      </c>
      <c r="I2967" s="161">
        <v>0</v>
      </c>
    </row>
    <row r="2968" spans="1:9">
      <c r="A2968" s="113">
        <v>100700077</v>
      </c>
      <c r="B2968" s="113" t="s">
        <v>5692</v>
      </c>
      <c r="C2968" s="113">
        <v>7016109</v>
      </c>
      <c r="D2968" s="113" t="s">
        <v>3093</v>
      </c>
      <c r="E2968" s="113" t="s">
        <v>1620</v>
      </c>
      <c r="F2968" s="113" t="s">
        <v>3093</v>
      </c>
      <c r="G2968" s="113" t="s">
        <v>3093</v>
      </c>
      <c r="H2968" s="161">
        <v>3.7999999999999999E-2</v>
      </c>
      <c r="I2968" s="161">
        <v>2945</v>
      </c>
    </row>
    <row r="2969" spans="1:9">
      <c r="A2969" s="113">
        <v>100700078</v>
      </c>
      <c r="B2969" s="113" t="s">
        <v>5693</v>
      </c>
      <c r="C2969" s="113">
        <v>7016110</v>
      </c>
      <c r="D2969" s="113" t="s">
        <v>3093</v>
      </c>
      <c r="E2969" s="113" t="s">
        <v>1620</v>
      </c>
      <c r="F2969" s="113" t="s">
        <v>3093</v>
      </c>
      <c r="G2969" s="113" t="s">
        <v>3093</v>
      </c>
      <c r="H2969" s="161">
        <v>0.01</v>
      </c>
      <c r="I2969" s="161">
        <v>6100</v>
      </c>
    </row>
    <row r="2970" spans="1:9">
      <c r="A2970" s="113">
        <v>100700079</v>
      </c>
      <c r="B2970" s="113" t="s">
        <v>5694</v>
      </c>
      <c r="C2970" s="113">
        <v>7016112</v>
      </c>
      <c r="D2970" s="113" t="s">
        <v>3093</v>
      </c>
      <c r="E2970" s="113" t="s">
        <v>1620</v>
      </c>
      <c r="F2970" s="113" t="s">
        <v>3093</v>
      </c>
      <c r="G2970" s="113" t="s">
        <v>3093</v>
      </c>
      <c r="H2970" s="161">
        <v>1.26E-2</v>
      </c>
      <c r="I2970" s="161">
        <v>8000</v>
      </c>
    </row>
    <row r="2971" spans="1:9">
      <c r="A2971" s="113">
        <v>100700080</v>
      </c>
      <c r="B2971" s="113" t="s">
        <v>5695</v>
      </c>
      <c r="C2971" s="113">
        <v>7016113</v>
      </c>
      <c r="D2971" s="113" t="s">
        <v>3093</v>
      </c>
      <c r="E2971" s="113" t="s">
        <v>1620</v>
      </c>
      <c r="F2971" s="113" t="s">
        <v>3093</v>
      </c>
      <c r="G2971" s="113" t="s">
        <v>3093</v>
      </c>
      <c r="H2971" s="161">
        <v>17.989999999999998</v>
      </c>
      <c r="I2971" s="161">
        <v>84</v>
      </c>
    </row>
    <row r="2972" spans="1:9">
      <c r="A2972" s="113">
        <v>100700081</v>
      </c>
      <c r="B2972" s="113" t="s">
        <v>5696</v>
      </c>
      <c r="C2972" s="113">
        <v>7016115</v>
      </c>
      <c r="D2972" s="113" t="s">
        <v>3093</v>
      </c>
      <c r="E2972" s="113" t="s">
        <v>1620</v>
      </c>
      <c r="F2972" s="113" t="s">
        <v>3093</v>
      </c>
      <c r="G2972" s="113" t="s">
        <v>3093</v>
      </c>
      <c r="H2972" s="161">
        <v>3.4</v>
      </c>
      <c r="I2972" s="161">
        <v>100</v>
      </c>
    </row>
    <row r="2973" spans="1:9">
      <c r="A2973" s="113">
        <v>100700082</v>
      </c>
      <c r="B2973" s="113" t="s">
        <v>5697</v>
      </c>
      <c r="C2973" s="113">
        <v>7016119</v>
      </c>
      <c r="D2973" s="113" t="s">
        <v>3093</v>
      </c>
      <c r="E2973" s="113" t="s">
        <v>1620</v>
      </c>
      <c r="F2973" s="113" t="s">
        <v>3093</v>
      </c>
      <c r="G2973" s="113" t="s">
        <v>3093</v>
      </c>
      <c r="H2973" s="161">
        <v>1.26</v>
      </c>
      <c r="I2973" s="161">
        <v>23120</v>
      </c>
    </row>
    <row r="2974" spans="1:9">
      <c r="A2974" s="113">
        <v>100700083</v>
      </c>
      <c r="B2974" s="113" t="s">
        <v>5698</v>
      </c>
      <c r="C2974" s="113">
        <v>7016120</v>
      </c>
      <c r="D2974" s="113" t="s">
        <v>3093</v>
      </c>
      <c r="E2974" s="113" t="s">
        <v>1620</v>
      </c>
      <c r="F2974" s="113" t="s">
        <v>3093</v>
      </c>
      <c r="G2974" s="113" t="s">
        <v>3093</v>
      </c>
      <c r="H2974" s="161">
        <v>3.34</v>
      </c>
      <c r="I2974" s="161">
        <v>0</v>
      </c>
    </row>
    <row r="2975" spans="1:9">
      <c r="A2975" s="113">
        <v>100700084</v>
      </c>
      <c r="B2975" s="113" t="s">
        <v>5699</v>
      </c>
      <c r="C2975" s="113">
        <v>7016127</v>
      </c>
      <c r="D2975" s="113" t="s">
        <v>3093</v>
      </c>
      <c r="E2975" s="113" t="s">
        <v>1620</v>
      </c>
      <c r="F2975" s="113" t="s">
        <v>3093</v>
      </c>
      <c r="G2975" s="113" t="s">
        <v>3093</v>
      </c>
      <c r="H2975" s="161">
        <v>31.45</v>
      </c>
      <c r="I2975" s="161">
        <v>2</v>
      </c>
    </row>
    <row r="2976" spans="1:9">
      <c r="A2976" s="113">
        <v>100700085</v>
      </c>
      <c r="B2976" s="113" t="s">
        <v>5700</v>
      </c>
      <c r="C2976" s="113">
        <v>7016129</v>
      </c>
      <c r="D2976" s="113" t="s">
        <v>3093</v>
      </c>
      <c r="E2976" s="113" t="s">
        <v>1620</v>
      </c>
      <c r="F2976" s="113" t="s">
        <v>3093</v>
      </c>
      <c r="G2976" s="113" t="s">
        <v>3093</v>
      </c>
      <c r="H2976" s="161">
        <v>85</v>
      </c>
      <c r="I2976" s="161">
        <v>5</v>
      </c>
    </row>
    <row r="2977" spans="1:9">
      <c r="A2977" s="113">
        <v>100700086</v>
      </c>
      <c r="B2977" s="113" t="s">
        <v>3012</v>
      </c>
      <c r="C2977" s="113">
        <v>7016133</v>
      </c>
      <c r="D2977" s="113" t="s">
        <v>3093</v>
      </c>
      <c r="E2977" s="113" t="s">
        <v>1620</v>
      </c>
      <c r="F2977" s="113" t="s">
        <v>3093</v>
      </c>
      <c r="G2977" s="113" t="s">
        <v>3093</v>
      </c>
      <c r="H2977" s="161">
        <v>0.04</v>
      </c>
      <c r="I2977" s="161">
        <v>2245</v>
      </c>
    </row>
    <row r="2978" spans="1:9">
      <c r="A2978" s="113">
        <v>100700087</v>
      </c>
      <c r="B2978" s="113" t="s">
        <v>3013</v>
      </c>
      <c r="C2978" s="113">
        <v>7016134</v>
      </c>
      <c r="D2978" s="113" t="s">
        <v>3093</v>
      </c>
      <c r="E2978" s="113" t="s">
        <v>1620</v>
      </c>
      <c r="F2978" s="113" t="s">
        <v>3093</v>
      </c>
      <c r="G2978" s="113" t="s">
        <v>3093</v>
      </c>
      <c r="H2978" s="161">
        <v>0.08</v>
      </c>
      <c r="I2978" s="161">
        <v>35</v>
      </c>
    </row>
    <row r="2979" spans="1:9">
      <c r="A2979" s="113">
        <v>100700088</v>
      </c>
      <c r="B2979" s="113" t="s">
        <v>5701</v>
      </c>
      <c r="C2979" s="113">
        <v>7016135</v>
      </c>
      <c r="D2979" s="113" t="s">
        <v>3093</v>
      </c>
      <c r="E2979" s="113" t="s">
        <v>1620</v>
      </c>
      <c r="F2979" s="113" t="s">
        <v>3093</v>
      </c>
      <c r="G2979" s="113" t="s">
        <v>3093</v>
      </c>
      <c r="H2979" s="161">
        <v>5.6000000000000001E-2</v>
      </c>
      <c r="I2979" s="161">
        <v>2000</v>
      </c>
    </row>
    <row r="2980" spans="1:9">
      <c r="A2980" s="113">
        <v>100700089</v>
      </c>
      <c r="B2980" s="113" t="s">
        <v>5702</v>
      </c>
      <c r="C2980" s="113">
        <v>7016136</v>
      </c>
      <c r="D2980" s="113" t="s">
        <v>3093</v>
      </c>
      <c r="E2980" s="113" t="s">
        <v>1620</v>
      </c>
      <c r="F2980" s="113" t="s">
        <v>3093</v>
      </c>
      <c r="G2980" s="113" t="s">
        <v>3093</v>
      </c>
      <c r="H2980" s="161">
        <v>0.05</v>
      </c>
      <c r="I2980" s="161">
        <v>3331</v>
      </c>
    </row>
    <row r="2981" spans="1:9">
      <c r="A2981" s="113">
        <v>100700090</v>
      </c>
      <c r="B2981" s="113" t="s">
        <v>5703</v>
      </c>
      <c r="C2981" s="113">
        <v>7016137</v>
      </c>
      <c r="D2981" s="113" t="s">
        <v>3093</v>
      </c>
      <c r="E2981" s="113" t="s">
        <v>1620</v>
      </c>
      <c r="F2981" s="113" t="s">
        <v>3093</v>
      </c>
      <c r="G2981" s="113" t="s">
        <v>3093</v>
      </c>
      <c r="H2981" s="161">
        <v>0.06</v>
      </c>
      <c r="I2981" s="161">
        <v>5500</v>
      </c>
    </row>
    <row r="2982" spans="1:9">
      <c r="A2982" s="113">
        <v>100700091</v>
      </c>
      <c r="B2982" s="113" t="s">
        <v>5704</v>
      </c>
      <c r="C2982" s="113">
        <v>7016138</v>
      </c>
      <c r="D2982" s="113" t="s">
        <v>3093</v>
      </c>
      <c r="E2982" s="113" t="s">
        <v>1620</v>
      </c>
      <c r="F2982" s="113" t="s">
        <v>3093</v>
      </c>
      <c r="G2982" s="113" t="s">
        <v>3093</v>
      </c>
      <c r="H2982" s="161">
        <v>0.28999999999999998</v>
      </c>
      <c r="I2982" s="161">
        <v>4965</v>
      </c>
    </row>
    <row r="2983" spans="1:9">
      <c r="A2983" s="113">
        <v>100700092</v>
      </c>
      <c r="B2983" s="113" t="s">
        <v>5705</v>
      </c>
      <c r="C2983" s="113">
        <v>7016139</v>
      </c>
      <c r="D2983" s="113" t="s">
        <v>3093</v>
      </c>
      <c r="E2983" s="113" t="s">
        <v>1620</v>
      </c>
      <c r="F2983" s="113" t="s">
        <v>3093</v>
      </c>
      <c r="G2983" s="113" t="s">
        <v>3093</v>
      </c>
      <c r="H2983" s="161">
        <v>0.28999999999999998</v>
      </c>
      <c r="I2983" s="161">
        <v>300</v>
      </c>
    </row>
    <row r="2984" spans="1:9">
      <c r="A2984" s="113">
        <v>100700093</v>
      </c>
      <c r="B2984" s="113" t="s">
        <v>5706</v>
      </c>
      <c r="C2984" s="113">
        <v>7016140</v>
      </c>
      <c r="D2984" s="113" t="s">
        <v>3093</v>
      </c>
      <c r="E2984" s="113" t="s">
        <v>1620</v>
      </c>
      <c r="F2984" s="113" t="s">
        <v>3093</v>
      </c>
      <c r="G2984" s="113" t="s">
        <v>3093</v>
      </c>
      <c r="H2984" s="161">
        <v>0.28999999999999998</v>
      </c>
      <c r="I2984" s="161">
        <v>1720</v>
      </c>
    </row>
    <row r="2985" spans="1:9">
      <c r="A2985" s="113">
        <v>100700094</v>
      </c>
      <c r="B2985" s="113" t="s">
        <v>5707</v>
      </c>
      <c r="C2985" s="113">
        <v>7016141</v>
      </c>
      <c r="D2985" s="113" t="s">
        <v>3093</v>
      </c>
      <c r="E2985" s="113" t="s">
        <v>1620</v>
      </c>
      <c r="F2985" s="113" t="s">
        <v>3093</v>
      </c>
      <c r="G2985" s="113" t="s">
        <v>3093</v>
      </c>
      <c r="H2985" s="161">
        <v>0.28000000000000003</v>
      </c>
      <c r="I2985" s="161">
        <v>200</v>
      </c>
    </row>
    <row r="2986" spans="1:9">
      <c r="A2986" s="113">
        <v>100700095</v>
      </c>
      <c r="B2986" s="113" t="s">
        <v>5708</v>
      </c>
      <c r="C2986" s="113">
        <v>7016142</v>
      </c>
      <c r="D2986" s="113" t="s">
        <v>3093</v>
      </c>
      <c r="E2986" s="113" t="s">
        <v>1620</v>
      </c>
      <c r="F2986" s="113" t="s">
        <v>3093</v>
      </c>
      <c r="G2986" s="113" t="s">
        <v>3093</v>
      </c>
      <c r="H2986" s="161">
        <v>0.46</v>
      </c>
      <c r="I2986" s="161">
        <v>200</v>
      </c>
    </row>
    <row r="2987" spans="1:9">
      <c r="A2987" s="113">
        <v>100700096</v>
      </c>
      <c r="B2987" s="113" t="s">
        <v>5709</v>
      </c>
      <c r="C2987" s="113">
        <v>7016143</v>
      </c>
      <c r="D2987" s="113" t="s">
        <v>3093</v>
      </c>
      <c r="E2987" s="113" t="s">
        <v>1620</v>
      </c>
      <c r="F2987" s="113" t="s">
        <v>3093</v>
      </c>
      <c r="G2987" s="113" t="s">
        <v>3093</v>
      </c>
      <c r="H2987" s="161">
        <v>0.26</v>
      </c>
      <c r="I2987" s="161">
        <v>2400</v>
      </c>
    </row>
    <row r="2988" spans="1:9">
      <c r="A2988" s="113">
        <v>100700097</v>
      </c>
      <c r="B2988" s="113" t="s">
        <v>5710</v>
      </c>
      <c r="C2988" s="113">
        <v>7016144</v>
      </c>
      <c r="D2988" s="113" t="s">
        <v>3093</v>
      </c>
      <c r="E2988" s="113" t="s">
        <v>1620</v>
      </c>
      <c r="F2988" s="113" t="s">
        <v>3093</v>
      </c>
      <c r="G2988" s="113" t="s">
        <v>3093</v>
      </c>
      <c r="H2988" s="161">
        <v>12.95</v>
      </c>
      <c r="I2988" s="161">
        <v>1</v>
      </c>
    </row>
    <row r="2989" spans="1:9">
      <c r="A2989" s="113">
        <v>100700099</v>
      </c>
      <c r="B2989" s="113" t="s">
        <v>5711</v>
      </c>
      <c r="C2989" s="113">
        <v>7016152</v>
      </c>
      <c r="D2989" s="113" t="s">
        <v>3093</v>
      </c>
      <c r="E2989" s="113" t="s">
        <v>1620</v>
      </c>
      <c r="F2989" s="113" t="s">
        <v>3093</v>
      </c>
      <c r="G2989" s="113" t="s">
        <v>3093</v>
      </c>
      <c r="H2989" s="161">
        <v>4.5</v>
      </c>
      <c r="I2989" s="161">
        <v>810</v>
      </c>
    </row>
    <row r="2990" spans="1:9">
      <c r="A2990" s="113">
        <v>100700100</v>
      </c>
      <c r="B2990" s="113" t="s">
        <v>5712</v>
      </c>
      <c r="C2990" s="113">
        <v>7016153</v>
      </c>
      <c r="D2990" s="113" t="s">
        <v>3093</v>
      </c>
      <c r="E2990" s="113" t="s">
        <v>1620</v>
      </c>
      <c r="F2990" s="113" t="s">
        <v>3093</v>
      </c>
      <c r="G2990" s="113" t="s">
        <v>3093</v>
      </c>
      <c r="H2990" s="161">
        <v>20</v>
      </c>
      <c r="I2990" s="161">
        <v>65</v>
      </c>
    </row>
    <row r="2991" spans="1:9">
      <c r="A2991" s="113">
        <v>100700101</v>
      </c>
      <c r="B2991" s="113" t="s">
        <v>5713</v>
      </c>
      <c r="C2991" s="113">
        <v>7016154</v>
      </c>
      <c r="D2991" s="113" t="s">
        <v>3093</v>
      </c>
      <c r="E2991" s="113" t="s">
        <v>1620</v>
      </c>
      <c r="F2991" s="113" t="s">
        <v>3093</v>
      </c>
      <c r="G2991" s="113" t="s">
        <v>3093</v>
      </c>
      <c r="H2991" s="161">
        <v>1.25</v>
      </c>
      <c r="I2991" s="161">
        <v>2</v>
      </c>
    </row>
    <row r="2992" spans="1:9">
      <c r="A2992" s="113">
        <v>100700102</v>
      </c>
      <c r="B2992" s="113" t="s">
        <v>5714</v>
      </c>
      <c r="C2992" s="113">
        <v>7016163</v>
      </c>
      <c r="D2992" s="113" t="s">
        <v>3093</v>
      </c>
      <c r="E2992" s="113" t="s">
        <v>1620</v>
      </c>
      <c r="F2992" s="113" t="s">
        <v>3093</v>
      </c>
      <c r="G2992" s="113" t="s">
        <v>3093</v>
      </c>
      <c r="H2992" s="161">
        <v>18</v>
      </c>
      <c r="I2992" s="161">
        <v>5</v>
      </c>
    </row>
    <row r="2993" spans="1:9">
      <c r="A2993" s="113">
        <v>100700103</v>
      </c>
      <c r="B2993" s="113" t="s">
        <v>5715</v>
      </c>
      <c r="C2993" s="113">
        <v>7016164</v>
      </c>
      <c r="D2993" s="113" t="s">
        <v>3093</v>
      </c>
      <c r="E2993" s="113" t="s">
        <v>1620</v>
      </c>
      <c r="F2993" s="113" t="s">
        <v>3093</v>
      </c>
      <c r="G2993" s="113" t="s">
        <v>3093</v>
      </c>
      <c r="H2993" s="161">
        <v>18</v>
      </c>
      <c r="I2993" s="161">
        <v>6</v>
      </c>
    </row>
    <row r="2994" spans="1:9">
      <c r="A2994" s="113">
        <v>100700104</v>
      </c>
      <c r="B2994" s="113" t="s">
        <v>5716</v>
      </c>
      <c r="C2994" s="113">
        <v>7016165</v>
      </c>
      <c r="D2994" s="113" t="s">
        <v>3093</v>
      </c>
      <c r="E2994" s="113" t="s">
        <v>1620</v>
      </c>
      <c r="F2994" s="113" t="s">
        <v>3093</v>
      </c>
      <c r="G2994" s="113" t="s">
        <v>3093</v>
      </c>
      <c r="H2994" s="161">
        <v>65</v>
      </c>
      <c r="I2994" s="161">
        <v>2</v>
      </c>
    </row>
    <row r="2995" spans="1:9">
      <c r="A2995" s="113">
        <v>100700105</v>
      </c>
      <c r="B2995" s="113" t="s">
        <v>5717</v>
      </c>
      <c r="C2995" s="113">
        <v>7016167</v>
      </c>
      <c r="D2995" s="113" t="s">
        <v>3093</v>
      </c>
      <c r="E2995" s="113" t="s">
        <v>1620</v>
      </c>
      <c r="F2995" s="113" t="s">
        <v>3093</v>
      </c>
      <c r="G2995" s="113" t="s">
        <v>3093</v>
      </c>
      <c r="H2995" s="161">
        <v>15.95</v>
      </c>
      <c r="I2995" s="161">
        <v>2</v>
      </c>
    </row>
    <row r="2996" spans="1:9">
      <c r="A2996" s="113">
        <v>100700106</v>
      </c>
      <c r="B2996" s="113" t="s">
        <v>3014</v>
      </c>
      <c r="C2996" s="113">
        <v>7016169</v>
      </c>
      <c r="D2996" s="113" t="s">
        <v>3093</v>
      </c>
      <c r="E2996" s="113" t="s">
        <v>1620</v>
      </c>
      <c r="F2996" s="113" t="s">
        <v>3093</v>
      </c>
      <c r="G2996" s="113" t="s">
        <v>3093</v>
      </c>
      <c r="H2996" s="161">
        <v>0.11609999999999999</v>
      </c>
      <c r="I2996" s="161">
        <v>4</v>
      </c>
    </row>
    <row r="2997" spans="1:9">
      <c r="A2997" s="113">
        <v>100700107</v>
      </c>
      <c r="B2997" s="113" t="s">
        <v>5718</v>
      </c>
      <c r="C2997" s="113">
        <v>7016171</v>
      </c>
      <c r="D2997" s="113" t="s">
        <v>3093</v>
      </c>
      <c r="E2997" s="113" t="s">
        <v>1620</v>
      </c>
      <c r="F2997" s="113" t="s">
        <v>3093</v>
      </c>
      <c r="G2997" s="113" t="s">
        <v>3093</v>
      </c>
      <c r="H2997" s="161">
        <v>2</v>
      </c>
      <c r="I2997" s="161">
        <v>12</v>
      </c>
    </row>
    <row r="2998" spans="1:9">
      <c r="A2998" s="113">
        <v>100700108</v>
      </c>
      <c r="B2998" s="113" t="s">
        <v>3015</v>
      </c>
      <c r="C2998" s="113">
        <v>7016184</v>
      </c>
      <c r="D2998" s="113" t="s">
        <v>3093</v>
      </c>
      <c r="E2998" s="113" t="s">
        <v>1620</v>
      </c>
      <c r="F2998" s="113" t="s">
        <v>3093</v>
      </c>
      <c r="G2998" s="113" t="s">
        <v>3093</v>
      </c>
      <c r="H2998" s="161">
        <v>1400</v>
      </c>
      <c r="I2998" s="161">
        <v>2</v>
      </c>
    </row>
    <row r="2999" spans="1:9">
      <c r="A2999" s="113">
        <v>100700109</v>
      </c>
      <c r="B2999" s="113" t="s">
        <v>5719</v>
      </c>
      <c r="C2999" s="113">
        <v>7016185</v>
      </c>
      <c r="D2999" s="113" t="s">
        <v>3093</v>
      </c>
      <c r="E2999" s="113" t="s">
        <v>1620</v>
      </c>
      <c r="F2999" s="113" t="s">
        <v>3093</v>
      </c>
      <c r="G2999" s="113" t="s">
        <v>3093</v>
      </c>
      <c r="H2999" s="161">
        <v>53.08</v>
      </c>
      <c r="I2999" s="161">
        <v>12</v>
      </c>
    </row>
    <row r="3000" spans="1:9">
      <c r="A3000" s="113">
        <v>100700110</v>
      </c>
      <c r="B3000" s="113" t="s">
        <v>5720</v>
      </c>
      <c r="C3000" s="113">
        <v>7016186</v>
      </c>
      <c r="D3000" s="113" t="s">
        <v>3093</v>
      </c>
      <c r="E3000" s="113" t="s">
        <v>1620</v>
      </c>
      <c r="F3000" s="113" t="s">
        <v>3093</v>
      </c>
      <c r="G3000" s="113" t="s">
        <v>3093</v>
      </c>
      <c r="H3000" s="161">
        <v>3400</v>
      </c>
      <c r="I3000" s="161">
        <v>1</v>
      </c>
    </row>
    <row r="3001" spans="1:9">
      <c r="A3001" s="113">
        <v>100700111</v>
      </c>
      <c r="B3001" s="113" t="s">
        <v>5721</v>
      </c>
      <c r="C3001" s="113">
        <v>7016189</v>
      </c>
      <c r="D3001" s="113" t="s">
        <v>3093</v>
      </c>
      <c r="E3001" s="113" t="s">
        <v>1620</v>
      </c>
      <c r="F3001" s="113" t="s">
        <v>3093</v>
      </c>
      <c r="G3001" s="113" t="s">
        <v>3093</v>
      </c>
      <c r="H3001" s="161">
        <v>125</v>
      </c>
      <c r="I3001" s="161">
        <v>12</v>
      </c>
    </row>
    <row r="3002" spans="1:9">
      <c r="A3002" s="113">
        <v>100700112</v>
      </c>
      <c r="B3002" s="113" t="s">
        <v>5722</v>
      </c>
      <c r="C3002" s="113">
        <v>7016195</v>
      </c>
      <c r="D3002" s="113" t="s">
        <v>3093</v>
      </c>
      <c r="E3002" s="113" t="s">
        <v>1620</v>
      </c>
      <c r="F3002" s="113" t="s">
        <v>3093</v>
      </c>
      <c r="G3002" s="113" t="s">
        <v>3093</v>
      </c>
      <c r="H3002" s="161">
        <v>4450</v>
      </c>
      <c r="I3002" s="161">
        <v>0</v>
      </c>
    </row>
    <row r="3003" spans="1:9">
      <c r="A3003" s="113">
        <v>100700113</v>
      </c>
      <c r="B3003" s="113" t="s">
        <v>5723</v>
      </c>
      <c r="C3003" s="113">
        <v>7016196</v>
      </c>
      <c r="D3003" s="113" t="s">
        <v>3093</v>
      </c>
      <c r="E3003" s="113" t="s">
        <v>1620</v>
      </c>
      <c r="F3003" s="113" t="s">
        <v>3093</v>
      </c>
      <c r="G3003" s="113" t="s">
        <v>3093</v>
      </c>
      <c r="H3003" s="161">
        <v>20</v>
      </c>
      <c r="I3003" s="161">
        <v>48</v>
      </c>
    </row>
    <row r="3004" spans="1:9">
      <c r="A3004" s="113">
        <v>100700114</v>
      </c>
      <c r="B3004" s="113" t="s">
        <v>3016</v>
      </c>
      <c r="C3004" s="113">
        <v>7016197</v>
      </c>
      <c r="D3004" s="113" t="s">
        <v>3093</v>
      </c>
      <c r="E3004" s="113" t="s">
        <v>1620</v>
      </c>
      <c r="F3004" s="113" t="s">
        <v>3093</v>
      </c>
      <c r="G3004" s="113" t="s">
        <v>3093</v>
      </c>
      <c r="H3004" s="161">
        <v>0</v>
      </c>
      <c r="I3004" s="161" t="s">
        <v>7138</v>
      </c>
    </row>
    <row r="3005" spans="1:9">
      <c r="A3005" s="113">
        <v>100700115</v>
      </c>
      <c r="B3005" s="113" t="s">
        <v>3017</v>
      </c>
      <c r="C3005" s="113">
        <v>7016198</v>
      </c>
      <c r="D3005" s="113" t="s">
        <v>3093</v>
      </c>
      <c r="E3005" s="113" t="s">
        <v>1620</v>
      </c>
      <c r="F3005" s="113" t="s">
        <v>3093</v>
      </c>
      <c r="G3005" s="113" t="s">
        <v>3093</v>
      </c>
      <c r="H3005" s="161">
        <v>19</v>
      </c>
      <c r="I3005" s="161">
        <v>610</v>
      </c>
    </row>
    <row r="3006" spans="1:9">
      <c r="A3006" s="113">
        <v>100700116</v>
      </c>
      <c r="B3006" s="113" t="s">
        <v>5724</v>
      </c>
      <c r="C3006" s="113">
        <v>7016199</v>
      </c>
      <c r="D3006" s="113" t="s">
        <v>3093</v>
      </c>
      <c r="E3006" s="113" t="s">
        <v>1620</v>
      </c>
      <c r="F3006" s="113" t="s">
        <v>3093</v>
      </c>
      <c r="G3006" s="113" t="s">
        <v>3093</v>
      </c>
      <c r="H3006" s="161">
        <v>0</v>
      </c>
      <c r="I3006" s="161" t="s">
        <v>7138</v>
      </c>
    </row>
    <row r="3007" spans="1:9">
      <c r="A3007" s="113">
        <v>100700117</v>
      </c>
      <c r="B3007" s="113" t="s">
        <v>5725</v>
      </c>
      <c r="C3007" s="113">
        <v>7016200</v>
      </c>
      <c r="D3007" s="113" t="s">
        <v>3093</v>
      </c>
      <c r="E3007" s="113" t="s">
        <v>1620</v>
      </c>
      <c r="F3007" s="113" t="s">
        <v>3093</v>
      </c>
      <c r="G3007" s="113" t="s">
        <v>3093</v>
      </c>
      <c r="H3007" s="161">
        <v>3820.5</v>
      </c>
      <c r="I3007" s="161">
        <v>1</v>
      </c>
    </row>
    <row r="3008" spans="1:9">
      <c r="A3008" s="113">
        <v>100700118</v>
      </c>
      <c r="B3008" s="113" t="s">
        <v>5726</v>
      </c>
      <c r="C3008" s="113">
        <v>7016202</v>
      </c>
      <c r="D3008" s="113" t="s">
        <v>3093</v>
      </c>
      <c r="E3008" s="113" t="s">
        <v>1620</v>
      </c>
      <c r="F3008" s="113" t="s">
        <v>3093</v>
      </c>
      <c r="G3008" s="113" t="s">
        <v>3093</v>
      </c>
      <c r="H3008" s="161">
        <v>5500</v>
      </c>
      <c r="I3008" s="161">
        <v>1</v>
      </c>
    </row>
    <row r="3009" spans="1:9">
      <c r="A3009" s="113">
        <v>100700119</v>
      </c>
      <c r="B3009" s="113" t="s">
        <v>5727</v>
      </c>
      <c r="C3009" s="113">
        <v>7016208</v>
      </c>
      <c r="D3009" s="113" t="s">
        <v>3093</v>
      </c>
      <c r="E3009" s="113" t="s">
        <v>1620</v>
      </c>
      <c r="F3009" s="113" t="s">
        <v>3093</v>
      </c>
      <c r="G3009" s="113" t="s">
        <v>3093</v>
      </c>
      <c r="H3009" s="161">
        <v>9.6159999999999997</v>
      </c>
      <c r="I3009" s="161">
        <v>10</v>
      </c>
    </row>
    <row r="3010" spans="1:9">
      <c r="A3010" s="113">
        <v>100700120</v>
      </c>
      <c r="B3010" s="113" t="s">
        <v>5728</v>
      </c>
      <c r="C3010" s="113">
        <v>7016209</v>
      </c>
      <c r="D3010" s="113" t="s">
        <v>3093</v>
      </c>
      <c r="E3010" s="113" t="s">
        <v>1620</v>
      </c>
      <c r="F3010" s="113" t="s">
        <v>3093</v>
      </c>
      <c r="G3010" s="113" t="s">
        <v>3093</v>
      </c>
      <c r="H3010" s="161">
        <v>2.63</v>
      </c>
      <c r="I3010" s="161">
        <v>0</v>
      </c>
    </row>
    <row r="3011" spans="1:9">
      <c r="A3011" s="113">
        <v>100700121</v>
      </c>
      <c r="B3011" s="113" t="s">
        <v>5729</v>
      </c>
      <c r="C3011" s="113">
        <v>7016219</v>
      </c>
      <c r="D3011" s="113" t="s">
        <v>3093</v>
      </c>
      <c r="E3011" s="113" t="s">
        <v>1620</v>
      </c>
      <c r="F3011" s="113" t="s">
        <v>3093</v>
      </c>
      <c r="G3011" s="113" t="s">
        <v>3093</v>
      </c>
      <c r="H3011" s="161">
        <v>33</v>
      </c>
      <c r="I3011" s="161">
        <v>400</v>
      </c>
    </row>
    <row r="3012" spans="1:9">
      <c r="A3012" s="113">
        <v>100700122</v>
      </c>
      <c r="B3012" s="113" t="s">
        <v>3018</v>
      </c>
      <c r="C3012" s="113">
        <v>7016222</v>
      </c>
      <c r="D3012" s="113" t="s">
        <v>3093</v>
      </c>
      <c r="E3012" s="113" t="s">
        <v>1620</v>
      </c>
      <c r="F3012" s="113" t="s">
        <v>3093</v>
      </c>
      <c r="G3012" s="113" t="s">
        <v>3093</v>
      </c>
      <c r="H3012" s="161">
        <v>1325.25</v>
      </c>
      <c r="I3012" s="161">
        <v>10</v>
      </c>
    </row>
    <row r="3013" spans="1:9">
      <c r="A3013" s="113">
        <v>100700123</v>
      </c>
      <c r="B3013" s="113" t="s">
        <v>5730</v>
      </c>
      <c r="C3013" s="113">
        <v>7016227</v>
      </c>
      <c r="D3013" s="113" t="s">
        <v>3093</v>
      </c>
      <c r="E3013" s="113" t="s">
        <v>1620</v>
      </c>
      <c r="F3013" s="113" t="s">
        <v>3093</v>
      </c>
      <c r="G3013" s="113" t="s">
        <v>3093</v>
      </c>
      <c r="H3013" s="161">
        <v>859</v>
      </c>
      <c r="I3013" s="161">
        <v>100</v>
      </c>
    </row>
    <row r="3014" spans="1:9">
      <c r="A3014" s="113">
        <v>100700124</v>
      </c>
      <c r="B3014" s="113" t="s">
        <v>5731</v>
      </c>
      <c r="C3014" s="113">
        <v>7016229</v>
      </c>
      <c r="D3014" s="113" t="s">
        <v>3093</v>
      </c>
      <c r="E3014" s="113" t="s">
        <v>1620</v>
      </c>
      <c r="F3014" s="113" t="s">
        <v>3093</v>
      </c>
      <c r="G3014" s="113" t="s">
        <v>3093</v>
      </c>
      <c r="H3014" s="161">
        <v>11.65</v>
      </c>
      <c r="I3014" s="161">
        <v>6</v>
      </c>
    </row>
    <row r="3015" spans="1:9">
      <c r="A3015" s="113">
        <v>100700125</v>
      </c>
      <c r="B3015" s="113" t="s">
        <v>5732</v>
      </c>
      <c r="C3015" s="113" t="s">
        <v>3093</v>
      </c>
      <c r="D3015" s="113" t="s">
        <v>3093</v>
      </c>
      <c r="E3015" s="113" t="s">
        <v>1620</v>
      </c>
      <c r="F3015" s="113" t="s">
        <v>3093</v>
      </c>
      <c r="G3015" s="113" t="s">
        <v>3093</v>
      </c>
      <c r="H3015" s="161">
        <v>0</v>
      </c>
      <c r="I3015" s="161" t="s">
        <v>7138</v>
      </c>
    </row>
    <row r="3016" spans="1:9">
      <c r="A3016" s="113">
        <v>100700126</v>
      </c>
      <c r="B3016" s="113" t="s">
        <v>5733</v>
      </c>
      <c r="C3016" s="113">
        <v>7016237</v>
      </c>
      <c r="D3016" s="113" t="s">
        <v>3093</v>
      </c>
      <c r="E3016" s="113" t="s">
        <v>1620</v>
      </c>
      <c r="F3016" s="113" t="s">
        <v>3093</v>
      </c>
      <c r="G3016" s="113" t="s">
        <v>3093</v>
      </c>
      <c r="H3016" s="161">
        <v>0</v>
      </c>
      <c r="I3016" s="161" t="s">
        <v>7138</v>
      </c>
    </row>
    <row r="3017" spans="1:9">
      <c r="A3017" s="113">
        <v>100700127</v>
      </c>
      <c r="B3017" s="113" t="s">
        <v>5734</v>
      </c>
      <c r="C3017" s="113">
        <v>7016239</v>
      </c>
      <c r="D3017" s="113" t="s">
        <v>3093</v>
      </c>
      <c r="E3017" s="113" t="s">
        <v>1620</v>
      </c>
      <c r="F3017" s="113" t="s">
        <v>3093</v>
      </c>
      <c r="G3017" s="113" t="s">
        <v>3093</v>
      </c>
      <c r="H3017" s="161">
        <v>0</v>
      </c>
      <c r="I3017" s="161" t="s">
        <v>7138</v>
      </c>
    </row>
    <row r="3018" spans="1:9">
      <c r="A3018" s="113">
        <v>100700128</v>
      </c>
      <c r="B3018" s="113" t="s">
        <v>5735</v>
      </c>
      <c r="C3018" s="113">
        <v>7016244</v>
      </c>
      <c r="D3018" s="113" t="s">
        <v>3093</v>
      </c>
      <c r="E3018" s="113" t="s">
        <v>1620</v>
      </c>
      <c r="F3018" s="113" t="s">
        <v>3093</v>
      </c>
      <c r="G3018" s="113" t="s">
        <v>3093</v>
      </c>
      <c r="H3018" s="161">
        <v>0</v>
      </c>
      <c r="I3018" s="161" t="s">
        <v>7138</v>
      </c>
    </row>
    <row r="3019" spans="1:9">
      <c r="A3019" s="113">
        <v>100700129</v>
      </c>
      <c r="B3019" s="113" t="s">
        <v>5736</v>
      </c>
      <c r="C3019" s="113">
        <v>7016246</v>
      </c>
      <c r="D3019" s="113" t="s">
        <v>3093</v>
      </c>
      <c r="E3019" s="113" t="s">
        <v>1620</v>
      </c>
      <c r="F3019" s="113" t="s">
        <v>3093</v>
      </c>
      <c r="G3019" s="113" t="s">
        <v>3093</v>
      </c>
      <c r="H3019" s="161">
        <v>3</v>
      </c>
      <c r="I3019" s="161">
        <v>4000</v>
      </c>
    </row>
    <row r="3020" spans="1:9">
      <c r="A3020" s="113">
        <v>100700130</v>
      </c>
      <c r="B3020" s="113" t="s">
        <v>5737</v>
      </c>
      <c r="C3020" s="113">
        <v>7016247</v>
      </c>
      <c r="D3020" s="113" t="s">
        <v>3093</v>
      </c>
      <c r="E3020" s="113" t="s">
        <v>1620</v>
      </c>
      <c r="F3020" s="113" t="s">
        <v>3093</v>
      </c>
      <c r="G3020" s="113" t="s">
        <v>3093</v>
      </c>
      <c r="H3020" s="161">
        <v>2.5</v>
      </c>
      <c r="I3020" s="161">
        <v>6000</v>
      </c>
    </row>
    <row r="3021" spans="1:9">
      <c r="A3021" s="113">
        <v>100700131</v>
      </c>
      <c r="B3021" s="113" t="s">
        <v>5738</v>
      </c>
      <c r="C3021" s="113">
        <v>7016248</v>
      </c>
      <c r="D3021" s="113" t="s">
        <v>3093</v>
      </c>
      <c r="E3021" s="113" t="s">
        <v>1620</v>
      </c>
      <c r="F3021" s="113" t="s">
        <v>3093</v>
      </c>
      <c r="G3021" s="113" t="s">
        <v>3093</v>
      </c>
      <c r="H3021" s="161">
        <v>2.5</v>
      </c>
      <c r="I3021" s="161">
        <v>500</v>
      </c>
    </row>
    <row r="3022" spans="1:9">
      <c r="A3022" s="113">
        <v>100700132</v>
      </c>
      <c r="B3022" s="113" t="s">
        <v>5739</v>
      </c>
      <c r="C3022" s="113">
        <v>7016251</v>
      </c>
      <c r="D3022" s="113" t="s">
        <v>3093</v>
      </c>
      <c r="E3022" s="113" t="s">
        <v>1620</v>
      </c>
      <c r="F3022" s="113" t="s">
        <v>3093</v>
      </c>
      <c r="G3022" s="113" t="s">
        <v>3093</v>
      </c>
      <c r="H3022" s="161">
        <v>25</v>
      </c>
      <c r="I3022" s="161">
        <v>120</v>
      </c>
    </row>
    <row r="3023" spans="1:9">
      <c r="A3023" s="113">
        <v>100700133</v>
      </c>
      <c r="B3023" s="113" t="s">
        <v>5740</v>
      </c>
      <c r="C3023" s="113">
        <v>7016254</v>
      </c>
      <c r="D3023" s="113" t="s">
        <v>3093</v>
      </c>
      <c r="E3023" s="113" t="s">
        <v>1620</v>
      </c>
      <c r="F3023" s="113" t="s">
        <v>3093</v>
      </c>
      <c r="G3023" s="113" t="s">
        <v>3093</v>
      </c>
      <c r="H3023" s="161">
        <v>1.25</v>
      </c>
      <c r="I3023" s="161">
        <v>700</v>
      </c>
    </row>
    <row r="3024" spans="1:9">
      <c r="A3024" s="113">
        <v>100700134</v>
      </c>
      <c r="B3024" s="113" t="s">
        <v>5741</v>
      </c>
      <c r="C3024" s="113">
        <v>7016255</v>
      </c>
      <c r="D3024" s="113" t="s">
        <v>3093</v>
      </c>
      <c r="E3024" s="113" t="s">
        <v>1620</v>
      </c>
      <c r="F3024" s="113" t="s">
        <v>3093</v>
      </c>
      <c r="G3024" s="113" t="s">
        <v>3093</v>
      </c>
      <c r="H3024" s="161">
        <v>1.5</v>
      </c>
      <c r="I3024" s="161">
        <v>314</v>
      </c>
    </row>
    <row r="3025" spans="1:9">
      <c r="A3025" s="113">
        <v>100700135</v>
      </c>
      <c r="B3025" s="113" t="s">
        <v>5742</v>
      </c>
      <c r="C3025" s="113">
        <v>7016256</v>
      </c>
      <c r="D3025" s="113" t="s">
        <v>3093</v>
      </c>
      <c r="E3025" s="113" t="s">
        <v>1620</v>
      </c>
      <c r="F3025" s="113" t="s">
        <v>3093</v>
      </c>
      <c r="G3025" s="113" t="s">
        <v>3093</v>
      </c>
      <c r="H3025" s="161">
        <v>1.5</v>
      </c>
      <c r="I3025" s="161">
        <v>190</v>
      </c>
    </row>
    <row r="3026" spans="1:9">
      <c r="A3026" s="113">
        <v>100700136</v>
      </c>
      <c r="B3026" s="113" t="s">
        <v>5743</v>
      </c>
      <c r="C3026" s="113">
        <v>7016257</v>
      </c>
      <c r="D3026" s="113" t="s">
        <v>3093</v>
      </c>
      <c r="E3026" s="113" t="s">
        <v>1620</v>
      </c>
      <c r="F3026" s="113" t="s">
        <v>3093</v>
      </c>
      <c r="G3026" s="113" t="s">
        <v>3093</v>
      </c>
      <c r="H3026" s="161">
        <v>2.5</v>
      </c>
      <c r="I3026" s="161">
        <v>154</v>
      </c>
    </row>
    <row r="3027" spans="1:9">
      <c r="A3027" s="113">
        <v>100700137</v>
      </c>
      <c r="B3027" s="113" t="s">
        <v>5744</v>
      </c>
      <c r="C3027" s="113">
        <v>7016258</v>
      </c>
      <c r="D3027" s="113" t="s">
        <v>3093</v>
      </c>
      <c r="E3027" s="113" t="s">
        <v>1620</v>
      </c>
      <c r="F3027" s="113" t="s">
        <v>3093</v>
      </c>
      <c r="G3027" s="113" t="s">
        <v>3093</v>
      </c>
      <c r="H3027" s="161">
        <v>0</v>
      </c>
      <c r="I3027" s="161" t="s">
        <v>7138</v>
      </c>
    </row>
    <row r="3028" spans="1:9">
      <c r="A3028" s="113">
        <v>100700138</v>
      </c>
      <c r="B3028" s="113" t="s">
        <v>5745</v>
      </c>
      <c r="C3028" s="113">
        <v>7016259</v>
      </c>
      <c r="D3028" s="113" t="s">
        <v>3093</v>
      </c>
      <c r="E3028" s="113" t="s">
        <v>1620</v>
      </c>
      <c r="F3028" s="113" t="s">
        <v>3093</v>
      </c>
      <c r="G3028" s="113" t="s">
        <v>3093</v>
      </c>
      <c r="H3028" s="161">
        <v>0</v>
      </c>
      <c r="I3028" s="161" t="s">
        <v>7138</v>
      </c>
    </row>
    <row r="3029" spans="1:9">
      <c r="A3029" s="113">
        <v>100700139</v>
      </c>
      <c r="B3029" s="113" t="s">
        <v>5746</v>
      </c>
      <c r="C3029" s="113">
        <v>7016260</v>
      </c>
      <c r="D3029" s="113" t="s">
        <v>3093</v>
      </c>
      <c r="E3029" s="113" t="s">
        <v>1620</v>
      </c>
      <c r="F3029" s="113" t="s">
        <v>3093</v>
      </c>
      <c r="G3029" s="113" t="s">
        <v>3093</v>
      </c>
      <c r="H3029" s="161">
        <v>0</v>
      </c>
      <c r="I3029" s="161" t="s">
        <v>7138</v>
      </c>
    </row>
    <row r="3030" spans="1:9">
      <c r="A3030" s="113">
        <v>100700140</v>
      </c>
      <c r="B3030" s="113" t="s">
        <v>5747</v>
      </c>
      <c r="C3030" s="113">
        <v>7016262</v>
      </c>
      <c r="D3030" s="113" t="s">
        <v>3093</v>
      </c>
      <c r="E3030" s="113" t="s">
        <v>1620</v>
      </c>
      <c r="F3030" s="113" t="s">
        <v>3093</v>
      </c>
      <c r="G3030" s="113" t="s">
        <v>3093</v>
      </c>
      <c r="H3030" s="161">
        <v>12</v>
      </c>
      <c r="I3030" s="161">
        <v>2400</v>
      </c>
    </row>
    <row r="3031" spans="1:9">
      <c r="A3031" s="113">
        <v>100700142</v>
      </c>
      <c r="B3031" s="113" t="s">
        <v>3019</v>
      </c>
      <c r="C3031" s="113">
        <v>7016265</v>
      </c>
      <c r="D3031" s="113" t="s">
        <v>3093</v>
      </c>
      <c r="E3031" s="113" t="s">
        <v>1620</v>
      </c>
      <c r="F3031" s="113" t="s">
        <v>3093</v>
      </c>
      <c r="G3031" s="113" t="s">
        <v>3093</v>
      </c>
      <c r="H3031" s="161">
        <v>95</v>
      </c>
      <c r="I3031" s="161">
        <v>10</v>
      </c>
    </row>
    <row r="3032" spans="1:9">
      <c r="A3032" s="113">
        <v>100700143</v>
      </c>
      <c r="B3032" s="113" t="s">
        <v>5748</v>
      </c>
      <c r="C3032" s="113">
        <v>7016267</v>
      </c>
      <c r="D3032" s="113" t="s">
        <v>3093</v>
      </c>
      <c r="E3032" s="113" t="s">
        <v>1620</v>
      </c>
      <c r="F3032" s="113" t="s">
        <v>3093</v>
      </c>
      <c r="G3032" s="113" t="s">
        <v>3093</v>
      </c>
      <c r="H3032" s="161">
        <v>11.87</v>
      </c>
      <c r="I3032" s="161">
        <v>12</v>
      </c>
    </row>
    <row r="3033" spans="1:9">
      <c r="A3033" s="113">
        <v>100700144</v>
      </c>
      <c r="B3033" s="113" t="s">
        <v>5749</v>
      </c>
      <c r="C3033" s="113">
        <v>7016269</v>
      </c>
      <c r="D3033" s="113" t="s">
        <v>3093</v>
      </c>
      <c r="E3033" s="113" t="s">
        <v>1620</v>
      </c>
      <c r="F3033" s="113" t="s">
        <v>3093</v>
      </c>
      <c r="G3033" s="113" t="s">
        <v>3093</v>
      </c>
      <c r="H3033" s="161">
        <v>2</v>
      </c>
      <c r="I3033" s="161">
        <v>10900</v>
      </c>
    </row>
    <row r="3034" spans="1:9">
      <c r="A3034" s="113">
        <v>100700145</v>
      </c>
      <c r="B3034" s="113" t="s">
        <v>5750</v>
      </c>
      <c r="C3034" s="113">
        <v>7016281</v>
      </c>
      <c r="D3034" s="113" t="s">
        <v>3093</v>
      </c>
      <c r="E3034" s="113" t="s">
        <v>1620</v>
      </c>
      <c r="F3034" s="113" t="s">
        <v>3093</v>
      </c>
      <c r="G3034" s="113" t="s">
        <v>3093</v>
      </c>
      <c r="H3034" s="161">
        <v>1.26</v>
      </c>
      <c r="I3034" s="161">
        <v>0</v>
      </c>
    </row>
    <row r="3035" spans="1:9">
      <c r="A3035" s="113">
        <v>100700146</v>
      </c>
      <c r="B3035" s="113" t="s">
        <v>5751</v>
      </c>
      <c r="C3035" s="113">
        <v>7016284</v>
      </c>
      <c r="D3035" s="113" t="s">
        <v>3093</v>
      </c>
      <c r="E3035" s="113" t="s">
        <v>1620</v>
      </c>
      <c r="F3035" s="113" t="s">
        <v>3093</v>
      </c>
      <c r="G3035" s="113" t="s">
        <v>3093</v>
      </c>
      <c r="H3035" s="161">
        <v>0</v>
      </c>
      <c r="I3035" s="161" t="s">
        <v>7138</v>
      </c>
    </row>
    <row r="3036" spans="1:9">
      <c r="A3036" s="113">
        <v>100700147</v>
      </c>
      <c r="B3036" s="113" t="s">
        <v>5752</v>
      </c>
      <c r="C3036" s="113">
        <v>7016285</v>
      </c>
      <c r="D3036" s="113" t="s">
        <v>3093</v>
      </c>
      <c r="E3036" s="113" t="s">
        <v>1620</v>
      </c>
      <c r="F3036" s="113" t="s">
        <v>3093</v>
      </c>
      <c r="G3036" s="113" t="s">
        <v>3093</v>
      </c>
      <c r="H3036" s="161">
        <v>0.12</v>
      </c>
      <c r="I3036" s="161">
        <v>521</v>
      </c>
    </row>
    <row r="3037" spans="1:9">
      <c r="A3037" s="113">
        <v>100700148</v>
      </c>
      <c r="B3037" s="113" t="s">
        <v>5753</v>
      </c>
      <c r="C3037" s="113">
        <v>7016286</v>
      </c>
      <c r="D3037" s="113" t="s">
        <v>3093</v>
      </c>
      <c r="E3037" s="113" t="s">
        <v>1620</v>
      </c>
      <c r="F3037" s="113" t="s">
        <v>3093</v>
      </c>
      <c r="G3037" s="113" t="s">
        <v>3093</v>
      </c>
      <c r="H3037" s="161">
        <v>0</v>
      </c>
      <c r="I3037" s="161" t="s">
        <v>7138</v>
      </c>
    </row>
    <row r="3038" spans="1:9">
      <c r="A3038" s="113">
        <v>100700149</v>
      </c>
      <c r="B3038" s="113" t="s">
        <v>5754</v>
      </c>
      <c r="C3038" s="113">
        <v>7016292</v>
      </c>
      <c r="D3038" s="113" t="s">
        <v>3093</v>
      </c>
      <c r="E3038" s="113" t="s">
        <v>1620</v>
      </c>
      <c r="F3038" s="113" t="s">
        <v>3093</v>
      </c>
      <c r="G3038" s="113" t="s">
        <v>3093</v>
      </c>
      <c r="H3038" s="161">
        <v>0</v>
      </c>
      <c r="I3038" s="161" t="s">
        <v>7138</v>
      </c>
    </row>
    <row r="3039" spans="1:9">
      <c r="A3039" s="113">
        <v>100700150</v>
      </c>
      <c r="B3039" s="113" t="s">
        <v>5755</v>
      </c>
      <c r="C3039" s="113">
        <v>7016293</v>
      </c>
      <c r="D3039" s="113" t="s">
        <v>3093</v>
      </c>
      <c r="E3039" s="113" t="s">
        <v>1620</v>
      </c>
      <c r="F3039" s="113" t="s">
        <v>3093</v>
      </c>
      <c r="G3039" s="113" t="s">
        <v>3093</v>
      </c>
      <c r="H3039" s="161">
        <v>0</v>
      </c>
      <c r="I3039" s="161" t="s">
        <v>7138</v>
      </c>
    </row>
    <row r="3040" spans="1:9">
      <c r="A3040" s="113">
        <v>100700151</v>
      </c>
      <c r="B3040" s="113" t="s">
        <v>5756</v>
      </c>
      <c r="C3040" s="113">
        <v>7017011</v>
      </c>
      <c r="D3040" s="113" t="s">
        <v>3093</v>
      </c>
      <c r="E3040" s="113" t="s">
        <v>1620</v>
      </c>
      <c r="F3040" s="113" t="s">
        <v>3093</v>
      </c>
      <c r="G3040" s="113" t="s">
        <v>3093</v>
      </c>
      <c r="H3040" s="161">
        <v>3.35</v>
      </c>
      <c r="I3040" s="161">
        <v>120</v>
      </c>
    </row>
    <row r="3041" spans="1:9">
      <c r="A3041" s="113">
        <v>100700152</v>
      </c>
      <c r="B3041" s="113" t="s">
        <v>5757</v>
      </c>
      <c r="C3041" s="113">
        <v>7017017</v>
      </c>
      <c r="D3041" s="113" t="s">
        <v>3093</v>
      </c>
      <c r="E3041" s="113" t="s">
        <v>1620</v>
      </c>
      <c r="F3041" s="113" t="s">
        <v>3093</v>
      </c>
      <c r="G3041" s="113" t="s">
        <v>3093</v>
      </c>
      <c r="H3041" s="161">
        <v>0</v>
      </c>
      <c r="I3041" s="161" t="s">
        <v>7138</v>
      </c>
    </row>
    <row r="3042" spans="1:9">
      <c r="A3042" s="113">
        <v>100700153</v>
      </c>
      <c r="B3042" s="113" t="s">
        <v>5758</v>
      </c>
      <c r="C3042" s="113">
        <v>7017029</v>
      </c>
      <c r="D3042" s="113" t="s">
        <v>3093</v>
      </c>
      <c r="E3042" s="113" t="s">
        <v>1620</v>
      </c>
      <c r="F3042" s="113" t="s">
        <v>3093</v>
      </c>
      <c r="G3042" s="113" t="s">
        <v>3093</v>
      </c>
      <c r="H3042" s="161">
        <v>0</v>
      </c>
      <c r="I3042" s="161" t="s">
        <v>7138</v>
      </c>
    </row>
    <row r="3043" spans="1:9">
      <c r="A3043" s="113">
        <v>100700154</v>
      </c>
      <c r="B3043" s="113" t="s">
        <v>5759</v>
      </c>
      <c r="C3043" s="113">
        <v>7017031</v>
      </c>
      <c r="D3043" s="113" t="s">
        <v>3093</v>
      </c>
      <c r="E3043" s="113" t="s">
        <v>1620</v>
      </c>
      <c r="F3043" s="113" t="s">
        <v>3093</v>
      </c>
      <c r="G3043" s="113" t="s">
        <v>3093</v>
      </c>
      <c r="H3043" s="161">
        <v>3.98</v>
      </c>
      <c r="I3043" s="161">
        <v>0</v>
      </c>
    </row>
    <row r="3044" spans="1:9">
      <c r="A3044" s="113">
        <v>100700155</v>
      </c>
      <c r="B3044" s="113" t="s">
        <v>5760</v>
      </c>
      <c r="C3044" s="113">
        <v>7017032</v>
      </c>
      <c r="D3044" s="113" t="s">
        <v>3093</v>
      </c>
      <c r="E3044" s="113" t="s">
        <v>1620</v>
      </c>
      <c r="F3044" s="113" t="s">
        <v>3093</v>
      </c>
      <c r="G3044" s="113" t="s">
        <v>3093</v>
      </c>
      <c r="H3044" s="161">
        <v>0</v>
      </c>
      <c r="I3044" s="161" t="s">
        <v>7138</v>
      </c>
    </row>
    <row r="3045" spans="1:9">
      <c r="A3045" s="113">
        <v>100700156</v>
      </c>
      <c r="B3045" s="113" t="s">
        <v>5761</v>
      </c>
      <c r="C3045" s="113">
        <v>7017051</v>
      </c>
      <c r="D3045" s="113" t="s">
        <v>3093</v>
      </c>
      <c r="E3045" s="113" t="s">
        <v>1620</v>
      </c>
      <c r="F3045" s="113" t="s">
        <v>3093</v>
      </c>
      <c r="G3045" s="113" t="s">
        <v>3093</v>
      </c>
      <c r="H3045" s="161">
        <v>25.86</v>
      </c>
      <c r="I3045" s="161">
        <v>0</v>
      </c>
    </row>
    <row r="3046" spans="1:9">
      <c r="A3046" s="113">
        <v>100700157</v>
      </c>
      <c r="B3046" s="113" t="s">
        <v>5762</v>
      </c>
      <c r="C3046" s="113">
        <v>7017052</v>
      </c>
      <c r="D3046" s="113" t="s">
        <v>3093</v>
      </c>
      <c r="E3046" s="113" t="s">
        <v>1620</v>
      </c>
      <c r="F3046" s="113" t="s">
        <v>3093</v>
      </c>
      <c r="G3046" s="113" t="s">
        <v>3093</v>
      </c>
      <c r="H3046" s="161">
        <v>3.5</v>
      </c>
      <c r="I3046" s="161">
        <v>72</v>
      </c>
    </row>
    <row r="3047" spans="1:9">
      <c r="A3047" s="113">
        <v>100700158</v>
      </c>
      <c r="B3047" s="113" t="s">
        <v>5763</v>
      </c>
      <c r="C3047" s="113">
        <v>7017053</v>
      </c>
      <c r="D3047" s="113" t="s">
        <v>3093</v>
      </c>
      <c r="E3047" s="113" t="s">
        <v>1620</v>
      </c>
      <c r="F3047" s="113" t="s">
        <v>3093</v>
      </c>
      <c r="G3047" s="113" t="s">
        <v>3093</v>
      </c>
      <c r="H3047" s="161">
        <v>5.65</v>
      </c>
      <c r="I3047" s="161">
        <v>400</v>
      </c>
    </row>
    <row r="3048" spans="1:9">
      <c r="A3048" s="113">
        <v>100700160</v>
      </c>
      <c r="B3048" s="113" t="s">
        <v>5764</v>
      </c>
      <c r="C3048" s="113">
        <v>7017059</v>
      </c>
      <c r="D3048" s="113" t="s">
        <v>3093</v>
      </c>
      <c r="E3048" s="113" t="s">
        <v>1620</v>
      </c>
      <c r="F3048" s="113" t="s">
        <v>3093</v>
      </c>
      <c r="G3048" s="113" t="s">
        <v>3093</v>
      </c>
      <c r="H3048" s="161">
        <v>0</v>
      </c>
      <c r="I3048" s="161" t="s">
        <v>7138</v>
      </c>
    </row>
    <row r="3049" spans="1:9">
      <c r="A3049" s="113">
        <v>100700161</v>
      </c>
      <c r="B3049" s="113" t="s">
        <v>5765</v>
      </c>
      <c r="C3049" s="113">
        <v>7017061</v>
      </c>
      <c r="D3049" s="113" t="s">
        <v>3093</v>
      </c>
      <c r="E3049" s="113" t="s">
        <v>1620</v>
      </c>
      <c r="F3049" s="113" t="s">
        <v>3093</v>
      </c>
      <c r="G3049" s="113" t="s">
        <v>3093</v>
      </c>
      <c r="H3049" s="161">
        <v>29.5</v>
      </c>
      <c r="I3049" s="161">
        <v>50</v>
      </c>
    </row>
    <row r="3050" spans="1:9">
      <c r="A3050" s="113">
        <v>100700162</v>
      </c>
      <c r="B3050" s="113" t="s">
        <v>5766</v>
      </c>
      <c r="C3050" s="113">
        <v>7017063</v>
      </c>
      <c r="D3050" s="113" t="s">
        <v>3093</v>
      </c>
      <c r="E3050" s="113" t="s">
        <v>1620</v>
      </c>
      <c r="F3050" s="113" t="s">
        <v>3093</v>
      </c>
      <c r="G3050" s="113" t="s">
        <v>3093</v>
      </c>
      <c r="H3050" s="161">
        <v>14.25</v>
      </c>
      <c r="I3050" s="161">
        <v>60</v>
      </c>
    </row>
    <row r="3051" spans="1:9">
      <c r="A3051" s="113">
        <v>100700164</v>
      </c>
      <c r="B3051" s="113" t="s">
        <v>5767</v>
      </c>
      <c r="C3051" s="113">
        <v>7017066</v>
      </c>
      <c r="D3051" s="113" t="s">
        <v>3093</v>
      </c>
      <c r="E3051" s="113" t="s">
        <v>1620</v>
      </c>
      <c r="F3051" s="113" t="s">
        <v>3093</v>
      </c>
      <c r="G3051" s="113" t="s">
        <v>3093</v>
      </c>
      <c r="H3051" s="161">
        <v>0</v>
      </c>
      <c r="I3051" s="161" t="s">
        <v>7138</v>
      </c>
    </row>
    <row r="3052" spans="1:9">
      <c r="A3052" s="113">
        <v>100700165</v>
      </c>
      <c r="B3052" s="113" t="s">
        <v>5768</v>
      </c>
      <c r="C3052" s="113">
        <v>7018053</v>
      </c>
      <c r="D3052" s="113" t="s">
        <v>3093</v>
      </c>
      <c r="E3052" s="113" t="s">
        <v>1620</v>
      </c>
      <c r="F3052" s="113" t="s">
        <v>3093</v>
      </c>
      <c r="G3052" s="113" t="s">
        <v>3093</v>
      </c>
      <c r="H3052" s="161">
        <v>34</v>
      </c>
      <c r="I3052" s="161">
        <v>0</v>
      </c>
    </row>
    <row r="3053" spans="1:9">
      <c r="A3053" s="113">
        <v>100700166</v>
      </c>
      <c r="B3053" s="113" t="s">
        <v>5769</v>
      </c>
      <c r="C3053" s="113">
        <v>7018054</v>
      </c>
      <c r="D3053" s="113" t="s">
        <v>3093</v>
      </c>
      <c r="E3053" s="113" t="s">
        <v>1620</v>
      </c>
      <c r="F3053" s="113" t="s">
        <v>3093</v>
      </c>
      <c r="G3053" s="113" t="s">
        <v>3093</v>
      </c>
      <c r="H3053" s="161">
        <v>0.65</v>
      </c>
      <c r="I3053" s="161">
        <v>4800</v>
      </c>
    </row>
    <row r="3054" spans="1:9">
      <c r="A3054" s="113">
        <v>100700167</v>
      </c>
      <c r="B3054" s="113" t="s">
        <v>5770</v>
      </c>
      <c r="C3054" s="113">
        <v>7018057</v>
      </c>
      <c r="D3054" s="113" t="s">
        <v>3093</v>
      </c>
      <c r="E3054" s="113" t="s">
        <v>1620</v>
      </c>
      <c r="F3054" s="113" t="s">
        <v>3093</v>
      </c>
      <c r="G3054" s="113" t="s">
        <v>3093</v>
      </c>
      <c r="H3054" s="161">
        <v>0.28999999999999998</v>
      </c>
      <c r="I3054" s="161">
        <v>24000</v>
      </c>
    </row>
    <row r="3055" spans="1:9">
      <c r="A3055" s="113">
        <v>100700168</v>
      </c>
      <c r="B3055" s="113" t="s">
        <v>5771</v>
      </c>
      <c r="C3055" s="113">
        <v>7018060</v>
      </c>
      <c r="D3055" s="113" t="s">
        <v>3093</v>
      </c>
      <c r="E3055" s="113" t="s">
        <v>1620</v>
      </c>
      <c r="F3055" s="113" t="s">
        <v>3093</v>
      </c>
      <c r="G3055" s="113" t="s">
        <v>3093</v>
      </c>
      <c r="H3055" s="161">
        <v>272.08999999999997</v>
      </c>
      <c r="I3055" s="161">
        <v>17</v>
      </c>
    </row>
    <row r="3056" spans="1:9">
      <c r="A3056" s="113">
        <v>100700169</v>
      </c>
      <c r="B3056" s="113" t="s">
        <v>5772</v>
      </c>
      <c r="C3056" s="113">
        <v>7018061</v>
      </c>
      <c r="D3056" s="113" t="s">
        <v>3093</v>
      </c>
      <c r="E3056" s="113" t="s">
        <v>1620</v>
      </c>
      <c r="F3056" s="113" t="s">
        <v>3093</v>
      </c>
      <c r="G3056" s="113" t="s">
        <v>3093</v>
      </c>
      <c r="H3056" s="161">
        <v>58.68</v>
      </c>
      <c r="I3056" s="161">
        <v>0</v>
      </c>
    </row>
    <row r="3057" spans="1:9">
      <c r="A3057" s="113">
        <v>100700170</v>
      </c>
      <c r="B3057" s="113" t="s">
        <v>1154</v>
      </c>
      <c r="C3057" s="113">
        <v>7018062</v>
      </c>
      <c r="D3057" s="113" t="s">
        <v>3093</v>
      </c>
      <c r="E3057" s="113" t="s">
        <v>1620</v>
      </c>
      <c r="F3057" s="113" t="s">
        <v>3093</v>
      </c>
      <c r="G3057" s="113" t="s">
        <v>3093</v>
      </c>
      <c r="H3057" s="161">
        <v>13.8</v>
      </c>
      <c r="I3057" s="161">
        <v>0</v>
      </c>
    </row>
    <row r="3058" spans="1:9">
      <c r="A3058" s="113">
        <v>100700171</v>
      </c>
      <c r="B3058" s="113" t="s">
        <v>1155</v>
      </c>
      <c r="C3058" s="113">
        <v>7018063</v>
      </c>
      <c r="D3058" s="113" t="s">
        <v>3093</v>
      </c>
      <c r="E3058" s="113" t="s">
        <v>1620</v>
      </c>
      <c r="F3058" s="113" t="s">
        <v>3093</v>
      </c>
      <c r="G3058" s="113" t="s">
        <v>3093</v>
      </c>
      <c r="H3058" s="161">
        <v>42</v>
      </c>
      <c r="I3058" s="161">
        <v>10</v>
      </c>
    </row>
    <row r="3059" spans="1:9">
      <c r="A3059" s="113">
        <v>100700172</v>
      </c>
      <c r="B3059" s="113" t="s">
        <v>1156</v>
      </c>
      <c r="C3059" s="113">
        <v>7018064</v>
      </c>
      <c r="D3059" s="113" t="s">
        <v>3093</v>
      </c>
      <c r="E3059" s="113" t="s">
        <v>1620</v>
      </c>
      <c r="F3059" s="113" t="s">
        <v>3093</v>
      </c>
      <c r="G3059" s="113" t="s">
        <v>3093</v>
      </c>
      <c r="H3059" s="161">
        <v>26</v>
      </c>
      <c r="I3059" s="161">
        <v>0</v>
      </c>
    </row>
    <row r="3060" spans="1:9">
      <c r="A3060" s="113">
        <v>100700173</v>
      </c>
      <c r="B3060" s="113" t="s">
        <v>1161</v>
      </c>
      <c r="C3060" s="113">
        <v>7018069</v>
      </c>
      <c r="D3060" s="113" t="s">
        <v>3093</v>
      </c>
      <c r="E3060" s="113" t="s">
        <v>1620</v>
      </c>
      <c r="F3060" s="113" t="s">
        <v>3093</v>
      </c>
      <c r="G3060" s="113" t="s">
        <v>3093</v>
      </c>
      <c r="H3060" s="161">
        <v>48.5</v>
      </c>
      <c r="I3060" s="161">
        <v>0</v>
      </c>
    </row>
    <row r="3061" spans="1:9">
      <c r="A3061" s="113">
        <v>100700174</v>
      </c>
      <c r="B3061" s="113" t="s">
        <v>1162</v>
      </c>
      <c r="C3061" s="113">
        <v>7018070</v>
      </c>
      <c r="D3061" s="113" t="s">
        <v>3093</v>
      </c>
      <c r="E3061" s="113" t="s">
        <v>1620</v>
      </c>
      <c r="F3061" s="113" t="s">
        <v>3093</v>
      </c>
      <c r="G3061" s="113" t="s">
        <v>3093</v>
      </c>
      <c r="H3061" s="161">
        <v>2.9</v>
      </c>
      <c r="I3061" s="161">
        <v>0</v>
      </c>
    </row>
    <row r="3062" spans="1:9">
      <c r="A3062" s="113">
        <v>100700175</v>
      </c>
      <c r="B3062" s="113" t="s">
        <v>5773</v>
      </c>
      <c r="C3062" s="113">
        <v>7018071</v>
      </c>
      <c r="D3062" s="113" t="s">
        <v>3093</v>
      </c>
      <c r="E3062" s="113" t="s">
        <v>1620</v>
      </c>
      <c r="F3062" s="113" t="s">
        <v>3093</v>
      </c>
      <c r="G3062" s="113" t="s">
        <v>3093</v>
      </c>
      <c r="H3062" s="161">
        <v>19.350000000000001</v>
      </c>
      <c r="I3062" s="161">
        <v>12</v>
      </c>
    </row>
    <row r="3063" spans="1:9">
      <c r="A3063" s="113">
        <v>100700176</v>
      </c>
      <c r="B3063" s="113" t="s">
        <v>5774</v>
      </c>
      <c r="C3063" s="113">
        <v>7018072</v>
      </c>
      <c r="D3063" s="113" t="s">
        <v>3093</v>
      </c>
      <c r="E3063" s="113" t="s">
        <v>1620</v>
      </c>
      <c r="F3063" s="113" t="s">
        <v>3093</v>
      </c>
      <c r="G3063" s="113" t="s">
        <v>3093</v>
      </c>
      <c r="H3063" s="161">
        <v>13.5</v>
      </c>
      <c r="I3063" s="161">
        <v>0</v>
      </c>
    </row>
    <row r="3064" spans="1:9">
      <c r="A3064" s="113">
        <v>100700177</v>
      </c>
      <c r="B3064" s="113" t="s">
        <v>1165</v>
      </c>
      <c r="C3064" s="113">
        <v>7018073</v>
      </c>
      <c r="D3064" s="113" t="s">
        <v>3093</v>
      </c>
      <c r="E3064" s="113" t="s">
        <v>1620</v>
      </c>
      <c r="F3064" s="113" t="s">
        <v>3093</v>
      </c>
      <c r="G3064" s="113" t="s">
        <v>3093</v>
      </c>
      <c r="H3064" s="161">
        <v>3.95</v>
      </c>
      <c r="I3064" s="161">
        <v>0</v>
      </c>
    </row>
    <row r="3065" spans="1:9">
      <c r="A3065" s="113">
        <v>100700178</v>
      </c>
      <c r="B3065" s="113" t="s">
        <v>1166</v>
      </c>
      <c r="C3065" s="113">
        <v>7018074</v>
      </c>
      <c r="D3065" s="113" t="s">
        <v>3093</v>
      </c>
      <c r="E3065" s="113" t="s">
        <v>1620</v>
      </c>
      <c r="F3065" s="113" t="s">
        <v>3093</v>
      </c>
      <c r="G3065" s="113" t="s">
        <v>3093</v>
      </c>
      <c r="H3065" s="161">
        <v>8.19</v>
      </c>
      <c r="I3065" s="161">
        <v>20</v>
      </c>
    </row>
    <row r="3066" spans="1:9">
      <c r="A3066" s="113">
        <v>100700179</v>
      </c>
      <c r="B3066" s="113" t="s">
        <v>3020</v>
      </c>
      <c r="C3066" s="113">
        <v>7018075</v>
      </c>
      <c r="D3066" s="113" t="s">
        <v>3093</v>
      </c>
      <c r="E3066" s="113" t="s">
        <v>1620</v>
      </c>
      <c r="F3066" s="113" t="s">
        <v>3093</v>
      </c>
      <c r="G3066" s="113" t="s">
        <v>3093</v>
      </c>
      <c r="H3066" s="161">
        <v>8.1999999999999993</v>
      </c>
      <c r="I3066" s="161">
        <v>24</v>
      </c>
    </row>
    <row r="3067" spans="1:9">
      <c r="A3067" s="113">
        <v>100700180</v>
      </c>
      <c r="B3067" s="113" t="s">
        <v>1172</v>
      </c>
      <c r="C3067" s="113">
        <v>7018082</v>
      </c>
      <c r="D3067" s="113" t="s">
        <v>3093</v>
      </c>
      <c r="E3067" s="113" t="s">
        <v>1620</v>
      </c>
      <c r="F3067" s="113" t="s">
        <v>3093</v>
      </c>
      <c r="G3067" s="113" t="s">
        <v>3093</v>
      </c>
      <c r="H3067" s="161">
        <v>128</v>
      </c>
      <c r="I3067" s="161">
        <v>0</v>
      </c>
    </row>
    <row r="3068" spans="1:9">
      <c r="A3068" s="113">
        <v>100700181</v>
      </c>
      <c r="B3068" s="113" t="s">
        <v>1173</v>
      </c>
      <c r="C3068" s="113">
        <v>7018083</v>
      </c>
      <c r="D3068" s="113" t="s">
        <v>3093</v>
      </c>
      <c r="E3068" s="113" t="s">
        <v>1620</v>
      </c>
      <c r="F3068" s="113" t="s">
        <v>3093</v>
      </c>
      <c r="G3068" s="113" t="s">
        <v>3093</v>
      </c>
      <c r="H3068" s="161">
        <v>52.5</v>
      </c>
      <c r="I3068" s="161">
        <v>0</v>
      </c>
    </row>
    <row r="3069" spans="1:9">
      <c r="A3069" s="113">
        <v>100700182</v>
      </c>
      <c r="B3069" s="113" t="s">
        <v>1178</v>
      </c>
      <c r="C3069" s="113">
        <v>7018088</v>
      </c>
      <c r="D3069" s="113" t="s">
        <v>3093</v>
      </c>
      <c r="E3069" s="113" t="s">
        <v>1620</v>
      </c>
      <c r="F3069" s="113" t="s">
        <v>3093</v>
      </c>
      <c r="G3069" s="113" t="s">
        <v>3093</v>
      </c>
      <c r="H3069" s="161">
        <v>31.64</v>
      </c>
      <c r="I3069" s="161">
        <v>0</v>
      </c>
    </row>
    <row r="3070" spans="1:9">
      <c r="A3070" s="113">
        <v>100700183</v>
      </c>
      <c r="B3070" s="113" t="s">
        <v>3021</v>
      </c>
      <c r="C3070" s="113">
        <v>7018089</v>
      </c>
      <c r="D3070" s="113" t="s">
        <v>3093</v>
      </c>
      <c r="E3070" s="113" t="s">
        <v>1620</v>
      </c>
      <c r="F3070" s="113" t="s">
        <v>3093</v>
      </c>
      <c r="G3070" s="113" t="s">
        <v>3093</v>
      </c>
      <c r="H3070" s="161">
        <v>138.25</v>
      </c>
      <c r="I3070" s="161">
        <v>0</v>
      </c>
    </row>
    <row r="3071" spans="1:9">
      <c r="A3071" s="113">
        <v>100700184</v>
      </c>
      <c r="B3071" s="113" t="s">
        <v>1180</v>
      </c>
      <c r="C3071" s="113">
        <v>7018091</v>
      </c>
      <c r="D3071" s="113" t="s">
        <v>3093</v>
      </c>
      <c r="E3071" s="113" t="s">
        <v>1620</v>
      </c>
      <c r="F3071" s="113" t="s">
        <v>3093</v>
      </c>
      <c r="G3071" s="113" t="s">
        <v>3093</v>
      </c>
      <c r="H3071" s="161">
        <v>29.6</v>
      </c>
      <c r="I3071" s="161">
        <v>0</v>
      </c>
    </row>
    <row r="3072" spans="1:9">
      <c r="A3072" s="113">
        <v>100700185</v>
      </c>
      <c r="B3072" s="113" t="s">
        <v>1181</v>
      </c>
      <c r="C3072" s="113">
        <v>7018092</v>
      </c>
      <c r="D3072" s="113" t="s">
        <v>3093</v>
      </c>
      <c r="E3072" s="113" t="s">
        <v>1620</v>
      </c>
      <c r="F3072" s="113" t="s">
        <v>3093</v>
      </c>
      <c r="G3072" s="113" t="s">
        <v>3093</v>
      </c>
      <c r="H3072" s="161">
        <v>5.7</v>
      </c>
      <c r="I3072" s="161">
        <v>0</v>
      </c>
    </row>
    <row r="3073" spans="1:9">
      <c r="A3073" s="113">
        <v>100700186</v>
      </c>
      <c r="B3073" s="113" t="s">
        <v>1182</v>
      </c>
      <c r="C3073" s="113">
        <v>7018093</v>
      </c>
      <c r="D3073" s="113" t="s">
        <v>3093</v>
      </c>
      <c r="E3073" s="113" t="s">
        <v>1620</v>
      </c>
      <c r="F3073" s="113" t="s">
        <v>3093</v>
      </c>
      <c r="G3073" s="113" t="s">
        <v>3093</v>
      </c>
      <c r="H3073" s="161">
        <v>5.25</v>
      </c>
      <c r="I3073" s="161">
        <v>1</v>
      </c>
    </row>
    <row r="3074" spans="1:9">
      <c r="A3074" s="113">
        <v>100700187</v>
      </c>
      <c r="B3074" s="113" t="s">
        <v>5775</v>
      </c>
      <c r="C3074" s="113">
        <v>7018095</v>
      </c>
      <c r="D3074" s="113" t="s">
        <v>3093</v>
      </c>
      <c r="E3074" s="113" t="s">
        <v>1620</v>
      </c>
      <c r="F3074" s="113" t="s">
        <v>3093</v>
      </c>
      <c r="G3074" s="113" t="s">
        <v>3093</v>
      </c>
      <c r="H3074" s="161">
        <v>7.8</v>
      </c>
      <c r="I3074" s="161">
        <v>0</v>
      </c>
    </row>
    <row r="3075" spans="1:9">
      <c r="A3075" s="113">
        <v>100700188</v>
      </c>
      <c r="B3075" s="113" t="s">
        <v>5776</v>
      </c>
      <c r="C3075" s="113">
        <v>7018096</v>
      </c>
      <c r="D3075" s="113" t="s">
        <v>3093</v>
      </c>
      <c r="E3075" s="113" t="s">
        <v>1620</v>
      </c>
      <c r="F3075" s="113" t="s">
        <v>3093</v>
      </c>
      <c r="G3075" s="113" t="s">
        <v>3093</v>
      </c>
      <c r="H3075" s="161">
        <v>31.64</v>
      </c>
      <c r="I3075" s="161">
        <v>9</v>
      </c>
    </row>
    <row r="3076" spans="1:9">
      <c r="A3076" s="113">
        <v>100700189</v>
      </c>
      <c r="B3076" s="113" t="s">
        <v>5777</v>
      </c>
      <c r="C3076" s="113">
        <v>7018098</v>
      </c>
      <c r="D3076" s="113" t="s">
        <v>3093</v>
      </c>
      <c r="E3076" s="113" t="s">
        <v>1620</v>
      </c>
      <c r="F3076" s="113" t="s">
        <v>3093</v>
      </c>
      <c r="G3076" s="113" t="s">
        <v>3093</v>
      </c>
      <c r="H3076" s="161">
        <v>28.82</v>
      </c>
      <c r="I3076" s="161">
        <v>0</v>
      </c>
    </row>
    <row r="3077" spans="1:9">
      <c r="A3077" s="113">
        <v>100700190</v>
      </c>
      <c r="B3077" s="113" t="s">
        <v>1189</v>
      </c>
      <c r="C3077" s="113">
        <v>7018100</v>
      </c>
      <c r="D3077" s="113" t="s">
        <v>3093</v>
      </c>
      <c r="E3077" s="113" t="s">
        <v>1620</v>
      </c>
      <c r="F3077" s="113" t="s">
        <v>3093</v>
      </c>
      <c r="G3077" s="113" t="s">
        <v>3093</v>
      </c>
      <c r="H3077" s="161">
        <v>5.3</v>
      </c>
      <c r="I3077" s="161">
        <v>24</v>
      </c>
    </row>
    <row r="3078" spans="1:9">
      <c r="A3078" s="113">
        <v>100700191</v>
      </c>
      <c r="B3078" s="113" t="s">
        <v>5778</v>
      </c>
      <c r="C3078" s="113">
        <v>7020065</v>
      </c>
      <c r="D3078" s="113" t="s">
        <v>3093</v>
      </c>
      <c r="E3078" s="113" t="s">
        <v>1620</v>
      </c>
      <c r="F3078" s="113" t="s">
        <v>3093</v>
      </c>
      <c r="G3078" s="113" t="s">
        <v>3093</v>
      </c>
      <c r="H3078" s="161">
        <v>0.6</v>
      </c>
      <c r="I3078" s="161">
        <v>24000</v>
      </c>
    </row>
    <row r="3079" spans="1:9">
      <c r="A3079" s="113">
        <v>100700192</v>
      </c>
      <c r="B3079" s="113" t="s">
        <v>5779</v>
      </c>
      <c r="C3079" s="113">
        <v>7020066</v>
      </c>
      <c r="D3079" s="113" t="s">
        <v>3093</v>
      </c>
      <c r="E3079" s="113" t="s">
        <v>1620</v>
      </c>
      <c r="F3079" s="113" t="s">
        <v>3093</v>
      </c>
      <c r="G3079" s="113" t="s">
        <v>3093</v>
      </c>
      <c r="H3079" s="161">
        <v>0.95</v>
      </c>
      <c r="I3079" s="161">
        <v>18000</v>
      </c>
    </row>
    <row r="3080" spans="1:9">
      <c r="A3080" s="113">
        <v>100700193</v>
      </c>
      <c r="B3080" s="113" t="s">
        <v>5780</v>
      </c>
      <c r="C3080" s="113">
        <v>7020067</v>
      </c>
      <c r="D3080" s="113" t="s">
        <v>3093</v>
      </c>
      <c r="E3080" s="113" t="s">
        <v>1620</v>
      </c>
      <c r="F3080" s="113" t="s">
        <v>3093</v>
      </c>
      <c r="G3080" s="113" t="s">
        <v>3093</v>
      </c>
      <c r="H3080" s="161">
        <v>1.51</v>
      </c>
      <c r="I3080" s="161">
        <v>36000</v>
      </c>
    </row>
    <row r="3081" spans="1:9">
      <c r="A3081" s="113">
        <v>100700194</v>
      </c>
      <c r="B3081" s="113" t="s">
        <v>5781</v>
      </c>
      <c r="C3081" s="113">
        <v>7020068</v>
      </c>
      <c r="D3081" s="113" t="s">
        <v>3093</v>
      </c>
      <c r="E3081" s="113" t="s">
        <v>1620</v>
      </c>
      <c r="F3081" s="113" t="s">
        <v>3093</v>
      </c>
      <c r="G3081" s="113" t="s">
        <v>3093</v>
      </c>
      <c r="H3081" s="161">
        <v>0</v>
      </c>
      <c r="I3081" s="161" t="s">
        <v>7138</v>
      </c>
    </row>
    <row r="3082" spans="1:9">
      <c r="A3082" s="113">
        <v>100700195</v>
      </c>
      <c r="B3082" s="113" t="s">
        <v>5782</v>
      </c>
      <c r="C3082" s="113">
        <v>7020070</v>
      </c>
      <c r="D3082" s="113" t="s">
        <v>3093</v>
      </c>
      <c r="E3082" s="113" t="s">
        <v>1620</v>
      </c>
      <c r="F3082" s="113" t="s">
        <v>3093</v>
      </c>
      <c r="G3082" s="113" t="s">
        <v>3093</v>
      </c>
      <c r="H3082" s="161">
        <v>0</v>
      </c>
      <c r="I3082" s="161" t="s">
        <v>7138</v>
      </c>
    </row>
    <row r="3083" spans="1:9">
      <c r="A3083" s="113">
        <v>100700196</v>
      </c>
      <c r="B3083" s="113" t="s">
        <v>5783</v>
      </c>
      <c r="C3083" s="113">
        <v>7020072</v>
      </c>
      <c r="D3083" s="113" t="s">
        <v>3093</v>
      </c>
      <c r="E3083" s="113" t="s">
        <v>1620</v>
      </c>
      <c r="F3083" s="113" t="s">
        <v>3093</v>
      </c>
      <c r="G3083" s="113" t="s">
        <v>3093</v>
      </c>
      <c r="H3083" s="161">
        <v>0</v>
      </c>
      <c r="I3083" s="161" t="s">
        <v>7138</v>
      </c>
    </row>
    <row r="3084" spans="1:9">
      <c r="A3084" s="113">
        <v>100700197</v>
      </c>
      <c r="B3084" s="113" t="s">
        <v>5784</v>
      </c>
      <c r="C3084" s="113">
        <v>7020095</v>
      </c>
      <c r="D3084" s="113" t="s">
        <v>3093</v>
      </c>
      <c r="E3084" s="113" t="s">
        <v>1620</v>
      </c>
      <c r="F3084" s="113" t="s">
        <v>3093</v>
      </c>
      <c r="G3084" s="113" t="s">
        <v>3093</v>
      </c>
      <c r="H3084" s="161">
        <v>0</v>
      </c>
      <c r="I3084" s="161" t="s">
        <v>7138</v>
      </c>
    </row>
    <row r="3085" spans="1:9">
      <c r="A3085" s="113">
        <v>100700198</v>
      </c>
      <c r="B3085" s="113" t="s">
        <v>5785</v>
      </c>
      <c r="C3085" s="113">
        <v>7020096</v>
      </c>
      <c r="D3085" s="113" t="s">
        <v>3093</v>
      </c>
      <c r="E3085" s="113" t="s">
        <v>1620</v>
      </c>
      <c r="F3085" s="113" t="s">
        <v>3093</v>
      </c>
      <c r="G3085" s="113" t="s">
        <v>3093</v>
      </c>
      <c r="H3085" s="161">
        <v>0</v>
      </c>
      <c r="I3085" s="161" t="s">
        <v>7138</v>
      </c>
    </row>
    <row r="3086" spans="1:9">
      <c r="A3086" s="113">
        <v>100700199</v>
      </c>
      <c r="B3086" s="113" t="s">
        <v>5786</v>
      </c>
      <c r="C3086" s="113">
        <v>7020146</v>
      </c>
      <c r="D3086" s="113" t="s">
        <v>3093</v>
      </c>
      <c r="E3086" s="113" t="s">
        <v>1620</v>
      </c>
      <c r="F3086" s="113" t="s">
        <v>3093</v>
      </c>
      <c r="G3086" s="113" t="s">
        <v>3093</v>
      </c>
      <c r="H3086" s="161">
        <v>0.15820000000000001</v>
      </c>
      <c r="I3086" s="161">
        <v>0</v>
      </c>
    </row>
    <row r="3087" spans="1:9">
      <c r="A3087" s="113">
        <v>100700200</v>
      </c>
      <c r="B3087" s="113" t="s">
        <v>5787</v>
      </c>
      <c r="C3087" s="113">
        <v>7020167</v>
      </c>
      <c r="D3087" s="113" t="s">
        <v>3093</v>
      </c>
      <c r="E3087" s="113" t="s">
        <v>1620</v>
      </c>
      <c r="F3087" s="113" t="s">
        <v>3093</v>
      </c>
      <c r="G3087" s="113" t="s">
        <v>3093</v>
      </c>
      <c r="H3087" s="161">
        <v>156.83000000000001</v>
      </c>
      <c r="I3087" s="161">
        <v>6</v>
      </c>
    </row>
    <row r="3088" spans="1:9">
      <c r="A3088" s="113">
        <v>100700201</v>
      </c>
      <c r="B3088" s="113" t="s">
        <v>5788</v>
      </c>
      <c r="C3088" s="113">
        <v>7020168</v>
      </c>
      <c r="D3088" s="113" t="s">
        <v>3093</v>
      </c>
      <c r="E3088" s="113" t="s">
        <v>1620</v>
      </c>
      <c r="F3088" s="113" t="s">
        <v>3093</v>
      </c>
      <c r="G3088" s="113" t="s">
        <v>3093</v>
      </c>
      <c r="H3088" s="161">
        <v>808.28</v>
      </c>
      <c r="I3088" s="161">
        <v>2</v>
      </c>
    </row>
    <row r="3089" spans="1:9">
      <c r="A3089" s="113">
        <v>100700203</v>
      </c>
      <c r="B3089" s="113" t="s">
        <v>5789</v>
      </c>
      <c r="C3089" s="113">
        <v>7020176</v>
      </c>
      <c r="D3089" s="113" t="s">
        <v>3093</v>
      </c>
      <c r="E3089" s="113" t="s">
        <v>1620</v>
      </c>
      <c r="F3089" s="113" t="s">
        <v>3093</v>
      </c>
      <c r="G3089" s="113" t="s">
        <v>3093</v>
      </c>
      <c r="H3089" s="161">
        <v>107.35</v>
      </c>
      <c r="I3089" s="161">
        <v>6</v>
      </c>
    </row>
    <row r="3090" spans="1:9">
      <c r="A3090" s="113">
        <v>100700204</v>
      </c>
      <c r="B3090" s="113" t="s">
        <v>5790</v>
      </c>
      <c r="C3090" s="113">
        <v>7020177</v>
      </c>
      <c r="D3090" s="113" t="s">
        <v>3093</v>
      </c>
      <c r="E3090" s="113" t="s">
        <v>2522</v>
      </c>
      <c r="F3090" s="113" t="s">
        <v>3093</v>
      </c>
      <c r="G3090" s="113" t="s">
        <v>3093</v>
      </c>
      <c r="H3090" s="161">
        <v>50.59</v>
      </c>
      <c r="I3090" s="161">
        <v>1500</v>
      </c>
    </row>
    <row r="3091" spans="1:9">
      <c r="A3091" s="113">
        <v>100700205</v>
      </c>
      <c r="B3091" s="113" t="s">
        <v>5791</v>
      </c>
      <c r="C3091" s="113">
        <v>7020184</v>
      </c>
      <c r="D3091" s="113" t="s">
        <v>3093</v>
      </c>
      <c r="E3091" s="113" t="s">
        <v>1620</v>
      </c>
      <c r="F3091" s="113" t="s">
        <v>3093</v>
      </c>
      <c r="G3091" s="113" t="s">
        <v>3093</v>
      </c>
      <c r="H3091" s="161">
        <v>490</v>
      </c>
      <c r="I3091" s="161">
        <v>10</v>
      </c>
    </row>
    <row r="3092" spans="1:9">
      <c r="A3092" s="113">
        <v>100700206</v>
      </c>
      <c r="B3092" s="113" t="s">
        <v>5792</v>
      </c>
      <c r="C3092" s="113">
        <v>7020186</v>
      </c>
      <c r="D3092" s="113" t="s">
        <v>3093</v>
      </c>
      <c r="E3092" s="113" t="s">
        <v>7141</v>
      </c>
      <c r="F3092" s="113" t="s">
        <v>3093</v>
      </c>
      <c r="G3092" s="113" t="s">
        <v>3093</v>
      </c>
      <c r="H3092" s="161">
        <v>4.9000000000000004</v>
      </c>
      <c r="I3092" s="161">
        <v>600</v>
      </c>
    </row>
    <row r="3093" spans="1:9">
      <c r="A3093" s="113">
        <v>100700207</v>
      </c>
      <c r="B3093" s="113" t="s">
        <v>5793</v>
      </c>
      <c r="C3093" s="113">
        <v>7020194</v>
      </c>
      <c r="D3093" s="113" t="s">
        <v>3093</v>
      </c>
      <c r="E3093" s="113" t="s">
        <v>1620</v>
      </c>
      <c r="F3093" s="113" t="s">
        <v>3093</v>
      </c>
      <c r="G3093" s="113" t="s">
        <v>3093</v>
      </c>
      <c r="H3093" s="161">
        <v>2.2999999999999998</v>
      </c>
      <c r="I3093" s="161">
        <v>1000</v>
      </c>
    </row>
    <row r="3094" spans="1:9">
      <c r="A3094" s="113">
        <v>100700208</v>
      </c>
      <c r="B3094" s="113" t="s">
        <v>5794</v>
      </c>
      <c r="C3094" s="113">
        <v>7020216</v>
      </c>
      <c r="D3094" s="113" t="s">
        <v>3093</v>
      </c>
      <c r="E3094" s="113" t="s">
        <v>1620</v>
      </c>
      <c r="F3094" s="113" t="s">
        <v>3093</v>
      </c>
      <c r="G3094" s="113" t="s">
        <v>3093</v>
      </c>
      <c r="H3094" s="161">
        <v>0.158</v>
      </c>
      <c r="I3094" s="161">
        <v>9000</v>
      </c>
    </row>
    <row r="3095" spans="1:9">
      <c r="A3095" s="113">
        <v>100700209</v>
      </c>
      <c r="B3095" s="113" t="s">
        <v>5795</v>
      </c>
      <c r="C3095" s="113">
        <v>7021001</v>
      </c>
      <c r="D3095" s="113" t="s">
        <v>3093</v>
      </c>
      <c r="E3095" s="113" t="s">
        <v>1620</v>
      </c>
      <c r="F3095" s="113" t="s">
        <v>3093</v>
      </c>
      <c r="G3095" s="113" t="s">
        <v>3093</v>
      </c>
      <c r="H3095" s="161">
        <v>0</v>
      </c>
      <c r="I3095" s="161" t="s">
        <v>7138</v>
      </c>
    </row>
    <row r="3096" spans="1:9">
      <c r="A3096" s="113">
        <v>100700210</v>
      </c>
      <c r="B3096" s="113" t="s">
        <v>5796</v>
      </c>
      <c r="C3096" s="113">
        <v>7021002</v>
      </c>
      <c r="D3096" s="113" t="s">
        <v>3093</v>
      </c>
      <c r="E3096" s="113" t="s">
        <v>1620</v>
      </c>
      <c r="F3096" s="113" t="s">
        <v>3093</v>
      </c>
      <c r="G3096" s="113" t="s">
        <v>3093</v>
      </c>
      <c r="H3096" s="161">
        <v>0</v>
      </c>
      <c r="I3096" s="161" t="s">
        <v>7138</v>
      </c>
    </row>
    <row r="3097" spans="1:9">
      <c r="A3097" s="113">
        <v>100700211</v>
      </c>
      <c r="B3097" s="113" t="s">
        <v>5797</v>
      </c>
      <c r="C3097" s="113">
        <v>7021003</v>
      </c>
      <c r="D3097" s="113" t="s">
        <v>3093</v>
      </c>
      <c r="E3097" s="113" t="s">
        <v>1620</v>
      </c>
      <c r="F3097" s="113" t="s">
        <v>3093</v>
      </c>
      <c r="G3097" s="113" t="s">
        <v>3093</v>
      </c>
      <c r="H3097" s="161">
        <v>0</v>
      </c>
      <c r="I3097" s="161" t="s">
        <v>7138</v>
      </c>
    </row>
    <row r="3098" spans="1:9">
      <c r="A3098" s="113">
        <v>100700212</v>
      </c>
      <c r="B3098" s="113" t="s">
        <v>5798</v>
      </c>
      <c r="C3098" s="113">
        <v>7021004</v>
      </c>
      <c r="D3098" s="113" t="s">
        <v>3093</v>
      </c>
      <c r="E3098" s="113" t="s">
        <v>1620</v>
      </c>
      <c r="F3098" s="113" t="s">
        <v>3093</v>
      </c>
      <c r="G3098" s="113" t="s">
        <v>3093</v>
      </c>
      <c r="H3098" s="161">
        <v>609.5</v>
      </c>
      <c r="I3098" s="161">
        <v>50</v>
      </c>
    </row>
    <row r="3099" spans="1:9">
      <c r="A3099" s="113">
        <v>100700213</v>
      </c>
      <c r="B3099" s="113" t="s">
        <v>5799</v>
      </c>
      <c r="C3099" s="113">
        <v>7021005</v>
      </c>
      <c r="D3099" s="113" t="s">
        <v>3093</v>
      </c>
      <c r="E3099" s="113" t="s">
        <v>1620</v>
      </c>
      <c r="F3099" s="113" t="s">
        <v>3093</v>
      </c>
      <c r="G3099" s="113" t="s">
        <v>3093</v>
      </c>
      <c r="H3099" s="161">
        <v>0</v>
      </c>
      <c r="I3099" s="161" t="s">
        <v>7138</v>
      </c>
    </row>
    <row r="3100" spans="1:9">
      <c r="A3100" s="113">
        <v>100700214</v>
      </c>
      <c r="B3100" s="113" t="s">
        <v>5800</v>
      </c>
      <c r="C3100" s="113">
        <v>7021006</v>
      </c>
      <c r="D3100" s="113" t="s">
        <v>3093</v>
      </c>
      <c r="E3100" s="113" t="s">
        <v>1620</v>
      </c>
      <c r="F3100" s="113" t="s">
        <v>3093</v>
      </c>
      <c r="G3100" s="113" t="s">
        <v>3093</v>
      </c>
      <c r="H3100" s="161">
        <v>0</v>
      </c>
      <c r="I3100" s="161" t="s">
        <v>7138</v>
      </c>
    </row>
    <row r="3101" spans="1:9">
      <c r="A3101" s="113">
        <v>100700215</v>
      </c>
      <c r="B3101" s="113" t="s">
        <v>5801</v>
      </c>
      <c r="C3101" s="113">
        <v>7021007</v>
      </c>
      <c r="D3101" s="113" t="s">
        <v>3093</v>
      </c>
      <c r="E3101" s="113" t="s">
        <v>1620</v>
      </c>
      <c r="F3101" s="113" t="s">
        <v>3093</v>
      </c>
      <c r="G3101" s="113" t="s">
        <v>3093</v>
      </c>
      <c r="H3101" s="161">
        <v>340</v>
      </c>
      <c r="I3101" s="161">
        <v>100</v>
      </c>
    </row>
    <row r="3102" spans="1:9">
      <c r="A3102" s="113">
        <v>100700216</v>
      </c>
      <c r="B3102" s="113" t="s">
        <v>5802</v>
      </c>
      <c r="C3102" s="113">
        <v>7021008</v>
      </c>
      <c r="D3102" s="113" t="s">
        <v>3093</v>
      </c>
      <c r="E3102" s="113" t="s">
        <v>1620</v>
      </c>
      <c r="F3102" s="113" t="s">
        <v>3093</v>
      </c>
      <c r="G3102" s="113" t="s">
        <v>3093</v>
      </c>
      <c r="H3102" s="161">
        <v>0</v>
      </c>
      <c r="I3102" s="161" t="s">
        <v>7138</v>
      </c>
    </row>
    <row r="3103" spans="1:9">
      <c r="A3103" s="113">
        <v>100700217</v>
      </c>
      <c r="B3103" s="113" t="s">
        <v>5803</v>
      </c>
      <c r="C3103" s="113">
        <v>7021011</v>
      </c>
      <c r="D3103" s="113" t="s">
        <v>3093</v>
      </c>
      <c r="E3103" s="113" t="s">
        <v>1620</v>
      </c>
      <c r="F3103" s="113" t="s">
        <v>3093</v>
      </c>
      <c r="G3103" s="113" t="s">
        <v>3093</v>
      </c>
      <c r="H3103" s="161">
        <v>0</v>
      </c>
      <c r="I3103" s="161" t="s">
        <v>7138</v>
      </c>
    </row>
    <row r="3104" spans="1:9">
      <c r="A3104" s="113">
        <v>100700218</v>
      </c>
      <c r="B3104" s="113" t="s">
        <v>5804</v>
      </c>
      <c r="C3104" s="113">
        <v>7022025</v>
      </c>
      <c r="D3104" s="113" t="s">
        <v>3093</v>
      </c>
      <c r="E3104" s="113" t="s">
        <v>1620</v>
      </c>
      <c r="F3104" s="113" t="s">
        <v>3093</v>
      </c>
      <c r="G3104" s="113" t="s">
        <v>3093</v>
      </c>
      <c r="H3104" s="161">
        <v>0</v>
      </c>
      <c r="I3104" s="161" t="s">
        <v>7138</v>
      </c>
    </row>
    <row r="3105" spans="1:9">
      <c r="A3105" s="113">
        <v>100700219</v>
      </c>
      <c r="B3105" s="113" t="s">
        <v>5805</v>
      </c>
      <c r="C3105" s="113">
        <v>7022026</v>
      </c>
      <c r="D3105" s="113" t="s">
        <v>3093</v>
      </c>
      <c r="E3105" s="113" t="s">
        <v>1620</v>
      </c>
      <c r="F3105" s="113" t="s">
        <v>3093</v>
      </c>
      <c r="G3105" s="113" t="s">
        <v>3093</v>
      </c>
      <c r="H3105" s="161">
        <v>0</v>
      </c>
      <c r="I3105" s="161" t="s">
        <v>7138</v>
      </c>
    </row>
    <row r="3106" spans="1:9">
      <c r="A3106" s="113">
        <v>100700220</v>
      </c>
      <c r="B3106" s="113" t="s">
        <v>5806</v>
      </c>
      <c r="C3106" s="113">
        <v>7022053</v>
      </c>
      <c r="D3106" s="113" t="s">
        <v>3093</v>
      </c>
      <c r="E3106" s="113" t="s">
        <v>1620</v>
      </c>
      <c r="F3106" s="113" t="s">
        <v>3093</v>
      </c>
      <c r="G3106" s="113" t="s">
        <v>3093</v>
      </c>
      <c r="H3106" s="161">
        <v>8387.9500000000007</v>
      </c>
      <c r="I3106" s="161">
        <v>1</v>
      </c>
    </row>
    <row r="3107" spans="1:9">
      <c r="A3107" s="113">
        <v>100700221</v>
      </c>
      <c r="B3107" s="113" t="s">
        <v>5807</v>
      </c>
      <c r="C3107" s="113">
        <v>7022054</v>
      </c>
      <c r="D3107" s="113" t="s">
        <v>3093</v>
      </c>
      <c r="E3107" s="113" t="s">
        <v>1620</v>
      </c>
      <c r="F3107" s="113" t="s">
        <v>3093</v>
      </c>
      <c r="G3107" s="113" t="s">
        <v>3093</v>
      </c>
      <c r="H3107" s="161">
        <v>428.6</v>
      </c>
      <c r="I3107" s="161">
        <v>50</v>
      </c>
    </row>
    <row r="3108" spans="1:9">
      <c r="A3108" s="113">
        <v>100700222</v>
      </c>
      <c r="B3108" s="113" t="s">
        <v>5808</v>
      </c>
      <c r="C3108" s="113">
        <v>7022055</v>
      </c>
      <c r="D3108" s="113" t="s">
        <v>3093</v>
      </c>
      <c r="E3108" s="113" t="s">
        <v>1620</v>
      </c>
      <c r="F3108" s="113" t="s">
        <v>3093</v>
      </c>
      <c r="G3108" s="113" t="s">
        <v>3093</v>
      </c>
      <c r="H3108" s="161">
        <v>1390</v>
      </c>
      <c r="I3108" s="161" t="s">
        <v>7138</v>
      </c>
    </row>
    <row r="3109" spans="1:9">
      <c r="A3109" s="113">
        <v>100700223</v>
      </c>
      <c r="B3109" s="113" t="s">
        <v>5809</v>
      </c>
      <c r="C3109" s="113">
        <v>7022056</v>
      </c>
      <c r="D3109" s="113" t="s">
        <v>3093</v>
      </c>
      <c r="E3109" s="113" t="s">
        <v>1620</v>
      </c>
      <c r="F3109" s="113" t="s">
        <v>3093</v>
      </c>
      <c r="G3109" s="113" t="s">
        <v>3093</v>
      </c>
      <c r="H3109" s="161">
        <v>174.37</v>
      </c>
      <c r="I3109" s="161">
        <v>3</v>
      </c>
    </row>
    <row r="3110" spans="1:9">
      <c r="A3110" s="113">
        <v>100700224</v>
      </c>
      <c r="B3110" s="113" t="s">
        <v>5810</v>
      </c>
      <c r="C3110" s="113">
        <v>7022064</v>
      </c>
      <c r="D3110" s="113" t="s">
        <v>3093</v>
      </c>
      <c r="E3110" s="113" t="s">
        <v>1620</v>
      </c>
      <c r="F3110" s="113" t="s">
        <v>3093</v>
      </c>
      <c r="G3110" s="113" t="s">
        <v>3093</v>
      </c>
      <c r="H3110" s="161">
        <v>142.29</v>
      </c>
      <c r="I3110" s="161" t="s">
        <v>7138</v>
      </c>
    </row>
    <row r="3111" spans="1:9">
      <c r="A3111" s="113">
        <v>100700225</v>
      </c>
      <c r="B3111" s="113" t="s">
        <v>5811</v>
      </c>
      <c r="C3111" s="113">
        <v>7022066</v>
      </c>
      <c r="D3111" s="113" t="s">
        <v>3093</v>
      </c>
      <c r="E3111" s="113" t="s">
        <v>1620</v>
      </c>
      <c r="F3111" s="113" t="s">
        <v>3093</v>
      </c>
      <c r="G3111" s="113" t="s">
        <v>3093</v>
      </c>
      <c r="H3111" s="161">
        <v>44.88</v>
      </c>
      <c r="I3111" s="161">
        <v>500</v>
      </c>
    </row>
    <row r="3112" spans="1:9">
      <c r="A3112" s="113">
        <v>100700226</v>
      </c>
      <c r="B3112" s="113" t="s">
        <v>5812</v>
      </c>
      <c r="C3112" s="113">
        <v>7030024</v>
      </c>
      <c r="D3112" s="113" t="s">
        <v>3093</v>
      </c>
      <c r="E3112" s="113" t="s">
        <v>1620</v>
      </c>
      <c r="F3112" s="113" t="s">
        <v>3093</v>
      </c>
      <c r="G3112" s="113" t="s">
        <v>3093</v>
      </c>
      <c r="H3112" s="161">
        <v>12</v>
      </c>
      <c r="I3112" s="161">
        <v>30</v>
      </c>
    </row>
    <row r="3113" spans="1:9">
      <c r="A3113" s="113">
        <v>100700227</v>
      </c>
      <c r="B3113" s="113" t="s">
        <v>5813</v>
      </c>
      <c r="C3113" s="113">
        <v>7030025</v>
      </c>
      <c r="D3113" s="113" t="s">
        <v>3093</v>
      </c>
      <c r="E3113" s="113" t="s">
        <v>1620</v>
      </c>
      <c r="F3113" s="113" t="s">
        <v>3093</v>
      </c>
      <c r="G3113" s="113" t="s">
        <v>3093</v>
      </c>
      <c r="H3113" s="161">
        <v>20</v>
      </c>
      <c r="I3113" s="161">
        <v>25</v>
      </c>
    </row>
    <row r="3114" spans="1:9">
      <c r="A3114" s="113">
        <v>100700228</v>
      </c>
      <c r="B3114" s="113" t="s">
        <v>5814</v>
      </c>
      <c r="C3114" s="113">
        <v>7030055</v>
      </c>
      <c r="D3114" s="113" t="s">
        <v>3093</v>
      </c>
      <c r="E3114" s="113" t="s">
        <v>1620</v>
      </c>
      <c r="F3114" s="113" t="s">
        <v>3093</v>
      </c>
      <c r="G3114" s="113" t="s">
        <v>3093</v>
      </c>
      <c r="H3114" s="161">
        <v>20.14</v>
      </c>
      <c r="I3114" s="161">
        <v>880</v>
      </c>
    </row>
    <row r="3115" spans="1:9">
      <c r="A3115" s="113">
        <v>100700229</v>
      </c>
      <c r="B3115" s="113" t="s">
        <v>5815</v>
      </c>
      <c r="C3115" s="113">
        <v>7030069</v>
      </c>
      <c r="D3115" s="113" t="s">
        <v>3093</v>
      </c>
      <c r="E3115" s="113" t="s">
        <v>1620</v>
      </c>
      <c r="F3115" s="113" t="s">
        <v>3093</v>
      </c>
      <c r="G3115" s="113" t="s">
        <v>3093</v>
      </c>
      <c r="H3115" s="161">
        <v>25.65</v>
      </c>
      <c r="I3115" s="161">
        <v>30</v>
      </c>
    </row>
    <row r="3116" spans="1:9">
      <c r="A3116" s="113">
        <v>100700230</v>
      </c>
      <c r="B3116" s="113" t="s">
        <v>5816</v>
      </c>
      <c r="C3116" s="113">
        <v>7031037</v>
      </c>
      <c r="D3116" s="113" t="s">
        <v>3093</v>
      </c>
      <c r="E3116" s="113" t="s">
        <v>1620</v>
      </c>
      <c r="F3116" s="113" t="s">
        <v>3093</v>
      </c>
      <c r="G3116" s="113" t="s">
        <v>3093</v>
      </c>
      <c r="H3116" s="161">
        <v>12</v>
      </c>
      <c r="I3116" s="161">
        <v>0</v>
      </c>
    </row>
    <row r="3117" spans="1:9">
      <c r="A3117" s="113">
        <v>100700231</v>
      </c>
      <c r="B3117" s="113" t="s">
        <v>5817</v>
      </c>
      <c r="C3117" s="113">
        <v>7033125</v>
      </c>
      <c r="D3117" s="113" t="s">
        <v>3093</v>
      </c>
      <c r="E3117" s="113" t="s">
        <v>1620</v>
      </c>
      <c r="F3117" s="113" t="s">
        <v>3093</v>
      </c>
      <c r="G3117" s="113" t="s">
        <v>3093</v>
      </c>
      <c r="H3117" s="161">
        <v>5.2</v>
      </c>
      <c r="I3117" s="161">
        <v>130</v>
      </c>
    </row>
    <row r="3118" spans="1:9">
      <c r="A3118" s="113">
        <v>100700232</v>
      </c>
      <c r="B3118" s="113" t="s">
        <v>5818</v>
      </c>
      <c r="C3118" s="113">
        <v>7034031</v>
      </c>
      <c r="D3118" s="113" t="s">
        <v>3093</v>
      </c>
      <c r="E3118" s="113" t="s">
        <v>1620</v>
      </c>
      <c r="F3118" s="113" t="s">
        <v>3093</v>
      </c>
      <c r="G3118" s="113" t="s">
        <v>3093</v>
      </c>
      <c r="H3118" s="161">
        <v>0.31</v>
      </c>
      <c r="I3118" s="161">
        <v>1200</v>
      </c>
    </row>
    <row r="3119" spans="1:9">
      <c r="A3119" s="113">
        <v>100700233</v>
      </c>
      <c r="B3119" s="113" t="s">
        <v>5819</v>
      </c>
      <c r="C3119" s="113">
        <v>7034032</v>
      </c>
      <c r="D3119" s="113" t="s">
        <v>3093</v>
      </c>
      <c r="E3119" s="113" t="s">
        <v>1620</v>
      </c>
      <c r="F3119" s="113" t="s">
        <v>3093</v>
      </c>
      <c r="G3119" s="113" t="s">
        <v>3093</v>
      </c>
      <c r="H3119" s="161">
        <v>0.31</v>
      </c>
      <c r="I3119" s="161">
        <v>3</v>
      </c>
    </row>
    <row r="3120" spans="1:9">
      <c r="A3120" s="113">
        <v>100700234</v>
      </c>
      <c r="B3120" s="113" t="s">
        <v>5820</v>
      </c>
      <c r="C3120" s="113">
        <v>7034035</v>
      </c>
      <c r="D3120" s="113" t="s">
        <v>3093</v>
      </c>
      <c r="E3120" s="113" t="s">
        <v>1620</v>
      </c>
      <c r="F3120" s="113" t="s">
        <v>3093</v>
      </c>
      <c r="G3120" s="113" t="s">
        <v>3093</v>
      </c>
      <c r="H3120" s="161">
        <v>23</v>
      </c>
      <c r="I3120" s="161">
        <v>3000</v>
      </c>
    </row>
    <row r="3121" spans="1:9">
      <c r="A3121" s="113">
        <v>100700235</v>
      </c>
      <c r="B3121" s="113" t="s">
        <v>3022</v>
      </c>
      <c r="C3121" s="113">
        <v>7034043</v>
      </c>
      <c r="D3121" s="113" t="s">
        <v>3093</v>
      </c>
      <c r="E3121" s="113" t="s">
        <v>1620</v>
      </c>
      <c r="F3121" s="113" t="s">
        <v>3093</v>
      </c>
      <c r="G3121" s="113" t="s">
        <v>3093</v>
      </c>
      <c r="H3121" s="161">
        <v>31.49</v>
      </c>
      <c r="I3121" s="161">
        <v>0</v>
      </c>
    </row>
    <row r="3122" spans="1:9">
      <c r="A3122" s="113">
        <v>100700236</v>
      </c>
      <c r="B3122" s="113" t="s">
        <v>5821</v>
      </c>
      <c r="C3122" s="113">
        <v>7034046</v>
      </c>
      <c r="D3122" s="113" t="s">
        <v>3093</v>
      </c>
      <c r="E3122" s="113" t="s">
        <v>1620</v>
      </c>
      <c r="F3122" s="113" t="s">
        <v>3093</v>
      </c>
      <c r="G3122" s="113" t="s">
        <v>3093</v>
      </c>
      <c r="H3122" s="161">
        <v>0.03</v>
      </c>
      <c r="I3122" s="161">
        <v>2160</v>
      </c>
    </row>
    <row r="3123" spans="1:9">
      <c r="A3123" s="113">
        <v>100700237</v>
      </c>
      <c r="B3123" s="113" t="s">
        <v>5822</v>
      </c>
      <c r="C3123" s="113">
        <v>7034047</v>
      </c>
      <c r="D3123" s="113" t="s">
        <v>3093</v>
      </c>
      <c r="E3123" s="113" t="s">
        <v>1620</v>
      </c>
      <c r="F3123" s="113" t="s">
        <v>3093</v>
      </c>
      <c r="G3123" s="113" t="s">
        <v>3093</v>
      </c>
      <c r="H3123" s="161">
        <v>4</v>
      </c>
      <c r="I3123" s="161">
        <v>1</v>
      </c>
    </row>
    <row r="3124" spans="1:9">
      <c r="A3124" s="113">
        <v>100700238</v>
      </c>
      <c r="B3124" s="113" t="s">
        <v>5823</v>
      </c>
      <c r="C3124" s="113">
        <v>7034052</v>
      </c>
      <c r="D3124" s="113" t="s">
        <v>3093</v>
      </c>
      <c r="E3124" s="113" t="s">
        <v>1620</v>
      </c>
      <c r="F3124" s="113" t="s">
        <v>3093</v>
      </c>
      <c r="G3124" s="113" t="s">
        <v>3093</v>
      </c>
      <c r="H3124" s="161">
        <v>0.65</v>
      </c>
      <c r="I3124" s="161">
        <v>0</v>
      </c>
    </row>
    <row r="3125" spans="1:9">
      <c r="A3125" s="113">
        <v>100700239</v>
      </c>
      <c r="B3125" s="113" t="s">
        <v>3023</v>
      </c>
      <c r="C3125" s="113">
        <v>7034053</v>
      </c>
      <c r="D3125" s="113" t="s">
        <v>3093</v>
      </c>
      <c r="E3125" s="113" t="s">
        <v>1620</v>
      </c>
      <c r="F3125" s="113" t="s">
        <v>3093</v>
      </c>
      <c r="G3125" s="113" t="s">
        <v>3093</v>
      </c>
      <c r="H3125" s="161">
        <v>3</v>
      </c>
      <c r="I3125" s="161" t="s">
        <v>7138</v>
      </c>
    </row>
    <row r="3126" spans="1:9">
      <c r="A3126" s="113">
        <v>100700240</v>
      </c>
      <c r="B3126" s="113" t="s">
        <v>1303</v>
      </c>
      <c r="C3126" s="113">
        <v>7034054</v>
      </c>
      <c r="D3126" s="113" t="s">
        <v>3093</v>
      </c>
      <c r="E3126" s="113" t="s">
        <v>1620</v>
      </c>
      <c r="F3126" s="113" t="s">
        <v>3093</v>
      </c>
      <c r="G3126" s="113" t="s">
        <v>3093</v>
      </c>
      <c r="H3126" s="161">
        <v>0.45</v>
      </c>
      <c r="I3126" s="161">
        <v>1200</v>
      </c>
    </row>
    <row r="3127" spans="1:9">
      <c r="A3127" s="113">
        <v>100700241</v>
      </c>
      <c r="B3127" s="113" t="s">
        <v>5824</v>
      </c>
      <c r="C3127" s="113">
        <v>7034056</v>
      </c>
      <c r="D3127" s="113" t="s">
        <v>3093</v>
      </c>
      <c r="E3127" s="113" t="s">
        <v>1620</v>
      </c>
      <c r="F3127" s="113" t="s">
        <v>3093</v>
      </c>
      <c r="G3127" s="113" t="s">
        <v>3093</v>
      </c>
      <c r="H3127" s="161">
        <v>0.89</v>
      </c>
      <c r="I3127" s="161">
        <v>150</v>
      </c>
    </row>
    <row r="3128" spans="1:9">
      <c r="A3128" s="113">
        <v>100700242</v>
      </c>
      <c r="B3128" s="113" t="s">
        <v>5825</v>
      </c>
      <c r="C3128" s="113">
        <v>7034057</v>
      </c>
      <c r="D3128" s="113" t="s">
        <v>3093</v>
      </c>
      <c r="E3128" s="113" t="s">
        <v>1620</v>
      </c>
      <c r="F3128" s="113" t="s">
        <v>3093</v>
      </c>
      <c r="G3128" s="113" t="s">
        <v>3093</v>
      </c>
      <c r="H3128" s="161">
        <v>0.65</v>
      </c>
      <c r="I3128" s="161">
        <v>695</v>
      </c>
    </row>
    <row r="3129" spans="1:9">
      <c r="A3129" s="113">
        <v>100700243</v>
      </c>
      <c r="B3129" s="113" t="s">
        <v>5826</v>
      </c>
      <c r="C3129" s="113">
        <v>7034061</v>
      </c>
      <c r="D3129" s="113" t="s">
        <v>3093</v>
      </c>
      <c r="E3129" s="113" t="s">
        <v>1620</v>
      </c>
      <c r="F3129" s="113" t="s">
        <v>3093</v>
      </c>
      <c r="G3129" s="113" t="s">
        <v>3093</v>
      </c>
      <c r="H3129" s="161">
        <v>41.5</v>
      </c>
      <c r="I3129" s="161">
        <v>2</v>
      </c>
    </row>
    <row r="3130" spans="1:9">
      <c r="A3130" s="113">
        <v>100700244</v>
      </c>
      <c r="B3130" s="113" t="s">
        <v>5827</v>
      </c>
      <c r="C3130" s="113">
        <v>7034062</v>
      </c>
      <c r="D3130" s="113" t="s">
        <v>3093</v>
      </c>
      <c r="E3130" s="113" t="s">
        <v>1620</v>
      </c>
      <c r="F3130" s="113" t="s">
        <v>3093</v>
      </c>
      <c r="G3130" s="113" t="s">
        <v>3093</v>
      </c>
      <c r="H3130" s="161">
        <v>35</v>
      </c>
      <c r="I3130" s="161">
        <v>1690</v>
      </c>
    </row>
    <row r="3131" spans="1:9">
      <c r="A3131" s="113">
        <v>100700245</v>
      </c>
      <c r="B3131" s="113" t="s">
        <v>5828</v>
      </c>
      <c r="C3131" s="113">
        <v>7034063</v>
      </c>
      <c r="D3131" s="113" t="s">
        <v>3093</v>
      </c>
      <c r="E3131" s="113" t="s">
        <v>1620</v>
      </c>
      <c r="F3131" s="113" t="s">
        <v>3093</v>
      </c>
      <c r="G3131" s="113" t="s">
        <v>3093</v>
      </c>
      <c r="H3131" s="161">
        <v>26</v>
      </c>
      <c r="I3131" s="161">
        <v>360</v>
      </c>
    </row>
    <row r="3132" spans="1:9">
      <c r="A3132" s="113">
        <v>100700246</v>
      </c>
      <c r="B3132" s="113" t="s">
        <v>5829</v>
      </c>
      <c r="C3132" s="113">
        <v>7035016</v>
      </c>
      <c r="D3132" s="113" t="s">
        <v>3093</v>
      </c>
      <c r="E3132" s="113" t="s">
        <v>1620</v>
      </c>
      <c r="F3132" s="113" t="s">
        <v>3093</v>
      </c>
      <c r="G3132" s="113" t="s">
        <v>3093</v>
      </c>
      <c r="H3132" s="161">
        <v>0</v>
      </c>
      <c r="I3132" s="161" t="s">
        <v>7138</v>
      </c>
    </row>
    <row r="3133" spans="1:9">
      <c r="A3133" s="113">
        <v>100700247</v>
      </c>
      <c r="B3133" s="113" t="s">
        <v>5830</v>
      </c>
      <c r="C3133" s="113">
        <v>7036092</v>
      </c>
      <c r="D3133" s="113" t="s">
        <v>3093</v>
      </c>
      <c r="E3133" s="113" t="s">
        <v>1620</v>
      </c>
      <c r="F3133" s="113" t="s">
        <v>3093</v>
      </c>
      <c r="G3133" s="113" t="s">
        <v>3093</v>
      </c>
      <c r="H3133" s="161">
        <v>20</v>
      </c>
      <c r="I3133" s="161">
        <v>300</v>
      </c>
    </row>
    <row r="3134" spans="1:9">
      <c r="A3134" s="113">
        <v>100700248</v>
      </c>
      <c r="B3134" s="113" t="s">
        <v>5831</v>
      </c>
      <c r="C3134" s="113">
        <v>7036093</v>
      </c>
      <c r="D3134" s="113" t="s">
        <v>3093</v>
      </c>
      <c r="E3134" s="113" t="s">
        <v>1620</v>
      </c>
      <c r="F3134" s="113" t="s">
        <v>3093</v>
      </c>
      <c r="G3134" s="113" t="s">
        <v>3093</v>
      </c>
      <c r="H3134" s="161">
        <v>20</v>
      </c>
      <c r="I3134" s="161">
        <v>96</v>
      </c>
    </row>
    <row r="3135" spans="1:9">
      <c r="A3135" s="113">
        <v>100700249</v>
      </c>
      <c r="B3135" s="113" t="s">
        <v>5832</v>
      </c>
      <c r="C3135" s="113">
        <v>7036094</v>
      </c>
      <c r="D3135" s="113" t="s">
        <v>3093</v>
      </c>
      <c r="E3135" s="113" t="s">
        <v>1620</v>
      </c>
      <c r="F3135" s="113" t="s">
        <v>3093</v>
      </c>
      <c r="G3135" s="113" t="s">
        <v>3093</v>
      </c>
      <c r="H3135" s="161">
        <v>10.16</v>
      </c>
      <c r="I3135" s="161">
        <v>132</v>
      </c>
    </row>
    <row r="3136" spans="1:9">
      <c r="A3136" s="113">
        <v>100700250</v>
      </c>
      <c r="B3136" s="113" t="s">
        <v>3024</v>
      </c>
      <c r="C3136" s="113">
        <v>7036095</v>
      </c>
      <c r="D3136" s="113" t="s">
        <v>3093</v>
      </c>
      <c r="E3136" s="113" t="s">
        <v>1620</v>
      </c>
      <c r="F3136" s="113" t="s">
        <v>3093</v>
      </c>
      <c r="G3136" s="113" t="s">
        <v>3093</v>
      </c>
      <c r="H3136" s="161">
        <v>12.55</v>
      </c>
      <c r="I3136" s="161">
        <v>300</v>
      </c>
    </row>
    <row r="3137" spans="1:9">
      <c r="A3137" s="113">
        <v>100700251</v>
      </c>
      <c r="B3137" s="113" t="s">
        <v>3025</v>
      </c>
      <c r="C3137" s="113">
        <v>7036096</v>
      </c>
      <c r="D3137" s="113" t="s">
        <v>3093</v>
      </c>
      <c r="E3137" s="113" t="s">
        <v>1620</v>
      </c>
      <c r="F3137" s="113" t="s">
        <v>3093</v>
      </c>
      <c r="G3137" s="113" t="s">
        <v>3093</v>
      </c>
      <c r="H3137" s="161">
        <v>8.9700000000000006</v>
      </c>
      <c r="I3137" s="161">
        <v>300</v>
      </c>
    </row>
    <row r="3138" spans="1:9">
      <c r="A3138" s="113">
        <v>100700252</v>
      </c>
      <c r="B3138" s="113" t="s">
        <v>3026</v>
      </c>
      <c r="C3138" s="113">
        <v>7036097</v>
      </c>
      <c r="D3138" s="113" t="s">
        <v>3093</v>
      </c>
      <c r="E3138" s="113" t="s">
        <v>1620</v>
      </c>
      <c r="F3138" s="113" t="s">
        <v>3093</v>
      </c>
      <c r="G3138" s="113" t="s">
        <v>3093</v>
      </c>
      <c r="H3138" s="161">
        <v>12.39</v>
      </c>
      <c r="I3138" s="161">
        <v>144</v>
      </c>
    </row>
    <row r="3139" spans="1:9">
      <c r="A3139" s="113">
        <v>100700253</v>
      </c>
      <c r="B3139" s="113" t="s">
        <v>3027</v>
      </c>
      <c r="C3139" s="113">
        <v>7036098</v>
      </c>
      <c r="D3139" s="113" t="s">
        <v>3093</v>
      </c>
      <c r="E3139" s="113" t="s">
        <v>1620</v>
      </c>
      <c r="F3139" s="113" t="s">
        <v>3093</v>
      </c>
      <c r="G3139" s="113" t="s">
        <v>3093</v>
      </c>
      <c r="H3139" s="161">
        <v>11.77</v>
      </c>
      <c r="I3139" s="161">
        <v>156</v>
      </c>
    </row>
    <row r="3140" spans="1:9">
      <c r="A3140" s="113">
        <v>100700254</v>
      </c>
      <c r="B3140" s="113" t="s">
        <v>5833</v>
      </c>
      <c r="C3140" s="113">
        <v>7036099</v>
      </c>
      <c r="D3140" s="113" t="s">
        <v>3093</v>
      </c>
      <c r="E3140" s="113" t="s">
        <v>1620</v>
      </c>
      <c r="F3140" s="113" t="s">
        <v>3093</v>
      </c>
      <c r="G3140" s="113" t="s">
        <v>3093</v>
      </c>
      <c r="H3140" s="161">
        <v>12</v>
      </c>
      <c r="I3140" s="161">
        <v>60</v>
      </c>
    </row>
    <row r="3141" spans="1:9">
      <c r="A3141" s="113">
        <v>100700255</v>
      </c>
      <c r="B3141" s="113" t="s">
        <v>5834</v>
      </c>
      <c r="C3141" s="113">
        <v>7036100</v>
      </c>
      <c r="D3141" s="113" t="s">
        <v>3093</v>
      </c>
      <c r="E3141" s="113" t="s">
        <v>1620</v>
      </c>
      <c r="F3141" s="113" t="s">
        <v>3093</v>
      </c>
      <c r="G3141" s="113" t="s">
        <v>3093</v>
      </c>
      <c r="H3141" s="161">
        <v>9.59</v>
      </c>
      <c r="I3141" s="161">
        <v>120</v>
      </c>
    </row>
    <row r="3142" spans="1:9">
      <c r="A3142" s="113">
        <v>100700256</v>
      </c>
      <c r="B3142" s="113" t="s">
        <v>3028</v>
      </c>
      <c r="C3142" s="113">
        <v>7036101</v>
      </c>
      <c r="D3142" s="113" t="s">
        <v>3093</v>
      </c>
      <c r="E3142" s="113" t="s">
        <v>1620</v>
      </c>
      <c r="F3142" s="113" t="s">
        <v>3093</v>
      </c>
      <c r="G3142" s="113" t="s">
        <v>3093</v>
      </c>
      <c r="H3142" s="161">
        <v>10.49</v>
      </c>
      <c r="I3142" s="161">
        <v>120</v>
      </c>
    </row>
    <row r="3143" spans="1:9">
      <c r="A3143" s="113">
        <v>100700257</v>
      </c>
      <c r="B3143" s="113" t="s">
        <v>5835</v>
      </c>
      <c r="C3143" s="113">
        <v>7036130</v>
      </c>
      <c r="D3143" s="113" t="s">
        <v>3093</v>
      </c>
      <c r="E3143" s="113" t="s">
        <v>1620</v>
      </c>
      <c r="F3143" s="113" t="s">
        <v>3093</v>
      </c>
      <c r="G3143" s="113" t="s">
        <v>3093</v>
      </c>
      <c r="H3143" s="161">
        <v>58.08</v>
      </c>
      <c r="I3143" s="161">
        <v>0</v>
      </c>
    </row>
    <row r="3144" spans="1:9">
      <c r="A3144" s="113">
        <v>100700258</v>
      </c>
      <c r="B3144" s="113" t="s">
        <v>5836</v>
      </c>
      <c r="C3144" s="113">
        <v>7037154</v>
      </c>
      <c r="D3144" s="113" t="s">
        <v>3093</v>
      </c>
      <c r="E3144" s="113" t="s">
        <v>1620</v>
      </c>
      <c r="F3144" s="113" t="s">
        <v>3093</v>
      </c>
      <c r="G3144" s="113" t="s">
        <v>3093</v>
      </c>
      <c r="H3144" s="161">
        <v>17.8</v>
      </c>
      <c r="I3144" s="161">
        <v>504</v>
      </c>
    </row>
    <row r="3145" spans="1:9">
      <c r="A3145" s="113">
        <v>100700259</v>
      </c>
      <c r="B3145" s="113" t="s">
        <v>5837</v>
      </c>
      <c r="C3145" s="113">
        <v>7037156</v>
      </c>
      <c r="D3145" s="113" t="s">
        <v>3093</v>
      </c>
      <c r="E3145" s="113" t="s">
        <v>1620</v>
      </c>
      <c r="F3145" s="113" t="s">
        <v>3093</v>
      </c>
      <c r="G3145" s="113" t="s">
        <v>3093</v>
      </c>
      <c r="H3145" s="161">
        <v>17.8</v>
      </c>
      <c r="I3145" s="161">
        <v>3</v>
      </c>
    </row>
    <row r="3146" spans="1:9">
      <c r="A3146" s="113">
        <v>100700260</v>
      </c>
      <c r="B3146" s="113" t="s">
        <v>5838</v>
      </c>
      <c r="C3146" s="113">
        <v>7038029</v>
      </c>
      <c r="D3146" s="113" t="s">
        <v>3093</v>
      </c>
      <c r="E3146" s="113" t="s">
        <v>1620</v>
      </c>
      <c r="F3146" s="113" t="s">
        <v>3093</v>
      </c>
      <c r="G3146" s="113" t="s">
        <v>3093</v>
      </c>
      <c r="H3146" s="161">
        <v>96</v>
      </c>
      <c r="I3146" s="161">
        <v>70</v>
      </c>
    </row>
    <row r="3147" spans="1:9">
      <c r="A3147" s="113">
        <v>100700261</v>
      </c>
      <c r="B3147" s="113" t="s">
        <v>5839</v>
      </c>
      <c r="C3147" s="113">
        <v>7038031</v>
      </c>
      <c r="D3147" s="113" t="s">
        <v>3093</v>
      </c>
      <c r="E3147" s="113" t="s">
        <v>1620</v>
      </c>
      <c r="F3147" s="113" t="s">
        <v>3093</v>
      </c>
      <c r="G3147" s="113" t="s">
        <v>3093</v>
      </c>
      <c r="H3147" s="161">
        <v>92</v>
      </c>
      <c r="I3147" s="161">
        <v>40</v>
      </c>
    </row>
    <row r="3148" spans="1:9">
      <c r="A3148" s="113">
        <v>100700262</v>
      </c>
      <c r="B3148" s="113" t="s">
        <v>5840</v>
      </c>
      <c r="C3148" s="113">
        <v>7038032</v>
      </c>
      <c r="D3148" s="113" t="s">
        <v>3093</v>
      </c>
      <c r="E3148" s="113" t="s">
        <v>1620</v>
      </c>
      <c r="F3148" s="113" t="s">
        <v>3093</v>
      </c>
      <c r="G3148" s="113" t="s">
        <v>3093</v>
      </c>
      <c r="H3148" s="161">
        <v>125</v>
      </c>
      <c r="I3148" s="161">
        <v>40</v>
      </c>
    </row>
    <row r="3149" spans="1:9">
      <c r="A3149" s="113">
        <v>100700263</v>
      </c>
      <c r="B3149" s="113" t="s">
        <v>1316</v>
      </c>
      <c r="C3149" s="113">
        <v>7038078</v>
      </c>
      <c r="D3149" s="113" t="s">
        <v>3093</v>
      </c>
      <c r="E3149" s="113" t="s">
        <v>1620</v>
      </c>
      <c r="F3149" s="113" t="s">
        <v>3093</v>
      </c>
      <c r="G3149" s="113" t="s">
        <v>3093</v>
      </c>
      <c r="H3149" s="161">
        <v>20.78</v>
      </c>
      <c r="I3149" s="161">
        <v>120</v>
      </c>
    </row>
    <row r="3150" spans="1:9">
      <c r="A3150" s="113">
        <v>100700264</v>
      </c>
      <c r="B3150" s="113" t="s">
        <v>3029</v>
      </c>
      <c r="C3150" s="113">
        <v>7038083</v>
      </c>
      <c r="D3150" s="113" t="s">
        <v>3093</v>
      </c>
      <c r="E3150" s="113" t="s">
        <v>1620</v>
      </c>
      <c r="F3150" s="113" t="s">
        <v>3093</v>
      </c>
      <c r="G3150" s="113" t="s">
        <v>3093</v>
      </c>
      <c r="H3150" s="161">
        <v>19.79</v>
      </c>
      <c r="I3150" s="161">
        <v>0</v>
      </c>
    </row>
    <row r="3151" spans="1:9">
      <c r="A3151" s="113">
        <v>100700265</v>
      </c>
      <c r="B3151" s="113" t="s">
        <v>3030</v>
      </c>
      <c r="C3151" s="113">
        <v>7038084</v>
      </c>
      <c r="D3151" s="113" t="s">
        <v>3093</v>
      </c>
      <c r="E3151" s="113" t="s">
        <v>1620</v>
      </c>
      <c r="F3151" s="113" t="s">
        <v>3093</v>
      </c>
      <c r="G3151" s="113" t="s">
        <v>3093</v>
      </c>
      <c r="H3151" s="161">
        <v>21.56</v>
      </c>
      <c r="I3151" s="161">
        <v>0</v>
      </c>
    </row>
    <row r="3152" spans="1:9">
      <c r="A3152" s="113">
        <v>100700266</v>
      </c>
      <c r="B3152" s="113" t="s">
        <v>1323</v>
      </c>
      <c r="C3152" s="113">
        <v>7038085</v>
      </c>
      <c r="D3152" s="113" t="s">
        <v>3093</v>
      </c>
      <c r="E3152" s="113" t="s">
        <v>1620</v>
      </c>
      <c r="F3152" s="113" t="s">
        <v>3093</v>
      </c>
      <c r="G3152" s="113" t="s">
        <v>3093</v>
      </c>
      <c r="H3152" s="161">
        <v>33.75</v>
      </c>
      <c r="I3152" s="161">
        <v>3</v>
      </c>
    </row>
    <row r="3153" spans="1:9">
      <c r="A3153" s="113">
        <v>100700267</v>
      </c>
      <c r="B3153" s="113" t="s">
        <v>1324</v>
      </c>
      <c r="C3153" s="113">
        <v>7038086</v>
      </c>
      <c r="D3153" s="113" t="s">
        <v>3093</v>
      </c>
      <c r="E3153" s="113" t="s">
        <v>1620</v>
      </c>
      <c r="F3153" s="113" t="s">
        <v>3093</v>
      </c>
      <c r="G3153" s="113" t="s">
        <v>3093</v>
      </c>
      <c r="H3153" s="161">
        <v>89.55</v>
      </c>
      <c r="I3153" s="161">
        <v>10</v>
      </c>
    </row>
    <row r="3154" spans="1:9">
      <c r="A3154" s="113">
        <v>100700268</v>
      </c>
      <c r="B3154" s="113" t="s">
        <v>1332</v>
      </c>
      <c r="C3154" s="113">
        <v>7038087</v>
      </c>
      <c r="D3154" s="113" t="s">
        <v>3093</v>
      </c>
      <c r="E3154" s="113" t="s">
        <v>1620</v>
      </c>
      <c r="F3154" s="113" t="s">
        <v>3093</v>
      </c>
      <c r="G3154" s="113" t="s">
        <v>3093</v>
      </c>
      <c r="H3154" s="161">
        <v>22.5</v>
      </c>
      <c r="I3154" s="161">
        <v>5</v>
      </c>
    </row>
    <row r="3155" spans="1:9">
      <c r="A3155" s="113">
        <v>100700269</v>
      </c>
      <c r="B3155" s="113" t="s">
        <v>5841</v>
      </c>
      <c r="C3155" s="113">
        <v>7038106</v>
      </c>
      <c r="D3155" s="113" t="s">
        <v>3093</v>
      </c>
      <c r="E3155" s="113" t="s">
        <v>1620</v>
      </c>
      <c r="F3155" s="113" t="s">
        <v>3093</v>
      </c>
      <c r="G3155" s="113" t="s">
        <v>3093</v>
      </c>
      <c r="H3155" s="161">
        <v>18</v>
      </c>
      <c r="I3155" s="161" t="s">
        <v>7138</v>
      </c>
    </row>
    <row r="3156" spans="1:9">
      <c r="A3156" s="113">
        <v>100700270</v>
      </c>
      <c r="B3156" s="113" t="s">
        <v>5842</v>
      </c>
      <c r="C3156" s="113">
        <v>7038107</v>
      </c>
      <c r="D3156" s="113" t="s">
        <v>3093</v>
      </c>
      <c r="E3156" s="113" t="s">
        <v>1620</v>
      </c>
      <c r="F3156" s="113" t="s">
        <v>3093</v>
      </c>
      <c r="G3156" s="113" t="s">
        <v>3093</v>
      </c>
      <c r="H3156" s="161">
        <v>18</v>
      </c>
      <c r="I3156" s="161">
        <v>5</v>
      </c>
    </row>
    <row r="3157" spans="1:9">
      <c r="A3157" s="113">
        <v>100700271</v>
      </c>
      <c r="B3157" s="113" t="s">
        <v>3031</v>
      </c>
      <c r="C3157" s="113">
        <v>7040041</v>
      </c>
      <c r="D3157" s="113" t="s">
        <v>3093</v>
      </c>
      <c r="E3157" s="113" t="s">
        <v>1620</v>
      </c>
      <c r="F3157" s="113" t="s">
        <v>3093</v>
      </c>
      <c r="G3157" s="113" t="s">
        <v>3093</v>
      </c>
      <c r="H3157" s="161">
        <v>0</v>
      </c>
      <c r="I3157" s="161" t="s">
        <v>7138</v>
      </c>
    </row>
    <row r="3158" spans="1:9">
      <c r="A3158" s="113">
        <v>100700272</v>
      </c>
      <c r="B3158" s="113" t="s">
        <v>3032</v>
      </c>
      <c r="C3158" s="113">
        <v>7040043</v>
      </c>
      <c r="D3158" s="113" t="s">
        <v>3093</v>
      </c>
      <c r="E3158" s="113" t="s">
        <v>1620</v>
      </c>
      <c r="F3158" s="113" t="s">
        <v>3093</v>
      </c>
      <c r="G3158" s="113" t="s">
        <v>3093</v>
      </c>
      <c r="H3158" s="161">
        <v>0</v>
      </c>
      <c r="I3158" s="161" t="s">
        <v>7138</v>
      </c>
    </row>
    <row r="3159" spans="1:9">
      <c r="A3159" s="113">
        <v>100700273</v>
      </c>
      <c r="B3159" s="113" t="s">
        <v>3033</v>
      </c>
      <c r="C3159" s="113">
        <v>7040044</v>
      </c>
      <c r="D3159" s="113" t="s">
        <v>3093</v>
      </c>
      <c r="E3159" s="113" t="s">
        <v>1620</v>
      </c>
      <c r="F3159" s="113" t="s">
        <v>3093</v>
      </c>
      <c r="G3159" s="113" t="s">
        <v>3093</v>
      </c>
      <c r="H3159" s="161">
        <v>0</v>
      </c>
      <c r="I3159" s="161" t="s">
        <v>7138</v>
      </c>
    </row>
    <row r="3160" spans="1:9">
      <c r="A3160" s="113">
        <v>100700274</v>
      </c>
      <c r="B3160" s="113" t="s">
        <v>3034</v>
      </c>
      <c r="C3160" s="113">
        <v>7040045</v>
      </c>
      <c r="D3160" s="113" t="s">
        <v>3093</v>
      </c>
      <c r="E3160" s="113" t="s">
        <v>1620</v>
      </c>
      <c r="F3160" s="113" t="s">
        <v>3093</v>
      </c>
      <c r="G3160" s="113" t="s">
        <v>3093</v>
      </c>
      <c r="H3160" s="161">
        <v>0</v>
      </c>
      <c r="I3160" s="161" t="s">
        <v>7138</v>
      </c>
    </row>
    <row r="3161" spans="1:9">
      <c r="A3161" s="113">
        <v>100700275</v>
      </c>
      <c r="B3161" s="113" t="s">
        <v>5843</v>
      </c>
      <c r="C3161" s="113">
        <v>7040048</v>
      </c>
      <c r="D3161" s="113" t="s">
        <v>3093</v>
      </c>
      <c r="E3161" s="113" t="s">
        <v>1620</v>
      </c>
      <c r="F3161" s="113" t="s">
        <v>3093</v>
      </c>
      <c r="G3161" s="113" t="s">
        <v>3093</v>
      </c>
      <c r="H3161" s="161">
        <v>4.5199999999999996</v>
      </c>
      <c r="I3161" s="161">
        <v>2400</v>
      </c>
    </row>
    <row r="3162" spans="1:9">
      <c r="A3162" s="113">
        <v>100700276</v>
      </c>
      <c r="B3162" s="113" t="s">
        <v>5844</v>
      </c>
      <c r="C3162" s="113">
        <v>7041049</v>
      </c>
      <c r="D3162" s="113" t="s">
        <v>3093</v>
      </c>
      <c r="E3162" s="113" t="s">
        <v>1620</v>
      </c>
      <c r="F3162" s="113" t="s">
        <v>3093</v>
      </c>
      <c r="G3162" s="113" t="s">
        <v>3093</v>
      </c>
      <c r="H3162" s="161">
        <v>0</v>
      </c>
      <c r="I3162" s="161" t="s">
        <v>7138</v>
      </c>
    </row>
    <row r="3163" spans="1:9">
      <c r="A3163" s="113">
        <v>100700277</v>
      </c>
      <c r="B3163" s="113" t="s">
        <v>5845</v>
      </c>
      <c r="C3163" s="113">
        <v>7041056</v>
      </c>
      <c r="D3163" s="113" t="s">
        <v>3093</v>
      </c>
      <c r="E3163" s="113" t="s">
        <v>1620</v>
      </c>
      <c r="F3163" s="113" t="s">
        <v>3093</v>
      </c>
      <c r="G3163" s="113" t="s">
        <v>3093</v>
      </c>
      <c r="H3163" s="161">
        <v>4.3</v>
      </c>
      <c r="I3163" s="161">
        <v>605</v>
      </c>
    </row>
    <row r="3164" spans="1:9">
      <c r="A3164" s="113">
        <v>100700278</v>
      </c>
      <c r="B3164" s="113" t="s">
        <v>5846</v>
      </c>
      <c r="C3164" s="113">
        <v>7041083</v>
      </c>
      <c r="D3164" s="113" t="s">
        <v>3093</v>
      </c>
      <c r="E3164" s="113" t="s">
        <v>1620</v>
      </c>
      <c r="F3164" s="113" t="s">
        <v>3093</v>
      </c>
      <c r="G3164" s="113" t="s">
        <v>3093</v>
      </c>
      <c r="H3164" s="161">
        <v>96</v>
      </c>
      <c r="I3164" s="161">
        <v>770</v>
      </c>
    </row>
    <row r="3165" spans="1:9">
      <c r="A3165" s="113">
        <v>100700279</v>
      </c>
      <c r="B3165" s="113" t="s">
        <v>5847</v>
      </c>
      <c r="C3165" s="113">
        <v>7042061</v>
      </c>
      <c r="D3165" s="113" t="s">
        <v>3093</v>
      </c>
      <c r="E3165" s="113" t="s">
        <v>1620</v>
      </c>
      <c r="F3165" s="113" t="s">
        <v>3093</v>
      </c>
      <c r="G3165" s="113" t="s">
        <v>3093</v>
      </c>
      <c r="H3165" s="161">
        <v>45</v>
      </c>
      <c r="I3165" s="161">
        <v>154</v>
      </c>
    </row>
    <row r="3166" spans="1:9">
      <c r="A3166" s="113">
        <v>100700280</v>
      </c>
      <c r="B3166" s="113" t="s">
        <v>5848</v>
      </c>
      <c r="C3166" s="113">
        <v>7054017</v>
      </c>
      <c r="D3166" s="113" t="s">
        <v>3093</v>
      </c>
      <c r="E3166" s="113" t="s">
        <v>1620</v>
      </c>
      <c r="F3166" s="113" t="s">
        <v>3093</v>
      </c>
      <c r="G3166" s="113" t="s">
        <v>3093</v>
      </c>
      <c r="H3166" s="161">
        <v>0</v>
      </c>
      <c r="I3166" s="161" t="s">
        <v>7138</v>
      </c>
    </row>
    <row r="3167" spans="1:9">
      <c r="A3167" s="113">
        <v>100700281</v>
      </c>
      <c r="B3167" s="113" t="s">
        <v>5849</v>
      </c>
      <c r="C3167" s="113">
        <v>7054018</v>
      </c>
      <c r="D3167" s="113" t="s">
        <v>3093</v>
      </c>
      <c r="E3167" s="113" t="s">
        <v>1620</v>
      </c>
      <c r="F3167" s="113" t="s">
        <v>3093</v>
      </c>
      <c r="G3167" s="113" t="s">
        <v>3093</v>
      </c>
      <c r="H3167" s="161">
        <v>0</v>
      </c>
      <c r="I3167" s="161" t="s">
        <v>7138</v>
      </c>
    </row>
    <row r="3168" spans="1:9">
      <c r="A3168" s="113">
        <v>100700282</v>
      </c>
      <c r="B3168" s="113" t="s">
        <v>5850</v>
      </c>
      <c r="C3168" s="113">
        <v>7054030</v>
      </c>
      <c r="D3168" s="113" t="s">
        <v>3093</v>
      </c>
      <c r="E3168" s="113" t="s">
        <v>1620</v>
      </c>
      <c r="F3168" s="113" t="s">
        <v>3093</v>
      </c>
      <c r="G3168" s="113" t="s">
        <v>3093</v>
      </c>
      <c r="H3168" s="161">
        <v>3</v>
      </c>
      <c r="I3168" s="161">
        <v>3000</v>
      </c>
    </row>
    <row r="3169" spans="1:9">
      <c r="A3169" s="113">
        <v>100700283</v>
      </c>
      <c r="B3169" s="113" t="s">
        <v>3035</v>
      </c>
      <c r="C3169" s="113">
        <v>7054031</v>
      </c>
      <c r="D3169" s="113" t="s">
        <v>3093</v>
      </c>
      <c r="E3169" s="113" t="s">
        <v>1620</v>
      </c>
      <c r="F3169" s="113" t="s">
        <v>3093</v>
      </c>
      <c r="G3169" s="113" t="s">
        <v>3093</v>
      </c>
      <c r="H3169" s="161">
        <v>0</v>
      </c>
      <c r="I3169" s="161" t="s">
        <v>7138</v>
      </c>
    </row>
    <row r="3170" spans="1:9">
      <c r="A3170" s="113">
        <v>100700284</v>
      </c>
      <c r="B3170" s="113" t="s">
        <v>5851</v>
      </c>
      <c r="C3170" s="113">
        <v>7054044</v>
      </c>
      <c r="D3170" s="113" t="s">
        <v>3093</v>
      </c>
      <c r="E3170" s="113" t="s">
        <v>1620</v>
      </c>
      <c r="F3170" s="113" t="s">
        <v>3093</v>
      </c>
      <c r="G3170" s="113" t="s">
        <v>3093</v>
      </c>
      <c r="H3170" s="161">
        <v>6.75</v>
      </c>
      <c r="I3170" s="161">
        <v>0</v>
      </c>
    </row>
    <row r="3171" spans="1:9">
      <c r="A3171" s="113">
        <v>100700285</v>
      </c>
      <c r="B3171" s="113" t="s">
        <v>5852</v>
      </c>
      <c r="C3171" s="113">
        <v>7054050</v>
      </c>
      <c r="D3171" s="113" t="s">
        <v>3093</v>
      </c>
      <c r="E3171" s="113" t="s">
        <v>1620</v>
      </c>
      <c r="F3171" s="113" t="s">
        <v>3093</v>
      </c>
      <c r="G3171" s="113" t="s">
        <v>3093</v>
      </c>
      <c r="H3171" s="161">
        <v>0</v>
      </c>
      <c r="I3171" s="161" t="s">
        <v>7138</v>
      </c>
    </row>
    <row r="3172" spans="1:9">
      <c r="A3172" s="113">
        <v>100700286</v>
      </c>
      <c r="B3172" s="113" t="s">
        <v>5853</v>
      </c>
      <c r="C3172" s="113">
        <v>7054051</v>
      </c>
      <c r="D3172" s="113" t="s">
        <v>3093</v>
      </c>
      <c r="E3172" s="113" t="s">
        <v>1620</v>
      </c>
      <c r="F3172" s="113" t="s">
        <v>3093</v>
      </c>
      <c r="G3172" s="113" t="s">
        <v>3093</v>
      </c>
      <c r="H3172" s="161">
        <v>11.49</v>
      </c>
      <c r="I3172" s="161">
        <v>300</v>
      </c>
    </row>
    <row r="3173" spans="1:9">
      <c r="A3173" s="113">
        <v>100700287</v>
      </c>
      <c r="B3173" s="113" t="s">
        <v>5854</v>
      </c>
      <c r="C3173" s="113">
        <v>7054080</v>
      </c>
      <c r="D3173" s="113" t="s">
        <v>3093</v>
      </c>
      <c r="E3173" s="113" t="s">
        <v>1620</v>
      </c>
      <c r="F3173" s="113" t="s">
        <v>3093</v>
      </c>
      <c r="G3173" s="113" t="s">
        <v>3093</v>
      </c>
      <c r="H3173" s="161">
        <v>0</v>
      </c>
      <c r="I3173" s="161" t="s">
        <v>7138</v>
      </c>
    </row>
    <row r="3174" spans="1:9">
      <c r="A3174" s="113">
        <v>100700288</v>
      </c>
      <c r="B3174" s="113" t="s">
        <v>5855</v>
      </c>
      <c r="C3174" s="113">
        <v>7054118</v>
      </c>
      <c r="D3174" s="113" t="s">
        <v>3093</v>
      </c>
      <c r="E3174" s="113" t="s">
        <v>1620</v>
      </c>
      <c r="F3174" s="113" t="s">
        <v>3093</v>
      </c>
      <c r="G3174" s="113" t="s">
        <v>3093</v>
      </c>
      <c r="H3174" s="161">
        <v>0</v>
      </c>
      <c r="I3174" s="161" t="s">
        <v>7138</v>
      </c>
    </row>
    <row r="3175" spans="1:9">
      <c r="A3175" s="113">
        <v>100700289</v>
      </c>
      <c r="B3175" s="113" t="s">
        <v>5856</v>
      </c>
      <c r="C3175" s="113">
        <v>7054119</v>
      </c>
      <c r="D3175" s="113" t="s">
        <v>3093</v>
      </c>
      <c r="E3175" s="113" t="s">
        <v>1620</v>
      </c>
      <c r="F3175" s="113" t="s">
        <v>3093</v>
      </c>
      <c r="G3175" s="113" t="s">
        <v>3093</v>
      </c>
      <c r="H3175" s="161">
        <v>0</v>
      </c>
      <c r="I3175" s="161" t="s">
        <v>7138</v>
      </c>
    </row>
    <row r="3176" spans="1:9">
      <c r="A3176" s="113">
        <v>100700290</v>
      </c>
      <c r="B3176" s="113" t="s">
        <v>5857</v>
      </c>
      <c r="C3176" s="113">
        <v>7070130</v>
      </c>
      <c r="D3176" s="113" t="s">
        <v>3093</v>
      </c>
      <c r="E3176" s="113" t="s">
        <v>1620</v>
      </c>
      <c r="F3176" s="113" t="s">
        <v>3093</v>
      </c>
      <c r="G3176" s="113" t="s">
        <v>3093</v>
      </c>
      <c r="H3176" s="161">
        <v>133.74</v>
      </c>
      <c r="I3176" s="161">
        <v>18</v>
      </c>
    </row>
    <row r="3177" spans="1:9">
      <c r="A3177" s="113">
        <v>100700291</v>
      </c>
      <c r="B3177" s="113" t="s">
        <v>5858</v>
      </c>
      <c r="C3177" s="113">
        <v>7072021</v>
      </c>
      <c r="D3177" s="113" t="s">
        <v>3093</v>
      </c>
      <c r="E3177" s="113" t="s">
        <v>1620</v>
      </c>
      <c r="F3177" s="113" t="s">
        <v>3093</v>
      </c>
      <c r="G3177" s="113" t="s">
        <v>3093</v>
      </c>
      <c r="H3177" s="161">
        <v>0</v>
      </c>
      <c r="I3177" s="161" t="s">
        <v>7138</v>
      </c>
    </row>
    <row r="3178" spans="1:9">
      <c r="A3178" s="113">
        <v>100700292</v>
      </c>
      <c r="B3178" s="113" t="s">
        <v>5859</v>
      </c>
      <c r="C3178" s="113">
        <v>7072088</v>
      </c>
      <c r="D3178" s="113" t="s">
        <v>3093</v>
      </c>
      <c r="E3178" s="113" t="s">
        <v>1620</v>
      </c>
      <c r="F3178" s="113" t="s">
        <v>3093</v>
      </c>
      <c r="G3178" s="113" t="s">
        <v>3093</v>
      </c>
      <c r="H3178" s="161">
        <v>0</v>
      </c>
      <c r="I3178" s="161" t="s">
        <v>7138</v>
      </c>
    </row>
    <row r="3179" spans="1:9">
      <c r="A3179" s="113">
        <v>100700293</v>
      </c>
      <c r="B3179" s="113" t="s">
        <v>5860</v>
      </c>
      <c r="C3179" s="113">
        <v>7072089</v>
      </c>
      <c r="D3179" s="113" t="s">
        <v>3093</v>
      </c>
      <c r="E3179" s="113" t="s">
        <v>1620</v>
      </c>
      <c r="F3179" s="113" t="s">
        <v>3093</v>
      </c>
      <c r="G3179" s="113" t="s">
        <v>3093</v>
      </c>
      <c r="H3179" s="161">
        <v>0</v>
      </c>
      <c r="I3179" s="161" t="s">
        <v>7138</v>
      </c>
    </row>
    <row r="3180" spans="1:9">
      <c r="A3180" s="113">
        <v>100700294</v>
      </c>
      <c r="B3180" s="113" t="s">
        <v>5861</v>
      </c>
      <c r="C3180" s="113">
        <v>7072090</v>
      </c>
      <c r="D3180" s="113" t="s">
        <v>3093</v>
      </c>
      <c r="E3180" s="113" t="s">
        <v>1620</v>
      </c>
      <c r="F3180" s="113" t="s">
        <v>3093</v>
      </c>
      <c r="G3180" s="113" t="s">
        <v>3093</v>
      </c>
      <c r="H3180" s="161">
        <v>0</v>
      </c>
      <c r="I3180" s="161" t="s">
        <v>7138</v>
      </c>
    </row>
    <row r="3181" spans="1:9">
      <c r="A3181" s="113">
        <v>100700295</v>
      </c>
      <c r="B3181" s="113" t="s">
        <v>5862</v>
      </c>
      <c r="C3181" s="113">
        <v>7072092</v>
      </c>
      <c r="D3181" s="113" t="s">
        <v>3093</v>
      </c>
      <c r="E3181" s="113" t="s">
        <v>1620</v>
      </c>
      <c r="F3181" s="113" t="s">
        <v>3093</v>
      </c>
      <c r="G3181" s="113" t="s">
        <v>3093</v>
      </c>
      <c r="H3181" s="161">
        <v>0</v>
      </c>
      <c r="I3181" s="161" t="s">
        <v>7138</v>
      </c>
    </row>
    <row r="3182" spans="1:9">
      <c r="A3182" s="113">
        <v>100700296</v>
      </c>
      <c r="B3182" s="113" t="s">
        <v>5863</v>
      </c>
      <c r="C3182" s="113">
        <v>7072096</v>
      </c>
      <c r="D3182" s="113" t="s">
        <v>3093</v>
      </c>
      <c r="E3182" s="113" t="s">
        <v>1620</v>
      </c>
      <c r="F3182" s="113" t="s">
        <v>3093</v>
      </c>
      <c r="G3182" s="113" t="s">
        <v>3093</v>
      </c>
      <c r="H3182" s="161">
        <v>0</v>
      </c>
      <c r="I3182" s="161" t="s">
        <v>7138</v>
      </c>
    </row>
    <row r="3183" spans="1:9">
      <c r="A3183" s="113">
        <v>100700297</v>
      </c>
      <c r="B3183" s="113" t="s">
        <v>5864</v>
      </c>
      <c r="C3183" s="113">
        <v>7072105</v>
      </c>
      <c r="D3183" s="113" t="s">
        <v>3093</v>
      </c>
      <c r="E3183" s="113" t="s">
        <v>1620</v>
      </c>
      <c r="F3183" s="113" t="s">
        <v>3093</v>
      </c>
      <c r="G3183" s="113" t="s">
        <v>3093</v>
      </c>
      <c r="H3183" s="161">
        <v>0</v>
      </c>
      <c r="I3183" s="161" t="s">
        <v>7138</v>
      </c>
    </row>
    <row r="3184" spans="1:9">
      <c r="A3184" s="113">
        <v>100700298</v>
      </c>
      <c r="B3184" s="113" t="s">
        <v>5865</v>
      </c>
      <c r="C3184" s="113">
        <v>7074115</v>
      </c>
      <c r="D3184" s="113" t="s">
        <v>3093</v>
      </c>
      <c r="E3184" s="113" t="s">
        <v>1620</v>
      </c>
      <c r="F3184" s="113" t="s">
        <v>3093</v>
      </c>
      <c r="G3184" s="113" t="s">
        <v>3093</v>
      </c>
      <c r="H3184" s="161">
        <v>55</v>
      </c>
      <c r="I3184" s="161">
        <v>48</v>
      </c>
    </row>
    <row r="3185" spans="1:9">
      <c r="A3185" s="113">
        <v>100700299</v>
      </c>
      <c r="B3185" s="113" t="s">
        <v>5866</v>
      </c>
      <c r="C3185" s="113">
        <v>7080055</v>
      </c>
      <c r="D3185" s="113" t="s">
        <v>3093</v>
      </c>
      <c r="E3185" s="113" t="s">
        <v>1620</v>
      </c>
      <c r="F3185" s="113" t="s">
        <v>3093</v>
      </c>
      <c r="G3185" s="113" t="s">
        <v>3093</v>
      </c>
      <c r="H3185" s="161">
        <v>1450</v>
      </c>
      <c r="I3185" s="161">
        <v>10</v>
      </c>
    </row>
    <row r="3186" spans="1:9">
      <c r="A3186" s="113">
        <v>100700300</v>
      </c>
      <c r="B3186" s="113" t="s">
        <v>5867</v>
      </c>
      <c r="C3186" s="113">
        <v>7080064</v>
      </c>
      <c r="D3186" s="113" t="s">
        <v>3093</v>
      </c>
      <c r="E3186" s="113" t="s">
        <v>1620</v>
      </c>
      <c r="F3186" s="113" t="s">
        <v>3093</v>
      </c>
      <c r="G3186" s="113" t="s">
        <v>3093</v>
      </c>
      <c r="H3186" s="161">
        <v>19.75</v>
      </c>
      <c r="I3186" s="161">
        <v>0</v>
      </c>
    </row>
    <row r="3187" spans="1:9">
      <c r="A3187" s="113">
        <v>100700301</v>
      </c>
      <c r="B3187" s="113" t="s">
        <v>5868</v>
      </c>
      <c r="C3187" s="113">
        <v>7080075</v>
      </c>
      <c r="D3187" s="113" t="s">
        <v>3093</v>
      </c>
      <c r="E3187" s="113" t="s">
        <v>1620</v>
      </c>
      <c r="F3187" s="113" t="s">
        <v>3093</v>
      </c>
      <c r="G3187" s="113" t="s">
        <v>3093</v>
      </c>
      <c r="H3187" s="161">
        <v>80</v>
      </c>
      <c r="I3187" s="161">
        <v>200</v>
      </c>
    </row>
    <row r="3188" spans="1:9">
      <c r="A3188" s="113">
        <v>100700302</v>
      </c>
      <c r="B3188" s="113" t="s">
        <v>5869</v>
      </c>
      <c r="C3188" s="113">
        <v>7080183</v>
      </c>
      <c r="D3188" s="113" t="s">
        <v>3093</v>
      </c>
      <c r="E3188" s="113" t="s">
        <v>1620</v>
      </c>
      <c r="F3188" s="113" t="s">
        <v>3093</v>
      </c>
      <c r="G3188" s="113" t="s">
        <v>3093</v>
      </c>
      <c r="H3188" s="161">
        <v>0</v>
      </c>
      <c r="I3188" s="161" t="s">
        <v>7138</v>
      </c>
    </row>
    <row r="3189" spans="1:9">
      <c r="A3189" s="113">
        <v>100700303</v>
      </c>
      <c r="B3189" s="113" t="s">
        <v>5870</v>
      </c>
      <c r="C3189" s="113">
        <v>7081027</v>
      </c>
      <c r="D3189" s="113" t="s">
        <v>3093</v>
      </c>
      <c r="E3189" s="113" t="s">
        <v>1620</v>
      </c>
      <c r="F3189" s="113" t="s">
        <v>3093</v>
      </c>
      <c r="G3189" s="113" t="s">
        <v>3093</v>
      </c>
      <c r="H3189" s="161">
        <v>13</v>
      </c>
      <c r="I3189" s="161">
        <v>180</v>
      </c>
    </row>
    <row r="3190" spans="1:9">
      <c r="A3190" s="113">
        <v>100700304</v>
      </c>
      <c r="B3190" s="113" t="s">
        <v>5871</v>
      </c>
      <c r="C3190" s="113">
        <v>7090088</v>
      </c>
      <c r="D3190" s="113" t="s">
        <v>3093</v>
      </c>
      <c r="E3190" s="113" t="s">
        <v>1620</v>
      </c>
      <c r="F3190" s="113" t="s">
        <v>3093</v>
      </c>
      <c r="G3190" s="113" t="s">
        <v>3093</v>
      </c>
      <c r="H3190" s="161">
        <v>23.23</v>
      </c>
      <c r="I3190" s="161">
        <v>100</v>
      </c>
    </row>
    <row r="3191" spans="1:9">
      <c r="A3191" s="113">
        <v>100700305</v>
      </c>
      <c r="B3191" s="113" t="s">
        <v>5872</v>
      </c>
      <c r="C3191" s="113">
        <v>7090089</v>
      </c>
      <c r="D3191" s="113" t="s">
        <v>3093</v>
      </c>
      <c r="E3191" s="113" t="s">
        <v>1620</v>
      </c>
      <c r="F3191" s="113" t="s">
        <v>3093</v>
      </c>
      <c r="G3191" s="113" t="s">
        <v>3093</v>
      </c>
      <c r="H3191" s="161">
        <v>35.799999999999997</v>
      </c>
      <c r="I3191" s="161">
        <v>0</v>
      </c>
    </row>
    <row r="3192" spans="1:9">
      <c r="A3192" s="113">
        <v>100700306</v>
      </c>
      <c r="B3192" s="113" t="s">
        <v>5873</v>
      </c>
      <c r="C3192" s="113">
        <v>7090091</v>
      </c>
      <c r="D3192" s="113" t="s">
        <v>3093</v>
      </c>
      <c r="E3192" s="113" t="s">
        <v>1620</v>
      </c>
      <c r="F3192" s="113" t="s">
        <v>3093</v>
      </c>
      <c r="G3192" s="113" t="s">
        <v>3093</v>
      </c>
      <c r="H3192" s="161">
        <v>31.25</v>
      </c>
      <c r="I3192" s="161">
        <v>45</v>
      </c>
    </row>
    <row r="3193" spans="1:9">
      <c r="A3193" s="113">
        <v>100700307</v>
      </c>
      <c r="B3193" s="113" t="s">
        <v>5874</v>
      </c>
      <c r="C3193" s="113">
        <v>7090095</v>
      </c>
      <c r="D3193" s="113" t="s">
        <v>3093</v>
      </c>
      <c r="E3193" s="113" t="s">
        <v>1620</v>
      </c>
      <c r="F3193" s="113" t="s">
        <v>3093</v>
      </c>
      <c r="G3193" s="113" t="s">
        <v>3093</v>
      </c>
      <c r="H3193" s="161">
        <v>24.69</v>
      </c>
      <c r="I3193" s="161">
        <v>125</v>
      </c>
    </row>
    <row r="3194" spans="1:9">
      <c r="A3194" s="113">
        <v>100700308</v>
      </c>
      <c r="B3194" s="113" t="s">
        <v>5875</v>
      </c>
      <c r="C3194" s="113">
        <v>7090096</v>
      </c>
      <c r="D3194" s="113" t="s">
        <v>3093</v>
      </c>
      <c r="E3194" s="113" t="s">
        <v>1620</v>
      </c>
      <c r="F3194" s="113" t="s">
        <v>3093</v>
      </c>
      <c r="G3194" s="113" t="s">
        <v>3093</v>
      </c>
      <c r="H3194" s="161">
        <v>8.5</v>
      </c>
      <c r="I3194" s="161">
        <v>75</v>
      </c>
    </row>
    <row r="3195" spans="1:9">
      <c r="A3195" s="113">
        <v>100700309</v>
      </c>
      <c r="B3195" s="113" t="s">
        <v>5876</v>
      </c>
      <c r="C3195" s="113">
        <v>7090097</v>
      </c>
      <c r="D3195" s="113" t="s">
        <v>3093</v>
      </c>
      <c r="E3195" s="113" t="s">
        <v>1620</v>
      </c>
      <c r="F3195" s="113" t="s">
        <v>3093</v>
      </c>
      <c r="G3195" s="113" t="s">
        <v>3093</v>
      </c>
      <c r="H3195" s="161">
        <v>7.53</v>
      </c>
      <c r="I3195" s="161">
        <v>62</v>
      </c>
    </row>
    <row r="3196" spans="1:9">
      <c r="A3196" s="113">
        <v>100700310</v>
      </c>
      <c r="B3196" s="113" t="s">
        <v>5877</v>
      </c>
      <c r="C3196" s="113">
        <v>7090106</v>
      </c>
      <c r="D3196" s="113" t="s">
        <v>3093</v>
      </c>
      <c r="E3196" s="113" t="s">
        <v>1620</v>
      </c>
      <c r="F3196" s="113" t="s">
        <v>3093</v>
      </c>
      <c r="G3196" s="113" t="s">
        <v>3093</v>
      </c>
      <c r="H3196" s="161">
        <v>16.899999999999999</v>
      </c>
      <c r="I3196" s="161">
        <v>5</v>
      </c>
    </row>
    <row r="3197" spans="1:9">
      <c r="A3197" s="113">
        <v>100700311</v>
      </c>
      <c r="B3197" s="113" t="s">
        <v>5878</v>
      </c>
      <c r="C3197" s="113">
        <v>7090107</v>
      </c>
      <c r="D3197" s="113" t="s">
        <v>3093</v>
      </c>
      <c r="E3197" s="113" t="s">
        <v>1620</v>
      </c>
      <c r="F3197" s="113" t="s">
        <v>3093</v>
      </c>
      <c r="G3197" s="113" t="s">
        <v>3093</v>
      </c>
      <c r="H3197" s="161">
        <v>21.1</v>
      </c>
      <c r="I3197" s="161">
        <v>7</v>
      </c>
    </row>
    <row r="3198" spans="1:9">
      <c r="A3198" s="113">
        <v>100700312</v>
      </c>
      <c r="B3198" s="113" t="s">
        <v>5879</v>
      </c>
      <c r="C3198" s="113">
        <v>7090108</v>
      </c>
      <c r="D3198" s="113" t="s">
        <v>3093</v>
      </c>
      <c r="E3198" s="113" t="s">
        <v>1620</v>
      </c>
      <c r="F3198" s="113" t="s">
        <v>3093</v>
      </c>
      <c r="G3198" s="113" t="s">
        <v>3093</v>
      </c>
      <c r="H3198" s="161">
        <v>124.3</v>
      </c>
      <c r="I3198" s="161">
        <v>12</v>
      </c>
    </row>
    <row r="3199" spans="1:9">
      <c r="A3199" s="113">
        <v>100700313</v>
      </c>
      <c r="B3199" s="113" t="s">
        <v>5880</v>
      </c>
      <c r="C3199" s="113">
        <v>7090109</v>
      </c>
      <c r="D3199" s="113" t="s">
        <v>3093</v>
      </c>
      <c r="E3199" s="113" t="s">
        <v>1620</v>
      </c>
      <c r="F3199" s="113" t="s">
        <v>3093</v>
      </c>
      <c r="G3199" s="113" t="s">
        <v>3093</v>
      </c>
      <c r="H3199" s="161">
        <v>59.9</v>
      </c>
      <c r="I3199" s="161">
        <v>13</v>
      </c>
    </row>
    <row r="3200" spans="1:9">
      <c r="A3200" s="113">
        <v>100700314</v>
      </c>
      <c r="B3200" s="113" t="s">
        <v>3036</v>
      </c>
      <c r="C3200" s="113">
        <v>7090110</v>
      </c>
      <c r="D3200" s="113" t="s">
        <v>3093</v>
      </c>
      <c r="E3200" s="113" t="s">
        <v>1620</v>
      </c>
      <c r="F3200" s="113" t="s">
        <v>3093</v>
      </c>
      <c r="G3200" s="113" t="s">
        <v>3093</v>
      </c>
      <c r="H3200" s="161">
        <v>22</v>
      </c>
      <c r="I3200" s="161">
        <v>50</v>
      </c>
    </row>
    <row r="3201" spans="1:9">
      <c r="A3201" s="113">
        <v>100700315</v>
      </c>
      <c r="B3201" s="113" t="s">
        <v>5881</v>
      </c>
      <c r="C3201" s="113">
        <v>7090111</v>
      </c>
      <c r="D3201" s="113" t="s">
        <v>3093</v>
      </c>
      <c r="E3201" s="113" t="s">
        <v>1620</v>
      </c>
      <c r="F3201" s="113" t="s">
        <v>3093</v>
      </c>
      <c r="G3201" s="113" t="s">
        <v>3093</v>
      </c>
      <c r="H3201" s="161">
        <v>152.29</v>
      </c>
      <c r="I3201" s="161">
        <v>180</v>
      </c>
    </row>
    <row r="3202" spans="1:9">
      <c r="A3202" s="113">
        <v>100700316</v>
      </c>
      <c r="B3202" s="113" t="s">
        <v>3037</v>
      </c>
      <c r="C3202" s="113">
        <v>7090112</v>
      </c>
      <c r="D3202" s="113" t="s">
        <v>3093</v>
      </c>
      <c r="E3202" s="113" t="s">
        <v>1620</v>
      </c>
      <c r="F3202" s="113" t="s">
        <v>3093</v>
      </c>
      <c r="G3202" s="113" t="s">
        <v>3093</v>
      </c>
      <c r="H3202" s="161">
        <v>40</v>
      </c>
      <c r="I3202" s="161">
        <v>15</v>
      </c>
    </row>
    <row r="3203" spans="1:9">
      <c r="A3203" s="113">
        <v>100700317</v>
      </c>
      <c r="B3203" s="113" t="s">
        <v>5882</v>
      </c>
      <c r="C3203" s="113">
        <v>7090113</v>
      </c>
      <c r="D3203" s="113" t="s">
        <v>3093</v>
      </c>
      <c r="E3203" s="113" t="s">
        <v>1620</v>
      </c>
      <c r="F3203" s="113" t="s">
        <v>3093</v>
      </c>
      <c r="G3203" s="113" t="s">
        <v>3093</v>
      </c>
      <c r="H3203" s="161">
        <v>135.85</v>
      </c>
      <c r="I3203" s="161">
        <v>15</v>
      </c>
    </row>
    <row r="3204" spans="1:9">
      <c r="A3204" s="113">
        <v>100700318</v>
      </c>
      <c r="B3204" s="113" t="s">
        <v>5883</v>
      </c>
      <c r="C3204" s="113">
        <v>7090138</v>
      </c>
      <c r="D3204" s="113" t="s">
        <v>3093</v>
      </c>
      <c r="E3204" s="113" t="s">
        <v>1620</v>
      </c>
      <c r="F3204" s="113" t="s">
        <v>3093</v>
      </c>
      <c r="G3204" s="113" t="s">
        <v>3093</v>
      </c>
      <c r="H3204" s="161">
        <v>20</v>
      </c>
      <c r="I3204" s="161">
        <v>0</v>
      </c>
    </row>
    <row r="3205" spans="1:9">
      <c r="A3205" s="113">
        <v>100700319</v>
      </c>
      <c r="B3205" s="113" t="s">
        <v>5884</v>
      </c>
      <c r="C3205" s="113">
        <v>7090139</v>
      </c>
      <c r="D3205" s="113" t="s">
        <v>3093</v>
      </c>
      <c r="E3205" s="113" t="s">
        <v>1620</v>
      </c>
      <c r="F3205" s="113" t="s">
        <v>3093</v>
      </c>
      <c r="G3205" s="113" t="s">
        <v>3093</v>
      </c>
      <c r="H3205" s="161">
        <v>17.73</v>
      </c>
      <c r="I3205" s="161">
        <v>41</v>
      </c>
    </row>
    <row r="3206" spans="1:9">
      <c r="A3206" s="113">
        <v>100700320</v>
      </c>
      <c r="B3206" s="113" t="s">
        <v>5885</v>
      </c>
      <c r="C3206" s="113">
        <v>7090140</v>
      </c>
      <c r="D3206" s="113" t="s">
        <v>3093</v>
      </c>
      <c r="E3206" s="113" t="s">
        <v>1620</v>
      </c>
      <c r="F3206" s="113" t="s">
        <v>3093</v>
      </c>
      <c r="G3206" s="113" t="s">
        <v>3093</v>
      </c>
      <c r="H3206" s="161">
        <v>21.9</v>
      </c>
      <c r="I3206" s="161">
        <v>77</v>
      </c>
    </row>
    <row r="3207" spans="1:9">
      <c r="A3207" s="113">
        <v>100700321</v>
      </c>
      <c r="B3207" s="113" t="s">
        <v>5886</v>
      </c>
      <c r="C3207" s="113">
        <v>7090141</v>
      </c>
      <c r="D3207" s="113" t="s">
        <v>3093</v>
      </c>
      <c r="E3207" s="113" t="s">
        <v>1620</v>
      </c>
      <c r="F3207" s="113" t="s">
        <v>3093</v>
      </c>
      <c r="G3207" s="113" t="s">
        <v>3093</v>
      </c>
      <c r="H3207" s="161">
        <v>35</v>
      </c>
      <c r="I3207" s="161">
        <v>16</v>
      </c>
    </row>
    <row r="3208" spans="1:9">
      <c r="A3208" s="113">
        <v>100700322</v>
      </c>
      <c r="B3208" s="113" t="s">
        <v>5887</v>
      </c>
      <c r="C3208" s="113">
        <v>7090142</v>
      </c>
      <c r="D3208" s="113" t="s">
        <v>3093</v>
      </c>
      <c r="E3208" s="113" t="s">
        <v>1620</v>
      </c>
      <c r="F3208" s="113" t="s">
        <v>3093</v>
      </c>
      <c r="G3208" s="113" t="s">
        <v>3093</v>
      </c>
      <c r="H3208" s="161">
        <v>0</v>
      </c>
      <c r="I3208" s="161" t="s">
        <v>7138</v>
      </c>
    </row>
    <row r="3209" spans="1:9">
      <c r="A3209" s="113">
        <v>100700324</v>
      </c>
      <c r="B3209" s="113" t="s">
        <v>5888</v>
      </c>
      <c r="C3209" s="113">
        <v>7090145</v>
      </c>
      <c r="D3209" s="113" t="s">
        <v>3093</v>
      </c>
      <c r="E3209" s="113" t="s">
        <v>1620</v>
      </c>
      <c r="F3209" s="113" t="s">
        <v>3093</v>
      </c>
      <c r="G3209" s="113" t="s">
        <v>3093</v>
      </c>
      <c r="H3209" s="161">
        <v>0</v>
      </c>
      <c r="I3209" s="161" t="s">
        <v>7138</v>
      </c>
    </row>
    <row r="3210" spans="1:9">
      <c r="A3210" s="113">
        <v>100700325</v>
      </c>
      <c r="B3210" s="113" t="s">
        <v>5889</v>
      </c>
      <c r="C3210" s="113">
        <v>7090146</v>
      </c>
      <c r="D3210" s="113" t="s">
        <v>3093</v>
      </c>
      <c r="E3210" s="113" t="s">
        <v>1620</v>
      </c>
      <c r="F3210" s="113" t="s">
        <v>3093</v>
      </c>
      <c r="G3210" s="113" t="s">
        <v>3093</v>
      </c>
      <c r="H3210" s="161">
        <v>18</v>
      </c>
      <c r="I3210" s="161">
        <v>3</v>
      </c>
    </row>
    <row r="3211" spans="1:9">
      <c r="A3211" s="113">
        <v>100700326</v>
      </c>
      <c r="B3211" s="113" t="s">
        <v>5890</v>
      </c>
      <c r="C3211" s="113">
        <v>7090147</v>
      </c>
      <c r="D3211" s="113" t="s">
        <v>3093</v>
      </c>
      <c r="E3211" s="113" t="s">
        <v>1620</v>
      </c>
      <c r="F3211" s="113" t="s">
        <v>3093</v>
      </c>
      <c r="G3211" s="113" t="s">
        <v>3093</v>
      </c>
      <c r="H3211" s="161">
        <v>27</v>
      </c>
      <c r="I3211" s="161">
        <v>0</v>
      </c>
    </row>
    <row r="3212" spans="1:9">
      <c r="A3212" s="113">
        <v>100700327</v>
      </c>
      <c r="B3212" s="113" t="s">
        <v>5891</v>
      </c>
      <c r="C3212" s="113">
        <v>7090148</v>
      </c>
      <c r="D3212" s="113" t="s">
        <v>3093</v>
      </c>
      <c r="E3212" s="113" t="s">
        <v>1620</v>
      </c>
      <c r="F3212" s="113" t="s">
        <v>3093</v>
      </c>
      <c r="G3212" s="113" t="s">
        <v>3093</v>
      </c>
      <c r="H3212" s="161">
        <v>27</v>
      </c>
      <c r="I3212" s="161">
        <v>0</v>
      </c>
    </row>
    <row r="3213" spans="1:9">
      <c r="A3213" s="113">
        <v>100700328</v>
      </c>
      <c r="B3213" s="113" t="s">
        <v>5892</v>
      </c>
      <c r="C3213" s="113">
        <v>7090149</v>
      </c>
      <c r="D3213" s="113" t="s">
        <v>3093</v>
      </c>
      <c r="E3213" s="113" t="s">
        <v>1620</v>
      </c>
      <c r="F3213" s="113" t="s">
        <v>3093</v>
      </c>
      <c r="G3213" s="113" t="s">
        <v>3093</v>
      </c>
      <c r="H3213" s="161">
        <v>27</v>
      </c>
      <c r="I3213" s="161">
        <v>0</v>
      </c>
    </row>
    <row r="3214" spans="1:9">
      <c r="A3214" s="113">
        <v>100700329</v>
      </c>
      <c r="B3214" s="113" t="s">
        <v>5893</v>
      </c>
      <c r="C3214" s="113">
        <v>7090154</v>
      </c>
      <c r="D3214" s="113" t="s">
        <v>3093</v>
      </c>
      <c r="E3214" s="113" t="s">
        <v>1620</v>
      </c>
      <c r="F3214" s="113" t="s">
        <v>3093</v>
      </c>
      <c r="G3214" s="113" t="s">
        <v>3093</v>
      </c>
      <c r="H3214" s="161">
        <v>2.63</v>
      </c>
      <c r="I3214" s="161">
        <v>0</v>
      </c>
    </row>
    <row r="3215" spans="1:9">
      <c r="A3215" s="113">
        <v>100700330</v>
      </c>
      <c r="B3215" s="113" t="s">
        <v>5894</v>
      </c>
      <c r="C3215" s="113">
        <v>7090155</v>
      </c>
      <c r="D3215" s="113" t="s">
        <v>3093</v>
      </c>
      <c r="E3215" s="113" t="s">
        <v>1620</v>
      </c>
      <c r="F3215" s="113" t="s">
        <v>3093</v>
      </c>
      <c r="G3215" s="113" t="s">
        <v>3093</v>
      </c>
      <c r="H3215" s="161">
        <v>12</v>
      </c>
      <c r="I3215" s="161">
        <v>0</v>
      </c>
    </row>
    <row r="3216" spans="1:9">
      <c r="A3216" s="113">
        <v>100700331</v>
      </c>
      <c r="B3216" s="113" t="s">
        <v>5895</v>
      </c>
      <c r="C3216" s="113">
        <v>7090156</v>
      </c>
      <c r="D3216" s="113" t="s">
        <v>3093</v>
      </c>
      <c r="E3216" s="113" t="s">
        <v>1620</v>
      </c>
      <c r="F3216" s="113" t="s">
        <v>3093</v>
      </c>
      <c r="G3216" s="113" t="s">
        <v>3093</v>
      </c>
      <c r="H3216" s="161">
        <v>25.99</v>
      </c>
      <c r="I3216" s="161">
        <v>0</v>
      </c>
    </row>
    <row r="3217" spans="1:9">
      <c r="A3217" s="113">
        <v>100700332</v>
      </c>
      <c r="B3217" s="113" t="s">
        <v>5896</v>
      </c>
      <c r="C3217" s="113">
        <v>7090157</v>
      </c>
      <c r="D3217" s="113" t="s">
        <v>3093</v>
      </c>
      <c r="E3217" s="113" t="s">
        <v>1620</v>
      </c>
      <c r="F3217" s="113" t="s">
        <v>3093</v>
      </c>
      <c r="G3217" s="113" t="s">
        <v>3093</v>
      </c>
      <c r="H3217" s="161">
        <v>189.85</v>
      </c>
      <c r="I3217" s="161">
        <v>7</v>
      </c>
    </row>
    <row r="3218" spans="1:9">
      <c r="A3218" s="113">
        <v>100700333</v>
      </c>
      <c r="B3218" s="113" t="s">
        <v>5897</v>
      </c>
      <c r="C3218" s="113">
        <v>7090159</v>
      </c>
      <c r="D3218" s="113" t="s">
        <v>3093</v>
      </c>
      <c r="E3218" s="113" t="s">
        <v>1620</v>
      </c>
      <c r="F3218" s="113" t="s">
        <v>3093</v>
      </c>
      <c r="G3218" s="113" t="s">
        <v>3093</v>
      </c>
      <c r="H3218" s="161">
        <v>49</v>
      </c>
      <c r="I3218" s="161">
        <v>8</v>
      </c>
    </row>
    <row r="3219" spans="1:9">
      <c r="A3219" s="113">
        <v>100700334</v>
      </c>
      <c r="B3219" s="113" t="s">
        <v>3038</v>
      </c>
      <c r="C3219" s="113">
        <v>7090160</v>
      </c>
      <c r="D3219" s="113" t="s">
        <v>3093</v>
      </c>
      <c r="E3219" s="113" t="s">
        <v>1620</v>
      </c>
      <c r="F3219" s="113" t="s">
        <v>3093</v>
      </c>
      <c r="G3219" s="113" t="s">
        <v>3093</v>
      </c>
      <c r="H3219" s="161">
        <v>49</v>
      </c>
      <c r="I3219" s="161">
        <v>3</v>
      </c>
    </row>
    <row r="3220" spans="1:9">
      <c r="A3220" s="113">
        <v>100700335</v>
      </c>
      <c r="B3220" s="113" t="s">
        <v>5898</v>
      </c>
      <c r="C3220" s="113">
        <v>7090164</v>
      </c>
      <c r="D3220" s="113" t="s">
        <v>3093</v>
      </c>
      <c r="E3220" s="113" t="s">
        <v>1620</v>
      </c>
      <c r="F3220" s="113" t="s">
        <v>3093</v>
      </c>
      <c r="G3220" s="113" t="s">
        <v>3093</v>
      </c>
      <c r="H3220" s="161">
        <v>12</v>
      </c>
      <c r="I3220" s="161">
        <v>20</v>
      </c>
    </row>
    <row r="3221" spans="1:9">
      <c r="A3221" s="113">
        <v>100700336</v>
      </c>
      <c r="B3221" s="113" t="s">
        <v>5899</v>
      </c>
      <c r="C3221" s="113">
        <v>7090165</v>
      </c>
      <c r="D3221" s="113" t="s">
        <v>3093</v>
      </c>
      <c r="E3221" s="113" t="s">
        <v>1620</v>
      </c>
      <c r="F3221" s="113" t="s">
        <v>3093</v>
      </c>
      <c r="G3221" s="113" t="s">
        <v>3093</v>
      </c>
      <c r="H3221" s="161">
        <v>16.5</v>
      </c>
      <c r="I3221" s="161">
        <v>20</v>
      </c>
    </row>
    <row r="3222" spans="1:9">
      <c r="A3222" s="113">
        <v>100700337</v>
      </c>
      <c r="B3222" s="113" t="s">
        <v>5900</v>
      </c>
      <c r="C3222" s="113">
        <v>7090166</v>
      </c>
      <c r="D3222" s="113" t="s">
        <v>3093</v>
      </c>
      <c r="E3222" s="113" t="s">
        <v>1620</v>
      </c>
      <c r="F3222" s="113" t="s">
        <v>3093</v>
      </c>
      <c r="G3222" s="113" t="s">
        <v>3093</v>
      </c>
      <c r="H3222" s="161">
        <v>16.5</v>
      </c>
      <c r="I3222" s="161">
        <v>0</v>
      </c>
    </row>
    <row r="3223" spans="1:9">
      <c r="A3223" s="113">
        <v>100700338</v>
      </c>
      <c r="B3223" s="113" t="s">
        <v>3039</v>
      </c>
      <c r="C3223" s="113">
        <v>7090167</v>
      </c>
      <c r="D3223" s="113" t="s">
        <v>3093</v>
      </c>
      <c r="E3223" s="113" t="s">
        <v>1620</v>
      </c>
      <c r="F3223" s="113" t="s">
        <v>3093</v>
      </c>
      <c r="G3223" s="113" t="s">
        <v>3093</v>
      </c>
      <c r="H3223" s="161">
        <v>41.55</v>
      </c>
      <c r="I3223" s="161">
        <v>0</v>
      </c>
    </row>
    <row r="3224" spans="1:9">
      <c r="A3224" s="113">
        <v>100700339</v>
      </c>
      <c r="B3224" s="113" t="s">
        <v>5901</v>
      </c>
      <c r="C3224" s="113">
        <v>7090169</v>
      </c>
      <c r="D3224" s="113" t="s">
        <v>3093</v>
      </c>
      <c r="E3224" s="113" t="s">
        <v>1620</v>
      </c>
      <c r="F3224" s="113" t="s">
        <v>3093</v>
      </c>
      <c r="G3224" s="113" t="s">
        <v>3093</v>
      </c>
      <c r="H3224" s="161">
        <v>0</v>
      </c>
      <c r="I3224" s="161" t="s">
        <v>7138</v>
      </c>
    </row>
    <row r="3225" spans="1:9">
      <c r="A3225" s="113">
        <v>100700340</v>
      </c>
      <c r="B3225" s="113" t="s">
        <v>5902</v>
      </c>
      <c r="C3225" s="113">
        <v>7090170</v>
      </c>
      <c r="D3225" s="113" t="s">
        <v>3093</v>
      </c>
      <c r="E3225" s="113" t="s">
        <v>1620</v>
      </c>
      <c r="F3225" s="113" t="s">
        <v>3093</v>
      </c>
      <c r="G3225" s="113" t="s">
        <v>3093</v>
      </c>
      <c r="H3225" s="161">
        <v>575</v>
      </c>
      <c r="I3225" s="161">
        <v>0</v>
      </c>
    </row>
    <row r="3226" spans="1:9">
      <c r="A3226" s="113">
        <v>100700341</v>
      </c>
      <c r="B3226" s="113" t="s">
        <v>5903</v>
      </c>
      <c r="C3226" s="113">
        <v>7090171</v>
      </c>
      <c r="D3226" s="113" t="s">
        <v>3093</v>
      </c>
      <c r="E3226" s="113" t="s">
        <v>1620</v>
      </c>
      <c r="F3226" s="113" t="s">
        <v>3093</v>
      </c>
      <c r="G3226" s="113" t="s">
        <v>3093</v>
      </c>
      <c r="H3226" s="161">
        <v>23.23</v>
      </c>
      <c r="I3226" s="161">
        <v>48</v>
      </c>
    </row>
    <row r="3227" spans="1:9">
      <c r="A3227" s="113">
        <v>100700342</v>
      </c>
      <c r="B3227" s="113" t="s">
        <v>5904</v>
      </c>
      <c r="C3227" s="113">
        <v>7090172</v>
      </c>
      <c r="D3227" s="113" t="s">
        <v>3093</v>
      </c>
      <c r="E3227" s="113" t="s">
        <v>1620</v>
      </c>
      <c r="F3227" s="113" t="s">
        <v>3093</v>
      </c>
      <c r="G3227" s="113" t="s">
        <v>3093</v>
      </c>
      <c r="H3227" s="161">
        <v>23.23</v>
      </c>
      <c r="I3227" s="161">
        <v>15</v>
      </c>
    </row>
    <row r="3228" spans="1:9">
      <c r="A3228" s="113">
        <v>100700343</v>
      </c>
      <c r="B3228" s="113" t="s">
        <v>5905</v>
      </c>
      <c r="C3228" s="113">
        <v>7090173</v>
      </c>
      <c r="D3228" s="113" t="s">
        <v>3093</v>
      </c>
      <c r="E3228" s="113" t="s">
        <v>1620</v>
      </c>
      <c r="F3228" s="113" t="s">
        <v>3093</v>
      </c>
      <c r="G3228" s="113" t="s">
        <v>3093</v>
      </c>
      <c r="H3228" s="161">
        <v>590</v>
      </c>
      <c r="I3228" s="161">
        <v>0</v>
      </c>
    </row>
    <row r="3229" spans="1:9">
      <c r="A3229" s="113">
        <v>100700344</v>
      </c>
      <c r="B3229" s="113" t="s">
        <v>5906</v>
      </c>
      <c r="C3229" s="113">
        <v>7090174</v>
      </c>
      <c r="D3229" s="113" t="s">
        <v>3093</v>
      </c>
      <c r="E3229" s="113" t="s">
        <v>1620</v>
      </c>
      <c r="F3229" s="113" t="s">
        <v>3093</v>
      </c>
      <c r="G3229" s="113" t="s">
        <v>3093</v>
      </c>
      <c r="H3229" s="161">
        <v>69</v>
      </c>
      <c r="I3229" s="161">
        <v>15</v>
      </c>
    </row>
    <row r="3230" spans="1:9">
      <c r="A3230" s="113">
        <v>100700345</v>
      </c>
      <c r="B3230" s="113" t="s">
        <v>5907</v>
      </c>
      <c r="C3230" s="113">
        <v>7090176</v>
      </c>
      <c r="D3230" s="113" t="s">
        <v>3093</v>
      </c>
      <c r="E3230" s="113" t="s">
        <v>1620</v>
      </c>
      <c r="F3230" s="113" t="s">
        <v>3093</v>
      </c>
      <c r="G3230" s="113" t="s">
        <v>3093</v>
      </c>
      <c r="H3230" s="161">
        <v>0</v>
      </c>
      <c r="I3230" s="161" t="s">
        <v>7138</v>
      </c>
    </row>
    <row r="3231" spans="1:9">
      <c r="A3231" s="113">
        <v>100700346</v>
      </c>
      <c r="B3231" s="113" t="s">
        <v>5908</v>
      </c>
      <c r="C3231" s="113">
        <v>7091036</v>
      </c>
      <c r="D3231" s="113" t="s">
        <v>3093</v>
      </c>
      <c r="E3231" s="113" t="s">
        <v>7142</v>
      </c>
      <c r="F3231" s="113" t="s">
        <v>3093</v>
      </c>
      <c r="G3231" s="113" t="s">
        <v>3093</v>
      </c>
      <c r="H3231" s="161">
        <v>0</v>
      </c>
      <c r="I3231" s="161" t="s">
        <v>7138</v>
      </c>
    </row>
    <row r="3232" spans="1:9">
      <c r="A3232" s="113">
        <v>100700349</v>
      </c>
      <c r="B3232" s="113" t="s">
        <v>5909</v>
      </c>
      <c r="C3232" s="113">
        <v>7091041</v>
      </c>
      <c r="D3232" s="113" t="s">
        <v>3093</v>
      </c>
      <c r="E3232" s="113" t="s">
        <v>1620</v>
      </c>
      <c r="F3232" s="113" t="s">
        <v>3093</v>
      </c>
      <c r="G3232" s="113" t="s">
        <v>3093</v>
      </c>
      <c r="H3232" s="161">
        <v>0</v>
      </c>
      <c r="I3232" s="161" t="s">
        <v>7138</v>
      </c>
    </row>
    <row r="3233" spans="1:9">
      <c r="A3233" s="113">
        <v>100700350</v>
      </c>
      <c r="B3233" s="113" t="s">
        <v>5910</v>
      </c>
      <c r="C3233" s="113">
        <v>7091044</v>
      </c>
      <c r="D3233" s="113" t="s">
        <v>3093</v>
      </c>
      <c r="E3233" s="113" t="s">
        <v>2521</v>
      </c>
      <c r="F3233" s="113" t="s">
        <v>3093</v>
      </c>
      <c r="G3233" s="113" t="s">
        <v>3093</v>
      </c>
      <c r="H3233" s="161">
        <v>0</v>
      </c>
      <c r="I3233" s="161" t="s">
        <v>7138</v>
      </c>
    </row>
    <row r="3234" spans="1:9">
      <c r="A3234" s="113">
        <v>100700351</v>
      </c>
      <c r="B3234" s="113" t="s">
        <v>5911</v>
      </c>
      <c r="C3234" s="113">
        <v>7091050</v>
      </c>
      <c r="D3234" s="113" t="s">
        <v>3093</v>
      </c>
      <c r="E3234" s="113" t="s">
        <v>1620</v>
      </c>
      <c r="F3234" s="113" t="s">
        <v>3093</v>
      </c>
      <c r="G3234" s="113" t="s">
        <v>3093</v>
      </c>
      <c r="H3234" s="161">
        <v>0</v>
      </c>
      <c r="I3234" s="161" t="s">
        <v>7138</v>
      </c>
    </row>
    <row r="3235" spans="1:9">
      <c r="A3235" s="113">
        <v>100700352</v>
      </c>
      <c r="B3235" s="113" t="s">
        <v>5912</v>
      </c>
      <c r="C3235" s="113">
        <v>7091062</v>
      </c>
      <c r="D3235" s="113" t="s">
        <v>3093</v>
      </c>
      <c r="E3235" s="113" t="s">
        <v>1620</v>
      </c>
      <c r="F3235" s="113" t="s">
        <v>3093</v>
      </c>
      <c r="G3235" s="113" t="s">
        <v>3093</v>
      </c>
      <c r="H3235" s="161">
        <v>0</v>
      </c>
      <c r="I3235" s="161" t="s">
        <v>7138</v>
      </c>
    </row>
    <row r="3236" spans="1:9">
      <c r="A3236" s="113">
        <v>100700353</v>
      </c>
      <c r="B3236" s="113" t="s">
        <v>5913</v>
      </c>
      <c r="C3236" s="113">
        <v>7101187</v>
      </c>
      <c r="D3236" s="113" t="s">
        <v>3093</v>
      </c>
      <c r="E3236" s="113" t="s">
        <v>1620</v>
      </c>
      <c r="F3236" s="113" t="s">
        <v>3093</v>
      </c>
      <c r="G3236" s="113" t="s">
        <v>3093</v>
      </c>
      <c r="H3236" s="161">
        <v>44</v>
      </c>
      <c r="I3236" s="161">
        <v>120</v>
      </c>
    </row>
    <row r="3237" spans="1:9">
      <c r="A3237" s="113">
        <v>100700354</v>
      </c>
      <c r="B3237" s="113" t="s">
        <v>5914</v>
      </c>
      <c r="C3237" s="113">
        <v>7112021</v>
      </c>
      <c r="D3237" s="113" t="s">
        <v>3093</v>
      </c>
      <c r="E3237" s="113" t="s">
        <v>7143</v>
      </c>
      <c r="F3237" s="113" t="s">
        <v>3093</v>
      </c>
      <c r="G3237" s="113" t="s">
        <v>3093</v>
      </c>
      <c r="H3237" s="161">
        <v>43</v>
      </c>
      <c r="I3237" s="161">
        <v>2</v>
      </c>
    </row>
    <row r="3238" spans="1:9">
      <c r="A3238" s="113">
        <v>100700355</v>
      </c>
      <c r="B3238" s="113" t="s">
        <v>5915</v>
      </c>
      <c r="C3238" s="113">
        <v>7112022</v>
      </c>
      <c r="D3238" s="113" t="s">
        <v>3093</v>
      </c>
      <c r="E3238" s="113" t="s">
        <v>99</v>
      </c>
      <c r="F3238" s="113" t="s">
        <v>3093</v>
      </c>
      <c r="G3238" s="113" t="s">
        <v>3093</v>
      </c>
      <c r="H3238" s="161">
        <v>0</v>
      </c>
      <c r="I3238" s="161" t="s">
        <v>7138</v>
      </c>
    </row>
    <row r="3239" spans="1:9">
      <c r="A3239" s="113">
        <v>100700356</v>
      </c>
      <c r="B3239" s="113" t="s">
        <v>5916</v>
      </c>
      <c r="C3239" s="113">
        <v>7016092</v>
      </c>
      <c r="D3239" s="113" t="s">
        <v>3093</v>
      </c>
      <c r="E3239" s="113" t="s">
        <v>1620</v>
      </c>
      <c r="F3239" s="113" t="s">
        <v>3093</v>
      </c>
      <c r="G3239" s="113" t="s">
        <v>3093</v>
      </c>
      <c r="H3239" s="161">
        <v>25</v>
      </c>
      <c r="I3239" s="161">
        <v>0</v>
      </c>
    </row>
    <row r="3240" spans="1:9">
      <c r="A3240" s="113">
        <v>100700357</v>
      </c>
      <c r="B3240" s="113" t="s">
        <v>5917</v>
      </c>
      <c r="C3240" s="113">
        <v>7016190</v>
      </c>
      <c r="D3240" s="113" t="s">
        <v>3093</v>
      </c>
      <c r="E3240" s="113" t="s">
        <v>1620</v>
      </c>
      <c r="F3240" s="113" t="s">
        <v>3093</v>
      </c>
      <c r="G3240" s="113" t="s">
        <v>3093</v>
      </c>
      <c r="H3240" s="161">
        <v>5.5</v>
      </c>
      <c r="I3240" s="161">
        <v>25</v>
      </c>
    </row>
    <row r="3241" spans="1:9">
      <c r="A3241" s="113">
        <v>100700358</v>
      </c>
      <c r="B3241" s="113" t="s">
        <v>5918</v>
      </c>
      <c r="C3241" s="113" t="s">
        <v>3093</v>
      </c>
      <c r="D3241" s="113" t="s">
        <v>3093</v>
      </c>
      <c r="E3241" s="113" t="s">
        <v>1620</v>
      </c>
      <c r="F3241" s="113" t="s">
        <v>3093</v>
      </c>
      <c r="G3241" s="113" t="s">
        <v>3093</v>
      </c>
      <c r="H3241" s="161">
        <v>0</v>
      </c>
      <c r="I3241" s="161" t="s">
        <v>7138</v>
      </c>
    </row>
    <row r="3242" spans="1:9">
      <c r="A3242" s="113">
        <v>100700359</v>
      </c>
      <c r="B3242" s="113" t="s">
        <v>5919</v>
      </c>
      <c r="C3242" s="113" t="s">
        <v>3093</v>
      </c>
      <c r="D3242" s="113" t="s">
        <v>3093</v>
      </c>
      <c r="E3242" s="113" t="s">
        <v>1620</v>
      </c>
      <c r="F3242" s="113" t="s">
        <v>3093</v>
      </c>
      <c r="G3242" s="113" t="s">
        <v>3093</v>
      </c>
      <c r="H3242" s="161">
        <v>8</v>
      </c>
      <c r="I3242" s="161">
        <v>10</v>
      </c>
    </row>
    <row r="3243" spans="1:9">
      <c r="A3243" s="113">
        <v>100700360</v>
      </c>
      <c r="B3243" s="113" t="s">
        <v>5920</v>
      </c>
      <c r="C3243" s="113">
        <v>7020175</v>
      </c>
      <c r="D3243" s="113" t="s">
        <v>3093</v>
      </c>
      <c r="E3243" s="113" t="s">
        <v>2522</v>
      </c>
      <c r="F3243" s="113" t="s">
        <v>3093</v>
      </c>
      <c r="G3243" s="113" t="s">
        <v>3093</v>
      </c>
      <c r="H3243" s="161">
        <v>4.24</v>
      </c>
      <c r="I3243" s="161">
        <v>160</v>
      </c>
    </row>
    <row r="3244" spans="1:9">
      <c r="A3244" s="113">
        <v>100700361</v>
      </c>
      <c r="B3244" s="113" t="s">
        <v>5921</v>
      </c>
      <c r="C3244" s="113">
        <v>7090143</v>
      </c>
      <c r="D3244" s="113" t="s">
        <v>3093</v>
      </c>
      <c r="E3244" s="113" t="s">
        <v>1200</v>
      </c>
      <c r="F3244" s="113" t="s">
        <v>3093</v>
      </c>
      <c r="G3244" s="113" t="s">
        <v>3093</v>
      </c>
      <c r="H3244" s="161">
        <v>11.59</v>
      </c>
      <c r="I3244" s="161">
        <v>3</v>
      </c>
    </row>
    <row r="3245" spans="1:9">
      <c r="A3245" s="113">
        <v>100700362</v>
      </c>
      <c r="B3245" s="113" t="s">
        <v>5922</v>
      </c>
      <c r="C3245" s="113">
        <v>7091038</v>
      </c>
      <c r="D3245" s="113" t="s">
        <v>3093</v>
      </c>
      <c r="E3245" s="113" t="s">
        <v>7142</v>
      </c>
      <c r="F3245" s="113" t="s">
        <v>3093</v>
      </c>
      <c r="G3245" s="113" t="s">
        <v>3093</v>
      </c>
      <c r="H3245" s="161">
        <v>5</v>
      </c>
      <c r="I3245" s="161">
        <v>1752</v>
      </c>
    </row>
    <row r="3246" spans="1:9">
      <c r="A3246" s="113">
        <v>100700363</v>
      </c>
      <c r="B3246" s="113" t="s">
        <v>5923</v>
      </c>
      <c r="C3246" s="113">
        <v>7091040</v>
      </c>
      <c r="D3246" s="113" t="s">
        <v>3093</v>
      </c>
      <c r="E3246" s="113" t="s">
        <v>7142</v>
      </c>
      <c r="F3246" s="113" t="s">
        <v>3093</v>
      </c>
      <c r="G3246" s="113" t="s">
        <v>3093</v>
      </c>
      <c r="H3246" s="161">
        <v>9.5</v>
      </c>
      <c r="I3246" s="161">
        <v>715</v>
      </c>
    </row>
    <row r="3247" spans="1:9">
      <c r="A3247" s="113">
        <v>100700364</v>
      </c>
      <c r="B3247" s="113" t="s">
        <v>5924</v>
      </c>
      <c r="C3247" s="113">
        <v>7016146</v>
      </c>
      <c r="D3247" s="113" t="s">
        <v>3093</v>
      </c>
      <c r="E3247" s="113" t="s">
        <v>7142</v>
      </c>
      <c r="F3247" s="113" t="s">
        <v>3093</v>
      </c>
      <c r="G3247" s="113" t="s">
        <v>3093</v>
      </c>
      <c r="H3247" s="161">
        <v>1.48</v>
      </c>
      <c r="I3247" s="161">
        <v>35</v>
      </c>
    </row>
    <row r="3248" spans="1:9">
      <c r="A3248" s="113">
        <v>100700365</v>
      </c>
      <c r="B3248" s="113" t="s">
        <v>5925</v>
      </c>
      <c r="C3248" s="113" t="s">
        <v>3093</v>
      </c>
      <c r="D3248" s="113" t="s">
        <v>3093</v>
      </c>
      <c r="E3248" s="113" t="s">
        <v>1620</v>
      </c>
      <c r="F3248" s="113" t="s">
        <v>3093</v>
      </c>
      <c r="G3248" s="113" t="s">
        <v>3093</v>
      </c>
      <c r="H3248" s="161">
        <v>0</v>
      </c>
      <c r="I3248" s="161" t="s">
        <v>7138</v>
      </c>
    </row>
    <row r="3249" spans="1:9">
      <c r="A3249" s="113">
        <v>100700366</v>
      </c>
      <c r="B3249" s="113" t="s">
        <v>5926</v>
      </c>
      <c r="C3249" s="113" t="s">
        <v>3093</v>
      </c>
      <c r="D3249" s="113" t="s">
        <v>3093</v>
      </c>
      <c r="E3249" s="113" t="s">
        <v>1620</v>
      </c>
      <c r="F3249" s="113" t="s">
        <v>3093</v>
      </c>
      <c r="G3249" s="113" t="s">
        <v>3093</v>
      </c>
      <c r="H3249" s="161">
        <v>0</v>
      </c>
      <c r="I3249" s="161" t="s">
        <v>7138</v>
      </c>
    </row>
    <row r="3250" spans="1:9">
      <c r="A3250" s="113">
        <v>100700367</v>
      </c>
      <c r="B3250" s="113" t="s">
        <v>5927</v>
      </c>
      <c r="C3250" s="113" t="s">
        <v>3093</v>
      </c>
      <c r="D3250" s="113" t="s">
        <v>3093</v>
      </c>
      <c r="E3250" s="113" t="s">
        <v>1620</v>
      </c>
      <c r="F3250" s="113" t="s">
        <v>3093</v>
      </c>
      <c r="G3250" s="113" t="s">
        <v>3093</v>
      </c>
      <c r="H3250" s="161">
        <v>0</v>
      </c>
      <c r="I3250" s="161" t="s">
        <v>7138</v>
      </c>
    </row>
    <row r="3251" spans="1:9">
      <c r="A3251" s="113">
        <v>100700368</v>
      </c>
      <c r="B3251" s="113" t="s">
        <v>5928</v>
      </c>
      <c r="C3251" s="113" t="s">
        <v>3093</v>
      </c>
      <c r="D3251" s="113" t="s">
        <v>3093</v>
      </c>
      <c r="E3251" s="113" t="s">
        <v>1620</v>
      </c>
      <c r="F3251" s="113" t="s">
        <v>3093</v>
      </c>
      <c r="G3251" s="113" t="s">
        <v>3093</v>
      </c>
      <c r="H3251" s="161">
        <v>0</v>
      </c>
      <c r="I3251" s="161" t="s">
        <v>7138</v>
      </c>
    </row>
    <row r="3252" spans="1:9">
      <c r="A3252" s="113">
        <v>100700369</v>
      </c>
      <c r="B3252" s="113" t="s">
        <v>5929</v>
      </c>
      <c r="C3252" s="113">
        <v>7016263</v>
      </c>
      <c r="D3252" s="113" t="s">
        <v>3093</v>
      </c>
      <c r="E3252" s="113" t="s">
        <v>2521</v>
      </c>
      <c r="F3252" s="113" t="s">
        <v>3093</v>
      </c>
      <c r="G3252" s="113" t="s">
        <v>3093</v>
      </c>
      <c r="H3252" s="161">
        <v>0.05</v>
      </c>
      <c r="I3252" s="161">
        <v>60</v>
      </c>
    </row>
    <row r="3253" spans="1:9">
      <c r="A3253" s="113">
        <v>100700370</v>
      </c>
      <c r="B3253" s="113" t="s">
        <v>5930</v>
      </c>
      <c r="C3253" s="113">
        <v>7992677</v>
      </c>
      <c r="D3253" s="113" t="s">
        <v>3093</v>
      </c>
      <c r="E3253" s="113" t="s">
        <v>1620</v>
      </c>
      <c r="F3253" s="113" t="s">
        <v>3093</v>
      </c>
      <c r="G3253" s="113" t="s">
        <v>3093</v>
      </c>
      <c r="H3253" s="161">
        <v>18.5</v>
      </c>
      <c r="I3253" s="161">
        <v>250</v>
      </c>
    </row>
    <row r="3254" spans="1:9">
      <c r="A3254" s="113">
        <v>100700371</v>
      </c>
      <c r="B3254" s="113" t="s">
        <v>5931</v>
      </c>
      <c r="C3254" s="113">
        <v>7992678</v>
      </c>
      <c r="D3254" s="113" t="s">
        <v>3093</v>
      </c>
      <c r="E3254" s="113" t="s">
        <v>1620</v>
      </c>
      <c r="F3254" s="113" t="s">
        <v>3093</v>
      </c>
      <c r="G3254" s="113" t="s">
        <v>3093</v>
      </c>
      <c r="H3254" s="161">
        <v>25</v>
      </c>
      <c r="I3254" s="161">
        <v>660</v>
      </c>
    </row>
    <row r="3255" spans="1:9">
      <c r="A3255" s="113">
        <v>100700372</v>
      </c>
      <c r="B3255" s="113" t="s">
        <v>5932</v>
      </c>
      <c r="C3255" s="113">
        <v>7992679</v>
      </c>
      <c r="D3255" s="113" t="s">
        <v>3093</v>
      </c>
      <c r="E3255" s="113" t="s">
        <v>1620</v>
      </c>
      <c r="F3255" s="113" t="s">
        <v>3093</v>
      </c>
      <c r="G3255" s="113" t="s">
        <v>3093</v>
      </c>
      <c r="H3255" s="161">
        <v>0</v>
      </c>
      <c r="I3255" s="161" t="s">
        <v>7138</v>
      </c>
    </row>
    <row r="3256" spans="1:9">
      <c r="A3256" s="113">
        <v>100700373</v>
      </c>
      <c r="B3256" s="113" t="s">
        <v>5933</v>
      </c>
      <c r="C3256" s="113">
        <v>7992680</v>
      </c>
      <c r="D3256" s="113" t="s">
        <v>3093</v>
      </c>
      <c r="E3256" s="113" t="s">
        <v>1620</v>
      </c>
      <c r="F3256" s="113" t="s">
        <v>3093</v>
      </c>
      <c r="G3256" s="113" t="s">
        <v>3093</v>
      </c>
      <c r="H3256" s="161">
        <v>0</v>
      </c>
      <c r="I3256" s="161" t="s">
        <v>7138</v>
      </c>
    </row>
    <row r="3257" spans="1:9">
      <c r="A3257" s="113">
        <v>100700374</v>
      </c>
      <c r="B3257" s="113" t="s">
        <v>5934</v>
      </c>
      <c r="C3257" s="113" t="s">
        <v>3093</v>
      </c>
      <c r="D3257" s="113" t="s">
        <v>3093</v>
      </c>
      <c r="E3257" s="113" t="s">
        <v>1620</v>
      </c>
      <c r="F3257" s="113" t="s">
        <v>3093</v>
      </c>
      <c r="G3257" s="113" t="s">
        <v>3093</v>
      </c>
      <c r="H3257" s="161">
        <v>183.33</v>
      </c>
      <c r="I3257" s="161" t="s">
        <v>7138</v>
      </c>
    </row>
    <row r="3258" spans="1:9">
      <c r="A3258" s="113">
        <v>100700375</v>
      </c>
      <c r="B3258" s="113" t="s">
        <v>5935</v>
      </c>
      <c r="C3258" s="113" t="s">
        <v>3093</v>
      </c>
      <c r="D3258" s="113" t="s">
        <v>3093</v>
      </c>
      <c r="E3258" s="113" t="s">
        <v>1620</v>
      </c>
      <c r="F3258" s="113" t="s">
        <v>3093</v>
      </c>
      <c r="G3258" s="113" t="s">
        <v>3093</v>
      </c>
      <c r="H3258" s="161">
        <v>0</v>
      </c>
      <c r="I3258" s="161" t="s">
        <v>7138</v>
      </c>
    </row>
    <row r="3259" spans="1:9">
      <c r="A3259" s="113">
        <v>100700376</v>
      </c>
      <c r="B3259" s="113" t="s">
        <v>5936</v>
      </c>
      <c r="C3259" s="113" t="s">
        <v>3093</v>
      </c>
      <c r="D3259" s="113" t="s">
        <v>3093</v>
      </c>
      <c r="E3259" s="113" t="s">
        <v>1620</v>
      </c>
      <c r="F3259" s="113" t="s">
        <v>3093</v>
      </c>
      <c r="G3259" s="113" t="s">
        <v>3093</v>
      </c>
      <c r="H3259" s="161">
        <v>0</v>
      </c>
      <c r="I3259" s="161" t="s">
        <v>7138</v>
      </c>
    </row>
    <row r="3260" spans="1:9">
      <c r="A3260" s="113">
        <v>100700377</v>
      </c>
      <c r="B3260" s="113" t="s">
        <v>5937</v>
      </c>
      <c r="C3260" s="113" t="s">
        <v>3093</v>
      </c>
      <c r="D3260" s="113" t="s">
        <v>3093</v>
      </c>
      <c r="E3260" s="113" t="s">
        <v>1620</v>
      </c>
      <c r="F3260" s="113" t="s">
        <v>3093</v>
      </c>
      <c r="G3260" s="113" t="s">
        <v>3093</v>
      </c>
      <c r="H3260" s="161">
        <v>19</v>
      </c>
      <c r="I3260" s="161" t="s">
        <v>7138</v>
      </c>
    </row>
    <row r="3261" spans="1:9">
      <c r="A3261" s="113">
        <v>100700378</v>
      </c>
      <c r="B3261" s="113" t="s">
        <v>5938</v>
      </c>
      <c r="C3261" s="113" t="s">
        <v>3093</v>
      </c>
      <c r="D3261" s="113" t="s">
        <v>3093</v>
      </c>
      <c r="E3261" s="113" t="s">
        <v>1620</v>
      </c>
      <c r="F3261" s="113" t="s">
        <v>3093</v>
      </c>
      <c r="G3261" s="113" t="s">
        <v>3093</v>
      </c>
      <c r="H3261" s="161">
        <v>19</v>
      </c>
      <c r="I3261" s="161" t="s">
        <v>7138</v>
      </c>
    </row>
    <row r="3262" spans="1:9">
      <c r="A3262" s="113">
        <v>100700379</v>
      </c>
      <c r="B3262" s="113" t="s">
        <v>5939</v>
      </c>
      <c r="C3262" s="113" t="s">
        <v>3093</v>
      </c>
      <c r="D3262" s="113" t="s">
        <v>3093</v>
      </c>
      <c r="E3262" s="113" t="s">
        <v>1620</v>
      </c>
      <c r="F3262" s="113" t="s">
        <v>3093</v>
      </c>
      <c r="G3262" s="113" t="s">
        <v>3093</v>
      </c>
      <c r="H3262" s="161">
        <v>4995</v>
      </c>
      <c r="I3262" s="161" t="s">
        <v>7138</v>
      </c>
    </row>
    <row r="3263" spans="1:9">
      <c r="A3263" s="113">
        <v>100700380</v>
      </c>
      <c r="B3263" s="113" t="s">
        <v>5940</v>
      </c>
      <c r="C3263" s="113" t="s">
        <v>3093</v>
      </c>
      <c r="D3263" s="113" t="s">
        <v>7139</v>
      </c>
      <c r="E3263" s="113" t="s">
        <v>1620</v>
      </c>
      <c r="F3263" s="113" t="s">
        <v>7139</v>
      </c>
      <c r="G3263" s="113" t="s">
        <v>7139</v>
      </c>
      <c r="H3263" s="161">
        <v>0</v>
      </c>
      <c r="I3263" s="161" t="s">
        <v>7139</v>
      </c>
    </row>
    <row r="3264" spans="1:9">
      <c r="A3264" s="113">
        <v>100700381</v>
      </c>
      <c r="B3264" s="113" t="s">
        <v>5941</v>
      </c>
      <c r="C3264" s="113" t="s">
        <v>3093</v>
      </c>
      <c r="D3264" s="113" t="s">
        <v>3093</v>
      </c>
      <c r="E3264" s="113" t="s">
        <v>1620</v>
      </c>
      <c r="F3264" s="113" t="s">
        <v>3093</v>
      </c>
      <c r="G3264" s="113" t="s">
        <v>3093</v>
      </c>
      <c r="H3264" s="161">
        <v>0</v>
      </c>
      <c r="I3264" s="161" t="s">
        <v>7138</v>
      </c>
    </row>
    <row r="3265" spans="1:9">
      <c r="A3265" s="113">
        <v>100700382</v>
      </c>
      <c r="B3265" s="113" t="s">
        <v>5942</v>
      </c>
      <c r="C3265" s="113" t="s">
        <v>3093</v>
      </c>
      <c r="D3265" s="113" t="s">
        <v>3093</v>
      </c>
      <c r="E3265" s="113" t="s">
        <v>1620</v>
      </c>
      <c r="F3265" s="113" t="s">
        <v>3093</v>
      </c>
      <c r="G3265" s="113" t="s">
        <v>3093</v>
      </c>
      <c r="H3265" s="161">
        <v>0</v>
      </c>
      <c r="I3265" s="161" t="s">
        <v>7138</v>
      </c>
    </row>
    <row r="3266" spans="1:9">
      <c r="A3266" s="113">
        <v>100700389</v>
      </c>
      <c r="B3266" s="113" t="s">
        <v>5943</v>
      </c>
      <c r="C3266" s="113" t="s">
        <v>3093</v>
      </c>
      <c r="D3266" s="113" t="s">
        <v>3093</v>
      </c>
      <c r="E3266" s="113" t="s">
        <v>1620</v>
      </c>
      <c r="F3266" s="113" t="s">
        <v>3093</v>
      </c>
      <c r="G3266" s="113" t="s">
        <v>3093</v>
      </c>
      <c r="H3266" s="161">
        <v>0</v>
      </c>
      <c r="I3266" s="161" t="s">
        <v>7138</v>
      </c>
    </row>
    <row r="3267" spans="1:9">
      <c r="A3267" s="113">
        <v>100700390</v>
      </c>
      <c r="B3267" s="113" t="s">
        <v>5944</v>
      </c>
      <c r="C3267" s="113" t="s">
        <v>3093</v>
      </c>
      <c r="D3267" s="113" t="s">
        <v>3093</v>
      </c>
      <c r="E3267" s="113" t="s">
        <v>1620</v>
      </c>
      <c r="F3267" s="113" t="s">
        <v>3093</v>
      </c>
      <c r="G3267" s="113" t="s">
        <v>3093</v>
      </c>
      <c r="H3267" s="161">
        <v>270.35000000000002</v>
      </c>
      <c r="I3267" s="161" t="s">
        <v>7138</v>
      </c>
    </row>
    <row r="3268" spans="1:9">
      <c r="A3268" s="113">
        <v>100700391</v>
      </c>
      <c r="B3268" s="113" t="s">
        <v>5945</v>
      </c>
      <c r="C3268" s="113" t="s">
        <v>3093</v>
      </c>
      <c r="D3268" s="113" t="s">
        <v>3093</v>
      </c>
      <c r="E3268" s="113" t="s">
        <v>1620</v>
      </c>
      <c r="F3268" s="113" t="s">
        <v>3093</v>
      </c>
      <c r="G3268" s="113" t="s">
        <v>3093</v>
      </c>
      <c r="H3268" s="161">
        <v>0</v>
      </c>
      <c r="I3268" s="161" t="s">
        <v>7138</v>
      </c>
    </row>
    <row r="3269" spans="1:9">
      <c r="A3269" s="113">
        <v>100800001</v>
      </c>
      <c r="B3269" s="113" t="s">
        <v>5946</v>
      </c>
      <c r="C3269" s="113">
        <v>4201024</v>
      </c>
      <c r="D3269" s="113" t="s">
        <v>3093</v>
      </c>
      <c r="E3269" s="113" t="s">
        <v>1620</v>
      </c>
      <c r="F3269" s="113" t="s">
        <v>3093</v>
      </c>
      <c r="G3269" s="113" t="s">
        <v>3093</v>
      </c>
      <c r="H3269" s="161">
        <v>477.9</v>
      </c>
      <c r="I3269" s="161">
        <v>1</v>
      </c>
    </row>
    <row r="3270" spans="1:9">
      <c r="A3270" s="113">
        <v>100800002</v>
      </c>
      <c r="B3270" s="113" t="s">
        <v>5947</v>
      </c>
      <c r="C3270" s="113">
        <v>4201025</v>
      </c>
      <c r="D3270" s="113" t="s">
        <v>3093</v>
      </c>
      <c r="E3270" s="113" t="s">
        <v>1620</v>
      </c>
      <c r="F3270" s="113" t="s">
        <v>3093</v>
      </c>
      <c r="G3270" s="113" t="s">
        <v>3093</v>
      </c>
      <c r="H3270" s="161">
        <v>10.41</v>
      </c>
      <c r="I3270" s="161">
        <v>1</v>
      </c>
    </row>
    <row r="3271" spans="1:9">
      <c r="A3271" s="113">
        <v>100800003</v>
      </c>
      <c r="B3271" s="113" t="s">
        <v>5948</v>
      </c>
      <c r="C3271" s="113">
        <v>7016087</v>
      </c>
      <c r="D3271" s="113" t="s">
        <v>3093</v>
      </c>
      <c r="E3271" s="113" t="s">
        <v>1620</v>
      </c>
      <c r="F3271" s="113" t="s">
        <v>3093</v>
      </c>
      <c r="G3271" s="113" t="s">
        <v>3093</v>
      </c>
      <c r="H3271" s="161">
        <v>4.4999999999999998E-2</v>
      </c>
      <c r="I3271" s="161">
        <v>9000</v>
      </c>
    </row>
    <row r="3272" spans="1:9">
      <c r="A3272" s="113">
        <v>100800004</v>
      </c>
      <c r="B3272" s="113" t="s">
        <v>3040</v>
      </c>
      <c r="C3272" s="113">
        <v>7016147</v>
      </c>
      <c r="D3272" s="113" t="s">
        <v>3093</v>
      </c>
      <c r="E3272" s="113" t="s">
        <v>1620</v>
      </c>
      <c r="F3272" s="113" t="s">
        <v>3093</v>
      </c>
      <c r="G3272" s="113" t="s">
        <v>3093</v>
      </c>
      <c r="H3272" s="161">
        <v>4</v>
      </c>
      <c r="I3272" s="161">
        <v>20</v>
      </c>
    </row>
    <row r="3273" spans="1:9">
      <c r="A3273" s="113">
        <v>100800005</v>
      </c>
      <c r="B3273" s="113" t="s">
        <v>3041</v>
      </c>
      <c r="C3273" s="113">
        <v>7016149</v>
      </c>
      <c r="D3273" s="113" t="s">
        <v>3093</v>
      </c>
      <c r="E3273" s="113" t="s">
        <v>1620</v>
      </c>
      <c r="F3273" s="113" t="s">
        <v>3093</v>
      </c>
      <c r="G3273" s="113" t="s">
        <v>3093</v>
      </c>
      <c r="H3273" s="161">
        <v>1.1299999999999999</v>
      </c>
      <c r="I3273" s="161" t="s">
        <v>7138</v>
      </c>
    </row>
    <row r="3274" spans="1:9">
      <c r="A3274" s="113">
        <v>100800006</v>
      </c>
      <c r="B3274" s="113" t="s">
        <v>5949</v>
      </c>
      <c r="C3274" s="113">
        <v>7016150</v>
      </c>
      <c r="D3274" s="113" t="s">
        <v>3093</v>
      </c>
      <c r="E3274" s="113" t="s">
        <v>1620</v>
      </c>
      <c r="F3274" s="113" t="s">
        <v>3093</v>
      </c>
      <c r="G3274" s="113" t="s">
        <v>3093</v>
      </c>
      <c r="H3274" s="161">
        <v>4.2000000000000003E-2</v>
      </c>
      <c r="I3274" s="161">
        <v>9150</v>
      </c>
    </row>
    <row r="3275" spans="1:9">
      <c r="A3275" s="113">
        <v>100800007</v>
      </c>
      <c r="B3275" s="113" t="s">
        <v>5950</v>
      </c>
      <c r="C3275" s="113">
        <v>7016274</v>
      </c>
      <c r="D3275" s="113" t="s">
        <v>3093</v>
      </c>
      <c r="E3275" s="113" t="s">
        <v>1620</v>
      </c>
      <c r="F3275" s="113" t="s">
        <v>3093</v>
      </c>
      <c r="G3275" s="113" t="s">
        <v>3093</v>
      </c>
      <c r="H3275" s="161">
        <v>226.68</v>
      </c>
      <c r="I3275" s="161" t="s">
        <v>7138</v>
      </c>
    </row>
    <row r="3276" spans="1:9">
      <c r="A3276" s="113">
        <v>100800008</v>
      </c>
      <c r="B3276" s="113" t="s">
        <v>5951</v>
      </c>
      <c r="C3276" s="113">
        <v>7016275</v>
      </c>
      <c r="D3276" s="113" t="s">
        <v>3093</v>
      </c>
      <c r="E3276" s="113" t="s">
        <v>1620</v>
      </c>
      <c r="F3276" s="113" t="s">
        <v>3093</v>
      </c>
      <c r="G3276" s="113" t="s">
        <v>3093</v>
      </c>
      <c r="H3276" s="161">
        <v>310.75</v>
      </c>
      <c r="I3276" s="161" t="s">
        <v>7138</v>
      </c>
    </row>
    <row r="3277" spans="1:9">
      <c r="A3277" s="113">
        <v>100800009</v>
      </c>
      <c r="B3277" s="113" t="s">
        <v>5952</v>
      </c>
      <c r="C3277" s="113">
        <v>7020069</v>
      </c>
      <c r="D3277" s="113" t="s">
        <v>3093</v>
      </c>
      <c r="E3277" s="113" t="s">
        <v>1620</v>
      </c>
      <c r="F3277" s="113" t="s">
        <v>3093</v>
      </c>
      <c r="G3277" s="113" t="s">
        <v>3093</v>
      </c>
      <c r="H3277" s="161">
        <v>1170.07</v>
      </c>
      <c r="I3277" s="161">
        <v>11</v>
      </c>
    </row>
    <row r="3278" spans="1:9">
      <c r="A3278" s="113">
        <v>100800010</v>
      </c>
      <c r="B3278" s="113" t="s">
        <v>5953</v>
      </c>
      <c r="C3278" s="113">
        <v>7020097</v>
      </c>
      <c r="D3278" s="113" t="s">
        <v>3093</v>
      </c>
      <c r="E3278" s="113" t="s">
        <v>1620</v>
      </c>
      <c r="F3278" s="113" t="s">
        <v>3093</v>
      </c>
      <c r="G3278" s="113" t="s">
        <v>3093</v>
      </c>
      <c r="H3278" s="161">
        <v>1798.67</v>
      </c>
      <c r="I3278" s="161">
        <v>20</v>
      </c>
    </row>
    <row r="3279" spans="1:9">
      <c r="A3279" s="113">
        <v>100800011</v>
      </c>
      <c r="B3279" s="113" t="s">
        <v>5954</v>
      </c>
      <c r="C3279" s="113">
        <v>7030015</v>
      </c>
      <c r="D3279" s="113" t="s">
        <v>3093</v>
      </c>
      <c r="E3279" s="113" t="s">
        <v>1620</v>
      </c>
      <c r="F3279" s="113" t="s">
        <v>3093</v>
      </c>
      <c r="G3279" s="113" t="s">
        <v>3093</v>
      </c>
      <c r="H3279" s="161">
        <v>3.5</v>
      </c>
      <c r="I3279" s="161">
        <v>0</v>
      </c>
    </row>
    <row r="3280" spans="1:9">
      <c r="A3280" s="113">
        <v>100800012</v>
      </c>
      <c r="B3280" s="113" t="s">
        <v>5955</v>
      </c>
      <c r="C3280" s="113">
        <v>7030065</v>
      </c>
      <c r="D3280" s="113" t="s">
        <v>3093</v>
      </c>
      <c r="E3280" s="113" t="s">
        <v>1620</v>
      </c>
      <c r="F3280" s="113" t="s">
        <v>3093</v>
      </c>
      <c r="G3280" s="113" t="s">
        <v>3093</v>
      </c>
      <c r="H3280" s="161">
        <v>0</v>
      </c>
      <c r="I3280" s="161" t="s">
        <v>7138</v>
      </c>
    </row>
    <row r="3281" spans="1:9">
      <c r="A3281" s="113">
        <v>100800013</v>
      </c>
      <c r="B3281" s="113" t="s">
        <v>5956</v>
      </c>
      <c r="C3281" s="113">
        <v>7030066</v>
      </c>
      <c r="D3281" s="113" t="s">
        <v>3093</v>
      </c>
      <c r="E3281" s="113" t="s">
        <v>1620</v>
      </c>
      <c r="F3281" s="113" t="s">
        <v>3093</v>
      </c>
      <c r="G3281" s="113" t="s">
        <v>3093</v>
      </c>
      <c r="H3281" s="161">
        <v>3.9</v>
      </c>
      <c r="I3281" s="161">
        <v>20000</v>
      </c>
    </row>
    <row r="3282" spans="1:9">
      <c r="A3282" s="113">
        <v>100800014</v>
      </c>
      <c r="B3282" s="113" t="s">
        <v>5957</v>
      </c>
      <c r="C3282" s="113">
        <v>7030067</v>
      </c>
      <c r="D3282" s="113" t="s">
        <v>3093</v>
      </c>
      <c r="E3282" s="113" t="s">
        <v>1620</v>
      </c>
      <c r="F3282" s="113" t="s">
        <v>3093</v>
      </c>
      <c r="G3282" s="113" t="s">
        <v>3093</v>
      </c>
      <c r="H3282" s="161">
        <v>3.9</v>
      </c>
      <c r="I3282" s="161">
        <v>25000</v>
      </c>
    </row>
    <row r="3283" spans="1:9">
      <c r="A3283" s="113">
        <v>100800015</v>
      </c>
      <c r="B3283" s="113" t="s">
        <v>5958</v>
      </c>
      <c r="C3283" s="113">
        <v>7030068</v>
      </c>
      <c r="D3283" s="113" t="s">
        <v>3093</v>
      </c>
      <c r="E3283" s="113" t="s">
        <v>1620</v>
      </c>
      <c r="F3283" s="113" t="s">
        <v>3093</v>
      </c>
      <c r="G3283" s="113" t="s">
        <v>3093</v>
      </c>
      <c r="H3283" s="161">
        <v>4.05</v>
      </c>
      <c r="I3283" s="161">
        <v>32000</v>
      </c>
    </row>
    <row r="3284" spans="1:9">
      <c r="A3284" s="113">
        <v>100800016</v>
      </c>
      <c r="B3284" s="113" t="s">
        <v>5959</v>
      </c>
      <c r="C3284" s="113">
        <v>7072069</v>
      </c>
      <c r="D3284" s="113" t="s">
        <v>3093</v>
      </c>
      <c r="E3284" s="113" t="s">
        <v>1620</v>
      </c>
      <c r="F3284" s="113" t="s">
        <v>3093</v>
      </c>
      <c r="G3284" s="113" t="s">
        <v>3093</v>
      </c>
      <c r="H3284" s="161">
        <v>0</v>
      </c>
      <c r="I3284" s="161" t="s">
        <v>7138</v>
      </c>
    </row>
    <row r="3285" spans="1:9">
      <c r="A3285" s="113">
        <v>100800017</v>
      </c>
      <c r="B3285" s="113" t="s">
        <v>5960</v>
      </c>
      <c r="C3285" s="113">
        <v>7072073</v>
      </c>
      <c r="D3285" s="113" t="s">
        <v>3093</v>
      </c>
      <c r="E3285" s="113" t="s">
        <v>1620</v>
      </c>
      <c r="F3285" s="113" t="s">
        <v>3093</v>
      </c>
      <c r="G3285" s="113" t="s">
        <v>3093</v>
      </c>
      <c r="H3285" s="161">
        <v>541.22</v>
      </c>
      <c r="I3285" s="161">
        <v>3</v>
      </c>
    </row>
    <row r="3286" spans="1:9">
      <c r="A3286" s="113">
        <v>100800018</v>
      </c>
      <c r="B3286" s="113" t="s">
        <v>5961</v>
      </c>
      <c r="C3286" s="113">
        <v>7090180</v>
      </c>
      <c r="D3286" s="113" t="s">
        <v>3093</v>
      </c>
      <c r="E3286" s="113" t="s">
        <v>1620</v>
      </c>
      <c r="F3286" s="113" t="s">
        <v>3093</v>
      </c>
      <c r="G3286" s="113" t="s">
        <v>3093</v>
      </c>
      <c r="H3286" s="161">
        <v>0</v>
      </c>
      <c r="I3286" s="161" t="s">
        <v>7138</v>
      </c>
    </row>
    <row r="3287" spans="1:9">
      <c r="A3287" s="113">
        <v>100900001</v>
      </c>
      <c r="B3287" s="113" t="s">
        <v>5962</v>
      </c>
      <c r="C3287" s="113">
        <v>4001022</v>
      </c>
      <c r="D3287" s="113" t="s">
        <v>3093</v>
      </c>
      <c r="E3287" s="113" t="s">
        <v>1620</v>
      </c>
      <c r="F3287" s="113" t="s">
        <v>3093</v>
      </c>
      <c r="G3287" s="113" t="s">
        <v>3093</v>
      </c>
      <c r="H3287" s="161">
        <v>5.65</v>
      </c>
      <c r="I3287" s="161">
        <v>0</v>
      </c>
    </row>
    <row r="3288" spans="1:9">
      <c r="A3288" s="113">
        <v>100900002</v>
      </c>
      <c r="B3288" s="113" t="s">
        <v>5963</v>
      </c>
      <c r="C3288" s="113">
        <v>4002061</v>
      </c>
      <c r="D3288" s="113" t="s">
        <v>3093</v>
      </c>
      <c r="E3288" s="113" t="s">
        <v>1620</v>
      </c>
      <c r="F3288" s="113" t="s">
        <v>3093</v>
      </c>
      <c r="G3288" s="113" t="s">
        <v>3093</v>
      </c>
      <c r="H3288" s="161">
        <v>39.950000000000003</v>
      </c>
      <c r="I3288" s="161">
        <v>0</v>
      </c>
    </row>
    <row r="3289" spans="1:9">
      <c r="A3289" s="113">
        <v>100900003</v>
      </c>
      <c r="B3289" s="113" t="s">
        <v>5964</v>
      </c>
      <c r="C3289" s="113">
        <v>4002064</v>
      </c>
      <c r="D3289" s="113" t="s">
        <v>3093</v>
      </c>
      <c r="E3289" s="113" t="s">
        <v>1620</v>
      </c>
      <c r="F3289" s="113" t="s">
        <v>3093</v>
      </c>
      <c r="G3289" s="113" t="s">
        <v>3093</v>
      </c>
      <c r="H3289" s="161">
        <v>57</v>
      </c>
      <c r="I3289" s="161">
        <v>0</v>
      </c>
    </row>
    <row r="3290" spans="1:9">
      <c r="A3290" s="113">
        <v>100900004</v>
      </c>
      <c r="B3290" s="113" t="s">
        <v>5965</v>
      </c>
      <c r="C3290" s="113">
        <v>4002084</v>
      </c>
      <c r="D3290" s="113" t="s">
        <v>3093</v>
      </c>
      <c r="E3290" s="113" t="s">
        <v>1620</v>
      </c>
      <c r="F3290" s="113" t="s">
        <v>3093</v>
      </c>
      <c r="G3290" s="113" t="s">
        <v>3093</v>
      </c>
      <c r="H3290" s="161">
        <v>9.8000000000000007</v>
      </c>
      <c r="I3290" s="161">
        <v>0</v>
      </c>
    </row>
    <row r="3291" spans="1:9">
      <c r="A3291" s="113">
        <v>100900005</v>
      </c>
      <c r="B3291" s="113" t="s">
        <v>3042</v>
      </c>
      <c r="C3291" s="113">
        <v>4002085</v>
      </c>
      <c r="D3291" s="113" t="s">
        <v>3093</v>
      </c>
      <c r="E3291" s="113" t="s">
        <v>1620</v>
      </c>
      <c r="F3291" s="113" t="s">
        <v>3093</v>
      </c>
      <c r="G3291" s="113" t="s">
        <v>3093</v>
      </c>
      <c r="H3291" s="161">
        <v>9.8000000000000007</v>
      </c>
      <c r="I3291" s="161">
        <v>0</v>
      </c>
    </row>
    <row r="3292" spans="1:9">
      <c r="A3292" s="113">
        <v>100900006</v>
      </c>
      <c r="B3292" s="113" t="s">
        <v>5966</v>
      </c>
      <c r="C3292" s="113">
        <v>4002086</v>
      </c>
      <c r="D3292" s="113" t="s">
        <v>3093</v>
      </c>
      <c r="E3292" s="113" t="s">
        <v>1620</v>
      </c>
      <c r="F3292" s="113" t="s">
        <v>3093</v>
      </c>
      <c r="G3292" s="113" t="s">
        <v>3093</v>
      </c>
      <c r="H3292" s="161">
        <v>9.9</v>
      </c>
      <c r="I3292" s="161">
        <v>0</v>
      </c>
    </row>
    <row r="3293" spans="1:9">
      <c r="A3293" s="113">
        <v>100900007</v>
      </c>
      <c r="B3293" s="113" t="s">
        <v>5967</v>
      </c>
      <c r="C3293" s="113">
        <v>4002087</v>
      </c>
      <c r="D3293" s="113" t="s">
        <v>3093</v>
      </c>
      <c r="E3293" s="113" t="s">
        <v>1620</v>
      </c>
      <c r="F3293" s="113" t="s">
        <v>3093</v>
      </c>
      <c r="G3293" s="113" t="s">
        <v>3093</v>
      </c>
      <c r="H3293" s="161">
        <v>12</v>
      </c>
      <c r="I3293" s="161">
        <v>0</v>
      </c>
    </row>
    <row r="3294" spans="1:9">
      <c r="A3294" s="113">
        <v>100900008</v>
      </c>
      <c r="B3294" s="113" t="s">
        <v>5968</v>
      </c>
      <c r="C3294" s="113">
        <v>4002088</v>
      </c>
      <c r="D3294" s="113" t="s">
        <v>3093</v>
      </c>
      <c r="E3294" s="113" t="s">
        <v>1620</v>
      </c>
      <c r="F3294" s="113" t="s">
        <v>3093</v>
      </c>
      <c r="G3294" s="113" t="s">
        <v>3093</v>
      </c>
      <c r="H3294" s="161">
        <v>9.8000000000000007</v>
      </c>
      <c r="I3294" s="161">
        <v>0</v>
      </c>
    </row>
    <row r="3295" spans="1:9">
      <c r="A3295" s="113">
        <v>100900009</v>
      </c>
      <c r="B3295" s="113" t="s">
        <v>5969</v>
      </c>
      <c r="C3295" s="113">
        <v>4002089</v>
      </c>
      <c r="D3295" s="113" t="s">
        <v>3093</v>
      </c>
      <c r="E3295" s="113" t="s">
        <v>1620</v>
      </c>
      <c r="F3295" s="113" t="s">
        <v>3093</v>
      </c>
      <c r="G3295" s="113" t="s">
        <v>3093</v>
      </c>
      <c r="H3295" s="161">
        <v>6.57</v>
      </c>
      <c r="I3295" s="161">
        <v>0</v>
      </c>
    </row>
    <row r="3296" spans="1:9">
      <c r="A3296" s="113">
        <v>100900010</v>
      </c>
      <c r="B3296" s="113" t="s">
        <v>5970</v>
      </c>
      <c r="C3296" s="113">
        <v>4003013</v>
      </c>
      <c r="D3296" s="113" t="s">
        <v>3093</v>
      </c>
      <c r="E3296" s="113" t="s">
        <v>1620</v>
      </c>
      <c r="F3296" s="113" t="s">
        <v>3093</v>
      </c>
      <c r="G3296" s="113" t="s">
        <v>3093</v>
      </c>
      <c r="H3296" s="161">
        <v>180</v>
      </c>
      <c r="I3296" s="161">
        <v>24</v>
      </c>
    </row>
    <row r="3297" spans="1:9">
      <c r="A3297" s="113">
        <v>100900011</v>
      </c>
      <c r="B3297" s="113" t="s">
        <v>5971</v>
      </c>
      <c r="C3297" s="113">
        <v>4003042</v>
      </c>
      <c r="D3297" s="113" t="s">
        <v>3093</v>
      </c>
      <c r="E3297" s="113" t="s">
        <v>1620</v>
      </c>
      <c r="F3297" s="113" t="s">
        <v>3093</v>
      </c>
      <c r="G3297" s="113" t="s">
        <v>3093</v>
      </c>
      <c r="H3297" s="161">
        <v>27.75</v>
      </c>
      <c r="I3297" s="161">
        <v>1</v>
      </c>
    </row>
    <row r="3298" spans="1:9">
      <c r="A3298" s="113">
        <v>100900012</v>
      </c>
      <c r="B3298" s="113" t="s">
        <v>5972</v>
      </c>
      <c r="C3298" s="113">
        <v>4003043</v>
      </c>
      <c r="D3298" s="113" t="s">
        <v>3093</v>
      </c>
      <c r="E3298" s="113" t="s">
        <v>1620</v>
      </c>
      <c r="F3298" s="113" t="s">
        <v>3093</v>
      </c>
      <c r="G3298" s="113" t="s">
        <v>3093</v>
      </c>
      <c r="H3298" s="161">
        <v>42.75</v>
      </c>
      <c r="I3298" s="161">
        <v>3</v>
      </c>
    </row>
    <row r="3299" spans="1:9">
      <c r="A3299" s="113">
        <v>100900013</v>
      </c>
      <c r="B3299" s="113" t="s">
        <v>5973</v>
      </c>
      <c r="C3299" s="113">
        <v>4005068</v>
      </c>
      <c r="D3299" s="113" t="s">
        <v>3093</v>
      </c>
      <c r="E3299" s="113" t="s">
        <v>1620</v>
      </c>
      <c r="F3299" s="113" t="s">
        <v>3093</v>
      </c>
      <c r="G3299" s="113" t="s">
        <v>3093</v>
      </c>
      <c r="H3299" s="161">
        <v>11.35</v>
      </c>
      <c r="I3299" s="161">
        <v>0</v>
      </c>
    </row>
    <row r="3300" spans="1:9">
      <c r="A3300" s="113">
        <v>100900014</v>
      </c>
      <c r="B3300" s="113" t="s">
        <v>5974</v>
      </c>
      <c r="C3300" s="113">
        <v>4005070</v>
      </c>
      <c r="D3300" s="113" t="s">
        <v>3093</v>
      </c>
      <c r="E3300" s="113" t="s">
        <v>1620</v>
      </c>
      <c r="F3300" s="113" t="s">
        <v>3093</v>
      </c>
      <c r="G3300" s="113" t="s">
        <v>3093</v>
      </c>
      <c r="H3300" s="161">
        <v>18.2</v>
      </c>
      <c r="I3300" s="161">
        <v>4</v>
      </c>
    </row>
    <row r="3301" spans="1:9">
      <c r="A3301" s="113">
        <v>100900015</v>
      </c>
      <c r="B3301" s="113" t="s">
        <v>5975</v>
      </c>
      <c r="C3301" s="113">
        <v>4005071</v>
      </c>
      <c r="D3301" s="113" t="s">
        <v>3093</v>
      </c>
      <c r="E3301" s="113" t="s">
        <v>1620</v>
      </c>
      <c r="F3301" s="113" t="s">
        <v>3093</v>
      </c>
      <c r="G3301" s="113" t="s">
        <v>3093</v>
      </c>
      <c r="H3301" s="161">
        <v>17.18</v>
      </c>
      <c r="I3301" s="161">
        <v>3</v>
      </c>
    </row>
    <row r="3302" spans="1:9">
      <c r="A3302" s="113">
        <v>100900016</v>
      </c>
      <c r="B3302" s="113" t="s">
        <v>5976</v>
      </c>
      <c r="C3302" s="113">
        <v>4005076</v>
      </c>
      <c r="D3302" s="113" t="s">
        <v>3093</v>
      </c>
      <c r="E3302" s="113" t="s">
        <v>1620</v>
      </c>
      <c r="F3302" s="113" t="s">
        <v>3093</v>
      </c>
      <c r="G3302" s="113" t="s">
        <v>3093</v>
      </c>
      <c r="H3302" s="161">
        <v>55</v>
      </c>
      <c r="I3302" s="161">
        <v>3</v>
      </c>
    </row>
    <row r="3303" spans="1:9">
      <c r="A3303" s="113">
        <v>100900017</v>
      </c>
      <c r="B3303" s="113" t="s">
        <v>5977</v>
      </c>
      <c r="C3303" s="113">
        <v>4005078</v>
      </c>
      <c r="D3303" s="113" t="s">
        <v>3093</v>
      </c>
      <c r="E3303" s="113" t="s">
        <v>1620</v>
      </c>
      <c r="F3303" s="113" t="s">
        <v>3093</v>
      </c>
      <c r="G3303" s="113" t="s">
        <v>3093</v>
      </c>
      <c r="H3303" s="161">
        <v>11</v>
      </c>
      <c r="I3303" s="161">
        <v>1</v>
      </c>
    </row>
    <row r="3304" spans="1:9">
      <c r="A3304" s="113">
        <v>100900018</v>
      </c>
      <c r="B3304" s="113" t="s">
        <v>5978</v>
      </c>
      <c r="C3304" s="113">
        <v>4005110</v>
      </c>
      <c r="D3304" s="113" t="s">
        <v>3093</v>
      </c>
      <c r="E3304" s="113" t="s">
        <v>1620</v>
      </c>
      <c r="F3304" s="113" t="s">
        <v>3093</v>
      </c>
      <c r="G3304" s="113" t="s">
        <v>3093</v>
      </c>
      <c r="H3304" s="161">
        <v>29.17</v>
      </c>
      <c r="I3304" s="161">
        <v>1</v>
      </c>
    </row>
    <row r="3305" spans="1:9">
      <c r="A3305" s="113">
        <v>100900019</v>
      </c>
      <c r="B3305" s="113" t="s">
        <v>5979</v>
      </c>
      <c r="C3305" s="113">
        <v>4005119</v>
      </c>
      <c r="D3305" s="113" t="s">
        <v>3093</v>
      </c>
      <c r="E3305" s="113" t="s">
        <v>1620</v>
      </c>
      <c r="F3305" s="113" t="s">
        <v>3093</v>
      </c>
      <c r="G3305" s="113" t="s">
        <v>3093</v>
      </c>
      <c r="H3305" s="161">
        <v>15</v>
      </c>
      <c r="I3305" s="161">
        <v>0</v>
      </c>
    </row>
    <row r="3306" spans="1:9">
      <c r="A3306" s="113">
        <v>100900020</v>
      </c>
      <c r="B3306" s="113" t="s">
        <v>5980</v>
      </c>
      <c r="C3306" s="113">
        <v>4005120</v>
      </c>
      <c r="D3306" s="113" t="s">
        <v>3093</v>
      </c>
      <c r="E3306" s="113" t="s">
        <v>1620</v>
      </c>
      <c r="F3306" s="113" t="s">
        <v>3093</v>
      </c>
      <c r="G3306" s="113" t="s">
        <v>3093</v>
      </c>
      <c r="H3306" s="161">
        <v>21.95</v>
      </c>
      <c r="I3306" s="161">
        <v>0</v>
      </c>
    </row>
    <row r="3307" spans="1:9">
      <c r="A3307" s="113">
        <v>100900021</v>
      </c>
      <c r="B3307" s="113" t="s">
        <v>5981</v>
      </c>
      <c r="C3307" s="113">
        <v>4005121</v>
      </c>
      <c r="D3307" s="113" t="s">
        <v>3093</v>
      </c>
      <c r="E3307" s="113" t="s">
        <v>1620</v>
      </c>
      <c r="F3307" s="113" t="s">
        <v>3093</v>
      </c>
      <c r="G3307" s="113" t="s">
        <v>3093</v>
      </c>
      <c r="H3307" s="161">
        <v>15</v>
      </c>
      <c r="I3307" s="161">
        <v>2</v>
      </c>
    </row>
    <row r="3308" spans="1:9">
      <c r="A3308" s="113">
        <v>100900022</v>
      </c>
      <c r="B3308" s="113" t="s">
        <v>5982</v>
      </c>
      <c r="C3308" s="113">
        <v>4005136</v>
      </c>
      <c r="D3308" s="113" t="s">
        <v>3093</v>
      </c>
      <c r="E3308" s="113" t="s">
        <v>1620</v>
      </c>
      <c r="F3308" s="113" t="s">
        <v>3093</v>
      </c>
      <c r="G3308" s="113" t="s">
        <v>3093</v>
      </c>
      <c r="H3308" s="161">
        <v>28</v>
      </c>
      <c r="I3308" s="161">
        <v>2</v>
      </c>
    </row>
    <row r="3309" spans="1:9">
      <c r="A3309" s="113">
        <v>100900023</v>
      </c>
      <c r="B3309" s="113" t="s">
        <v>5983</v>
      </c>
      <c r="C3309" s="113">
        <v>4005139</v>
      </c>
      <c r="D3309" s="113" t="s">
        <v>3093</v>
      </c>
      <c r="E3309" s="113" t="s">
        <v>1620</v>
      </c>
      <c r="F3309" s="113" t="s">
        <v>3093</v>
      </c>
      <c r="G3309" s="113" t="s">
        <v>3093</v>
      </c>
      <c r="H3309" s="161">
        <v>23.25</v>
      </c>
      <c r="I3309" s="161">
        <v>0</v>
      </c>
    </row>
    <row r="3310" spans="1:9">
      <c r="A3310" s="113">
        <v>100900024</v>
      </c>
      <c r="B3310" s="113" t="s">
        <v>5984</v>
      </c>
      <c r="C3310" s="113">
        <v>4005140</v>
      </c>
      <c r="D3310" s="113" t="s">
        <v>3093</v>
      </c>
      <c r="E3310" s="113" t="s">
        <v>1620</v>
      </c>
      <c r="F3310" s="113" t="s">
        <v>3093</v>
      </c>
      <c r="G3310" s="113" t="s">
        <v>3093</v>
      </c>
      <c r="H3310" s="161">
        <v>11.7</v>
      </c>
      <c r="I3310" s="161">
        <v>4</v>
      </c>
    </row>
    <row r="3311" spans="1:9">
      <c r="A3311" s="113">
        <v>100900025</v>
      </c>
      <c r="B3311" s="113" t="s">
        <v>5985</v>
      </c>
      <c r="C3311" s="113">
        <v>4005142</v>
      </c>
      <c r="D3311" s="113" t="s">
        <v>3093</v>
      </c>
      <c r="E3311" s="113" t="s">
        <v>1620</v>
      </c>
      <c r="F3311" s="113" t="s">
        <v>3093</v>
      </c>
      <c r="G3311" s="113" t="s">
        <v>3093</v>
      </c>
      <c r="H3311" s="161">
        <v>80</v>
      </c>
      <c r="I3311" s="161">
        <v>2</v>
      </c>
    </row>
    <row r="3312" spans="1:9">
      <c r="A3312" s="113">
        <v>100900026</v>
      </c>
      <c r="B3312" s="113" t="s">
        <v>5986</v>
      </c>
      <c r="C3312" s="113">
        <v>4005144</v>
      </c>
      <c r="D3312" s="113" t="s">
        <v>3093</v>
      </c>
      <c r="E3312" s="113" t="s">
        <v>1620</v>
      </c>
      <c r="F3312" s="113" t="s">
        <v>3093</v>
      </c>
      <c r="G3312" s="113" t="s">
        <v>3093</v>
      </c>
      <c r="H3312" s="161">
        <v>44.94</v>
      </c>
      <c r="I3312" s="161">
        <v>0</v>
      </c>
    </row>
    <row r="3313" spans="1:9">
      <c r="A3313" s="113">
        <v>100900027</v>
      </c>
      <c r="B3313" s="113" t="s">
        <v>5987</v>
      </c>
      <c r="C3313" s="113">
        <v>4005145</v>
      </c>
      <c r="D3313" s="113" t="s">
        <v>3093</v>
      </c>
      <c r="E3313" s="113" t="s">
        <v>1620</v>
      </c>
      <c r="F3313" s="113" t="s">
        <v>3093</v>
      </c>
      <c r="G3313" s="113" t="s">
        <v>3093</v>
      </c>
      <c r="H3313" s="161">
        <v>24.5</v>
      </c>
      <c r="I3313" s="161">
        <v>0</v>
      </c>
    </row>
    <row r="3314" spans="1:9">
      <c r="A3314" s="113">
        <v>100900028</v>
      </c>
      <c r="B3314" s="113" t="s">
        <v>5988</v>
      </c>
      <c r="C3314" s="113">
        <v>4005146</v>
      </c>
      <c r="D3314" s="113" t="s">
        <v>3093</v>
      </c>
      <c r="E3314" s="113" t="s">
        <v>1620</v>
      </c>
      <c r="F3314" s="113" t="s">
        <v>3093</v>
      </c>
      <c r="G3314" s="113" t="s">
        <v>3093</v>
      </c>
      <c r="H3314" s="161">
        <v>14.5</v>
      </c>
      <c r="I3314" s="161">
        <v>0</v>
      </c>
    </row>
    <row r="3315" spans="1:9">
      <c r="A3315" s="113">
        <v>100900029</v>
      </c>
      <c r="B3315" s="113" t="s">
        <v>5989</v>
      </c>
      <c r="C3315" s="113">
        <v>4005151</v>
      </c>
      <c r="D3315" s="113" t="s">
        <v>3093</v>
      </c>
      <c r="E3315" s="113" t="s">
        <v>1620</v>
      </c>
      <c r="F3315" s="113" t="s">
        <v>3093</v>
      </c>
      <c r="G3315" s="113" t="s">
        <v>3093</v>
      </c>
      <c r="H3315" s="161">
        <v>1.95</v>
      </c>
      <c r="I3315" s="161">
        <v>24</v>
      </c>
    </row>
    <row r="3316" spans="1:9">
      <c r="A3316" s="113">
        <v>100900030</v>
      </c>
      <c r="B3316" s="113" t="s">
        <v>5990</v>
      </c>
      <c r="C3316" s="113">
        <v>4005153</v>
      </c>
      <c r="D3316" s="113" t="s">
        <v>3093</v>
      </c>
      <c r="E3316" s="113" t="s">
        <v>1620</v>
      </c>
      <c r="F3316" s="113" t="s">
        <v>3093</v>
      </c>
      <c r="G3316" s="113" t="s">
        <v>3093</v>
      </c>
      <c r="H3316" s="161">
        <v>31.5</v>
      </c>
      <c r="I3316" s="161">
        <v>2</v>
      </c>
    </row>
    <row r="3317" spans="1:9">
      <c r="A3317" s="113">
        <v>100900031</v>
      </c>
      <c r="B3317" s="113" t="s">
        <v>5991</v>
      </c>
      <c r="C3317" s="113">
        <v>4005154</v>
      </c>
      <c r="D3317" s="113" t="s">
        <v>3093</v>
      </c>
      <c r="E3317" s="113" t="s">
        <v>1620</v>
      </c>
      <c r="F3317" s="113" t="s">
        <v>3093</v>
      </c>
      <c r="G3317" s="113" t="s">
        <v>3093</v>
      </c>
      <c r="H3317" s="161">
        <v>15</v>
      </c>
      <c r="I3317" s="161">
        <v>3</v>
      </c>
    </row>
    <row r="3318" spans="1:9">
      <c r="A3318" s="113">
        <v>100900032</v>
      </c>
      <c r="B3318" s="113" t="s">
        <v>5992</v>
      </c>
      <c r="C3318" s="113">
        <v>4005155</v>
      </c>
      <c r="D3318" s="113" t="s">
        <v>3093</v>
      </c>
      <c r="E3318" s="113" t="s">
        <v>1620</v>
      </c>
      <c r="F3318" s="113" t="s">
        <v>3093</v>
      </c>
      <c r="G3318" s="113" t="s">
        <v>3093</v>
      </c>
      <c r="H3318" s="161">
        <v>108</v>
      </c>
      <c r="I3318" s="161">
        <v>0</v>
      </c>
    </row>
    <row r="3319" spans="1:9">
      <c r="A3319" s="113">
        <v>100900033</v>
      </c>
      <c r="B3319" s="113" t="s">
        <v>5993</v>
      </c>
      <c r="C3319" s="113">
        <v>4005156</v>
      </c>
      <c r="D3319" s="113" t="s">
        <v>3093</v>
      </c>
      <c r="E3319" s="113" t="s">
        <v>1620</v>
      </c>
      <c r="F3319" s="113" t="s">
        <v>3093</v>
      </c>
      <c r="G3319" s="113" t="s">
        <v>3093</v>
      </c>
      <c r="H3319" s="161">
        <v>118</v>
      </c>
      <c r="I3319" s="161">
        <v>96</v>
      </c>
    </row>
    <row r="3320" spans="1:9">
      <c r="A3320" s="113">
        <v>100900034</v>
      </c>
      <c r="B3320" s="113" t="s">
        <v>5994</v>
      </c>
      <c r="C3320" s="113">
        <v>4005157</v>
      </c>
      <c r="D3320" s="113" t="s">
        <v>3093</v>
      </c>
      <c r="E3320" s="113" t="s">
        <v>1620</v>
      </c>
      <c r="F3320" s="113" t="s">
        <v>3093</v>
      </c>
      <c r="G3320" s="113" t="s">
        <v>3093</v>
      </c>
      <c r="H3320" s="161">
        <v>132</v>
      </c>
      <c r="I3320" s="161">
        <v>0</v>
      </c>
    </row>
    <row r="3321" spans="1:9">
      <c r="A3321" s="113">
        <v>100900035</v>
      </c>
      <c r="B3321" s="113" t="s">
        <v>5995</v>
      </c>
      <c r="C3321" s="113">
        <v>4005160</v>
      </c>
      <c r="D3321" s="113" t="s">
        <v>3093</v>
      </c>
      <c r="E3321" s="113" t="s">
        <v>1620</v>
      </c>
      <c r="F3321" s="113" t="s">
        <v>3093</v>
      </c>
      <c r="G3321" s="113" t="s">
        <v>3093</v>
      </c>
      <c r="H3321" s="161">
        <v>15</v>
      </c>
      <c r="I3321" s="161">
        <v>1</v>
      </c>
    </row>
    <row r="3322" spans="1:9">
      <c r="A3322" s="113">
        <v>100900036</v>
      </c>
      <c r="B3322" s="113" t="s">
        <v>5996</v>
      </c>
      <c r="C3322" s="113">
        <v>4005161</v>
      </c>
      <c r="D3322" s="113" t="s">
        <v>3093</v>
      </c>
      <c r="E3322" s="113" t="s">
        <v>1620</v>
      </c>
      <c r="F3322" s="113" t="s">
        <v>3093</v>
      </c>
      <c r="G3322" s="113" t="s">
        <v>3093</v>
      </c>
      <c r="H3322" s="161">
        <v>28</v>
      </c>
      <c r="I3322" s="161">
        <v>0</v>
      </c>
    </row>
    <row r="3323" spans="1:9">
      <c r="A3323" s="113">
        <v>100900037</v>
      </c>
      <c r="B3323" s="113" t="s">
        <v>5997</v>
      </c>
      <c r="C3323" s="113">
        <v>4005166</v>
      </c>
      <c r="D3323" s="113" t="s">
        <v>3093</v>
      </c>
      <c r="E3323" s="113" t="s">
        <v>1620</v>
      </c>
      <c r="F3323" s="113" t="s">
        <v>3093</v>
      </c>
      <c r="G3323" s="113" t="s">
        <v>3093</v>
      </c>
      <c r="H3323" s="161">
        <v>43.62</v>
      </c>
      <c r="I3323" s="161">
        <v>2</v>
      </c>
    </row>
    <row r="3324" spans="1:9">
      <c r="A3324" s="113">
        <v>100900038</v>
      </c>
      <c r="B3324" s="113" t="s">
        <v>5998</v>
      </c>
      <c r="C3324" s="113">
        <v>4005170</v>
      </c>
      <c r="D3324" s="113" t="s">
        <v>3093</v>
      </c>
      <c r="E3324" s="113" t="s">
        <v>1620</v>
      </c>
      <c r="F3324" s="113" t="s">
        <v>3093</v>
      </c>
      <c r="G3324" s="113" t="s">
        <v>3093</v>
      </c>
      <c r="H3324" s="161">
        <v>14</v>
      </c>
      <c r="I3324" s="161">
        <v>0</v>
      </c>
    </row>
    <row r="3325" spans="1:9">
      <c r="A3325" s="113">
        <v>100900039</v>
      </c>
      <c r="B3325" s="113" t="s">
        <v>5999</v>
      </c>
      <c r="C3325" s="113">
        <v>4005171</v>
      </c>
      <c r="D3325" s="113" t="s">
        <v>3093</v>
      </c>
      <c r="E3325" s="113" t="s">
        <v>1620</v>
      </c>
      <c r="F3325" s="113" t="s">
        <v>3093</v>
      </c>
      <c r="G3325" s="113" t="s">
        <v>3093</v>
      </c>
      <c r="H3325" s="161">
        <v>18.95</v>
      </c>
      <c r="I3325" s="161">
        <v>1</v>
      </c>
    </row>
    <row r="3326" spans="1:9">
      <c r="A3326" s="113">
        <v>100900040</v>
      </c>
      <c r="B3326" s="113" t="s">
        <v>6000</v>
      </c>
      <c r="C3326" s="113">
        <v>4005172</v>
      </c>
      <c r="D3326" s="113" t="s">
        <v>3093</v>
      </c>
      <c r="E3326" s="113" t="s">
        <v>1620</v>
      </c>
      <c r="F3326" s="113" t="s">
        <v>3093</v>
      </c>
      <c r="G3326" s="113" t="s">
        <v>3093</v>
      </c>
      <c r="H3326" s="161">
        <v>11.35</v>
      </c>
      <c r="I3326" s="161">
        <v>2</v>
      </c>
    </row>
    <row r="3327" spans="1:9">
      <c r="A3327" s="113">
        <v>100900041</v>
      </c>
      <c r="B3327" s="113" t="s">
        <v>6001</v>
      </c>
      <c r="C3327" s="113">
        <v>4005182</v>
      </c>
      <c r="D3327" s="113" t="s">
        <v>3093</v>
      </c>
      <c r="E3327" s="113" t="s">
        <v>1620</v>
      </c>
      <c r="F3327" s="113" t="s">
        <v>3093</v>
      </c>
      <c r="G3327" s="113" t="s">
        <v>3093</v>
      </c>
      <c r="H3327" s="161">
        <v>47.3</v>
      </c>
      <c r="I3327" s="161">
        <v>3</v>
      </c>
    </row>
    <row r="3328" spans="1:9">
      <c r="A3328" s="113">
        <v>100900042</v>
      </c>
      <c r="B3328" s="113" t="s">
        <v>6002</v>
      </c>
      <c r="C3328" s="113">
        <v>4006001</v>
      </c>
      <c r="D3328" s="113" t="s">
        <v>3093</v>
      </c>
      <c r="E3328" s="113" t="s">
        <v>1620</v>
      </c>
      <c r="F3328" s="113" t="s">
        <v>3093</v>
      </c>
      <c r="G3328" s="113" t="s">
        <v>3093</v>
      </c>
      <c r="H3328" s="161">
        <v>24.05</v>
      </c>
      <c r="I3328" s="161">
        <v>2</v>
      </c>
    </row>
    <row r="3329" spans="1:9">
      <c r="A3329" s="113">
        <v>100900043</v>
      </c>
      <c r="B3329" s="113" t="s">
        <v>3043</v>
      </c>
      <c r="C3329" s="113">
        <v>4006002</v>
      </c>
      <c r="D3329" s="113" t="s">
        <v>3093</v>
      </c>
      <c r="E3329" s="113" t="s">
        <v>1620</v>
      </c>
      <c r="F3329" s="113" t="s">
        <v>3093</v>
      </c>
      <c r="G3329" s="113" t="s">
        <v>3093</v>
      </c>
      <c r="H3329" s="161">
        <v>23.75</v>
      </c>
      <c r="I3329" s="161">
        <v>1</v>
      </c>
    </row>
    <row r="3330" spans="1:9">
      <c r="A3330" s="113">
        <v>100900044</v>
      </c>
      <c r="B3330" s="113" t="s">
        <v>6003</v>
      </c>
      <c r="C3330" s="113">
        <v>4006003</v>
      </c>
      <c r="D3330" s="113" t="s">
        <v>3093</v>
      </c>
      <c r="E3330" s="113" t="s">
        <v>1620</v>
      </c>
      <c r="F3330" s="113" t="s">
        <v>3093</v>
      </c>
      <c r="G3330" s="113" t="s">
        <v>3093</v>
      </c>
      <c r="H3330" s="161">
        <v>21</v>
      </c>
      <c r="I3330" s="161">
        <v>2</v>
      </c>
    </row>
    <row r="3331" spans="1:9">
      <c r="A3331" s="113">
        <v>100900045</v>
      </c>
      <c r="B3331" s="113" t="s">
        <v>6004</v>
      </c>
      <c r="C3331" s="113">
        <v>4006004</v>
      </c>
      <c r="D3331" s="113" t="s">
        <v>3093</v>
      </c>
      <c r="E3331" s="113" t="s">
        <v>1620</v>
      </c>
      <c r="F3331" s="113" t="s">
        <v>3093</v>
      </c>
      <c r="G3331" s="113" t="s">
        <v>3093</v>
      </c>
      <c r="H3331" s="161">
        <v>198.35</v>
      </c>
      <c r="I3331" s="161">
        <v>0</v>
      </c>
    </row>
    <row r="3332" spans="1:9">
      <c r="A3332" s="113">
        <v>100900046</v>
      </c>
      <c r="B3332" s="113" t="s">
        <v>6005</v>
      </c>
      <c r="C3332" s="113">
        <v>7014046</v>
      </c>
      <c r="D3332" s="113" t="s">
        <v>3093</v>
      </c>
      <c r="E3332" s="113" t="s">
        <v>1620</v>
      </c>
      <c r="F3332" s="113" t="s">
        <v>3093</v>
      </c>
      <c r="G3332" s="113" t="s">
        <v>3093</v>
      </c>
      <c r="H3332" s="161">
        <v>8.35</v>
      </c>
      <c r="I3332" s="161">
        <v>790</v>
      </c>
    </row>
    <row r="3333" spans="1:9">
      <c r="A3333" s="113">
        <v>100900047</v>
      </c>
      <c r="B3333" s="113" t="s">
        <v>6006</v>
      </c>
      <c r="C3333" s="113">
        <v>7014047</v>
      </c>
      <c r="D3333" s="113" t="s">
        <v>3093</v>
      </c>
      <c r="E3333" s="113" t="s">
        <v>1620</v>
      </c>
      <c r="F3333" s="113" t="s">
        <v>3093</v>
      </c>
      <c r="G3333" s="113" t="s">
        <v>3093</v>
      </c>
      <c r="H3333" s="161">
        <v>3.9</v>
      </c>
      <c r="I3333" s="161">
        <v>161</v>
      </c>
    </row>
    <row r="3334" spans="1:9">
      <c r="A3334" s="113">
        <v>100900048</v>
      </c>
      <c r="B3334" s="113" t="s">
        <v>6007</v>
      </c>
      <c r="C3334" s="113">
        <v>7014048</v>
      </c>
      <c r="D3334" s="113" t="s">
        <v>3093</v>
      </c>
      <c r="E3334" s="113" t="s">
        <v>1620</v>
      </c>
      <c r="F3334" s="113" t="s">
        <v>3093</v>
      </c>
      <c r="G3334" s="113" t="s">
        <v>3093</v>
      </c>
      <c r="H3334" s="161">
        <v>8.5</v>
      </c>
      <c r="I3334" s="161">
        <v>375</v>
      </c>
    </row>
    <row r="3335" spans="1:9">
      <c r="A3335" s="113">
        <v>100900049</v>
      </c>
      <c r="B3335" s="113" t="s">
        <v>6008</v>
      </c>
      <c r="C3335" s="113">
        <v>7014049</v>
      </c>
      <c r="D3335" s="113" t="s">
        <v>3093</v>
      </c>
      <c r="E3335" s="113" t="s">
        <v>1620</v>
      </c>
      <c r="F3335" s="113" t="s">
        <v>3093</v>
      </c>
      <c r="G3335" s="113" t="s">
        <v>3093</v>
      </c>
      <c r="H3335" s="161">
        <v>5.03</v>
      </c>
      <c r="I3335" s="161">
        <v>1200</v>
      </c>
    </row>
    <row r="3336" spans="1:9">
      <c r="A3336" s="113">
        <v>100900050</v>
      </c>
      <c r="B3336" s="113" t="s">
        <v>6009</v>
      </c>
      <c r="C3336" s="113">
        <v>7014052</v>
      </c>
      <c r="D3336" s="113" t="s">
        <v>3093</v>
      </c>
      <c r="E3336" s="113" t="s">
        <v>1620</v>
      </c>
      <c r="F3336" s="113" t="s">
        <v>3093</v>
      </c>
      <c r="G3336" s="113" t="s">
        <v>3093</v>
      </c>
      <c r="H3336" s="161">
        <v>3.1244999999999998</v>
      </c>
      <c r="I3336" s="161">
        <v>600</v>
      </c>
    </row>
    <row r="3337" spans="1:9">
      <c r="A3337" s="113">
        <v>100900051</v>
      </c>
      <c r="B3337" s="113" t="s">
        <v>6010</v>
      </c>
      <c r="C3337" s="113">
        <v>7014053</v>
      </c>
      <c r="D3337" s="113" t="s">
        <v>3093</v>
      </c>
      <c r="E3337" s="113" t="s">
        <v>1620</v>
      </c>
      <c r="F3337" s="113" t="s">
        <v>3093</v>
      </c>
      <c r="G3337" s="113" t="s">
        <v>3093</v>
      </c>
      <c r="H3337" s="161">
        <v>0</v>
      </c>
      <c r="I3337" s="161" t="s">
        <v>7138</v>
      </c>
    </row>
    <row r="3338" spans="1:9">
      <c r="A3338" s="113">
        <v>100900052</v>
      </c>
      <c r="B3338" s="113" t="s">
        <v>6011</v>
      </c>
      <c r="C3338" s="113">
        <v>7014054</v>
      </c>
      <c r="D3338" s="113" t="s">
        <v>3093</v>
      </c>
      <c r="E3338" s="113" t="s">
        <v>1620</v>
      </c>
      <c r="F3338" s="113" t="s">
        <v>3093</v>
      </c>
      <c r="G3338" s="113" t="s">
        <v>3093</v>
      </c>
      <c r="H3338" s="161">
        <v>23.6</v>
      </c>
      <c r="I3338" s="161">
        <v>400</v>
      </c>
    </row>
    <row r="3339" spans="1:9">
      <c r="A3339" s="113">
        <v>100900053</v>
      </c>
      <c r="B3339" s="113" t="s">
        <v>6012</v>
      </c>
      <c r="C3339" s="113">
        <v>7014055</v>
      </c>
      <c r="D3339" s="113" t="s">
        <v>3093</v>
      </c>
      <c r="E3339" s="113" t="s">
        <v>1620</v>
      </c>
      <c r="F3339" s="113" t="s">
        <v>3093</v>
      </c>
      <c r="G3339" s="113" t="s">
        <v>3093</v>
      </c>
      <c r="H3339" s="161">
        <v>0</v>
      </c>
      <c r="I3339" s="161" t="s">
        <v>7138</v>
      </c>
    </row>
    <row r="3340" spans="1:9">
      <c r="A3340" s="113">
        <v>100900054</v>
      </c>
      <c r="B3340" s="113" t="s">
        <v>6013</v>
      </c>
      <c r="C3340" s="113">
        <v>7014056</v>
      </c>
      <c r="D3340" s="113" t="s">
        <v>3093</v>
      </c>
      <c r="E3340" s="113" t="s">
        <v>1620</v>
      </c>
      <c r="F3340" s="113" t="s">
        <v>3093</v>
      </c>
      <c r="G3340" s="113" t="s">
        <v>3093</v>
      </c>
      <c r="H3340" s="161">
        <v>61.698599999999999</v>
      </c>
      <c r="I3340" s="161">
        <v>60</v>
      </c>
    </row>
    <row r="3341" spans="1:9">
      <c r="A3341" s="113">
        <v>100900055</v>
      </c>
      <c r="B3341" s="113" t="s">
        <v>6014</v>
      </c>
      <c r="C3341" s="113">
        <v>7014057</v>
      </c>
      <c r="D3341" s="113" t="s">
        <v>3093</v>
      </c>
      <c r="E3341" s="113" t="s">
        <v>1620</v>
      </c>
      <c r="F3341" s="113" t="s">
        <v>3093</v>
      </c>
      <c r="G3341" s="113" t="s">
        <v>3093</v>
      </c>
      <c r="H3341" s="161">
        <v>0.09</v>
      </c>
      <c r="I3341" s="161">
        <v>1200</v>
      </c>
    </row>
    <row r="3342" spans="1:9">
      <c r="A3342" s="113">
        <v>100900056</v>
      </c>
      <c r="B3342" s="113" t="s">
        <v>6015</v>
      </c>
      <c r="C3342" s="113">
        <v>7014059</v>
      </c>
      <c r="D3342" s="113" t="s">
        <v>3093</v>
      </c>
      <c r="E3342" s="113" t="s">
        <v>1620</v>
      </c>
      <c r="F3342" s="113" t="s">
        <v>3093</v>
      </c>
      <c r="G3342" s="113" t="s">
        <v>3093</v>
      </c>
      <c r="H3342" s="161">
        <v>0.59</v>
      </c>
      <c r="I3342" s="161">
        <v>12000</v>
      </c>
    </row>
    <row r="3343" spans="1:9">
      <c r="A3343" s="113">
        <v>100900057</v>
      </c>
      <c r="B3343" s="113" t="s">
        <v>6016</v>
      </c>
      <c r="C3343" s="113">
        <v>7014060</v>
      </c>
      <c r="D3343" s="113" t="s">
        <v>3093</v>
      </c>
      <c r="E3343" s="113" t="s">
        <v>1620</v>
      </c>
      <c r="F3343" s="113" t="s">
        <v>3093</v>
      </c>
      <c r="G3343" s="113" t="s">
        <v>3093</v>
      </c>
      <c r="H3343" s="161">
        <v>0.09</v>
      </c>
      <c r="I3343" s="161">
        <v>0</v>
      </c>
    </row>
    <row r="3344" spans="1:9">
      <c r="A3344" s="113">
        <v>100900058</v>
      </c>
      <c r="B3344" s="113" t="s">
        <v>6017</v>
      </c>
      <c r="C3344" s="113">
        <v>7014062</v>
      </c>
      <c r="D3344" s="113" t="s">
        <v>3093</v>
      </c>
      <c r="E3344" s="113" t="s">
        <v>1620</v>
      </c>
      <c r="F3344" s="113" t="s">
        <v>3093</v>
      </c>
      <c r="G3344" s="113" t="s">
        <v>3093</v>
      </c>
      <c r="H3344" s="161">
        <v>1.6</v>
      </c>
      <c r="I3344" s="161">
        <v>2900</v>
      </c>
    </row>
    <row r="3345" spans="1:9">
      <c r="A3345" s="113">
        <v>100900059</v>
      </c>
      <c r="B3345" s="113" t="s">
        <v>6018</v>
      </c>
      <c r="C3345" s="113">
        <v>7014063</v>
      </c>
      <c r="D3345" s="113" t="s">
        <v>3093</v>
      </c>
      <c r="E3345" s="113" t="s">
        <v>1620</v>
      </c>
      <c r="F3345" s="113" t="s">
        <v>3093</v>
      </c>
      <c r="G3345" s="113" t="s">
        <v>3093</v>
      </c>
      <c r="H3345" s="161">
        <v>46.4</v>
      </c>
      <c r="I3345" s="161">
        <v>12</v>
      </c>
    </row>
    <row r="3346" spans="1:9">
      <c r="A3346" s="113">
        <v>100900060</v>
      </c>
      <c r="B3346" s="113" t="s">
        <v>6019</v>
      </c>
      <c r="C3346" s="113">
        <v>7014064</v>
      </c>
      <c r="D3346" s="113" t="s">
        <v>3093</v>
      </c>
      <c r="E3346" s="113" t="s">
        <v>1620</v>
      </c>
      <c r="F3346" s="113" t="s">
        <v>3093</v>
      </c>
      <c r="G3346" s="113" t="s">
        <v>3093</v>
      </c>
      <c r="H3346" s="161">
        <v>71.959999999999994</v>
      </c>
      <c r="I3346" s="161">
        <v>12</v>
      </c>
    </row>
    <row r="3347" spans="1:9">
      <c r="A3347" s="113">
        <v>100900061</v>
      </c>
      <c r="B3347" s="113" t="s">
        <v>6020</v>
      </c>
      <c r="C3347" s="113">
        <v>7014066</v>
      </c>
      <c r="D3347" s="113" t="s">
        <v>3093</v>
      </c>
      <c r="E3347" s="113" t="s">
        <v>1620</v>
      </c>
      <c r="F3347" s="113" t="s">
        <v>3093</v>
      </c>
      <c r="G3347" s="113" t="s">
        <v>3093</v>
      </c>
      <c r="H3347" s="161">
        <v>60</v>
      </c>
      <c r="I3347" s="161">
        <v>240</v>
      </c>
    </row>
    <row r="3348" spans="1:9">
      <c r="A3348" s="113">
        <v>100900062</v>
      </c>
      <c r="B3348" s="113" t="s">
        <v>6021</v>
      </c>
      <c r="C3348" s="113">
        <v>7014067</v>
      </c>
      <c r="D3348" s="113" t="s">
        <v>3093</v>
      </c>
      <c r="E3348" s="113" t="s">
        <v>99</v>
      </c>
      <c r="F3348" s="113" t="s">
        <v>3093</v>
      </c>
      <c r="G3348" s="113" t="s">
        <v>3093</v>
      </c>
      <c r="H3348" s="161">
        <v>0.32</v>
      </c>
      <c r="I3348" s="161">
        <v>0</v>
      </c>
    </row>
    <row r="3349" spans="1:9">
      <c r="A3349" s="113">
        <v>100900063</v>
      </c>
      <c r="B3349" s="113" t="s">
        <v>6022</v>
      </c>
      <c r="C3349" s="113">
        <v>7014068</v>
      </c>
      <c r="D3349" s="113" t="s">
        <v>3093</v>
      </c>
      <c r="E3349" s="113" t="s">
        <v>1620</v>
      </c>
      <c r="F3349" s="113" t="s">
        <v>3093</v>
      </c>
      <c r="G3349" s="113" t="s">
        <v>3093</v>
      </c>
      <c r="H3349" s="161">
        <v>0</v>
      </c>
      <c r="I3349" s="161" t="s">
        <v>7138</v>
      </c>
    </row>
    <row r="3350" spans="1:9">
      <c r="A3350" s="113">
        <v>100900064</v>
      </c>
      <c r="B3350" s="113" t="s">
        <v>6023</v>
      </c>
      <c r="C3350" s="113">
        <v>7014072</v>
      </c>
      <c r="D3350" s="113" t="s">
        <v>3093</v>
      </c>
      <c r="E3350" s="113" t="s">
        <v>1620</v>
      </c>
      <c r="F3350" s="113" t="s">
        <v>3093</v>
      </c>
      <c r="G3350" s="113" t="s">
        <v>3093</v>
      </c>
      <c r="H3350" s="161">
        <v>0.62</v>
      </c>
      <c r="I3350" s="161">
        <v>0</v>
      </c>
    </row>
    <row r="3351" spans="1:9">
      <c r="A3351" s="113">
        <v>100900065</v>
      </c>
      <c r="B3351" s="113" t="s">
        <v>6024</v>
      </c>
      <c r="C3351" s="113">
        <v>7014073</v>
      </c>
      <c r="D3351" s="113" t="s">
        <v>3093</v>
      </c>
      <c r="E3351" s="113" t="s">
        <v>1620</v>
      </c>
      <c r="F3351" s="113" t="s">
        <v>3093</v>
      </c>
      <c r="G3351" s="113" t="s">
        <v>3093</v>
      </c>
      <c r="H3351" s="161">
        <v>0.88</v>
      </c>
      <c r="I3351" s="161">
        <v>0</v>
      </c>
    </row>
    <row r="3352" spans="1:9">
      <c r="A3352" s="113">
        <v>100900066</v>
      </c>
      <c r="B3352" s="113" t="s">
        <v>6025</v>
      </c>
      <c r="C3352" s="113">
        <v>7014074</v>
      </c>
      <c r="D3352" s="113" t="s">
        <v>3093</v>
      </c>
      <c r="E3352" s="113" t="s">
        <v>99</v>
      </c>
      <c r="F3352" s="113" t="s">
        <v>3093</v>
      </c>
      <c r="G3352" s="113" t="s">
        <v>3093</v>
      </c>
      <c r="H3352" s="161">
        <v>0.03</v>
      </c>
      <c r="I3352" s="161">
        <v>0</v>
      </c>
    </row>
    <row r="3353" spans="1:9">
      <c r="A3353" s="113">
        <v>100900067</v>
      </c>
      <c r="B3353" s="113" t="s">
        <v>6026</v>
      </c>
      <c r="C3353" s="113">
        <v>7014075</v>
      </c>
      <c r="D3353" s="113" t="s">
        <v>3093</v>
      </c>
      <c r="E3353" s="113" t="s">
        <v>2521</v>
      </c>
      <c r="F3353" s="113" t="s">
        <v>3093</v>
      </c>
      <c r="G3353" s="113" t="s">
        <v>3093</v>
      </c>
      <c r="H3353" s="161">
        <v>0.18</v>
      </c>
      <c r="I3353" s="161">
        <v>0</v>
      </c>
    </row>
    <row r="3354" spans="1:9">
      <c r="A3354" s="113">
        <v>100900068</v>
      </c>
      <c r="B3354" s="113" t="s">
        <v>6027</v>
      </c>
      <c r="C3354" s="113">
        <v>7014080</v>
      </c>
      <c r="D3354" s="113" t="s">
        <v>3093</v>
      </c>
      <c r="E3354" s="113" t="s">
        <v>1620</v>
      </c>
      <c r="F3354" s="113" t="s">
        <v>3093</v>
      </c>
      <c r="G3354" s="113" t="s">
        <v>3093</v>
      </c>
      <c r="H3354" s="161">
        <v>226.58</v>
      </c>
      <c r="I3354" s="161">
        <v>24</v>
      </c>
    </row>
    <row r="3355" spans="1:9">
      <c r="A3355" s="113">
        <v>100900069</v>
      </c>
      <c r="B3355" s="113" t="s">
        <v>6028</v>
      </c>
      <c r="C3355" s="113">
        <v>7014081</v>
      </c>
      <c r="D3355" s="113" t="s">
        <v>3093</v>
      </c>
      <c r="E3355" s="113" t="s">
        <v>1620</v>
      </c>
      <c r="F3355" s="113" t="s">
        <v>3093</v>
      </c>
      <c r="G3355" s="113" t="s">
        <v>3093</v>
      </c>
      <c r="H3355" s="161">
        <v>226.58</v>
      </c>
      <c r="I3355" s="161">
        <v>160</v>
      </c>
    </row>
    <row r="3356" spans="1:9">
      <c r="A3356" s="113">
        <v>100900070</v>
      </c>
      <c r="B3356" s="113" t="s">
        <v>6029</v>
      </c>
      <c r="C3356" s="113">
        <v>7014082</v>
      </c>
      <c r="D3356" s="113" t="s">
        <v>3093</v>
      </c>
      <c r="E3356" s="113" t="s">
        <v>1620</v>
      </c>
      <c r="F3356" s="113" t="s">
        <v>3093</v>
      </c>
      <c r="G3356" s="113" t="s">
        <v>3093</v>
      </c>
      <c r="H3356" s="161">
        <v>574.9</v>
      </c>
      <c r="I3356" s="161">
        <v>7</v>
      </c>
    </row>
    <row r="3357" spans="1:9">
      <c r="A3357" s="113">
        <v>100900071</v>
      </c>
      <c r="B3357" s="113" t="s">
        <v>6030</v>
      </c>
      <c r="C3357" s="113">
        <v>7014085</v>
      </c>
      <c r="D3357" s="113" t="s">
        <v>3093</v>
      </c>
      <c r="E3357" s="113" t="s">
        <v>1620</v>
      </c>
      <c r="F3357" s="113" t="s">
        <v>3093</v>
      </c>
      <c r="G3357" s="113" t="s">
        <v>3093</v>
      </c>
      <c r="H3357" s="161">
        <v>43.98</v>
      </c>
      <c r="I3357" s="161" t="s">
        <v>7138</v>
      </c>
    </row>
    <row r="3358" spans="1:9">
      <c r="A3358" s="113">
        <v>100900072</v>
      </c>
      <c r="B3358" s="113" t="s">
        <v>6031</v>
      </c>
      <c r="C3358" s="113">
        <v>7014090</v>
      </c>
      <c r="D3358" s="113" t="s">
        <v>3093</v>
      </c>
      <c r="E3358" s="113" t="s">
        <v>7144</v>
      </c>
      <c r="F3358" s="113" t="s">
        <v>3093</v>
      </c>
      <c r="G3358" s="113" t="s">
        <v>3093</v>
      </c>
      <c r="H3358" s="161">
        <v>2.48</v>
      </c>
      <c r="I3358" s="161">
        <v>30</v>
      </c>
    </row>
    <row r="3359" spans="1:9">
      <c r="A3359" s="113">
        <v>100900073</v>
      </c>
      <c r="B3359" s="113" t="s">
        <v>6032</v>
      </c>
      <c r="C3359" s="113">
        <v>7014091</v>
      </c>
      <c r="D3359" s="113" t="s">
        <v>3093</v>
      </c>
      <c r="E3359" s="113" t="s">
        <v>1620</v>
      </c>
      <c r="F3359" s="113" t="s">
        <v>3093</v>
      </c>
      <c r="G3359" s="113" t="s">
        <v>3093</v>
      </c>
      <c r="H3359" s="161">
        <v>8.25</v>
      </c>
      <c r="I3359" s="161">
        <v>6</v>
      </c>
    </row>
    <row r="3360" spans="1:9">
      <c r="A3360" s="113">
        <v>100900074</v>
      </c>
      <c r="B3360" s="113" t="s">
        <v>6033</v>
      </c>
      <c r="C3360" s="113">
        <v>7014092</v>
      </c>
      <c r="D3360" s="113" t="s">
        <v>3093</v>
      </c>
      <c r="E3360" s="113" t="s">
        <v>1620</v>
      </c>
      <c r="F3360" s="113" t="s">
        <v>3093</v>
      </c>
      <c r="G3360" s="113" t="s">
        <v>3093</v>
      </c>
      <c r="H3360" s="161">
        <v>15</v>
      </c>
      <c r="I3360" s="161">
        <v>0</v>
      </c>
    </row>
    <row r="3361" spans="1:9">
      <c r="A3361" s="113">
        <v>100900075</v>
      </c>
      <c r="B3361" s="113" t="s">
        <v>6034</v>
      </c>
      <c r="C3361" s="113">
        <v>7014093</v>
      </c>
      <c r="D3361" s="113" t="s">
        <v>3093</v>
      </c>
      <c r="E3361" s="113" t="s">
        <v>1620</v>
      </c>
      <c r="F3361" s="113" t="s">
        <v>3093</v>
      </c>
      <c r="G3361" s="113" t="s">
        <v>3093</v>
      </c>
      <c r="H3361" s="161">
        <v>15</v>
      </c>
      <c r="I3361" s="161">
        <v>180</v>
      </c>
    </row>
    <row r="3362" spans="1:9">
      <c r="A3362" s="113">
        <v>100900076</v>
      </c>
      <c r="B3362" s="113" t="s">
        <v>6035</v>
      </c>
      <c r="C3362" s="113">
        <v>7014094</v>
      </c>
      <c r="D3362" s="113" t="s">
        <v>3093</v>
      </c>
      <c r="E3362" s="113" t="s">
        <v>1620</v>
      </c>
      <c r="F3362" s="113" t="s">
        <v>3093</v>
      </c>
      <c r="G3362" s="113" t="s">
        <v>3093</v>
      </c>
      <c r="H3362" s="161">
        <v>9.7438000000000002</v>
      </c>
      <c r="I3362" s="161">
        <v>600</v>
      </c>
    </row>
    <row r="3363" spans="1:9">
      <c r="A3363" s="113">
        <v>100900077</v>
      </c>
      <c r="B3363" s="113" t="s">
        <v>6036</v>
      </c>
      <c r="C3363" s="113">
        <v>7014096</v>
      </c>
      <c r="D3363" s="113" t="s">
        <v>3093</v>
      </c>
      <c r="E3363" s="113" t="s">
        <v>1620</v>
      </c>
      <c r="F3363" s="113" t="s">
        <v>3093</v>
      </c>
      <c r="G3363" s="113" t="s">
        <v>3093</v>
      </c>
      <c r="H3363" s="161">
        <v>2.6</v>
      </c>
      <c r="I3363" s="161">
        <v>12</v>
      </c>
    </row>
    <row r="3364" spans="1:9">
      <c r="A3364" s="113">
        <v>100900078</v>
      </c>
      <c r="B3364" s="113" t="s">
        <v>6037</v>
      </c>
      <c r="C3364" s="113">
        <v>7014097</v>
      </c>
      <c r="D3364" s="113" t="s">
        <v>3093</v>
      </c>
      <c r="E3364" s="113" t="s">
        <v>1620</v>
      </c>
      <c r="F3364" s="113" t="s">
        <v>3093</v>
      </c>
      <c r="G3364" s="113" t="s">
        <v>3093</v>
      </c>
      <c r="H3364" s="161">
        <v>12</v>
      </c>
      <c r="I3364" s="161">
        <v>190</v>
      </c>
    </row>
    <row r="3365" spans="1:9">
      <c r="A3365" s="113">
        <v>100900079</v>
      </c>
      <c r="B3365" s="113" t="s">
        <v>6038</v>
      </c>
      <c r="C3365" s="113">
        <v>7014098</v>
      </c>
      <c r="D3365" s="113" t="s">
        <v>3093</v>
      </c>
      <c r="E3365" s="113" t="s">
        <v>1620</v>
      </c>
      <c r="F3365" s="113" t="s">
        <v>3093</v>
      </c>
      <c r="G3365" s="113" t="s">
        <v>3093</v>
      </c>
      <c r="H3365" s="161">
        <v>3.5</v>
      </c>
      <c r="I3365" s="161">
        <v>6</v>
      </c>
    </row>
    <row r="3366" spans="1:9">
      <c r="A3366" s="113">
        <v>100900080</v>
      </c>
      <c r="B3366" s="113" t="s">
        <v>6039</v>
      </c>
      <c r="C3366" s="113">
        <v>7014099</v>
      </c>
      <c r="D3366" s="113" t="s">
        <v>3093</v>
      </c>
      <c r="E3366" s="113" t="s">
        <v>1620</v>
      </c>
      <c r="F3366" s="113" t="s">
        <v>3093</v>
      </c>
      <c r="G3366" s="113" t="s">
        <v>3093</v>
      </c>
      <c r="H3366" s="161">
        <v>4.25</v>
      </c>
      <c r="I3366" s="161">
        <v>0</v>
      </c>
    </row>
    <row r="3367" spans="1:9">
      <c r="A3367" s="113">
        <v>100900081</v>
      </c>
      <c r="B3367" s="113" t="s">
        <v>6040</v>
      </c>
      <c r="C3367" s="113">
        <v>7014100</v>
      </c>
      <c r="D3367" s="113" t="s">
        <v>3093</v>
      </c>
      <c r="E3367" s="113" t="s">
        <v>1620</v>
      </c>
      <c r="F3367" s="113" t="s">
        <v>3093</v>
      </c>
      <c r="G3367" s="113" t="s">
        <v>3093</v>
      </c>
      <c r="H3367" s="161">
        <v>0.25</v>
      </c>
      <c r="I3367" s="161">
        <v>990</v>
      </c>
    </row>
    <row r="3368" spans="1:9">
      <c r="A3368" s="113">
        <v>100900082</v>
      </c>
      <c r="B3368" s="113" t="s">
        <v>6041</v>
      </c>
      <c r="C3368" s="113">
        <v>7014101</v>
      </c>
      <c r="D3368" s="113" t="s">
        <v>3093</v>
      </c>
      <c r="E3368" s="113" t="s">
        <v>1620</v>
      </c>
      <c r="F3368" s="113" t="s">
        <v>3093</v>
      </c>
      <c r="G3368" s="113" t="s">
        <v>3093</v>
      </c>
      <c r="H3368" s="161">
        <v>10.17</v>
      </c>
      <c r="I3368" s="161">
        <v>0</v>
      </c>
    </row>
    <row r="3369" spans="1:9">
      <c r="A3369" s="113">
        <v>100900083</v>
      </c>
      <c r="B3369" s="113" t="s">
        <v>6042</v>
      </c>
      <c r="C3369" s="113">
        <v>7014117</v>
      </c>
      <c r="D3369" s="113" t="s">
        <v>3093</v>
      </c>
      <c r="E3369" s="113" t="s">
        <v>1620</v>
      </c>
      <c r="F3369" s="113" t="s">
        <v>3093</v>
      </c>
      <c r="G3369" s="113" t="s">
        <v>3093</v>
      </c>
      <c r="H3369" s="161">
        <v>2.8</v>
      </c>
      <c r="I3369" s="161">
        <v>40</v>
      </c>
    </row>
    <row r="3370" spans="1:9">
      <c r="A3370" s="113">
        <v>100900084</v>
      </c>
      <c r="B3370" s="113" t="s">
        <v>6043</v>
      </c>
      <c r="C3370" s="113">
        <v>7014125</v>
      </c>
      <c r="D3370" s="113" t="s">
        <v>3093</v>
      </c>
      <c r="E3370" s="113" t="s">
        <v>1620</v>
      </c>
      <c r="F3370" s="113" t="s">
        <v>3093</v>
      </c>
      <c r="G3370" s="113" t="s">
        <v>3093</v>
      </c>
      <c r="H3370" s="161">
        <v>3.6612</v>
      </c>
      <c r="I3370" s="161">
        <v>12</v>
      </c>
    </row>
    <row r="3371" spans="1:9">
      <c r="A3371" s="113">
        <v>100900085</v>
      </c>
      <c r="B3371" s="113" t="s">
        <v>6044</v>
      </c>
      <c r="C3371" s="113">
        <v>7014138</v>
      </c>
      <c r="D3371" s="113" t="s">
        <v>3093</v>
      </c>
      <c r="E3371" s="113" t="s">
        <v>1620</v>
      </c>
      <c r="F3371" s="113" t="s">
        <v>3093</v>
      </c>
      <c r="G3371" s="113" t="s">
        <v>3093</v>
      </c>
      <c r="H3371" s="161">
        <v>28</v>
      </c>
      <c r="I3371" s="161">
        <v>0</v>
      </c>
    </row>
    <row r="3372" spans="1:9">
      <c r="A3372" s="113">
        <v>100900086</v>
      </c>
      <c r="B3372" s="113" t="s">
        <v>6045</v>
      </c>
      <c r="C3372" s="113">
        <v>7014142</v>
      </c>
      <c r="D3372" s="113" t="s">
        <v>3093</v>
      </c>
      <c r="E3372" s="113" t="s">
        <v>1620</v>
      </c>
      <c r="F3372" s="113" t="s">
        <v>3093</v>
      </c>
      <c r="G3372" s="113" t="s">
        <v>3093</v>
      </c>
      <c r="H3372" s="161">
        <v>16</v>
      </c>
      <c r="I3372" s="161">
        <v>310</v>
      </c>
    </row>
    <row r="3373" spans="1:9">
      <c r="A3373" s="113">
        <v>100900087</v>
      </c>
      <c r="B3373" s="113" t="s">
        <v>6046</v>
      </c>
      <c r="C3373" s="113">
        <v>7014145</v>
      </c>
      <c r="D3373" s="113" t="s">
        <v>3093</v>
      </c>
      <c r="E3373" s="113" t="s">
        <v>1620</v>
      </c>
      <c r="F3373" s="113" t="s">
        <v>3093</v>
      </c>
      <c r="G3373" s="113" t="s">
        <v>3093</v>
      </c>
      <c r="H3373" s="161">
        <v>34.299999999999997</v>
      </c>
      <c r="I3373" s="161">
        <v>0</v>
      </c>
    </row>
    <row r="3374" spans="1:9">
      <c r="A3374" s="113">
        <v>100900088</v>
      </c>
      <c r="B3374" s="113" t="s">
        <v>6047</v>
      </c>
      <c r="C3374" s="113">
        <v>7014146</v>
      </c>
      <c r="D3374" s="113" t="s">
        <v>3093</v>
      </c>
      <c r="E3374" s="113" t="s">
        <v>1620</v>
      </c>
      <c r="F3374" s="113" t="s">
        <v>3093</v>
      </c>
      <c r="G3374" s="113" t="s">
        <v>3093</v>
      </c>
      <c r="H3374" s="161">
        <v>34.14</v>
      </c>
      <c r="I3374" s="161">
        <v>600</v>
      </c>
    </row>
    <row r="3375" spans="1:9">
      <c r="A3375" s="113">
        <v>100900089</v>
      </c>
      <c r="B3375" s="113" t="s">
        <v>6048</v>
      </c>
      <c r="C3375" s="113">
        <v>7014147</v>
      </c>
      <c r="D3375" s="113" t="s">
        <v>3093</v>
      </c>
      <c r="E3375" s="113" t="s">
        <v>1620</v>
      </c>
      <c r="F3375" s="113" t="s">
        <v>3093</v>
      </c>
      <c r="G3375" s="113" t="s">
        <v>3093</v>
      </c>
      <c r="H3375" s="161">
        <v>12.67</v>
      </c>
      <c r="I3375" s="161">
        <v>300</v>
      </c>
    </row>
    <row r="3376" spans="1:9">
      <c r="A3376" s="113">
        <v>100900090</v>
      </c>
      <c r="B3376" s="113" t="s">
        <v>6049</v>
      </c>
      <c r="C3376" s="113">
        <v>7014152</v>
      </c>
      <c r="D3376" s="113" t="s">
        <v>3093</v>
      </c>
      <c r="E3376" s="113" t="s">
        <v>1620</v>
      </c>
      <c r="F3376" s="113" t="s">
        <v>3093</v>
      </c>
      <c r="G3376" s="113" t="s">
        <v>3093</v>
      </c>
      <c r="H3376" s="161">
        <v>5.0999999999999996</v>
      </c>
      <c r="I3376" s="161" t="s">
        <v>7138</v>
      </c>
    </row>
    <row r="3377" spans="1:9">
      <c r="A3377" s="113">
        <v>100900091</v>
      </c>
      <c r="B3377" s="113" t="s">
        <v>6050</v>
      </c>
      <c r="C3377" s="113">
        <v>7014176</v>
      </c>
      <c r="D3377" s="113" t="s">
        <v>3093</v>
      </c>
      <c r="E3377" s="113" t="s">
        <v>1620</v>
      </c>
      <c r="F3377" s="113" t="s">
        <v>3093</v>
      </c>
      <c r="G3377" s="113" t="s">
        <v>3093</v>
      </c>
      <c r="H3377" s="161">
        <v>39.97</v>
      </c>
      <c r="I3377" s="161">
        <v>24</v>
      </c>
    </row>
    <row r="3378" spans="1:9">
      <c r="A3378" s="113">
        <v>100900092</v>
      </c>
      <c r="B3378" s="113" t="s">
        <v>6051</v>
      </c>
      <c r="C3378" s="113">
        <v>7014177</v>
      </c>
      <c r="D3378" s="113" t="s">
        <v>3093</v>
      </c>
      <c r="E3378" s="113" t="s">
        <v>1620</v>
      </c>
      <c r="F3378" s="113" t="s">
        <v>3093</v>
      </c>
      <c r="G3378" s="113" t="s">
        <v>3093</v>
      </c>
      <c r="H3378" s="161">
        <v>39.97</v>
      </c>
      <c r="I3378" s="161">
        <v>24</v>
      </c>
    </row>
    <row r="3379" spans="1:9">
      <c r="A3379" s="113">
        <v>100900093</v>
      </c>
      <c r="B3379" s="113" t="s">
        <v>6052</v>
      </c>
      <c r="C3379" s="113">
        <v>7014178</v>
      </c>
      <c r="D3379" s="113" t="s">
        <v>3093</v>
      </c>
      <c r="E3379" s="113" t="s">
        <v>1620</v>
      </c>
      <c r="F3379" s="113" t="s">
        <v>3093</v>
      </c>
      <c r="G3379" s="113" t="s">
        <v>3093</v>
      </c>
      <c r="H3379" s="161">
        <v>39.97</v>
      </c>
      <c r="I3379" s="161">
        <v>24</v>
      </c>
    </row>
    <row r="3380" spans="1:9">
      <c r="A3380" s="113">
        <v>100900094</v>
      </c>
      <c r="B3380" s="113" t="s">
        <v>6053</v>
      </c>
      <c r="C3380" s="113">
        <v>7014179</v>
      </c>
      <c r="D3380" s="113" t="s">
        <v>3093</v>
      </c>
      <c r="E3380" s="113" t="s">
        <v>1620</v>
      </c>
      <c r="F3380" s="113" t="s">
        <v>3093</v>
      </c>
      <c r="G3380" s="113" t="s">
        <v>3093</v>
      </c>
      <c r="H3380" s="161">
        <v>39.97</v>
      </c>
      <c r="I3380" s="161">
        <v>183</v>
      </c>
    </row>
    <row r="3381" spans="1:9">
      <c r="A3381" s="113">
        <v>100900095</v>
      </c>
      <c r="B3381" s="113" t="s">
        <v>6054</v>
      </c>
      <c r="C3381" s="113">
        <v>7014180</v>
      </c>
      <c r="D3381" s="113" t="s">
        <v>3093</v>
      </c>
      <c r="E3381" s="113" t="s">
        <v>1620</v>
      </c>
      <c r="F3381" s="113" t="s">
        <v>3093</v>
      </c>
      <c r="G3381" s="113" t="s">
        <v>3093</v>
      </c>
      <c r="H3381" s="161">
        <v>39.97</v>
      </c>
      <c r="I3381" s="161">
        <v>24</v>
      </c>
    </row>
    <row r="3382" spans="1:9">
      <c r="A3382" s="113">
        <v>100900096</v>
      </c>
      <c r="B3382" s="113" t="s">
        <v>6055</v>
      </c>
      <c r="C3382" s="113">
        <v>7014181</v>
      </c>
      <c r="D3382" s="113" t="s">
        <v>3093</v>
      </c>
      <c r="E3382" s="113" t="s">
        <v>1620</v>
      </c>
      <c r="F3382" s="113" t="s">
        <v>3093</v>
      </c>
      <c r="G3382" s="113" t="s">
        <v>3093</v>
      </c>
      <c r="H3382" s="161">
        <v>13.99</v>
      </c>
      <c r="I3382" s="161">
        <v>600</v>
      </c>
    </row>
    <row r="3383" spans="1:9">
      <c r="A3383" s="113">
        <v>100900097</v>
      </c>
      <c r="B3383" s="113" t="s">
        <v>6056</v>
      </c>
      <c r="C3383" s="113">
        <v>7015087</v>
      </c>
      <c r="D3383" s="113" t="s">
        <v>3093</v>
      </c>
      <c r="E3383" s="113" t="s">
        <v>1620</v>
      </c>
      <c r="F3383" s="113" t="s">
        <v>3093</v>
      </c>
      <c r="G3383" s="113" t="s">
        <v>3093</v>
      </c>
      <c r="H3383" s="161">
        <v>242</v>
      </c>
      <c r="I3383" s="161">
        <v>576</v>
      </c>
    </row>
    <row r="3384" spans="1:9">
      <c r="A3384" s="113">
        <v>100900098</v>
      </c>
      <c r="B3384" s="113" t="s">
        <v>6057</v>
      </c>
      <c r="C3384" s="113">
        <v>7016094</v>
      </c>
      <c r="D3384" s="113" t="s">
        <v>3093</v>
      </c>
      <c r="E3384" s="113" t="s">
        <v>1620</v>
      </c>
      <c r="F3384" s="113" t="s">
        <v>3093</v>
      </c>
      <c r="G3384" s="113" t="s">
        <v>3093</v>
      </c>
      <c r="H3384" s="161">
        <v>18</v>
      </c>
      <c r="I3384" s="161">
        <v>5</v>
      </c>
    </row>
    <row r="3385" spans="1:9">
      <c r="A3385" s="113">
        <v>100900099</v>
      </c>
      <c r="B3385" s="113" t="s">
        <v>6058</v>
      </c>
      <c r="C3385" s="113">
        <v>7016095</v>
      </c>
      <c r="D3385" s="113" t="s">
        <v>3093</v>
      </c>
      <c r="E3385" s="113" t="s">
        <v>1620</v>
      </c>
      <c r="F3385" s="113" t="s">
        <v>3093</v>
      </c>
      <c r="G3385" s="113" t="s">
        <v>3093</v>
      </c>
      <c r="H3385" s="161">
        <v>22</v>
      </c>
      <c r="I3385" s="161">
        <v>12</v>
      </c>
    </row>
    <row r="3386" spans="1:9">
      <c r="A3386" s="113">
        <v>100900100</v>
      </c>
      <c r="B3386" s="113" t="s">
        <v>6059</v>
      </c>
      <c r="C3386" s="113">
        <v>7016096</v>
      </c>
      <c r="D3386" s="113" t="s">
        <v>3093</v>
      </c>
      <c r="E3386" s="113" t="s">
        <v>1620</v>
      </c>
      <c r="F3386" s="113" t="s">
        <v>3093</v>
      </c>
      <c r="G3386" s="113" t="s">
        <v>3093</v>
      </c>
      <c r="H3386" s="161">
        <v>0</v>
      </c>
      <c r="I3386" s="161" t="s">
        <v>7138</v>
      </c>
    </row>
    <row r="3387" spans="1:9">
      <c r="A3387" s="113">
        <v>100900101</v>
      </c>
      <c r="B3387" s="113" t="s">
        <v>1072</v>
      </c>
      <c r="C3387" s="113">
        <v>7016128</v>
      </c>
      <c r="D3387" s="113" t="s">
        <v>3093</v>
      </c>
      <c r="E3387" s="113" t="s">
        <v>1620</v>
      </c>
      <c r="F3387" s="113" t="s">
        <v>3093</v>
      </c>
      <c r="G3387" s="113" t="s">
        <v>3093</v>
      </c>
      <c r="H3387" s="161">
        <v>0.11</v>
      </c>
      <c r="I3387" s="161">
        <v>0</v>
      </c>
    </row>
    <row r="3388" spans="1:9">
      <c r="A3388" s="113">
        <v>100900102</v>
      </c>
      <c r="B3388" s="113" t="s">
        <v>6060</v>
      </c>
      <c r="C3388" s="113">
        <v>7016175</v>
      </c>
      <c r="D3388" s="113" t="s">
        <v>3093</v>
      </c>
      <c r="E3388" s="113" t="s">
        <v>1620</v>
      </c>
      <c r="F3388" s="113" t="s">
        <v>3093</v>
      </c>
      <c r="G3388" s="113" t="s">
        <v>3093</v>
      </c>
      <c r="H3388" s="161">
        <v>2.25</v>
      </c>
      <c r="I3388" s="161">
        <v>60</v>
      </c>
    </row>
    <row r="3389" spans="1:9">
      <c r="A3389" s="113">
        <v>100900103</v>
      </c>
      <c r="B3389" s="113" t="s">
        <v>6061</v>
      </c>
      <c r="C3389" s="113">
        <v>7016177</v>
      </c>
      <c r="D3389" s="113" t="s">
        <v>3093</v>
      </c>
      <c r="E3389" s="113" t="s">
        <v>1620</v>
      </c>
      <c r="F3389" s="113" t="s">
        <v>3093</v>
      </c>
      <c r="G3389" s="113" t="s">
        <v>3093</v>
      </c>
      <c r="H3389" s="161">
        <v>0.5</v>
      </c>
      <c r="I3389" s="161">
        <v>40</v>
      </c>
    </row>
    <row r="3390" spans="1:9">
      <c r="A3390" s="113">
        <v>100900104</v>
      </c>
      <c r="B3390" s="113" t="s">
        <v>6062</v>
      </c>
      <c r="C3390" s="113">
        <v>7016178</v>
      </c>
      <c r="D3390" s="113" t="s">
        <v>3093</v>
      </c>
      <c r="E3390" s="113" t="s">
        <v>1620</v>
      </c>
      <c r="F3390" s="113" t="s">
        <v>3093</v>
      </c>
      <c r="G3390" s="113" t="s">
        <v>3093</v>
      </c>
      <c r="H3390" s="161">
        <v>0.6</v>
      </c>
      <c r="I3390" s="161">
        <v>50</v>
      </c>
    </row>
    <row r="3391" spans="1:9">
      <c r="A3391" s="113">
        <v>100900105</v>
      </c>
      <c r="B3391" s="113" t="s">
        <v>6063</v>
      </c>
      <c r="C3391" s="113">
        <v>7016220</v>
      </c>
      <c r="D3391" s="113" t="s">
        <v>3093</v>
      </c>
      <c r="E3391" s="113" t="s">
        <v>1620</v>
      </c>
      <c r="F3391" s="113" t="s">
        <v>3093</v>
      </c>
      <c r="G3391" s="113" t="s">
        <v>3093</v>
      </c>
      <c r="H3391" s="161">
        <v>0</v>
      </c>
      <c r="I3391" s="161" t="s">
        <v>7138</v>
      </c>
    </row>
    <row r="3392" spans="1:9">
      <c r="A3392" s="113">
        <v>100900106</v>
      </c>
      <c r="B3392" s="113" t="s">
        <v>6064</v>
      </c>
      <c r="C3392" s="113">
        <v>7020267</v>
      </c>
      <c r="D3392" s="113" t="s">
        <v>3093</v>
      </c>
      <c r="E3392" s="113" t="s">
        <v>1620</v>
      </c>
      <c r="F3392" s="113" t="s">
        <v>3093</v>
      </c>
      <c r="G3392" s="113" t="s">
        <v>3093</v>
      </c>
      <c r="H3392" s="161">
        <v>298.89999999999998</v>
      </c>
      <c r="I3392" s="161">
        <v>2</v>
      </c>
    </row>
    <row r="3393" spans="1:9">
      <c r="A3393" s="113">
        <v>100900107</v>
      </c>
      <c r="B3393" s="113" t="s">
        <v>6065</v>
      </c>
      <c r="C3393" s="113">
        <v>7030023</v>
      </c>
      <c r="D3393" s="113" t="s">
        <v>3093</v>
      </c>
      <c r="E3393" s="113" t="s">
        <v>1620</v>
      </c>
      <c r="F3393" s="113" t="s">
        <v>3093</v>
      </c>
      <c r="G3393" s="113" t="s">
        <v>3093</v>
      </c>
      <c r="H3393" s="161">
        <v>185</v>
      </c>
      <c r="I3393" s="161">
        <v>0</v>
      </c>
    </row>
    <row r="3394" spans="1:9">
      <c r="A3394" s="113">
        <v>100900108</v>
      </c>
      <c r="B3394" s="113" t="s">
        <v>6066</v>
      </c>
      <c r="C3394" s="113">
        <v>7030027</v>
      </c>
      <c r="D3394" s="113" t="s">
        <v>3093</v>
      </c>
      <c r="E3394" s="113" t="s">
        <v>1620</v>
      </c>
      <c r="F3394" s="113" t="s">
        <v>3093</v>
      </c>
      <c r="G3394" s="113" t="s">
        <v>3093</v>
      </c>
      <c r="H3394" s="161">
        <v>9</v>
      </c>
      <c r="I3394" s="161">
        <v>380</v>
      </c>
    </row>
    <row r="3395" spans="1:9">
      <c r="A3395" s="113">
        <v>100900109</v>
      </c>
      <c r="B3395" s="113" t="s">
        <v>6067</v>
      </c>
      <c r="C3395" s="113">
        <v>7030028</v>
      </c>
      <c r="D3395" s="113" t="s">
        <v>3093</v>
      </c>
      <c r="E3395" s="113" t="s">
        <v>1620</v>
      </c>
      <c r="F3395" s="113" t="s">
        <v>3093</v>
      </c>
      <c r="G3395" s="113" t="s">
        <v>3093</v>
      </c>
      <c r="H3395" s="161">
        <v>8</v>
      </c>
      <c r="I3395" s="161">
        <v>25</v>
      </c>
    </row>
    <row r="3396" spans="1:9">
      <c r="A3396" s="113">
        <v>100900110</v>
      </c>
      <c r="B3396" s="113" t="s">
        <v>6068</v>
      </c>
      <c r="C3396" s="113">
        <v>7030029</v>
      </c>
      <c r="D3396" s="113" t="s">
        <v>3093</v>
      </c>
      <c r="E3396" s="113" t="s">
        <v>1620</v>
      </c>
      <c r="F3396" s="113" t="s">
        <v>3093</v>
      </c>
      <c r="G3396" s="113" t="s">
        <v>3093</v>
      </c>
      <c r="H3396" s="161">
        <v>8</v>
      </c>
      <c r="I3396" s="161">
        <v>0</v>
      </c>
    </row>
    <row r="3397" spans="1:9">
      <c r="A3397" s="113">
        <v>100900111</v>
      </c>
      <c r="B3397" s="113" t="s">
        <v>6069</v>
      </c>
      <c r="C3397" s="113">
        <v>7030030</v>
      </c>
      <c r="D3397" s="113" t="s">
        <v>3093</v>
      </c>
      <c r="E3397" s="113" t="s">
        <v>1620</v>
      </c>
      <c r="F3397" s="113" t="s">
        <v>3093</v>
      </c>
      <c r="G3397" s="113" t="s">
        <v>3093</v>
      </c>
      <c r="H3397" s="161">
        <v>8</v>
      </c>
      <c r="I3397" s="161">
        <v>200</v>
      </c>
    </row>
    <row r="3398" spans="1:9">
      <c r="A3398" s="113">
        <v>100900112</v>
      </c>
      <c r="B3398" s="113" t="s">
        <v>6070</v>
      </c>
      <c r="C3398" s="113">
        <v>7030049</v>
      </c>
      <c r="D3398" s="113" t="s">
        <v>3093</v>
      </c>
      <c r="E3398" s="113" t="s">
        <v>1620</v>
      </c>
      <c r="F3398" s="113" t="s">
        <v>3093</v>
      </c>
      <c r="G3398" s="113" t="s">
        <v>3093</v>
      </c>
      <c r="H3398" s="161">
        <v>32.200000000000003</v>
      </c>
      <c r="I3398" s="161">
        <v>390</v>
      </c>
    </row>
    <row r="3399" spans="1:9">
      <c r="A3399" s="113">
        <v>100900113</v>
      </c>
      <c r="B3399" s="113" t="s">
        <v>6071</v>
      </c>
      <c r="C3399" s="113">
        <v>7030060</v>
      </c>
      <c r="D3399" s="113" t="s">
        <v>3093</v>
      </c>
      <c r="E3399" s="113" t="s">
        <v>1620</v>
      </c>
      <c r="F3399" s="113" t="s">
        <v>3093</v>
      </c>
      <c r="G3399" s="113" t="s">
        <v>3093</v>
      </c>
      <c r="H3399" s="161">
        <v>0</v>
      </c>
      <c r="I3399" s="161" t="s">
        <v>7138</v>
      </c>
    </row>
    <row r="3400" spans="1:9">
      <c r="A3400" s="113">
        <v>100900114</v>
      </c>
      <c r="B3400" s="113" t="s">
        <v>6072</v>
      </c>
      <c r="C3400" s="113">
        <v>7031038</v>
      </c>
      <c r="D3400" s="113" t="s">
        <v>3093</v>
      </c>
      <c r="E3400" s="113" t="s">
        <v>1620</v>
      </c>
      <c r="F3400" s="113" t="s">
        <v>3093</v>
      </c>
      <c r="G3400" s="113" t="s">
        <v>3093</v>
      </c>
      <c r="H3400" s="161">
        <v>470</v>
      </c>
      <c r="I3400" s="161">
        <v>0</v>
      </c>
    </row>
    <row r="3401" spans="1:9">
      <c r="A3401" s="113">
        <v>100900115</v>
      </c>
      <c r="B3401" s="113" t="s">
        <v>6073</v>
      </c>
      <c r="C3401" s="113">
        <v>7031039</v>
      </c>
      <c r="D3401" s="113" t="s">
        <v>3093</v>
      </c>
      <c r="E3401" s="113" t="s">
        <v>1620</v>
      </c>
      <c r="F3401" s="113" t="s">
        <v>3093</v>
      </c>
      <c r="G3401" s="113" t="s">
        <v>3093</v>
      </c>
      <c r="H3401" s="161">
        <v>640</v>
      </c>
      <c r="I3401" s="161">
        <v>6</v>
      </c>
    </row>
    <row r="3402" spans="1:9">
      <c r="A3402" s="113">
        <v>100900116</v>
      </c>
      <c r="B3402" s="113" t="s">
        <v>6074</v>
      </c>
      <c r="C3402" s="113">
        <v>7032043</v>
      </c>
      <c r="D3402" s="113" t="s">
        <v>3093</v>
      </c>
      <c r="E3402" s="113" t="s">
        <v>1620</v>
      </c>
      <c r="F3402" s="113" t="s">
        <v>3093</v>
      </c>
      <c r="G3402" s="113" t="s">
        <v>3093</v>
      </c>
      <c r="H3402" s="161">
        <v>0</v>
      </c>
      <c r="I3402" s="161" t="s">
        <v>7138</v>
      </c>
    </row>
    <row r="3403" spans="1:9">
      <c r="A3403" s="113">
        <v>100900117</v>
      </c>
      <c r="B3403" s="113" t="s">
        <v>6075</v>
      </c>
      <c r="C3403" s="113">
        <v>7032044</v>
      </c>
      <c r="D3403" s="113" t="s">
        <v>3093</v>
      </c>
      <c r="E3403" s="113" t="s">
        <v>1620</v>
      </c>
      <c r="F3403" s="113" t="s">
        <v>3093</v>
      </c>
      <c r="G3403" s="113" t="s">
        <v>3093</v>
      </c>
      <c r="H3403" s="161">
        <v>4.95</v>
      </c>
      <c r="I3403" s="161">
        <v>156</v>
      </c>
    </row>
    <row r="3404" spans="1:9">
      <c r="A3404" s="113">
        <v>100900118</v>
      </c>
      <c r="B3404" s="113" t="s">
        <v>6076</v>
      </c>
      <c r="C3404" s="113">
        <v>7032045</v>
      </c>
      <c r="D3404" s="113" t="s">
        <v>3093</v>
      </c>
      <c r="E3404" s="113" t="s">
        <v>1620</v>
      </c>
      <c r="F3404" s="113" t="s">
        <v>3093</v>
      </c>
      <c r="G3404" s="113" t="s">
        <v>3093</v>
      </c>
      <c r="H3404" s="161">
        <v>7</v>
      </c>
      <c r="I3404" s="161">
        <v>6</v>
      </c>
    </row>
    <row r="3405" spans="1:9">
      <c r="A3405" s="113">
        <v>100900119</v>
      </c>
      <c r="B3405" s="113" t="s">
        <v>6077</v>
      </c>
      <c r="C3405" s="113">
        <v>7032046</v>
      </c>
      <c r="D3405" s="113" t="s">
        <v>3093</v>
      </c>
      <c r="E3405" s="113" t="s">
        <v>1620</v>
      </c>
      <c r="F3405" s="113" t="s">
        <v>3093</v>
      </c>
      <c r="G3405" s="113" t="s">
        <v>3093</v>
      </c>
      <c r="H3405" s="161">
        <v>7</v>
      </c>
      <c r="I3405" s="161">
        <v>120</v>
      </c>
    </row>
    <row r="3406" spans="1:9">
      <c r="A3406" s="113">
        <v>100900120</v>
      </c>
      <c r="B3406" s="113" t="s">
        <v>6078</v>
      </c>
      <c r="C3406" s="113">
        <v>7032064</v>
      </c>
      <c r="D3406" s="113" t="s">
        <v>3093</v>
      </c>
      <c r="E3406" s="113" t="s">
        <v>1620</v>
      </c>
      <c r="F3406" s="113" t="s">
        <v>3093</v>
      </c>
      <c r="G3406" s="113" t="s">
        <v>3093</v>
      </c>
      <c r="H3406" s="161">
        <v>500</v>
      </c>
      <c r="I3406" s="161">
        <v>0</v>
      </c>
    </row>
    <row r="3407" spans="1:9">
      <c r="A3407" s="113">
        <v>100900121</v>
      </c>
      <c r="B3407" s="113" t="s">
        <v>6079</v>
      </c>
      <c r="C3407" s="113">
        <v>7032068</v>
      </c>
      <c r="D3407" s="113" t="s">
        <v>3093</v>
      </c>
      <c r="E3407" s="113" t="s">
        <v>1620</v>
      </c>
      <c r="F3407" s="113" t="s">
        <v>3093</v>
      </c>
      <c r="G3407" s="113" t="s">
        <v>3093</v>
      </c>
      <c r="H3407" s="161">
        <v>425</v>
      </c>
      <c r="I3407" s="161">
        <v>0</v>
      </c>
    </row>
    <row r="3408" spans="1:9">
      <c r="A3408" s="113">
        <v>100900122</v>
      </c>
      <c r="B3408" s="113" t="s">
        <v>6080</v>
      </c>
      <c r="C3408" s="113">
        <v>7032071</v>
      </c>
      <c r="D3408" s="113" t="s">
        <v>3093</v>
      </c>
      <c r="E3408" s="113" t="s">
        <v>1620</v>
      </c>
      <c r="F3408" s="113" t="s">
        <v>3093</v>
      </c>
      <c r="G3408" s="113" t="s">
        <v>3093</v>
      </c>
      <c r="H3408" s="161">
        <v>344.89260000000002</v>
      </c>
      <c r="I3408" s="161">
        <v>3</v>
      </c>
    </row>
    <row r="3409" spans="1:9">
      <c r="A3409" s="113">
        <v>100900123</v>
      </c>
      <c r="B3409" s="113" t="s">
        <v>6081</v>
      </c>
      <c r="C3409" s="113">
        <v>7032102</v>
      </c>
      <c r="D3409" s="113" t="s">
        <v>3093</v>
      </c>
      <c r="E3409" s="113" t="s">
        <v>1620</v>
      </c>
      <c r="F3409" s="113" t="s">
        <v>3093</v>
      </c>
      <c r="G3409" s="113" t="s">
        <v>3093</v>
      </c>
      <c r="H3409" s="161">
        <v>0</v>
      </c>
      <c r="I3409" s="161" t="s">
        <v>7138</v>
      </c>
    </row>
    <row r="3410" spans="1:9">
      <c r="A3410" s="113">
        <v>100900124</v>
      </c>
      <c r="B3410" s="113" t="s">
        <v>6082</v>
      </c>
      <c r="C3410" s="113">
        <v>7032103</v>
      </c>
      <c r="D3410" s="113" t="s">
        <v>3093</v>
      </c>
      <c r="E3410" s="113" t="s">
        <v>1620</v>
      </c>
      <c r="F3410" s="113" t="s">
        <v>3093</v>
      </c>
      <c r="G3410" s="113" t="s">
        <v>3093</v>
      </c>
      <c r="H3410" s="161">
        <v>0</v>
      </c>
      <c r="I3410" s="161" t="s">
        <v>7138</v>
      </c>
    </row>
    <row r="3411" spans="1:9">
      <c r="A3411" s="113">
        <v>100900125</v>
      </c>
      <c r="B3411" s="113" t="s">
        <v>6083</v>
      </c>
      <c r="C3411" s="113">
        <v>7032104</v>
      </c>
      <c r="D3411" s="113" t="s">
        <v>3093</v>
      </c>
      <c r="E3411" s="113" t="s">
        <v>1620</v>
      </c>
      <c r="F3411" s="113" t="s">
        <v>3093</v>
      </c>
      <c r="G3411" s="113" t="s">
        <v>3093</v>
      </c>
      <c r="H3411" s="161">
        <v>0</v>
      </c>
      <c r="I3411" s="161" t="s">
        <v>7138</v>
      </c>
    </row>
    <row r="3412" spans="1:9">
      <c r="A3412" s="113">
        <v>100900126</v>
      </c>
      <c r="B3412" s="113" t="s">
        <v>6084</v>
      </c>
      <c r="C3412" s="113">
        <v>7032105</v>
      </c>
      <c r="D3412" s="113" t="s">
        <v>3093</v>
      </c>
      <c r="E3412" s="113" t="s">
        <v>1620</v>
      </c>
      <c r="F3412" s="113" t="s">
        <v>3093</v>
      </c>
      <c r="G3412" s="113" t="s">
        <v>3093</v>
      </c>
      <c r="H3412" s="161">
        <v>0</v>
      </c>
      <c r="I3412" s="161" t="s">
        <v>7138</v>
      </c>
    </row>
    <row r="3413" spans="1:9">
      <c r="A3413" s="113">
        <v>100900127</v>
      </c>
      <c r="B3413" s="113" t="s">
        <v>6085</v>
      </c>
      <c r="C3413" s="113">
        <v>7033032</v>
      </c>
      <c r="D3413" s="113" t="s">
        <v>3093</v>
      </c>
      <c r="E3413" s="113" t="s">
        <v>1620</v>
      </c>
      <c r="F3413" s="113" t="s">
        <v>3093</v>
      </c>
      <c r="G3413" s="113" t="s">
        <v>3093</v>
      </c>
      <c r="H3413" s="161">
        <v>0</v>
      </c>
      <c r="I3413" s="161" t="s">
        <v>7138</v>
      </c>
    </row>
    <row r="3414" spans="1:9">
      <c r="A3414" s="113">
        <v>100900128</v>
      </c>
      <c r="B3414" s="113" t="s">
        <v>6086</v>
      </c>
      <c r="C3414" s="113">
        <v>7033033</v>
      </c>
      <c r="D3414" s="113" t="s">
        <v>3093</v>
      </c>
      <c r="E3414" s="113" t="s">
        <v>1620</v>
      </c>
      <c r="F3414" s="113" t="s">
        <v>3093</v>
      </c>
      <c r="G3414" s="113" t="s">
        <v>3093</v>
      </c>
      <c r="H3414" s="161">
        <v>0</v>
      </c>
      <c r="I3414" s="161" t="s">
        <v>7138</v>
      </c>
    </row>
    <row r="3415" spans="1:9">
      <c r="A3415" s="113">
        <v>100900129</v>
      </c>
      <c r="B3415" s="113" t="s">
        <v>6087</v>
      </c>
      <c r="C3415" s="113">
        <v>7033034</v>
      </c>
      <c r="D3415" s="113" t="s">
        <v>3093</v>
      </c>
      <c r="E3415" s="113" t="s">
        <v>1620</v>
      </c>
      <c r="F3415" s="113" t="s">
        <v>3093</v>
      </c>
      <c r="G3415" s="113" t="s">
        <v>3093</v>
      </c>
      <c r="H3415" s="161">
        <v>0</v>
      </c>
      <c r="I3415" s="161" t="s">
        <v>7138</v>
      </c>
    </row>
    <row r="3416" spans="1:9">
      <c r="A3416" s="113">
        <v>100900130</v>
      </c>
      <c r="B3416" s="113" t="s">
        <v>6088</v>
      </c>
      <c r="C3416" s="113">
        <v>7033035</v>
      </c>
      <c r="D3416" s="113" t="s">
        <v>3093</v>
      </c>
      <c r="E3416" s="113" t="s">
        <v>1620</v>
      </c>
      <c r="F3416" s="113" t="s">
        <v>3093</v>
      </c>
      <c r="G3416" s="113" t="s">
        <v>3093</v>
      </c>
      <c r="H3416" s="161">
        <v>113</v>
      </c>
      <c r="I3416" s="161">
        <v>48</v>
      </c>
    </row>
    <row r="3417" spans="1:9">
      <c r="A3417" s="113">
        <v>100900131</v>
      </c>
      <c r="B3417" s="113" t="s">
        <v>6089</v>
      </c>
      <c r="C3417" s="113">
        <v>7033036</v>
      </c>
      <c r="D3417" s="113" t="s">
        <v>3093</v>
      </c>
      <c r="E3417" s="113" t="s">
        <v>1620</v>
      </c>
      <c r="F3417" s="113" t="s">
        <v>3093</v>
      </c>
      <c r="G3417" s="113" t="s">
        <v>3093</v>
      </c>
      <c r="H3417" s="161">
        <v>0</v>
      </c>
      <c r="I3417" s="161" t="s">
        <v>7138</v>
      </c>
    </row>
    <row r="3418" spans="1:9">
      <c r="A3418" s="113">
        <v>100900132</v>
      </c>
      <c r="B3418" s="113" t="s">
        <v>6090</v>
      </c>
      <c r="C3418" s="113">
        <v>7033082</v>
      </c>
      <c r="D3418" s="113" t="s">
        <v>3093</v>
      </c>
      <c r="E3418" s="113" t="s">
        <v>1620</v>
      </c>
      <c r="F3418" s="113" t="s">
        <v>3093</v>
      </c>
      <c r="G3418" s="113" t="s">
        <v>3093</v>
      </c>
      <c r="H3418" s="161">
        <v>810</v>
      </c>
      <c r="I3418" s="161">
        <v>0</v>
      </c>
    </row>
    <row r="3419" spans="1:9">
      <c r="A3419" s="113">
        <v>100900133</v>
      </c>
      <c r="B3419" s="113" t="s">
        <v>6091</v>
      </c>
      <c r="C3419" s="113">
        <v>7033083</v>
      </c>
      <c r="D3419" s="113" t="s">
        <v>3093</v>
      </c>
      <c r="E3419" s="113" t="s">
        <v>1620</v>
      </c>
      <c r="F3419" s="113" t="s">
        <v>3093</v>
      </c>
      <c r="G3419" s="113" t="s">
        <v>3093</v>
      </c>
      <c r="H3419" s="161">
        <v>113</v>
      </c>
      <c r="I3419" s="161">
        <v>192</v>
      </c>
    </row>
    <row r="3420" spans="1:9">
      <c r="A3420" s="113">
        <v>100900134</v>
      </c>
      <c r="B3420" s="113" t="s">
        <v>6092</v>
      </c>
      <c r="C3420" s="113">
        <v>7033084</v>
      </c>
      <c r="D3420" s="113" t="s">
        <v>3093</v>
      </c>
      <c r="E3420" s="113" t="s">
        <v>1620</v>
      </c>
      <c r="F3420" s="113" t="s">
        <v>3093</v>
      </c>
      <c r="G3420" s="113" t="s">
        <v>3093</v>
      </c>
      <c r="H3420" s="161">
        <v>205</v>
      </c>
      <c r="I3420" s="161">
        <v>120</v>
      </c>
    </row>
    <row r="3421" spans="1:9">
      <c r="A3421" s="113">
        <v>100900135</v>
      </c>
      <c r="B3421" s="113" t="s">
        <v>6093</v>
      </c>
      <c r="C3421" s="113">
        <v>7033085</v>
      </c>
      <c r="D3421" s="113" t="s">
        <v>3093</v>
      </c>
      <c r="E3421" s="113" t="s">
        <v>1620</v>
      </c>
      <c r="F3421" s="113" t="s">
        <v>3093</v>
      </c>
      <c r="G3421" s="113" t="s">
        <v>3093</v>
      </c>
      <c r="H3421" s="161">
        <v>0</v>
      </c>
      <c r="I3421" s="161" t="s">
        <v>7138</v>
      </c>
    </row>
    <row r="3422" spans="1:9">
      <c r="A3422" s="113">
        <v>100900136</v>
      </c>
      <c r="B3422" s="113" t="s">
        <v>6094</v>
      </c>
      <c r="C3422" s="113">
        <v>7033092</v>
      </c>
      <c r="D3422" s="113" t="s">
        <v>3093</v>
      </c>
      <c r="E3422" s="113" t="s">
        <v>1620</v>
      </c>
      <c r="F3422" s="113" t="s">
        <v>3093</v>
      </c>
      <c r="G3422" s="113" t="s">
        <v>3093</v>
      </c>
      <c r="H3422" s="161">
        <v>113</v>
      </c>
      <c r="I3422" s="161">
        <v>120</v>
      </c>
    </row>
    <row r="3423" spans="1:9">
      <c r="A3423" s="113">
        <v>100900137</v>
      </c>
      <c r="B3423" s="113" t="s">
        <v>3044</v>
      </c>
      <c r="C3423" s="113">
        <v>7033094</v>
      </c>
      <c r="D3423" s="113" t="s">
        <v>3093</v>
      </c>
      <c r="E3423" s="113" t="s">
        <v>1620</v>
      </c>
      <c r="F3423" s="113" t="s">
        <v>3093</v>
      </c>
      <c r="G3423" s="113" t="s">
        <v>3093</v>
      </c>
      <c r="H3423" s="161">
        <v>100</v>
      </c>
      <c r="I3423" s="161">
        <v>6</v>
      </c>
    </row>
    <row r="3424" spans="1:9">
      <c r="A3424" s="113">
        <v>100900138</v>
      </c>
      <c r="B3424" s="113" t="s">
        <v>3045</v>
      </c>
      <c r="C3424" s="113">
        <v>7033095</v>
      </c>
      <c r="D3424" s="113" t="s">
        <v>3093</v>
      </c>
      <c r="E3424" s="113" t="s">
        <v>1620</v>
      </c>
      <c r="F3424" s="113" t="s">
        <v>3093</v>
      </c>
      <c r="G3424" s="113" t="s">
        <v>3093</v>
      </c>
      <c r="H3424" s="161">
        <v>100</v>
      </c>
      <c r="I3424" s="161">
        <v>6</v>
      </c>
    </row>
    <row r="3425" spans="1:9">
      <c r="A3425" s="113">
        <v>100900139</v>
      </c>
      <c r="B3425" s="113" t="s">
        <v>3046</v>
      </c>
      <c r="C3425" s="113">
        <v>7033096</v>
      </c>
      <c r="D3425" s="113" t="s">
        <v>3093</v>
      </c>
      <c r="E3425" s="113" t="s">
        <v>1620</v>
      </c>
      <c r="F3425" s="113" t="s">
        <v>3093</v>
      </c>
      <c r="G3425" s="113" t="s">
        <v>3093</v>
      </c>
      <c r="H3425" s="161">
        <v>275</v>
      </c>
      <c r="I3425" s="161">
        <v>0</v>
      </c>
    </row>
    <row r="3426" spans="1:9">
      <c r="A3426" s="113">
        <v>100900140</v>
      </c>
      <c r="B3426" s="113" t="s">
        <v>6095</v>
      </c>
      <c r="C3426" s="113">
        <v>7033110</v>
      </c>
      <c r="D3426" s="113" t="s">
        <v>3093</v>
      </c>
      <c r="E3426" s="113" t="s">
        <v>1620</v>
      </c>
      <c r="F3426" s="113" t="s">
        <v>3093</v>
      </c>
      <c r="G3426" s="113" t="s">
        <v>3093</v>
      </c>
      <c r="H3426" s="161">
        <v>1950</v>
      </c>
      <c r="I3426" s="161">
        <v>2</v>
      </c>
    </row>
    <row r="3427" spans="1:9">
      <c r="A3427" s="113">
        <v>100900141</v>
      </c>
      <c r="B3427" s="113" t="s">
        <v>6096</v>
      </c>
      <c r="C3427" s="113">
        <v>7034042</v>
      </c>
      <c r="D3427" s="113" t="s">
        <v>3093</v>
      </c>
      <c r="E3427" s="113" t="s">
        <v>1620</v>
      </c>
      <c r="F3427" s="113" t="s">
        <v>3093</v>
      </c>
      <c r="G3427" s="113" t="s">
        <v>3093</v>
      </c>
      <c r="H3427" s="161">
        <v>1.9350000000000001</v>
      </c>
      <c r="I3427" s="161">
        <v>0</v>
      </c>
    </row>
    <row r="3428" spans="1:9">
      <c r="A3428" s="113">
        <v>100900142</v>
      </c>
      <c r="B3428" s="113" t="s">
        <v>6097</v>
      </c>
      <c r="C3428" s="113">
        <v>7034060</v>
      </c>
      <c r="D3428" s="113" t="s">
        <v>3093</v>
      </c>
      <c r="E3428" s="113" t="s">
        <v>1620</v>
      </c>
      <c r="F3428" s="113" t="s">
        <v>3093</v>
      </c>
      <c r="G3428" s="113" t="s">
        <v>3093</v>
      </c>
      <c r="H3428" s="161">
        <v>80.69</v>
      </c>
      <c r="I3428" s="161">
        <v>50</v>
      </c>
    </row>
    <row r="3429" spans="1:9">
      <c r="A3429" s="113">
        <v>100900143</v>
      </c>
      <c r="B3429" s="113" t="s">
        <v>6098</v>
      </c>
      <c r="C3429" s="113">
        <v>7036038</v>
      </c>
      <c r="D3429" s="113" t="s">
        <v>3093</v>
      </c>
      <c r="E3429" s="113" t="s">
        <v>1620</v>
      </c>
      <c r="F3429" s="113" t="s">
        <v>3093</v>
      </c>
      <c r="G3429" s="113" t="s">
        <v>3093</v>
      </c>
      <c r="H3429" s="161">
        <v>1497.05</v>
      </c>
      <c r="I3429" s="161">
        <v>0</v>
      </c>
    </row>
    <row r="3430" spans="1:9">
      <c r="A3430" s="113">
        <v>100900144</v>
      </c>
      <c r="B3430" s="113" t="s">
        <v>6099</v>
      </c>
      <c r="C3430" s="113">
        <v>7036047</v>
      </c>
      <c r="D3430" s="113" t="s">
        <v>3093</v>
      </c>
      <c r="E3430" s="113" t="s">
        <v>99</v>
      </c>
      <c r="F3430" s="113" t="s">
        <v>3093</v>
      </c>
      <c r="G3430" s="113" t="s">
        <v>3093</v>
      </c>
      <c r="H3430" s="161">
        <v>125</v>
      </c>
      <c r="I3430" s="161">
        <v>0</v>
      </c>
    </row>
    <row r="3431" spans="1:9">
      <c r="A3431" s="113">
        <v>100900145</v>
      </c>
      <c r="B3431" s="113" t="s">
        <v>6100</v>
      </c>
      <c r="C3431" s="113">
        <v>7036048</v>
      </c>
      <c r="D3431" s="113" t="s">
        <v>3093</v>
      </c>
      <c r="E3431" s="113" t="s">
        <v>1620</v>
      </c>
      <c r="F3431" s="113" t="s">
        <v>3093</v>
      </c>
      <c r="G3431" s="113" t="s">
        <v>3093</v>
      </c>
      <c r="H3431" s="161">
        <v>1564.88</v>
      </c>
      <c r="I3431" s="161">
        <v>5</v>
      </c>
    </row>
    <row r="3432" spans="1:9">
      <c r="A3432" s="113">
        <v>100900146</v>
      </c>
      <c r="B3432" s="113" t="s">
        <v>6101</v>
      </c>
      <c r="C3432" s="113">
        <v>7036110</v>
      </c>
      <c r="D3432" s="113" t="s">
        <v>3093</v>
      </c>
      <c r="E3432" s="113" t="s">
        <v>1620</v>
      </c>
      <c r="F3432" s="113" t="s">
        <v>3093</v>
      </c>
      <c r="G3432" s="113" t="s">
        <v>3093</v>
      </c>
      <c r="H3432" s="161">
        <v>150</v>
      </c>
      <c r="I3432" s="161">
        <v>5</v>
      </c>
    </row>
    <row r="3433" spans="1:9">
      <c r="A3433" s="113">
        <v>100900147</v>
      </c>
      <c r="B3433" s="113" t="s">
        <v>6102</v>
      </c>
      <c r="C3433" s="113">
        <v>7036111</v>
      </c>
      <c r="D3433" s="113" t="s">
        <v>3093</v>
      </c>
      <c r="E3433" s="113" t="s">
        <v>1620</v>
      </c>
      <c r="F3433" s="113" t="s">
        <v>3093</v>
      </c>
      <c r="G3433" s="113" t="s">
        <v>3093</v>
      </c>
      <c r="H3433" s="161">
        <v>0</v>
      </c>
      <c r="I3433" s="161" t="s">
        <v>7138</v>
      </c>
    </row>
    <row r="3434" spans="1:9">
      <c r="A3434" s="113">
        <v>100900148</v>
      </c>
      <c r="B3434" s="113" t="s">
        <v>6103</v>
      </c>
      <c r="C3434" s="113">
        <v>7036112</v>
      </c>
      <c r="D3434" s="113" t="s">
        <v>3093</v>
      </c>
      <c r="E3434" s="113" t="s">
        <v>1620</v>
      </c>
      <c r="F3434" s="113" t="s">
        <v>3093</v>
      </c>
      <c r="G3434" s="113" t="s">
        <v>3093</v>
      </c>
      <c r="H3434" s="161">
        <v>0</v>
      </c>
      <c r="I3434" s="161" t="s">
        <v>7138</v>
      </c>
    </row>
    <row r="3435" spans="1:9">
      <c r="A3435" s="113">
        <v>100900149</v>
      </c>
      <c r="B3435" s="113" t="s">
        <v>6104</v>
      </c>
      <c r="C3435" s="113">
        <v>7036118</v>
      </c>
      <c r="D3435" s="113" t="s">
        <v>3093</v>
      </c>
      <c r="E3435" s="113" t="s">
        <v>1620</v>
      </c>
      <c r="F3435" s="113" t="s">
        <v>3093</v>
      </c>
      <c r="G3435" s="113" t="s">
        <v>3093</v>
      </c>
      <c r="H3435" s="161">
        <v>2.5499999999999998</v>
      </c>
      <c r="I3435" s="161">
        <v>480</v>
      </c>
    </row>
    <row r="3436" spans="1:9">
      <c r="A3436" s="113">
        <v>100900150</v>
      </c>
      <c r="B3436" s="113" t="s">
        <v>6105</v>
      </c>
      <c r="C3436" s="113">
        <v>7036149</v>
      </c>
      <c r="D3436" s="113" t="s">
        <v>3093</v>
      </c>
      <c r="E3436" s="113" t="s">
        <v>1620</v>
      </c>
      <c r="F3436" s="113" t="s">
        <v>3093</v>
      </c>
      <c r="G3436" s="113" t="s">
        <v>3093</v>
      </c>
      <c r="H3436" s="161">
        <v>2.25</v>
      </c>
      <c r="I3436" s="161">
        <v>2</v>
      </c>
    </row>
    <row r="3437" spans="1:9">
      <c r="A3437" s="113">
        <v>100900151</v>
      </c>
      <c r="B3437" s="113" t="s">
        <v>6106</v>
      </c>
      <c r="C3437" s="113">
        <v>7036150</v>
      </c>
      <c r="D3437" s="113" t="s">
        <v>3093</v>
      </c>
      <c r="E3437" s="113" t="s">
        <v>1620</v>
      </c>
      <c r="F3437" s="113" t="s">
        <v>3093</v>
      </c>
      <c r="G3437" s="113" t="s">
        <v>3093</v>
      </c>
      <c r="H3437" s="161">
        <v>12.9</v>
      </c>
      <c r="I3437" s="161">
        <v>12</v>
      </c>
    </row>
    <row r="3438" spans="1:9">
      <c r="A3438" s="113">
        <v>100900152</v>
      </c>
      <c r="B3438" s="113" t="s">
        <v>6107</v>
      </c>
      <c r="C3438" s="113">
        <v>7036151</v>
      </c>
      <c r="D3438" s="113" t="s">
        <v>3093</v>
      </c>
      <c r="E3438" s="113" t="s">
        <v>1620</v>
      </c>
      <c r="F3438" s="113" t="s">
        <v>3093</v>
      </c>
      <c r="G3438" s="113" t="s">
        <v>3093</v>
      </c>
      <c r="H3438" s="161">
        <v>14.9</v>
      </c>
      <c r="I3438" s="161">
        <v>0</v>
      </c>
    </row>
    <row r="3439" spans="1:9">
      <c r="A3439" s="113">
        <v>100900153</v>
      </c>
      <c r="B3439" s="113" t="s">
        <v>3047</v>
      </c>
      <c r="C3439" s="113">
        <v>7036152</v>
      </c>
      <c r="D3439" s="113" t="s">
        <v>3093</v>
      </c>
      <c r="E3439" s="113" t="s">
        <v>1620</v>
      </c>
      <c r="F3439" s="113" t="s">
        <v>3093</v>
      </c>
      <c r="G3439" s="113" t="s">
        <v>3093</v>
      </c>
      <c r="H3439" s="161">
        <v>0</v>
      </c>
      <c r="I3439" s="161" t="s">
        <v>7138</v>
      </c>
    </row>
    <row r="3440" spans="1:9">
      <c r="A3440" s="113">
        <v>100900154</v>
      </c>
      <c r="B3440" s="113" t="s">
        <v>6108</v>
      </c>
      <c r="C3440" s="113">
        <v>7036153</v>
      </c>
      <c r="D3440" s="113" t="s">
        <v>3093</v>
      </c>
      <c r="E3440" s="113" t="s">
        <v>1620</v>
      </c>
      <c r="F3440" s="113" t="s">
        <v>3093</v>
      </c>
      <c r="G3440" s="113" t="s">
        <v>3093</v>
      </c>
      <c r="H3440" s="161">
        <v>175</v>
      </c>
      <c r="I3440" s="161">
        <v>10</v>
      </c>
    </row>
    <row r="3441" spans="1:9">
      <c r="A3441" s="113">
        <v>100900155</v>
      </c>
      <c r="B3441" s="113" t="s">
        <v>6109</v>
      </c>
      <c r="C3441" s="113">
        <v>7036154</v>
      </c>
      <c r="D3441" s="113" t="s">
        <v>3093</v>
      </c>
      <c r="E3441" s="113" t="s">
        <v>1620</v>
      </c>
      <c r="F3441" s="113" t="s">
        <v>3093</v>
      </c>
      <c r="G3441" s="113" t="s">
        <v>3093</v>
      </c>
      <c r="H3441" s="161">
        <v>220</v>
      </c>
      <c r="I3441" s="161">
        <v>10</v>
      </c>
    </row>
    <row r="3442" spans="1:9">
      <c r="A3442" s="113">
        <v>100900156</v>
      </c>
      <c r="B3442" s="113" t="s">
        <v>6110</v>
      </c>
      <c r="C3442" s="113">
        <v>7037076</v>
      </c>
      <c r="D3442" s="113" t="s">
        <v>3093</v>
      </c>
      <c r="E3442" s="113" t="s">
        <v>99</v>
      </c>
      <c r="F3442" s="113" t="s">
        <v>3093</v>
      </c>
      <c r="G3442" s="113" t="s">
        <v>3093</v>
      </c>
      <c r="H3442" s="161">
        <v>9.1</v>
      </c>
      <c r="I3442" s="161">
        <v>0</v>
      </c>
    </row>
    <row r="3443" spans="1:9">
      <c r="A3443" s="113">
        <v>100900158</v>
      </c>
      <c r="B3443" s="113" t="s">
        <v>6111</v>
      </c>
      <c r="C3443" s="113">
        <v>7037084</v>
      </c>
      <c r="D3443" s="113" t="s">
        <v>3093</v>
      </c>
      <c r="E3443" s="113" t="s">
        <v>99</v>
      </c>
      <c r="F3443" s="113" t="s">
        <v>3093</v>
      </c>
      <c r="G3443" s="113" t="s">
        <v>3093</v>
      </c>
      <c r="H3443" s="161">
        <v>27</v>
      </c>
      <c r="I3443" s="161">
        <v>50</v>
      </c>
    </row>
    <row r="3444" spans="1:9">
      <c r="A3444" s="113">
        <v>100900159</v>
      </c>
      <c r="B3444" s="113" t="s">
        <v>6112</v>
      </c>
      <c r="C3444" s="113">
        <v>7037103</v>
      </c>
      <c r="D3444" s="113" t="s">
        <v>3093</v>
      </c>
      <c r="E3444" s="113" t="s">
        <v>1620</v>
      </c>
      <c r="F3444" s="113" t="s">
        <v>3093</v>
      </c>
      <c r="G3444" s="113" t="s">
        <v>3093</v>
      </c>
      <c r="H3444" s="161">
        <v>34.69</v>
      </c>
      <c r="I3444" s="161">
        <v>0</v>
      </c>
    </row>
    <row r="3445" spans="1:9">
      <c r="A3445" s="113">
        <v>100900161</v>
      </c>
      <c r="B3445" s="113" t="s">
        <v>6113</v>
      </c>
      <c r="C3445" s="113">
        <v>7037166</v>
      </c>
      <c r="D3445" s="113" t="s">
        <v>3093</v>
      </c>
      <c r="E3445" s="113" t="s">
        <v>1620</v>
      </c>
      <c r="F3445" s="113" t="s">
        <v>3093</v>
      </c>
      <c r="G3445" s="113" t="s">
        <v>3093</v>
      </c>
      <c r="H3445" s="161">
        <v>0</v>
      </c>
      <c r="I3445" s="161" t="s">
        <v>7138</v>
      </c>
    </row>
    <row r="3446" spans="1:9">
      <c r="A3446" s="113">
        <v>100900162</v>
      </c>
      <c r="B3446" s="113" t="s">
        <v>6114</v>
      </c>
      <c r="C3446" s="113">
        <v>7037168</v>
      </c>
      <c r="D3446" s="113" t="s">
        <v>3093</v>
      </c>
      <c r="E3446" s="113" t="s">
        <v>1620</v>
      </c>
      <c r="F3446" s="113" t="s">
        <v>3093</v>
      </c>
      <c r="G3446" s="113" t="s">
        <v>3093</v>
      </c>
      <c r="H3446" s="161">
        <v>75</v>
      </c>
      <c r="I3446" s="161">
        <v>0</v>
      </c>
    </row>
    <row r="3447" spans="1:9">
      <c r="A3447" s="113">
        <v>100900163</v>
      </c>
      <c r="B3447" s="113" t="s">
        <v>6115</v>
      </c>
      <c r="C3447" s="113">
        <v>7037169</v>
      </c>
      <c r="D3447" s="113" t="s">
        <v>3093</v>
      </c>
      <c r="E3447" s="113" t="s">
        <v>1620</v>
      </c>
      <c r="F3447" s="113" t="s">
        <v>3093</v>
      </c>
      <c r="G3447" s="113" t="s">
        <v>3093</v>
      </c>
      <c r="H3447" s="161">
        <v>89.2</v>
      </c>
      <c r="I3447" s="161" t="s">
        <v>7138</v>
      </c>
    </row>
    <row r="3448" spans="1:9">
      <c r="A3448" s="113">
        <v>100900164</v>
      </c>
      <c r="B3448" s="113" t="s">
        <v>6116</v>
      </c>
      <c r="C3448" s="113">
        <v>7037172</v>
      </c>
      <c r="D3448" s="113" t="s">
        <v>3093</v>
      </c>
      <c r="E3448" s="113" t="s">
        <v>1620</v>
      </c>
      <c r="F3448" s="113" t="s">
        <v>3093</v>
      </c>
      <c r="G3448" s="113" t="s">
        <v>3093</v>
      </c>
      <c r="H3448" s="161">
        <v>38.5</v>
      </c>
      <c r="I3448" s="161">
        <v>600</v>
      </c>
    </row>
    <row r="3449" spans="1:9">
      <c r="A3449" s="113">
        <v>100900165</v>
      </c>
      <c r="B3449" s="113" t="s">
        <v>6117</v>
      </c>
      <c r="C3449" s="113">
        <v>7038023</v>
      </c>
      <c r="D3449" s="113" t="s">
        <v>3093</v>
      </c>
      <c r="E3449" s="113" t="s">
        <v>1620</v>
      </c>
      <c r="F3449" s="113" t="s">
        <v>3093</v>
      </c>
      <c r="G3449" s="113" t="s">
        <v>3093</v>
      </c>
      <c r="H3449" s="161">
        <v>455</v>
      </c>
      <c r="I3449" s="161">
        <v>15</v>
      </c>
    </row>
    <row r="3450" spans="1:9">
      <c r="A3450" s="113">
        <v>100900166</v>
      </c>
      <c r="B3450" s="113" t="s">
        <v>6118</v>
      </c>
      <c r="C3450" s="113">
        <v>7038024</v>
      </c>
      <c r="D3450" s="113" t="s">
        <v>3093</v>
      </c>
      <c r="E3450" s="113" t="s">
        <v>1620</v>
      </c>
      <c r="F3450" s="113" t="s">
        <v>3093</v>
      </c>
      <c r="G3450" s="113" t="s">
        <v>3093</v>
      </c>
      <c r="H3450" s="161">
        <v>945</v>
      </c>
      <c r="I3450" s="161">
        <v>1</v>
      </c>
    </row>
    <row r="3451" spans="1:9">
      <c r="A3451" s="113">
        <v>100900167</v>
      </c>
      <c r="B3451" s="113" t="s">
        <v>6119</v>
      </c>
      <c r="C3451" s="113">
        <v>7038027</v>
      </c>
      <c r="D3451" s="113" t="s">
        <v>3093</v>
      </c>
      <c r="E3451" s="113" t="s">
        <v>1620</v>
      </c>
      <c r="F3451" s="113" t="s">
        <v>3093</v>
      </c>
      <c r="G3451" s="113" t="s">
        <v>3093</v>
      </c>
      <c r="H3451" s="161">
        <v>4085.1</v>
      </c>
      <c r="I3451" s="161">
        <v>1</v>
      </c>
    </row>
    <row r="3452" spans="1:9">
      <c r="A3452" s="113">
        <v>100900168</v>
      </c>
      <c r="B3452" s="113" t="s">
        <v>6120</v>
      </c>
      <c r="C3452" s="113">
        <v>7038037</v>
      </c>
      <c r="D3452" s="113" t="s">
        <v>3093</v>
      </c>
      <c r="E3452" s="113" t="s">
        <v>1620</v>
      </c>
      <c r="F3452" s="113" t="s">
        <v>3093</v>
      </c>
      <c r="G3452" s="113" t="s">
        <v>3093</v>
      </c>
      <c r="H3452" s="161">
        <v>11567.17</v>
      </c>
      <c r="I3452" s="161">
        <v>1</v>
      </c>
    </row>
    <row r="3453" spans="1:9">
      <c r="A3453" s="113">
        <v>100900169</v>
      </c>
      <c r="B3453" s="113" t="s">
        <v>6121</v>
      </c>
      <c r="C3453" s="113">
        <v>7038039</v>
      </c>
      <c r="D3453" s="113" t="s">
        <v>3093</v>
      </c>
      <c r="E3453" s="113" t="s">
        <v>1620</v>
      </c>
      <c r="F3453" s="113" t="s">
        <v>3093</v>
      </c>
      <c r="G3453" s="113" t="s">
        <v>3093</v>
      </c>
      <c r="H3453" s="161">
        <v>0</v>
      </c>
      <c r="I3453" s="161" t="s">
        <v>7138</v>
      </c>
    </row>
    <row r="3454" spans="1:9">
      <c r="A3454" s="113">
        <v>100900170</v>
      </c>
      <c r="B3454" s="113" t="s">
        <v>6122</v>
      </c>
      <c r="C3454" s="113">
        <v>7038041</v>
      </c>
      <c r="D3454" s="113" t="s">
        <v>3093</v>
      </c>
      <c r="E3454" s="113" t="s">
        <v>1620</v>
      </c>
      <c r="F3454" s="113" t="s">
        <v>3093</v>
      </c>
      <c r="G3454" s="113" t="s">
        <v>3093</v>
      </c>
      <c r="H3454" s="161">
        <v>6940</v>
      </c>
      <c r="I3454" s="161">
        <v>2</v>
      </c>
    </row>
    <row r="3455" spans="1:9">
      <c r="A3455" s="113">
        <v>100900171</v>
      </c>
      <c r="B3455" s="113" t="s">
        <v>6123</v>
      </c>
      <c r="C3455" s="113">
        <v>7038044</v>
      </c>
      <c r="D3455" s="113" t="s">
        <v>3093</v>
      </c>
      <c r="E3455" s="113" t="s">
        <v>1620</v>
      </c>
      <c r="F3455" s="113" t="s">
        <v>3093</v>
      </c>
      <c r="G3455" s="113" t="s">
        <v>3093</v>
      </c>
      <c r="H3455" s="161">
        <v>8489.66</v>
      </c>
      <c r="I3455" s="161">
        <v>2</v>
      </c>
    </row>
    <row r="3456" spans="1:9">
      <c r="A3456" s="113">
        <v>100900172</v>
      </c>
      <c r="B3456" s="113" t="s">
        <v>6124</v>
      </c>
      <c r="C3456" s="113">
        <v>7038046</v>
      </c>
      <c r="D3456" s="113" t="s">
        <v>3093</v>
      </c>
      <c r="E3456" s="113" t="s">
        <v>1620</v>
      </c>
      <c r="F3456" s="113" t="s">
        <v>3093</v>
      </c>
      <c r="G3456" s="113" t="s">
        <v>3093</v>
      </c>
      <c r="H3456" s="161">
        <v>0</v>
      </c>
      <c r="I3456" s="161" t="s">
        <v>7138</v>
      </c>
    </row>
    <row r="3457" spans="1:9">
      <c r="A3457" s="113">
        <v>100900173</v>
      </c>
      <c r="B3457" s="113" t="s">
        <v>6125</v>
      </c>
      <c r="C3457" s="113">
        <v>7038047</v>
      </c>
      <c r="D3457" s="113" t="s">
        <v>3093</v>
      </c>
      <c r="E3457" s="113" t="s">
        <v>1620</v>
      </c>
      <c r="F3457" s="113" t="s">
        <v>3093</v>
      </c>
      <c r="G3457" s="113" t="s">
        <v>3093</v>
      </c>
      <c r="H3457" s="161">
        <v>6845.3</v>
      </c>
      <c r="I3457" s="161">
        <v>1</v>
      </c>
    </row>
    <row r="3458" spans="1:9">
      <c r="A3458" s="113">
        <v>100900174</v>
      </c>
      <c r="B3458" s="113" t="s">
        <v>6126</v>
      </c>
      <c r="C3458" s="113">
        <v>7038051</v>
      </c>
      <c r="D3458" s="113" t="s">
        <v>3093</v>
      </c>
      <c r="E3458" s="113" t="s">
        <v>1620</v>
      </c>
      <c r="F3458" s="113" t="s">
        <v>3093</v>
      </c>
      <c r="G3458" s="113" t="s">
        <v>3093</v>
      </c>
      <c r="H3458" s="161">
        <v>1396.85</v>
      </c>
      <c r="I3458" s="161">
        <v>3</v>
      </c>
    </row>
    <row r="3459" spans="1:9">
      <c r="A3459" s="113">
        <v>100900175</v>
      </c>
      <c r="B3459" s="113" t="s">
        <v>6127</v>
      </c>
      <c r="C3459" s="113">
        <v>7038054</v>
      </c>
      <c r="D3459" s="113" t="s">
        <v>3093</v>
      </c>
      <c r="E3459" s="113" t="s">
        <v>1620</v>
      </c>
      <c r="F3459" s="113" t="s">
        <v>3093</v>
      </c>
      <c r="G3459" s="113" t="s">
        <v>3093</v>
      </c>
      <c r="H3459" s="161">
        <v>58.75</v>
      </c>
      <c r="I3459" s="161">
        <v>15</v>
      </c>
    </row>
    <row r="3460" spans="1:9">
      <c r="A3460" s="113">
        <v>100900176</v>
      </c>
      <c r="B3460" s="113" t="s">
        <v>6128</v>
      </c>
      <c r="C3460" s="113">
        <v>7038055</v>
      </c>
      <c r="D3460" s="113" t="s">
        <v>3093</v>
      </c>
      <c r="E3460" s="113" t="s">
        <v>1620</v>
      </c>
      <c r="F3460" s="113" t="s">
        <v>3093</v>
      </c>
      <c r="G3460" s="113" t="s">
        <v>3093</v>
      </c>
      <c r="H3460" s="161">
        <v>18.489999999999998</v>
      </c>
      <c r="I3460" s="161">
        <v>150</v>
      </c>
    </row>
    <row r="3461" spans="1:9">
      <c r="A3461" s="113">
        <v>100900177</v>
      </c>
      <c r="B3461" s="113" t="s">
        <v>6129</v>
      </c>
      <c r="C3461" s="113">
        <v>7038063</v>
      </c>
      <c r="D3461" s="113" t="s">
        <v>3093</v>
      </c>
      <c r="E3461" s="113" t="s">
        <v>1620</v>
      </c>
      <c r="F3461" s="113" t="s">
        <v>3093</v>
      </c>
      <c r="G3461" s="113" t="s">
        <v>3093</v>
      </c>
      <c r="H3461" s="161">
        <v>765</v>
      </c>
      <c r="I3461" s="161">
        <v>3</v>
      </c>
    </row>
    <row r="3462" spans="1:9">
      <c r="A3462" s="113">
        <v>100900178</v>
      </c>
      <c r="B3462" s="113" t="s">
        <v>6130</v>
      </c>
      <c r="C3462" s="113">
        <v>7038064</v>
      </c>
      <c r="D3462" s="113" t="s">
        <v>3093</v>
      </c>
      <c r="E3462" s="113" t="s">
        <v>1620</v>
      </c>
      <c r="F3462" s="113" t="s">
        <v>3093</v>
      </c>
      <c r="G3462" s="113" t="s">
        <v>3093</v>
      </c>
      <c r="H3462" s="161">
        <v>275</v>
      </c>
      <c r="I3462" s="161">
        <v>45</v>
      </c>
    </row>
    <row r="3463" spans="1:9">
      <c r="A3463" s="113">
        <v>100900179</v>
      </c>
      <c r="B3463" s="113" t="s">
        <v>6131</v>
      </c>
      <c r="C3463" s="113">
        <v>7038065</v>
      </c>
      <c r="D3463" s="113" t="s">
        <v>3093</v>
      </c>
      <c r="E3463" s="113" t="s">
        <v>1620</v>
      </c>
      <c r="F3463" s="113" t="s">
        <v>3093</v>
      </c>
      <c r="G3463" s="113" t="s">
        <v>3093</v>
      </c>
      <c r="H3463" s="161">
        <v>379.5</v>
      </c>
      <c r="I3463" s="161">
        <v>15</v>
      </c>
    </row>
    <row r="3464" spans="1:9">
      <c r="A3464" s="113">
        <v>100900180</v>
      </c>
      <c r="B3464" s="113" t="s">
        <v>6132</v>
      </c>
      <c r="C3464" s="113">
        <v>7038070</v>
      </c>
      <c r="D3464" s="113" t="s">
        <v>3093</v>
      </c>
      <c r="E3464" s="113" t="s">
        <v>1620</v>
      </c>
      <c r="F3464" s="113" t="s">
        <v>3093</v>
      </c>
      <c r="G3464" s="113" t="s">
        <v>3093</v>
      </c>
      <c r="H3464" s="161">
        <v>82</v>
      </c>
      <c r="I3464" s="161">
        <v>1</v>
      </c>
    </row>
    <row r="3465" spans="1:9">
      <c r="A3465" s="113">
        <v>100900181</v>
      </c>
      <c r="B3465" s="113" t="s">
        <v>6133</v>
      </c>
      <c r="C3465" s="113">
        <v>7038079</v>
      </c>
      <c r="D3465" s="113" t="s">
        <v>3093</v>
      </c>
      <c r="E3465" s="113" t="s">
        <v>1620</v>
      </c>
      <c r="F3465" s="113" t="s">
        <v>3093</v>
      </c>
      <c r="G3465" s="113" t="s">
        <v>3093</v>
      </c>
      <c r="H3465" s="161">
        <v>7.75</v>
      </c>
      <c r="I3465" s="161">
        <v>59</v>
      </c>
    </row>
    <row r="3466" spans="1:9">
      <c r="A3466" s="113">
        <v>100900182</v>
      </c>
      <c r="B3466" s="113" t="s">
        <v>6134</v>
      </c>
      <c r="C3466" s="113">
        <v>7038080</v>
      </c>
      <c r="D3466" s="113" t="s">
        <v>3093</v>
      </c>
      <c r="E3466" s="113" t="s">
        <v>1620</v>
      </c>
      <c r="F3466" s="113" t="s">
        <v>3093</v>
      </c>
      <c r="G3466" s="113" t="s">
        <v>3093</v>
      </c>
      <c r="H3466" s="161">
        <v>1.25</v>
      </c>
      <c r="I3466" s="161">
        <v>25</v>
      </c>
    </row>
    <row r="3467" spans="1:9">
      <c r="A3467" s="113">
        <v>100900183</v>
      </c>
      <c r="B3467" s="113" t="s">
        <v>6135</v>
      </c>
      <c r="C3467" s="113">
        <v>7038081</v>
      </c>
      <c r="D3467" s="113" t="s">
        <v>3093</v>
      </c>
      <c r="E3467" s="113" t="s">
        <v>1620</v>
      </c>
      <c r="F3467" s="113" t="s">
        <v>3093</v>
      </c>
      <c r="G3467" s="113" t="s">
        <v>3093</v>
      </c>
      <c r="H3467" s="161">
        <v>3.2</v>
      </c>
      <c r="I3467" s="161">
        <v>0</v>
      </c>
    </row>
    <row r="3468" spans="1:9">
      <c r="A3468" s="113">
        <v>100900184</v>
      </c>
      <c r="B3468" s="113" t="s">
        <v>6136</v>
      </c>
      <c r="C3468" s="113">
        <v>7038082</v>
      </c>
      <c r="D3468" s="113" t="s">
        <v>3093</v>
      </c>
      <c r="E3468" s="113" t="s">
        <v>1620</v>
      </c>
      <c r="F3468" s="113" t="s">
        <v>3093</v>
      </c>
      <c r="G3468" s="113" t="s">
        <v>3093</v>
      </c>
      <c r="H3468" s="161">
        <v>2.66</v>
      </c>
      <c r="I3468" s="161">
        <v>0</v>
      </c>
    </row>
    <row r="3469" spans="1:9">
      <c r="A3469" s="113">
        <v>100900185</v>
      </c>
      <c r="B3469" s="113" t="s">
        <v>6137</v>
      </c>
      <c r="C3469" s="113">
        <v>7038088</v>
      </c>
      <c r="D3469" s="113" t="s">
        <v>3093</v>
      </c>
      <c r="E3469" s="113" t="s">
        <v>1620</v>
      </c>
      <c r="F3469" s="113" t="s">
        <v>3093</v>
      </c>
      <c r="G3469" s="113" t="s">
        <v>3093</v>
      </c>
      <c r="H3469" s="161">
        <v>5.0199999999999996</v>
      </c>
      <c r="I3469" s="161">
        <v>1575</v>
      </c>
    </row>
    <row r="3470" spans="1:9">
      <c r="A3470" s="113">
        <v>100900186</v>
      </c>
      <c r="B3470" s="113" t="s">
        <v>3048</v>
      </c>
      <c r="C3470" s="113">
        <v>7038089</v>
      </c>
      <c r="D3470" s="113" t="s">
        <v>3093</v>
      </c>
      <c r="E3470" s="113" t="s">
        <v>1620</v>
      </c>
      <c r="F3470" s="113" t="s">
        <v>3093</v>
      </c>
      <c r="G3470" s="113" t="s">
        <v>3093</v>
      </c>
      <c r="H3470" s="161">
        <v>6.15</v>
      </c>
      <c r="I3470" s="161">
        <v>2325</v>
      </c>
    </row>
    <row r="3471" spans="1:9">
      <c r="A3471" s="113">
        <v>100900187</v>
      </c>
      <c r="B3471" s="113" t="s">
        <v>1327</v>
      </c>
      <c r="C3471" s="113">
        <v>7038090</v>
      </c>
      <c r="D3471" s="113" t="s">
        <v>3093</v>
      </c>
      <c r="E3471" s="113" t="s">
        <v>1620</v>
      </c>
      <c r="F3471" s="113" t="s">
        <v>3093</v>
      </c>
      <c r="G3471" s="113" t="s">
        <v>3093</v>
      </c>
      <c r="H3471" s="161">
        <v>14.25</v>
      </c>
      <c r="I3471" s="161">
        <v>15</v>
      </c>
    </row>
    <row r="3472" spans="1:9">
      <c r="A3472" s="113">
        <v>100900188</v>
      </c>
      <c r="B3472" s="113" t="s">
        <v>6138</v>
      </c>
      <c r="C3472" s="113">
        <v>7038110</v>
      </c>
      <c r="D3472" s="113" t="s">
        <v>3093</v>
      </c>
      <c r="E3472" s="113" t="s">
        <v>1620</v>
      </c>
      <c r="F3472" s="113" t="s">
        <v>3093</v>
      </c>
      <c r="G3472" s="113" t="s">
        <v>3093</v>
      </c>
      <c r="H3472" s="161">
        <v>8</v>
      </c>
      <c r="I3472" s="161">
        <v>120</v>
      </c>
    </row>
    <row r="3473" spans="1:9">
      <c r="A3473" s="113">
        <v>100900189</v>
      </c>
      <c r="B3473" s="113" t="s">
        <v>6139</v>
      </c>
      <c r="C3473" s="113">
        <v>7038117</v>
      </c>
      <c r="D3473" s="113" t="s">
        <v>3093</v>
      </c>
      <c r="E3473" s="113" t="s">
        <v>1620</v>
      </c>
      <c r="F3473" s="113" t="s">
        <v>3093</v>
      </c>
      <c r="G3473" s="113" t="s">
        <v>3093</v>
      </c>
      <c r="H3473" s="161">
        <v>0</v>
      </c>
      <c r="I3473" s="161" t="s">
        <v>7138</v>
      </c>
    </row>
    <row r="3474" spans="1:9">
      <c r="A3474" s="113">
        <v>100900190</v>
      </c>
      <c r="B3474" s="113" t="s">
        <v>6140</v>
      </c>
      <c r="C3474" s="113">
        <v>7038121</v>
      </c>
      <c r="D3474" s="113" t="s">
        <v>3093</v>
      </c>
      <c r="E3474" s="113" t="s">
        <v>1620</v>
      </c>
      <c r="F3474" s="113" t="s">
        <v>3093</v>
      </c>
      <c r="G3474" s="113" t="s">
        <v>3093</v>
      </c>
      <c r="H3474" s="161">
        <v>95</v>
      </c>
      <c r="I3474" s="161">
        <v>12</v>
      </c>
    </row>
    <row r="3475" spans="1:9">
      <c r="A3475" s="113">
        <v>100900191</v>
      </c>
      <c r="B3475" s="113" t="s">
        <v>6141</v>
      </c>
      <c r="C3475" s="113">
        <v>7038124</v>
      </c>
      <c r="D3475" s="113" t="s">
        <v>3093</v>
      </c>
      <c r="E3475" s="113" t="s">
        <v>1620</v>
      </c>
      <c r="F3475" s="113" t="s">
        <v>3093</v>
      </c>
      <c r="G3475" s="113" t="s">
        <v>3093</v>
      </c>
      <c r="H3475" s="161">
        <v>8300</v>
      </c>
      <c r="I3475" s="161" t="s">
        <v>7138</v>
      </c>
    </row>
    <row r="3476" spans="1:9">
      <c r="A3476" s="113">
        <v>100900192</v>
      </c>
      <c r="B3476" s="113" t="s">
        <v>6142</v>
      </c>
      <c r="C3476" s="113">
        <v>7042036</v>
      </c>
      <c r="D3476" s="113" t="s">
        <v>3093</v>
      </c>
      <c r="E3476" s="113" t="s">
        <v>1620</v>
      </c>
      <c r="F3476" s="113" t="s">
        <v>3093</v>
      </c>
      <c r="G3476" s="113" t="s">
        <v>3093</v>
      </c>
      <c r="H3476" s="161">
        <v>68</v>
      </c>
      <c r="I3476" s="161" t="s">
        <v>7138</v>
      </c>
    </row>
    <row r="3477" spans="1:9">
      <c r="A3477" s="113">
        <v>100900193</v>
      </c>
      <c r="B3477" s="113" t="s">
        <v>6143</v>
      </c>
      <c r="C3477" s="113">
        <v>7042037</v>
      </c>
      <c r="D3477" s="113" t="s">
        <v>3093</v>
      </c>
      <c r="E3477" s="113" t="s">
        <v>1620</v>
      </c>
      <c r="F3477" s="113" t="s">
        <v>3093</v>
      </c>
      <c r="G3477" s="113" t="s">
        <v>3093</v>
      </c>
      <c r="H3477" s="161">
        <v>90</v>
      </c>
      <c r="I3477" s="161">
        <v>3</v>
      </c>
    </row>
    <row r="3478" spans="1:9">
      <c r="A3478" s="113">
        <v>100900194</v>
      </c>
      <c r="B3478" s="113" t="s">
        <v>6144</v>
      </c>
      <c r="C3478" s="113">
        <v>7042038</v>
      </c>
      <c r="D3478" s="113" t="s">
        <v>3093</v>
      </c>
      <c r="E3478" s="113" t="s">
        <v>1620</v>
      </c>
      <c r="F3478" s="113" t="s">
        <v>3093</v>
      </c>
      <c r="G3478" s="113" t="s">
        <v>3093</v>
      </c>
      <c r="H3478" s="161">
        <v>90</v>
      </c>
      <c r="I3478" s="161">
        <v>1</v>
      </c>
    </row>
    <row r="3479" spans="1:9">
      <c r="A3479" s="113">
        <v>100900195</v>
      </c>
      <c r="B3479" s="113" t="s">
        <v>6145</v>
      </c>
      <c r="C3479" s="113">
        <v>7042039</v>
      </c>
      <c r="D3479" s="113" t="s">
        <v>3093</v>
      </c>
      <c r="E3479" s="113" t="s">
        <v>1620</v>
      </c>
      <c r="F3479" s="113" t="s">
        <v>3093</v>
      </c>
      <c r="G3479" s="113" t="s">
        <v>3093</v>
      </c>
      <c r="H3479" s="161">
        <v>90</v>
      </c>
      <c r="I3479" s="161">
        <v>1</v>
      </c>
    </row>
    <row r="3480" spans="1:9">
      <c r="A3480" s="113">
        <v>100900196</v>
      </c>
      <c r="B3480" s="113" t="s">
        <v>6146</v>
      </c>
      <c r="C3480" s="113">
        <v>7042094</v>
      </c>
      <c r="D3480" s="113" t="s">
        <v>3093</v>
      </c>
      <c r="E3480" s="113" t="s">
        <v>1620</v>
      </c>
      <c r="F3480" s="113" t="s">
        <v>3093</v>
      </c>
      <c r="G3480" s="113" t="s">
        <v>3093</v>
      </c>
      <c r="H3480" s="161">
        <v>90</v>
      </c>
      <c r="I3480" s="161">
        <v>1</v>
      </c>
    </row>
    <row r="3481" spans="1:9">
      <c r="A3481" s="113">
        <v>100900197</v>
      </c>
      <c r="B3481" s="113" t="s">
        <v>6147</v>
      </c>
      <c r="C3481" s="113">
        <v>7042095</v>
      </c>
      <c r="D3481" s="113" t="s">
        <v>3093</v>
      </c>
      <c r="E3481" s="113" t="s">
        <v>1620</v>
      </c>
      <c r="F3481" s="113" t="s">
        <v>3093</v>
      </c>
      <c r="G3481" s="113" t="s">
        <v>3093</v>
      </c>
      <c r="H3481" s="161">
        <v>90</v>
      </c>
      <c r="I3481" s="161">
        <v>2</v>
      </c>
    </row>
    <row r="3482" spans="1:9">
      <c r="A3482" s="113">
        <v>100900198</v>
      </c>
      <c r="B3482" s="113" t="s">
        <v>6148</v>
      </c>
      <c r="C3482" s="113">
        <v>7042097</v>
      </c>
      <c r="D3482" s="113" t="s">
        <v>3093</v>
      </c>
      <c r="E3482" s="113" t="s">
        <v>1620</v>
      </c>
      <c r="F3482" s="113" t="s">
        <v>3093</v>
      </c>
      <c r="G3482" s="113" t="s">
        <v>3093</v>
      </c>
      <c r="H3482" s="161">
        <v>449</v>
      </c>
      <c r="I3482" s="161">
        <v>0</v>
      </c>
    </row>
    <row r="3483" spans="1:9">
      <c r="A3483" s="113">
        <v>100900199</v>
      </c>
      <c r="B3483" s="113" t="s">
        <v>3049</v>
      </c>
      <c r="C3483" s="113">
        <v>7042098</v>
      </c>
      <c r="D3483" s="113" t="s">
        <v>3093</v>
      </c>
      <c r="E3483" s="113" t="s">
        <v>1620</v>
      </c>
      <c r="F3483" s="113" t="s">
        <v>3093</v>
      </c>
      <c r="G3483" s="113" t="s">
        <v>3093</v>
      </c>
      <c r="H3483" s="161">
        <v>0</v>
      </c>
      <c r="I3483" s="161" t="s">
        <v>7138</v>
      </c>
    </row>
    <row r="3484" spans="1:9">
      <c r="A3484" s="113">
        <v>100900200</v>
      </c>
      <c r="B3484" s="113" t="s">
        <v>6149</v>
      </c>
      <c r="C3484" s="113">
        <v>7050012</v>
      </c>
      <c r="D3484" s="113" t="s">
        <v>3093</v>
      </c>
      <c r="E3484" s="113" t="s">
        <v>1620</v>
      </c>
      <c r="F3484" s="113" t="s">
        <v>3093</v>
      </c>
      <c r="G3484" s="113" t="s">
        <v>3093</v>
      </c>
      <c r="H3484" s="161">
        <v>0</v>
      </c>
      <c r="I3484" s="161" t="s">
        <v>7138</v>
      </c>
    </row>
    <row r="3485" spans="1:9">
      <c r="A3485" s="113">
        <v>100900201</v>
      </c>
      <c r="B3485" s="113" t="s">
        <v>6150</v>
      </c>
      <c r="C3485" s="113">
        <v>7050013</v>
      </c>
      <c r="D3485" s="113" t="s">
        <v>3093</v>
      </c>
      <c r="E3485" s="113" t="s">
        <v>1620</v>
      </c>
      <c r="F3485" s="113" t="s">
        <v>3093</v>
      </c>
      <c r="G3485" s="113" t="s">
        <v>3093</v>
      </c>
      <c r="H3485" s="161">
        <v>0</v>
      </c>
      <c r="I3485" s="161" t="s">
        <v>7138</v>
      </c>
    </row>
    <row r="3486" spans="1:9">
      <c r="A3486" s="113">
        <v>100900202</v>
      </c>
      <c r="B3486" s="113" t="s">
        <v>6151</v>
      </c>
      <c r="C3486" s="113">
        <v>7050039</v>
      </c>
      <c r="D3486" s="113" t="s">
        <v>3093</v>
      </c>
      <c r="E3486" s="113" t="s">
        <v>1620</v>
      </c>
      <c r="F3486" s="113" t="s">
        <v>3093</v>
      </c>
      <c r="G3486" s="113" t="s">
        <v>3093</v>
      </c>
      <c r="H3486" s="161">
        <v>0.78416699999999995</v>
      </c>
      <c r="I3486" s="161">
        <v>324</v>
      </c>
    </row>
    <row r="3487" spans="1:9">
      <c r="A3487" s="113">
        <v>100900203</v>
      </c>
      <c r="B3487" s="113" t="s">
        <v>6152</v>
      </c>
      <c r="C3487" s="113">
        <v>7050040</v>
      </c>
      <c r="D3487" s="113" t="s">
        <v>3093</v>
      </c>
      <c r="E3487" s="113" t="s">
        <v>1620</v>
      </c>
      <c r="F3487" s="113" t="s">
        <v>3093</v>
      </c>
      <c r="G3487" s="113" t="s">
        <v>3093</v>
      </c>
      <c r="H3487" s="161">
        <v>0.78416699999999995</v>
      </c>
      <c r="I3487" s="161">
        <v>12</v>
      </c>
    </row>
    <row r="3488" spans="1:9">
      <c r="A3488" s="113">
        <v>100900204</v>
      </c>
      <c r="B3488" s="113" t="s">
        <v>6153</v>
      </c>
      <c r="C3488" s="113">
        <v>7050042</v>
      </c>
      <c r="D3488" s="113" t="s">
        <v>3093</v>
      </c>
      <c r="E3488" s="113" t="s">
        <v>1620</v>
      </c>
      <c r="F3488" s="113" t="s">
        <v>3093</v>
      </c>
      <c r="G3488" s="113" t="s">
        <v>3093</v>
      </c>
      <c r="H3488" s="161">
        <v>9</v>
      </c>
      <c r="I3488" s="161">
        <v>24</v>
      </c>
    </row>
    <row r="3489" spans="1:9">
      <c r="A3489" s="113">
        <v>100900205</v>
      </c>
      <c r="B3489" s="113" t="s">
        <v>6154</v>
      </c>
      <c r="C3489" s="113">
        <v>7050043</v>
      </c>
      <c r="D3489" s="113" t="s">
        <v>3093</v>
      </c>
      <c r="E3489" s="113" t="s">
        <v>1620</v>
      </c>
      <c r="F3489" s="113" t="s">
        <v>3093</v>
      </c>
      <c r="G3489" s="113" t="s">
        <v>3093</v>
      </c>
      <c r="H3489" s="161">
        <v>0.78416699999999995</v>
      </c>
      <c r="I3489" s="161">
        <v>1009</v>
      </c>
    </row>
    <row r="3490" spans="1:9">
      <c r="A3490" s="113">
        <v>100900206</v>
      </c>
      <c r="B3490" s="113" t="s">
        <v>6155</v>
      </c>
      <c r="C3490" s="113">
        <v>7050049</v>
      </c>
      <c r="D3490" s="113" t="s">
        <v>3093</v>
      </c>
      <c r="E3490" s="113" t="s">
        <v>1620</v>
      </c>
      <c r="F3490" s="113" t="s">
        <v>3093</v>
      </c>
      <c r="G3490" s="113" t="s">
        <v>3093</v>
      </c>
      <c r="H3490" s="161">
        <v>430.14</v>
      </c>
      <c r="I3490" s="161">
        <v>10</v>
      </c>
    </row>
    <row r="3491" spans="1:9">
      <c r="A3491" s="113">
        <v>100900207</v>
      </c>
      <c r="B3491" s="113" t="s">
        <v>6156</v>
      </c>
      <c r="C3491" s="113">
        <v>7050050</v>
      </c>
      <c r="D3491" s="113" t="s">
        <v>3093</v>
      </c>
      <c r="E3491" s="113" t="s">
        <v>1620</v>
      </c>
      <c r="F3491" s="113" t="s">
        <v>3093</v>
      </c>
      <c r="G3491" s="113" t="s">
        <v>3093</v>
      </c>
      <c r="H3491" s="161">
        <v>1.77</v>
      </c>
      <c r="I3491" s="161">
        <v>60</v>
      </c>
    </row>
    <row r="3492" spans="1:9">
      <c r="A3492" s="113">
        <v>100900208</v>
      </c>
      <c r="B3492" s="113" t="s">
        <v>6157</v>
      </c>
      <c r="C3492" s="113">
        <v>7050051</v>
      </c>
      <c r="D3492" s="113" t="s">
        <v>3093</v>
      </c>
      <c r="E3492" s="113" t="s">
        <v>1620</v>
      </c>
      <c r="F3492" s="113" t="s">
        <v>3093</v>
      </c>
      <c r="G3492" s="113" t="s">
        <v>3093</v>
      </c>
      <c r="H3492" s="161">
        <v>1</v>
      </c>
      <c r="I3492" s="161">
        <v>600</v>
      </c>
    </row>
    <row r="3493" spans="1:9">
      <c r="A3493" s="113">
        <v>100900209</v>
      </c>
      <c r="B3493" s="113" t="s">
        <v>6158</v>
      </c>
      <c r="C3493" s="113">
        <v>7050052</v>
      </c>
      <c r="D3493" s="113" t="s">
        <v>3093</v>
      </c>
      <c r="E3493" s="113" t="s">
        <v>1620</v>
      </c>
      <c r="F3493" s="113" t="s">
        <v>3093</v>
      </c>
      <c r="G3493" s="113" t="s">
        <v>3093</v>
      </c>
      <c r="H3493" s="161">
        <v>1</v>
      </c>
      <c r="I3493" s="161">
        <v>524</v>
      </c>
    </row>
    <row r="3494" spans="1:9">
      <c r="A3494" s="113">
        <v>100900210</v>
      </c>
      <c r="B3494" s="113" t="s">
        <v>6159</v>
      </c>
      <c r="C3494" s="113">
        <v>7050053</v>
      </c>
      <c r="D3494" s="113" t="s">
        <v>3093</v>
      </c>
      <c r="E3494" s="113" t="s">
        <v>1620</v>
      </c>
      <c r="F3494" s="113" t="s">
        <v>3093</v>
      </c>
      <c r="G3494" s="113" t="s">
        <v>3093</v>
      </c>
      <c r="H3494" s="161">
        <v>2.78</v>
      </c>
      <c r="I3494" s="161">
        <v>24</v>
      </c>
    </row>
    <row r="3495" spans="1:9">
      <c r="A3495" s="113">
        <v>100900211</v>
      </c>
      <c r="B3495" s="113" t="s">
        <v>6160</v>
      </c>
      <c r="C3495" s="113">
        <v>7050054</v>
      </c>
      <c r="D3495" s="113" t="s">
        <v>3093</v>
      </c>
      <c r="E3495" s="113" t="s">
        <v>1620</v>
      </c>
      <c r="F3495" s="113" t="s">
        <v>3093</v>
      </c>
      <c r="G3495" s="113" t="s">
        <v>3093</v>
      </c>
      <c r="H3495" s="161">
        <v>0.78416699999999995</v>
      </c>
      <c r="I3495" s="161">
        <v>144</v>
      </c>
    </row>
    <row r="3496" spans="1:9">
      <c r="A3496" s="113">
        <v>100900212</v>
      </c>
      <c r="B3496" s="113" t="s">
        <v>6161</v>
      </c>
      <c r="C3496" s="113">
        <v>7050055</v>
      </c>
      <c r="D3496" s="113" t="s">
        <v>3093</v>
      </c>
      <c r="E3496" s="113" t="s">
        <v>1620</v>
      </c>
      <c r="F3496" s="113" t="s">
        <v>3093</v>
      </c>
      <c r="G3496" s="113" t="s">
        <v>3093</v>
      </c>
      <c r="H3496" s="161">
        <v>1</v>
      </c>
      <c r="I3496" s="161">
        <v>20</v>
      </c>
    </row>
    <row r="3497" spans="1:9">
      <c r="A3497" s="113">
        <v>100900213</v>
      </c>
      <c r="B3497" s="113" t="s">
        <v>6162</v>
      </c>
      <c r="C3497" s="113">
        <v>7050056</v>
      </c>
      <c r="D3497" s="113" t="s">
        <v>3093</v>
      </c>
      <c r="E3497" s="113" t="s">
        <v>1620</v>
      </c>
      <c r="F3497" s="113" t="s">
        <v>3093</v>
      </c>
      <c r="G3497" s="113" t="s">
        <v>3093</v>
      </c>
      <c r="H3497" s="161">
        <v>0.78416699999999995</v>
      </c>
      <c r="I3497" s="161">
        <v>24</v>
      </c>
    </row>
    <row r="3498" spans="1:9">
      <c r="A3498" s="113">
        <v>100900214</v>
      </c>
      <c r="B3498" s="113" t="s">
        <v>6163</v>
      </c>
      <c r="C3498" s="113">
        <v>7050057</v>
      </c>
      <c r="D3498" s="113" t="s">
        <v>3093</v>
      </c>
      <c r="E3498" s="113" t="s">
        <v>1620</v>
      </c>
      <c r="F3498" s="113" t="s">
        <v>3093</v>
      </c>
      <c r="G3498" s="113" t="s">
        <v>3093</v>
      </c>
      <c r="H3498" s="161">
        <v>1.25</v>
      </c>
      <c r="I3498" s="161">
        <v>60</v>
      </c>
    </row>
    <row r="3499" spans="1:9">
      <c r="A3499" s="113">
        <v>100900215</v>
      </c>
      <c r="B3499" s="113" t="s">
        <v>6164</v>
      </c>
      <c r="C3499" s="113">
        <v>7050058</v>
      </c>
      <c r="D3499" s="113" t="s">
        <v>3093</v>
      </c>
      <c r="E3499" s="113" t="s">
        <v>1620</v>
      </c>
      <c r="F3499" s="113" t="s">
        <v>3093</v>
      </c>
      <c r="G3499" s="113" t="s">
        <v>3093</v>
      </c>
      <c r="H3499" s="161">
        <v>9</v>
      </c>
      <c r="I3499" s="161">
        <v>36</v>
      </c>
    </row>
    <row r="3500" spans="1:9">
      <c r="A3500" s="113">
        <v>100900216</v>
      </c>
      <c r="B3500" s="113" t="s">
        <v>6165</v>
      </c>
      <c r="C3500" s="113">
        <v>7050059</v>
      </c>
      <c r="D3500" s="113" t="s">
        <v>3093</v>
      </c>
      <c r="E3500" s="113" t="s">
        <v>1620</v>
      </c>
      <c r="F3500" s="113" t="s">
        <v>3093</v>
      </c>
      <c r="G3500" s="113" t="s">
        <v>3093</v>
      </c>
      <c r="H3500" s="161">
        <v>9</v>
      </c>
      <c r="I3500" s="161">
        <v>24</v>
      </c>
    </row>
    <row r="3501" spans="1:9">
      <c r="A3501" s="113">
        <v>100900217</v>
      </c>
      <c r="B3501" s="113" t="s">
        <v>6166</v>
      </c>
      <c r="C3501" s="113">
        <v>7050060</v>
      </c>
      <c r="D3501" s="113" t="s">
        <v>3093</v>
      </c>
      <c r="E3501" s="113" t="s">
        <v>1620</v>
      </c>
      <c r="F3501" s="113" t="s">
        <v>3093</v>
      </c>
      <c r="G3501" s="113" t="s">
        <v>3093</v>
      </c>
      <c r="H3501" s="161">
        <v>34.200000000000003</v>
      </c>
      <c r="I3501" s="161">
        <v>36</v>
      </c>
    </row>
    <row r="3502" spans="1:9">
      <c r="A3502" s="113">
        <v>100900218</v>
      </c>
      <c r="B3502" s="113" t="s">
        <v>6167</v>
      </c>
      <c r="C3502" s="113">
        <v>7050061</v>
      </c>
      <c r="D3502" s="113" t="s">
        <v>3093</v>
      </c>
      <c r="E3502" s="113" t="s">
        <v>1620</v>
      </c>
      <c r="F3502" s="113" t="s">
        <v>3093</v>
      </c>
      <c r="G3502" s="113" t="s">
        <v>3093</v>
      </c>
      <c r="H3502" s="161">
        <v>0</v>
      </c>
      <c r="I3502" s="161" t="s">
        <v>7138</v>
      </c>
    </row>
    <row r="3503" spans="1:9">
      <c r="A3503" s="113">
        <v>100900219</v>
      </c>
      <c r="B3503" s="113" t="s">
        <v>6168</v>
      </c>
      <c r="C3503" s="113">
        <v>7050062</v>
      </c>
      <c r="D3503" s="113" t="s">
        <v>3093</v>
      </c>
      <c r="E3503" s="113" t="s">
        <v>1620</v>
      </c>
      <c r="F3503" s="113" t="s">
        <v>3093</v>
      </c>
      <c r="G3503" s="113" t="s">
        <v>3093</v>
      </c>
      <c r="H3503" s="161">
        <v>1.25</v>
      </c>
      <c r="I3503" s="161">
        <v>240</v>
      </c>
    </row>
    <row r="3504" spans="1:9">
      <c r="A3504" s="113">
        <v>100900220</v>
      </c>
      <c r="B3504" s="113" t="s">
        <v>6169</v>
      </c>
      <c r="C3504" s="113">
        <v>7050063</v>
      </c>
      <c r="D3504" s="113" t="s">
        <v>3093</v>
      </c>
      <c r="E3504" s="113" t="s">
        <v>1620</v>
      </c>
      <c r="F3504" s="113" t="s">
        <v>3093</v>
      </c>
      <c r="G3504" s="113" t="s">
        <v>3093</v>
      </c>
      <c r="H3504" s="161">
        <v>9</v>
      </c>
      <c r="I3504" s="161">
        <v>24</v>
      </c>
    </row>
    <row r="3505" spans="1:9">
      <c r="A3505" s="113">
        <v>100900221</v>
      </c>
      <c r="B3505" s="113" t="s">
        <v>6170</v>
      </c>
      <c r="C3505" s="113">
        <v>7051027</v>
      </c>
      <c r="D3505" s="113" t="s">
        <v>3093</v>
      </c>
      <c r="E3505" s="113" t="s">
        <v>1620</v>
      </c>
      <c r="F3505" s="113" t="s">
        <v>3093</v>
      </c>
      <c r="G3505" s="113" t="s">
        <v>3093</v>
      </c>
      <c r="H3505" s="161">
        <v>708</v>
      </c>
      <c r="I3505" s="161">
        <v>0</v>
      </c>
    </row>
    <row r="3506" spans="1:9">
      <c r="A3506" s="113">
        <v>100900222</v>
      </c>
      <c r="B3506" s="113" t="s">
        <v>6171</v>
      </c>
      <c r="C3506" s="113">
        <v>7051036</v>
      </c>
      <c r="D3506" s="113" t="s">
        <v>3093</v>
      </c>
      <c r="E3506" s="113" t="s">
        <v>1620</v>
      </c>
      <c r="F3506" s="113" t="s">
        <v>3093</v>
      </c>
      <c r="G3506" s="113" t="s">
        <v>3093</v>
      </c>
      <c r="H3506" s="161">
        <v>728.28</v>
      </c>
      <c r="I3506" s="161">
        <v>0</v>
      </c>
    </row>
    <row r="3507" spans="1:9">
      <c r="A3507" s="113">
        <v>100900223</v>
      </c>
      <c r="B3507" s="113" t="s">
        <v>6172</v>
      </c>
      <c r="C3507" s="113">
        <v>7051037</v>
      </c>
      <c r="D3507" s="113" t="s">
        <v>3093</v>
      </c>
      <c r="E3507" s="113" t="s">
        <v>1620</v>
      </c>
      <c r="F3507" s="113" t="s">
        <v>3093</v>
      </c>
      <c r="G3507" s="113" t="s">
        <v>3093</v>
      </c>
      <c r="H3507" s="161">
        <v>708</v>
      </c>
      <c r="I3507" s="161">
        <v>288</v>
      </c>
    </row>
    <row r="3508" spans="1:9">
      <c r="A3508" s="113">
        <v>100900224</v>
      </c>
      <c r="B3508" s="113" t="s">
        <v>6173</v>
      </c>
      <c r="C3508" s="113">
        <v>7051040</v>
      </c>
      <c r="D3508" s="113" t="s">
        <v>3093</v>
      </c>
      <c r="E3508" s="113" t="s">
        <v>1620</v>
      </c>
      <c r="F3508" s="113" t="s">
        <v>3093</v>
      </c>
      <c r="G3508" s="113" t="s">
        <v>3093</v>
      </c>
      <c r="H3508" s="161">
        <v>0</v>
      </c>
      <c r="I3508" s="161" t="s">
        <v>7138</v>
      </c>
    </row>
    <row r="3509" spans="1:9">
      <c r="A3509" s="113">
        <v>100900225</v>
      </c>
      <c r="B3509" s="113" t="s">
        <v>6174</v>
      </c>
      <c r="C3509" s="113">
        <v>7051039</v>
      </c>
      <c r="D3509" s="113" t="s">
        <v>3093</v>
      </c>
      <c r="E3509" s="113" t="s">
        <v>1620</v>
      </c>
      <c r="F3509" s="113" t="s">
        <v>3093</v>
      </c>
      <c r="G3509" s="113" t="s">
        <v>3093</v>
      </c>
      <c r="H3509" s="161">
        <v>2.95</v>
      </c>
      <c r="I3509" s="161">
        <v>144</v>
      </c>
    </row>
    <row r="3510" spans="1:9">
      <c r="A3510" s="113">
        <v>100900226</v>
      </c>
      <c r="B3510" s="113" t="s">
        <v>6175</v>
      </c>
      <c r="C3510" s="113">
        <v>7051043</v>
      </c>
      <c r="D3510" s="113" t="s">
        <v>3093</v>
      </c>
      <c r="E3510" s="113" t="s">
        <v>1620</v>
      </c>
      <c r="F3510" s="113" t="s">
        <v>3093</v>
      </c>
      <c r="G3510" s="113" t="s">
        <v>3093</v>
      </c>
      <c r="H3510" s="161">
        <v>4.1399999999999997</v>
      </c>
      <c r="I3510" s="161" t="s">
        <v>7138</v>
      </c>
    </row>
    <row r="3511" spans="1:9">
      <c r="A3511" s="113">
        <v>100900227</v>
      </c>
      <c r="B3511" s="113" t="s">
        <v>6176</v>
      </c>
      <c r="C3511" s="113">
        <v>7051044</v>
      </c>
      <c r="D3511" s="113" t="s">
        <v>3093</v>
      </c>
      <c r="E3511" s="113" t="s">
        <v>1620</v>
      </c>
      <c r="F3511" s="113" t="s">
        <v>3093</v>
      </c>
      <c r="G3511" s="113" t="s">
        <v>3093</v>
      </c>
      <c r="H3511" s="161">
        <v>0</v>
      </c>
      <c r="I3511" s="161" t="s">
        <v>7138</v>
      </c>
    </row>
    <row r="3512" spans="1:9">
      <c r="A3512" s="113">
        <v>100900228</v>
      </c>
      <c r="B3512" s="113" t="s">
        <v>6177</v>
      </c>
      <c r="C3512" s="113">
        <v>7051056</v>
      </c>
      <c r="D3512" s="113" t="s">
        <v>3093</v>
      </c>
      <c r="E3512" s="113" t="s">
        <v>1620</v>
      </c>
      <c r="F3512" s="113" t="s">
        <v>3093</v>
      </c>
      <c r="G3512" s="113" t="s">
        <v>3093</v>
      </c>
      <c r="H3512" s="161">
        <v>130</v>
      </c>
      <c r="I3512" s="161">
        <v>24</v>
      </c>
    </row>
    <row r="3513" spans="1:9">
      <c r="A3513" s="113">
        <v>100900229</v>
      </c>
      <c r="B3513" s="113" t="s">
        <v>6178</v>
      </c>
      <c r="C3513" s="113">
        <v>7051058</v>
      </c>
      <c r="D3513" s="113" t="s">
        <v>3093</v>
      </c>
      <c r="E3513" s="113" t="s">
        <v>1620</v>
      </c>
      <c r="F3513" s="113" t="s">
        <v>3093</v>
      </c>
      <c r="G3513" s="113" t="s">
        <v>3093</v>
      </c>
      <c r="H3513" s="161">
        <v>274.86</v>
      </c>
      <c r="I3513" s="161">
        <v>144</v>
      </c>
    </row>
    <row r="3514" spans="1:9">
      <c r="A3514" s="113">
        <v>100900230</v>
      </c>
      <c r="B3514" s="113" t="s">
        <v>6179</v>
      </c>
      <c r="C3514" s="113">
        <v>7051060</v>
      </c>
      <c r="D3514" s="113" t="s">
        <v>3093</v>
      </c>
      <c r="E3514" s="113" t="s">
        <v>1620</v>
      </c>
      <c r="F3514" s="113" t="s">
        <v>3093</v>
      </c>
      <c r="G3514" s="113" t="s">
        <v>3093</v>
      </c>
      <c r="H3514" s="161">
        <v>4.83</v>
      </c>
      <c r="I3514" s="161">
        <v>48</v>
      </c>
    </row>
    <row r="3515" spans="1:9">
      <c r="A3515" s="113">
        <v>100900231</v>
      </c>
      <c r="B3515" s="113" t="s">
        <v>6180</v>
      </c>
      <c r="C3515" s="113">
        <v>7051070</v>
      </c>
      <c r="D3515" s="113" t="s">
        <v>3093</v>
      </c>
      <c r="E3515" s="113" t="s">
        <v>1620</v>
      </c>
      <c r="F3515" s="113" t="s">
        <v>3093</v>
      </c>
      <c r="G3515" s="113" t="s">
        <v>3093</v>
      </c>
      <c r="H3515" s="161">
        <v>16.75</v>
      </c>
      <c r="I3515" s="161">
        <v>0</v>
      </c>
    </row>
    <row r="3516" spans="1:9">
      <c r="A3516" s="113">
        <v>100900232</v>
      </c>
      <c r="B3516" s="113" t="s">
        <v>6181</v>
      </c>
      <c r="C3516" s="113">
        <v>7051072</v>
      </c>
      <c r="D3516" s="113" t="s">
        <v>3093</v>
      </c>
      <c r="E3516" s="113" t="s">
        <v>1620</v>
      </c>
      <c r="F3516" s="113" t="s">
        <v>3093</v>
      </c>
      <c r="G3516" s="113" t="s">
        <v>3093</v>
      </c>
      <c r="H3516" s="161">
        <v>120</v>
      </c>
      <c r="I3516" s="161">
        <v>0</v>
      </c>
    </row>
    <row r="3517" spans="1:9">
      <c r="A3517" s="113">
        <v>100900233</v>
      </c>
      <c r="B3517" s="113" t="s">
        <v>6182</v>
      </c>
      <c r="C3517" s="113">
        <v>7051074</v>
      </c>
      <c r="D3517" s="113" t="s">
        <v>3093</v>
      </c>
      <c r="E3517" s="113" t="s">
        <v>1620</v>
      </c>
      <c r="F3517" s="113" t="s">
        <v>3093</v>
      </c>
      <c r="G3517" s="113" t="s">
        <v>3093</v>
      </c>
      <c r="H3517" s="161">
        <v>22.55</v>
      </c>
      <c r="I3517" s="161">
        <v>48</v>
      </c>
    </row>
    <row r="3518" spans="1:9">
      <c r="A3518" s="113">
        <v>100900234</v>
      </c>
      <c r="B3518" s="113" t="s">
        <v>6183</v>
      </c>
      <c r="C3518" s="113">
        <v>7051075</v>
      </c>
      <c r="D3518" s="113" t="s">
        <v>3093</v>
      </c>
      <c r="E3518" s="113" t="s">
        <v>1620</v>
      </c>
      <c r="F3518" s="113" t="s">
        <v>3093</v>
      </c>
      <c r="G3518" s="113" t="s">
        <v>3093</v>
      </c>
      <c r="H3518" s="161">
        <v>1.25</v>
      </c>
      <c r="I3518" s="161">
        <v>72</v>
      </c>
    </row>
    <row r="3519" spans="1:9">
      <c r="A3519" s="113">
        <v>100900235</v>
      </c>
      <c r="B3519" s="113" t="s">
        <v>6184</v>
      </c>
      <c r="C3519" s="113">
        <v>7051076</v>
      </c>
      <c r="D3519" s="113" t="s">
        <v>3093</v>
      </c>
      <c r="E3519" s="113" t="s">
        <v>1620</v>
      </c>
      <c r="F3519" s="113" t="s">
        <v>3093</v>
      </c>
      <c r="G3519" s="113" t="s">
        <v>3093</v>
      </c>
      <c r="H3519" s="161">
        <v>2</v>
      </c>
      <c r="I3519" s="161">
        <v>600</v>
      </c>
    </row>
    <row r="3520" spans="1:9">
      <c r="A3520" s="113">
        <v>100900236</v>
      </c>
      <c r="B3520" s="113" t="s">
        <v>6185</v>
      </c>
      <c r="C3520" s="113">
        <v>7051077</v>
      </c>
      <c r="D3520" s="113" t="s">
        <v>3093</v>
      </c>
      <c r="E3520" s="113" t="s">
        <v>1620</v>
      </c>
      <c r="F3520" s="113" t="s">
        <v>3093</v>
      </c>
      <c r="G3520" s="113" t="s">
        <v>3093</v>
      </c>
      <c r="H3520" s="161">
        <v>2</v>
      </c>
      <c r="I3520" s="161">
        <v>34</v>
      </c>
    </row>
    <row r="3521" spans="1:9">
      <c r="A3521" s="113">
        <v>100900237</v>
      </c>
      <c r="B3521" s="113" t="s">
        <v>6186</v>
      </c>
      <c r="C3521" s="113">
        <v>7051078</v>
      </c>
      <c r="D3521" s="113" t="s">
        <v>3093</v>
      </c>
      <c r="E3521" s="113" t="s">
        <v>1620</v>
      </c>
      <c r="F3521" s="113" t="s">
        <v>3093</v>
      </c>
      <c r="G3521" s="113" t="s">
        <v>3093</v>
      </c>
      <c r="H3521" s="161">
        <v>24</v>
      </c>
      <c r="I3521" s="161">
        <v>204</v>
      </c>
    </row>
    <row r="3522" spans="1:9">
      <c r="A3522" s="113">
        <v>100900238</v>
      </c>
      <c r="B3522" s="113" t="s">
        <v>6187</v>
      </c>
      <c r="C3522" s="113">
        <v>7051079</v>
      </c>
      <c r="D3522" s="113" t="s">
        <v>3093</v>
      </c>
      <c r="E3522" s="113" t="s">
        <v>1620</v>
      </c>
      <c r="F3522" s="113" t="s">
        <v>3093</v>
      </c>
      <c r="G3522" s="113" t="s">
        <v>3093</v>
      </c>
      <c r="H3522" s="161">
        <v>3.85</v>
      </c>
      <c r="I3522" s="161">
        <v>36</v>
      </c>
    </row>
    <row r="3523" spans="1:9">
      <c r="A3523" s="113">
        <v>100900239</v>
      </c>
      <c r="B3523" s="113" t="s">
        <v>6188</v>
      </c>
      <c r="C3523" s="113">
        <v>7051081</v>
      </c>
      <c r="D3523" s="113" t="s">
        <v>3093</v>
      </c>
      <c r="E3523" s="113" t="s">
        <v>1620</v>
      </c>
      <c r="F3523" s="113" t="s">
        <v>3093</v>
      </c>
      <c r="G3523" s="113" t="s">
        <v>3093</v>
      </c>
      <c r="H3523" s="161">
        <v>3.32</v>
      </c>
      <c r="I3523" s="161">
        <v>36</v>
      </c>
    </row>
    <row r="3524" spans="1:9">
      <c r="A3524" s="113">
        <v>100900240</v>
      </c>
      <c r="B3524" s="113" t="s">
        <v>6189</v>
      </c>
      <c r="C3524" s="113">
        <v>7051082</v>
      </c>
      <c r="D3524" s="113" t="s">
        <v>3093</v>
      </c>
      <c r="E3524" s="113" t="s">
        <v>1620</v>
      </c>
      <c r="F3524" s="113" t="s">
        <v>3093</v>
      </c>
      <c r="G3524" s="113" t="s">
        <v>3093</v>
      </c>
      <c r="H3524" s="161">
        <v>3.1</v>
      </c>
      <c r="I3524" s="161">
        <v>36</v>
      </c>
    </row>
    <row r="3525" spans="1:9">
      <c r="A3525" s="113">
        <v>100900241</v>
      </c>
      <c r="B3525" s="113" t="s">
        <v>6190</v>
      </c>
      <c r="C3525" s="113">
        <v>7051083</v>
      </c>
      <c r="D3525" s="113" t="s">
        <v>3093</v>
      </c>
      <c r="E3525" s="113" t="s">
        <v>1620</v>
      </c>
      <c r="F3525" s="113" t="s">
        <v>3093</v>
      </c>
      <c r="G3525" s="113" t="s">
        <v>3093</v>
      </c>
      <c r="H3525" s="161">
        <v>3.7</v>
      </c>
      <c r="I3525" s="161">
        <v>432</v>
      </c>
    </row>
    <row r="3526" spans="1:9">
      <c r="A3526" s="113">
        <v>100900242</v>
      </c>
      <c r="B3526" s="113" t="s">
        <v>6191</v>
      </c>
      <c r="C3526" s="113">
        <v>7051084</v>
      </c>
      <c r="D3526" s="113" t="s">
        <v>3093</v>
      </c>
      <c r="E3526" s="113" t="s">
        <v>1620</v>
      </c>
      <c r="F3526" s="113" t="s">
        <v>3093</v>
      </c>
      <c r="G3526" s="113" t="s">
        <v>3093</v>
      </c>
      <c r="H3526" s="161">
        <v>11.25</v>
      </c>
      <c r="I3526" s="161">
        <v>60</v>
      </c>
    </row>
    <row r="3527" spans="1:9">
      <c r="A3527" s="113">
        <v>100900243</v>
      </c>
      <c r="B3527" s="113" t="s">
        <v>6192</v>
      </c>
      <c r="C3527" s="113">
        <v>7051088</v>
      </c>
      <c r="D3527" s="113" t="s">
        <v>3093</v>
      </c>
      <c r="E3527" s="113" t="s">
        <v>1620</v>
      </c>
      <c r="F3527" s="113" t="s">
        <v>3093</v>
      </c>
      <c r="G3527" s="113" t="s">
        <v>3093</v>
      </c>
      <c r="H3527" s="161">
        <v>4.2</v>
      </c>
      <c r="I3527" s="161">
        <v>120</v>
      </c>
    </row>
    <row r="3528" spans="1:9">
      <c r="A3528" s="113">
        <v>100900244</v>
      </c>
      <c r="B3528" s="113" t="s">
        <v>6193</v>
      </c>
      <c r="C3528" s="113">
        <v>7051089</v>
      </c>
      <c r="D3528" s="113" t="s">
        <v>3093</v>
      </c>
      <c r="E3528" s="113" t="s">
        <v>1620</v>
      </c>
      <c r="F3528" s="113" t="s">
        <v>3093</v>
      </c>
      <c r="G3528" s="113" t="s">
        <v>3093</v>
      </c>
      <c r="H3528" s="161">
        <v>38.24</v>
      </c>
      <c r="I3528" s="161">
        <v>144</v>
      </c>
    </row>
    <row r="3529" spans="1:9">
      <c r="A3529" s="113">
        <v>100900245</v>
      </c>
      <c r="B3529" s="113" t="s">
        <v>6194</v>
      </c>
      <c r="C3529" s="113">
        <v>7051090</v>
      </c>
      <c r="D3529" s="113" t="s">
        <v>3093</v>
      </c>
      <c r="E3529" s="113" t="s">
        <v>1620</v>
      </c>
      <c r="F3529" s="113" t="s">
        <v>3093</v>
      </c>
      <c r="G3529" s="113" t="s">
        <v>3093</v>
      </c>
      <c r="H3529" s="161">
        <v>19.75</v>
      </c>
      <c r="I3529" s="161">
        <v>60</v>
      </c>
    </row>
    <row r="3530" spans="1:9">
      <c r="A3530" s="113">
        <v>100900246</v>
      </c>
      <c r="B3530" s="113" t="s">
        <v>6195</v>
      </c>
      <c r="C3530" s="113">
        <v>7051091</v>
      </c>
      <c r="D3530" s="113" t="s">
        <v>3093</v>
      </c>
      <c r="E3530" s="113" t="s">
        <v>1620</v>
      </c>
      <c r="F3530" s="113" t="s">
        <v>3093</v>
      </c>
      <c r="G3530" s="113" t="s">
        <v>3093</v>
      </c>
      <c r="H3530" s="161">
        <v>49.31</v>
      </c>
      <c r="I3530" s="161">
        <v>720</v>
      </c>
    </row>
    <row r="3531" spans="1:9">
      <c r="A3531" s="113">
        <v>100900247</v>
      </c>
      <c r="B3531" s="113" t="s">
        <v>6196</v>
      </c>
      <c r="C3531" s="113">
        <v>7051092</v>
      </c>
      <c r="D3531" s="113" t="s">
        <v>3093</v>
      </c>
      <c r="E3531" s="113" t="s">
        <v>1620</v>
      </c>
      <c r="F3531" s="113" t="s">
        <v>3093</v>
      </c>
      <c r="G3531" s="113" t="s">
        <v>3093</v>
      </c>
      <c r="H3531" s="161">
        <v>11.5</v>
      </c>
      <c r="I3531" s="161">
        <v>15</v>
      </c>
    </row>
    <row r="3532" spans="1:9">
      <c r="A3532" s="113">
        <v>100900248</v>
      </c>
      <c r="B3532" s="113" t="s">
        <v>6197</v>
      </c>
      <c r="C3532" s="113">
        <v>7051093</v>
      </c>
      <c r="D3532" s="113" t="s">
        <v>3093</v>
      </c>
      <c r="E3532" s="113" t="s">
        <v>1620</v>
      </c>
      <c r="F3532" s="113" t="s">
        <v>3093</v>
      </c>
      <c r="G3532" s="113" t="s">
        <v>3093</v>
      </c>
      <c r="H3532" s="161">
        <v>67.180000000000007</v>
      </c>
      <c r="I3532" s="161">
        <v>2</v>
      </c>
    </row>
    <row r="3533" spans="1:9">
      <c r="A3533" s="113">
        <v>100900249</v>
      </c>
      <c r="B3533" s="113" t="s">
        <v>6198</v>
      </c>
      <c r="C3533" s="113">
        <v>7051094</v>
      </c>
      <c r="D3533" s="113" t="s">
        <v>3093</v>
      </c>
      <c r="E3533" s="113" t="s">
        <v>1620</v>
      </c>
      <c r="F3533" s="113" t="s">
        <v>3093</v>
      </c>
      <c r="G3533" s="113" t="s">
        <v>3093</v>
      </c>
      <c r="H3533" s="161">
        <v>2.89</v>
      </c>
      <c r="I3533" s="161">
        <v>24</v>
      </c>
    </row>
    <row r="3534" spans="1:9">
      <c r="A3534" s="113">
        <v>100900250</v>
      </c>
      <c r="B3534" s="113" t="s">
        <v>6199</v>
      </c>
      <c r="C3534" s="113">
        <v>7051095</v>
      </c>
      <c r="D3534" s="113" t="s">
        <v>3093</v>
      </c>
      <c r="E3534" s="113" t="s">
        <v>1620</v>
      </c>
      <c r="F3534" s="113" t="s">
        <v>3093</v>
      </c>
      <c r="G3534" s="113" t="s">
        <v>3093</v>
      </c>
      <c r="H3534" s="161">
        <v>14.85</v>
      </c>
      <c r="I3534" s="161">
        <v>12</v>
      </c>
    </row>
    <row r="3535" spans="1:9">
      <c r="A3535" s="113">
        <v>100900251</v>
      </c>
      <c r="B3535" s="113" t="s">
        <v>6200</v>
      </c>
      <c r="C3535" s="113">
        <v>7052032</v>
      </c>
      <c r="D3535" s="113" t="s">
        <v>3093</v>
      </c>
      <c r="E3535" s="113" t="s">
        <v>1620</v>
      </c>
      <c r="F3535" s="113" t="s">
        <v>3093</v>
      </c>
      <c r="G3535" s="113" t="s">
        <v>3093</v>
      </c>
      <c r="H3535" s="161">
        <v>9.92</v>
      </c>
      <c r="I3535" s="161">
        <v>5</v>
      </c>
    </row>
    <row r="3536" spans="1:9">
      <c r="A3536" s="113">
        <v>100900252</v>
      </c>
      <c r="B3536" s="113" t="s">
        <v>6201</v>
      </c>
      <c r="C3536" s="113">
        <v>7052043</v>
      </c>
      <c r="D3536" s="113" t="s">
        <v>3093</v>
      </c>
      <c r="E3536" s="113" t="s">
        <v>1620</v>
      </c>
      <c r="F3536" s="113" t="s">
        <v>3093</v>
      </c>
      <c r="G3536" s="113" t="s">
        <v>3093</v>
      </c>
      <c r="H3536" s="161">
        <v>7.81</v>
      </c>
      <c r="I3536" s="161">
        <v>24</v>
      </c>
    </row>
    <row r="3537" spans="1:9">
      <c r="A3537" s="113">
        <v>100900253</v>
      </c>
      <c r="B3537" s="113" t="s">
        <v>6202</v>
      </c>
      <c r="C3537" s="113">
        <v>7052045</v>
      </c>
      <c r="D3537" s="113" t="s">
        <v>3093</v>
      </c>
      <c r="E3537" s="113" t="s">
        <v>1620</v>
      </c>
      <c r="F3537" s="113" t="s">
        <v>3093</v>
      </c>
      <c r="G3537" s="113" t="s">
        <v>3093</v>
      </c>
      <c r="H3537" s="161">
        <v>0</v>
      </c>
      <c r="I3537" s="161" t="s">
        <v>7138</v>
      </c>
    </row>
    <row r="3538" spans="1:9">
      <c r="A3538" s="113">
        <v>100900254</v>
      </c>
      <c r="B3538" s="113" t="s">
        <v>6203</v>
      </c>
      <c r="C3538" s="113">
        <v>7052047</v>
      </c>
      <c r="D3538" s="113" t="s">
        <v>3093</v>
      </c>
      <c r="E3538" s="113" t="s">
        <v>1620</v>
      </c>
      <c r="F3538" s="113" t="s">
        <v>3093</v>
      </c>
      <c r="G3538" s="113" t="s">
        <v>3093</v>
      </c>
      <c r="H3538" s="161">
        <v>17.39</v>
      </c>
      <c r="I3538" s="161">
        <v>10</v>
      </c>
    </row>
    <row r="3539" spans="1:9">
      <c r="A3539" s="113">
        <v>100900255</v>
      </c>
      <c r="B3539" s="113" t="s">
        <v>6204</v>
      </c>
      <c r="C3539" s="113">
        <v>7052060</v>
      </c>
      <c r="D3539" s="113" t="s">
        <v>3093</v>
      </c>
      <c r="E3539" s="113" t="s">
        <v>1620</v>
      </c>
      <c r="F3539" s="113" t="s">
        <v>3093</v>
      </c>
      <c r="G3539" s="113" t="s">
        <v>3093</v>
      </c>
      <c r="H3539" s="161">
        <v>0</v>
      </c>
      <c r="I3539" s="161" t="s">
        <v>7138</v>
      </c>
    </row>
    <row r="3540" spans="1:9">
      <c r="A3540" s="113">
        <v>100900256</v>
      </c>
      <c r="B3540" s="113" t="s">
        <v>6205</v>
      </c>
      <c r="C3540" s="113">
        <v>7052061</v>
      </c>
      <c r="D3540" s="113" t="s">
        <v>3093</v>
      </c>
      <c r="E3540" s="113" t="s">
        <v>1620</v>
      </c>
      <c r="F3540" s="113" t="s">
        <v>3093</v>
      </c>
      <c r="G3540" s="113" t="s">
        <v>3093</v>
      </c>
      <c r="H3540" s="161">
        <v>0</v>
      </c>
      <c r="I3540" s="161" t="s">
        <v>7138</v>
      </c>
    </row>
    <row r="3541" spans="1:9">
      <c r="A3541" s="113">
        <v>100900257</v>
      </c>
      <c r="B3541" s="113" t="s">
        <v>6206</v>
      </c>
      <c r="C3541" s="113">
        <v>7052062</v>
      </c>
      <c r="D3541" s="113" t="s">
        <v>3093</v>
      </c>
      <c r="E3541" s="113" t="s">
        <v>1620</v>
      </c>
      <c r="F3541" s="113" t="s">
        <v>3093</v>
      </c>
      <c r="G3541" s="113" t="s">
        <v>3093</v>
      </c>
      <c r="H3541" s="161">
        <v>2.23</v>
      </c>
      <c r="I3541" s="161">
        <v>9</v>
      </c>
    </row>
    <row r="3542" spans="1:9">
      <c r="A3542" s="113">
        <v>100900258</v>
      </c>
      <c r="B3542" s="113" t="s">
        <v>6207</v>
      </c>
      <c r="C3542" s="113">
        <v>7052063</v>
      </c>
      <c r="D3542" s="113" t="s">
        <v>3093</v>
      </c>
      <c r="E3542" s="113" t="s">
        <v>1620</v>
      </c>
      <c r="F3542" s="113" t="s">
        <v>3093</v>
      </c>
      <c r="G3542" s="113" t="s">
        <v>3093</v>
      </c>
      <c r="H3542" s="161">
        <v>9.14</v>
      </c>
      <c r="I3542" s="161">
        <v>30</v>
      </c>
    </row>
    <row r="3543" spans="1:9">
      <c r="A3543" s="113">
        <v>100900259</v>
      </c>
      <c r="B3543" s="113" t="s">
        <v>6208</v>
      </c>
      <c r="C3543" s="113">
        <v>7052064</v>
      </c>
      <c r="D3543" s="113" t="s">
        <v>3093</v>
      </c>
      <c r="E3543" s="113" t="s">
        <v>1620</v>
      </c>
      <c r="F3543" s="113" t="s">
        <v>3093</v>
      </c>
      <c r="G3543" s="113" t="s">
        <v>3093</v>
      </c>
      <c r="H3543" s="161">
        <v>3.7</v>
      </c>
      <c r="I3543" s="161">
        <v>9</v>
      </c>
    </row>
    <row r="3544" spans="1:9">
      <c r="A3544" s="113">
        <v>100900260</v>
      </c>
      <c r="B3544" s="113" t="s">
        <v>6209</v>
      </c>
      <c r="C3544" s="113">
        <v>7052065</v>
      </c>
      <c r="D3544" s="113" t="s">
        <v>3093</v>
      </c>
      <c r="E3544" s="113" t="s">
        <v>1620</v>
      </c>
      <c r="F3544" s="113" t="s">
        <v>3093</v>
      </c>
      <c r="G3544" s="113" t="s">
        <v>3093</v>
      </c>
      <c r="H3544" s="161">
        <v>22.99</v>
      </c>
      <c r="I3544" s="161">
        <v>12</v>
      </c>
    </row>
    <row r="3545" spans="1:9">
      <c r="A3545" s="113">
        <v>100900261</v>
      </c>
      <c r="B3545" s="113" t="s">
        <v>6210</v>
      </c>
      <c r="C3545" s="113">
        <v>7052066</v>
      </c>
      <c r="D3545" s="113" t="s">
        <v>3093</v>
      </c>
      <c r="E3545" s="113" t="s">
        <v>1620</v>
      </c>
      <c r="F3545" s="113" t="s">
        <v>3093</v>
      </c>
      <c r="G3545" s="113" t="s">
        <v>3093</v>
      </c>
      <c r="H3545" s="161">
        <v>0.85</v>
      </c>
      <c r="I3545" s="161">
        <v>18</v>
      </c>
    </row>
    <row r="3546" spans="1:9">
      <c r="A3546" s="113">
        <v>100900262</v>
      </c>
      <c r="B3546" s="113" t="s">
        <v>6211</v>
      </c>
      <c r="C3546" s="113">
        <v>7052067</v>
      </c>
      <c r="D3546" s="113" t="s">
        <v>3093</v>
      </c>
      <c r="E3546" s="113" t="s">
        <v>1620</v>
      </c>
      <c r="F3546" s="113" t="s">
        <v>3093</v>
      </c>
      <c r="G3546" s="113" t="s">
        <v>3093</v>
      </c>
      <c r="H3546" s="161">
        <v>18</v>
      </c>
      <c r="I3546" s="161">
        <v>144</v>
      </c>
    </row>
    <row r="3547" spans="1:9">
      <c r="A3547" s="113">
        <v>100900263</v>
      </c>
      <c r="B3547" s="113" t="s">
        <v>6212</v>
      </c>
      <c r="C3547" s="113">
        <v>7052068</v>
      </c>
      <c r="D3547" s="113" t="s">
        <v>3093</v>
      </c>
      <c r="E3547" s="113" t="s">
        <v>1620</v>
      </c>
      <c r="F3547" s="113" t="s">
        <v>3093</v>
      </c>
      <c r="G3547" s="113" t="s">
        <v>3093</v>
      </c>
      <c r="H3547" s="161">
        <v>6.85</v>
      </c>
      <c r="I3547" s="161">
        <v>12</v>
      </c>
    </row>
    <row r="3548" spans="1:9">
      <c r="A3548" s="113">
        <v>100900264</v>
      </c>
      <c r="B3548" s="113" t="s">
        <v>6213</v>
      </c>
      <c r="C3548" s="113">
        <v>7052070</v>
      </c>
      <c r="D3548" s="113" t="s">
        <v>3093</v>
      </c>
      <c r="E3548" s="113" t="s">
        <v>1620</v>
      </c>
      <c r="F3548" s="113" t="s">
        <v>3093</v>
      </c>
      <c r="G3548" s="113" t="s">
        <v>3093</v>
      </c>
      <c r="H3548" s="161">
        <v>9.6</v>
      </c>
      <c r="I3548" s="161">
        <v>240</v>
      </c>
    </row>
    <row r="3549" spans="1:9">
      <c r="A3549" s="113">
        <v>100900265</v>
      </c>
      <c r="B3549" s="113" t="s">
        <v>6214</v>
      </c>
      <c r="C3549" s="113">
        <v>7052071</v>
      </c>
      <c r="D3549" s="113" t="s">
        <v>3093</v>
      </c>
      <c r="E3549" s="113" t="s">
        <v>1620</v>
      </c>
      <c r="F3549" s="113" t="s">
        <v>3093</v>
      </c>
      <c r="G3549" s="113" t="s">
        <v>3093</v>
      </c>
      <c r="H3549" s="161">
        <v>1.3332999999999999</v>
      </c>
      <c r="I3549" s="161">
        <v>144</v>
      </c>
    </row>
    <row r="3550" spans="1:9">
      <c r="A3550" s="113">
        <v>100900266</v>
      </c>
      <c r="B3550" s="113" t="s">
        <v>6215</v>
      </c>
      <c r="C3550" s="113">
        <v>7052072</v>
      </c>
      <c r="D3550" s="113" t="s">
        <v>3093</v>
      </c>
      <c r="E3550" s="113" t="s">
        <v>1620</v>
      </c>
      <c r="F3550" s="113" t="s">
        <v>3093</v>
      </c>
      <c r="G3550" s="113" t="s">
        <v>3093</v>
      </c>
      <c r="H3550" s="161">
        <v>0</v>
      </c>
      <c r="I3550" s="161" t="s">
        <v>7138</v>
      </c>
    </row>
    <row r="3551" spans="1:9">
      <c r="A3551" s="113">
        <v>100900267</v>
      </c>
      <c r="B3551" s="113" t="s">
        <v>6216</v>
      </c>
      <c r="C3551" s="113">
        <v>7053037</v>
      </c>
      <c r="D3551" s="113" t="s">
        <v>3093</v>
      </c>
      <c r="E3551" s="113" t="s">
        <v>1620</v>
      </c>
      <c r="F3551" s="113" t="s">
        <v>3093</v>
      </c>
      <c r="G3551" s="113" t="s">
        <v>3093</v>
      </c>
      <c r="H3551" s="161">
        <v>75.599999999999994</v>
      </c>
      <c r="I3551" s="161">
        <v>990</v>
      </c>
    </row>
    <row r="3552" spans="1:9">
      <c r="A3552" s="113">
        <v>100900268</v>
      </c>
      <c r="B3552" s="113" t="s">
        <v>6217</v>
      </c>
      <c r="C3552" s="113">
        <v>7053038</v>
      </c>
      <c r="D3552" s="113" t="s">
        <v>3093</v>
      </c>
      <c r="E3552" s="113" t="s">
        <v>1620</v>
      </c>
      <c r="F3552" s="113" t="s">
        <v>3093</v>
      </c>
      <c r="G3552" s="113" t="s">
        <v>3093</v>
      </c>
      <c r="H3552" s="161">
        <v>108</v>
      </c>
      <c r="I3552" s="161">
        <v>1170</v>
      </c>
    </row>
    <row r="3553" spans="1:9">
      <c r="A3553" s="113">
        <v>100900269</v>
      </c>
      <c r="B3553" s="113" t="s">
        <v>6218</v>
      </c>
      <c r="C3553" s="113">
        <v>7053039</v>
      </c>
      <c r="D3553" s="113" t="s">
        <v>3093</v>
      </c>
      <c r="E3553" s="113" t="s">
        <v>1620</v>
      </c>
      <c r="F3553" s="113" t="s">
        <v>3093</v>
      </c>
      <c r="G3553" s="113" t="s">
        <v>3093</v>
      </c>
      <c r="H3553" s="161">
        <v>131.86000000000001</v>
      </c>
      <c r="I3553" s="161">
        <v>360</v>
      </c>
    </row>
    <row r="3554" spans="1:9">
      <c r="A3554" s="113">
        <v>100900270</v>
      </c>
      <c r="B3554" s="113" t="s">
        <v>6219</v>
      </c>
      <c r="C3554" s="113">
        <v>7053041</v>
      </c>
      <c r="D3554" s="113" t="s">
        <v>3093</v>
      </c>
      <c r="E3554" s="113" t="s">
        <v>1620</v>
      </c>
      <c r="F3554" s="113" t="s">
        <v>3093</v>
      </c>
      <c r="G3554" s="113" t="s">
        <v>3093</v>
      </c>
      <c r="H3554" s="161">
        <v>26</v>
      </c>
      <c r="I3554" s="161">
        <v>4</v>
      </c>
    </row>
    <row r="3555" spans="1:9">
      <c r="A3555" s="113">
        <v>100900271</v>
      </c>
      <c r="B3555" s="113" t="s">
        <v>6220</v>
      </c>
      <c r="C3555" s="113">
        <v>7053042</v>
      </c>
      <c r="D3555" s="113" t="s">
        <v>3093</v>
      </c>
      <c r="E3555" s="113" t="s">
        <v>1620</v>
      </c>
      <c r="F3555" s="113" t="s">
        <v>3093</v>
      </c>
      <c r="G3555" s="113" t="s">
        <v>3093</v>
      </c>
      <c r="H3555" s="161">
        <v>26</v>
      </c>
      <c r="I3555" s="161">
        <v>12</v>
      </c>
    </row>
    <row r="3556" spans="1:9">
      <c r="A3556" s="113">
        <v>100900272</v>
      </c>
      <c r="B3556" s="113" t="s">
        <v>6221</v>
      </c>
      <c r="C3556" s="113">
        <v>7053044</v>
      </c>
      <c r="D3556" s="113" t="s">
        <v>3093</v>
      </c>
      <c r="E3556" s="113" t="s">
        <v>1620</v>
      </c>
      <c r="F3556" s="113" t="s">
        <v>3093</v>
      </c>
      <c r="G3556" s="113" t="s">
        <v>3093</v>
      </c>
      <c r="H3556" s="161">
        <v>26</v>
      </c>
      <c r="I3556" s="161">
        <v>1</v>
      </c>
    </row>
    <row r="3557" spans="1:9">
      <c r="A3557" s="113">
        <v>100900273</v>
      </c>
      <c r="B3557" s="113" t="s">
        <v>6222</v>
      </c>
      <c r="C3557" s="113">
        <v>7053045</v>
      </c>
      <c r="D3557" s="113" t="s">
        <v>3093</v>
      </c>
      <c r="E3557" s="113" t="s">
        <v>1620</v>
      </c>
      <c r="F3557" s="113" t="s">
        <v>3093</v>
      </c>
      <c r="G3557" s="113" t="s">
        <v>3093</v>
      </c>
      <c r="H3557" s="161">
        <v>26</v>
      </c>
      <c r="I3557" s="161">
        <v>6</v>
      </c>
    </row>
    <row r="3558" spans="1:9">
      <c r="A3558" s="113">
        <v>100900274</v>
      </c>
      <c r="B3558" s="113" t="s">
        <v>6223</v>
      </c>
      <c r="C3558" s="113">
        <v>7053047</v>
      </c>
      <c r="D3558" s="113" t="s">
        <v>3093</v>
      </c>
      <c r="E3558" s="113" t="s">
        <v>1620</v>
      </c>
      <c r="F3558" s="113" t="s">
        <v>3093</v>
      </c>
      <c r="G3558" s="113" t="s">
        <v>3093</v>
      </c>
      <c r="H3558" s="161">
        <v>0</v>
      </c>
      <c r="I3558" s="161" t="s">
        <v>7138</v>
      </c>
    </row>
    <row r="3559" spans="1:9">
      <c r="A3559" s="113">
        <v>100900275</v>
      </c>
      <c r="B3559" s="113" t="s">
        <v>6224</v>
      </c>
      <c r="C3559" s="113">
        <v>7053053</v>
      </c>
      <c r="D3559" s="113" t="s">
        <v>3093</v>
      </c>
      <c r="E3559" s="113" t="s">
        <v>1620</v>
      </c>
      <c r="F3559" s="113" t="s">
        <v>3093</v>
      </c>
      <c r="G3559" s="113" t="s">
        <v>3093</v>
      </c>
      <c r="H3559" s="161">
        <v>24.72</v>
      </c>
      <c r="I3559" s="161">
        <v>200</v>
      </c>
    </row>
    <row r="3560" spans="1:9">
      <c r="A3560" s="113">
        <v>100900276</v>
      </c>
      <c r="B3560" s="113" t="s">
        <v>6225</v>
      </c>
      <c r="C3560" s="113">
        <v>7053054</v>
      </c>
      <c r="D3560" s="113" t="s">
        <v>3093</v>
      </c>
      <c r="E3560" s="113" t="s">
        <v>1620</v>
      </c>
      <c r="F3560" s="113" t="s">
        <v>3093</v>
      </c>
      <c r="G3560" s="113" t="s">
        <v>3093</v>
      </c>
      <c r="H3560" s="161">
        <v>6.35</v>
      </c>
      <c r="I3560" s="161">
        <v>4</v>
      </c>
    </row>
    <row r="3561" spans="1:9">
      <c r="A3561" s="113">
        <v>100900277</v>
      </c>
      <c r="B3561" s="113" t="s">
        <v>6226</v>
      </c>
      <c r="C3561" s="113">
        <v>7053055</v>
      </c>
      <c r="D3561" s="113" t="s">
        <v>3093</v>
      </c>
      <c r="E3561" s="113" t="s">
        <v>1620</v>
      </c>
      <c r="F3561" s="113" t="s">
        <v>3093</v>
      </c>
      <c r="G3561" s="113" t="s">
        <v>3093</v>
      </c>
      <c r="H3561" s="161">
        <v>36.409999999999997</v>
      </c>
      <c r="I3561" s="161">
        <v>6</v>
      </c>
    </row>
    <row r="3562" spans="1:9">
      <c r="A3562" s="113">
        <v>100900278</v>
      </c>
      <c r="B3562" s="113" t="s">
        <v>6227</v>
      </c>
      <c r="C3562" s="113">
        <v>7053056</v>
      </c>
      <c r="D3562" s="113" t="s">
        <v>3093</v>
      </c>
      <c r="E3562" s="113" t="s">
        <v>1620</v>
      </c>
      <c r="F3562" s="113" t="s">
        <v>3093</v>
      </c>
      <c r="G3562" s="113" t="s">
        <v>3093</v>
      </c>
      <c r="H3562" s="161">
        <v>28.74</v>
      </c>
      <c r="I3562" s="161">
        <v>0</v>
      </c>
    </row>
    <row r="3563" spans="1:9">
      <c r="A3563" s="113">
        <v>100900279</v>
      </c>
      <c r="B3563" s="113" t="s">
        <v>6228</v>
      </c>
      <c r="C3563" s="113">
        <v>7053057</v>
      </c>
      <c r="D3563" s="113" t="s">
        <v>3093</v>
      </c>
      <c r="E3563" s="113" t="s">
        <v>1620</v>
      </c>
      <c r="F3563" s="113" t="s">
        <v>3093</v>
      </c>
      <c r="G3563" s="113" t="s">
        <v>3093</v>
      </c>
      <c r="H3563" s="161">
        <v>28.84</v>
      </c>
      <c r="I3563" s="161">
        <v>550</v>
      </c>
    </row>
    <row r="3564" spans="1:9">
      <c r="A3564" s="113">
        <v>100900280</v>
      </c>
      <c r="B3564" s="113" t="s">
        <v>6229</v>
      </c>
      <c r="C3564" s="113">
        <v>7053059</v>
      </c>
      <c r="D3564" s="113" t="s">
        <v>3093</v>
      </c>
      <c r="E3564" s="113" t="s">
        <v>1620</v>
      </c>
      <c r="F3564" s="113" t="s">
        <v>3093</v>
      </c>
      <c r="G3564" s="113" t="s">
        <v>3093</v>
      </c>
      <c r="H3564" s="161">
        <v>7.81</v>
      </c>
      <c r="I3564" s="161">
        <v>180</v>
      </c>
    </row>
    <row r="3565" spans="1:9">
      <c r="A3565" s="113">
        <v>100900281</v>
      </c>
      <c r="B3565" s="113" t="s">
        <v>6230</v>
      </c>
      <c r="C3565" s="113">
        <v>7053072</v>
      </c>
      <c r="D3565" s="113" t="s">
        <v>3093</v>
      </c>
      <c r="E3565" s="113" t="s">
        <v>1620</v>
      </c>
      <c r="F3565" s="113" t="s">
        <v>3093</v>
      </c>
      <c r="G3565" s="113" t="s">
        <v>3093</v>
      </c>
      <c r="H3565" s="161">
        <v>805.92</v>
      </c>
      <c r="I3565" s="161">
        <v>40</v>
      </c>
    </row>
    <row r="3566" spans="1:9">
      <c r="A3566" s="113">
        <v>100900282</v>
      </c>
      <c r="B3566" s="113" t="s">
        <v>6231</v>
      </c>
      <c r="C3566" s="113">
        <v>7053080</v>
      </c>
      <c r="D3566" s="113" t="s">
        <v>3093</v>
      </c>
      <c r="E3566" s="113" t="s">
        <v>1620</v>
      </c>
      <c r="F3566" s="113" t="s">
        <v>3093</v>
      </c>
      <c r="G3566" s="113" t="s">
        <v>3093</v>
      </c>
      <c r="H3566" s="161">
        <v>17.760000000000002</v>
      </c>
      <c r="I3566" s="161">
        <v>36</v>
      </c>
    </row>
    <row r="3567" spans="1:9">
      <c r="A3567" s="113">
        <v>100900283</v>
      </c>
      <c r="B3567" s="113" t="s">
        <v>6232</v>
      </c>
      <c r="C3567" s="113">
        <v>7053081</v>
      </c>
      <c r="D3567" s="113" t="s">
        <v>3093</v>
      </c>
      <c r="E3567" s="113" t="s">
        <v>1620</v>
      </c>
      <c r="F3567" s="113" t="s">
        <v>3093</v>
      </c>
      <c r="G3567" s="113" t="s">
        <v>3093</v>
      </c>
      <c r="H3567" s="161">
        <v>3.41</v>
      </c>
      <c r="I3567" s="161">
        <v>0</v>
      </c>
    </row>
    <row r="3568" spans="1:9">
      <c r="A3568" s="113">
        <v>100900284</v>
      </c>
      <c r="B3568" s="113" t="s">
        <v>6233</v>
      </c>
      <c r="C3568" s="113">
        <v>7053085</v>
      </c>
      <c r="D3568" s="113" t="s">
        <v>3093</v>
      </c>
      <c r="E3568" s="113" t="s">
        <v>1620</v>
      </c>
      <c r="F3568" s="113" t="s">
        <v>3093</v>
      </c>
      <c r="G3568" s="113" t="s">
        <v>3093</v>
      </c>
      <c r="H3568" s="161">
        <v>0</v>
      </c>
      <c r="I3568" s="161" t="s">
        <v>7138</v>
      </c>
    </row>
    <row r="3569" spans="1:9">
      <c r="A3569" s="113">
        <v>100900285</v>
      </c>
      <c r="B3569" s="113" t="s">
        <v>6234</v>
      </c>
      <c r="C3569" s="113">
        <v>7053086</v>
      </c>
      <c r="D3569" s="113" t="s">
        <v>3093</v>
      </c>
      <c r="E3569" s="113" t="s">
        <v>1620</v>
      </c>
      <c r="F3569" s="113" t="s">
        <v>3093</v>
      </c>
      <c r="G3569" s="113" t="s">
        <v>3093</v>
      </c>
      <c r="H3569" s="161">
        <v>12.5</v>
      </c>
      <c r="I3569" s="161">
        <v>30</v>
      </c>
    </row>
    <row r="3570" spans="1:9">
      <c r="A3570" s="113">
        <v>100900286</v>
      </c>
      <c r="B3570" s="113" t="s">
        <v>6235</v>
      </c>
      <c r="C3570" s="113">
        <v>7053089</v>
      </c>
      <c r="D3570" s="113" t="s">
        <v>3093</v>
      </c>
      <c r="E3570" s="113" t="s">
        <v>1620</v>
      </c>
      <c r="F3570" s="113" t="s">
        <v>3093</v>
      </c>
      <c r="G3570" s="113" t="s">
        <v>3093</v>
      </c>
      <c r="H3570" s="161">
        <v>30</v>
      </c>
      <c r="I3570" s="161">
        <v>12</v>
      </c>
    </row>
    <row r="3571" spans="1:9">
      <c r="A3571" s="113">
        <v>100900287</v>
      </c>
      <c r="B3571" s="113" t="s">
        <v>6236</v>
      </c>
      <c r="C3571" s="113">
        <v>7053090</v>
      </c>
      <c r="D3571" s="113" t="s">
        <v>3093</v>
      </c>
      <c r="E3571" s="113" t="s">
        <v>1620</v>
      </c>
      <c r="F3571" s="113" t="s">
        <v>3093</v>
      </c>
      <c r="G3571" s="113" t="s">
        <v>3093</v>
      </c>
      <c r="H3571" s="161">
        <v>24.77</v>
      </c>
      <c r="I3571" s="161">
        <v>3</v>
      </c>
    </row>
    <row r="3572" spans="1:9">
      <c r="A3572" s="113">
        <v>100900288</v>
      </c>
      <c r="B3572" s="113" t="s">
        <v>6237</v>
      </c>
      <c r="C3572" s="113">
        <v>7053091</v>
      </c>
      <c r="D3572" s="113" t="s">
        <v>3093</v>
      </c>
      <c r="E3572" s="113" t="s">
        <v>1620</v>
      </c>
      <c r="F3572" s="113" t="s">
        <v>3093</v>
      </c>
      <c r="G3572" s="113" t="s">
        <v>3093</v>
      </c>
      <c r="H3572" s="161">
        <v>0</v>
      </c>
      <c r="I3572" s="161" t="s">
        <v>7138</v>
      </c>
    </row>
    <row r="3573" spans="1:9">
      <c r="A3573" s="113">
        <v>100900289</v>
      </c>
      <c r="B3573" s="113" t="s">
        <v>6238</v>
      </c>
      <c r="C3573" s="113">
        <v>7053093</v>
      </c>
      <c r="D3573" s="113" t="s">
        <v>3093</v>
      </c>
      <c r="E3573" s="113" t="s">
        <v>1620</v>
      </c>
      <c r="F3573" s="113" t="s">
        <v>3093</v>
      </c>
      <c r="G3573" s="113" t="s">
        <v>3093</v>
      </c>
      <c r="H3573" s="161">
        <v>23.9</v>
      </c>
      <c r="I3573" s="161" t="s">
        <v>7138</v>
      </c>
    </row>
    <row r="3574" spans="1:9">
      <c r="A3574" s="113">
        <v>100900290</v>
      </c>
      <c r="B3574" s="113" t="s">
        <v>6239</v>
      </c>
      <c r="C3574" s="113">
        <v>7053094</v>
      </c>
      <c r="D3574" s="113" t="s">
        <v>3093</v>
      </c>
      <c r="E3574" s="113" t="s">
        <v>1620</v>
      </c>
      <c r="F3574" s="113" t="s">
        <v>3093</v>
      </c>
      <c r="G3574" s="113" t="s">
        <v>3093</v>
      </c>
      <c r="H3574" s="161">
        <v>26.74</v>
      </c>
      <c r="I3574" s="161">
        <v>5</v>
      </c>
    </row>
    <row r="3575" spans="1:9">
      <c r="A3575" s="113">
        <v>100900291</v>
      </c>
      <c r="B3575" s="113" t="s">
        <v>6240</v>
      </c>
      <c r="C3575" s="113">
        <v>7053098</v>
      </c>
      <c r="D3575" s="113" t="s">
        <v>3093</v>
      </c>
      <c r="E3575" s="113" t="s">
        <v>1620</v>
      </c>
      <c r="F3575" s="113" t="s">
        <v>3093</v>
      </c>
      <c r="G3575" s="113" t="s">
        <v>3093</v>
      </c>
      <c r="H3575" s="161">
        <v>26.74</v>
      </c>
      <c r="I3575" s="161">
        <v>1</v>
      </c>
    </row>
    <row r="3576" spans="1:9">
      <c r="A3576" s="113">
        <v>100900292</v>
      </c>
      <c r="B3576" s="113" t="s">
        <v>6241</v>
      </c>
      <c r="C3576" s="113">
        <v>7053101</v>
      </c>
      <c r="D3576" s="113" t="s">
        <v>3093</v>
      </c>
      <c r="E3576" s="113" t="s">
        <v>1620</v>
      </c>
      <c r="F3576" s="113" t="s">
        <v>3093</v>
      </c>
      <c r="G3576" s="113" t="s">
        <v>3093</v>
      </c>
      <c r="H3576" s="161">
        <v>12.42</v>
      </c>
      <c r="I3576" s="161" t="s">
        <v>7138</v>
      </c>
    </row>
    <row r="3577" spans="1:9">
      <c r="A3577" s="113">
        <v>100900293</v>
      </c>
      <c r="B3577" s="113" t="s">
        <v>6242</v>
      </c>
      <c r="C3577" s="113">
        <v>7053114</v>
      </c>
      <c r="D3577" s="113" t="s">
        <v>3093</v>
      </c>
      <c r="E3577" s="113" t="s">
        <v>1620</v>
      </c>
      <c r="F3577" s="113" t="s">
        <v>3093</v>
      </c>
      <c r="G3577" s="113" t="s">
        <v>3093</v>
      </c>
      <c r="H3577" s="161">
        <v>2.2999999999999998</v>
      </c>
      <c r="I3577" s="161" t="s">
        <v>7138</v>
      </c>
    </row>
    <row r="3578" spans="1:9">
      <c r="A3578" s="113">
        <v>100900294</v>
      </c>
      <c r="B3578" s="113" t="s">
        <v>6243</v>
      </c>
      <c r="C3578" s="113">
        <v>7053115</v>
      </c>
      <c r="D3578" s="113" t="s">
        <v>3093</v>
      </c>
      <c r="E3578" s="113" t="s">
        <v>1620</v>
      </c>
      <c r="F3578" s="113" t="s">
        <v>3093</v>
      </c>
      <c r="G3578" s="113" t="s">
        <v>3093</v>
      </c>
      <c r="H3578" s="161">
        <v>3.76</v>
      </c>
      <c r="I3578" s="161" t="s">
        <v>7138</v>
      </c>
    </row>
    <row r="3579" spans="1:9">
      <c r="A3579" s="113">
        <v>100900295</v>
      </c>
      <c r="B3579" s="113" t="s">
        <v>6244</v>
      </c>
      <c r="C3579" s="113">
        <v>7053117</v>
      </c>
      <c r="D3579" s="113" t="s">
        <v>3093</v>
      </c>
      <c r="E3579" s="113" t="s">
        <v>1620</v>
      </c>
      <c r="F3579" s="113" t="s">
        <v>3093</v>
      </c>
      <c r="G3579" s="113" t="s">
        <v>3093</v>
      </c>
      <c r="H3579" s="161">
        <v>0</v>
      </c>
      <c r="I3579" s="161" t="s">
        <v>7138</v>
      </c>
    </row>
    <row r="3580" spans="1:9">
      <c r="A3580" s="113">
        <v>100900296</v>
      </c>
      <c r="B3580" s="113" t="s">
        <v>6245</v>
      </c>
      <c r="C3580" s="113">
        <v>7053118</v>
      </c>
      <c r="D3580" s="113" t="s">
        <v>3093</v>
      </c>
      <c r="E3580" s="113" t="s">
        <v>1620</v>
      </c>
      <c r="F3580" s="113" t="s">
        <v>3093</v>
      </c>
      <c r="G3580" s="113" t="s">
        <v>3093</v>
      </c>
      <c r="H3580" s="161">
        <v>105</v>
      </c>
      <c r="I3580" s="161">
        <v>601</v>
      </c>
    </row>
    <row r="3581" spans="1:9">
      <c r="A3581" s="113">
        <v>100900297</v>
      </c>
      <c r="B3581" s="113" t="s">
        <v>6246</v>
      </c>
      <c r="C3581" s="113">
        <v>7053119</v>
      </c>
      <c r="D3581" s="113" t="s">
        <v>3093</v>
      </c>
      <c r="E3581" s="113" t="s">
        <v>1620</v>
      </c>
      <c r="F3581" s="113" t="s">
        <v>3093</v>
      </c>
      <c r="G3581" s="113" t="s">
        <v>3093</v>
      </c>
      <c r="H3581" s="161">
        <v>1060</v>
      </c>
      <c r="I3581" s="161">
        <v>6</v>
      </c>
    </row>
    <row r="3582" spans="1:9">
      <c r="A3582" s="113">
        <v>100900298</v>
      </c>
      <c r="B3582" s="113" t="s">
        <v>6247</v>
      </c>
      <c r="C3582" s="113">
        <v>7053120</v>
      </c>
      <c r="D3582" s="113" t="s">
        <v>3093</v>
      </c>
      <c r="E3582" s="113" t="s">
        <v>1620</v>
      </c>
      <c r="F3582" s="113" t="s">
        <v>3093</v>
      </c>
      <c r="G3582" s="113" t="s">
        <v>3093</v>
      </c>
      <c r="H3582" s="161">
        <v>13.3</v>
      </c>
      <c r="I3582" s="161">
        <v>144</v>
      </c>
    </row>
    <row r="3583" spans="1:9">
      <c r="A3583" s="113">
        <v>100900299</v>
      </c>
      <c r="B3583" s="113" t="s">
        <v>6248</v>
      </c>
      <c r="C3583" s="113">
        <v>7053121</v>
      </c>
      <c r="D3583" s="113" t="s">
        <v>3093</v>
      </c>
      <c r="E3583" s="113" t="s">
        <v>1620</v>
      </c>
      <c r="F3583" s="113" t="s">
        <v>3093</v>
      </c>
      <c r="G3583" s="113" t="s">
        <v>3093</v>
      </c>
      <c r="H3583" s="161">
        <v>1.1299999999999999</v>
      </c>
      <c r="I3583" s="161">
        <v>12</v>
      </c>
    </row>
    <row r="3584" spans="1:9">
      <c r="A3584" s="113">
        <v>100900300</v>
      </c>
      <c r="B3584" s="113" t="s">
        <v>6249</v>
      </c>
      <c r="C3584" s="113">
        <v>7053122</v>
      </c>
      <c r="D3584" s="113" t="s">
        <v>3093</v>
      </c>
      <c r="E3584" s="113" t="s">
        <v>1620</v>
      </c>
      <c r="F3584" s="113" t="s">
        <v>3093</v>
      </c>
      <c r="G3584" s="113" t="s">
        <v>3093</v>
      </c>
      <c r="H3584" s="161">
        <v>2.08</v>
      </c>
      <c r="I3584" s="161">
        <v>84</v>
      </c>
    </row>
    <row r="3585" spans="1:9">
      <c r="A3585" s="113">
        <v>100900301</v>
      </c>
      <c r="B3585" s="113" t="s">
        <v>6250</v>
      </c>
      <c r="C3585" s="113">
        <v>7053123</v>
      </c>
      <c r="D3585" s="113" t="s">
        <v>3093</v>
      </c>
      <c r="E3585" s="113" t="s">
        <v>1620</v>
      </c>
      <c r="F3585" s="113" t="s">
        <v>3093</v>
      </c>
      <c r="G3585" s="113" t="s">
        <v>3093</v>
      </c>
      <c r="H3585" s="161">
        <v>149.16</v>
      </c>
      <c r="I3585" s="161">
        <v>40</v>
      </c>
    </row>
    <row r="3586" spans="1:9">
      <c r="A3586" s="113">
        <v>100900302</v>
      </c>
      <c r="B3586" s="113" t="s">
        <v>6251</v>
      </c>
      <c r="C3586" s="113">
        <v>7053124</v>
      </c>
      <c r="D3586" s="113" t="s">
        <v>3093</v>
      </c>
      <c r="E3586" s="113" t="s">
        <v>1620</v>
      </c>
      <c r="F3586" s="113" t="s">
        <v>3093</v>
      </c>
      <c r="G3586" s="113" t="s">
        <v>3093</v>
      </c>
      <c r="H3586" s="161">
        <v>2.21</v>
      </c>
      <c r="I3586" s="161">
        <v>48</v>
      </c>
    </row>
    <row r="3587" spans="1:9">
      <c r="A3587" s="113">
        <v>100900303</v>
      </c>
      <c r="B3587" s="113" t="s">
        <v>6252</v>
      </c>
      <c r="C3587" s="113">
        <v>7053125</v>
      </c>
      <c r="D3587" s="113" t="s">
        <v>3093</v>
      </c>
      <c r="E3587" s="113" t="s">
        <v>1620</v>
      </c>
      <c r="F3587" s="113" t="s">
        <v>3093</v>
      </c>
      <c r="G3587" s="113" t="s">
        <v>3093</v>
      </c>
      <c r="H3587" s="161">
        <v>2.2400000000000002</v>
      </c>
      <c r="I3587" s="161">
        <v>12</v>
      </c>
    </row>
    <row r="3588" spans="1:9">
      <c r="A3588" s="113">
        <v>100900304</v>
      </c>
      <c r="B3588" s="113" t="s">
        <v>6253</v>
      </c>
      <c r="C3588" s="113">
        <v>7053126</v>
      </c>
      <c r="D3588" s="113" t="s">
        <v>3093</v>
      </c>
      <c r="E3588" s="113" t="s">
        <v>1620</v>
      </c>
      <c r="F3588" s="113" t="s">
        <v>3093</v>
      </c>
      <c r="G3588" s="113" t="s">
        <v>3093</v>
      </c>
      <c r="H3588" s="161">
        <v>2.3199999999999998</v>
      </c>
      <c r="I3588" s="161">
        <v>60</v>
      </c>
    </row>
    <row r="3589" spans="1:9">
      <c r="A3589" s="113">
        <v>100900305</v>
      </c>
      <c r="B3589" s="113" t="s">
        <v>6254</v>
      </c>
      <c r="C3589" s="113">
        <v>7053127</v>
      </c>
      <c r="D3589" s="113" t="s">
        <v>3093</v>
      </c>
      <c r="E3589" s="113" t="s">
        <v>1620</v>
      </c>
      <c r="F3589" s="113" t="s">
        <v>3093</v>
      </c>
      <c r="G3589" s="113" t="s">
        <v>3093</v>
      </c>
      <c r="H3589" s="161">
        <v>2.3330000000000002</v>
      </c>
      <c r="I3589" s="161">
        <v>60</v>
      </c>
    </row>
    <row r="3590" spans="1:9">
      <c r="A3590" s="113">
        <v>100900306</v>
      </c>
      <c r="B3590" s="113" t="s">
        <v>6255</v>
      </c>
      <c r="C3590" s="113">
        <v>7053128</v>
      </c>
      <c r="D3590" s="113" t="s">
        <v>3093</v>
      </c>
      <c r="E3590" s="113" t="s">
        <v>1620</v>
      </c>
      <c r="F3590" s="113" t="s">
        <v>3093</v>
      </c>
      <c r="G3590" s="113" t="s">
        <v>3093</v>
      </c>
      <c r="H3590" s="161">
        <v>2.62</v>
      </c>
      <c r="I3590" s="161">
        <v>60</v>
      </c>
    </row>
    <row r="3591" spans="1:9">
      <c r="A3591" s="113">
        <v>100900307</v>
      </c>
      <c r="B3591" s="113" t="s">
        <v>6256</v>
      </c>
      <c r="C3591" s="113">
        <v>7053129</v>
      </c>
      <c r="D3591" s="113" t="s">
        <v>3093</v>
      </c>
      <c r="E3591" s="113" t="s">
        <v>1620</v>
      </c>
      <c r="F3591" s="113" t="s">
        <v>3093</v>
      </c>
      <c r="G3591" s="113" t="s">
        <v>3093</v>
      </c>
      <c r="H3591" s="161">
        <v>2.99</v>
      </c>
      <c r="I3591" s="161">
        <v>68</v>
      </c>
    </row>
    <row r="3592" spans="1:9">
      <c r="A3592" s="113">
        <v>100900308</v>
      </c>
      <c r="B3592" s="113" t="s">
        <v>6257</v>
      </c>
      <c r="C3592" s="113">
        <v>7053130</v>
      </c>
      <c r="D3592" s="113" t="s">
        <v>3093</v>
      </c>
      <c r="E3592" s="113" t="s">
        <v>1620</v>
      </c>
      <c r="F3592" s="113" t="s">
        <v>3093</v>
      </c>
      <c r="G3592" s="113" t="s">
        <v>3093</v>
      </c>
      <c r="H3592" s="161">
        <v>4.18</v>
      </c>
      <c r="I3592" s="161">
        <v>9</v>
      </c>
    </row>
    <row r="3593" spans="1:9">
      <c r="A3593" s="113">
        <v>100900309</v>
      </c>
      <c r="B3593" s="113" t="s">
        <v>6258</v>
      </c>
      <c r="C3593" s="113">
        <v>7053131</v>
      </c>
      <c r="D3593" s="113" t="s">
        <v>3093</v>
      </c>
      <c r="E3593" s="113" t="s">
        <v>1620</v>
      </c>
      <c r="F3593" s="113" t="s">
        <v>3093</v>
      </c>
      <c r="G3593" s="113" t="s">
        <v>3093</v>
      </c>
      <c r="H3593" s="161">
        <v>51.93</v>
      </c>
      <c r="I3593" s="161">
        <v>3</v>
      </c>
    </row>
    <row r="3594" spans="1:9">
      <c r="A3594" s="113">
        <v>100900310</v>
      </c>
      <c r="B3594" s="113" t="s">
        <v>6259</v>
      </c>
      <c r="C3594" s="113">
        <v>7053132</v>
      </c>
      <c r="D3594" s="113" t="s">
        <v>3093</v>
      </c>
      <c r="E3594" s="113" t="s">
        <v>1620</v>
      </c>
      <c r="F3594" s="113" t="s">
        <v>3093</v>
      </c>
      <c r="G3594" s="113" t="s">
        <v>3093</v>
      </c>
      <c r="H3594" s="161">
        <v>5.4</v>
      </c>
      <c r="I3594" s="161">
        <v>45</v>
      </c>
    </row>
    <row r="3595" spans="1:9">
      <c r="A3595" s="113">
        <v>100900311</v>
      </c>
      <c r="B3595" s="113" t="s">
        <v>6260</v>
      </c>
      <c r="C3595" s="113">
        <v>7053133</v>
      </c>
      <c r="D3595" s="113" t="s">
        <v>3093</v>
      </c>
      <c r="E3595" s="113" t="s">
        <v>1620</v>
      </c>
      <c r="F3595" s="113" t="s">
        <v>3093</v>
      </c>
      <c r="G3595" s="113" t="s">
        <v>3093</v>
      </c>
      <c r="H3595" s="161">
        <v>6.92</v>
      </c>
      <c r="I3595" s="161">
        <v>4</v>
      </c>
    </row>
    <row r="3596" spans="1:9">
      <c r="A3596" s="113">
        <v>100900312</v>
      </c>
      <c r="B3596" s="113" t="s">
        <v>6261</v>
      </c>
      <c r="C3596" s="113">
        <v>7053134</v>
      </c>
      <c r="D3596" s="113" t="s">
        <v>3093</v>
      </c>
      <c r="E3596" s="113" t="s">
        <v>1620</v>
      </c>
      <c r="F3596" s="113" t="s">
        <v>3093</v>
      </c>
      <c r="G3596" s="113" t="s">
        <v>3093</v>
      </c>
      <c r="H3596" s="161">
        <v>6.96</v>
      </c>
      <c r="I3596" s="161">
        <v>21</v>
      </c>
    </row>
    <row r="3597" spans="1:9">
      <c r="A3597" s="113">
        <v>100900313</v>
      </c>
      <c r="B3597" s="113" t="s">
        <v>6262</v>
      </c>
      <c r="C3597" s="113">
        <v>7053135</v>
      </c>
      <c r="D3597" s="113" t="s">
        <v>3093</v>
      </c>
      <c r="E3597" s="113" t="s">
        <v>1620</v>
      </c>
      <c r="F3597" s="113" t="s">
        <v>3093</v>
      </c>
      <c r="G3597" s="113" t="s">
        <v>3093</v>
      </c>
      <c r="H3597" s="161">
        <v>4.2</v>
      </c>
      <c r="I3597" s="161">
        <v>432</v>
      </c>
    </row>
    <row r="3598" spans="1:9">
      <c r="A3598" s="113">
        <v>100900314</v>
      </c>
      <c r="B3598" s="113" t="s">
        <v>6263</v>
      </c>
      <c r="C3598" s="113">
        <v>7053136</v>
      </c>
      <c r="D3598" s="113" t="s">
        <v>3093</v>
      </c>
      <c r="E3598" s="113" t="s">
        <v>1620</v>
      </c>
      <c r="F3598" s="113" t="s">
        <v>3093</v>
      </c>
      <c r="G3598" s="113" t="s">
        <v>3093</v>
      </c>
      <c r="H3598" s="161">
        <v>2.59</v>
      </c>
      <c r="I3598" s="161">
        <v>13</v>
      </c>
    </row>
    <row r="3599" spans="1:9">
      <c r="A3599" s="113">
        <v>100900315</v>
      </c>
      <c r="B3599" s="113" t="s">
        <v>6264</v>
      </c>
      <c r="C3599" s="113">
        <v>7053137</v>
      </c>
      <c r="D3599" s="113" t="s">
        <v>3093</v>
      </c>
      <c r="E3599" s="113" t="s">
        <v>1620</v>
      </c>
      <c r="F3599" s="113" t="s">
        <v>3093</v>
      </c>
      <c r="G3599" s="113" t="s">
        <v>3093</v>
      </c>
      <c r="H3599" s="161">
        <v>10.71</v>
      </c>
      <c r="I3599" s="161">
        <v>26</v>
      </c>
    </row>
    <row r="3600" spans="1:9">
      <c r="A3600" s="113">
        <v>100900316</v>
      </c>
      <c r="B3600" s="113" t="s">
        <v>6265</v>
      </c>
      <c r="C3600" s="113">
        <v>7053138</v>
      </c>
      <c r="D3600" s="113" t="s">
        <v>3093</v>
      </c>
      <c r="E3600" s="113" t="s">
        <v>1620</v>
      </c>
      <c r="F3600" s="113" t="s">
        <v>3093</v>
      </c>
      <c r="G3600" s="113" t="s">
        <v>3093</v>
      </c>
      <c r="H3600" s="161">
        <v>23.24</v>
      </c>
      <c r="I3600" s="161">
        <v>240</v>
      </c>
    </row>
    <row r="3601" spans="1:9">
      <c r="A3601" s="113">
        <v>100900317</v>
      </c>
      <c r="B3601" s="113" t="s">
        <v>6266</v>
      </c>
      <c r="C3601" s="113">
        <v>7053139</v>
      </c>
      <c r="D3601" s="113" t="s">
        <v>3093</v>
      </c>
      <c r="E3601" s="113" t="s">
        <v>1620</v>
      </c>
      <c r="F3601" s="113" t="s">
        <v>3093</v>
      </c>
      <c r="G3601" s="113" t="s">
        <v>3093</v>
      </c>
      <c r="H3601" s="161">
        <v>17.760000000000002</v>
      </c>
      <c r="I3601" s="161">
        <v>144</v>
      </c>
    </row>
    <row r="3602" spans="1:9">
      <c r="A3602" s="113">
        <v>100900318</v>
      </c>
      <c r="B3602" s="113" t="s">
        <v>6267</v>
      </c>
      <c r="C3602" s="113">
        <v>7053140</v>
      </c>
      <c r="D3602" s="113" t="s">
        <v>3093</v>
      </c>
      <c r="E3602" s="113" t="s">
        <v>1620</v>
      </c>
      <c r="F3602" s="113" t="s">
        <v>3093</v>
      </c>
      <c r="G3602" s="113" t="s">
        <v>3093</v>
      </c>
      <c r="H3602" s="161">
        <v>72.14</v>
      </c>
      <c r="I3602" s="161">
        <v>288</v>
      </c>
    </row>
    <row r="3603" spans="1:9">
      <c r="A3603" s="113">
        <v>100900319</v>
      </c>
      <c r="B3603" s="113" t="s">
        <v>6268</v>
      </c>
      <c r="C3603" s="113">
        <v>7053141</v>
      </c>
      <c r="D3603" s="113" t="s">
        <v>3093</v>
      </c>
      <c r="E3603" s="113" t="s">
        <v>1620</v>
      </c>
      <c r="F3603" s="113" t="s">
        <v>3093</v>
      </c>
      <c r="G3603" s="113" t="s">
        <v>3093</v>
      </c>
      <c r="H3603" s="161">
        <v>6.96</v>
      </c>
      <c r="I3603" s="161">
        <v>288</v>
      </c>
    </row>
    <row r="3604" spans="1:9">
      <c r="A3604" s="113">
        <v>100900320</v>
      </c>
      <c r="B3604" s="113" t="s">
        <v>6269</v>
      </c>
      <c r="C3604" s="113">
        <v>7053142</v>
      </c>
      <c r="D3604" s="113" t="s">
        <v>3093</v>
      </c>
      <c r="E3604" s="113" t="s">
        <v>1620</v>
      </c>
      <c r="F3604" s="113" t="s">
        <v>3093</v>
      </c>
      <c r="G3604" s="113" t="s">
        <v>3093</v>
      </c>
      <c r="H3604" s="161">
        <v>90</v>
      </c>
      <c r="I3604" s="161">
        <v>288</v>
      </c>
    </row>
    <row r="3605" spans="1:9">
      <c r="A3605" s="113">
        <v>100900321</v>
      </c>
      <c r="B3605" s="113" t="s">
        <v>6270</v>
      </c>
      <c r="C3605" s="113">
        <v>7053143</v>
      </c>
      <c r="D3605" s="113" t="s">
        <v>3093</v>
      </c>
      <c r="E3605" s="113" t="s">
        <v>1620</v>
      </c>
      <c r="F3605" s="113" t="s">
        <v>3093</v>
      </c>
      <c r="G3605" s="113" t="s">
        <v>3093</v>
      </c>
      <c r="H3605" s="161">
        <v>17.760000000000002</v>
      </c>
      <c r="I3605" s="161">
        <v>144</v>
      </c>
    </row>
    <row r="3606" spans="1:9">
      <c r="A3606" s="113">
        <v>100900322</v>
      </c>
      <c r="B3606" s="113" t="s">
        <v>6271</v>
      </c>
      <c r="C3606" s="113">
        <v>7053144</v>
      </c>
      <c r="D3606" s="113" t="s">
        <v>3093</v>
      </c>
      <c r="E3606" s="113" t="s">
        <v>1620</v>
      </c>
      <c r="F3606" s="113" t="s">
        <v>3093</v>
      </c>
      <c r="G3606" s="113" t="s">
        <v>3093</v>
      </c>
      <c r="H3606" s="161">
        <v>6.96</v>
      </c>
      <c r="I3606" s="161">
        <v>288</v>
      </c>
    </row>
    <row r="3607" spans="1:9">
      <c r="A3607" s="113">
        <v>100900323</v>
      </c>
      <c r="B3607" s="113" t="s">
        <v>6272</v>
      </c>
      <c r="C3607" s="113">
        <v>7053145</v>
      </c>
      <c r="D3607" s="113" t="s">
        <v>3093</v>
      </c>
      <c r="E3607" s="113" t="s">
        <v>1620</v>
      </c>
      <c r="F3607" s="113" t="s">
        <v>3093</v>
      </c>
      <c r="G3607" s="113" t="s">
        <v>3093</v>
      </c>
      <c r="H3607" s="161">
        <v>10.15</v>
      </c>
      <c r="I3607" s="161">
        <v>288</v>
      </c>
    </row>
    <row r="3608" spans="1:9">
      <c r="A3608" s="113">
        <v>100900324</v>
      </c>
      <c r="B3608" s="113" t="s">
        <v>6273</v>
      </c>
      <c r="C3608" s="113">
        <v>7053146</v>
      </c>
      <c r="D3608" s="113" t="s">
        <v>3093</v>
      </c>
      <c r="E3608" s="113" t="s">
        <v>1620</v>
      </c>
      <c r="F3608" s="113" t="s">
        <v>3093</v>
      </c>
      <c r="G3608" s="113" t="s">
        <v>3093</v>
      </c>
      <c r="H3608" s="161">
        <v>17.760000000000002</v>
      </c>
      <c r="I3608" s="161">
        <v>288</v>
      </c>
    </row>
    <row r="3609" spans="1:9">
      <c r="A3609" s="113">
        <v>100900325</v>
      </c>
      <c r="B3609" s="113" t="s">
        <v>6274</v>
      </c>
      <c r="C3609" s="113">
        <v>7053147</v>
      </c>
      <c r="D3609" s="113" t="s">
        <v>3093</v>
      </c>
      <c r="E3609" s="113" t="s">
        <v>1620</v>
      </c>
      <c r="F3609" s="113" t="s">
        <v>3093</v>
      </c>
      <c r="G3609" s="113" t="s">
        <v>3093</v>
      </c>
      <c r="H3609" s="161">
        <v>7.75</v>
      </c>
      <c r="I3609" s="161">
        <v>288</v>
      </c>
    </row>
    <row r="3610" spans="1:9">
      <c r="A3610" s="113">
        <v>100900326</v>
      </c>
      <c r="B3610" s="113" t="s">
        <v>6275</v>
      </c>
      <c r="C3610" s="113">
        <v>7053148</v>
      </c>
      <c r="D3610" s="113" t="s">
        <v>3093</v>
      </c>
      <c r="E3610" s="113" t="s">
        <v>1620</v>
      </c>
      <c r="F3610" s="113" t="s">
        <v>3093</v>
      </c>
      <c r="G3610" s="113" t="s">
        <v>3093</v>
      </c>
      <c r="H3610" s="161">
        <v>17.760000000000002</v>
      </c>
      <c r="I3610" s="161">
        <v>144</v>
      </c>
    </row>
    <row r="3611" spans="1:9">
      <c r="A3611" s="113">
        <v>100900327</v>
      </c>
      <c r="B3611" s="113" t="s">
        <v>6276</v>
      </c>
      <c r="C3611" s="113">
        <v>7053149</v>
      </c>
      <c r="D3611" s="113" t="s">
        <v>3093</v>
      </c>
      <c r="E3611" s="113" t="s">
        <v>1620</v>
      </c>
      <c r="F3611" s="113" t="s">
        <v>3093</v>
      </c>
      <c r="G3611" s="113" t="s">
        <v>3093</v>
      </c>
      <c r="H3611" s="161">
        <v>1060</v>
      </c>
      <c r="I3611" s="161" t="s">
        <v>7138</v>
      </c>
    </row>
    <row r="3612" spans="1:9">
      <c r="A3612" s="113">
        <v>100900328</v>
      </c>
      <c r="B3612" s="113" t="s">
        <v>6277</v>
      </c>
      <c r="C3612" s="113">
        <v>7053150</v>
      </c>
      <c r="D3612" s="113" t="s">
        <v>3093</v>
      </c>
      <c r="E3612" s="113" t="s">
        <v>1620</v>
      </c>
      <c r="F3612" s="113" t="s">
        <v>3093</v>
      </c>
      <c r="G3612" s="113" t="s">
        <v>3093</v>
      </c>
      <c r="H3612" s="161">
        <v>1060</v>
      </c>
      <c r="I3612" s="161" t="s">
        <v>7138</v>
      </c>
    </row>
    <row r="3613" spans="1:9">
      <c r="A3613" s="113">
        <v>100900329</v>
      </c>
      <c r="B3613" s="113" t="s">
        <v>6278</v>
      </c>
      <c r="C3613" s="113">
        <v>7053151</v>
      </c>
      <c r="D3613" s="113" t="s">
        <v>3093</v>
      </c>
      <c r="E3613" s="113" t="s">
        <v>1620</v>
      </c>
      <c r="F3613" s="113" t="s">
        <v>3093</v>
      </c>
      <c r="G3613" s="113" t="s">
        <v>3093</v>
      </c>
      <c r="H3613" s="161">
        <v>0</v>
      </c>
      <c r="I3613" s="161" t="s">
        <v>7138</v>
      </c>
    </row>
    <row r="3614" spans="1:9">
      <c r="A3614" s="113">
        <v>100900330</v>
      </c>
      <c r="B3614" s="113" t="s">
        <v>6279</v>
      </c>
      <c r="C3614" s="113">
        <v>7054076</v>
      </c>
      <c r="D3614" s="113" t="s">
        <v>3093</v>
      </c>
      <c r="E3614" s="113" t="s">
        <v>1620</v>
      </c>
      <c r="F3614" s="113" t="s">
        <v>3093</v>
      </c>
      <c r="G3614" s="113" t="s">
        <v>3093</v>
      </c>
      <c r="H3614" s="161">
        <v>0</v>
      </c>
      <c r="I3614" s="161" t="s">
        <v>7138</v>
      </c>
    </row>
    <row r="3615" spans="1:9">
      <c r="A3615" s="113">
        <v>100900331</v>
      </c>
      <c r="B3615" s="113" t="s">
        <v>6280</v>
      </c>
      <c r="C3615" s="113">
        <v>7054077</v>
      </c>
      <c r="D3615" s="113" t="s">
        <v>3093</v>
      </c>
      <c r="E3615" s="113" t="s">
        <v>1620</v>
      </c>
      <c r="F3615" s="113" t="s">
        <v>3093</v>
      </c>
      <c r="G3615" s="113" t="s">
        <v>3093</v>
      </c>
      <c r="H3615" s="161">
        <v>0</v>
      </c>
      <c r="I3615" s="161" t="s">
        <v>7138</v>
      </c>
    </row>
    <row r="3616" spans="1:9">
      <c r="A3616" s="113">
        <v>100900332</v>
      </c>
      <c r="B3616" s="113" t="s">
        <v>6281</v>
      </c>
      <c r="C3616" s="113">
        <v>7054078</v>
      </c>
      <c r="D3616" s="113" t="s">
        <v>3093</v>
      </c>
      <c r="E3616" s="113" t="s">
        <v>1620</v>
      </c>
      <c r="F3616" s="113" t="s">
        <v>3093</v>
      </c>
      <c r="G3616" s="113" t="s">
        <v>3093</v>
      </c>
      <c r="H3616" s="161">
        <v>0</v>
      </c>
      <c r="I3616" s="161" t="s">
        <v>7138</v>
      </c>
    </row>
    <row r="3617" spans="1:9">
      <c r="A3617" s="113">
        <v>100900333</v>
      </c>
      <c r="B3617" s="113" t="s">
        <v>6282</v>
      </c>
      <c r="C3617" s="113">
        <v>7054081</v>
      </c>
      <c r="D3617" s="113" t="s">
        <v>3093</v>
      </c>
      <c r="E3617" s="113" t="s">
        <v>1620</v>
      </c>
      <c r="F3617" s="113" t="s">
        <v>3093</v>
      </c>
      <c r="G3617" s="113" t="s">
        <v>3093</v>
      </c>
      <c r="H3617" s="161">
        <v>950</v>
      </c>
      <c r="I3617" s="161">
        <v>4</v>
      </c>
    </row>
    <row r="3618" spans="1:9">
      <c r="A3618" s="113">
        <v>100900334</v>
      </c>
      <c r="B3618" s="113" t="s">
        <v>3050</v>
      </c>
      <c r="C3618" s="113">
        <v>7060040</v>
      </c>
      <c r="D3618" s="113" t="s">
        <v>3093</v>
      </c>
      <c r="E3618" s="113" t="s">
        <v>1620</v>
      </c>
      <c r="F3618" s="113" t="s">
        <v>3093</v>
      </c>
      <c r="G3618" s="113" t="s">
        <v>3093</v>
      </c>
      <c r="H3618" s="161">
        <v>0</v>
      </c>
      <c r="I3618" s="161" t="s">
        <v>7138</v>
      </c>
    </row>
    <row r="3619" spans="1:9">
      <c r="A3619" s="113">
        <v>100900335</v>
      </c>
      <c r="B3619" s="113" t="s">
        <v>6283</v>
      </c>
      <c r="C3619" s="113">
        <v>7061033</v>
      </c>
      <c r="D3619" s="113" t="s">
        <v>3093</v>
      </c>
      <c r="E3619" s="113" t="s">
        <v>1620</v>
      </c>
      <c r="F3619" s="113" t="s">
        <v>3093</v>
      </c>
      <c r="G3619" s="113" t="s">
        <v>3093</v>
      </c>
      <c r="H3619" s="161">
        <v>0</v>
      </c>
      <c r="I3619" s="161" t="s">
        <v>7138</v>
      </c>
    </row>
    <row r="3620" spans="1:9">
      <c r="A3620" s="113">
        <v>100900336</v>
      </c>
      <c r="B3620" s="113" t="s">
        <v>6284</v>
      </c>
      <c r="C3620" s="113">
        <v>7061034</v>
      </c>
      <c r="D3620" s="113" t="s">
        <v>3093</v>
      </c>
      <c r="E3620" s="113" t="s">
        <v>1620</v>
      </c>
      <c r="F3620" s="113" t="s">
        <v>3093</v>
      </c>
      <c r="G3620" s="113" t="s">
        <v>3093</v>
      </c>
      <c r="H3620" s="161">
        <v>0</v>
      </c>
      <c r="I3620" s="161" t="s">
        <v>7138</v>
      </c>
    </row>
    <row r="3621" spans="1:9">
      <c r="A3621" s="113">
        <v>100900337</v>
      </c>
      <c r="B3621" s="113" t="s">
        <v>6285</v>
      </c>
      <c r="C3621" s="113">
        <v>7061071</v>
      </c>
      <c r="D3621" s="113" t="s">
        <v>3093</v>
      </c>
      <c r="E3621" s="113" t="s">
        <v>1620</v>
      </c>
      <c r="F3621" s="113" t="s">
        <v>3093</v>
      </c>
      <c r="G3621" s="113" t="s">
        <v>3093</v>
      </c>
      <c r="H3621" s="161">
        <v>0</v>
      </c>
      <c r="I3621" s="161" t="s">
        <v>7138</v>
      </c>
    </row>
    <row r="3622" spans="1:9">
      <c r="A3622" s="113">
        <v>100900338</v>
      </c>
      <c r="B3622" s="113" t="s">
        <v>6286</v>
      </c>
      <c r="C3622" s="113">
        <v>7061077</v>
      </c>
      <c r="D3622" s="113" t="s">
        <v>3093</v>
      </c>
      <c r="E3622" s="113" t="s">
        <v>1620</v>
      </c>
      <c r="F3622" s="113" t="s">
        <v>3093</v>
      </c>
      <c r="G3622" s="113" t="s">
        <v>3093</v>
      </c>
      <c r="H3622" s="161">
        <v>0</v>
      </c>
      <c r="I3622" s="161" t="s">
        <v>7138</v>
      </c>
    </row>
    <row r="3623" spans="1:9">
      <c r="A3623" s="113">
        <v>100900339</v>
      </c>
      <c r="B3623" s="113" t="s">
        <v>6287</v>
      </c>
      <c r="C3623" s="113">
        <v>7061078</v>
      </c>
      <c r="D3623" s="113" t="s">
        <v>3093</v>
      </c>
      <c r="E3623" s="113" t="s">
        <v>1620</v>
      </c>
      <c r="F3623" s="113" t="s">
        <v>3093</v>
      </c>
      <c r="G3623" s="113" t="s">
        <v>3093</v>
      </c>
      <c r="H3623" s="161">
        <v>0</v>
      </c>
      <c r="I3623" s="161" t="s">
        <v>7138</v>
      </c>
    </row>
    <row r="3624" spans="1:9">
      <c r="A3624" s="113">
        <v>100900340</v>
      </c>
      <c r="B3624" s="113" t="s">
        <v>6288</v>
      </c>
      <c r="C3624" s="113">
        <v>7061079</v>
      </c>
      <c r="D3624" s="113" t="s">
        <v>3093</v>
      </c>
      <c r="E3624" s="113" t="s">
        <v>1620</v>
      </c>
      <c r="F3624" s="113" t="s">
        <v>3093</v>
      </c>
      <c r="G3624" s="113" t="s">
        <v>3093</v>
      </c>
      <c r="H3624" s="161">
        <v>0</v>
      </c>
      <c r="I3624" s="161" t="s">
        <v>7138</v>
      </c>
    </row>
    <row r="3625" spans="1:9">
      <c r="A3625" s="113">
        <v>100900341</v>
      </c>
      <c r="B3625" s="113" t="s">
        <v>6289</v>
      </c>
      <c r="C3625" s="113">
        <v>7061080</v>
      </c>
      <c r="D3625" s="113" t="s">
        <v>3093</v>
      </c>
      <c r="E3625" s="113" t="s">
        <v>1620</v>
      </c>
      <c r="F3625" s="113" t="s">
        <v>3093</v>
      </c>
      <c r="G3625" s="113" t="s">
        <v>3093</v>
      </c>
      <c r="H3625" s="161">
        <v>0</v>
      </c>
      <c r="I3625" s="161" t="s">
        <v>7138</v>
      </c>
    </row>
    <row r="3626" spans="1:9">
      <c r="A3626" s="113">
        <v>100900342</v>
      </c>
      <c r="B3626" s="113" t="s">
        <v>6290</v>
      </c>
      <c r="C3626" s="113">
        <v>7061081</v>
      </c>
      <c r="D3626" s="113" t="s">
        <v>3093</v>
      </c>
      <c r="E3626" s="113" t="s">
        <v>1620</v>
      </c>
      <c r="F3626" s="113" t="s">
        <v>3093</v>
      </c>
      <c r="G3626" s="113" t="s">
        <v>3093</v>
      </c>
      <c r="H3626" s="161">
        <v>0</v>
      </c>
      <c r="I3626" s="161" t="s">
        <v>7138</v>
      </c>
    </row>
    <row r="3627" spans="1:9">
      <c r="A3627" s="113">
        <v>100900343</v>
      </c>
      <c r="B3627" s="113" t="s">
        <v>6291</v>
      </c>
      <c r="C3627" s="113">
        <v>7061083</v>
      </c>
      <c r="D3627" s="113" t="s">
        <v>3093</v>
      </c>
      <c r="E3627" s="113" t="s">
        <v>1620</v>
      </c>
      <c r="F3627" s="113" t="s">
        <v>3093</v>
      </c>
      <c r="G3627" s="113" t="s">
        <v>3093</v>
      </c>
      <c r="H3627" s="161">
        <v>0</v>
      </c>
      <c r="I3627" s="161" t="s">
        <v>7138</v>
      </c>
    </row>
    <row r="3628" spans="1:9">
      <c r="A3628" s="113">
        <v>100900344</v>
      </c>
      <c r="B3628" s="113" t="s">
        <v>6292</v>
      </c>
      <c r="C3628" s="113">
        <v>7061085</v>
      </c>
      <c r="D3628" s="113" t="s">
        <v>3093</v>
      </c>
      <c r="E3628" s="113" t="s">
        <v>1620</v>
      </c>
      <c r="F3628" s="113" t="s">
        <v>3093</v>
      </c>
      <c r="G3628" s="113" t="s">
        <v>3093</v>
      </c>
      <c r="H3628" s="161">
        <v>0</v>
      </c>
      <c r="I3628" s="161" t="s">
        <v>7138</v>
      </c>
    </row>
    <row r="3629" spans="1:9">
      <c r="A3629" s="113">
        <v>100900345</v>
      </c>
      <c r="B3629" s="113" t="s">
        <v>6293</v>
      </c>
      <c r="C3629" s="113">
        <v>7061086</v>
      </c>
      <c r="D3629" s="113" t="s">
        <v>3093</v>
      </c>
      <c r="E3629" s="113" t="s">
        <v>1620</v>
      </c>
      <c r="F3629" s="113" t="s">
        <v>3093</v>
      </c>
      <c r="G3629" s="113" t="s">
        <v>3093</v>
      </c>
      <c r="H3629" s="161">
        <v>0</v>
      </c>
      <c r="I3629" s="161" t="s">
        <v>7138</v>
      </c>
    </row>
    <row r="3630" spans="1:9">
      <c r="A3630" s="113">
        <v>100900346</v>
      </c>
      <c r="B3630" s="113" t="s">
        <v>6294</v>
      </c>
      <c r="C3630" s="113">
        <v>7061093</v>
      </c>
      <c r="D3630" s="113" t="s">
        <v>3093</v>
      </c>
      <c r="E3630" s="113" t="s">
        <v>1620</v>
      </c>
      <c r="F3630" s="113" t="s">
        <v>3093</v>
      </c>
      <c r="G3630" s="113" t="s">
        <v>3093</v>
      </c>
      <c r="H3630" s="161">
        <v>0</v>
      </c>
      <c r="I3630" s="161" t="s">
        <v>7138</v>
      </c>
    </row>
    <row r="3631" spans="1:9">
      <c r="A3631" s="113">
        <v>100900347</v>
      </c>
      <c r="B3631" s="113" t="s">
        <v>6295</v>
      </c>
      <c r="C3631" s="113">
        <v>7061094</v>
      </c>
      <c r="D3631" s="113" t="s">
        <v>3093</v>
      </c>
      <c r="E3631" s="113" t="s">
        <v>1620</v>
      </c>
      <c r="F3631" s="113" t="s">
        <v>3093</v>
      </c>
      <c r="G3631" s="113" t="s">
        <v>3093</v>
      </c>
      <c r="H3631" s="161">
        <v>450</v>
      </c>
      <c r="I3631" s="161">
        <v>12</v>
      </c>
    </row>
    <row r="3632" spans="1:9">
      <c r="A3632" s="113">
        <v>100900348</v>
      </c>
      <c r="B3632" s="113" t="s">
        <v>3051</v>
      </c>
      <c r="C3632" s="113">
        <v>7061110</v>
      </c>
      <c r="D3632" s="113" t="s">
        <v>3093</v>
      </c>
      <c r="E3632" s="113" t="s">
        <v>1620</v>
      </c>
      <c r="F3632" s="113" t="s">
        <v>3093</v>
      </c>
      <c r="G3632" s="113" t="s">
        <v>3093</v>
      </c>
      <c r="H3632" s="161">
        <v>0</v>
      </c>
      <c r="I3632" s="161" t="s">
        <v>7138</v>
      </c>
    </row>
    <row r="3633" spans="1:9">
      <c r="A3633" s="113">
        <v>100900349</v>
      </c>
      <c r="B3633" s="113" t="s">
        <v>6296</v>
      </c>
      <c r="C3633" s="113">
        <v>7062225</v>
      </c>
      <c r="D3633" s="113" t="s">
        <v>3093</v>
      </c>
      <c r="E3633" s="113" t="s">
        <v>1620</v>
      </c>
      <c r="F3633" s="113" t="s">
        <v>3093</v>
      </c>
      <c r="G3633" s="113" t="s">
        <v>3093</v>
      </c>
      <c r="H3633" s="161">
        <v>519.99</v>
      </c>
      <c r="I3633" s="161">
        <v>10</v>
      </c>
    </row>
    <row r="3634" spans="1:9">
      <c r="A3634" s="113">
        <v>100900350</v>
      </c>
      <c r="B3634" s="113" t="s">
        <v>6297</v>
      </c>
      <c r="C3634" s="113">
        <v>7062230</v>
      </c>
      <c r="D3634" s="113" t="s">
        <v>3093</v>
      </c>
      <c r="E3634" s="113" t="s">
        <v>1620</v>
      </c>
      <c r="F3634" s="113" t="s">
        <v>3093</v>
      </c>
      <c r="G3634" s="113" t="s">
        <v>3093</v>
      </c>
      <c r="H3634" s="161">
        <v>22.6</v>
      </c>
      <c r="I3634" s="161">
        <v>6</v>
      </c>
    </row>
    <row r="3635" spans="1:9">
      <c r="A3635" s="113">
        <v>100900351</v>
      </c>
      <c r="B3635" s="113" t="s">
        <v>6298</v>
      </c>
      <c r="C3635" s="113">
        <v>7062231</v>
      </c>
      <c r="D3635" s="113" t="s">
        <v>3093</v>
      </c>
      <c r="E3635" s="113" t="s">
        <v>1620</v>
      </c>
      <c r="F3635" s="113" t="s">
        <v>3093</v>
      </c>
      <c r="G3635" s="113" t="s">
        <v>3093</v>
      </c>
      <c r="H3635" s="161">
        <v>65</v>
      </c>
      <c r="I3635" s="161">
        <v>6</v>
      </c>
    </row>
    <row r="3636" spans="1:9">
      <c r="A3636" s="113">
        <v>100900352</v>
      </c>
      <c r="B3636" s="113" t="s">
        <v>6299</v>
      </c>
      <c r="C3636" s="113">
        <v>7062232</v>
      </c>
      <c r="D3636" s="113" t="s">
        <v>3093</v>
      </c>
      <c r="E3636" s="113" t="s">
        <v>1620</v>
      </c>
      <c r="F3636" s="113" t="s">
        <v>3093</v>
      </c>
      <c r="G3636" s="113" t="s">
        <v>3093</v>
      </c>
      <c r="H3636" s="161">
        <v>25</v>
      </c>
      <c r="I3636" s="161">
        <v>6</v>
      </c>
    </row>
    <row r="3637" spans="1:9">
      <c r="A3637" s="113">
        <v>100900353</v>
      </c>
      <c r="B3637" s="113" t="s">
        <v>6300</v>
      </c>
      <c r="C3637" s="113">
        <v>7062233</v>
      </c>
      <c r="D3637" s="113" t="s">
        <v>3093</v>
      </c>
      <c r="E3637" s="113" t="s">
        <v>1620</v>
      </c>
      <c r="F3637" s="113" t="s">
        <v>3093</v>
      </c>
      <c r="G3637" s="113" t="s">
        <v>3093</v>
      </c>
      <c r="H3637" s="161">
        <v>4.18</v>
      </c>
      <c r="I3637" s="161">
        <v>0</v>
      </c>
    </row>
    <row r="3638" spans="1:9">
      <c r="A3638" s="113">
        <v>100900354</v>
      </c>
      <c r="B3638" s="113" t="s">
        <v>6301</v>
      </c>
      <c r="C3638" s="113">
        <v>7062234</v>
      </c>
      <c r="D3638" s="113" t="s">
        <v>3093</v>
      </c>
      <c r="E3638" s="113" t="s">
        <v>1620</v>
      </c>
      <c r="F3638" s="113" t="s">
        <v>3093</v>
      </c>
      <c r="G3638" s="113" t="s">
        <v>3093</v>
      </c>
      <c r="H3638" s="161">
        <v>3.75</v>
      </c>
      <c r="I3638" s="161">
        <v>0</v>
      </c>
    </row>
    <row r="3639" spans="1:9">
      <c r="A3639" s="113">
        <v>100900355</v>
      </c>
      <c r="B3639" s="113" t="s">
        <v>6302</v>
      </c>
      <c r="C3639" s="113">
        <v>7062235</v>
      </c>
      <c r="D3639" s="113" t="s">
        <v>3093</v>
      </c>
      <c r="E3639" s="113" t="s">
        <v>1620</v>
      </c>
      <c r="F3639" s="113" t="s">
        <v>3093</v>
      </c>
      <c r="G3639" s="113" t="s">
        <v>3093</v>
      </c>
      <c r="H3639" s="161">
        <v>3.75</v>
      </c>
      <c r="I3639" s="161">
        <v>0</v>
      </c>
    </row>
    <row r="3640" spans="1:9">
      <c r="A3640" s="113">
        <v>100900356</v>
      </c>
      <c r="B3640" s="113" t="s">
        <v>6303</v>
      </c>
      <c r="C3640" s="113">
        <v>7062236</v>
      </c>
      <c r="D3640" s="113" t="s">
        <v>3093</v>
      </c>
      <c r="E3640" s="113" t="s">
        <v>1620</v>
      </c>
      <c r="F3640" s="113" t="s">
        <v>3093</v>
      </c>
      <c r="G3640" s="113" t="s">
        <v>3093</v>
      </c>
      <c r="H3640" s="161">
        <v>4.45</v>
      </c>
      <c r="I3640" s="161">
        <v>10</v>
      </c>
    </row>
    <row r="3641" spans="1:9">
      <c r="A3641" s="113">
        <v>100900357</v>
      </c>
      <c r="B3641" s="113" t="s">
        <v>6304</v>
      </c>
      <c r="C3641" s="113">
        <v>7062240</v>
      </c>
      <c r="D3641" s="113" t="s">
        <v>3093</v>
      </c>
      <c r="E3641" s="113" t="s">
        <v>1620</v>
      </c>
      <c r="F3641" s="113" t="s">
        <v>3093</v>
      </c>
      <c r="G3641" s="113" t="s">
        <v>3093</v>
      </c>
      <c r="H3641" s="161">
        <v>0</v>
      </c>
      <c r="I3641" s="161" t="s">
        <v>7138</v>
      </c>
    </row>
    <row r="3642" spans="1:9">
      <c r="A3642" s="113">
        <v>100900358</v>
      </c>
      <c r="B3642" s="113" t="s">
        <v>6305</v>
      </c>
      <c r="C3642" s="113">
        <v>7062241</v>
      </c>
      <c r="D3642" s="113" t="s">
        <v>3093</v>
      </c>
      <c r="E3642" s="113" t="s">
        <v>1620</v>
      </c>
      <c r="F3642" s="113" t="s">
        <v>3093</v>
      </c>
      <c r="G3642" s="113" t="s">
        <v>3093</v>
      </c>
      <c r="H3642" s="161">
        <v>0</v>
      </c>
      <c r="I3642" s="161" t="s">
        <v>7138</v>
      </c>
    </row>
    <row r="3643" spans="1:9">
      <c r="A3643" s="113">
        <v>100900359</v>
      </c>
      <c r="B3643" s="113" t="s">
        <v>6306</v>
      </c>
      <c r="C3643" s="113">
        <v>7062242</v>
      </c>
      <c r="D3643" s="113" t="s">
        <v>3093</v>
      </c>
      <c r="E3643" s="113" t="s">
        <v>1620</v>
      </c>
      <c r="F3643" s="113" t="s">
        <v>3093</v>
      </c>
      <c r="G3643" s="113" t="s">
        <v>3093</v>
      </c>
      <c r="H3643" s="161">
        <v>0</v>
      </c>
      <c r="I3643" s="161" t="s">
        <v>7138</v>
      </c>
    </row>
    <row r="3644" spans="1:9">
      <c r="A3644" s="113">
        <v>100900360</v>
      </c>
      <c r="B3644" s="113" t="s">
        <v>6307</v>
      </c>
      <c r="C3644" s="113">
        <v>7062246</v>
      </c>
      <c r="D3644" s="113" t="s">
        <v>3093</v>
      </c>
      <c r="E3644" s="113" t="s">
        <v>1620</v>
      </c>
      <c r="F3644" s="113" t="s">
        <v>3093</v>
      </c>
      <c r="G3644" s="113" t="s">
        <v>3093</v>
      </c>
      <c r="H3644" s="161">
        <v>0</v>
      </c>
      <c r="I3644" s="161" t="s">
        <v>7138</v>
      </c>
    </row>
    <row r="3645" spans="1:9">
      <c r="A3645" s="113">
        <v>100900361</v>
      </c>
      <c r="B3645" s="113" t="s">
        <v>6308</v>
      </c>
      <c r="C3645" s="113">
        <v>7062250</v>
      </c>
      <c r="D3645" s="113" t="s">
        <v>3093</v>
      </c>
      <c r="E3645" s="113" t="s">
        <v>1620</v>
      </c>
      <c r="F3645" s="113" t="s">
        <v>3093</v>
      </c>
      <c r="G3645" s="113" t="s">
        <v>3093</v>
      </c>
      <c r="H3645" s="161">
        <v>0</v>
      </c>
      <c r="I3645" s="161" t="s">
        <v>7138</v>
      </c>
    </row>
    <row r="3646" spans="1:9">
      <c r="A3646" s="113">
        <v>100900362</v>
      </c>
      <c r="B3646" s="113" t="s">
        <v>6309</v>
      </c>
      <c r="C3646" s="113">
        <v>7062261</v>
      </c>
      <c r="D3646" s="113" t="s">
        <v>3093</v>
      </c>
      <c r="E3646" s="113" t="s">
        <v>1620</v>
      </c>
      <c r="F3646" s="113" t="s">
        <v>3093</v>
      </c>
      <c r="G3646" s="113" t="s">
        <v>3093</v>
      </c>
      <c r="H3646" s="161">
        <v>0</v>
      </c>
      <c r="I3646" s="161" t="s">
        <v>7138</v>
      </c>
    </row>
    <row r="3647" spans="1:9">
      <c r="A3647" s="113">
        <v>100900363</v>
      </c>
      <c r="B3647" s="113" t="s">
        <v>3052</v>
      </c>
      <c r="C3647" s="113">
        <v>7062276</v>
      </c>
      <c r="D3647" s="113" t="s">
        <v>3093</v>
      </c>
      <c r="E3647" s="113" t="s">
        <v>1620</v>
      </c>
      <c r="F3647" s="113" t="s">
        <v>3093</v>
      </c>
      <c r="G3647" s="113" t="s">
        <v>3093</v>
      </c>
      <c r="H3647" s="161">
        <v>0</v>
      </c>
      <c r="I3647" s="161" t="s">
        <v>7138</v>
      </c>
    </row>
    <row r="3648" spans="1:9">
      <c r="A3648" s="113">
        <v>100900364</v>
      </c>
      <c r="B3648" s="113" t="s">
        <v>3053</v>
      </c>
      <c r="C3648" s="113">
        <v>7062277</v>
      </c>
      <c r="D3648" s="113" t="s">
        <v>3093</v>
      </c>
      <c r="E3648" s="113" t="s">
        <v>1620</v>
      </c>
      <c r="F3648" s="113" t="s">
        <v>3093</v>
      </c>
      <c r="G3648" s="113" t="s">
        <v>3093</v>
      </c>
      <c r="H3648" s="161">
        <v>12.2</v>
      </c>
      <c r="I3648" s="161">
        <v>6</v>
      </c>
    </row>
    <row r="3649" spans="1:9">
      <c r="A3649" s="113">
        <v>100900365</v>
      </c>
      <c r="B3649" s="113" t="s">
        <v>6310</v>
      </c>
      <c r="C3649" s="113">
        <v>7062278</v>
      </c>
      <c r="D3649" s="113" t="s">
        <v>3093</v>
      </c>
      <c r="E3649" s="113" t="s">
        <v>1620</v>
      </c>
      <c r="F3649" s="113" t="s">
        <v>3093</v>
      </c>
      <c r="G3649" s="113" t="s">
        <v>3093</v>
      </c>
      <c r="H3649" s="161">
        <v>12.2</v>
      </c>
      <c r="I3649" s="161">
        <v>0</v>
      </c>
    </row>
    <row r="3650" spans="1:9">
      <c r="A3650" s="113">
        <v>100900366</v>
      </c>
      <c r="B3650" s="113" t="s">
        <v>3054</v>
      </c>
      <c r="C3650" s="113">
        <v>7062279</v>
      </c>
      <c r="D3650" s="113" t="s">
        <v>3093</v>
      </c>
      <c r="E3650" s="113" t="s">
        <v>1620</v>
      </c>
      <c r="F3650" s="113" t="s">
        <v>3093</v>
      </c>
      <c r="G3650" s="113" t="s">
        <v>3093</v>
      </c>
      <c r="H3650" s="161">
        <v>25</v>
      </c>
      <c r="I3650" s="161">
        <v>30</v>
      </c>
    </row>
    <row r="3651" spans="1:9">
      <c r="A3651" s="113">
        <v>100900367</v>
      </c>
      <c r="B3651" s="113" t="s">
        <v>3055</v>
      </c>
      <c r="C3651" s="113">
        <v>7062280</v>
      </c>
      <c r="D3651" s="113" t="s">
        <v>3093</v>
      </c>
      <c r="E3651" s="113" t="s">
        <v>1620</v>
      </c>
      <c r="F3651" s="113" t="s">
        <v>3093</v>
      </c>
      <c r="G3651" s="113" t="s">
        <v>3093</v>
      </c>
      <c r="H3651" s="161">
        <v>40</v>
      </c>
      <c r="I3651" s="161">
        <v>25</v>
      </c>
    </row>
    <row r="3652" spans="1:9">
      <c r="A3652" s="113">
        <v>100900368</v>
      </c>
      <c r="B3652" s="113" t="s">
        <v>6311</v>
      </c>
      <c r="C3652" s="113">
        <v>7062300</v>
      </c>
      <c r="D3652" s="113" t="s">
        <v>3093</v>
      </c>
      <c r="E3652" s="113" t="s">
        <v>1620</v>
      </c>
      <c r="F3652" s="113" t="s">
        <v>3093</v>
      </c>
      <c r="G3652" s="113" t="s">
        <v>3093</v>
      </c>
      <c r="H3652" s="161">
        <v>30</v>
      </c>
      <c r="I3652" s="161">
        <v>12</v>
      </c>
    </row>
    <row r="3653" spans="1:9">
      <c r="A3653" s="113">
        <v>100900369</v>
      </c>
      <c r="B3653" s="113" t="s">
        <v>6312</v>
      </c>
      <c r="C3653" s="113">
        <v>7062322</v>
      </c>
      <c r="D3653" s="113" t="s">
        <v>3093</v>
      </c>
      <c r="E3653" s="113" t="s">
        <v>1620</v>
      </c>
      <c r="F3653" s="113" t="s">
        <v>3093</v>
      </c>
      <c r="G3653" s="113" t="s">
        <v>3093</v>
      </c>
      <c r="H3653" s="161">
        <v>0</v>
      </c>
      <c r="I3653" s="161" t="s">
        <v>7138</v>
      </c>
    </row>
    <row r="3654" spans="1:9">
      <c r="A3654" s="113">
        <v>100900370</v>
      </c>
      <c r="B3654" s="113" t="s">
        <v>6313</v>
      </c>
      <c r="C3654" s="113">
        <v>7062329</v>
      </c>
      <c r="D3654" s="113" t="s">
        <v>3093</v>
      </c>
      <c r="E3654" s="113" t="s">
        <v>1620</v>
      </c>
      <c r="F3654" s="113" t="s">
        <v>3093</v>
      </c>
      <c r="G3654" s="113" t="s">
        <v>3093</v>
      </c>
      <c r="H3654" s="161">
        <v>0</v>
      </c>
      <c r="I3654" s="161" t="s">
        <v>7138</v>
      </c>
    </row>
    <row r="3655" spans="1:9">
      <c r="A3655" s="113">
        <v>100900371</v>
      </c>
      <c r="B3655" s="113" t="s">
        <v>6314</v>
      </c>
      <c r="C3655" s="113">
        <v>7062330</v>
      </c>
      <c r="D3655" s="113" t="s">
        <v>3093</v>
      </c>
      <c r="E3655" s="113" t="s">
        <v>1620</v>
      </c>
      <c r="F3655" s="113" t="s">
        <v>3093</v>
      </c>
      <c r="G3655" s="113" t="s">
        <v>3093</v>
      </c>
      <c r="H3655" s="161">
        <v>0</v>
      </c>
      <c r="I3655" s="161" t="s">
        <v>7138</v>
      </c>
    </row>
    <row r="3656" spans="1:9">
      <c r="A3656" s="113">
        <v>100900372</v>
      </c>
      <c r="B3656" s="113" t="s">
        <v>6315</v>
      </c>
      <c r="C3656" s="113">
        <v>7062338</v>
      </c>
      <c r="D3656" s="113" t="s">
        <v>3093</v>
      </c>
      <c r="E3656" s="113" t="s">
        <v>1620</v>
      </c>
      <c r="F3656" s="113" t="s">
        <v>3093</v>
      </c>
      <c r="G3656" s="113" t="s">
        <v>3093</v>
      </c>
      <c r="H3656" s="161">
        <v>800</v>
      </c>
      <c r="I3656" s="161">
        <v>0</v>
      </c>
    </row>
    <row r="3657" spans="1:9">
      <c r="A3657" s="113">
        <v>100900373</v>
      </c>
      <c r="B3657" s="113" t="s">
        <v>6316</v>
      </c>
      <c r="C3657" s="113">
        <v>7062339</v>
      </c>
      <c r="D3657" s="113" t="s">
        <v>3093</v>
      </c>
      <c r="E3657" s="113" t="s">
        <v>1620</v>
      </c>
      <c r="F3657" s="113" t="s">
        <v>3093</v>
      </c>
      <c r="G3657" s="113" t="s">
        <v>3093</v>
      </c>
      <c r="H3657" s="161">
        <v>180</v>
      </c>
      <c r="I3657" s="161">
        <v>8</v>
      </c>
    </row>
    <row r="3658" spans="1:9">
      <c r="A3658" s="113">
        <v>100900374</v>
      </c>
      <c r="B3658" s="113" t="s">
        <v>6317</v>
      </c>
      <c r="C3658" s="113">
        <v>7062340</v>
      </c>
      <c r="D3658" s="113" t="s">
        <v>3093</v>
      </c>
      <c r="E3658" s="113" t="s">
        <v>1620</v>
      </c>
      <c r="F3658" s="113" t="s">
        <v>3093</v>
      </c>
      <c r="G3658" s="113" t="s">
        <v>3093</v>
      </c>
      <c r="H3658" s="161">
        <v>230</v>
      </c>
      <c r="I3658" s="161">
        <v>10</v>
      </c>
    </row>
    <row r="3659" spans="1:9">
      <c r="A3659" s="113">
        <v>100900375</v>
      </c>
      <c r="B3659" s="113" t="s">
        <v>6318</v>
      </c>
      <c r="C3659" s="113">
        <v>7062347</v>
      </c>
      <c r="D3659" s="113" t="s">
        <v>3093</v>
      </c>
      <c r="E3659" s="113" t="s">
        <v>1620</v>
      </c>
      <c r="F3659" s="113" t="s">
        <v>3093</v>
      </c>
      <c r="G3659" s="113" t="s">
        <v>3093</v>
      </c>
      <c r="H3659" s="161">
        <v>2.25</v>
      </c>
      <c r="I3659" s="161">
        <v>72</v>
      </c>
    </row>
    <row r="3660" spans="1:9">
      <c r="A3660" s="113">
        <v>100900376</v>
      </c>
      <c r="B3660" s="113" t="s">
        <v>6319</v>
      </c>
      <c r="C3660" s="113">
        <v>7062348</v>
      </c>
      <c r="D3660" s="113" t="s">
        <v>3093</v>
      </c>
      <c r="E3660" s="113" t="s">
        <v>1620</v>
      </c>
      <c r="F3660" s="113" t="s">
        <v>3093</v>
      </c>
      <c r="G3660" s="113" t="s">
        <v>3093</v>
      </c>
      <c r="H3660" s="161">
        <v>2.69</v>
      </c>
      <c r="I3660" s="161">
        <v>0</v>
      </c>
    </row>
    <row r="3661" spans="1:9">
      <c r="A3661" s="113">
        <v>100900377</v>
      </c>
      <c r="B3661" s="113" t="s">
        <v>6320</v>
      </c>
      <c r="C3661" s="113">
        <v>7062349</v>
      </c>
      <c r="D3661" s="113" t="s">
        <v>3093</v>
      </c>
      <c r="E3661" s="113" t="s">
        <v>1620</v>
      </c>
      <c r="F3661" s="113" t="s">
        <v>3093</v>
      </c>
      <c r="G3661" s="113" t="s">
        <v>3093</v>
      </c>
      <c r="H3661" s="161">
        <v>11</v>
      </c>
      <c r="I3661" s="161">
        <v>96</v>
      </c>
    </row>
    <row r="3662" spans="1:9">
      <c r="A3662" s="113">
        <v>100900378</v>
      </c>
      <c r="B3662" s="113" t="s">
        <v>6321</v>
      </c>
      <c r="C3662" s="113">
        <v>7062350</v>
      </c>
      <c r="D3662" s="113" t="s">
        <v>3093</v>
      </c>
      <c r="E3662" s="113" t="s">
        <v>1620</v>
      </c>
      <c r="F3662" s="113" t="s">
        <v>3093</v>
      </c>
      <c r="G3662" s="113" t="s">
        <v>3093</v>
      </c>
      <c r="H3662" s="161">
        <v>11</v>
      </c>
      <c r="I3662" s="161">
        <v>95</v>
      </c>
    </row>
    <row r="3663" spans="1:9">
      <c r="A3663" s="113">
        <v>100900379</v>
      </c>
      <c r="B3663" s="113" t="s">
        <v>6322</v>
      </c>
      <c r="C3663" s="113">
        <v>7062351</v>
      </c>
      <c r="D3663" s="113" t="s">
        <v>3093</v>
      </c>
      <c r="E3663" s="113" t="s">
        <v>1620</v>
      </c>
      <c r="F3663" s="113" t="s">
        <v>3093</v>
      </c>
      <c r="G3663" s="113" t="s">
        <v>3093</v>
      </c>
      <c r="H3663" s="161">
        <v>11</v>
      </c>
      <c r="I3663" s="161">
        <v>20</v>
      </c>
    </row>
    <row r="3664" spans="1:9">
      <c r="A3664" s="113">
        <v>100900380</v>
      </c>
      <c r="B3664" s="113" t="s">
        <v>6323</v>
      </c>
      <c r="C3664" s="113">
        <v>7062352</v>
      </c>
      <c r="D3664" s="113" t="s">
        <v>3093</v>
      </c>
      <c r="E3664" s="113" t="s">
        <v>1620</v>
      </c>
      <c r="F3664" s="113" t="s">
        <v>3093</v>
      </c>
      <c r="G3664" s="113" t="s">
        <v>3093</v>
      </c>
      <c r="H3664" s="161">
        <v>11</v>
      </c>
      <c r="I3664" s="161">
        <v>0</v>
      </c>
    </row>
    <row r="3665" spans="1:9">
      <c r="A3665" s="113">
        <v>100900381</v>
      </c>
      <c r="B3665" s="113" t="s">
        <v>6324</v>
      </c>
      <c r="C3665" s="113">
        <v>7062353</v>
      </c>
      <c r="D3665" s="113" t="s">
        <v>3093</v>
      </c>
      <c r="E3665" s="113" t="s">
        <v>1620</v>
      </c>
      <c r="F3665" s="113" t="s">
        <v>3093</v>
      </c>
      <c r="G3665" s="113" t="s">
        <v>3093</v>
      </c>
      <c r="H3665" s="161">
        <v>11</v>
      </c>
      <c r="I3665" s="161">
        <v>76</v>
      </c>
    </row>
    <row r="3666" spans="1:9">
      <c r="A3666" s="113">
        <v>100900382</v>
      </c>
      <c r="B3666" s="113" t="s">
        <v>6325</v>
      </c>
      <c r="C3666" s="113">
        <v>7062354</v>
      </c>
      <c r="D3666" s="113" t="s">
        <v>3093</v>
      </c>
      <c r="E3666" s="113" t="s">
        <v>1620</v>
      </c>
      <c r="F3666" s="113" t="s">
        <v>3093</v>
      </c>
      <c r="G3666" s="113" t="s">
        <v>3093</v>
      </c>
      <c r="H3666" s="161">
        <v>11</v>
      </c>
      <c r="I3666" s="161">
        <v>60</v>
      </c>
    </row>
    <row r="3667" spans="1:9">
      <c r="A3667" s="113">
        <v>100900383</v>
      </c>
      <c r="B3667" s="113" t="s">
        <v>6326</v>
      </c>
      <c r="C3667" s="113">
        <v>7062355</v>
      </c>
      <c r="D3667" s="113" t="s">
        <v>3093</v>
      </c>
      <c r="E3667" s="113" t="s">
        <v>1620</v>
      </c>
      <c r="F3667" s="113" t="s">
        <v>3093</v>
      </c>
      <c r="G3667" s="113" t="s">
        <v>3093</v>
      </c>
      <c r="H3667" s="161">
        <v>11</v>
      </c>
      <c r="I3667" s="161">
        <v>78</v>
      </c>
    </row>
    <row r="3668" spans="1:9">
      <c r="A3668" s="113">
        <v>100900384</v>
      </c>
      <c r="B3668" s="113" t="s">
        <v>6327</v>
      </c>
      <c r="C3668" s="113">
        <v>7062356</v>
      </c>
      <c r="D3668" s="113" t="s">
        <v>3093</v>
      </c>
      <c r="E3668" s="113" t="s">
        <v>1620</v>
      </c>
      <c r="F3668" s="113" t="s">
        <v>3093</v>
      </c>
      <c r="G3668" s="113" t="s">
        <v>3093</v>
      </c>
      <c r="H3668" s="161">
        <v>11</v>
      </c>
      <c r="I3668" s="161">
        <v>42</v>
      </c>
    </row>
    <row r="3669" spans="1:9">
      <c r="A3669" s="113">
        <v>100900385</v>
      </c>
      <c r="B3669" s="113" t="s">
        <v>6328</v>
      </c>
      <c r="C3669" s="113">
        <v>7062357</v>
      </c>
      <c r="D3669" s="113" t="s">
        <v>3093</v>
      </c>
      <c r="E3669" s="113" t="s">
        <v>1620</v>
      </c>
      <c r="F3669" s="113" t="s">
        <v>3093</v>
      </c>
      <c r="G3669" s="113" t="s">
        <v>3093</v>
      </c>
      <c r="H3669" s="161">
        <v>15</v>
      </c>
      <c r="I3669" s="161">
        <v>101</v>
      </c>
    </row>
    <row r="3670" spans="1:9">
      <c r="A3670" s="113">
        <v>100900386</v>
      </c>
      <c r="B3670" s="113" t="s">
        <v>6329</v>
      </c>
      <c r="C3670" s="113">
        <v>7062358</v>
      </c>
      <c r="D3670" s="113" t="s">
        <v>3093</v>
      </c>
      <c r="E3670" s="113" t="s">
        <v>1620</v>
      </c>
      <c r="F3670" s="113" t="s">
        <v>3093</v>
      </c>
      <c r="G3670" s="113" t="s">
        <v>3093</v>
      </c>
      <c r="H3670" s="161">
        <v>11</v>
      </c>
      <c r="I3670" s="161">
        <v>14</v>
      </c>
    </row>
    <row r="3671" spans="1:9">
      <c r="A3671" s="113">
        <v>100900387</v>
      </c>
      <c r="B3671" s="113" t="s">
        <v>6330</v>
      </c>
      <c r="C3671" s="113">
        <v>7062359</v>
      </c>
      <c r="D3671" s="113" t="s">
        <v>3093</v>
      </c>
      <c r="E3671" s="113" t="s">
        <v>1620</v>
      </c>
      <c r="F3671" s="113" t="s">
        <v>3093</v>
      </c>
      <c r="G3671" s="113" t="s">
        <v>3093</v>
      </c>
      <c r="H3671" s="161">
        <v>11</v>
      </c>
      <c r="I3671" s="161">
        <v>52</v>
      </c>
    </row>
    <row r="3672" spans="1:9">
      <c r="A3672" s="113">
        <v>100900388</v>
      </c>
      <c r="B3672" s="113" t="s">
        <v>6331</v>
      </c>
      <c r="C3672" s="113">
        <v>7062360</v>
      </c>
      <c r="D3672" s="113" t="s">
        <v>3093</v>
      </c>
      <c r="E3672" s="113" t="s">
        <v>1620</v>
      </c>
      <c r="F3672" s="113" t="s">
        <v>3093</v>
      </c>
      <c r="G3672" s="113" t="s">
        <v>3093</v>
      </c>
      <c r="H3672" s="161">
        <v>11</v>
      </c>
      <c r="I3672" s="161">
        <v>33</v>
      </c>
    </row>
    <row r="3673" spans="1:9">
      <c r="A3673" s="113">
        <v>100900389</v>
      </c>
      <c r="B3673" s="113" t="s">
        <v>6332</v>
      </c>
      <c r="C3673" s="113">
        <v>7062361</v>
      </c>
      <c r="D3673" s="113" t="s">
        <v>3093</v>
      </c>
      <c r="E3673" s="113" t="s">
        <v>1620</v>
      </c>
      <c r="F3673" s="113" t="s">
        <v>3093</v>
      </c>
      <c r="G3673" s="113" t="s">
        <v>3093</v>
      </c>
      <c r="H3673" s="161">
        <v>11</v>
      </c>
      <c r="I3673" s="161">
        <v>17</v>
      </c>
    </row>
    <row r="3674" spans="1:9">
      <c r="A3674" s="113">
        <v>100900390</v>
      </c>
      <c r="B3674" s="113" t="s">
        <v>6333</v>
      </c>
      <c r="C3674" s="113">
        <v>7062362</v>
      </c>
      <c r="D3674" s="113" t="s">
        <v>3093</v>
      </c>
      <c r="E3674" s="113" t="s">
        <v>1620</v>
      </c>
      <c r="F3674" s="113" t="s">
        <v>3093</v>
      </c>
      <c r="G3674" s="113" t="s">
        <v>3093</v>
      </c>
      <c r="H3674" s="161">
        <v>11</v>
      </c>
      <c r="I3674" s="161">
        <v>8</v>
      </c>
    </row>
    <row r="3675" spans="1:9">
      <c r="A3675" s="113">
        <v>100900391</v>
      </c>
      <c r="B3675" s="113" t="s">
        <v>6334</v>
      </c>
      <c r="C3675" s="113">
        <v>7062363</v>
      </c>
      <c r="D3675" s="113" t="s">
        <v>3093</v>
      </c>
      <c r="E3675" s="113" t="s">
        <v>1620</v>
      </c>
      <c r="F3675" s="113" t="s">
        <v>3093</v>
      </c>
      <c r="G3675" s="113" t="s">
        <v>3093</v>
      </c>
      <c r="H3675" s="161">
        <v>11</v>
      </c>
      <c r="I3675" s="161">
        <v>20</v>
      </c>
    </row>
    <row r="3676" spans="1:9">
      <c r="A3676" s="113">
        <v>100900392</v>
      </c>
      <c r="B3676" s="113" t="s">
        <v>6335</v>
      </c>
      <c r="C3676" s="113">
        <v>7062364</v>
      </c>
      <c r="D3676" s="113" t="s">
        <v>3093</v>
      </c>
      <c r="E3676" s="113" t="s">
        <v>1620</v>
      </c>
      <c r="F3676" s="113" t="s">
        <v>3093</v>
      </c>
      <c r="G3676" s="113" t="s">
        <v>3093</v>
      </c>
      <c r="H3676" s="161">
        <v>11</v>
      </c>
      <c r="I3676" s="161">
        <v>20</v>
      </c>
    </row>
    <row r="3677" spans="1:9">
      <c r="A3677" s="113">
        <v>100900393</v>
      </c>
      <c r="B3677" s="113" t="s">
        <v>6336</v>
      </c>
      <c r="C3677" s="113">
        <v>7062365</v>
      </c>
      <c r="D3677" s="113" t="s">
        <v>3093</v>
      </c>
      <c r="E3677" s="113" t="s">
        <v>1620</v>
      </c>
      <c r="F3677" s="113" t="s">
        <v>3093</v>
      </c>
      <c r="G3677" s="113" t="s">
        <v>3093</v>
      </c>
      <c r="H3677" s="161">
        <v>11</v>
      </c>
      <c r="I3677" s="161">
        <v>10</v>
      </c>
    </row>
    <row r="3678" spans="1:9">
      <c r="A3678" s="113">
        <v>100900394</v>
      </c>
      <c r="B3678" s="113" t="s">
        <v>6337</v>
      </c>
      <c r="C3678" s="113">
        <v>7062366</v>
      </c>
      <c r="D3678" s="113" t="s">
        <v>3093</v>
      </c>
      <c r="E3678" s="113" t="s">
        <v>1620</v>
      </c>
      <c r="F3678" s="113" t="s">
        <v>3093</v>
      </c>
      <c r="G3678" s="113" t="s">
        <v>3093</v>
      </c>
      <c r="H3678" s="161">
        <v>3.73</v>
      </c>
      <c r="I3678" s="161">
        <v>30</v>
      </c>
    </row>
    <row r="3679" spans="1:9">
      <c r="A3679" s="113">
        <v>100900395</v>
      </c>
      <c r="B3679" s="113" t="s">
        <v>6338</v>
      </c>
      <c r="C3679" s="113">
        <v>7062367</v>
      </c>
      <c r="D3679" s="113" t="s">
        <v>3093</v>
      </c>
      <c r="E3679" s="113" t="s">
        <v>1620</v>
      </c>
      <c r="F3679" s="113" t="s">
        <v>3093</v>
      </c>
      <c r="G3679" s="113" t="s">
        <v>3093</v>
      </c>
      <c r="H3679" s="161">
        <v>2.69</v>
      </c>
      <c r="I3679" s="161">
        <v>0</v>
      </c>
    </row>
    <row r="3680" spans="1:9">
      <c r="A3680" s="113">
        <v>100900396</v>
      </c>
      <c r="B3680" s="113" t="s">
        <v>6339</v>
      </c>
      <c r="C3680" s="113">
        <v>7062409</v>
      </c>
      <c r="D3680" s="113" t="s">
        <v>3093</v>
      </c>
      <c r="E3680" s="113" t="s">
        <v>1620</v>
      </c>
      <c r="F3680" s="113" t="s">
        <v>3093</v>
      </c>
      <c r="G3680" s="113" t="s">
        <v>3093</v>
      </c>
      <c r="H3680" s="161">
        <v>3.65</v>
      </c>
      <c r="I3680" s="161">
        <v>0</v>
      </c>
    </row>
    <row r="3681" spans="1:9">
      <c r="A3681" s="113">
        <v>100900397</v>
      </c>
      <c r="B3681" s="113" t="s">
        <v>6340</v>
      </c>
      <c r="C3681" s="113">
        <v>7062410</v>
      </c>
      <c r="D3681" s="113" t="s">
        <v>3093</v>
      </c>
      <c r="E3681" s="113" t="s">
        <v>1620</v>
      </c>
      <c r="F3681" s="113" t="s">
        <v>3093</v>
      </c>
      <c r="G3681" s="113" t="s">
        <v>3093</v>
      </c>
      <c r="H3681" s="161">
        <v>10</v>
      </c>
      <c r="I3681" s="161">
        <v>24</v>
      </c>
    </row>
    <row r="3682" spans="1:9">
      <c r="A3682" s="113">
        <v>100900398</v>
      </c>
      <c r="B3682" s="113" t="s">
        <v>6341</v>
      </c>
      <c r="C3682" s="113">
        <v>7062411</v>
      </c>
      <c r="D3682" s="113" t="s">
        <v>3093</v>
      </c>
      <c r="E3682" s="113" t="s">
        <v>1620</v>
      </c>
      <c r="F3682" s="113" t="s">
        <v>3093</v>
      </c>
      <c r="G3682" s="113" t="s">
        <v>3093</v>
      </c>
      <c r="H3682" s="161">
        <v>10</v>
      </c>
      <c r="I3682" s="161">
        <v>0</v>
      </c>
    </row>
    <row r="3683" spans="1:9">
      <c r="A3683" s="113">
        <v>100900399</v>
      </c>
      <c r="B3683" s="113" t="s">
        <v>6342</v>
      </c>
      <c r="C3683" s="113">
        <v>7062412</v>
      </c>
      <c r="D3683" s="113" t="s">
        <v>3093</v>
      </c>
      <c r="E3683" s="113" t="s">
        <v>1620</v>
      </c>
      <c r="F3683" s="113" t="s">
        <v>3093</v>
      </c>
      <c r="G3683" s="113" t="s">
        <v>3093</v>
      </c>
      <c r="H3683" s="161">
        <v>4.25</v>
      </c>
      <c r="I3683" s="161">
        <v>24</v>
      </c>
    </row>
    <row r="3684" spans="1:9">
      <c r="A3684" s="113">
        <v>100900400</v>
      </c>
      <c r="B3684" s="113" t="s">
        <v>6343</v>
      </c>
      <c r="C3684" s="113">
        <v>7062413</v>
      </c>
      <c r="D3684" s="113" t="s">
        <v>3093</v>
      </c>
      <c r="E3684" s="113" t="s">
        <v>1620</v>
      </c>
      <c r="F3684" s="113" t="s">
        <v>3093</v>
      </c>
      <c r="G3684" s="113" t="s">
        <v>3093</v>
      </c>
      <c r="H3684" s="161">
        <v>4.25</v>
      </c>
      <c r="I3684" s="161">
        <v>24</v>
      </c>
    </row>
    <row r="3685" spans="1:9">
      <c r="A3685" s="113">
        <v>100900401</v>
      </c>
      <c r="B3685" s="113" t="s">
        <v>6344</v>
      </c>
      <c r="C3685" s="113">
        <v>7062424</v>
      </c>
      <c r="D3685" s="113" t="s">
        <v>3093</v>
      </c>
      <c r="E3685" s="113" t="s">
        <v>1620</v>
      </c>
      <c r="F3685" s="113" t="s">
        <v>3093</v>
      </c>
      <c r="G3685" s="113" t="s">
        <v>3093</v>
      </c>
      <c r="H3685" s="161">
        <v>5.9</v>
      </c>
      <c r="I3685" s="161">
        <v>24</v>
      </c>
    </row>
    <row r="3686" spans="1:9">
      <c r="A3686" s="113">
        <v>100900402</v>
      </c>
      <c r="B3686" s="113" t="s">
        <v>6345</v>
      </c>
      <c r="C3686" s="113">
        <v>7062425</v>
      </c>
      <c r="D3686" s="113" t="s">
        <v>3093</v>
      </c>
      <c r="E3686" s="113" t="s">
        <v>1620</v>
      </c>
      <c r="F3686" s="113" t="s">
        <v>3093</v>
      </c>
      <c r="G3686" s="113" t="s">
        <v>3093</v>
      </c>
      <c r="H3686" s="161">
        <v>5.9</v>
      </c>
      <c r="I3686" s="161">
        <v>24</v>
      </c>
    </row>
    <row r="3687" spans="1:9">
      <c r="A3687" s="113">
        <v>100900403</v>
      </c>
      <c r="B3687" s="113" t="s">
        <v>6346</v>
      </c>
      <c r="C3687" s="113">
        <v>7062426</v>
      </c>
      <c r="D3687" s="113" t="s">
        <v>3093</v>
      </c>
      <c r="E3687" s="113" t="s">
        <v>1620</v>
      </c>
      <c r="F3687" s="113" t="s">
        <v>3093</v>
      </c>
      <c r="G3687" s="113" t="s">
        <v>3093</v>
      </c>
      <c r="H3687" s="161">
        <v>4.25</v>
      </c>
      <c r="I3687" s="161">
        <v>24</v>
      </c>
    </row>
    <row r="3688" spans="1:9">
      <c r="A3688" s="113">
        <v>100900404</v>
      </c>
      <c r="B3688" s="113" t="s">
        <v>6347</v>
      </c>
      <c r="C3688" s="113">
        <v>7062427</v>
      </c>
      <c r="D3688" s="113" t="s">
        <v>3093</v>
      </c>
      <c r="E3688" s="113" t="s">
        <v>1620</v>
      </c>
      <c r="F3688" s="113" t="s">
        <v>3093</v>
      </c>
      <c r="G3688" s="113" t="s">
        <v>3093</v>
      </c>
      <c r="H3688" s="161">
        <v>4.25</v>
      </c>
      <c r="I3688" s="161">
        <v>24</v>
      </c>
    </row>
    <row r="3689" spans="1:9">
      <c r="A3689" s="113">
        <v>100900405</v>
      </c>
      <c r="B3689" s="113" t="s">
        <v>6348</v>
      </c>
      <c r="C3689" s="113">
        <v>7062428</v>
      </c>
      <c r="D3689" s="113" t="s">
        <v>3093</v>
      </c>
      <c r="E3689" s="113" t="s">
        <v>1620</v>
      </c>
      <c r="F3689" s="113" t="s">
        <v>3093</v>
      </c>
      <c r="G3689" s="113" t="s">
        <v>3093</v>
      </c>
      <c r="H3689" s="161">
        <v>6.5</v>
      </c>
      <c r="I3689" s="161">
        <v>24</v>
      </c>
    </row>
    <row r="3690" spans="1:9">
      <c r="A3690" s="113">
        <v>100900406</v>
      </c>
      <c r="B3690" s="113" t="s">
        <v>6349</v>
      </c>
      <c r="C3690" s="113">
        <v>7062429</v>
      </c>
      <c r="D3690" s="113" t="s">
        <v>3093</v>
      </c>
      <c r="E3690" s="113" t="s">
        <v>1620</v>
      </c>
      <c r="F3690" s="113" t="s">
        <v>3093</v>
      </c>
      <c r="G3690" s="113" t="s">
        <v>3093</v>
      </c>
      <c r="H3690" s="161">
        <v>6.55</v>
      </c>
      <c r="I3690" s="161">
        <v>24</v>
      </c>
    </row>
    <row r="3691" spans="1:9">
      <c r="A3691" s="113">
        <v>100900407</v>
      </c>
      <c r="B3691" s="113" t="s">
        <v>6350</v>
      </c>
      <c r="C3691" s="113">
        <v>7062430</v>
      </c>
      <c r="D3691" s="113" t="s">
        <v>3093</v>
      </c>
      <c r="E3691" s="113" t="s">
        <v>1620</v>
      </c>
      <c r="F3691" s="113" t="s">
        <v>3093</v>
      </c>
      <c r="G3691" s="113" t="s">
        <v>3093</v>
      </c>
      <c r="H3691" s="161">
        <v>6.55</v>
      </c>
      <c r="I3691" s="161">
        <v>24</v>
      </c>
    </row>
    <row r="3692" spans="1:9">
      <c r="A3692" s="113">
        <v>100900408</v>
      </c>
      <c r="B3692" s="113" t="s">
        <v>6351</v>
      </c>
      <c r="C3692" s="113">
        <v>7062431</v>
      </c>
      <c r="D3692" s="113" t="s">
        <v>3093</v>
      </c>
      <c r="E3692" s="113" t="s">
        <v>1620</v>
      </c>
      <c r="F3692" s="113" t="s">
        <v>3093</v>
      </c>
      <c r="G3692" s="113" t="s">
        <v>3093</v>
      </c>
      <c r="H3692" s="161">
        <v>4.75</v>
      </c>
      <c r="I3692" s="161">
        <v>24</v>
      </c>
    </row>
    <row r="3693" spans="1:9">
      <c r="A3693" s="113">
        <v>100900409</v>
      </c>
      <c r="B3693" s="113" t="s">
        <v>6352</v>
      </c>
      <c r="C3693" s="113">
        <v>7062432</v>
      </c>
      <c r="D3693" s="113" t="s">
        <v>3093</v>
      </c>
      <c r="E3693" s="113" t="s">
        <v>1620</v>
      </c>
      <c r="F3693" s="113" t="s">
        <v>3093</v>
      </c>
      <c r="G3693" s="113" t="s">
        <v>3093</v>
      </c>
      <c r="H3693" s="161">
        <v>4.75</v>
      </c>
      <c r="I3693" s="161">
        <v>60</v>
      </c>
    </row>
    <row r="3694" spans="1:9">
      <c r="A3694" s="113">
        <v>100900410</v>
      </c>
      <c r="B3694" s="113" t="s">
        <v>6353</v>
      </c>
      <c r="C3694" s="113">
        <v>7062433</v>
      </c>
      <c r="D3694" s="113" t="s">
        <v>3093</v>
      </c>
      <c r="E3694" s="113" t="s">
        <v>1620</v>
      </c>
      <c r="F3694" s="113" t="s">
        <v>3093</v>
      </c>
      <c r="G3694" s="113" t="s">
        <v>3093</v>
      </c>
      <c r="H3694" s="161">
        <v>4.75</v>
      </c>
      <c r="I3694" s="161">
        <v>0</v>
      </c>
    </row>
    <row r="3695" spans="1:9">
      <c r="A3695" s="113">
        <v>100900411</v>
      </c>
      <c r="B3695" s="113" t="s">
        <v>6354</v>
      </c>
      <c r="C3695" s="113">
        <v>7062434</v>
      </c>
      <c r="D3695" s="113" t="s">
        <v>3093</v>
      </c>
      <c r="E3695" s="113" t="s">
        <v>1620</v>
      </c>
      <c r="F3695" s="113" t="s">
        <v>3093</v>
      </c>
      <c r="G3695" s="113" t="s">
        <v>3093</v>
      </c>
      <c r="H3695" s="161">
        <v>6.75</v>
      </c>
      <c r="I3695" s="161">
        <v>60</v>
      </c>
    </row>
    <row r="3696" spans="1:9">
      <c r="A3696" s="113">
        <v>100900412</v>
      </c>
      <c r="B3696" s="113" t="s">
        <v>6355</v>
      </c>
      <c r="C3696" s="113">
        <v>7062435</v>
      </c>
      <c r="D3696" s="113" t="s">
        <v>3093</v>
      </c>
      <c r="E3696" s="113" t="s">
        <v>1620</v>
      </c>
      <c r="F3696" s="113" t="s">
        <v>3093</v>
      </c>
      <c r="G3696" s="113" t="s">
        <v>3093</v>
      </c>
      <c r="H3696" s="161">
        <v>12</v>
      </c>
      <c r="I3696" s="161">
        <v>60</v>
      </c>
    </row>
    <row r="3697" spans="1:9">
      <c r="A3697" s="113">
        <v>100900413</v>
      </c>
      <c r="B3697" s="113" t="s">
        <v>6356</v>
      </c>
      <c r="C3697" s="113">
        <v>7062436</v>
      </c>
      <c r="D3697" s="113" t="s">
        <v>3093</v>
      </c>
      <c r="E3697" s="113" t="s">
        <v>1620</v>
      </c>
      <c r="F3697" s="113" t="s">
        <v>3093</v>
      </c>
      <c r="G3697" s="113" t="s">
        <v>3093</v>
      </c>
      <c r="H3697" s="161">
        <v>12</v>
      </c>
      <c r="I3697" s="161">
        <v>0</v>
      </c>
    </row>
    <row r="3698" spans="1:9">
      <c r="A3698" s="113">
        <v>100900414</v>
      </c>
      <c r="B3698" s="113" t="s">
        <v>6357</v>
      </c>
      <c r="C3698" s="113">
        <v>7062437</v>
      </c>
      <c r="D3698" s="113" t="s">
        <v>3093</v>
      </c>
      <c r="E3698" s="113" t="s">
        <v>1620</v>
      </c>
      <c r="F3698" s="113" t="s">
        <v>3093</v>
      </c>
      <c r="G3698" s="113" t="s">
        <v>3093</v>
      </c>
      <c r="H3698" s="161">
        <v>13.87</v>
      </c>
      <c r="I3698" s="161">
        <v>60</v>
      </c>
    </row>
    <row r="3699" spans="1:9">
      <c r="A3699" s="113">
        <v>100900415</v>
      </c>
      <c r="B3699" s="113" t="s">
        <v>6358</v>
      </c>
      <c r="C3699" s="113">
        <v>7062438</v>
      </c>
      <c r="D3699" s="113" t="s">
        <v>3093</v>
      </c>
      <c r="E3699" s="113" t="s">
        <v>1620</v>
      </c>
      <c r="F3699" s="113" t="s">
        <v>3093</v>
      </c>
      <c r="G3699" s="113" t="s">
        <v>3093</v>
      </c>
      <c r="H3699" s="161">
        <v>4.75</v>
      </c>
      <c r="I3699" s="161">
        <v>60</v>
      </c>
    </row>
    <row r="3700" spans="1:9">
      <c r="A3700" s="113">
        <v>100900416</v>
      </c>
      <c r="B3700" s="113" t="s">
        <v>6359</v>
      </c>
      <c r="C3700" s="113">
        <v>7062476</v>
      </c>
      <c r="D3700" s="113" t="s">
        <v>3093</v>
      </c>
      <c r="E3700" s="113" t="s">
        <v>1620</v>
      </c>
      <c r="F3700" s="113" t="s">
        <v>3093</v>
      </c>
      <c r="G3700" s="113" t="s">
        <v>3093</v>
      </c>
      <c r="H3700" s="161">
        <v>10</v>
      </c>
      <c r="I3700" s="161">
        <v>0</v>
      </c>
    </row>
    <row r="3701" spans="1:9">
      <c r="A3701" s="113">
        <v>100900417</v>
      </c>
      <c r="B3701" s="113" t="s">
        <v>6360</v>
      </c>
      <c r="C3701" s="113">
        <v>7062477</v>
      </c>
      <c r="D3701" s="113" t="s">
        <v>3093</v>
      </c>
      <c r="E3701" s="113" t="s">
        <v>1620</v>
      </c>
      <c r="F3701" s="113" t="s">
        <v>3093</v>
      </c>
      <c r="G3701" s="113" t="s">
        <v>3093</v>
      </c>
      <c r="H3701" s="161">
        <v>10</v>
      </c>
      <c r="I3701" s="161">
        <v>60</v>
      </c>
    </row>
    <row r="3702" spans="1:9">
      <c r="A3702" s="113">
        <v>100900418</v>
      </c>
      <c r="B3702" s="113" t="s">
        <v>6361</v>
      </c>
      <c r="C3702" s="113">
        <v>7062503</v>
      </c>
      <c r="D3702" s="113" t="s">
        <v>3093</v>
      </c>
      <c r="E3702" s="113" t="s">
        <v>1620</v>
      </c>
      <c r="F3702" s="113" t="s">
        <v>3093</v>
      </c>
      <c r="G3702" s="113" t="s">
        <v>3093</v>
      </c>
      <c r="H3702" s="161">
        <v>0</v>
      </c>
      <c r="I3702" s="161" t="s">
        <v>7138</v>
      </c>
    </row>
    <row r="3703" spans="1:9">
      <c r="A3703" s="113">
        <v>100900419</v>
      </c>
      <c r="B3703" s="113" t="s">
        <v>6362</v>
      </c>
      <c r="C3703" s="113">
        <v>7062504</v>
      </c>
      <c r="D3703" s="113" t="s">
        <v>3093</v>
      </c>
      <c r="E3703" s="113" t="s">
        <v>1620</v>
      </c>
      <c r="F3703" s="113" t="s">
        <v>3093</v>
      </c>
      <c r="G3703" s="113" t="s">
        <v>3093</v>
      </c>
      <c r="H3703" s="161">
        <v>0</v>
      </c>
      <c r="I3703" s="161" t="s">
        <v>7138</v>
      </c>
    </row>
    <row r="3704" spans="1:9">
      <c r="A3704" s="113">
        <v>100900420</v>
      </c>
      <c r="B3704" s="113" t="s">
        <v>6363</v>
      </c>
      <c r="C3704" s="113">
        <v>7062522</v>
      </c>
      <c r="D3704" s="113" t="s">
        <v>3093</v>
      </c>
      <c r="E3704" s="113" t="s">
        <v>1620</v>
      </c>
      <c r="F3704" s="113" t="s">
        <v>3093</v>
      </c>
      <c r="G3704" s="113" t="s">
        <v>3093</v>
      </c>
      <c r="H3704" s="161">
        <v>0</v>
      </c>
      <c r="I3704" s="161" t="s">
        <v>7138</v>
      </c>
    </row>
    <row r="3705" spans="1:9">
      <c r="A3705" s="113">
        <v>100900421</v>
      </c>
      <c r="B3705" s="113" t="s">
        <v>6364</v>
      </c>
      <c r="C3705" s="113">
        <v>7062523</v>
      </c>
      <c r="D3705" s="113" t="s">
        <v>3093</v>
      </c>
      <c r="E3705" s="113" t="s">
        <v>1620</v>
      </c>
      <c r="F3705" s="113" t="s">
        <v>3093</v>
      </c>
      <c r="G3705" s="113" t="s">
        <v>3093</v>
      </c>
      <c r="H3705" s="161">
        <v>0</v>
      </c>
      <c r="I3705" s="161" t="s">
        <v>7138</v>
      </c>
    </row>
    <row r="3706" spans="1:9">
      <c r="A3706" s="113">
        <v>100900422</v>
      </c>
      <c r="B3706" s="113" t="s">
        <v>6365</v>
      </c>
      <c r="C3706" s="113">
        <v>7062524</v>
      </c>
      <c r="D3706" s="113" t="s">
        <v>3093</v>
      </c>
      <c r="E3706" s="113" t="s">
        <v>1620</v>
      </c>
      <c r="F3706" s="113" t="s">
        <v>3093</v>
      </c>
      <c r="G3706" s="113" t="s">
        <v>3093</v>
      </c>
      <c r="H3706" s="161">
        <v>0</v>
      </c>
      <c r="I3706" s="161" t="s">
        <v>7138</v>
      </c>
    </row>
    <row r="3707" spans="1:9">
      <c r="A3707" s="113">
        <v>100900423</v>
      </c>
      <c r="B3707" s="113" t="s">
        <v>6366</v>
      </c>
      <c r="C3707" s="113">
        <v>7062525</v>
      </c>
      <c r="D3707" s="113" t="s">
        <v>3093</v>
      </c>
      <c r="E3707" s="113" t="s">
        <v>1620</v>
      </c>
      <c r="F3707" s="113" t="s">
        <v>3093</v>
      </c>
      <c r="G3707" s="113" t="s">
        <v>3093</v>
      </c>
      <c r="H3707" s="161">
        <v>0</v>
      </c>
      <c r="I3707" s="161" t="s">
        <v>7138</v>
      </c>
    </row>
    <row r="3708" spans="1:9">
      <c r="A3708" s="113">
        <v>100900424</v>
      </c>
      <c r="B3708" s="113" t="s">
        <v>6367</v>
      </c>
      <c r="C3708" s="113">
        <v>7062526</v>
      </c>
      <c r="D3708" s="113" t="s">
        <v>3093</v>
      </c>
      <c r="E3708" s="113" t="s">
        <v>1620</v>
      </c>
      <c r="F3708" s="113" t="s">
        <v>3093</v>
      </c>
      <c r="G3708" s="113" t="s">
        <v>3093</v>
      </c>
      <c r="H3708" s="161">
        <v>0</v>
      </c>
      <c r="I3708" s="161" t="s">
        <v>7138</v>
      </c>
    </row>
    <row r="3709" spans="1:9">
      <c r="A3709" s="113">
        <v>100900425</v>
      </c>
      <c r="B3709" s="113" t="s">
        <v>6368</v>
      </c>
      <c r="C3709" s="113">
        <v>7062527</v>
      </c>
      <c r="D3709" s="113" t="s">
        <v>3093</v>
      </c>
      <c r="E3709" s="113" t="s">
        <v>1620</v>
      </c>
      <c r="F3709" s="113" t="s">
        <v>3093</v>
      </c>
      <c r="G3709" s="113" t="s">
        <v>3093</v>
      </c>
      <c r="H3709" s="161">
        <v>0</v>
      </c>
      <c r="I3709" s="161" t="s">
        <v>7138</v>
      </c>
    </row>
    <row r="3710" spans="1:9">
      <c r="A3710" s="113">
        <v>100900426</v>
      </c>
      <c r="B3710" s="113" t="s">
        <v>6369</v>
      </c>
      <c r="C3710" s="113">
        <v>7062528</v>
      </c>
      <c r="D3710" s="113" t="s">
        <v>3093</v>
      </c>
      <c r="E3710" s="113" t="s">
        <v>1620</v>
      </c>
      <c r="F3710" s="113" t="s">
        <v>3093</v>
      </c>
      <c r="G3710" s="113" t="s">
        <v>3093</v>
      </c>
      <c r="H3710" s="161">
        <v>0</v>
      </c>
      <c r="I3710" s="161" t="s">
        <v>7138</v>
      </c>
    </row>
    <row r="3711" spans="1:9">
      <c r="A3711" s="113">
        <v>100900427</v>
      </c>
      <c r="B3711" s="113" t="s">
        <v>6370</v>
      </c>
      <c r="C3711" s="113">
        <v>7062529</v>
      </c>
      <c r="D3711" s="113" t="s">
        <v>3093</v>
      </c>
      <c r="E3711" s="113" t="s">
        <v>1620</v>
      </c>
      <c r="F3711" s="113" t="s">
        <v>3093</v>
      </c>
      <c r="G3711" s="113" t="s">
        <v>3093</v>
      </c>
      <c r="H3711" s="161">
        <v>0</v>
      </c>
      <c r="I3711" s="161" t="s">
        <v>7138</v>
      </c>
    </row>
    <row r="3712" spans="1:9">
      <c r="A3712" s="113">
        <v>100900428</v>
      </c>
      <c r="B3712" s="113" t="s">
        <v>6371</v>
      </c>
      <c r="C3712" s="113">
        <v>7062530</v>
      </c>
      <c r="D3712" s="113" t="s">
        <v>3093</v>
      </c>
      <c r="E3712" s="113" t="s">
        <v>1620</v>
      </c>
      <c r="F3712" s="113" t="s">
        <v>3093</v>
      </c>
      <c r="G3712" s="113" t="s">
        <v>3093</v>
      </c>
      <c r="H3712" s="161">
        <v>0</v>
      </c>
      <c r="I3712" s="161" t="s">
        <v>7138</v>
      </c>
    </row>
    <row r="3713" spans="1:9">
      <c r="A3713" s="113">
        <v>100900429</v>
      </c>
      <c r="B3713" s="113" t="s">
        <v>6372</v>
      </c>
      <c r="C3713" s="113">
        <v>7062531</v>
      </c>
      <c r="D3713" s="113" t="s">
        <v>3093</v>
      </c>
      <c r="E3713" s="113" t="s">
        <v>1620</v>
      </c>
      <c r="F3713" s="113" t="s">
        <v>3093</v>
      </c>
      <c r="G3713" s="113" t="s">
        <v>3093</v>
      </c>
      <c r="H3713" s="161">
        <v>0</v>
      </c>
      <c r="I3713" s="161" t="s">
        <v>7138</v>
      </c>
    </row>
    <row r="3714" spans="1:9">
      <c r="A3714" s="113">
        <v>100900430</v>
      </c>
      <c r="B3714" s="113" t="s">
        <v>6373</v>
      </c>
      <c r="C3714" s="113">
        <v>7062532</v>
      </c>
      <c r="D3714" s="113" t="s">
        <v>3093</v>
      </c>
      <c r="E3714" s="113" t="s">
        <v>1620</v>
      </c>
      <c r="F3714" s="113" t="s">
        <v>3093</v>
      </c>
      <c r="G3714" s="113" t="s">
        <v>3093</v>
      </c>
      <c r="H3714" s="161">
        <v>0</v>
      </c>
      <c r="I3714" s="161" t="s">
        <v>7138</v>
      </c>
    </row>
    <row r="3715" spans="1:9">
      <c r="A3715" s="113">
        <v>100900431</v>
      </c>
      <c r="B3715" s="113" t="s">
        <v>6374</v>
      </c>
      <c r="C3715" s="113">
        <v>7062533</v>
      </c>
      <c r="D3715" s="113" t="s">
        <v>3093</v>
      </c>
      <c r="E3715" s="113" t="s">
        <v>1620</v>
      </c>
      <c r="F3715" s="113" t="s">
        <v>3093</v>
      </c>
      <c r="G3715" s="113" t="s">
        <v>3093</v>
      </c>
      <c r="H3715" s="161">
        <v>0</v>
      </c>
      <c r="I3715" s="161" t="s">
        <v>7138</v>
      </c>
    </row>
    <row r="3716" spans="1:9">
      <c r="A3716" s="113">
        <v>100900432</v>
      </c>
      <c r="B3716" s="113" t="s">
        <v>6375</v>
      </c>
      <c r="C3716" s="113">
        <v>7062534</v>
      </c>
      <c r="D3716" s="113" t="s">
        <v>3093</v>
      </c>
      <c r="E3716" s="113" t="s">
        <v>1620</v>
      </c>
      <c r="F3716" s="113" t="s">
        <v>3093</v>
      </c>
      <c r="G3716" s="113" t="s">
        <v>3093</v>
      </c>
      <c r="H3716" s="161">
        <v>0</v>
      </c>
      <c r="I3716" s="161" t="s">
        <v>7138</v>
      </c>
    </row>
    <row r="3717" spans="1:9">
      <c r="A3717" s="113">
        <v>100900433</v>
      </c>
      <c r="B3717" s="113" t="s">
        <v>6376</v>
      </c>
      <c r="C3717" s="113">
        <v>7062535</v>
      </c>
      <c r="D3717" s="113" t="s">
        <v>3093</v>
      </c>
      <c r="E3717" s="113" t="s">
        <v>1620</v>
      </c>
      <c r="F3717" s="113" t="s">
        <v>3093</v>
      </c>
      <c r="G3717" s="113" t="s">
        <v>3093</v>
      </c>
      <c r="H3717" s="161">
        <v>0</v>
      </c>
      <c r="I3717" s="161" t="s">
        <v>7138</v>
      </c>
    </row>
    <row r="3718" spans="1:9">
      <c r="A3718" s="113">
        <v>100900434</v>
      </c>
      <c r="B3718" s="113" t="s">
        <v>6377</v>
      </c>
      <c r="C3718" s="113">
        <v>7062539</v>
      </c>
      <c r="D3718" s="113" t="s">
        <v>3093</v>
      </c>
      <c r="E3718" s="113" t="s">
        <v>1620</v>
      </c>
      <c r="F3718" s="113" t="s">
        <v>3093</v>
      </c>
      <c r="G3718" s="113" t="s">
        <v>3093</v>
      </c>
      <c r="H3718" s="161">
        <v>1651.5</v>
      </c>
      <c r="I3718" s="161">
        <v>0</v>
      </c>
    </row>
    <row r="3719" spans="1:9">
      <c r="A3719" s="113">
        <v>100900435</v>
      </c>
      <c r="B3719" s="113" t="s">
        <v>6378</v>
      </c>
      <c r="C3719" s="113">
        <v>7062540</v>
      </c>
      <c r="D3719" s="113" t="s">
        <v>3093</v>
      </c>
      <c r="E3719" s="113" t="s">
        <v>1620</v>
      </c>
      <c r="F3719" s="113" t="s">
        <v>3093</v>
      </c>
      <c r="G3719" s="113" t="s">
        <v>3093</v>
      </c>
      <c r="H3719" s="161">
        <v>0</v>
      </c>
      <c r="I3719" s="161" t="s">
        <v>7138</v>
      </c>
    </row>
    <row r="3720" spans="1:9">
      <c r="A3720" s="113">
        <v>100900436</v>
      </c>
      <c r="B3720" s="113" t="s">
        <v>6379</v>
      </c>
      <c r="C3720" s="113">
        <v>7072072</v>
      </c>
      <c r="D3720" s="113" t="s">
        <v>3093</v>
      </c>
      <c r="E3720" s="113" t="s">
        <v>1620</v>
      </c>
      <c r="F3720" s="113" t="s">
        <v>3093</v>
      </c>
      <c r="G3720" s="113" t="s">
        <v>3093</v>
      </c>
      <c r="H3720" s="161">
        <v>0</v>
      </c>
      <c r="I3720" s="161" t="s">
        <v>7138</v>
      </c>
    </row>
    <row r="3721" spans="1:9">
      <c r="A3721" s="113">
        <v>100900437</v>
      </c>
      <c r="B3721" s="113" t="s">
        <v>6380</v>
      </c>
      <c r="C3721" s="113">
        <v>7072074</v>
      </c>
      <c r="D3721" s="113" t="s">
        <v>3093</v>
      </c>
      <c r="E3721" s="113" t="s">
        <v>1620</v>
      </c>
      <c r="F3721" s="113" t="s">
        <v>3093</v>
      </c>
      <c r="G3721" s="113" t="s">
        <v>3093</v>
      </c>
      <c r="H3721" s="161">
        <v>0</v>
      </c>
      <c r="I3721" s="161" t="s">
        <v>7138</v>
      </c>
    </row>
    <row r="3722" spans="1:9">
      <c r="A3722" s="113">
        <v>100900438</v>
      </c>
      <c r="B3722" s="113" t="s">
        <v>6381</v>
      </c>
      <c r="C3722" s="113">
        <v>7080076</v>
      </c>
      <c r="D3722" s="113" t="s">
        <v>3093</v>
      </c>
      <c r="E3722" s="113" t="s">
        <v>1620</v>
      </c>
      <c r="F3722" s="113" t="s">
        <v>3093</v>
      </c>
      <c r="G3722" s="113" t="s">
        <v>3093</v>
      </c>
      <c r="H3722" s="161">
        <v>0</v>
      </c>
      <c r="I3722" s="161" t="s">
        <v>7138</v>
      </c>
    </row>
    <row r="3723" spans="1:9">
      <c r="A3723" s="113">
        <v>100900439</v>
      </c>
      <c r="B3723" s="113" t="s">
        <v>6382</v>
      </c>
      <c r="C3723" s="113">
        <v>7080197</v>
      </c>
      <c r="D3723" s="113" t="s">
        <v>3093</v>
      </c>
      <c r="E3723" s="113" t="s">
        <v>1620</v>
      </c>
      <c r="F3723" s="113" t="s">
        <v>3093</v>
      </c>
      <c r="G3723" s="113" t="s">
        <v>3093</v>
      </c>
      <c r="H3723" s="161">
        <v>1091.03</v>
      </c>
      <c r="I3723" s="161">
        <v>12</v>
      </c>
    </row>
    <row r="3724" spans="1:9">
      <c r="A3724" s="113">
        <v>100900440</v>
      </c>
      <c r="B3724" s="113" t="s">
        <v>6383</v>
      </c>
      <c r="C3724" s="113">
        <v>7080198</v>
      </c>
      <c r="D3724" s="113" t="s">
        <v>3093</v>
      </c>
      <c r="E3724" s="113" t="s">
        <v>1620</v>
      </c>
      <c r="F3724" s="113" t="s">
        <v>3093</v>
      </c>
      <c r="G3724" s="113" t="s">
        <v>3093</v>
      </c>
      <c r="H3724" s="161">
        <v>510</v>
      </c>
      <c r="I3724" s="161">
        <v>12</v>
      </c>
    </row>
    <row r="3725" spans="1:9">
      <c r="A3725" s="113">
        <v>100900441</v>
      </c>
      <c r="B3725" s="113" t="s">
        <v>6384</v>
      </c>
      <c r="C3725" s="113">
        <v>7080202</v>
      </c>
      <c r="D3725" s="113" t="s">
        <v>3093</v>
      </c>
      <c r="E3725" s="113" t="s">
        <v>1620</v>
      </c>
      <c r="F3725" s="113" t="s">
        <v>3093</v>
      </c>
      <c r="G3725" s="113" t="s">
        <v>3093</v>
      </c>
      <c r="H3725" s="161">
        <v>510</v>
      </c>
      <c r="I3725" s="161">
        <v>12</v>
      </c>
    </row>
    <row r="3726" spans="1:9">
      <c r="A3726" s="113">
        <v>100900442</v>
      </c>
      <c r="B3726" s="113" t="s">
        <v>6385</v>
      </c>
      <c r="C3726" s="113">
        <v>7080206</v>
      </c>
      <c r="D3726" s="113" t="s">
        <v>3093</v>
      </c>
      <c r="E3726" s="113" t="s">
        <v>1620</v>
      </c>
      <c r="F3726" s="113" t="s">
        <v>3093</v>
      </c>
      <c r="G3726" s="113" t="s">
        <v>3093</v>
      </c>
      <c r="H3726" s="161">
        <v>0</v>
      </c>
      <c r="I3726" s="161" t="s">
        <v>7138</v>
      </c>
    </row>
    <row r="3727" spans="1:9">
      <c r="A3727" s="113">
        <v>100900443</v>
      </c>
      <c r="B3727" s="113" t="s">
        <v>6386</v>
      </c>
      <c r="C3727" s="113">
        <v>7081064</v>
      </c>
      <c r="D3727" s="113" t="s">
        <v>3093</v>
      </c>
      <c r="E3727" s="113" t="s">
        <v>1620</v>
      </c>
      <c r="F3727" s="113" t="s">
        <v>3093</v>
      </c>
      <c r="G3727" s="113" t="s">
        <v>3093</v>
      </c>
      <c r="H3727" s="161">
        <v>895</v>
      </c>
      <c r="I3727" s="161">
        <v>6</v>
      </c>
    </row>
    <row r="3728" spans="1:9">
      <c r="A3728" s="113">
        <v>100900444</v>
      </c>
      <c r="B3728" s="113" t="s">
        <v>6387</v>
      </c>
      <c r="C3728" s="113">
        <v>7081066</v>
      </c>
      <c r="D3728" s="113" t="s">
        <v>3093</v>
      </c>
      <c r="E3728" s="113" t="s">
        <v>1620</v>
      </c>
      <c r="F3728" s="113" t="s">
        <v>3093</v>
      </c>
      <c r="G3728" s="113" t="s">
        <v>3093</v>
      </c>
      <c r="H3728" s="161">
        <v>1130</v>
      </c>
      <c r="I3728" s="161">
        <v>1</v>
      </c>
    </row>
    <row r="3729" spans="1:9">
      <c r="A3729" s="113">
        <v>100900445</v>
      </c>
      <c r="B3729" s="113" t="s">
        <v>6388</v>
      </c>
      <c r="C3729" s="113">
        <v>7081068</v>
      </c>
      <c r="D3729" s="113" t="s">
        <v>3093</v>
      </c>
      <c r="E3729" s="113" t="s">
        <v>1620</v>
      </c>
      <c r="F3729" s="113" t="s">
        <v>3093</v>
      </c>
      <c r="G3729" s="113" t="s">
        <v>3093</v>
      </c>
      <c r="H3729" s="161">
        <v>2409.81</v>
      </c>
      <c r="I3729" s="161">
        <v>12</v>
      </c>
    </row>
    <row r="3730" spans="1:9">
      <c r="A3730" s="113">
        <v>100900446</v>
      </c>
      <c r="B3730" s="113" t="s">
        <v>6389</v>
      </c>
      <c r="C3730" s="113">
        <v>7081074</v>
      </c>
      <c r="D3730" s="113" t="s">
        <v>3093</v>
      </c>
      <c r="E3730" s="113" t="s">
        <v>1620</v>
      </c>
      <c r="F3730" s="113" t="s">
        <v>3093</v>
      </c>
      <c r="G3730" s="113" t="s">
        <v>3093</v>
      </c>
      <c r="H3730" s="161">
        <v>715</v>
      </c>
      <c r="I3730" s="161">
        <v>25</v>
      </c>
    </row>
    <row r="3731" spans="1:9">
      <c r="A3731" s="113">
        <v>100900447</v>
      </c>
      <c r="B3731" s="113" t="s">
        <v>6390</v>
      </c>
      <c r="C3731" s="113">
        <v>7081075</v>
      </c>
      <c r="D3731" s="113" t="s">
        <v>3093</v>
      </c>
      <c r="E3731" s="113" t="s">
        <v>1620</v>
      </c>
      <c r="F3731" s="113" t="s">
        <v>3093</v>
      </c>
      <c r="G3731" s="113" t="s">
        <v>3093</v>
      </c>
      <c r="H3731" s="161">
        <v>624</v>
      </c>
      <c r="I3731" s="161">
        <v>3</v>
      </c>
    </row>
    <row r="3732" spans="1:9">
      <c r="A3732" s="113">
        <v>100900448</v>
      </c>
      <c r="B3732" s="113" t="s">
        <v>6391</v>
      </c>
      <c r="C3732" s="113">
        <v>7081076</v>
      </c>
      <c r="D3732" s="113" t="s">
        <v>3093</v>
      </c>
      <c r="E3732" s="113" t="s">
        <v>1620</v>
      </c>
      <c r="F3732" s="113" t="s">
        <v>3093</v>
      </c>
      <c r="G3732" s="113" t="s">
        <v>3093</v>
      </c>
      <c r="H3732" s="161">
        <v>649</v>
      </c>
      <c r="I3732" s="161">
        <v>7</v>
      </c>
    </row>
    <row r="3733" spans="1:9">
      <c r="A3733" s="113">
        <v>100900449</v>
      </c>
      <c r="B3733" s="113" t="s">
        <v>6392</v>
      </c>
      <c r="C3733" s="113">
        <v>7081077</v>
      </c>
      <c r="D3733" s="113" t="s">
        <v>3093</v>
      </c>
      <c r="E3733" s="113" t="s">
        <v>1620</v>
      </c>
      <c r="F3733" s="113" t="s">
        <v>3093</v>
      </c>
      <c r="G3733" s="113" t="s">
        <v>3093</v>
      </c>
      <c r="H3733" s="161">
        <v>950</v>
      </c>
      <c r="I3733" s="161">
        <v>1</v>
      </c>
    </row>
    <row r="3734" spans="1:9">
      <c r="A3734" s="113">
        <v>100900450</v>
      </c>
      <c r="B3734" s="113" t="s">
        <v>6393</v>
      </c>
      <c r="C3734" s="113">
        <v>7081078</v>
      </c>
      <c r="D3734" s="113" t="s">
        <v>3093</v>
      </c>
      <c r="E3734" s="113" t="s">
        <v>1620</v>
      </c>
      <c r="F3734" s="113" t="s">
        <v>3093</v>
      </c>
      <c r="G3734" s="113" t="s">
        <v>3093</v>
      </c>
      <c r="H3734" s="161">
        <v>995</v>
      </c>
      <c r="I3734" s="161">
        <v>8</v>
      </c>
    </row>
    <row r="3735" spans="1:9">
      <c r="A3735" s="113">
        <v>100900451</v>
      </c>
      <c r="B3735" s="113" t="s">
        <v>6394</v>
      </c>
      <c r="C3735" s="113">
        <v>7081079</v>
      </c>
      <c r="D3735" s="113" t="s">
        <v>3093</v>
      </c>
      <c r="E3735" s="113" t="s">
        <v>1620</v>
      </c>
      <c r="F3735" s="113" t="s">
        <v>3093</v>
      </c>
      <c r="G3735" s="113" t="s">
        <v>3093</v>
      </c>
      <c r="H3735" s="161">
        <v>825</v>
      </c>
      <c r="I3735" s="161">
        <v>20</v>
      </c>
    </row>
    <row r="3736" spans="1:9">
      <c r="A3736" s="113">
        <v>100900452</v>
      </c>
      <c r="B3736" s="113" t="s">
        <v>6395</v>
      </c>
      <c r="C3736" s="113">
        <v>7081080</v>
      </c>
      <c r="D3736" s="113" t="s">
        <v>3093</v>
      </c>
      <c r="E3736" s="113" t="s">
        <v>1620</v>
      </c>
      <c r="F3736" s="113" t="s">
        <v>3093</v>
      </c>
      <c r="G3736" s="113" t="s">
        <v>3093</v>
      </c>
      <c r="H3736" s="161">
        <v>785</v>
      </c>
      <c r="I3736" s="161">
        <v>0</v>
      </c>
    </row>
    <row r="3737" spans="1:9">
      <c r="A3737" s="113">
        <v>100900453</v>
      </c>
      <c r="B3737" s="113" t="s">
        <v>6396</v>
      </c>
      <c r="C3737" s="113">
        <v>7081081</v>
      </c>
      <c r="D3737" s="113" t="s">
        <v>3093</v>
      </c>
      <c r="E3737" s="113" t="s">
        <v>1620</v>
      </c>
      <c r="F3737" s="113" t="s">
        <v>3093</v>
      </c>
      <c r="G3737" s="113" t="s">
        <v>3093</v>
      </c>
      <c r="H3737" s="161">
        <v>1960</v>
      </c>
      <c r="I3737" s="161">
        <v>3</v>
      </c>
    </row>
    <row r="3738" spans="1:9">
      <c r="A3738" s="113">
        <v>100900454</v>
      </c>
      <c r="B3738" s="113" t="s">
        <v>6397</v>
      </c>
      <c r="C3738" s="113">
        <v>7090078</v>
      </c>
      <c r="D3738" s="113" t="s">
        <v>3093</v>
      </c>
      <c r="E3738" s="113" t="s">
        <v>1620</v>
      </c>
      <c r="F3738" s="113" t="s">
        <v>3093</v>
      </c>
      <c r="G3738" s="113" t="s">
        <v>3093</v>
      </c>
      <c r="H3738" s="161">
        <v>3.96</v>
      </c>
      <c r="I3738" s="161">
        <v>6</v>
      </c>
    </row>
    <row r="3739" spans="1:9">
      <c r="A3739" s="113">
        <v>100900455</v>
      </c>
      <c r="B3739" s="113" t="s">
        <v>6398</v>
      </c>
      <c r="C3739" s="113">
        <v>7090079</v>
      </c>
      <c r="D3739" s="113" t="s">
        <v>3093</v>
      </c>
      <c r="E3739" s="113" t="s">
        <v>1620</v>
      </c>
      <c r="F3739" s="113" t="s">
        <v>3093</v>
      </c>
      <c r="G3739" s="113" t="s">
        <v>3093</v>
      </c>
      <c r="H3739" s="161">
        <v>7</v>
      </c>
      <c r="I3739" s="161">
        <v>6</v>
      </c>
    </row>
    <row r="3740" spans="1:9">
      <c r="A3740" s="113">
        <v>100900456</v>
      </c>
      <c r="B3740" s="113" t="s">
        <v>6399</v>
      </c>
      <c r="C3740" s="113">
        <v>7090081</v>
      </c>
      <c r="D3740" s="113" t="s">
        <v>3093</v>
      </c>
      <c r="E3740" s="113" t="s">
        <v>1620</v>
      </c>
      <c r="F3740" s="113" t="s">
        <v>3093</v>
      </c>
      <c r="G3740" s="113" t="s">
        <v>3093</v>
      </c>
      <c r="H3740" s="161">
        <v>2.1800000000000002</v>
      </c>
      <c r="I3740" s="161">
        <v>100</v>
      </c>
    </row>
    <row r="3741" spans="1:9">
      <c r="A3741" s="113">
        <v>100900457</v>
      </c>
      <c r="B3741" s="113" t="s">
        <v>6400</v>
      </c>
      <c r="C3741" s="113">
        <v>7090082</v>
      </c>
      <c r="D3741" s="113" t="s">
        <v>3093</v>
      </c>
      <c r="E3741" s="113" t="s">
        <v>1620</v>
      </c>
      <c r="F3741" s="113" t="s">
        <v>3093</v>
      </c>
      <c r="G3741" s="113" t="s">
        <v>3093</v>
      </c>
      <c r="H3741" s="161">
        <v>2.1800000000000002</v>
      </c>
      <c r="I3741" s="161">
        <v>0</v>
      </c>
    </row>
    <row r="3742" spans="1:9">
      <c r="A3742" s="113">
        <v>100900458</v>
      </c>
      <c r="B3742" s="113" t="s">
        <v>6401</v>
      </c>
      <c r="C3742" s="113">
        <v>7090083</v>
      </c>
      <c r="D3742" s="113" t="s">
        <v>3093</v>
      </c>
      <c r="E3742" s="113" t="s">
        <v>1620</v>
      </c>
      <c r="F3742" s="113" t="s">
        <v>3093</v>
      </c>
      <c r="G3742" s="113" t="s">
        <v>3093</v>
      </c>
      <c r="H3742" s="161">
        <v>2.1800000000000002</v>
      </c>
      <c r="I3742" s="161">
        <v>0</v>
      </c>
    </row>
    <row r="3743" spans="1:9">
      <c r="A3743" s="113">
        <v>100900459</v>
      </c>
      <c r="B3743" s="113" t="s">
        <v>6402</v>
      </c>
      <c r="C3743" s="113">
        <v>7090084</v>
      </c>
      <c r="D3743" s="113" t="s">
        <v>3093</v>
      </c>
      <c r="E3743" s="113" t="s">
        <v>1620</v>
      </c>
      <c r="F3743" s="113" t="s">
        <v>3093</v>
      </c>
      <c r="G3743" s="113" t="s">
        <v>3093</v>
      </c>
      <c r="H3743" s="161">
        <v>25</v>
      </c>
      <c r="I3743" s="161">
        <v>0</v>
      </c>
    </row>
    <row r="3744" spans="1:9">
      <c r="A3744" s="113">
        <v>100900460</v>
      </c>
      <c r="B3744" s="113" t="s">
        <v>6403</v>
      </c>
      <c r="C3744" s="113">
        <v>7090085</v>
      </c>
      <c r="D3744" s="113" t="s">
        <v>3093</v>
      </c>
      <c r="E3744" s="113" t="s">
        <v>1620</v>
      </c>
      <c r="F3744" s="113" t="s">
        <v>3093</v>
      </c>
      <c r="G3744" s="115" t="s">
        <v>3093</v>
      </c>
      <c r="H3744" s="161">
        <v>18</v>
      </c>
      <c r="I3744" s="161">
        <v>0</v>
      </c>
    </row>
    <row r="3745" spans="1:9">
      <c r="A3745" s="113">
        <v>100900461</v>
      </c>
      <c r="B3745" s="113" t="s">
        <v>6404</v>
      </c>
      <c r="C3745" s="113">
        <v>7090086</v>
      </c>
      <c r="D3745" s="113" t="s">
        <v>3093</v>
      </c>
      <c r="E3745" s="113" t="s">
        <v>1620</v>
      </c>
      <c r="F3745" s="113" t="s">
        <v>3093</v>
      </c>
      <c r="G3745" s="115" t="s">
        <v>3093</v>
      </c>
      <c r="H3745" s="161">
        <v>30</v>
      </c>
      <c r="I3745" s="161">
        <v>0</v>
      </c>
    </row>
    <row r="3746" spans="1:9">
      <c r="A3746" s="113">
        <v>100900462</v>
      </c>
      <c r="B3746" s="113" t="s">
        <v>6405</v>
      </c>
      <c r="C3746" s="113">
        <v>7090087</v>
      </c>
      <c r="D3746" s="113" t="s">
        <v>3093</v>
      </c>
      <c r="E3746" s="113" t="s">
        <v>1620</v>
      </c>
      <c r="F3746" s="113" t="s">
        <v>3093</v>
      </c>
      <c r="G3746" s="115" t="s">
        <v>3093</v>
      </c>
      <c r="H3746" s="161">
        <v>30</v>
      </c>
      <c r="I3746" s="161">
        <v>0</v>
      </c>
    </row>
    <row r="3747" spans="1:9">
      <c r="A3747" s="113">
        <v>100900463</v>
      </c>
      <c r="B3747" s="113" t="s">
        <v>6406</v>
      </c>
      <c r="C3747" s="113">
        <v>7090116</v>
      </c>
      <c r="D3747" s="113" t="s">
        <v>3093</v>
      </c>
      <c r="E3747" s="113" t="s">
        <v>1620</v>
      </c>
      <c r="F3747" s="113" t="s">
        <v>3093</v>
      </c>
      <c r="G3747" s="113" t="s">
        <v>3093</v>
      </c>
      <c r="H3747" s="161">
        <v>0</v>
      </c>
      <c r="I3747" s="161" t="s">
        <v>7138</v>
      </c>
    </row>
    <row r="3748" spans="1:9">
      <c r="A3748" s="113">
        <v>100900464</v>
      </c>
      <c r="B3748" s="113" t="s">
        <v>6407</v>
      </c>
      <c r="C3748" s="113">
        <v>7090126</v>
      </c>
      <c r="D3748" s="113" t="s">
        <v>3093</v>
      </c>
      <c r="E3748" s="113" t="s">
        <v>1620</v>
      </c>
      <c r="F3748" s="113" t="s">
        <v>3093</v>
      </c>
      <c r="G3748" s="113" t="s">
        <v>3093</v>
      </c>
      <c r="H3748" s="161">
        <v>36</v>
      </c>
      <c r="I3748" s="161">
        <v>0</v>
      </c>
    </row>
    <row r="3749" spans="1:9">
      <c r="A3749" s="113">
        <v>100900465</v>
      </c>
      <c r="B3749" s="113" t="s">
        <v>3056</v>
      </c>
      <c r="C3749" s="113">
        <v>7090127</v>
      </c>
      <c r="D3749" s="113" t="s">
        <v>3093</v>
      </c>
      <c r="E3749" s="113" t="s">
        <v>1620</v>
      </c>
      <c r="F3749" s="113" t="s">
        <v>3093</v>
      </c>
      <c r="G3749" s="113" t="s">
        <v>3093</v>
      </c>
      <c r="H3749" s="161">
        <v>39.5</v>
      </c>
      <c r="I3749" s="161">
        <v>7</v>
      </c>
    </row>
    <row r="3750" spans="1:9">
      <c r="A3750" s="113">
        <v>100900466</v>
      </c>
      <c r="B3750" s="113" t="s">
        <v>3057</v>
      </c>
      <c r="C3750" s="113">
        <v>7090128</v>
      </c>
      <c r="D3750" s="113" t="s">
        <v>3093</v>
      </c>
      <c r="E3750" s="113" t="s">
        <v>1620</v>
      </c>
      <c r="F3750" s="113" t="s">
        <v>3093</v>
      </c>
      <c r="G3750" s="113" t="s">
        <v>3093</v>
      </c>
      <c r="H3750" s="161">
        <v>125</v>
      </c>
      <c r="I3750" s="161">
        <v>7</v>
      </c>
    </row>
    <row r="3751" spans="1:9">
      <c r="A3751" s="113">
        <v>100900467</v>
      </c>
      <c r="B3751" s="113" t="s">
        <v>6408</v>
      </c>
      <c r="C3751" s="113">
        <v>7090131</v>
      </c>
      <c r="D3751" s="113" t="s">
        <v>3093</v>
      </c>
      <c r="E3751" s="113" t="s">
        <v>1620</v>
      </c>
      <c r="F3751" s="113" t="s">
        <v>3093</v>
      </c>
      <c r="G3751" s="113" t="s">
        <v>3093</v>
      </c>
      <c r="H3751" s="161">
        <v>12</v>
      </c>
      <c r="I3751" s="161">
        <v>16</v>
      </c>
    </row>
    <row r="3752" spans="1:9">
      <c r="A3752" s="113">
        <v>100900468</v>
      </c>
      <c r="B3752" s="113" t="s">
        <v>6409</v>
      </c>
      <c r="C3752" s="113">
        <v>7090132</v>
      </c>
      <c r="D3752" s="113" t="s">
        <v>3093</v>
      </c>
      <c r="E3752" s="113" t="s">
        <v>1620</v>
      </c>
      <c r="F3752" s="113" t="s">
        <v>3093</v>
      </c>
      <c r="G3752" s="113" t="s">
        <v>3093</v>
      </c>
      <c r="H3752" s="161">
        <v>39.99</v>
      </c>
      <c r="I3752" s="161">
        <v>0</v>
      </c>
    </row>
    <row r="3753" spans="1:9">
      <c r="A3753" s="113">
        <v>100900469</v>
      </c>
      <c r="B3753" s="113" t="s">
        <v>6410</v>
      </c>
      <c r="C3753" s="113">
        <v>7090133</v>
      </c>
      <c r="D3753" s="113" t="s">
        <v>3093</v>
      </c>
      <c r="E3753" s="113" t="s">
        <v>1620</v>
      </c>
      <c r="F3753" s="113" t="s">
        <v>3093</v>
      </c>
      <c r="G3753" s="113" t="s">
        <v>3093</v>
      </c>
      <c r="H3753" s="161">
        <v>43.5</v>
      </c>
      <c r="I3753" s="161">
        <v>0</v>
      </c>
    </row>
    <row r="3754" spans="1:9">
      <c r="A3754" s="113">
        <v>100900470</v>
      </c>
      <c r="B3754" s="113" t="s">
        <v>3058</v>
      </c>
      <c r="C3754" s="113">
        <v>7090134</v>
      </c>
      <c r="D3754" s="113" t="s">
        <v>3093</v>
      </c>
      <c r="E3754" s="113" t="s">
        <v>1620</v>
      </c>
      <c r="F3754" s="113" t="s">
        <v>3093</v>
      </c>
      <c r="G3754" s="113" t="s">
        <v>3093</v>
      </c>
      <c r="H3754" s="161">
        <v>389.45</v>
      </c>
      <c r="I3754" s="161">
        <v>0</v>
      </c>
    </row>
    <row r="3755" spans="1:9">
      <c r="A3755" s="113">
        <v>100900471</v>
      </c>
      <c r="B3755" s="113" t="s">
        <v>6411</v>
      </c>
      <c r="C3755" s="113">
        <v>7090161</v>
      </c>
      <c r="D3755" s="113" t="s">
        <v>3093</v>
      </c>
      <c r="E3755" s="113" t="s">
        <v>1620</v>
      </c>
      <c r="F3755" s="113" t="s">
        <v>3093</v>
      </c>
      <c r="G3755" s="113" t="s">
        <v>3093</v>
      </c>
      <c r="H3755" s="161">
        <v>63</v>
      </c>
      <c r="I3755" s="161">
        <v>22</v>
      </c>
    </row>
    <row r="3756" spans="1:9">
      <c r="A3756" s="113">
        <v>100900472</v>
      </c>
      <c r="B3756" s="113" t="s">
        <v>6412</v>
      </c>
      <c r="C3756" s="113">
        <v>7090162</v>
      </c>
      <c r="D3756" s="113" t="s">
        <v>3093</v>
      </c>
      <c r="E3756" s="113" t="s">
        <v>1620</v>
      </c>
      <c r="F3756" s="113" t="s">
        <v>3093</v>
      </c>
      <c r="G3756" s="113" t="s">
        <v>3093</v>
      </c>
      <c r="H3756" s="161">
        <v>52.5</v>
      </c>
      <c r="I3756" s="161">
        <v>26</v>
      </c>
    </row>
    <row r="3757" spans="1:9">
      <c r="A3757" s="113">
        <v>100900473</v>
      </c>
      <c r="B3757" s="113" t="s">
        <v>6413</v>
      </c>
      <c r="C3757" s="113">
        <v>7090163</v>
      </c>
      <c r="D3757" s="113" t="s">
        <v>3093</v>
      </c>
      <c r="E3757" s="113" t="s">
        <v>1620</v>
      </c>
      <c r="F3757" s="113" t="s">
        <v>3093</v>
      </c>
      <c r="G3757" s="113" t="s">
        <v>3093</v>
      </c>
      <c r="H3757" s="161">
        <v>24.4</v>
      </c>
      <c r="I3757" s="161">
        <v>14</v>
      </c>
    </row>
    <row r="3758" spans="1:9">
      <c r="A3758" s="113">
        <v>100900474</v>
      </c>
      <c r="B3758" s="113" t="s">
        <v>6414</v>
      </c>
      <c r="C3758" s="113">
        <v>7090168</v>
      </c>
      <c r="D3758" s="113" t="s">
        <v>3093</v>
      </c>
      <c r="E3758" s="113" t="s">
        <v>1620</v>
      </c>
      <c r="F3758" s="113" t="s">
        <v>3093</v>
      </c>
      <c r="G3758" s="113" t="s">
        <v>3093</v>
      </c>
      <c r="H3758" s="161">
        <v>24</v>
      </c>
      <c r="I3758" s="161">
        <v>10</v>
      </c>
    </row>
    <row r="3759" spans="1:9">
      <c r="A3759" s="113">
        <v>100900475</v>
      </c>
      <c r="B3759" s="113" t="s">
        <v>6415</v>
      </c>
      <c r="C3759" s="113">
        <v>7091051</v>
      </c>
      <c r="D3759" s="113" t="s">
        <v>3093</v>
      </c>
      <c r="E3759" s="113" t="s">
        <v>1620</v>
      </c>
      <c r="F3759" s="113" t="s">
        <v>3093</v>
      </c>
      <c r="G3759" s="113" t="s">
        <v>3093</v>
      </c>
      <c r="H3759" s="161">
        <v>0</v>
      </c>
      <c r="I3759" s="161" t="s">
        <v>7138</v>
      </c>
    </row>
    <row r="3760" spans="1:9">
      <c r="A3760" s="113">
        <v>100900476</v>
      </c>
      <c r="B3760" s="113" t="s">
        <v>6416</v>
      </c>
      <c r="C3760" s="113">
        <v>7100154</v>
      </c>
      <c r="D3760" s="113" t="s">
        <v>3093</v>
      </c>
      <c r="E3760" s="113" t="s">
        <v>1620</v>
      </c>
      <c r="F3760" s="113" t="s">
        <v>3093</v>
      </c>
      <c r="G3760" s="113" t="s">
        <v>3093</v>
      </c>
      <c r="H3760" s="161">
        <v>9000</v>
      </c>
      <c r="I3760" s="161">
        <v>10</v>
      </c>
    </row>
    <row r="3761" spans="1:9">
      <c r="A3761" s="113">
        <v>100900477</v>
      </c>
      <c r="B3761" s="113" t="s">
        <v>6417</v>
      </c>
      <c r="C3761" s="113">
        <v>7100156</v>
      </c>
      <c r="D3761" s="113" t="s">
        <v>3093</v>
      </c>
      <c r="E3761" s="113" t="s">
        <v>1620</v>
      </c>
      <c r="F3761" s="113" t="s">
        <v>3093</v>
      </c>
      <c r="G3761" s="113" t="s">
        <v>3093</v>
      </c>
      <c r="H3761" s="161">
        <v>6640</v>
      </c>
      <c r="I3761" s="161">
        <v>15</v>
      </c>
    </row>
    <row r="3762" spans="1:9">
      <c r="A3762" s="113">
        <v>100900478</v>
      </c>
      <c r="B3762" s="113" t="s">
        <v>6418</v>
      </c>
      <c r="C3762" s="113">
        <v>7100157</v>
      </c>
      <c r="D3762" s="113" t="s">
        <v>3093</v>
      </c>
      <c r="E3762" s="113" t="s">
        <v>1620</v>
      </c>
      <c r="F3762" s="113" t="s">
        <v>3093</v>
      </c>
      <c r="G3762" s="113" t="s">
        <v>3093</v>
      </c>
      <c r="H3762" s="161">
        <v>6640</v>
      </c>
      <c r="I3762" s="161">
        <v>15</v>
      </c>
    </row>
    <row r="3763" spans="1:9">
      <c r="A3763" s="113">
        <v>100900479</v>
      </c>
      <c r="B3763" s="113" t="s">
        <v>6419</v>
      </c>
      <c r="C3763" s="113">
        <v>7100158</v>
      </c>
      <c r="D3763" s="113" t="s">
        <v>3093</v>
      </c>
      <c r="E3763" s="113" t="s">
        <v>1620</v>
      </c>
      <c r="F3763" s="113" t="s">
        <v>3093</v>
      </c>
      <c r="G3763" s="113" t="s">
        <v>3093</v>
      </c>
      <c r="H3763" s="161">
        <v>3165</v>
      </c>
      <c r="I3763" s="161">
        <v>10</v>
      </c>
    </row>
    <row r="3764" spans="1:9">
      <c r="A3764" s="113">
        <v>100900480</v>
      </c>
      <c r="B3764" s="113" t="s">
        <v>6420</v>
      </c>
      <c r="C3764" s="113">
        <v>7100185</v>
      </c>
      <c r="D3764" s="113" t="s">
        <v>3093</v>
      </c>
      <c r="E3764" s="113" t="s">
        <v>1620</v>
      </c>
      <c r="F3764" s="113" t="s">
        <v>3093</v>
      </c>
      <c r="G3764" s="113" t="s">
        <v>3093</v>
      </c>
      <c r="H3764" s="161">
        <v>20882.400000000001</v>
      </c>
      <c r="I3764" s="161">
        <v>24</v>
      </c>
    </row>
    <row r="3765" spans="1:9">
      <c r="A3765" s="113">
        <v>100900481</v>
      </c>
      <c r="B3765" s="113" t="s">
        <v>6421</v>
      </c>
      <c r="C3765" s="113">
        <v>7100186</v>
      </c>
      <c r="D3765" s="113" t="s">
        <v>3093</v>
      </c>
      <c r="E3765" s="113" t="s">
        <v>1620</v>
      </c>
      <c r="F3765" s="113" t="s">
        <v>3093</v>
      </c>
      <c r="G3765" s="113" t="s">
        <v>3093</v>
      </c>
      <c r="H3765" s="161">
        <v>21700</v>
      </c>
      <c r="I3765" s="161">
        <v>24</v>
      </c>
    </row>
    <row r="3766" spans="1:9">
      <c r="A3766" s="113">
        <v>100900482</v>
      </c>
      <c r="B3766" s="113" t="s">
        <v>6422</v>
      </c>
      <c r="C3766" s="113">
        <v>7100242</v>
      </c>
      <c r="D3766" s="113" t="s">
        <v>3093</v>
      </c>
      <c r="E3766" s="113" t="s">
        <v>1620</v>
      </c>
      <c r="F3766" s="113" t="s">
        <v>3093</v>
      </c>
      <c r="G3766" s="113" t="s">
        <v>3093</v>
      </c>
      <c r="H3766" s="161">
        <v>340</v>
      </c>
      <c r="I3766" s="161">
        <v>250</v>
      </c>
    </row>
    <row r="3767" spans="1:9">
      <c r="A3767" s="113">
        <v>100900483</v>
      </c>
      <c r="B3767" s="113" t="s">
        <v>6423</v>
      </c>
      <c r="C3767" s="113">
        <v>7101043</v>
      </c>
      <c r="D3767" s="113" t="s">
        <v>3093</v>
      </c>
      <c r="E3767" s="113" t="s">
        <v>1620</v>
      </c>
      <c r="F3767" s="113" t="s">
        <v>3093</v>
      </c>
      <c r="G3767" s="113" t="s">
        <v>3093</v>
      </c>
      <c r="H3767" s="161">
        <v>72</v>
      </c>
      <c r="I3767" s="161">
        <v>1000</v>
      </c>
    </row>
    <row r="3768" spans="1:9">
      <c r="A3768" s="113">
        <v>100900484</v>
      </c>
      <c r="B3768" s="113" t="s">
        <v>6424</v>
      </c>
      <c r="C3768" s="113">
        <v>7101044</v>
      </c>
      <c r="D3768" s="113" t="s">
        <v>3093</v>
      </c>
      <c r="E3768" s="113" t="s">
        <v>1620</v>
      </c>
      <c r="F3768" s="113" t="s">
        <v>3093</v>
      </c>
      <c r="G3768" s="113" t="s">
        <v>3093</v>
      </c>
      <c r="H3768" s="161">
        <v>2432</v>
      </c>
      <c r="I3768" s="161">
        <v>15</v>
      </c>
    </row>
    <row r="3769" spans="1:9">
      <c r="A3769" s="113">
        <v>100900485</v>
      </c>
      <c r="B3769" s="113" t="s">
        <v>6425</v>
      </c>
      <c r="C3769" s="113">
        <v>7101188</v>
      </c>
      <c r="D3769" s="113" t="s">
        <v>3093</v>
      </c>
      <c r="E3769" s="113" t="s">
        <v>1620</v>
      </c>
      <c r="F3769" s="113" t="s">
        <v>3093</v>
      </c>
      <c r="G3769" s="113" t="s">
        <v>3093</v>
      </c>
      <c r="H3769" s="161">
        <v>355</v>
      </c>
      <c r="I3769" s="161">
        <v>0</v>
      </c>
    </row>
    <row r="3770" spans="1:9">
      <c r="A3770" s="113">
        <v>100900486</v>
      </c>
      <c r="B3770" s="113" t="s">
        <v>6426</v>
      </c>
      <c r="C3770" s="113">
        <v>7101189</v>
      </c>
      <c r="D3770" s="113" t="s">
        <v>3093</v>
      </c>
      <c r="E3770" s="113" t="s">
        <v>1620</v>
      </c>
      <c r="F3770" s="113" t="s">
        <v>3093</v>
      </c>
      <c r="G3770" s="113" t="s">
        <v>3093</v>
      </c>
      <c r="H3770" s="161">
        <v>355</v>
      </c>
      <c r="I3770" s="161">
        <v>10</v>
      </c>
    </row>
    <row r="3771" spans="1:9">
      <c r="A3771" s="113">
        <v>100900487</v>
      </c>
      <c r="B3771" s="113" t="s">
        <v>6427</v>
      </c>
      <c r="C3771" s="113">
        <v>7101190</v>
      </c>
      <c r="D3771" s="113" t="s">
        <v>3093</v>
      </c>
      <c r="E3771" s="113" t="s">
        <v>1620</v>
      </c>
      <c r="F3771" s="113" t="s">
        <v>3093</v>
      </c>
      <c r="G3771" s="113" t="s">
        <v>3093</v>
      </c>
      <c r="H3771" s="161">
        <v>355</v>
      </c>
      <c r="I3771" s="161">
        <v>60</v>
      </c>
    </row>
    <row r="3772" spans="1:9">
      <c r="A3772" s="113">
        <v>100900488</v>
      </c>
      <c r="B3772" s="113" t="s">
        <v>6428</v>
      </c>
      <c r="C3772" s="113">
        <v>7101191</v>
      </c>
      <c r="D3772" s="113" t="s">
        <v>3093</v>
      </c>
      <c r="E3772" s="113" t="s">
        <v>1620</v>
      </c>
      <c r="F3772" s="113" t="s">
        <v>3093</v>
      </c>
      <c r="G3772" s="113" t="s">
        <v>3093</v>
      </c>
      <c r="H3772" s="161">
        <v>355</v>
      </c>
      <c r="I3772" s="161">
        <v>0</v>
      </c>
    </row>
    <row r="3773" spans="1:9">
      <c r="A3773" s="113">
        <v>100900489</v>
      </c>
      <c r="B3773" s="113" t="s">
        <v>6429</v>
      </c>
      <c r="C3773" s="113">
        <v>7101192</v>
      </c>
      <c r="D3773" s="113" t="s">
        <v>3093</v>
      </c>
      <c r="E3773" s="113" t="s">
        <v>1620</v>
      </c>
      <c r="F3773" s="113" t="s">
        <v>3093</v>
      </c>
      <c r="G3773" s="113" t="s">
        <v>3093</v>
      </c>
      <c r="H3773" s="161">
        <v>18633.7</v>
      </c>
      <c r="I3773" s="161">
        <v>12</v>
      </c>
    </row>
    <row r="3774" spans="1:9">
      <c r="A3774" s="113">
        <v>100900490</v>
      </c>
      <c r="B3774" s="113" t="s">
        <v>6430</v>
      </c>
      <c r="C3774" s="113">
        <v>7101193</v>
      </c>
      <c r="D3774" s="113" t="s">
        <v>3093</v>
      </c>
      <c r="E3774" s="113" t="s">
        <v>1620</v>
      </c>
      <c r="F3774" s="113" t="s">
        <v>3093</v>
      </c>
      <c r="G3774" s="113" t="s">
        <v>3093</v>
      </c>
      <c r="H3774" s="161">
        <v>27127</v>
      </c>
      <c r="I3774" s="161">
        <v>25</v>
      </c>
    </row>
    <row r="3775" spans="1:9">
      <c r="A3775" s="113">
        <v>100900492</v>
      </c>
      <c r="B3775" s="113" t="s">
        <v>6431</v>
      </c>
      <c r="C3775" s="113">
        <v>7101204</v>
      </c>
      <c r="D3775" s="113" t="s">
        <v>3093</v>
      </c>
      <c r="E3775" s="113" t="s">
        <v>1620</v>
      </c>
      <c r="F3775" s="113" t="s">
        <v>3093</v>
      </c>
      <c r="G3775" s="113" t="s">
        <v>3093</v>
      </c>
      <c r="H3775" s="161">
        <v>4500</v>
      </c>
      <c r="I3775" s="161">
        <v>12</v>
      </c>
    </row>
    <row r="3776" spans="1:9">
      <c r="A3776" s="113">
        <v>100900493</v>
      </c>
      <c r="B3776" s="113" t="s">
        <v>6432</v>
      </c>
      <c r="C3776" s="113">
        <v>7101205</v>
      </c>
      <c r="D3776" s="113" t="s">
        <v>3093</v>
      </c>
      <c r="E3776" s="113" t="s">
        <v>1620</v>
      </c>
      <c r="F3776" s="113" t="s">
        <v>3093</v>
      </c>
      <c r="G3776" s="113" t="s">
        <v>3093</v>
      </c>
      <c r="H3776" s="161">
        <v>3500</v>
      </c>
      <c r="I3776" s="161">
        <v>4</v>
      </c>
    </row>
    <row r="3777" spans="1:9">
      <c r="A3777" s="113">
        <v>100900494</v>
      </c>
      <c r="B3777" s="113" t="s">
        <v>6433</v>
      </c>
      <c r="C3777" s="113">
        <v>7101206</v>
      </c>
      <c r="D3777" s="113" t="s">
        <v>3093</v>
      </c>
      <c r="E3777" s="113" t="s">
        <v>1620</v>
      </c>
      <c r="F3777" s="113" t="s">
        <v>3093</v>
      </c>
      <c r="G3777" s="113" t="s">
        <v>3093</v>
      </c>
      <c r="H3777" s="161">
        <v>3500</v>
      </c>
      <c r="I3777" s="161">
        <v>0</v>
      </c>
    </row>
    <row r="3778" spans="1:9">
      <c r="A3778" s="113">
        <v>100900495</v>
      </c>
      <c r="B3778" s="113" t="s">
        <v>6434</v>
      </c>
      <c r="C3778" s="113">
        <v>7101208</v>
      </c>
      <c r="D3778" s="113" t="s">
        <v>3093</v>
      </c>
      <c r="E3778" s="113" t="s">
        <v>1620</v>
      </c>
      <c r="F3778" s="113" t="s">
        <v>3093</v>
      </c>
      <c r="G3778" s="113" t="s">
        <v>3093</v>
      </c>
      <c r="H3778" s="161">
        <v>1291.03</v>
      </c>
      <c r="I3778" s="161">
        <v>15</v>
      </c>
    </row>
    <row r="3779" spans="1:9">
      <c r="A3779" s="113">
        <v>100900496</v>
      </c>
      <c r="B3779" s="113" t="s">
        <v>6435</v>
      </c>
      <c r="C3779" s="113">
        <v>7101209</v>
      </c>
      <c r="D3779" s="113" t="s">
        <v>3093</v>
      </c>
      <c r="E3779" s="113" t="s">
        <v>1620</v>
      </c>
      <c r="F3779" s="113" t="s">
        <v>3093</v>
      </c>
      <c r="G3779" s="113" t="s">
        <v>3093</v>
      </c>
      <c r="H3779" s="161">
        <v>2002.36</v>
      </c>
      <c r="I3779" s="161">
        <v>10</v>
      </c>
    </row>
    <row r="3780" spans="1:9">
      <c r="A3780" s="113">
        <v>100900497</v>
      </c>
      <c r="B3780" s="113" t="s">
        <v>6436</v>
      </c>
      <c r="C3780" s="113">
        <v>7101210</v>
      </c>
      <c r="D3780" s="113" t="s">
        <v>3093</v>
      </c>
      <c r="E3780" s="113" t="s">
        <v>1620</v>
      </c>
      <c r="F3780" s="113" t="s">
        <v>3093</v>
      </c>
      <c r="G3780" s="113" t="s">
        <v>3093</v>
      </c>
      <c r="H3780" s="161">
        <v>1930</v>
      </c>
      <c r="I3780" s="161">
        <v>24</v>
      </c>
    </row>
    <row r="3781" spans="1:9">
      <c r="A3781" s="113">
        <v>100900498</v>
      </c>
      <c r="B3781" s="113" t="s">
        <v>6437</v>
      </c>
      <c r="C3781" s="113">
        <v>7101214</v>
      </c>
      <c r="D3781" s="113" t="s">
        <v>3093</v>
      </c>
      <c r="E3781" s="113" t="s">
        <v>1620</v>
      </c>
      <c r="F3781" s="113" t="s">
        <v>3093</v>
      </c>
      <c r="G3781" s="113" t="s">
        <v>3093</v>
      </c>
      <c r="H3781" s="161">
        <v>743</v>
      </c>
      <c r="I3781" s="161">
        <v>300</v>
      </c>
    </row>
    <row r="3782" spans="1:9">
      <c r="A3782" s="113">
        <v>100900499</v>
      </c>
      <c r="B3782" s="113" t="s">
        <v>6438</v>
      </c>
      <c r="C3782" s="113">
        <v>7101216</v>
      </c>
      <c r="D3782" s="113" t="s">
        <v>3093</v>
      </c>
      <c r="E3782" s="113" t="s">
        <v>1620</v>
      </c>
      <c r="F3782" s="113" t="s">
        <v>3093</v>
      </c>
      <c r="G3782" s="113" t="s">
        <v>3093</v>
      </c>
      <c r="H3782" s="161">
        <v>1067.22</v>
      </c>
      <c r="I3782" s="161">
        <v>24</v>
      </c>
    </row>
    <row r="3783" spans="1:9">
      <c r="A3783" s="113">
        <v>100900500</v>
      </c>
      <c r="B3783" s="113" t="s">
        <v>6439</v>
      </c>
      <c r="C3783" s="113">
        <v>7101217</v>
      </c>
      <c r="D3783" s="113" t="s">
        <v>3093</v>
      </c>
      <c r="E3783" s="113" t="s">
        <v>1620</v>
      </c>
      <c r="F3783" s="113" t="s">
        <v>3093</v>
      </c>
      <c r="G3783" s="113" t="s">
        <v>3093</v>
      </c>
      <c r="H3783" s="161">
        <v>1149.32</v>
      </c>
      <c r="I3783" s="161">
        <v>20</v>
      </c>
    </row>
    <row r="3784" spans="1:9">
      <c r="A3784" s="113">
        <v>100900501</v>
      </c>
      <c r="B3784" s="113" t="s">
        <v>6440</v>
      </c>
      <c r="C3784" s="113">
        <v>7101218</v>
      </c>
      <c r="D3784" s="113" t="s">
        <v>3093</v>
      </c>
      <c r="E3784" s="113" t="s">
        <v>1620</v>
      </c>
      <c r="F3784" s="113" t="s">
        <v>3093</v>
      </c>
      <c r="G3784" s="113" t="s">
        <v>3093</v>
      </c>
      <c r="H3784" s="161">
        <v>2190</v>
      </c>
      <c r="I3784" s="161">
        <v>12</v>
      </c>
    </row>
    <row r="3785" spans="1:9">
      <c r="A3785" s="113">
        <v>100900502</v>
      </c>
      <c r="B3785" s="113" t="s">
        <v>6441</v>
      </c>
      <c r="C3785" s="113">
        <v>7101219</v>
      </c>
      <c r="D3785" s="113" t="s">
        <v>3093</v>
      </c>
      <c r="E3785" s="113" t="s">
        <v>1620</v>
      </c>
      <c r="F3785" s="113" t="s">
        <v>3093</v>
      </c>
      <c r="G3785" s="113" t="s">
        <v>3093</v>
      </c>
      <c r="H3785" s="161">
        <v>1795</v>
      </c>
      <c r="I3785" s="161">
        <v>6</v>
      </c>
    </row>
    <row r="3786" spans="1:9">
      <c r="A3786" s="113">
        <v>100900503</v>
      </c>
      <c r="B3786" s="113" t="s">
        <v>6442</v>
      </c>
      <c r="C3786" s="113">
        <v>7101220</v>
      </c>
      <c r="D3786" s="113" t="s">
        <v>3093</v>
      </c>
      <c r="E3786" s="113" t="s">
        <v>1620</v>
      </c>
      <c r="F3786" s="113" t="s">
        <v>3093</v>
      </c>
      <c r="G3786" s="113" t="s">
        <v>3093</v>
      </c>
      <c r="H3786" s="161">
        <v>500</v>
      </c>
      <c r="I3786" s="161">
        <v>50</v>
      </c>
    </row>
    <row r="3787" spans="1:9">
      <c r="A3787" s="113">
        <v>100900504</v>
      </c>
      <c r="B3787" s="113" t="s">
        <v>6443</v>
      </c>
      <c r="C3787" s="113">
        <v>7101221</v>
      </c>
      <c r="D3787" s="113" t="s">
        <v>3093</v>
      </c>
      <c r="E3787" s="113" t="s">
        <v>1620</v>
      </c>
      <c r="F3787" s="113" t="s">
        <v>3093</v>
      </c>
      <c r="G3787" s="113" t="s">
        <v>3093</v>
      </c>
      <c r="H3787" s="161">
        <v>355</v>
      </c>
      <c r="I3787" s="161">
        <v>20</v>
      </c>
    </row>
    <row r="3788" spans="1:9">
      <c r="A3788" s="113">
        <v>100900505</v>
      </c>
      <c r="B3788" s="113" t="s">
        <v>6444</v>
      </c>
      <c r="C3788" s="113">
        <v>7101230</v>
      </c>
      <c r="D3788" s="113" t="s">
        <v>3093</v>
      </c>
      <c r="E3788" s="113" t="s">
        <v>1620</v>
      </c>
      <c r="F3788" s="113" t="s">
        <v>3093</v>
      </c>
      <c r="G3788" s="113" t="s">
        <v>3093</v>
      </c>
      <c r="H3788" s="161">
        <v>1230</v>
      </c>
      <c r="I3788" s="161">
        <v>10</v>
      </c>
    </row>
    <row r="3789" spans="1:9">
      <c r="A3789" s="113">
        <v>100900506</v>
      </c>
      <c r="B3789" s="113" t="s">
        <v>6445</v>
      </c>
      <c r="C3789" s="113">
        <v>7101259</v>
      </c>
      <c r="D3789" s="113" t="s">
        <v>3093</v>
      </c>
      <c r="E3789" s="113" t="s">
        <v>1620</v>
      </c>
      <c r="F3789" s="113" t="s">
        <v>3093</v>
      </c>
      <c r="G3789" s="113" t="s">
        <v>3093</v>
      </c>
      <c r="H3789" s="161">
        <v>0</v>
      </c>
      <c r="I3789" s="161" t="s">
        <v>7138</v>
      </c>
    </row>
    <row r="3790" spans="1:9">
      <c r="A3790" s="113">
        <v>100900507</v>
      </c>
      <c r="B3790" s="113" t="s">
        <v>6446</v>
      </c>
      <c r="C3790" s="113">
        <v>7101260</v>
      </c>
      <c r="D3790" s="113" t="s">
        <v>3093</v>
      </c>
      <c r="E3790" s="113" t="s">
        <v>1620</v>
      </c>
      <c r="F3790" s="113" t="s">
        <v>3093</v>
      </c>
      <c r="G3790" s="113" t="s">
        <v>3093</v>
      </c>
      <c r="H3790" s="161">
        <v>147.99</v>
      </c>
      <c r="I3790" s="161">
        <v>12</v>
      </c>
    </row>
    <row r="3791" spans="1:9">
      <c r="A3791" s="113">
        <v>100900508</v>
      </c>
      <c r="B3791" s="113" t="s">
        <v>6447</v>
      </c>
      <c r="C3791" s="113">
        <v>7101261</v>
      </c>
      <c r="D3791" s="113" t="s">
        <v>3093</v>
      </c>
      <c r="E3791" s="113" t="s">
        <v>1620</v>
      </c>
      <c r="F3791" s="113" t="s">
        <v>3093</v>
      </c>
      <c r="G3791" s="113" t="s">
        <v>3093</v>
      </c>
      <c r="H3791" s="161">
        <v>975</v>
      </c>
      <c r="I3791" s="161">
        <v>15</v>
      </c>
    </row>
    <row r="3792" spans="1:9">
      <c r="A3792" s="113">
        <v>100900509</v>
      </c>
      <c r="B3792" s="113" t="s">
        <v>6448</v>
      </c>
      <c r="C3792" s="113">
        <v>7101262</v>
      </c>
      <c r="D3792" s="113" t="s">
        <v>3093</v>
      </c>
      <c r="E3792" s="113" t="s">
        <v>1620</v>
      </c>
      <c r="F3792" s="113" t="s">
        <v>3093</v>
      </c>
      <c r="G3792" s="113" t="s">
        <v>3093</v>
      </c>
      <c r="H3792" s="161">
        <v>975</v>
      </c>
      <c r="I3792" s="161">
        <v>45</v>
      </c>
    </row>
    <row r="3793" spans="1:9">
      <c r="A3793" s="113">
        <v>100900510</v>
      </c>
      <c r="B3793" s="113" t="s">
        <v>6449</v>
      </c>
      <c r="C3793" s="113">
        <v>7101263</v>
      </c>
      <c r="D3793" s="113" t="s">
        <v>3093</v>
      </c>
      <c r="E3793" s="113" t="s">
        <v>1620</v>
      </c>
      <c r="F3793" s="113" t="s">
        <v>3093</v>
      </c>
      <c r="G3793" s="113" t="s">
        <v>3093</v>
      </c>
      <c r="H3793" s="161">
        <v>800</v>
      </c>
      <c r="I3793" s="161">
        <v>11</v>
      </c>
    </row>
    <row r="3794" spans="1:9">
      <c r="A3794" s="113">
        <v>100900511</v>
      </c>
      <c r="B3794" s="113" t="s">
        <v>6450</v>
      </c>
      <c r="C3794" s="113">
        <v>7102050</v>
      </c>
      <c r="D3794" s="113" t="s">
        <v>3093</v>
      </c>
      <c r="E3794" s="113" t="s">
        <v>1620</v>
      </c>
      <c r="F3794" s="113" t="s">
        <v>3093</v>
      </c>
      <c r="G3794" s="113" t="s">
        <v>3093</v>
      </c>
      <c r="H3794" s="161">
        <v>27.48</v>
      </c>
      <c r="I3794" s="161">
        <v>105</v>
      </c>
    </row>
    <row r="3795" spans="1:9">
      <c r="A3795" s="113">
        <v>100900512</v>
      </c>
      <c r="B3795" s="113" t="s">
        <v>6451</v>
      </c>
      <c r="C3795" s="113">
        <v>7102051</v>
      </c>
      <c r="D3795" s="113" t="s">
        <v>3093</v>
      </c>
      <c r="E3795" s="113" t="s">
        <v>1620</v>
      </c>
      <c r="F3795" s="113" t="s">
        <v>3093</v>
      </c>
      <c r="G3795" s="113" t="s">
        <v>3093</v>
      </c>
      <c r="H3795" s="161">
        <v>1071</v>
      </c>
      <c r="I3795" s="161">
        <v>10</v>
      </c>
    </row>
    <row r="3796" spans="1:9">
      <c r="A3796" s="113">
        <v>100900513</v>
      </c>
      <c r="B3796" s="113" t="s">
        <v>6452</v>
      </c>
      <c r="C3796" s="113">
        <v>7102080</v>
      </c>
      <c r="D3796" s="113" t="s">
        <v>3093</v>
      </c>
      <c r="E3796" s="113" t="s">
        <v>1620</v>
      </c>
      <c r="F3796" s="113" t="s">
        <v>3093</v>
      </c>
      <c r="G3796" s="113" t="s">
        <v>3093</v>
      </c>
      <c r="H3796" s="161">
        <v>5981.5</v>
      </c>
      <c r="I3796" s="161">
        <v>6</v>
      </c>
    </row>
    <row r="3797" spans="1:9">
      <c r="A3797" s="113">
        <v>100900514</v>
      </c>
      <c r="B3797" s="113" t="s">
        <v>6453</v>
      </c>
      <c r="C3797" s="113">
        <v>7110016</v>
      </c>
      <c r="D3797" s="113" t="s">
        <v>3093</v>
      </c>
      <c r="E3797" s="113" t="s">
        <v>1620</v>
      </c>
      <c r="F3797" s="113" t="s">
        <v>3093</v>
      </c>
      <c r="G3797" s="113" t="s">
        <v>3093</v>
      </c>
      <c r="H3797" s="161">
        <v>49</v>
      </c>
      <c r="I3797" s="161">
        <v>100</v>
      </c>
    </row>
    <row r="3798" spans="1:9">
      <c r="A3798" s="113">
        <v>100900515</v>
      </c>
      <c r="B3798" s="113" t="s">
        <v>6454</v>
      </c>
      <c r="C3798" s="113">
        <v>7110017</v>
      </c>
      <c r="D3798" s="113" t="s">
        <v>3093</v>
      </c>
      <c r="E3798" s="113" t="s">
        <v>1620</v>
      </c>
      <c r="F3798" s="113" t="s">
        <v>3093</v>
      </c>
      <c r="G3798" s="113" t="s">
        <v>3093</v>
      </c>
      <c r="H3798" s="161">
        <v>87</v>
      </c>
      <c r="I3798" s="161">
        <v>300</v>
      </c>
    </row>
    <row r="3799" spans="1:9">
      <c r="A3799" s="113">
        <v>100900516</v>
      </c>
      <c r="B3799" s="113" t="s">
        <v>6455</v>
      </c>
      <c r="C3799" s="113">
        <v>7110033</v>
      </c>
      <c r="D3799" s="113" t="s">
        <v>3093</v>
      </c>
      <c r="E3799" s="113" t="s">
        <v>1620</v>
      </c>
      <c r="F3799" s="113" t="s">
        <v>3093</v>
      </c>
      <c r="G3799" s="113" t="s">
        <v>3093</v>
      </c>
      <c r="H3799" s="161">
        <v>9.25</v>
      </c>
      <c r="I3799" s="161">
        <v>500</v>
      </c>
    </row>
    <row r="3800" spans="1:9">
      <c r="A3800" s="113">
        <v>100900517</v>
      </c>
      <c r="B3800" s="113" t="s">
        <v>6456</v>
      </c>
      <c r="C3800" s="113">
        <v>7112070</v>
      </c>
      <c r="D3800" s="113" t="s">
        <v>3093</v>
      </c>
      <c r="E3800" s="113" t="s">
        <v>1620</v>
      </c>
      <c r="F3800" s="113" t="s">
        <v>3093</v>
      </c>
      <c r="G3800" s="113" t="s">
        <v>3093</v>
      </c>
      <c r="H3800" s="161">
        <v>20</v>
      </c>
      <c r="I3800" s="161">
        <v>0</v>
      </c>
    </row>
    <row r="3801" spans="1:9">
      <c r="A3801" s="113">
        <v>100900518</v>
      </c>
      <c r="B3801" s="113" t="s">
        <v>6457</v>
      </c>
      <c r="C3801" s="113">
        <v>7112072</v>
      </c>
      <c r="D3801" s="113" t="s">
        <v>3093</v>
      </c>
      <c r="E3801" s="113" t="s">
        <v>1620</v>
      </c>
      <c r="F3801" s="113" t="s">
        <v>3093</v>
      </c>
      <c r="G3801" s="113" t="s">
        <v>3093</v>
      </c>
      <c r="H3801" s="161">
        <v>455.74</v>
      </c>
      <c r="I3801" s="161">
        <v>10</v>
      </c>
    </row>
    <row r="3802" spans="1:9">
      <c r="A3802" s="113">
        <v>100900519</v>
      </c>
      <c r="B3802" s="113" t="s">
        <v>6458</v>
      </c>
      <c r="C3802" s="113">
        <v>7112073</v>
      </c>
      <c r="D3802" s="113" t="s">
        <v>3093</v>
      </c>
      <c r="E3802" s="113" t="s">
        <v>1620</v>
      </c>
      <c r="F3802" s="113" t="s">
        <v>3093</v>
      </c>
      <c r="G3802" s="113" t="s">
        <v>3093</v>
      </c>
      <c r="H3802" s="161">
        <v>652.41999999999996</v>
      </c>
      <c r="I3802" s="161">
        <v>0</v>
      </c>
    </row>
    <row r="3803" spans="1:9">
      <c r="A3803" s="113">
        <v>100900520</v>
      </c>
      <c r="B3803" s="113" t="s">
        <v>6459</v>
      </c>
      <c r="C3803" s="113">
        <v>7112075</v>
      </c>
      <c r="D3803" s="113" t="s">
        <v>3093</v>
      </c>
      <c r="E3803" s="113" t="s">
        <v>1620</v>
      </c>
      <c r="F3803" s="113" t="s">
        <v>3093</v>
      </c>
      <c r="G3803" s="113" t="s">
        <v>3093</v>
      </c>
      <c r="H3803" s="161">
        <v>0</v>
      </c>
      <c r="I3803" s="161" t="s">
        <v>7138</v>
      </c>
    </row>
    <row r="3804" spans="1:9">
      <c r="A3804" s="113">
        <v>100900521</v>
      </c>
      <c r="B3804" s="113" t="s">
        <v>6460</v>
      </c>
      <c r="C3804" s="113" t="s">
        <v>3093</v>
      </c>
      <c r="D3804" s="113" t="s">
        <v>3093</v>
      </c>
      <c r="E3804" s="113" t="s">
        <v>1620</v>
      </c>
      <c r="F3804" s="113" t="s">
        <v>3093</v>
      </c>
      <c r="G3804" s="113" t="s">
        <v>3093</v>
      </c>
      <c r="H3804" s="161">
        <v>6000</v>
      </c>
      <c r="I3804" s="161" t="s">
        <v>7138</v>
      </c>
    </row>
    <row r="3805" spans="1:9">
      <c r="A3805" s="113">
        <v>100900522</v>
      </c>
      <c r="B3805" s="113" t="s">
        <v>6461</v>
      </c>
      <c r="C3805" s="113" t="s">
        <v>3093</v>
      </c>
      <c r="D3805" s="113" t="s">
        <v>3093</v>
      </c>
      <c r="E3805" s="113" t="s">
        <v>1620</v>
      </c>
      <c r="F3805" s="113" t="s">
        <v>3093</v>
      </c>
      <c r="G3805" s="113" t="s">
        <v>3093</v>
      </c>
      <c r="H3805" s="161">
        <v>0</v>
      </c>
      <c r="I3805" s="161" t="s">
        <v>7138</v>
      </c>
    </row>
    <row r="3806" spans="1:9">
      <c r="A3806" s="113">
        <v>100900523</v>
      </c>
      <c r="B3806" s="113" t="s">
        <v>6462</v>
      </c>
      <c r="C3806" s="113" t="s">
        <v>3093</v>
      </c>
      <c r="D3806" s="113" t="s">
        <v>3093</v>
      </c>
      <c r="E3806" s="113" t="s">
        <v>1620</v>
      </c>
      <c r="F3806" s="113" t="s">
        <v>3093</v>
      </c>
      <c r="G3806" s="113" t="s">
        <v>3093</v>
      </c>
      <c r="H3806" s="161">
        <v>162</v>
      </c>
      <c r="I3806" s="161">
        <v>60</v>
      </c>
    </row>
    <row r="3807" spans="1:9">
      <c r="A3807" s="113">
        <v>100900524</v>
      </c>
      <c r="B3807" s="113" t="s">
        <v>6463</v>
      </c>
      <c r="C3807" s="113" t="s">
        <v>3093</v>
      </c>
      <c r="D3807" s="113" t="s">
        <v>3093</v>
      </c>
      <c r="E3807" s="113" t="s">
        <v>1620</v>
      </c>
      <c r="F3807" s="113" t="s">
        <v>3093</v>
      </c>
      <c r="G3807" s="113" t="s">
        <v>3093</v>
      </c>
      <c r="H3807" s="161">
        <v>162</v>
      </c>
      <c r="I3807" s="161">
        <v>60</v>
      </c>
    </row>
    <row r="3808" spans="1:9">
      <c r="A3808" s="113">
        <v>100900525</v>
      </c>
      <c r="B3808" s="113" t="s">
        <v>6464</v>
      </c>
      <c r="C3808" s="113" t="s">
        <v>3093</v>
      </c>
      <c r="D3808" s="113" t="s">
        <v>3093</v>
      </c>
      <c r="E3808" s="113" t="s">
        <v>1620</v>
      </c>
      <c r="F3808" s="113" t="s">
        <v>3093</v>
      </c>
      <c r="G3808" s="113" t="s">
        <v>3093</v>
      </c>
      <c r="H3808" s="161">
        <v>320</v>
      </c>
      <c r="I3808" s="161">
        <v>10</v>
      </c>
    </row>
    <row r="3809" spans="1:9">
      <c r="A3809" s="113">
        <v>100900526</v>
      </c>
      <c r="B3809" s="113" t="s">
        <v>6465</v>
      </c>
      <c r="C3809" s="113" t="s">
        <v>3093</v>
      </c>
      <c r="D3809" s="113" t="s">
        <v>3093</v>
      </c>
      <c r="E3809" s="113" t="s">
        <v>1620</v>
      </c>
      <c r="F3809" s="113" t="s">
        <v>3093</v>
      </c>
      <c r="G3809" s="113" t="s">
        <v>3093</v>
      </c>
      <c r="H3809" s="161">
        <v>0</v>
      </c>
      <c r="I3809" s="161" t="s">
        <v>7138</v>
      </c>
    </row>
    <row r="3810" spans="1:9">
      <c r="A3810" s="113">
        <v>100900527</v>
      </c>
      <c r="B3810" s="113" t="s">
        <v>6466</v>
      </c>
      <c r="C3810" s="113" t="s">
        <v>3093</v>
      </c>
      <c r="D3810" s="113" t="s">
        <v>3093</v>
      </c>
      <c r="E3810" s="113" t="s">
        <v>1620</v>
      </c>
      <c r="F3810" s="113" t="s">
        <v>3093</v>
      </c>
      <c r="G3810" s="113" t="s">
        <v>3093</v>
      </c>
      <c r="H3810" s="161">
        <v>0</v>
      </c>
      <c r="I3810" s="161" t="s">
        <v>7138</v>
      </c>
    </row>
    <row r="3811" spans="1:9">
      <c r="A3811" s="113">
        <v>100900528</v>
      </c>
      <c r="B3811" s="113" t="s">
        <v>6467</v>
      </c>
      <c r="C3811" s="113" t="s">
        <v>3093</v>
      </c>
      <c r="D3811" s="113" t="s">
        <v>3093</v>
      </c>
      <c r="E3811" s="113" t="s">
        <v>1620</v>
      </c>
      <c r="F3811" s="113" t="s">
        <v>3093</v>
      </c>
      <c r="G3811" s="113" t="s">
        <v>3093</v>
      </c>
      <c r="H3811" s="161">
        <v>320</v>
      </c>
      <c r="I3811" s="161">
        <v>10</v>
      </c>
    </row>
    <row r="3812" spans="1:9">
      <c r="A3812" s="113">
        <v>100900529</v>
      </c>
      <c r="B3812" s="113" t="s">
        <v>6468</v>
      </c>
      <c r="C3812" s="113" t="s">
        <v>3093</v>
      </c>
      <c r="D3812" s="113" t="s">
        <v>3093</v>
      </c>
      <c r="E3812" s="113" t="s">
        <v>1620</v>
      </c>
      <c r="F3812" s="113" t="s">
        <v>3093</v>
      </c>
      <c r="G3812" s="113" t="s">
        <v>3093</v>
      </c>
      <c r="H3812" s="161">
        <v>0</v>
      </c>
      <c r="I3812" s="161" t="s">
        <v>7138</v>
      </c>
    </row>
    <row r="3813" spans="1:9">
      <c r="A3813" s="113">
        <v>100900530</v>
      </c>
      <c r="B3813" s="113" t="s">
        <v>6469</v>
      </c>
      <c r="C3813" s="113" t="s">
        <v>3093</v>
      </c>
      <c r="D3813" s="113" t="s">
        <v>3093</v>
      </c>
      <c r="E3813" s="113" t="s">
        <v>1620</v>
      </c>
      <c r="F3813" s="113" t="s">
        <v>3093</v>
      </c>
      <c r="G3813" s="113" t="s">
        <v>3093</v>
      </c>
      <c r="H3813" s="161">
        <v>0</v>
      </c>
      <c r="I3813" s="161" t="s">
        <v>7138</v>
      </c>
    </row>
    <row r="3814" spans="1:9">
      <c r="A3814" s="113">
        <v>100900531</v>
      </c>
      <c r="B3814" s="113" t="s">
        <v>6470</v>
      </c>
      <c r="C3814" s="113">
        <v>3500147</v>
      </c>
      <c r="D3814" s="113" t="s">
        <v>3093</v>
      </c>
      <c r="E3814" s="113" t="s">
        <v>1620</v>
      </c>
      <c r="F3814" s="113" t="s">
        <v>3093</v>
      </c>
      <c r="G3814" s="113" t="s">
        <v>3093</v>
      </c>
      <c r="H3814" s="161">
        <v>0.04</v>
      </c>
      <c r="I3814" s="161" t="s">
        <v>7138</v>
      </c>
    </row>
    <row r="3815" spans="1:9">
      <c r="A3815" s="113">
        <v>100900532</v>
      </c>
      <c r="B3815" s="113" t="s">
        <v>6471</v>
      </c>
      <c r="C3815" s="113" t="s">
        <v>3093</v>
      </c>
      <c r="D3815" s="113" t="s">
        <v>3093</v>
      </c>
      <c r="E3815" s="113" t="s">
        <v>1620</v>
      </c>
      <c r="F3815" s="113" t="s">
        <v>3093</v>
      </c>
      <c r="G3815" s="113" t="s">
        <v>3093</v>
      </c>
      <c r="H3815" s="161">
        <v>320</v>
      </c>
      <c r="I3815" s="161">
        <v>15</v>
      </c>
    </row>
    <row r="3816" spans="1:9">
      <c r="A3816" s="113">
        <v>100900533</v>
      </c>
      <c r="B3816" s="113" t="s">
        <v>6472</v>
      </c>
      <c r="C3816" s="113" t="s">
        <v>3093</v>
      </c>
      <c r="D3816" s="113" t="s">
        <v>3093</v>
      </c>
      <c r="E3816" s="113" t="s">
        <v>1620</v>
      </c>
      <c r="F3816" s="113" t="s">
        <v>3093</v>
      </c>
      <c r="G3816" s="113" t="s">
        <v>3093</v>
      </c>
      <c r="H3816" s="161">
        <v>0</v>
      </c>
      <c r="I3816" s="161" t="s">
        <v>7138</v>
      </c>
    </row>
    <row r="3817" spans="1:9">
      <c r="A3817" s="113">
        <v>100900534</v>
      </c>
      <c r="B3817" s="113" t="s">
        <v>6473</v>
      </c>
      <c r="C3817" s="113" t="s">
        <v>3093</v>
      </c>
      <c r="D3817" s="113" t="s">
        <v>3093</v>
      </c>
      <c r="E3817" s="113" t="s">
        <v>1620</v>
      </c>
      <c r="F3817" s="113" t="s">
        <v>3093</v>
      </c>
      <c r="G3817" s="113" t="s">
        <v>3093</v>
      </c>
      <c r="H3817" s="161">
        <v>6.96</v>
      </c>
      <c r="I3817" s="161">
        <v>24</v>
      </c>
    </row>
    <row r="3818" spans="1:9">
      <c r="A3818" s="113">
        <v>100900535</v>
      </c>
      <c r="B3818" s="113" t="s">
        <v>6474</v>
      </c>
      <c r="C3818" s="113" t="s">
        <v>3093</v>
      </c>
      <c r="D3818" s="113" t="s">
        <v>3093</v>
      </c>
      <c r="E3818" s="113" t="s">
        <v>1620</v>
      </c>
      <c r="F3818" s="113" t="s">
        <v>3093</v>
      </c>
      <c r="G3818" s="113" t="s">
        <v>3093</v>
      </c>
      <c r="H3818" s="161">
        <v>0</v>
      </c>
      <c r="I3818" s="161" t="s">
        <v>7138</v>
      </c>
    </row>
    <row r="3819" spans="1:9">
      <c r="A3819" s="113">
        <v>100900536</v>
      </c>
      <c r="B3819" s="113" t="s">
        <v>6475</v>
      </c>
      <c r="C3819" s="113" t="s">
        <v>3093</v>
      </c>
      <c r="D3819" s="113" t="s">
        <v>3093</v>
      </c>
      <c r="E3819" s="113" t="s">
        <v>1620</v>
      </c>
      <c r="F3819" s="113" t="s">
        <v>3093</v>
      </c>
      <c r="G3819" s="113" t="s">
        <v>3093</v>
      </c>
      <c r="H3819" s="161">
        <v>70.83</v>
      </c>
      <c r="I3819" s="161" t="s">
        <v>7138</v>
      </c>
    </row>
    <row r="3820" spans="1:9">
      <c r="A3820" s="113">
        <v>100900537</v>
      </c>
      <c r="B3820" s="113" t="s">
        <v>6476</v>
      </c>
      <c r="C3820" s="113" t="s">
        <v>3093</v>
      </c>
      <c r="D3820" s="113" t="s">
        <v>3093</v>
      </c>
      <c r="E3820" s="113" t="s">
        <v>1620</v>
      </c>
      <c r="F3820" s="113" t="s">
        <v>3093</v>
      </c>
      <c r="G3820" s="113" t="s">
        <v>3093</v>
      </c>
      <c r="H3820" s="161">
        <v>5.25</v>
      </c>
      <c r="I3820" s="161" t="s">
        <v>7138</v>
      </c>
    </row>
    <row r="3821" spans="1:9">
      <c r="A3821" s="113">
        <v>100900538</v>
      </c>
      <c r="B3821" s="113" t="s">
        <v>6477</v>
      </c>
      <c r="C3821" s="113" t="s">
        <v>3093</v>
      </c>
      <c r="D3821" s="113" t="s">
        <v>3093</v>
      </c>
      <c r="E3821" s="113" t="s">
        <v>1620</v>
      </c>
      <c r="F3821" s="113" t="s">
        <v>3093</v>
      </c>
      <c r="G3821" s="113" t="s">
        <v>3093</v>
      </c>
      <c r="H3821" s="161">
        <v>0</v>
      </c>
      <c r="I3821" s="161" t="s">
        <v>7138</v>
      </c>
    </row>
    <row r="3822" spans="1:9">
      <c r="A3822" s="113">
        <v>100900539</v>
      </c>
      <c r="B3822" s="113" t="s">
        <v>6478</v>
      </c>
      <c r="C3822" s="113" t="s">
        <v>3093</v>
      </c>
      <c r="D3822" s="113" t="s">
        <v>3093</v>
      </c>
      <c r="E3822" s="113" t="s">
        <v>1620</v>
      </c>
      <c r="F3822" s="113" t="s">
        <v>3093</v>
      </c>
      <c r="G3822" s="113" t="s">
        <v>3093</v>
      </c>
      <c r="H3822" s="161">
        <v>0</v>
      </c>
      <c r="I3822" s="161" t="s">
        <v>7138</v>
      </c>
    </row>
    <row r="3823" spans="1:9">
      <c r="A3823" s="113">
        <v>100900540</v>
      </c>
      <c r="B3823" s="113" t="s">
        <v>6479</v>
      </c>
      <c r="C3823" s="113" t="s">
        <v>3093</v>
      </c>
      <c r="D3823" s="113" t="s">
        <v>3093</v>
      </c>
      <c r="E3823" s="113" t="s">
        <v>1620</v>
      </c>
      <c r="F3823" s="113" t="s">
        <v>3093</v>
      </c>
      <c r="G3823" s="113" t="s">
        <v>3093</v>
      </c>
      <c r="H3823" s="161">
        <v>0</v>
      </c>
      <c r="I3823" s="161" t="s">
        <v>7138</v>
      </c>
    </row>
    <row r="3824" spans="1:9">
      <c r="A3824" s="113">
        <v>100900541</v>
      </c>
      <c r="B3824" s="113" t="s">
        <v>6480</v>
      </c>
      <c r="C3824" s="113">
        <v>7037083</v>
      </c>
      <c r="D3824" s="113" t="s">
        <v>3093</v>
      </c>
      <c r="E3824" s="113" t="s">
        <v>99</v>
      </c>
      <c r="F3824" s="113" t="s">
        <v>3093</v>
      </c>
      <c r="G3824" s="113" t="s">
        <v>3093</v>
      </c>
      <c r="H3824" s="161">
        <v>37</v>
      </c>
      <c r="I3824" s="161">
        <v>70</v>
      </c>
    </row>
    <row r="3825" spans="1:9">
      <c r="A3825" s="113">
        <v>100900542</v>
      </c>
      <c r="B3825" s="113" t="s">
        <v>6481</v>
      </c>
      <c r="C3825" s="113">
        <v>7037137</v>
      </c>
      <c r="D3825" s="113" t="s">
        <v>3093</v>
      </c>
      <c r="E3825" s="113" t="s">
        <v>1620</v>
      </c>
      <c r="F3825" s="113" t="s">
        <v>3093</v>
      </c>
      <c r="G3825" s="113" t="s">
        <v>3093</v>
      </c>
      <c r="H3825" s="161">
        <v>91</v>
      </c>
      <c r="I3825" s="161">
        <v>0</v>
      </c>
    </row>
    <row r="3826" spans="1:9">
      <c r="A3826" s="113">
        <v>100900543</v>
      </c>
      <c r="B3826" s="113" t="s">
        <v>6482</v>
      </c>
      <c r="C3826" s="113" t="s">
        <v>3093</v>
      </c>
      <c r="D3826" s="113" t="s">
        <v>3093</v>
      </c>
      <c r="E3826" s="113" t="s">
        <v>1620</v>
      </c>
      <c r="F3826" s="113" t="s">
        <v>3093</v>
      </c>
      <c r="G3826" s="113" t="s">
        <v>3093</v>
      </c>
      <c r="H3826" s="161">
        <v>0</v>
      </c>
      <c r="I3826" s="161" t="s">
        <v>7138</v>
      </c>
    </row>
    <row r="3827" spans="1:9">
      <c r="A3827" s="113">
        <v>100900544</v>
      </c>
      <c r="B3827" s="113" t="s">
        <v>6483</v>
      </c>
      <c r="C3827" s="113" t="s">
        <v>3093</v>
      </c>
      <c r="D3827" s="113" t="s">
        <v>3093</v>
      </c>
      <c r="E3827" s="113" t="s">
        <v>1620</v>
      </c>
      <c r="F3827" s="113" t="s">
        <v>3093</v>
      </c>
      <c r="G3827" s="113" t="s">
        <v>3093</v>
      </c>
      <c r="H3827" s="161">
        <v>0</v>
      </c>
      <c r="I3827" s="161" t="s">
        <v>7138</v>
      </c>
    </row>
    <row r="3828" spans="1:9">
      <c r="A3828" s="113">
        <v>100900545</v>
      </c>
      <c r="B3828" s="113" t="s">
        <v>6484</v>
      </c>
      <c r="C3828" s="113" t="s">
        <v>3093</v>
      </c>
      <c r="D3828" s="113" t="s">
        <v>7139</v>
      </c>
      <c r="E3828" s="113" t="s">
        <v>1620</v>
      </c>
      <c r="F3828" s="113" t="s">
        <v>7139</v>
      </c>
      <c r="G3828" s="113" t="s">
        <v>3093</v>
      </c>
      <c r="H3828" s="161">
        <v>14500</v>
      </c>
      <c r="I3828" s="161" t="s">
        <v>7138</v>
      </c>
    </row>
    <row r="3829" spans="1:9">
      <c r="A3829" s="113">
        <v>100900546</v>
      </c>
      <c r="B3829" s="113" t="s">
        <v>6485</v>
      </c>
      <c r="C3829" s="113" t="s">
        <v>3093</v>
      </c>
      <c r="D3829" s="113" t="s">
        <v>7139</v>
      </c>
      <c r="E3829" s="113" t="s">
        <v>1620</v>
      </c>
      <c r="F3829" s="113" t="s">
        <v>7139</v>
      </c>
      <c r="G3829" s="113" t="s">
        <v>3093</v>
      </c>
      <c r="H3829" s="161">
        <v>50.85</v>
      </c>
      <c r="I3829" s="161" t="s">
        <v>7138</v>
      </c>
    </row>
    <row r="3830" spans="1:9">
      <c r="A3830" s="113">
        <v>101000001</v>
      </c>
      <c r="B3830" s="113" t="s">
        <v>6486</v>
      </c>
      <c r="C3830" s="113">
        <v>7010090</v>
      </c>
      <c r="D3830" s="113" t="s">
        <v>3093</v>
      </c>
      <c r="E3830" s="113" t="s">
        <v>1620</v>
      </c>
      <c r="F3830" s="113" t="s">
        <v>3093</v>
      </c>
      <c r="G3830" s="113" t="s">
        <v>3093</v>
      </c>
      <c r="H3830" s="161">
        <v>60</v>
      </c>
      <c r="I3830" s="161">
        <v>3</v>
      </c>
    </row>
    <row r="3831" spans="1:9">
      <c r="A3831" s="113">
        <v>101000002</v>
      </c>
      <c r="B3831" s="113" t="s">
        <v>6487</v>
      </c>
      <c r="C3831" s="113">
        <v>7010104</v>
      </c>
      <c r="D3831" s="113" t="s">
        <v>3093</v>
      </c>
      <c r="E3831" s="113" t="s">
        <v>1620</v>
      </c>
      <c r="F3831" s="113" t="s">
        <v>3093</v>
      </c>
      <c r="G3831" s="113" t="s">
        <v>3093</v>
      </c>
      <c r="H3831" s="161">
        <v>0</v>
      </c>
      <c r="I3831" s="161" t="s">
        <v>7138</v>
      </c>
    </row>
    <row r="3832" spans="1:9">
      <c r="A3832" s="113">
        <v>101000003</v>
      </c>
      <c r="B3832" s="113" t="s">
        <v>6488</v>
      </c>
      <c r="C3832" s="113">
        <v>7010112</v>
      </c>
      <c r="D3832" s="113" t="s">
        <v>3093</v>
      </c>
      <c r="E3832" s="113" t="s">
        <v>1620</v>
      </c>
      <c r="F3832" s="113" t="s">
        <v>3093</v>
      </c>
      <c r="G3832" s="113" t="s">
        <v>3093</v>
      </c>
      <c r="H3832" s="161">
        <v>3.39E-2</v>
      </c>
      <c r="I3832" s="161">
        <v>0</v>
      </c>
    </row>
    <row r="3833" spans="1:9">
      <c r="A3833" s="113">
        <v>101000004</v>
      </c>
      <c r="B3833" s="113" t="s">
        <v>6489</v>
      </c>
      <c r="C3833" s="113">
        <v>7010124</v>
      </c>
      <c r="D3833" s="113" t="s">
        <v>3093</v>
      </c>
      <c r="E3833" s="113" t="s">
        <v>1620</v>
      </c>
      <c r="F3833" s="113" t="s">
        <v>3093</v>
      </c>
      <c r="G3833" s="113" t="s">
        <v>3093</v>
      </c>
      <c r="H3833" s="161">
        <v>28</v>
      </c>
      <c r="I3833" s="161">
        <v>400</v>
      </c>
    </row>
    <row r="3834" spans="1:9">
      <c r="A3834" s="113">
        <v>101000005</v>
      </c>
      <c r="B3834" s="113" t="s">
        <v>6490</v>
      </c>
      <c r="C3834" s="113">
        <v>7010129</v>
      </c>
      <c r="D3834" s="113" t="s">
        <v>3093</v>
      </c>
      <c r="E3834" s="113" t="s">
        <v>1620</v>
      </c>
      <c r="F3834" s="113" t="s">
        <v>3093</v>
      </c>
      <c r="G3834" s="113" t="s">
        <v>3093</v>
      </c>
      <c r="H3834" s="161">
        <v>31.5</v>
      </c>
      <c r="I3834" s="161">
        <v>120</v>
      </c>
    </row>
    <row r="3835" spans="1:9">
      <c r="A3835" s="113">
        <v>101000006</v>
      </c>
      <c r="B3835" s="113" t="s">
        <v>6491</v>
      </c>
      <c r="C3835" s="113">
        <v>7010150</v>
      </c>
      <c r="D3835" s="113" t="s">
        <v>3093</v>
      </c>
      <c r="E3835" s="113" t="s">
        <v>1620</v>
      </c>
      <c r="F3835" s="113" t="s">
        <v>3093</v>
      </c>
      <c r="G3835" s="113" t="s">
        <v>3093</v>
      </c>
      <c r="H3835" s="161">
        <v>33</v>
      </c>
      <c r="I3835" s="161">
        <v>100</v>
      </c>
    </row>
    <row r="3836" spans="1:9">
      <c r="A3836" s="113">
        <v>101000007</v>
      </c>
      <c r="B3836" s="113" t="s">
        <v>6492</v>
      </c>
      <c r="C3836" s="113">
        <v>7012090</v>
      </c>
      <c r="D3836" s="113" t="s">
        <v>3093</v>
      </c>
      <c r="E3836" s="113" t="s">
        <v>1620</v>
      </c>
      <c r="F3836" s="113" t="s">
        <v>3093</v>
      </c>
      <c r="G3836" s="113" t="s">
        <v>3093</v>
      </c>
      <c r="H3836" s="161">
        <v>0.14000000000000001</v>
      </c>
      <c r="I3836" s="161">
        <v>588</v>
      </c>
    </row>
    <row r="3837" spans="1:9">
      <c r="A3837" s="113">
        <v>101000008</v>
      </c>
      <c r="B3837" s="113" t="s">
        <v>6493</v>
      </c>
      <c r="C3837" s="113">
        <v>7016093</v>
      </c>
      <c r="D3837" s="113" t="s">
        <v>3093</v>
      </c>
      <c r="E3837" s="113" t="s">
        <v>1620</v>
      </c>
      <c r="F3837" s="113" t="s">
        <v>3093</v>
      </c>
      <c r="G3837" s="113" t="s">
        <v>3093</v>
      </c>
      <c r="H3837" s="161">
        <v>2</v>
      </c>
      <c r="I3837" s="161">
        <v>0</v>
      </c>
    </row>
    <row r="3838" spans="1:9">
      <c r="A3838" s="113">
        <v>101000009</v>
      </c>
      <c r="B3838" s="113" t="s">
        <v>1116</v>
      </c>
      <c r="C3838" s="113">
        <v>7016155</v>
      </c>
      <c r="D3838" s="113" t="s">
        <v>3093</v>
      </c>
      <c r="E3838" s="113" t="s">
        <v>1620</v>
      </c>
      <c r="F3838" s="113" t="s">
        <v>3093</v>
      </c>
      <c r="G3838" s="113" t="s">
        <v>3093</v>
      </c>
      <c r="H3838" s="161">
        <v>0</v>
      </c>
      <c r="I3838" s="161" t="s">
        <v>7138</v>
      </c>
    </row>
    <row r="3839" spans="1:9">
      <c r="A3839" s="113">
        <v>101000010</v>
      </c>
      <c r="B3839" s="113" t="s">
        <v>6494</v>
      </c>
      <c r="C3839" s="113">
        <v>7016159</v>
      </c>
      <c r="D3839" s="113" t="s">
        <v>3093</v>
      </c>
      <c r="E3839" s="113" t="s">
        <v>1620</v>
      </c>
      <c r="F3839" s="113" t="s">
        <v>3093</v>
      </c>
      <c r="G3839" s="113" t="s">
        <v>3093</v>
      </c>
      <c r="H3839" s="161">
        <v>645</v>
      </c>
      <c r="I3839" s="161">
        <v>21</v>
      </c>
    </row>
    <row r="3840" spans="1:9">
      <c r="A3840" s="113">
        <v>101000011</v>
      </c>
      <c r="B3840" s="113" t="s">
        <v>6495</v>
      </c>
      <c r="C3840" s="113">
        <v>7016226</v>
      </c>
      <c r="D3840" s="113" t="s">
        <v>3093</v>
      </c>
      <c r="E3840" s="113" t="s">
        <v>99</v>
      </c>
      <c r="F3840" s="113" t="s">
        <v>3093</v>
      </c>
      <c r="G3840" s="113" t="s">
        <v>3093</v>
      </c>
      <c r="H3840" s="161">
        <v>0.215</v>
      </c>
      <c r="I3840" s="161">
        <v>75000</v>
      </c>
    </row>
    <row r="3841" spans="1:9">
      <c r="A3841" s="113">
        <v>101000012</v>
      </c>
      <c r="B3841" s="113" t="s">
        <v>6496</v>
      </c>
      <c r="C3841" s="113">
        <v>7020086</v>
      </c>
      <c r="D3841" s="113" t="s">
        <v>3093</v>
      </c>
      <c r="E3841" s="113" t="s">
        <v>1620</v>
      </c>
      <c r="F3841" s="113" t="s">
        <v>3093</v>
      </c>
      <c r="G3841" s="113" t="s">
        <v>3093</v>
      </c>
      <c r="H3841" s="161">
        <v>528.74</v>
      </c>
      <c r="I3841" s="161" t="s">
        <v>7138</v>
      </c>
    </row>
    <row r="3842" spans="1:9">
      <c r="A3842" s="113">
        <v>101000013</v>
      </c>
      <c r="B3842" s="113" t="s">
        <v>6497</v>
      </c>
      <c r="C3842" s="113">
        <v>7020087</v>
      </c>
      <c r="D3842" s="113" t="s">
        <v>3093</v>
      </c>
      <c r="E3842" s="113" t="s">
        <v>1620</v>
      </c>
      <c r="F3842" s="113" t="s">
        <v>3093</v>
      </c>
      <c r="G3842" s="113" t="s">
        <v>3093</v>
      </c>
      <c r="H3842" s="161">
        <v>528.74</v>
      </c>
      <c r="I3842" s="161" t="s">
        <v>7138</v>
      </c>
    </row>
    <row r="3843" spans="1:9">
      <c r="A3843" s="113">
        <v>101000014</v>
      </c>
      <c r="B3843" s="113" t="s">
        <v>6498</v>
      </c>
      <c r="C3843" s="113">
        <v>7020140</v>
      </c>
      <c r="D3843" s="113" t="s">
        <v>3093</v>
      </c>
      <c r="E3843" s="113" t="s">
        <v>1620</v>
      </c>
      <c r="F3843" s="113" t="s">
        <v>3093</v>
      </c>
      <c r="G3843" s="113" t="s">
        <v>3093</v>
      </c>
      <c r="H3843" s="161">
        <v>25.65</v>
      </c>
      <c r="I3843" s="161">
        <v>2</v>
      </c>
    </row>
    <row r="3844" spans="1:9">
      <c r="A3844" s="113">
        <v>101000015</v>
      </c>
      <c r="B3844" s="113" t="s">
        <v>6499</v>
      </c>
      <c r="C3844" s="113">
        <v>7020141</v>
      </c>
      <c r="D3844" s="113" t="s">
        <v>3093</v>
      </c>
      <c r="E3844" s="113" t="s">
        <v>1620</v>
      </c>
      <c r="F3844" s="113" t="s">
        <v>3093</v>
      </c>
      <c r="G3844" s="113" t="s">
        <v>3093</v>
      </c>
      <c r="H3844" s="161">
        <v>0</v>
      </c>
      <c r="I3844" s="161" t="s">
        <v>7138</v>
      </c>
    </row>
    <row r="3845" spans="1:9">
      <c r="A3845" s="113">
        <v>101000016</v>
      </c>
      <c r="B3845" s="113" t="s">
        <v>6500</v>
      </c>
      <c r="C3845" s="113">
        <v>7020142</v>
      </c>
      <c r="D3845" s="113" t="s">
        <v>3093</v>
      </c>
      <c r="E3845" s="113" t="s">
        <v>1620</v>
      </c>
      <c r="F3845" s="113" t="s">
        <v>3093</v>
      </c>
      <c r="G3845" s="113" t="s">
        <v>3093</v>
      </c>
      <c r="H3845" s="161">
        <v>30.88</v>
      </c>
      <c r="I3845" s="161">
        <v>2</v>
      </c>
    </row>
    <row r="3846" spans="1:9">
      <c r="A3846" s="113">
        <v>101000017</v>
      </c>
      <c r="B3846" s="113" t="s">
        <v>6501</v>
      </c>
      <c r="C3846" s="113">
        <v>7020143</v>
      </c>
      <c r="D3846" s="113" t="s">
        <v>3093</v>
      </c>
      <c r="E3846" s="113" t="s">
        <v>1620</v>
      </c>
      <c r="F3846" s="113" t="s">
        <v>3093</v>
      </c>
      <c r="G3846" s="113" t="s">
        <v>3093</v>
      </c>
      <c r="H3846" s="161">
        <v>0</v>
      </c>
      <c r="I3846" s="161" t="s">
        <v>7138</v>
      </c>
    </row>
    <row r="3847" spans="1:9">
      <c r="A3847" s="113">
        <v>101000018</v>
      </c>
      <c r="B3847" s="113" t="s">
        <v>6502</v>
      </c>
      <c r="C3847" s="113">
        <v>7020144</v>
      </c>
      <c r="D3847" s="113" t="s">
        <v>3093</v>
      </c>
      <c r="E3847" s="113" t="s">
        <v>1620</v>
      </c>
      <c r="F3847" s="113" t="s">
        <v>3093</v>
      </c>
      <c r="G3847" s="113" t="s">
        <v>3093</v>
      </c>
      <c r="H3847" s="161">
        <v>0</v>
      </c>
      <c r="I3847" s="161" t="s">
        <v>7138</v>
      </c>
    </row>
    <row r="3848" spans="1:9">
      <c r="A3848" s="113">
        <v>101000019</v>
      </c>
      <c r="B3848" s="113" t="s">
        <v>6503</v>
      </c>
      <c r="C3848" s="113">
        <v>7020145</v>
      </c>
      <c r="D3848" s="113" t="s">
        <v>3093</v>
      </c>
      <c r="E3848" s="113" t="s">
        <v>1620</v>
      </c>
      <c r="F3848" s="113" t="s">
        <v>3093</v>
      </c>
      <c r="G3848" s="113" t="s">
        <v>3093</v>
      </c>
      <c r="H3848" s="161">
        <v>28</v>
      </c>
      <c r="I3848" s="161">
        <v>140</v>
      </c>
    </row>
    <row r="3849" spans="1:9">
      <c r="A3849" s="113">
        <v>101000020</v>
      </c>
      <c r="B3849" s="113" t="s">
        <v>6504</v>
      </c>
      <c r="C3849" s="113">
        <v>7020260</v>
      </c>
      <c r="D3849" s="113" t="s">
        <v>3093</v>
      </c>
      <c r="E3849" s="113" t="s">
        <v>1620</v>
      </c>
      <c r="F3849" s="113" t="s">
        <v>3093</v>
      </c>
      <c r="G3849" s="113" t="s">
        <v>3093</v>
      </c>
      <c r="H3849" s="161">
        <v>24</v>
      </c>
      <c r="I3849" s="161">
        <v>400</v>
      </c>
    </row>
    <row r="3850" spans="1:9">
      <c r="A3850" s="113">
        <v>101000021</v>
      </c>
      <c r="B3850" s="113" t="s">
        <v>6505</v>
      </c>
      <c r="C3850" s="113">
        <v>7020261</v>
      </c>
      <c r="D3850" s="113" t="s">
        <v>3093</v>
      </c>
      <c r="E3850" s="113" t="s">
        <v>1620</v>
      </c>
      <c r="F3850" s="113" t="s">
        <v>3093</v>
      </c>
      <c r="G3850" s="113" t="s">
        <v>3093</v>
      </c>
      <c r="H3850" s="161">
        <v>80</v>
      </c>
      <c r="I3850" s="161">
        <v>240</v>
      </c>
    </row>
    <row r="3851" spans="1:9">
      <c r="A3851" s="113">
        <v>101000022</v>
      </c>
      <c r="B3851" s="113" t="s">
        <v>6506</v>
      </c>
      <c r="C3851" s="113">
        <v>7020262</v>
      </c>
      <c r="D3851" s="113" t="s">
        <v>3093</v>
      </c>
      <c r="E3851" s="113" t="s">
        <v>1620</v>
      </c>
      <c r="F3851" s="113" t="s">
        <v>3093</v>
      </c>
      <c r="G3851" s="113" t="s">
        <v>3093</v>
      </c>
      <c r="H3851" s="161">
        <v>75</v>
      </c>
      <c r="I3851" s="161">
        <v>0</v>
      </c>
    </row>
    <row r="3852" spans="1:9">
      <c r="A3852" s="113">
        <v>101000023</v>
      </c>
      <c r="B3852" s="113" t="s">
        <v>6507</v>
      </c>
      <c r="C3852" s="113">
        <v>7020263</v>
      </c>
      <c r="D3852" s="113" t="s">
        <v>3093</v>
      </c>
      <c r="E3852" s="113" t="s">
        <v>1620</v>
      </c>
      <c r="F3852" s="113" t="s">
        <v>3093</v>
      </c>
      <c r="G3852" s="113" t="s">
        <v>3093</v>
      </c>
      <c r="H3852" s="161">
        <v>41</v>
      </c>
      <c r="I3852" s="161">
        <v>48</v>
      </c>
    </row>
    <row r="3853" spans="1:9">
      <c r="A3853" s="113">
        <v>101000024</v>
      </c>
      <c r="B3853" s="113" t="s">
        <v>6508</v>
      </c>
      <c r="C3853" s="113">
        <v>7020264</v>
      </c>
      <c r="D3853" s="113" t="s">
        <v>3093</v>
      </c>
      <c r="E3853" s="113" t="s">
        <v>1620</v>
      </c>
      <c r="F3853" s="113" t="s">
        <v>3093</v>
      </c>
      <c r="G3853" s="113" t="s">
        <v>3093</v>
      </c>
      <c r="H3853" s="161">
        <v>219</v>
      </c>
      <c r="I3853" s="161">
        <v>264</v>
      </c>
    </row>
    <row r="3854" spans="1:9">
      <c r="A3854" s="113">
        <v>101000025</v>
      </c>
      <c r="B3854" s="113" t="s">
        <v>6509</v>
      </c>
      <c r="C3854" s="113">
        <v>7020273</v>
      </c>
      <c r="D3854" s="113" t="s">
        <v>3093</v>
      </c>
      <c r="E3854" s="113" t="s">
        <v>1620</v>
      </c>
      <c r="F3854" s="113" t="s">
        <v>3093</v>
      </c>
      <c r="G3854" s="113" t="s">
        <v>3093</v>
      </c>
      <c r="H3854" s="161">
        <v>162.27000000000001</v>
      </c>
      <c r="I3854" s="161">
        <v>0</v>
      </c>
    </row>
    <row r="3855" spans="1:9">
      <c r="A3855" s="113">
        <v>101000026</v>
      </c>
      <c r="B3855" s="113" t="s">
        <v>6510</v>
      </c>
      <c r="C3855" s="113">
        <v>7020274</v>
      </c>
      <c r="D3855" s="113" t="s">
        <v>3093</v>
      </c>
      <c r="E3855" s="113" t="s">
        <v>1620</v>
      </c>
      <c r="F3855" s="113" t="s">
        <v>3093</v>
      </c>
      <c r="G3855" s="113" t="s">
        <v>3093</v>
      </c>
      <c r="H3855" s="161">
        <v>162.27000000000001</v>
      </c>
      <c r="I3855" s="161" t="s">
        <v>7138</v>
      </c>
    </row>
    <row r="3856" spans="1:9">
      <c r="A3856" s="113">
        <v>101000027</v>
      </c>
      <c r="B3856" s="113" t="s">
        <v>6511</v>
      </c>
      <c r="C3856" s="113">
        <v>7032097</v>
      </c>
      <c r="D3856" s="113" t="s">
        <v>3093</v>
      </c>
      <c r="E3856" s="113" t="s">
        <v>1620</v>
      </c>
      <c r="F3856" s="113" t="s">
        <v>3093</v>
      </c>
      <c r="G3856" s="113" t="s">
        <v>3093</v>
      </c>
      <c r="H3856" s="161">
        <v>35</v>
      </c>
      <c r="I3856" s="161">
        <v>80</v>
      </c>
    </row>
    <row r="3857" spans="1:9">
      <c r="A3857" s="113">
        <v>101000028</v>
      </c>
      <c r="B3857" s="113" t="s">
        <v>6512</v>
      </c>
      <c r="C3857" s="113">
        <v>7032098</v>
      </c>
      <c r="D3857" s="113" t="s">
        <v>3093</v>
      </c>
      <c r="E3857" s="113" t="s">
        <v>1620</v>
      </c>
      <c r="F3857" s="113" t="s">
        <v>3093</v>
      </c>
      <c r="G3857" s="113" t="s">
        <v>3093</v>
      </c>
      <c r="H3857" s="161">
        <v>35</v>
      </c>
      <c r="I3857" s="161">
        <v>80</v>
      </c>
    </row>
    <row r="3858" spans="1:9">
      <c r="A3858" s="113">
        <v>101000029</v>
      </c>
      <c r="B3858" s="113" t="s">
        <v>6513</v>
      </c>
      <c r="C3858" s="113">
        <v>7032099</v>
      </c>
      <c r="D3858" s="113" t="s">
        <v>3093</v>
      </c>
      <c r="E3858" s="113" t="s">
        <v>1620</v>
      </c>
      <c r="F3858" s="113" t="s">
        <v>3093</v>
      </c>
      <c r="G3858" s="113" t="s">
        <v>3093</v>
      </c>
      <c r="H3858" s="161">
        <v>35</v>
      </c>
      <c r="I3858" s="161">
        <v>80</v>
      </c>
    </row>
    <row r="3859" spans="1:9">
      <c r="A3859" s="113">
        <v>101000030</v>
      </c>
      <c r="B3859" s="113" t="s">
        <v>6514</v>
      </c>
      <c r="C3859" s="113">
        <v>7032100</v>
      </c>
      <c r="D3859" s="113" t="s">
        <v>3093</v>
      </c>
      <c r="E3859" s="113" t="s">
        <v>1620</v>
      </c>
      <c r="F3859" s="113" t="s">
        <v>3093</v>
      </c>
      <c r="G3859" s="113" t="s">
        <v>3093</v>
      </c>
      <c r="H3859" s="161">
        <v>35</v>
      </c>
      <c r="I3859" s="161">
        <v>12</v>
      </c>
    </row>
    <row r="3860" spans="1:9">
      <c r="A3860" s="113">
        <v>101000031</v>
      </c>
      <c r="B3860" s="113" t="s">
        <v>6515</v>
      </c>
      <c r="C3860" s="113">
        <v>7033104</v>
      </c>
      <c r="D3860" s="113" t="s">
        <v>3093</v>
      </c>
      <c r="E3860" s="113" t="s">
        <v>1620</v>
      </c>
      <c r="F3860" s="113" t="s">
        <v>3093</v>
      </c>
      <c r="G3860" s="113" t="s">
        <v>3093</v>
      </c>
      <c r="H3860" s="161">
        <v>0</v>
      </c>
      <c r="I3860" s="161" t="s">
        <v>7138</v>
      </c>
    </row>
    <row r="3861" spans="1:9">
      <c r="A3861" s="113">
        <v>101000032</v>
      </c>
      <c r="B3861" s="113" t="s">
        <v>6516</v>
      </c>
      <c r="C3861" s="113">
        <v>7034027</v>
      </c>
      <c r="D3861" s="113" t="s">
        <v>3093</v>
      </c>
      <c r="E3861" s="113" t="s">
        <v>1620</v>
      </c>
      <c r="F3861" s="113" t="s">
        <v>3093</v>
      </c>
      <c r="G3861" s="113" t="s">
        <v>3093</v>
      </c>
      <c r="H3861" s="161">
        <v>35</v>
      </c>
      <c r="I3861" s="161">
        <v>120</v>
      </c>
    </row>
    <row r="3862" spans="1:9">
      <c r="A3862" s="113">
        <v>101000033</v>
      </c>
      <c r="B3862" s="113" t="s">
        <v>6517</v>
      </c>
      <c r="C3862" s="113">
        <v>7034044</v>
      </c>
      <c r="D3862" s="113" t="s">
        <v>3093</v>
      </c>
      <c r="E3862" s="113" t="s">
        <v>1620</v>
      </c>
      <c r="F3862" s="113" t="s">
        <v>3093</v>
      </c>
      <c r="G3862" s="113" t="s">
        <v>3093</v>
      </c>
      <c r="H3862" s="161">
        <v>14.8</v>
      </c>
      <c r="I3862" s="161">
        <v>4</v>
      </c>
    </row>
    <row r="3863" spans="1:9">
      <c r="A3863" s="113">
        <v>101000034</v>
      </c>
      <c r="B3863" s="113" t="s">
        <v>1292</v>
      </c>
      <c r="C3863" s="113">
        <v>7034045</v>
      </c>
      <c r="D3863" s="113" t="s">
        <v>3093</v>
      </c>
      <c r="E3863" s="113" t="s">
        <v>1620</v>
      </c>
      <c r="F3863" s="113" t="s">
        <v>3093</v>
      </c>
      <c r="G3863" s="113" t="s">
        <v>3093</v>
      </c>
      <c r="H3863" s="161">
        <v>0.22</v>
      </c>
      <c r="I3863" s="161">
        <v>1000</v>
      </c>
    </row>
    <row r="3864" spans="1:9">
      <c r="A3864" s="113">
        <v>101000035</v>
      </c>
      <c r="B3864" s="113" t="s">
        <v>6518</v>
      </c>
      <c r="C3864" s="113">
        <v>7034050</v>
      </c>
      <c r="D3864" s="113" t="s">
        <v>3093</v>
      </c>
      <c r="E3864" s="113" t="s">
        <v>1620</v>
      </c>
      <c r="F3864" s="113" t="s">
        <v>3093</v>
      </c>
      <c r="G3864" s="113" t="s">
        <v>3093</v>
      </c>
      <c r="H3864" s="161">
        <v>3.39E-2</v>
      </c>
      <c r="I3864" s="161">
        <v>770</v>
      </c>
    </row>
    <row r="3865" spans="1:9">
      <c r="A3865" s="113">
        <v>101000036</v>
      </c>
      <c r="B3865" s="113" t="s">
        <v>6519</v>
      </c>
      <c r="C3865" s="113">
        <v>7034058</v>
      </c>
      <c r="D3865" s="113" t="s">
        <v>3093</v>
      </c>
      <c r="E3865" s="113" t="s">
        <v>1620</v>
      </c>
      <c r="F3865" s="113" t="s">
        <v>3093</v>
      </c>
      <c r="G3865" s="113" t="s">
        <v>3093</v>
      </c>
      <c r="H3865" s="161">
        <v>65.5</v>
      </c>
      <c r="I3865" s="161">
        <v>0</v>
      </c>
    </row>
    <row r="3866" spans="1:9">
      <c r="A3866" s="113">
        <v>101000037</v>
      </c>
      <c r="B3866" s="113" t="s">
        <v>6520</v>
      </c>
      <c r="C3866" s="113">
        <v>7042018</v>
      </c>
      <c r="D3866" s="113" t="s">
        <v>3093</v>
      </c>
      <c r="E3866" s="113" t="s">
        <v>1620</v>
      </c>
      <c r="F3866" s="113" t="s">
        <v>3093</v>
      </c>
      <c r="G3866" s="113" t="s">
        <v>3093</v>
      </c>
      <c r="H3866" s="161">
        <v>40</v>
      </c>
      <c r="I3866" s="161">
        <v>0</v>
      </c>
    </row>
    <row r="3867" spans="1:9">
      <c r="A3867" s="113">
        <v>101000038</v>
      </c>
      <c r="B3867" s="113" t="s">
        <v>6521</v>
      </c>
      <c r="C3867" s="113">
        <v>7042040</v>
      </c>
      <c r="D3867" s="113" t="s">
        <v>3093</v>
      </c>
      <c r="E3867" s="113" t="s">
        <v>1620</v>
      </c>
      <c r="F3867" s="113" t="s">
        <v>3093</v>
      </c>
      <c r="G3867" s="113" t="s">
        <v>3093</v>
      </c>
      <c r="H3867" s="161">
        <v>50.3</v>
      </c>
      <c r="I3867" s="161">
        <v>6</v>
      </c>
    </row>
    <row r="3868" spans="1:9">
      <c r="A3868" s="113">
        <v>101000039</v>
      </c>
      <c r="B3868" s="113" t="s">
        <v>6522</v>
      </c>
      <c r="C3868" s="113">
        <v>7042067</v>
      </c>
      <c r="D3868" s="113" t="s">
        <v>3093</v>
      </c>
      <c r="E3868" s="113" t="s">
        <v>1620</v>
      </c>
      <c r="F3868" s="113" t="s">
        <v>3093</v>
      </c>
      <c r="G3868" s="113" t="s">
        <v>3093</v>
      </c>
      <c r="H3868" s="161">
        <v>49.11</v>
      </c>
      <c r="I3868" s="161">
        <v>240</v>
      </c>
    </row>
    <row r="3869" spans="1:9">
      <c r="A3869" s="113">
        <v>101000040</v>
      </c>
      <c r="B3869" s="113" t="s">
        <v>6523</v>
      </c>
      <c r="C3869" s="113">
        <v>7042092</v>
      </c>
      <c r="D3869" s="113" t="s">
        <v>3093</v>
      </c>
      <c r="E3869" s="113" t="s">
        <v>1620</v>
      </c>
      <c r="F3869" s="113" t="s">
        <v>3093</v>
      </c>
      <c r="G3869" s="113" t="s">
        <v>3093</v>
      </c>
      <c r="H3869" s="161">
        <v>40</v>
      </c>
      <c r="I3869" s="161">
        <v>0</v>
      </c>
    </row>
    <row r="3870" spans="1:9">
      <c r="A3870" s="113">
        <v>101000041</v>
      </c>
      <c r="B3870" s="113" t="s">
        <v>6524</v>
      </c>
      <c r="C3870" s="113">
        <v>7080059</v>
      </c>
      <c r="D3870" s="113" t="s">
        <v>7139</v>
      </c>
      <c r="E3870" s="113" t="s">
        <v>1620</v>
      </c>
      <c r="F3870" s="113" t="s">
        <v>7139</v>
      </c>
      <c r="G3870" s="113" t="s">
        <v>3093</v>
      </c>
      <c r="H3870" s="161">
        <v>12.6</v>
      </c>
      <c r="I3870" s="161">
        <v>900</v>
      </c>
    </row>
    <row r="3871" spans="1:9">
      <c r="A3871" s="113">
        <v>101000043</v>
      </c>
      <c r="B3871" s="113" t="s">
        <v>6525</v>
      </c>
      <c r="C3871" s="113">
        <v>7101264</v>
      </c>
      <c r="D3871" s="113" t="s">
        <v>3093</v>
      </c>
      <c r="E3871" s="113" t="s">
        <v>1620</v>
      </c>
      <c r="F3871" s="113" t="s">
        <v>3093</v>
      </c>
      <c r="G3871" s="113" t="s">
        <v>3093</v>
      </c>
      <c r="H3871" s="161">
        <v>2190</v>
      </c>
      <c r="I3871" s="161">
        <v>24</v>
      </c>
    </row>
    <row r="3872" spans="1:9">
      <c r="A3872" s="113">
        <v>101000044</v>
      </c>
      <c r="B3872" s="113" t="s">
        <v>6526</v>
      </c>
      <c r="C3872" s="113">
        <v>7101265</v>
      </c>
      <c r="D3872" s="113" t="s">
        <v>3093</v>
      </c>
      <c r="E3872" s="113" t="s">
        <v>1620</v>
      </c>
      <c r="F3872" s="113" t="s">
        <v>3093</v>
      </c>
      <c r="G3872" s="113" t="s">
        <v>3093</v>
      </c>
      <c r="H3872" s="161">
        <v>1434.33</v>
      </c>
      <c r="I3872" s="161">
        <v>12</v>
      </c>
    </row>
    <row r="3873" spans="1:9">
      <c r="A3873" s="113">
        <v>101000045</v>
      </c>
      <c r="B3873" s="113" t="s">
        <v>6527</v>
      </c>
      <c r="C3873" s="113">
        <v>7112061</v>
      </c>
      <c r="D3873" s="113" t="s">
        <v>3093</v>
      </c>
      <c r="E3873" s="113" t="s">
        <v>1620</v>
      </c>
      <c r="F3873" s="113" t="s">
        <v>3093</v>
      </c>
      <c r="G3873" s="113" t="s">
        <v>3093</v>
      </c>
      <c r="H3873" s="161">
        <v>65</v>
      </c>
      <c r="I3873" s="161">
        <v>0</v>
      </c>
    </row>
    <row r="3874" spans="1:9">
      <c r="A3874" s="113">
        <v>101000046</v>
      </c>
      <c r="B3874" s="113" t="s">
        <v>6528</v>
      </c>
      <c r="C3874" s="113">
        <v>7112062</v>
      </c>
      <c r="D3874" s="113" t="s">
        <v>3093</v>
      </c>
      <c r="E3874" s="113" t="s">
        <v>1620</v>
      </c>
      <c r="F3874" s="113" t="s">
        <v>3093</v>
      </c>
      <c r="G3874" s="113" t="s">
        <v>3093</v>
      </c>
      <c r="H3874" s="161">
        <v>44.95</v>
      </c>
      <c r="I3874" s="161">
        <v>237</v>
      </c>
    </row>
    <row r="3875" spans="1:9">
      <c r="A3875" s="113">
        <v>101000047</v>
      </c>
      <c r="B3875" s="113" t="s">
        <v>6529</v>
      </c>
      <c r="C3875" s="113" t="s">
        <v>3093</v>
      </c>
      <c r="D3875" s="113" t="s">
        <v>3093</v>
      </c>
      <c r="E3875" s="113" t="s">
        <v>1620</v>
      </c>
      <c r="F3875" s="113" t="s">
        <v>3093</v>
      </c>
      <c r="G3875" s="113" t="s">
        <v>3093</v>
      </c>
      <c r="H3875" s="161">
        <v>6.99</v>
      </c>
      <c r="I3875" s="161">
        <v>200</v>
      </c>
    </row>
    <row r="3876" spans="1:9">
      <c r="A3876" s="113">
        <v>101000048</v>
      </c>
      <c r="B3876" s="113" t="s">
        <v>6530</v>
      </c>
      <c r="C3876" s="113" t="s">
        <v>3093</v>
      </c>
      <c r="D3876" s="113" t="s">
        <v>3093</v>
      </c>
      <c r="E3876" s="113" t="s">
        <v>1620</v>
      </c>
      <c r="F3876" s="113" t="s">
        <v>3093</v>
      </c>
      <c r="G3876" s="113" t="s">
        <v>3093</v>
      </c>
      <c r="H3876" s="161">
        <v>0</v>
      </c>
      <c r="I3876" s="161" t="s">
        <v>7138</v>
      </c>
    </row>
    <row r="3877" spans="1:9">
      <c r="A3877" s="113">
        <v>101000049</v>
      </c>
      <c r="B3877" s="113" t="s">
        <v>6531</v>
      </c>
      <c r="C3877" s="113" t="s">
        <v>3093</v>
      </c>
      <c r="D3877" s="113" t="s">
        <v>3093</v>
      </c>
      <c r="E3877" s="113" t="s">
        <v>1620</v>
      </c>
      <c r="F3877" s="113" t="s">
        <v>3093</v>
      </c>
      <c r="G3877" s="113" t="s">
        <v>3093</v>
      </c>
      <c r="H3877" s="161">
        <v>0</v>
      </c>
      <c r="I3877" s="161" t="s">
        <v>7138</v>
      </c>
    </row>
    <row r="3878" spans="1:9">
      <c r="A3878" s="113">
        <v>101000050</v>
      </c>
      <c r="B3878" s="113" t="s">
        <v>6532</v>
      </c>
      <c r="C3878" s="113" t="s">
        <v>3093</v>
      </c>
      <c r="D3878" s="113" t="s">
        <v>3093</v>
      </c>
      <c r="E3878" s="113" t="s">
        <v>1620</v>
      </c>
      <c r="F3878" s="113" t="s">
        <v>3093</v>
      </c>
      <c r="G3878" s="113" t="s">
        <v>3093</v>
      </c>
      <c r="H3878" s="161">
        <v>0</v>
      </c>
      <c r="I3878" s="161" t="s">
        <v>7138</v>
      </c>
    </row>
    <row r="3879" spans="1:9">
      <c r="A3879" s="113">
        <v>101000051</v>
      </c>
      <c r="B3879" s="113" t="s">
        <v>6533</v>
      </c>
      <c r="C3879" s="113" t="s">
        <v>3093</v>
      </c>
      <c r="D3879" s="113" t="s">
        <v>3093</v>
      </c>
      <c r="E3879" s="113" t="s">
        <v>1620</v>
      </c>
      <c r="F3879" s="113" t="s">
        <v>3093</v>
      </c>
      <c r="G3879" s="115" t="s">
        <v>3093</v>
      </c>
      <c r="H3879" s="161">
        <v>6.78</v>
      </c>
      <c r="I3879" s="161" t="s">
        <v>7138</v>
      </c>
    </row>
    <row r="3880" spans="1:9">
      <c r="A3880" s="113">
        <v>101000052</v>
      </c>
      <c r="B3880" s="113" t="s">
        <v>6534</v>
      </c>
      <c r="C3880" s="113" t="s">
        <v>3093</v>
      </c>
      <c r="D3880" s="113" t="s">
        <v>3093</v>
      </c>
      <c r="E3880" s="113" t="s">
        <v>1620</v>
      </c>
      <c r="F3880" s="113" t="s">
        <v>3093</v>
      </c>
      <c r="G3880" s="115" t="s">
        <v>3093</v>
      </c>
      <c r="H3880" s="161">
        <v>5.65</v>
      </c>
      <c r="I3880" s="161" t="s">
        <v>7138</v>
      </c>
    </row>
    <row r="3881" spans="1:9">
      <c r="A3881" s="113">
        <v>101000053</v>
      </c>
      <c r="B3881" s="113" t="s">
        <v>6535</v>
      </c>
      <c r="C3881" s="113" t="s">
        <v>3093</v>
      </c>
      <c r="D3881" s="113" t="s">
        <v>3093</v>
      </c>
      <c r="E3881" s="113" t="s">
        <v>1620</v>
      </c>
      <c r="F3881" s="113" t="s">
        <v>3093</v>
      </c>
      <c r="G3881" s="113" t="s">
        <v>3093</v>
      </c>
      <c r="H3881" s="161">
        <v>0</v>
      </c>
      <c r="I3881" s="161" t="s">
        <v>7138</v>
      </c>
    </row>
    <row r="3882" spans="1:9">
      <c r="A3882" s="113">
        <v>101000054</v>
      </c>
      <c r="B3882" s="113" t="s">
        <v>6536</v>
      </c>
      <c r="C3882" s="113" t="s">
        <v>3093</v>
      </c>
      <c r="D3882" s="113" t="s">
        <v>3093</v>
      </c>
      <c r="E3882" s="113" t="s">
        <v>1620</v>
      </c>
      <c r="F3882" s="113" t="s">
        <v>3093</v>
      </c>
      <c r="G3882" s="113" t="s">
        <v>3093</v>
      </c>
      <c r="H3882" s="161">
        <v>0</v>
      </c>
      <c r="I3882" s="161" t="s">
        <v>7138</v>
      </c>
    </row>
    <row r="3883" spans="1:9">
      <c r="A3883" s="113">
        <v>101000055</v>
      </c>
      <c r="B3883" s="113" t="s">
        <v>6537</v>
      </c>
      <c r="C3883" s="113" t="s">
        <v>3093</v>
      </c>
      <c r="D3883" s="113" t="s">
        <v>3093</v>
      </c>
      <c r="E3883" s="113" t="s">
        <v>1620</v>
      </c>
      <c r="F3883" s="113" t="s">
        <v>3093</v>
      </c>
      <c r="G3883" s="113" t="s">
        <v>3093</v>
      </c>
      <c r="H3883" s="161">
        <v>0</v>
      </c>
      <c r="I3883" s="161" t="s">
        <v>7138</v>
      </c>
    </row>
    <row r="3884" spans="1:9">
      <c r="A3884" s="113">
        <v>101100001</v>
      </c>
      <c r="B3884" s="113" t="s">
        <v>722</v>
      </c>
      <c r="C3884" s="113">
        <v>4201057</v>
      </c>
      <c r="D3884" s="113" t="s">
        <v>3093</v>
      </c>
      <c r="E3884" s="113" t="s">
        <v>1620</v>
      </c>
      <c r="F3884" s="113" t="s">
        <v>3093</v>
      </c>
      <c r="G3884" s="113" t="s">
        <v>3093</v>
      </c>
      <c r="H3884" s="161">
        <v>43</v>
      </c>
      <c r="I3884" s="161">
        <v>2</v>
      </c>
    </row>
    <row r="3885" spans="1:9">
      <c r="A3885" s="113">
        <v>101100002</v>
      </c>
      <c r="B3885" s="113" t="s">
        <v>6538</v>
      </c>
      <c r="C3885" s="113">
        <v>6990944</v>
      </c>
      <c r="D3885" s="113" t="s">
        <v>3093</v>
      </c>
      <c r="E3885" s="113" t="s">
        <v>1620</v>
      </c>
      <c r="F3885" s="113" t="s">
        <v>3093</v>
      </c>
      <c r="G3885" s="113" t="s">
        <v>3093</v>
      </c>
      <c r="H3885" s="161">
        <v>9.5000000000000001E-2</v>
      </c>
      <c r="I3885" s="161">
        <v>0</v>
      </c>
    </row>
    <row r="3886" spans="1:9">
      <c r="A3886" s="113">
        <v>101100003</v>
      </c>
      <c r="B3886" s="113" t="s">
        <v>6539</v>
      </c>
      <c r="C3886" s="113">
        <v>6990945</v>
      </c>
      <c r="D3886" s="113" t="s">
        <v>3093</v>
      </c>
      <c r="E3886" s="113" t="s">
        <v>1620</v>
      </c>
      <c r="F3886" s="113" t="s">
        <v>3093</v>
      </c>
      <c r="G3886" s="113" t="s">
        <v>3093</v>
      </c>
      <c r="H3886" s="161">
        <v>0.03</v>
      </c>
      <c r="I3886" s="161">
        <v>2400</v>
      </c>
    </row>
    <row r="3887" spans="1:9">
      <c r="A3887" s="113">
        <v>101100004</v>
      </c>
      <c r="B3887" s="113" t="s">
        <v>6540</v>
      </c>
      <c r="C3887" s="113">
        <v>6990958</v>
      </c>
      <c r="D3887" s="113" t="s">
        <v>3093</v>
      </c>
      <c r="E3887" s="113" t="s">
        <v>1620</v>
      </c>
      <c r="F3887" s="113" t="s">
        <v>3093</v>
      </c>
      <c r="G3887" s="113" t="s">
        <v>3093</v>
      </c>
      <c r="H3887" s="161">
        <v>2.8000000000000001E-2</v>
      </c>
      <c r="I3887" s="161">
        <v>0</v>
      </c>
    </row>
    <row r="3888" spans="1:9">
      <c r="A3888" s="113">
        <v>101100005</v>
      </c>
      <c r="B3888" s="113" t="s">
        <v>6541</v>
      </c>
      <c r="C3888" s="113">
        <v>6990959</v>
      </c>
      <c r="D3888" s="113" t="s">
        <v>3093</v>
      </c>
      <c r="E3888" s="113" t="s">
        <v>1620</v>
      </c>
      <c r="F3888" s="113" t="s">
        <v>3093</v>
      </c>
      <c r="G3888" s="113" t="s">
        <v>3093</v>
      </c>
      <c r="H3888" s="161">
        <v>0.03</v>
      </c>
      <c r="I3888" s="161">
        <v>800</v>
      </c>
    </row>
    <row r="3889" spans="1:9">
      <c r="A3889" s="113">
        <v>101100006</v>
      </c>
      <c r="B3889" s="113" t="s">
        <v>6542</v>
      </c>
      <c r="C3889" s="113">
        <v>6990960</v>
      </c>
      <c r="D3889" s="113" t="s">
        <v>3093</v>
      </c>
      <c r="E3889" s="113" t="s">
        <v>1620</v>
      </c>
      <c r="F3889" s="113" t="s">
        <v>3093</v>
      </c>
      <c r="G3889" s="113" t="s">
        <v>3093</v>
      </c>
      <c r="H3889" s="161">
        <v>0</v>
      </c>
      <c r="I3889" s="161" t="s">
        <v>7138</v>
      </c>
    </row>
    <row r="3890" spans="1:9">
      <c r="A3890" s="113">
        <v>101100007</v>
      </c>
      <c r="B3890" s="113" t="s">
        <v>6543</v>
      </c>
      <c r="C3890" s="113">
        <v>6991206</v>
      </c>
      <c r="D3890" s="113" t="s">
        <v>3093</v>
      </c>
      <c r="E3890" s="113" t="s">
        <v>1620</v>
      </c>
      <c r="F3890" s="113" t="s">
        <v>3093</v>
      </c>
      <c r="G3890" s="113" t="s">
        <v>3093</v>
      </c>
      <c r="H3890" s="161">
        <v>0.03</v>
      </c>
      <c r="I3890" s="161">
        <v>0</v>
      </c>
    </row>
    <row r="3891" spans="1:9">
      <c r="A3891" s="113">
        <v>101100008</v>
      </c>
      <c r="B3891" s="113" t="s">
        <v>6544</v>
      </c>
      <c r="C3891" s="113">
        <v>6991207</v>
      </c>
      <c r="D3891" s="113" t="s">
        <v>3093</v>
      </c>
      <c r="E3891" s="113" t="s">
        <v>1620</v>
      </c>
      <c r="F3891" s="113" t="s">
        <v>3093</v>
      </c>
      <c r="G3891" s="113" t="s">
        <v>3093</v>
      </c>
      <c r="H3891" s="161">
        <v>3.5099999999999999E-2</v>
      </c>
      <c r="I3891" s="161">
        <v>0</v>
      </c>
    </row>
    <row r="3892" spans="1:9">
      <c r="A3892" s="113">
        <v>101100009</v>
      </c>
      <c r="B3892" s="113" t="s">
        <v>6545</v>
      </c>
      <c r="C3892" s="113">
        <v>6991208</v>
      </c>
      <c r="D3892" s="113" t="s">
        <v>3093</v>
      </c>
      <c r="E3892" s="113" t="s">
        <v>1620</v>
      </c>
      <c r="F3892" s="113" t="s">
        <v>3093</v>
      </c>
      <c r="G3892" s="113" t="s">
        <v>3093</v>
      </c>
      <c r="H3892" s="161">
        <v>3.5099999999999999E-2</v>
      </c>
      <c r="I3892" s="161">
        <v>0</v>
      </c>
    </row>
    <row r="3893" spans="1:9">
      <c r="A3893" s="113">
        <v>101100010</v>
      </c>
      <c r="B3893" s="113" t="s">
        <v>6546</v>
      </c>
      <c r="C3893" s="113">
        <v>6991213</v>
      </c>
      <c r="D3893" s="113" t="s">
        <v>3093</v>
      </c>
      <c r="E3893" s="113" t="s">
        <v>1620</v>
      </c>
      <c r="F3893" s="113" t="s">
        <v>3093</v>
      </c>
      <c r="G3893" s="113" t="s">
        <v>3093</v>
      </c>
      <c r="H3893" s="161">
        <v>3.7999999999999999E-2</v>
      </c>
      <c r="I3893" s="161" t="s">
        <v>7138</v>
      </c>
    </row>
    <row r="3894" spans="1:9">
      <c r="A3894" s="113">
        <v>101100011</v>
      </c>
      <c r="B3894" s="113" t="s">
        <v>6547</v>
      </c>
      <c r="C3894" s="113">
        <v>6991229</v>
      </c>
      <c r="D3894" s="113" t="s">
        <v>3093</v>
      </c>
      <c r="E3894" s="113" t="s">
        <v>1620</v>
      </c>
      <c r="F3894" s="113" t="s">
        <v>3093</v>
      </c>
      <c r="G3894" s="113" t="s">
        <v>3093</v>
      </c>
      <c r="H3894" s="161">
        <v>0</v>
      </c>
      <c r="I3894" s="161" t="s">
        <v>7138</v>
      </c>
    </row>
    <row r="3895" spans="1:9">
      <c r="A3895" s="113">
        <v>101100012</v>
      </c>
      <c r="B3895" s="113" t="s">
        <v>6548</v>
      </c>
      <c r="C3895" s="113">
        <v>6991261</v>
      </c>
      <c r="D3895" s="113" t="s">
        <v>3093</v>
      </c>
      <c r="E3895" s="113" t="s">
        <v>1620</v>
      </c>
      <c r="F3895" s="113" t="s">
        <v>3093</v>
      </c>
      <c r="G3895" s="113" t="s">
        <v>3093</v>
      </c>
      <c r="H3895" s="161">
        <v>2.52E-2</v>
      </c>
      <c r="I3895" s="161" t="s">
        <v>7138</v>
      </c>
    </row>
    <row r="3896" spans="1:9">
      <c r="A3896" s="113">
        <v>101100013</v>
      </c>
      <c r="B3896" s="113" t="s">
        <v>6549</v>
      </c>
      <c r="C3896" s="113">
        <v>7010042</v>
      </c>
      <c r="D3896" s="113" t="s">
        <v>3093</v>
      </c>
      <c r="E3896" s="113" t="s">
        <v>1620</v>
      </c>
      <c r="F3896" s="113" t="s">
        <v>3093</v>
      </c>
      <c r="G3896" s="113" t="s">
        <v>3093</v>
      </c>
      <c r="H3896" s="161">
        <v>39</v>
      </c>
      <c r="I3896" s="161">
        <v>2400</v>
      </c>
    </row>
    <row r="3897" spans="1:9">
      <c r="A3897" s="113">
        <v>101100014</v>
      </c>
      <c r="B3897" s="113" t="s">
        <v>6550</v>
      </c>
      <c r="C3897" s="113">
        <v>7010045</v>
      </c>
      <c r="D3897" s="113" t="s">
        <v>3093</v>
      </c>
      <c r="E3897" s="113" t="s">
        <v>1620</v>
      </c>
      <c r="F3897" s="113" t="s">
        <v>3093</v>
      </c>
      <c r="G3897" s="113" t="s">
        <v>3093</v>
      </c>
      <c r="H3897" s="161">
        <v>1.8</v>
      </c>
      <c r="I3897" s="161">
        <v>15100</v>
      </c>
    </row>
    <row r="3898" spans="1:9">
      <c r="A3898" s="113">
        <v>101100015</v>
      </c>
      <c r="B3898" s="113" t="s">
        <v>6551</v>
      </c>
      <c r="C3898" s="113">
        <v>7010091</v>
      </c>
      <c r="D3898" s="113" t="s">
        <v>3093</v>
      </c>
      <c r="E3898" s="113" t="s">
        <v>1620</v>
      </c>
      <c r="F3898" s="113" t="s">
        <v>3093</v>
      </c>
      <c r="G3898" s="113" t="s">
        <v>3093</v>
      </c>
      <c r="H3898" s="161">
        <v>0.57999999999999996</v>
      </c>
      <c r="I3898" s="161">
        <v>0</v>
      </c>
    </row>
    <row r="3899" spans="1:9">
      <c r="A3899" s="113">
        <v>101100016</v>
      </c>
      <c r="B3899" s="113" t="s">
        <v>6552</v>
      </c>
      <c r="C3899" s="113">
        <v>7010092</v>
      </c>
      <c r="D3899" s="113" t="s">
        <v>3093</v>
      </c>
      <c r="E3899" s="113" t="s">
        <v>1620</v>
      </c>
      <c r="F3899" s="113" t="s">
        <v>3093</v>
      </c>
      <c r="G3899" s="113" t="s">
        <v>3093</v>
      </c>
      <c r="H3899" s="161">
        <v>1</v>
      </c>
      <c r="I3899" s="161">
        <v>100</v>
      </c>
    </row>
    <row r="3900" spans="1:9">
      <c r="A3900" s="113">
        <v>101100017</v>
      </c>
      <c r="B3900" s="113" t="s">
        <v>6553</v>
      </c>
      <c r="C3900" s="113">
        <v>7010093</v>
      </c>
      <c r="D3900" s="113" t="s">
        <v>3093</v>
      </c>
      <c r="E3900" s="113" t="s">
        <v>1620</v>
      </c>
      <c r="F3900" s="113" t="s">
        <v>3093</v>
      </c>
      <c r="G3900" s="113" t="s">
        <v>3093</v>
      </c>
      <c r="H3900" s="161">
        <v>0.52</v>
      </c>
      <c r="I3900" s="161">
        <v>35</v>
      </c>
    </row>
    <row r="3901" spans="1:9">
      <c r="A3901" s="113">
        <v>101100018</v>
      </c>
      <c r="B3901" s="113" t="s">
        <v>6554</v>
      </c>
      <c r="C3901" s="113">
        <v>7010094</v>
      </c>
      <c r="D3901" s="113" t="s">
        <v>3093</v>
      </c>
      <c r="E3901" s="113" t="s">
        <v>1620</v>
      </c>
      <c r="F3901" s="113" t="s">
        <v>3093</v>
      </c>
      <c r="G3901" s="113" t="s">
        <v>3093</v>
      </c>
      <c r="H3901" s="161">
        <v>0.52</v>
      </c>
      <c r="I3901" s="161">
        <v>250</v>
      </c>
    </row>
    <row r="3902" spans="1:9">
      <c r="A3902" s="113">
        <v>101100019</v>
      </c>
      <c r="B3902" s="113" t="s">
        <v>6555</v>
      </c>
      <c r="C3902" s="113">
        <v>7010095</v>
      </c>
      <c r="D3902" s="113" t="s">
        <v>3093</v>
      </c>
      <c r="E3902" s="113" t="s">
        <v>1620</v>
      </c>
      <c r="F3902" s="113" t="s">
        <v>3093</v>
      </c>
      <c r="G3902" s="113" t="s">
        <v>3093</v>
      </c>
      <c r="H3902" s="161">
        <v>0.52</v>
      </c>
      <c r="I3902" s="161">
        <v>400</v>
      </c>
    </row>
    <row r="3903" spans="1:9">
      <c r="A3903" s="113">
        <v>101100020</v>
      </c>
      <c r="B3903" s="113" t="s">
        <v>6556</v>
      </c>
      <c r="C3903" s="113">
        <v>7010096</v>
      </c>
      <c r="D3903" s="113" t="s">
        <v>3093</v>
      </c>
      <c r="E3903" s="113" t="s">
        <v>1620</v>
      </c>
      <c r="F3903" s="113" t="s">
        <v>3093</v>
      </c>
      <c r="G3903" s="113" t="s">
        <v>3093</v>
      </c>
      <c r="H3903" s="161">
        <v>0.52</v>
      </c>
      <c r="I3903" s="161">
        <v>30</v>
      </c>
    </row>
    <row r="3904" spans="1:9">
      <c r="A3904" s="113">
        <v>101100021</v>
      </c>
      <c r="B3904" s="113" t="s">
        <v>6557</v>
      </c>
      <c r="C3904" s="113">
        <v>7010097</v>
      </c>
      <c r="D3904" s="113" t="s">
        <v>3093</v>
      </c>
      <c r="E3904" s="113" t="s">
        <v>1620</v>
      </c>
      <c r="F3904" s="113" t="s">
        <v>3093</v>
      </c>
      <c r="G3904" s="113" t="s">
        <v>3093</v>
      </c>
      <c r="H3904" s="161">
        <v>0</v>
      </c>
      <c r="I3904" s="161" t="s">
        <v>7138</v>
      </c>
    </row>
    <row r="3905" spans="1:9">
      <c r="A3905" s="113">
        <v>101100022</v>
      </c>
      <c r="B3905" s="113" t="s">
        <v>6558</v>
      </c>
      <c r="C3905" s="113">
        <v>7010105</v>
      </c>
      <c r="D3905" s="113" t="s">
        <v>3093</v>
      </c>
      <c r="E3905" s="113" t="s">
        <v>1620</v>
      </c>
      <c r="F3905" s="113" t="s">
        <v>3093</v>
      </c>
      <c r="G3905" s="113" t="s">
        <v>3093</v>
      </c>
      <c r="H3905" s="161">
        <v>0.03</v>
      </c>
      <c r="I3905" s="161">
        <v>600</v>
      </c>
    </row>
    <row r="3906" spans="1:9">
      <c r="A3906" s="113">
        <v>101100023</v>
      </c>
      <c r="B3906" s="113" t="s">
        <v>6559</v>
      </c>
      <c r="C3906" s="113">
        <v>7010106</v>
      </c>
      <c r="D3906" s="113" t="s">
        <v>3093</v>
      </c>
      <c r="E3906" s="113" t="s">
        <v>1620</v>
      </c>
      <c r="F3906" s="113" t="s">
        <v>3093</v>
      </c>
      <c r="G3906" s="113" t="s">
        <v>3093</v>
      </c>
      <c r="H3906" s="161">
        <v>3.39E-2</v>
      </c>
      <c r="I3906" s="161">
        <v>27600</v>
      </c>
    </row>
    <row r="3907" spans="1:9">
      <c r="A3907" s="113">
        <v>101100024</v>
      </c>
      <c r="B3907" s="113" t="s">
        <v>6560</v>
      </c>
      <c r="C3907" s="113">
        <v>7010107</v>
      </c>
      <c r="D3907" s="113" t="s">
        <v>3093</v>
      </c>
      <c r="E3907" s="113" t="s">
        <v>1620</v>
      </c>
      <c r="F3907" s="113" t="s">
        <v>3093</v>
      </c>
      <c r="G3907" s="113" t="s">
        <v>3093</v>
      </c>
      <c r="H3907" s="161">
        <v>3.39E-2</v>
      </c>
      <c r="I3907" s="161">
        <v>1035</v>
      </c>
    </row>
    <row r="3908" spans="1:9">
      <c r="A3908" s="113">
        <v>101100025</v>
      </c>
      <c r="B3908" s="113" t="s">
        <v>6561</v>
      </c>
      <c r="C3908" s="113">
        <v>7010108</v>
      </c>
      <c r="D3908" s="113" t="s">
        <v>3093</v>
      </c>
      <c r="E3908" s="113" t="s">
        <v>1620</v>
      </c>
      <c r="F3908" s="113" t="s">
        <v>3093</v>
      </c>
      <c r="G3908" s="113" t="s">
        <v>3093</v>
      </c>
      <c r="H3908" s="161">
        <v>3.39E-2</v>
      </c>
      <c r="I3908" s="161">
        <v>108</v>
      </c>
    </row>
    <row r="3909" spans="1:9">
      <c r="A3909" s="113">
        <v>101100026</v>
      </c>
      <c r="B3909" s="113" t="s">
        <v>6562</v>
      </c>
      <c r="C3909" s="113">
        <v>7010109</v>
      </c>
      <c r="D3909" s="113" t="s">
        <v>3093</v>
      </c>
      <c r="E3909" s="113" t="s">
        <v>1620</v>
      </c>
      <c r="F3909" s="113" t="s">
        <v>3093</v>
      </c>
      <c r="G3909" s="113" t="s">
        <v>3093</v>
      </c>
      <c r="H3909" s="161">
        <v>3.04E-2</v>
      </c>
      <c r="I3909" s="161">
        <v>335</v>
      </c>
    </row>
    <row r="3910" spans="1:9">
      <c r="A3910" s="113">
        <v>101100027</v>
      </c>
      <c r="B3910" s="113" t="s">
        <v>6563</v>
      </c>
      <c r="C3910" s="113">
        <v>7010110</v>
      </c>
      <c r="D3910" s="113" t="s">
        <v>3093</v>
      </c>
      <c r="E3910" s="113" t="s">
        <v>1620</v>
      </c>
      <c r="F3910" s="113" t="s">
        <v>3093</v>
      </c>
      <c r="G3910" s="113" t="s">
        <v>3093</v>
      </c>
      <c r="H3910" s="161">
        <v>3.2399999999999998E-2</v>
      </c>
      <c r="I3910" s="161">
        <v>0</v>
      </c>
    </row>
    <row r="3911" spans="1:9">
      <c r="A3911" s="113">
        <v>101100028</v>
      </c>
      <c r="B3911" s="113" t="s">
        <v>6564</v>
      </c>
      <c r="C3911" s="113">
        <v>7010111</v>
      </c>
      <c r="D3911" s="113" t="s">
        <v>3093</v>
      </c>
      <c r="E3911" s="113" t="s">
        <v>1620</v>
      </c>
      <c r="F3911" s="113" t="s">
        <v>3093</v>
      </c>
      <c r="G3911" s="113" t="s">
        <v>3093</v>
      </c>
      <c r="H3911" s="161">
        <v>3.1E-2</v>
      </c>
      <c r="I3911" s="161">
        <v>595</v>
      </c>
    </row>
    <row r="3912" spans="1:9">
      <c r="A3912" s="113">
        <v>101100029</v>
      </c>
      <c r="B3912" s="113" t="s">
        <v>6565</v>
      </c>
      <c r="C3912" s="113">
        <v>7010113</v>
      </c>
      <c r="D3912" s="113" t="s">
        <v>3093</v>
      </c>
      <c r="E3912" s="113" t="s">
        <v>1620</v>
      </c>
      <c r="F3912" s="113" t="s">
        <v>3093</v>
      </c>
      <c r="G3912" s="113" t="s">
        <v>3093</v>
      </c>
      <c r="H3912" s="161">
        <v>3.39E-2</v>
      </c>
      <c r="I3912" s="161">
        <v>700</v>
      </c>
    </row>
    <row r="3913" spans="1:9">
      <c r="A3913" s="113">
        <v>101100030</v>
      </c>
      <c r="B3913" s="113" t="s">
        <v>6566</v>
      </c>
      <c r="C3913" s="113">
        <v>7010114</v>
      </c>
      <c r="D3913" s="113" t="s">
        <v>3093</v>
      </c>
      <c r="E3913" s="113" t="s">
        <v>1620</v>
      </c>
      <c r="F3913" s="113" t="s">
        <v>3093</v>
      </c>
      <c r="G3913" s="113" t="s">
        <v>3093</v>
      </c>
      <c r="H3913" s="161">
        <v>3.04E-2</v>
      </c>
      <c r="I3913" s="161">
        <v>0</v>
      </c>
    </row>
    <row r="3914" spans="1:9">
      <c r="A3914" s="113">
        <v>101100031</v>
      </c>
      <c r="B3914" s="113" t="s">
        <v>6567</v>
      </c>
      <c r="C3914" s="113">
        <v>7010125</v>
      </c>
      <c r="D3914" s="113" t="s">
        <v>3093</v>
      </c>
      <c r="E3914" s="113" t="s">
        <v>1620</v>
      </c>
      <c r="F3914" s="113" t="s">
        <v>3093</v>
      </c>
      <c r="G3914" s="113" t="s">
        <v>3093</v>
      </c>
      <c r="H3914" s="161">
        <v>0</v>
      </c>
      <c r="I3914" s="161" t="s">
        <v>7138</v>
      </c>
    </row>
    <row r="3915" spans="1:9">
      <c r="A3915" s="113">
        <v>101100032</v>
      </c>
      <c r="B3915" s="113" t="s">
        <v>6568</v>
      </c>
      <c r="C3915" s="113">
        <v>7010126</v>
      </c>
      <c r="D3915" s="113" t="s">
        <v>3093</v>
      </c>
      <c r="E3915" s="113" t="s">
        <v>1620</v>
      </c>
      <c r="F3915" s="113" t="s">
        <v>3093</v>
      </c>
      <c r="G3915" s="113" t="s">
        <v>3093</v>
      </c>
      <c r="H3915" s="161">
        <v>0.9</v>
      </c>
      <c r="I3915" s="161">
        <v>1700</v>
      </c>
    </row>
    <row r="3916" spans="1:9">
      <c r="A3916" s="113">
        <v>101100033</v>
      </c>
      <c r="B3916" s="113" t="s">
        <v>6569</v>
      </c>
      <c r="C3916" s="113">
        <v>7010160</v>
      </c>
      <c r="D3916" s="113" t="s">
        <v>3093</v>
      </c>
      <c r="E3916" s="113" t="s">
        <v>1620</v>
      </c>
      <c r="F3916" s="113" t="s">
        <v>3093</v>
      </c>
      <c r="G3916" s="113" t="s">
        <v>3093</v>
      </c>
      <c r="H3916" s="161">
        <v>0.05</v>
      </c>
      <c r="I3916" s="161">
        <v>12700</v>
      </c>
    </row>
    <row r="3917" spans="1:9">
      <c r="A3917" s="113">
        <v>101100034</v>
      </c>
      <c r="B3917" s="113" t="s">
        <v>6570</v>
      </c>
      <c r="C3917" s="113">
        <v>7011048</v>
      </c>
      <c r="D3917" s="113" t="s">
        <v>3093</v>
      </c>
      <c r="E3917" s="113" t="s">
        <v>1620</v>
      </c>
      <c r="F3917" s="113" t="s">
        <v>3093</v>
      </c>
      <c r="G3917" s="113" t="s">
        <v>3093</v>
      </c>
      <c r="H3917" s="161">
        <v>0</v>
      </c>
      <c r="I3917" s="161" t="s">
        <v>7138</v>
      </c>
    </row>
    <row r="3918" spans="1:9">
      <c r="A3918" s="113">
        <v>101100035</v>
      </c>
      <c r="B3918" s="113" t="s">
        <v>6571</v>
      </c>
      <c r="C3918" s="113">
        <v>7011049</v>
      </c>
      <c r="D3918" s="113" t="s">
        <v>3093</v>
      </c>
      <c r="E3918" s="113" t="s">
        <v>1620</v>
      </c>
      <c r="F3918" s="113" t="s">
        <v>3093</v>
      </c>
      <c r="G3918" s="113" t="s">
        <v>3093</v>
      </c>
      <c r="H3918" s="161">
        <v>0</v>
      </c>
      <c r="I3918" s="161" t="s">
        <v>7138</v>
      </c>
    </row>
    <row r="3919" spans="1:9">
      <c r="A3919" s="113">
        <v>101100036</v>
      </c>
      <c r="B3919" s="113" t="s">
        <v>6572</v>
      </c>
      <c r="C3919" s="113">
        <v>7011050</v>
      </c>
      <c r="D3919" s="113" t="s">
        <v>3093</v>
      </c>
      <c r="E3919" s="113" t="s">
        <v>1620</v>
      </c>
      <c r="F3919" s="113" t="s">
        <v>3093</v>
      </c>
      <c r="G3919" s="113" t="s">
        <v>3093</v>
      </c>
      <c r="H3919" s="161">
        <v>0</v>
      </c>
      <c r="I3919" s="161" t="s">
        <v>7138</v>
      </c>
    </row>
    <row r="3920" spans="1:9">
      <c r="A3920" s="113">
        <v>101100037</v>
      </c>
      <c r="B3920" s="113" t="s">
        <v>6573</v>
      </c>
      <c r="C3920" s="113">
        <v>7011051</v>
      </c>
      <c r="D3920" s="113" t="s">
        <v>3093</v>
      </c>
      <c r="E3920" s="113" t="s">
        <v>1620</v>
      </c>
      <c r="F3920" s="113" t="s">
        <v>3093</v>
      </c>
      <c r="G3920" s="113" t="s">
        <v>3093</v>
      </c>
      <c r="H3920" s="161">
        <v>39</v>
      </c>
      <c r="I3920" s="161">
        <v>82</v>
      </c>
    </row>
    <row r="3921" spans="1:9">
      <c r="A3921" s="113">
        <v>101100038</v>
      </c>
      <c r="B3921" s="113" t="s">
        <v>6574</v>
      </c>
      <c r="C3921" s="113">
        <v>7011054</v>
      </c>
      <c r="D3921" s="113" t="s">
        <v>3093</v>
      </c>
      <c r="E3921" s="113" t="s">
        <v>1620</v>
      </c>
      <c r="F3921" s="113" t="s">
        <v>3093</v>
      </c>
      <c r="G3921" s="113" t="s">
        <v>3093</v>
      </c>
      <c r="H3921" s="161">
        <v>49.14</v>
      </c>
      <c r="I3921" s="161">
        <v>75</v>
      </c>
    </row>
    <row r="3922" spans="1:9">
      <c r="A3922" s="113">
        <v>101100039</v>
      </c>
      <c r="B3922" s="113" t="s">
        <v>6575</v>
      </c>
      <c r="C3922" s="113">
        <v>7011055</v>
      </c>
      <c r="D3922" s="113" t="s">
        <v>3093</v>
      </c>
      <c r="E3922" s="113" t="s">
        <v>1620</v>
      </c>
      <c r="F3922" s="113" t="s">
        <v>3093</v>
      </c>
      <c r="G3922" s="113" t="s">
        <v>3093</v>
      </c>
      <c r="H3922" s="161">
        <v>50</v>
      </c>
      <c r="I3922" s="161">
        <v>18</v>
      </c>
    </row>
    <row r="3923" spans="1:9">
      <c r="A3923" s="113">
        <v>101100040</v>
      </c>
      <c r="B3923" s="113" t="s">
        <v>6576</v>
      </c>
      <c r="C3923" s="113">
        <v>7011056</v>
      </c>
      <c r="D3923" s="113" t="s">
        <v>3093</v>
      </c>
      <c r="E3923" s="113" t="s">
        <v>1620</v>
      </c>
      <c r="F3923" s="113" t="s">
        <v>3093</v>
      </c>
      <c r="G3923" s="113" t="s">
        <v>3093</v>
      </c>
      <c r="H3923" s="161">
        <v>1.75</v>
      </c>
      <c r="I3923" s="161">
        <v>3500</v>
      </c>
    </row>
    <row r="3924" spans="1:9">
      <c r="A3924" s="113">
        <v>101100041</v>
      </c>
      <c r="B3924" s="113" t="s">
        <v>6577</v>
      </c>
      <c r="C3924" s="113">
        <v>7011057</v>
      </c>
      <c r="D3924" s="113" t="s">
        <v>3093</v>
      </c>
      <c r="E3924" s="113" t="s">
        <v>1620</v>
      </c>
      <c r="F3924" s="113" t="s">
        <v>3093</v>
      </c>
      <c r="G3924" s="113" t="s">
        <v>3093</v>
      </c>
      <c r="H3924" s="161">
        <v>0.45</v>
      </c>
      <c r="I3924" s="161">
        <v>132</v>
      </c>
    </row>
    <row r="3925" spans="1:9">
      <c r="A3925" s="113">
        <v>101100042</v>
      </c>
      <c r="B3925" s="113" t="s">
        <v>6578</v>
      </c>
      <c r="C3925" s="113">
        <v>7011059</v>
      </c>
      <c r="D3925" s="113" t="s">
        <v>3093</v>
      </c>
      <c r="E3925" s="113" t="s">
        <v>1620</v>
      </c>
      <c r="F3925" s="113" t="s">
        <v>3093</v>
      </c>
      <c r="G3925" s="113" t="s">
        <v>3093</v>
      </c>
      <c r="H3925" s="161">
        <v>1.6</v>
      </c>
      <c r="I3925" s="161">
        <v>2000</v>
      </c>
    </row>
    <row r="3926" spans="1:9">
      <c r="A3926" s="113">
        <v>101100043</v>
      </c>
      <c r="B3926" s="113" t="s">
        <v>6579</v>
      </c>
      <c r="C3926" s="113">
        <v>7011069</v>
      </c>
      <c r="D3926" s="113" t="s">
        <v>3093</v>
      </c>
      <c r="E3926" s="113" t="s">
        <v>1620</v>
      </c>
      <c r="F3926" s="113" t="s">
        <v>3093</v>
      </c>
      <c r="G3926" s="113" t="s">
        <v>3093</v>
      </c>
      <c r="H3926" s="161">
        <v>311.45</v>
      </c>
      <c r="I3926" s="161">
        <v>15</v>
      </c>
    </row>
    <row r="3927" spans="1:9">
      <c r="A3927" s="113">
        <v>101100044</v>
      </c>
      <c r="B3927" s="113" t="s">
        <v>6580</v>
      </c>
      <c r="C3927" s="113">
        <v>7011071</v>
      </c>
      <c r="D3927" s="113" t="s">
        <v>3093</v>
      </c>
      <c r="E3927" s="113" t="s">
        <v>1620</v>
      </c>
      <c r="F3927" s="113" t="s">
        <v>3093</v>
      </c>
      <c r="G3927" s="113" t="s">
        <v>3093</v>
      </c>
      <c r="H3927" s="161">
        <v>31</v>
      </c>
      <c r="I3927" s="161">
        <v>5</v>
      </c>
    </row>
    <row r="3928" spans="1:9">
      <c r="A3928" s="113">
        <v>101100045</v>
      </c>
      <c r="B3928" s="113" t="s">
        <v>6581</v>
      </c>
      <c r="C3928" s="113">
        <v>7011072</v>
      </c>
      <c r="D3928" s="113" t="s">
        <v>3093</v>
      </c>
      <c r="E3928" s="113" t="s">
        <v>1620</v>
      </c>
      <c r="F3928" s="113" t="s">
        <v>3093</v>
      </c>
      <c r="G3928" s="113" t="s">
        <v>3093</v>
      </c>
      <c r="H3928" s="161">
        <v>675</v>
      </c>
      <c r="I3928" s="161">
        <v>22</v>
      </c>
    </row>
    <row r="3929" spans="1:9">
      <c r="A3929" s="113">
        <v>101100046</v>
      </c>
      <c r="B3929" s="113" t="s">
        <v>6582</v>
      </c>
      <c r="C3929" s="113">
        <v>7011073</v>
      </c>
      <c r="D3929" s="113" t="s">
        <v>3093</v>
      </c>
      <c r="E3929" s="113" t="s">
        <v>1620</v>
      </c>
      <c r="F3929" s="113" t="s">
        <v>3093</v>
      </c>
      <c r="G3929" s="113" t="s">
        <v>3093</v>
      </c>
      <c r="H3929" s="161">
        <v>0.6</v>
      </c>
      <c r="I3929" s="161">
        <v>300</v>
      </c>
    </row>
    <row r="3930" spans="1:9">
      <c r="A3930" s="113">
        <v>101100047</v>
      </c>
      <c r="B3930" s="113" t="s">
        <v>6583</v>
      </c>
      <c r="C3930" s="113">
        <v>7011074</v>
      </c>
      <c r="D3930" s="113" t="s">
        <v>3093</v>
      </c>
      <c r="E3930" s="113" t="s">
        <v>1620</v>
      </c>
      <c r="F3930" s="113" t="s">
        <v>3093</v>
      </c>
      <c r="G3930" s="113" t="s">
        <v>3093</v>
      </c>
      <c r="H3930" s="161">
        <v>0</v>
      </c>
      <c r="I3930" s="161" t="s">
        <v>7138</v>
      </c>
    </row>
    <row r="3931" spans="1:9">
      <c r="A3931" s="113">
        <v>101100048</v>
      </c>
      <c r="B3931" s="113" t="s">
        <v>3059</v>
      </c>
      <c r="C3931" s="113">
        <v>7011075</v>
      </c>
      <c r="D3931" s="113" t="s">
        <v>3093</v>
      </c>
      <c r="E3931" s="113" t="s">
        <v>1620</v>
      </c>
      <c r="F3931" s="113" t="s">
        <v>3093</v>
      </c>
      <c r="G3931" s="115" t="s">
        <v>3093</v>
      </c>
      <c r="H3931" s="161">
        <v>1.8</v>
      </c>
      <c r="I3931" s="161">
        <v>4340</v>
      </c>
    </row>
    <row r="3932" spans="1:9">
      <c r="A3932" s="113">
        <v>101100049</v>
      </c>
      <c r="B3932" s="113" t="s">
        <v>6584</v>
      </c>
      <c r="C3932" s="113">
        <v>7011077</v>
      </c>
      <c r="D3932" s="113" t="s">
        <v>3093</v>
      </c>
      <c r="E3932" s="113" t="s">
        <v>1620</v>
      </c>
      <c r="F3932" s="113" t="s">
        <v>3093</v>
      </c>
      <c r="G3932" s="115" t="s">
        <v>3093</v>
      </c>
      <c r="H3932" s="161">
        <v>17.36</v>
      </c>
      <c r="I3932" s="161">
        <v>40</v>
      </c>
    </row>
    <row r="3933" spans="1:9">
      <c r="A3933" s="113">
        <v>101100050</v>
      </c>
      <c r="B3933" s="113" t="s">
        <v>6585</v>
      </c>
      <c r="C3933" s="113">
        <v>7011078</v>
      </c>
      <c r="D3933" s="113" t="s">
        <v>3093</v>
      </c>
      <c r="E3933" s="113" t="s">
        <v>1620</v>
      </c>
      <c r="F3933" s="113" t="s">
        <v>3093</v>
      </c>
      <c r="G3933" s="115" t="s">
        <v>3093</v>
      </c>
      <c r="H3933" s="161">
        <v>21</v>
      </c>
      <c r="I3933" s="161">
        <v>65</v>
      </c>
    </row>
    <row r="3934" spans="1:9">
      <c r="A3934" s="113">
        <v>101100051</v>
      </c>
      <c r="B3934" s="113" t="s">
        <v>6586</v>
      </c>
      <c r="C3934" s="113">
        <v>7011079</v>
      </c>
      <c r="D3934" s="113" t="s">
        <v>3093</v>
      </c>
      <c r="E3934" s="113" t="s">
        <v>1620</v>
      </c>
      <c r="F3934" s="113" t="s">
        <v>3093</v>
      </c>
      <c r="G3934" s="115" t="s">
        <v>3093</v>
      </c>
      <c r="H3934" s="161">
        <v>0.45</v>
      </c>
      <c r="I3934" s="161">
        <v>120</v>
      </c>
    </row>
    <row r="3935" spans="1:9">
      <c r="A3935" s="113">
        <v>101100052</v>
      </c>
      <c r="B3935" s="113" t="s">
        <v>6587</v>
      </c>
      <c r="C3935" s="113">
        <v>7011080</v>
      </c>
      <c r="D3935" s="113" t="s">
        <v>3093</v>
      </c>
      <c r="E3935" s="113" t="s">
        <v>1620</v>
      </c>
      <c r="F3935" s="113" t="s">
        <v>3093</v>
      </c>
      <c r="G3935" s="115" t="s">
        <v>3093</v>
      </c>
      <c r="H3935" s="161">
        <v>0.27</v>
      </c>
      <c r="I3935" s="161">
        <v>280</v>
      </c>
    </row>
    <row r="3936" spans="1:9">
      <c r="A3936" s="113">
        <v>101100053</v>
      </c>
      <c r="B3936" s="113" t="s">
        <v>6588</v>
      </c>
      <c r="C3936" s="113">
        <v>7011081</v>
      </c>
      <c r="D3936" s="113" t="s">
        <v>3093</v>
      </c>
      <c r="E3936" s="113" t="s">
        <v>1620</v>
      </c>
      <c r="F3936" s="113" t="s">
        <v>3093</v>
      </c>
      <c r="G3936" s="115" t="s">
        <v>3093</v>
      </c>
      <c r="H3936" s="161">
        <v>0.45</v>
      </c>
      <c r="I3936" s="161">
        <v>180</v>
      </c>
    </row>
    <row r="3937" spans="1:9">
      <c r="A3937" s="113">
        <v>101100054</v>
      </c>
      <c r="B3937" s="113" t="s">
        <v>6589</v>
      </c>
      <c r="C3937" s="113">
        <v>7011082</v>
      </c>
      <c r="D3937" s="113" t="s">
        <v>3093</v>
      </c>
      <c r="E3937" s="113" t="s">
        <v>1620</v>
      </c>
      <c r="F3937" s="113" t="s">
        <v>3093</v>
      </c>
      <c r="G3937" s="115" t="s">
        <v>3093</v>
      </c>
      <c r="H3937" s="161">
        <v>480</v>
      </c>
      <c r="I3937" s="161">
        <v>10</v>
      </c>
    </row>
    <row r="3938" spans="1:9">
      <c r="A3938" s="113">
        <v>101100055</v>
      </c>
      <c r="B3938" s="113" t="s">
        <v>6590</v>
      </c>
      <c r="C3938" s="113">
        <v>7011084</v>
      </c>
      <c r="D3938" s="113" t="s">
        <v>3093</v>
      </c>
      <c r="E3938" s="113" t="s">
        <v>1620</v>
      </c>
      <c r="F3938" s="113" t="s">
        <v>3093</v>
      </c>
      <c r="G3938" s="115" t="s">
        <v>3093</v>
      </c>
      <c r="H3938" s="161">
        <v>0</v>
      </c>
      <c r="I3938" s="161" t="s">
        <v>7138</v>
      </c>
    </row>
    <row r="3939" spans="1:9">
      <c r="A3939" s="113">
        <v>101100056</v>
      </c>
      <c r="B3939" s="113" t="s">
        <v>6591</v>
      </c>
      <c r="C3939" s="113">
        <v>7011085</v>
      </c>
      <c r="D3939" s="113" t="s">
        <v>3093</v>
      </c>
      <c r="E3939" s="113" t="s">
        <v>1620</v>
      </c>
      <c r="F3939" s="113" t="s">
        <v>3093</v>
      </c>
      <c r="G3939" s="115" t="s">
        <v>3093</v>
      </c>
      <c r="H3939" s="161">
        <v>40</v>
      </c>
      <c r="I3939" s="161">
        <v>1090</v>
      </c>
    </row>
    <row r="3940" spans="1:9">
      <c r="A3940" s="113">
        <v>101100057</v>
      </c>
      <c r="B3940" s="113" t="s">
        <v>6592</v>
      </c>
      <c r="C3940" s="113">
        <v>7011086</v>
      </c>
      <c r="D3940" s="113" t="s">
        <v>3093</v>
      </c>
      <c r="E3940" s="113" t="s">
        <v>1620</v>
      </c>
      <c r="F3940" s="113" t="s">
        <v>3093</v>
      </c>
      <c r="G3940" s="115" t="s">
        <v>3093</v>
      </c>
      <c r="H3940" s="161">
        <v>44.3</v>
      </c>
      <c r="I3940" s="161">
        <v>258</v>
      </c>
    </row>
    <row r="3941" spans="1:9">
      <c r="A3941" s="113">
        <v>101100058</v>
      </c>
      <c r="B3941" s="113" t="s">
        <v>6593</v>
      </c>
      <c r="C3941" s="113">
        <v>7011087</v>
      </c>
      <c r="D3941" s="113" t="s">
        <v>3093</v>
      </c>
      <c r="E3941" s="113" t="s">
        <v>1620</v>
      </c>
      <c r="F3941" s="113" t="s">
        <v>3093</v>
      </c>
      <c r="G3941" s="113" t="s">
        <v>3093</v>
      </c>
      <c r="H3941" s="161">
        <v>17</v>
      </c>
      <c r="I3941" s="161">
        <v>370</v>
      </c>
    </row>
    <row r="3942" spans="1:9">
      <c r="A3942" s="113">
        <v>101100059</v>
      </c>
      <c r="B3942" s="113" t="s">
        <v>6594</v>
      </c>
      <c r="C3942" s="113">
        <v>7011089</v>
      </c>
      <c r="D3942" s="113" t="s">
        <v>3093</v>
      </c>
      <c r="E3942" s="113" t="s">
        <v>1620</v>
      </c>
      <c r="F3942" s="113" t="s">
        <v>3093</v>
      </c>
      <c r="G3942" s="113" t="s">
        <v>3093</v>
      </c>
      <c r="H3942" s="161">
        <v>2.95</v>
      </c>
      <c r="I3942" s="161">
        <v>0</v>
      </c>
    </row>
    <row r="3943" spans="1:9">
      <c r="A3943" s="113">
        <v>101100060</v>
      </c>
      <c r="B3943" s="113" t="s">
        <v>6595</v>
      </c>
      <c r="C3943" s="113">
        <v>7011090</v>
      </c>
      <c r="D3943" s="113" t="s">
        <v>3093</v>
      </c>
      <c r="E3943" s="113" t="s">
        <v>1620</v>
      </c>
      <c r="F3943" s="113" t="s">
        <v>3093</v>
      </c>
      <c r="G3943" s="113" t="s">
        <v>3093</v>
      </c>
      <c r="H3943" s="161">
        <v>5.25</v>
      </c>
      <c r="I3943" s="161">
        <v>5</v>
      </c>
    </row>
    <row r="3944" spans="1:9">
      <c r="A3944" s="113">
        <v>101100061</v>
      </c>
      <c r="B3944" s="113" t="s">
        <v>6596</v>
      </c>
      <c r="C3944" s="113">
        <v>7011091</v>
      </c>
      <c r="D3944" s="113" t="s">
        <v>3093</v>
      </c>
      <c r="E3944" s="113" t="s">
        <v>1620</v>
      </c>
      <c r="F3944" s="113" t="s">
        <v>3093</v>
      </c>
      <c r="G3944" s="115" t="s">
        <v>3093</v>
      </c>
      <c r="H3944" s="161">
        <v>0.33</v>
      </c>
      <c r="I3944" s="161">
        <v>65</v>
      </c>
    </row>
    <row r="3945" spans="1:9">
      <c r="A3945" s="113">
        <v>101100062</v>
      </c>
      <c r="B3945" s="113" t="s">
        <v>6597</v>
      </c>
      <c r="C3945" s="113">
        <v>7011092</v>
      </c>
      <c r="D3945" s="113" t="s">
        <v>3093</v>
      </c>
      <c r="E3945" s="113" t="s">
        <v>1620</v>
      </c>
      <c r="F3945" s="113" t="s">
        <v>3093</v>
      </c>
      <c r="G3945" s="115" t="s">
        <v>3093</v>
      </c>
      <c r="H3945" s="161">
        <v>4.0999999999999996</v>
      </c>
      <c r="I3945" s="161">
        <v>3000</v>
      </c>
    </row>
    <row r="3946" spans="1:9">
      <c r="A3946" s="113">
        <v>101100063</v>
      </c>
      <c r="B3946" s="113" t="s">
        <v>6598</v>
      </c>
      <c r="C3946" s="113">
        <v>7011093</v>
      </c>
      <c r="D3946" s="113" t="s">
        <v>3093</v>
      </c>
      <c r="E3946" s="113" t="s">
        <v>1620</v>
      </c>
      <c r="F3946" s="113" t="s">
        <v>3093</v>
      </c>
      <c r="G3946" s="115" t="s">
        <v>3093</v>
      </c>
      <c r="H3946" s="161">
        <v>249</v>
      </c>
      <c r="I3946" s="161">
        <v>169</v>
      </c>
    </row>
    <row r="3947" spans="1:9">
      <c r="A3947" s="113">
        <v>101100064</v>
      </c>
      <c r="B3947" s="113" t="s">
        <v>6599</v>
      </c>
      <c r="C3947" s="113">
        <v>7011094</v>
      </c>
      <c r="D3947" s="113" t="s">
        <v>3093</v>
      </c>
      <c r="E3947" s="113" t="s">
        <v>1620</v>
      </c>
      <c r="F3947" s="113" t="s">
        <v>3093</v>
      </c>
      <c r="G3947" s="115" t="s">
        <v>3093</v>
      </c>
      <c r="H3947" s="161">
        <v>3.25</v>
      </c>
      <c r="I3947" s="161">
        <v>150</v>
      </c>
    </row>
    <row r="3948" spans="1:9">
      <c r="A3948" s="113">
        <v>101100065</v>
      </c>
      <c r="B3948" s="113" t="s">
        <v>6600</v>
      </c>
      <c r="C3948" s="113">
        <v>7011095</v>
      </c>
      <c r="D3948" s="113" t="s">
        <v>3093</v>
      </c>
      <c r="E3948" s="113" t="s">
        <v>1620</v>
      </c>
      <c r="F3948" s="113" t="s">
        <v>3093</v>
      </c>
      <c r="G3948" s="115" t="s">
        <v>3093</v>
      </c>
      <c r="H3948" s="161">
        <v>0.99</v>
      </c>
      <c r="I3948" s="161">
        <v>130</v>
      </c>
    </row>
    <row r="3949" spans="1:9">
      <c r="A3949" s="113">
        <v>101100066</v>
      </c>
      <c r="B3949" s="113" t="s">
        <v>6601</v>
      </c>
      <c r="C3949" s="113">
        <v>7011096</v>
      </c>
      <c r="D3949" s="113" t="s">
        <v>3093</v>
      </c>
      <c r="E3949" s="113" t="s">
        <v>1620</v>
      </c>
      <c r="F3949" s="113" t="s">
        <v>3093</v>
      </c>
      <c r="G3949" s="115" t="s">
        <v>3093</v>
      </c>
      <c r="H3949" s="161">
        <v>1.3</v>
      </c>
      <c r="I3949" s="161">
        <v>5820</v>
      </c>
    </row>
    <row r="3950" spans="1:9">
      <c r="A3950" s="113">
        <v>101100067</v>
      </c>
      <c r="B3950" s="113" t="s">
        <v>6602</v>
      </c>
      <c r="C3950" s="113">
        <v>7011111</v>
      </c>
      <c r="D3950" s="113" t="s">
        <v>3093</v>
      </c>
      <c r="E3950" s="113" t="s">
        <v>1620</v>
      </c>
      <c r="F3950" s="113" t="s">
        <v>3093</v>
      </c>
      <c r="G3950" s="115" t="s">
        <v>3093</v>
      </c>
      <c r="H3950" s="161">
        <v>8.5000000000000006E-2</v>
      </c>
      <c r="I3950" s="161">
        <v>800</v>
      </c>
    </row>
    <row r="3951" spans="1:9">
      <c r="A3951" s="113">
        <v>101100068</v>
      </c>
      <c r="B3951" s="113" t="s">
        <v>6603</v>
      </c>
      <c r="C3951" s="113">
        <v>7011112</v>
      </c>
      <c r="D3951" s="113" t="s">
        <v>3093</v>
      </c>
      <c r="E3951" s="113" t="s">
        <v>1620</v>
      </c>
      <c r="F3951" s="113" t="s">
        <v>3093</v>
      </c>
      <c r="G3951" s="115" t="s">
        <v>3093</v>
      </c>
      <c r="H3951" s="161">
        <v>7.4999999999999997E-2</v>
      </c>
      <c r="I3951" s="161">
        <v>600</v>
      </c>
    </row>
    <row r="3952" spans="1:9">
      <c r="A3952" s="113">
        <v>101100069</v>
      </c>
      <c r="B3952" s="113" t="s">
        <v>6604</v>
      </c>
      <c r="C3952" s="113">
        <v>7011113</v>
      </c>
      <c r="D3952" s="113" t="s">
        <v>3093</v>
      </c>
      <c r="E3952" s="113" t="s">
        <v>1620</v>
      </c>
      <c r="F3952" s="113" t="s">
        <v>3093</v>
      </c>
      <c r="G3952" s="115" t="s">
        <v>3093</v>
      </c>
      <c r="H3952" s="161">
        <v>1.69</v>
      </c>
      <c r="I3952" s="161">
        <v>1750</v>
      </c>
    </row>
    <row r="3953" spans="1:9">
      <c r="A3953" s="113">
        <v>101100070</v>
      </c>
      <c r="B3953" s="113" t="s">
        <v>6605</v>
      </c>
      <c r="C3953" s="113">
        <v>7011114</v>
      </c>
      <c r="D3953" s="113" t="s">
        <v>3093</v>
      </c>
      <c r="E3953" s="113" t="s">
        <v>1620</v>
      </c>
      <c r="F3953" s="113" t="s">
        <v>3093</v>
      </c>
      <c r="G3953" s="113" t="s">
        <v>3093</v>
      </c>
      <c r="H3953" s="161">
        <v>1.29</v>
      </c>
      <c r="I3953" s="161">
        <v>3700</v>
      </c>
    </row>
    <row r="3954" spans="1:9">
      <c r="A3954" s="113">
        <v>101100071</v>
      </c>
      <c r="B3954" s="113" t="s">
        <v>6606</v>
      </c>
      <c r="C3954" s="113">
        <v>7011115</v>
      </c>
      <c r="D3954" s="113" t="s">
        <v>3093</v>
      </c>
      <c r="E3954" s="113" t="s">
        <v>1620</v>
      </c>
      <c r="F3954" s="113" t="s">
        <v>3093</v>
      </c>
      <c r="G3954" s="113" t="s">
        <v>3093</v>
      </c>
      <c r="H3954" s="161">
        <v>0.3</v>
      </c>
      <c r="I3954" s="161">
        <v>260</v>
      </c>
    </row>
    <row r="3955" spans="1:9">
      <c r="A3955" s="113">
        <v>101100072</v>
      </c>
      <c r="B3955" s="113" t="s">
        <v>6607</v>
      </c>
      <c r="C3955" s="113" t="s">
        <v>3093</v>
      </c>
      <c r="D3955" s="113" t="s">
        <v>3093</v>
      </c>
      <c r="E3955" s="113" t="s">
        <v>1620</v>
      </c>
      <c r="F3955" s="113" t="s">
        <v>3093</v>
      </c>
      <c r="G3955" s="113" t="s">
        <v>3093</v>
      </c>
      <c r="H3955" s="161">
        <v>0.24</v>
      </c>
      <c r="I3955" s="161">
        <v>5</v>
      </c>
    </row>
    <row r="3956" spans="1:9">
      <c r="A3956" s="113">
        <v>101100073</v>
      </c>
      <c r="B3956" s="113" t="s">
        <v>6608</v>
      </c>
      <c r="C3956" s="113">
        <v>7011117</v>
      </c>
      <c r="D3956" s="113" t="s">
        <v>3093</v>
      </c>
      <c r="E3956" s="113" t="s">
        <v>1620</v>
      </c>
      <c r="F3956" s="113" t="s">
        <v>3093</v>
      </c>
      <c r="G3956" s="115" t="s">
        <v>3093</v>
      </c>
      <c r="H3956" s="161">
        <v>11</v>
      </c>
      <c r="I3956" s="161">
        <v>3600</v>
      </c>
    </row>
    <row r="3957" spans="1:9">
      <c r="A3957" s="113">
        <v>101100074</v>
      </c>
      <c r="B3957" s="113" t="s">
        <v>6609</v>
      </c>
      <c r="C3957" s="113">
        <v>7011116</v>
      </c>
      <c r="D3957" s="113" t="s">
        <v>3093</v>
      </c>
      <c r="E3957" s="113" t="s">
        <v>1620</v>
      </c>
      <c r="F3957" s="113" t="s">
        <v>3093</v>
      </c>
      <c r="G3957" s="115" t="s">
        <v>3093</v>
      </c>
      <c r="H3957" s="161">
        <v>12</v>
      </c>
      <c r="I3957" s="161">
        <v>3000</v>
      </c>
    </row>
    <row r="3958" spans="1:9">
      <c r="A3958" s="113">
        <v>101100075</v>
      </c>
      <c r="B3958" s="113" t="s">
        <v>6610</v>
      </c>
      <c r="C3958" s="113">
        <v>7011118</v>
      </c>
      <c r="D3958" s="113" t="s">
        <v>3093</v>
      </c>
      <c r="E3958" s="113" t="s">
        <v>1620</v>
      </c>
      <c r="F3958" s="113" t="s">
        <v>3093</v>
      </c>
      <c r="G3958" s="115" t="s">
        <v>3093</v>
      </c>
      <c r="H3958" s="161">
        <v>33</v>
      </c>
      <c r="I3958" s="161">
        <v>6</v>
      </c>
    </row>
    <row r="3959" spans="1:9">
      <c r="A3959" s="113">
        <v>101100076</v>
      </c>
      <c r="B3959" s="113" t="s">
        <v>6611</v>
      </c>
      <c r="C3959" s="113">
        <v>7011121</v>
      </c>
      <c r="D3959" s="113" t="s">
        <v>3093</v>
      </c>
      <c r="E3959" s="113" t="s">
        <v>1620</v>
      </c>
      <c r="F3959" s="113" t="s">
        <v>3093</v>
      </c>
      <c r="G3959" s="115" t="s">
        <v>3093</v>
      </c>
      <c r="H3959" s="161">
        <v>0.08</v>
      </c>
      <c r="I3959" s="161">
        <v>10</v>
      </c>
    </row>
    <row r="3960" spans="1:9">
      <c r="A3960" s="113">
        <v>101100077</v>
      </c>
      <c r="B3960" s="113" t="s">
        <v>6612</v>
      </c>
      <c r="C3960" s="113">
        <v>7011122</v>
      </c>
      <c r="D3960" s="113" t="s">
        <v>3093</v>
      </c>
      <c r="E3960" s="113" t="s">
        <v>1620</v>
      </c>
      <c r="F3960" s="113" t="s">
        <v>3093</v>
      </c>
      <c r="G3960" s="115" t="s">
        <v>3093</v>
      </c>
      <c r="H3960" s="161">
        <v>2</v>
      </c>
      <c r="I3960" s="161">
        <v>1200</v>
      </c>
    </row>
    <row r="3961" spans="1:9">
      <c r="A3961" s="113">
        <v>101100078</v>
      </c>
      <c r="B3961" s="113" t="s">
        <v>6613</v>
      </c>
      <c r="C3961" s="113">
        <v>7011123</v>
      </c>
      <c r="D3961" s="113" t="s">
        <v>3093</v>
      </c>
      <c r="E3961" s="113" t="s">
        <v>1620</v>
      </c>
      <c r="F3961" s="113" t="s">
        <v>3093</v>
      </c>
      <c r="G3961" s="115" t="s">
        <v>3093</v>
      </c>
      <c r="H3961" s="161">
        <v>0.79</v>
      </c>
      <c r="I3961" s="161">
        <v>10300</v>
      </c>
    </row>
    <row r="3962" spans="1:9">
      <c r="A3962" s="113">
        <v>101100079</v>
      </c>
      <c r="B3962" s="113" t="s">
        <v>6614</v>
      </c>
      <c r="C3962" s="113">
        <v>7011124</v>
      </c>
      <c r="D3962" s="113" t="s">
        <v>3093</v>
      </c>
      <c r="E3962" s="113" t="s">
        <v>1620</v>
      </c>
      <c r="F3962" s="113" t="s">
        <v>3093</v>
      </c>
      <c r="G3962" s="113" t="s">
        <v>3093</v>
      </c>
      <c r="H3962" s="161">
        <v>0</v>
      </c>
      <c r="I3962" s="161" t="s">
        <v>7138</v>
      </c>
    </row>
    <row r="3963" spans="1:9">
      <c r="A3963" s="113">
        <v>101100080</v>
      </c>
      <c r="B3963" s="113" t="s">
        <v>6615</v>
      </c>
      <c r="C3963" s="113">
        <v>7011131</v>
      </c>
      <c r="D3963" s="113" t="s">
        <v>3093</v>
      </c>
      <c r="E3963" s="113" t="s">
        <v>1620</v>
      </c>
      <c r="F3963" s="113" t="s">
        <v>3093</v>
      </c>
      <c r="G3963" s="113" t="s">
        <v>3093</v>
      </c>
      <c r="H3963" s="161">
        <v>1.45</v>
      </c>
      <c r="I3963" s="161">
        <v>95</v>
      </c>
    </row>
    <row r="3964" spans="1:9">
      <c r="A3964" s="113">
        <v>101100081</v>
      </c>
      <c r="B3964" s="113" t="s">
        <v>6616</v>
      </c>
      <c r="C3964" s="113">
        <v>7011132</v>
      </c>
      <c r="D3964" s="113" t="s">
        <v>3093</v>
      </c>
      <c r="E3964" s="113" t="s">
        <v>1620</v>
      </c>
      <c r="F3964" s="113" t="s">
        <v>3093</v>
      </c>
      <c r="G3964" s="113" t="s">
        <v>3093</v>
      </c>
      <c r="H3964" s="161">
        <v>3.88</v>
      </c>
      <c r="I3964" s="161">
        <v>0</v>
      </c>
    </row>
    <row r="3965" spans="1:9">
      <c r="A3965" s="113">
        <v>101100082</v>
      </c>
      <c r="B3965" s="113" t="s">
        <v>6617</v>
      </c>
      <c r="C3965" s="113">
        <v>7011133</v>
      </c>
      <c r="D3965" s="113" t="s">
        <v>3093</v>
      </c>
      <c r="E3965" s="113" t="s">
        <v>1620</v>
      </c>
      <c r="F3965" s="113" t="s">
        <v>3093</v>
      </c>
      <c r="G3965" s="113" t="s">
        <v>3093</v>
      </c>
      <c r="H3965" s="161">
        <v>79.63</v>
      </c>
      <c r="I3965" s="161">
        <v>210</v>
      </c>
    </row>
    <row r="3966" spans="1:9">
      <c r="A3966" s="113">
        <v>101100083</v>
      </c>
      <c r="B3966" s="113" t="s">
        <v>6618</v>
      </c>
      <c r="C3966" s="113">
        <v>7011135</v>
      </c>
      <c r="D3966" s="113" t="s">
        <v>3093</v>
      </c>
      <c r="E3966" s="113" t="s">
        <v>1620</v>
      </c>
      <c r="F3966" s="113" t="s">
        <v>3093</v>
      </c>
      <c r="G3966" s="113" t="s">
        <v>3093</v>
      </c>
      <c r="H3966" s="161">
        <v>79.63</v>
      </c>
      <c r="I3966" s="161">
        <v>240</v>
      </c>
    </row>
    <row r="3967" spans="1:9">
      <c r="A3967" s="113">
        <v>101100084</v>
      </c>
      <c r="B3967" s="113" t="s">
        <v>6619</v>
      </c>
      <c r="C3967" s="113">
        <v>7012067</v>
      </c>
      <c r="D3967" s="113" t="s">
        <v>3093</v>
      </c>
      <c r="E3967" s="113" t="s">
        <v>1620</v>
      </c>
      <c r="F3967" s="113" t="s">
        <v>3093</v>
      </c>
      <c r="G3967" s="115" t="s">
        <v>3093</v>
      </c>
      <c r="H3967" s="161">
        <v>0</v>
      </c>
      <c r="I3967" s="161" t="s">
        <v>7138</v>
      </c>
    </row>
    <row r="3968" spans="1:9">
      <c r="A3968" s="113">
        <v>101100085</v>
      </c>
      <c r="B3968" s="113" t="s">
        <v>6620</v>
      </c>
      <c r="C3968" s="113">
        <v>7012069</v>
      </c>
      <c r="D3968" s="113" t="s">
        <v>3093</v>
      </c>
      <c r="E3968" s="113" t="s">
        <v>1620</v>
      </c>
      <c r="F3968" s="113" t="s">
        <v>3093</v>
      </c>
      <c r="G3968" s="115" t="s">
        <v>3093</v>
      </c>
      <c r="H3968" s="161">
        <v>50</v>
      </c>
      <c r="I3968" s="161">
        <v>12</v>
      </c>
    </row>
    <row r="3969" spans="1:9">
      <c r="A3969" s="113">
        <v>101100086</v>
      </c>
      <c r="B3969" s="113" t="s">
        <v>6621</v>
      </c>
      <c r="C3969" s="113">
        <v>7012082</v>
      </c>
      <c r="D3969" s="113" t="s">
        <v>3093</v>
      </c>
      <c r="E3969" s="113" t="s">
        <v>1620</v>
      </c>
      <c r="F3969" s="113" t="s">
        <v>3093</v>
      </c>
      <c r="G3969" s="113" t="s">
        <v>3093</v>
      </c>
      <c r="H3969" s="161">
        <v>0</v>
      </c>
      <c r="I3969" s="161" t="s">
        <v>7138</v>
      </c>
    </row>
    <row r="3970" spans="1:9">
      <c r="A3970" s="113">
        <v>101100087</v>
      </c>
      <c r="B3970" s="113" t="s">
        <v>6622</v>
      </c>
      <c r="C3970" s="113">
        <v>7012083</v>
      </c>
      <c r="D3970" s="113" t="s">
        <v>3093</v>
      </c>
      <c r="E3970" s="113" t="s">
        <v>1620</v>
      </c>
      <c r="F3970" s="113" t="s">
        <v>3093</v>
      </c>
      <c r="G3970" s="113" t="s">
        <v>3093</v>
      </c>
      <c r="H3970" s="161">
        <v>20</v>
      </c>
      <c r="I3970" s="161">
        <v>24</v>
      </c>
    </row>
    <row r="3971" spans="1:9">
      <c r="A3971" s="113">
        <v>101100088</v>
      </c>
      <c r="B3971" s="113" t="s">
        <v>6623</v>
      </c>
      <c r="C3971" s="113">
        <v>7012084</v>
      </c>
      <c r="D3971" s="113" t="s">
        <v>3093</v>
      </c>
      <c r="E3971" s="113" t="s">
        <v>1620</v>
      </c>
      <c r="F3971" s="113" t="s">
        <v>3093</v>
      </c>
      <c r="G3971" s="115" t="s">
        <v>3093</v>
      </c>
      <c r="H3971" s="161">
        <v>3.3121999999999998</v>
      </c>
      <c r="I3971" s="161">
        <v>24</v>
      </c>
    </row>
    <row r="3972" spans="1:9">
      <c r="A3972" s="113">
        <v>101100089</v>
      </c>
      <c r="B3972" s="113" t="s">
        <v>6624</v>
      </c>
      <c r="C3972" s="113">
        <v>7012085</v>
      </c>
      <c r="D3972" s="113" t="s">
        <v>3093</v>
      </c>
      <c r="E3972" s="113" t="s">
        <v>1620</v>
      </c>
      <c r="F3972" s="113" t="s">
        <v>3093</v>
      </c>
      <c r="G3972" s="115" t="s">
        <v>3093</v>
      </c>
      <c r="H3972" s="161">
        <v>15.88</v>
      </c>
      <c r="I3972" s="161">
        <v>24</v>
      </c>
    </row>
    <row r="3973" spans="1:9">
      <c r="A3973" s="113">
        <v>101100090</v>
      </c>
      <c r="B3973" s="113" t="s">
        <v>6625</v>
      </c>
      <c r="C3973" s="113">
        <v>7012086</v>
      </c>
      <c r="D3973" s="113" t="s">
        <v>3093</v>
      </c>
      <c r="E3973" s="113" t="s">
        <v>1620</v>
      </c>
      <c r="F3973" s="113" t="s">
        <v>3093</v>
      </c>
      <c r="G3973" s="115" t="s">
        <v>3093</v>
      </c>
      <c r="H3973" s="161">
        <v>0</v>
      </c>
      <c r="I3973" s="161" t="s">
        <v>7138</v>
      </c>
    </row>
    <row r="3974" spans="1:9">
      <c r="A3974" s="113">
        <v>101100091</v>
      </c>
      <c r="B3974" s="113" t="s">
        <v>6626</v>
      </c>
      <c r="C3974" s="113">
        <v>7012087</v>
      </c>
      <c r="D3974" s="113" t="s">
        <v>3093</v>
      </c>
      <c r="E3974" s="113" t="s">
        <v>1620</v>
      </c>
      <c r="F3974" s="113" t="s">
        <v>3093</v>
      </c>
      <c r="G3974" s="115" t="s">
        <v>3093</v>
      </c>
      <c r="H3974" s="161">
        <v>1.5</v>
      </c>
      <c r="I3974" s="161">
        <v>24</v>
      </c>
    </row>
    <row r="3975" spans="1:9">
      <c r="A3975" s="113">
        <v>101100092</v>
      </c>
      <c r="B3975" s="113" t="s">
        <v>6627</v>
      </c>
      <c r="C3975" s="113">
        <v>7012088</v>
      </c>
      <c r="D3975" s="113" t="s">
        <v>3093</v>
      </c>
      <c r="E3975" s="113" t="s">
        <v>1620</v>
      </c>
      <c r="F3975" s="113" t="s">
        <v>3093</v>
      </c>
      <c r="G3975" s="115" t="s">
        <v>3093</v>
      </c>
      <c r="H3975" s="161">
        <v>0.45</v>
      </c>
      <c r="I3975" s="161" t="s">
        <v>7138</v>
      </c>
    </row>
    <row r="3976" spans="1:9">
      <c r="A3976" s="113">
        <v>101100093</v>
      </c>
      <c r="B3976" s="113" t="s">
        <v>3060</v>
      </c>
      <c r="C3976" s="113">
        <v>7012089</v>
      </c>
      <c r="D3976" s="113" t="s">
        <v>3093</v>
      </c>
      <c r="E3976" s="113" t="s">
        <v>1620</v>
      </c>
      <c r="F3976" s="113" t="s">
        <v>3093</v>
      </c>
      <c r="G3976" s="115" t="s">
        <v>3093</v>
      </c>
      <c r="H3976" s="161">
        <v>13</v>
      </c>
      <c r="I3976" s="161">
        <v>10</v>
      </c>
    </row>
    <row r="3977" spans="1:9">
      <c r="A3977" s="113">
        <v>101100094</v>
      </c>
      <c r="B3977" s="113" t="s">
        <v>6628</v>
      </c>
      <c r="C3977" s="113">
        <v>7012091</v>
      </c>
      <c r="D3977" s="113" t="s">
        <v>3093</v>
      </c>
      <c r="E3977" s="113" t="s">
        <v>1620</v>
      </c>
      <c r="F3977" s="113" t="s">
        <v>3093</v>
      </c>
      <c r="G3977" s="113" t="s">
        <v>3093</v>
      </c>
      <c r="H3977" s="161">
        <v>2.2599999999999998</v>
      </c>
      <c r="I3977" s="161">
        <v>0</v>
      </c>
    </row>
    <row r="3978" spans="1:9">
      <c r="A3978" s="113">
        <v>101100095</v>
      </c>
      <c r="B3978" s="113" t="s">
        <v>6629</v>
      </c>
      <c r="C3978" s="113">
        <v>7012092</v>
      </c>
      <c r="D3978" s="113" t="s">
        <v>3093</v>
      </c>
      <c r="E3978" s="113" t="s">
        <v>1620</v>
      </c>
      <c r="F3978" s="113" t="s">
        <v>3093</v>
      </c>
      <c r="G3978" s="113" t="s">
        <v>3093</v>
      </c>
      <c r="H3978" s="161">
        <v>12</v>
      </c>
      <c r="I3978" s="161">
        <v>490</v>
      </c>
    </row>
    <row r="3979" spans="1:9">
      <c r="A3979" s="113">
        <v>101100096</v>
      </c>
      <c r="B3979" s="113" t="s">
        <v>6630</v>
      </c>
      <c r="C3979" s="113">
        <v>7012094</v>
      </c>
      <c r="D3979" s="113" t="s">
        <v>3093</v>
      </c>
      <c r="E3979" s="113" t="s">
        <v>1620</v>
      </c>
      <c r="F3979" s="113" t="s">
        <v>3093</v>
      </c>
      <c r="G3979" s="113" t="s">
        <v>3093</v>
      </c>
      <c r="H3979" s="161">
        <v>21</v>
      </c>
      <c r="I3979" s="161">
        <v>12</v>
      </c>
    </row>
    <row r="3980" spans="1:9">
      <c r="A3980" s="113">
        <v>101100097</v>
      </c>
      <c r="B3980" s="113" t="s">
        <v>6631</v>
      </c>
      <c r="C3980" s="113">
        <v>7012095</v>
      </c>
      <c r="D3980" s="113" t="s">
        <v>3093</v>
      </c>
      <c r="E3980" s="113" t="s">
        <v>1620</v>
      </c>
      <c r="F3980" s="113" t="s">
        <v>3093</v>
      </c>
      <c r="G3980" s="113" t="s">
        <v>3093</v>
      </c>
      <c r="H3980" s="161">
        <v>24.9437</v>
      </c>
      <c r="I3980" s="161">
        <v>0</v>
      </c>
    </row>
    <row r="3981" spans="1:9">
      <c r="A3981" s="113">
        <v>101100098</v>
      </c>
      <c r="B3981" s="113" t="s">
        <v>6632</v>
      </c>
      <c r="C3981" s="113">
        <v>7012096</v>
      </c>
      <c r="D3981" s="113" t="s">
        <v>3093</v>
      </c>
      <c r="E3981" s="113" t="s">
        <v>1620</v>
      </c>
      <c r="F3981" s="113" t="s">
        <v>3093</v>
      </c>
      <c r="G3981" s="113" t="s">
        <v>3093</v>
      </c>
      <c r="H3981" s="161">
        <v>15.15</v>
      </c>
      <c r="I3981" s="161">
        <v>10</v>
      </c>
    </row>
    <row r="3982" spans="1:9">
      <c r="A3982" s="113">
        <v>101100099</v>
      </c>
      <c r="B3982" s="113" t="s">
        <v>6633</v>
      </c>
      <c r="C3982" s="113">
        <v>7012097</v>
      </c>
      <c r="D3982" s="113" t="s">
        <v>3093</v>
      </c>
      <c r="E3982" s="113" t="s">
        <v>1620</v>
      </c>
      <c r="F3982" s="113" t="s">
        <v>3093</v>
      </c>
      <c r="G3982" s="113" t="s">
        <v>3093</v>
      </c>
      <c r="H3982" s="161">
        <v>12.95</v>
      </c>
      <c r="I3982" s="161">
        <v>5</v>
      </c>
    </row>
    <row r="3983" spans="1:9">
      <c r="A3983" s="113">
        <v>101100100</v>
      </c>
      <c r="B3983" s="113" t="s">
        <v>6634</v>
      </c>
      <c r="C3983" s="113">
        <v>7012098</v>
      </c>
      <c r="D3983" s="113" t="s">
        <v>3093</v>
      </c>
      <c r="E3983" s="113" t="s">
        <v>1620</v>
      </c>
      <c r="F3983" s="113" t="s">
        <v>3093</v>
      </c>
      <c r="G3983" s="115" t="s">
        <v>3093</v>
      </c>
      <c r="H3983" s="161">
        <v>12.95</v>
      </c>
      <c r="I3983" s="161">
        <v>5</v>
      </c>
    </row>
    <row r="3984" spans="1:9">
      <c r="A3984" s="113">
        <v>101100101</v>
      </c>
      <c r="B3984" s="113" t="s">
        <v>6635</v>
      </c>
      <c r="C3984" s="113">
        <v>7012099</v>
      </c>
      <c r="D3984" s="113" t="s">
        <v>3093</v>
      </c>
      <c r="E3984" s="113" t="s">
        <v>1620</v>
      </c>
      <c r="F3984" s="113" t="s">
        <v>3093</v>
      </c>
      <c r="G3984" s="115" t="s">
        <v>3093</v>
      </c>
      <c r="H3984" s="161">
        <v>12.95</v>
      </c>
      <c r="I3984" s="161">
        <v>50</v>
      </c>
    </row>
    <row r="3985" spans="1:9">
      <c r="A3985" s="113">
        <v>101100102</v>
      </c>
      <c r="B3985" s="113" t="s">
        <v>6636</v>
      </c>
      <c r="C3985" s="113">
        <v>7012100</v>
      </c>
      <c r="D3985" s="113" t="s">
        <v>3093</v>
      </c>
      <c r="E3985" s="113" t="s">
        <v>1620</v>
      </c>
      <c r="F3985" s="113" t="s">
        <v>3093</v>
      </c>
      <c r="G3985" s="115" t="s">
        <v>3093</v>
      </c>
      <c r="H3985" s="161">
        <v>3</v>
      </c>
      <c r="I3985" s="161">
        <v>200</v>
      </c>
    </row>
    <row r="3986" spans="1:9">
      <c r="A3986" s="113">
        <v>101100103</v>
      </c>
      <c r="B3986" s="113" t="s">
        <v>6637</v>
      </c>
      <c r="C3986" s="113">
        <v>7012101</v>
      </c>
      <c r="D3986" s="113" t="s">
        <v>3093</v>
      </c>
      <c r="E3986" s="113" t="s">
        <v>1620</v>
      </c>
      <c r="F3986" s="113" t="s">
        <v>3093</v>
      </c>
      <c r="G3986" s="115" t="s">
        <v>3093</v>
      </c>
      <c r="H3986" s="161">
        <v>2.6</v>
      </c>
      <c r="I3986" s="161">
        <v>150</v>
      </c>
    </row>
    <row r="3987" spans="1:9">
      <c r="A3987" s="113">
        <v>101100104</v>
      </c>
      <c r="B3987" s="113" t="s">
        <v>6638</v>
      </c>
      <c r="C3987" s="113">
        <v>7012102</v>
      </c>
      <c r="D3987" s="113" t="s">
        <v>3093</v>
      </c>
      <c r="E3987" s="113" t="s">
        <v>1620</v>
      </c>
      <c r="F3987" s="113" t="s">
        <v>3093</v>
      </c>
      <c r="G3987" s="115" t="s">
        <v>3093</v>
      </c>
      <c r="H3987" s="161">
        <v>2.5</v>
      </c>
      <c r="I3987" s="161">
        <v>20</v>
      </c>
    </row>
    <row r="3988" spans="1:9">
      <c r="A3988" s="113">
        <v>101100105</v>
      </c>
      <c r="B3988" s="113" t="s">
        <v>6639</v>
      </c>
      <c r="C3988" s="113">
        <v>7012103</v>
      </c>
      <c r="D3988" s="113" t="s">
        <v>3093</v>
      </c>
      <c r="E3988" s="113" t="s">
        <v>1620</v>
      </c>
      <c r="F3988" s="113" t="s">
        <v>3093</v>
      </c>
      <c r="G3988" s="115" t="s">
        <v>3093</v>
      </c>
      <c r="H3988" s="161">
        <v>2.8153999999999999</v>
      </c>
      <c r="I3988" s="161">
        <v>36</v>
      </c>
    </row>
    <row r="3989" spans="1:9">
      <c r="A3989" s="113">
        <v>101100106</v>
      </c>
      <c r="B3989" s="113" t="s">
        <v>6640</v>
      </c>
      <c r="C3989" s="113">
        <v>7012104</v>
      </c>
      <c r="D3989" s="113" t="s">
        <v>3093</v>
      </c>
      <c r="E3989" s="113" t="s">
        <v>1620</v>
      </c>
      <c r="F3989" s="113" t="s">
        <v>3093</v>
      </c>
      <c r="G3989" s="115" t="s">
        <v>3093</v>
      </c>
      <c r="H3989" s="161">
        <v>1.44</v>
      </c>
      <c r="I3989" s="161">
        <v>125</v>
      </c>
    </row>
    <row r="3990" spans="1:9">
      <c r="A3990" s="113">
        <v>101100107</v>
      </c>
      <c r="B3990" s="113" t="s">
        <v>6641</v>
      </c>
      <c r="C3990" s="113">
        <v>7012105</v>
      </c>
      <c r="D3990" s="113" t="s">
        <v>3093</v>
      </c>
      <c r="E3990" s="113" t="s">
        <v>1620</v>
      </c>
      <c r="F3990" s="113" t="s">
        <v>3093</v>
      </c>
      <c r="G3990" s="115" t="s">
        <v>3093</v>
      </c>
      <c r="H3990" s="161">
        <v>5.15</v>
      </c>
      <c r="I3990" s="161">
        <v>1</v>
      </c>
    </row>
    <row r="3991" spans="1:9">
      <c r="A3991" s="113">
        <v>101100108</v>
      </c>
      <c r="B3991" s="113" t="s">
        <v>6642</v>
      </c>
      <c r="C3991" s="113">
        <v>7012106</v>
      </c>
      <c r="D3991" s="113" t="s">
        <v>3093</v>
      </c>
      <c r="E3991" s="113" t="s">
        <v>1620</v>
      </c>
      <c r="F3991" s="113" t="s">
        <v>3093</v>
      </c>
      <c r="G3991" s="115" t="s">
        <v>3093</v>
      </c>
      <c r="H3991" s="161">
        <v>35</v>
      </c>
      <c r="I3991" s="161">
        <v>450</v>
      </c>
    </row>
    <row r="3992" spans="1:9">
      <c r="A3992" s="113">
        <v>101100109</v>
      </c>
      <c r="B3992" s="113" t="s">
        <v>6643</v>
      </c>
      <c r="C3992" s="113">
        <v>7012107</v>
      </c>
      <c r="D3992" s="113" t="s">
        <v>3093</v>
      </c>
      <c r="E3992" s="113" t="s">
        <v>1620</v>
      </c>
      <c r="F3992" s="113" t="s">
        <v>3093</v>
      </c>
      <c r="G3992" s="113" t="s">
        <v>3093</v>
      </c>
      <c r="H3992" s="161">
        <v>48.85</v>
      </c>
      <c r="I3992" s="161">
        <v>50</v>
      </c>
    </row>
    <row r="3993" spans="1:9">
      <c r="A3993" s="113">
        <v>101100110</v>
      </c>
      <c r="B3993" s="113" t="s">
        <v>6644</v>
      </c>
      <c r="C3993" s="113">
        <v>7012108</v>
      </c>
      <c r="D3993" s="113" t="s">
        <v>3093</v>
      </c>
      <c r="E3993" s="113" t="s">
        <v>1620</v>
      </c>
      <c r="F3993" s="113" t="s">
        <v>3093</v>
      </c>
      <c r="G3993" s="113" t="s">
        <v>3093</v>
      </c>
      <c r="H3993" s="161">
        <v>6.85</v>
      </c>
      <c r="I3993" s="161">
        <v>894</v>
      </c>
    </row>
    <row r="3994" spans="1:9">
      <c r="A3994" s="113">
        <v>101100111</v>
      </c>
      <c r="B3994" s="113" t="s">
        <v>6645</v>
      </c>
      <c r="C3994" s="113">
        <v>7012109</v>
      </c>
      <c r="D3994" s="113" t="s">
        <v>3093</v>
      </c>
      <c r="E3994" s="113" t="s">
        <v>1620</v>
      </c>
      <c r="F3994" s="113" t="s">
        <v>3093</v>
      </c>
      <c r="G3994" s="113" t="s">
        <v>3093</v>
      </c>
      <c r="H3994" s="161">
        <v>41.379100000000001</v>
      </c>
      <c r="I3994" s="161">
        <v>238</v>
      </c>
    </row>
    <row r="3995" spans="1:9">
      <c r="A3995" s="113">
        <v>101100112</v>
      </c>
      <c r="B3995" s="113" t="s">
        <v>6646</v>
      </c>
      <c r="C3995" s="113">
        <v>7012110</v>
      </c>
      <c r="D3995" s="113" t="s">
        <v>3093</v>
      </c>
      <c r="E3995" s="113" t="s">
        <v>1620</v>
      </c>
      <c r="F3995" s="113" t="s">
        <v>3093</v>
      </c>
      <c r="G3995" s="113" t="s">
        <v>3093</v>
      </c>
      <c r="H3995" s="161">
        <v>33</v>
      </c>
      <c r="I3995" s="161">
        <v>120</v>
      </c>
    </row>
    <row r="3996" spans="1:9">
      <c r="A3996" s="113">
        <v>101100113</v>
      </c>
      <c r="B3996" s="113" t="s">
        <v>6647</v>
      </c>
      <c r="C3996" s="113">
        <v>7012111</v>
      </c>
      <c r="D3996" s="113" t="s">
        <v>3093</v>
      </c>
      <c r="E3996" s="113" t="s">
        <v>1620</v>
      </c>
      <c r="F3996" s="113" t="s">
        <v>3093</v>
      </c>
      <c r="G3996" s="113" t="s">
        <v>3093</v>
      </c>
      <c r="H3996" s="161">
        <v>1.85</v>
      </c>
      <c r="I3996" s="161">
        <v>0</v>
      </c>
    </row>
    <row r="3997" spans="1:9">
      <c r="A3997" s="113">
        <v>101100114</v>
      </c>
      <c r="B3997" s="113" t="s">
        <v>6648</v>
      </c>
      <c r="C3997" s="113">
        <v>7012112</v>
      </c>
      <c r="D3997" s="113" t="s">
        <v>3093</v>
      </c>
      <c r="E3997" s="113" t="s">
        <v>1620</v>
      </c>
      <c r="F3997" s="113" t="s">
        <v>3093</v>
      </c>
      <c r="G3997" s="113" t="s">
        <v>3093</v>
      </c>
      <c r="H3997" s="161">
        <v>1.5</v>
      </c>
      <c r="I3997" s="161">
        <v>60</v>
      </c>
    </row>
    <row r="3998" spans="1:9">
      <c r="A3998" s="113">
        <v>101100115</v>
      </c>
      <c r="B3998" s="113" t="s">
        <v>6649</v>
      </c>
      <c r="C3998" s="113">
        <v>7012113</v>
      </c>
      <c r="D3998" s="113" t="s">
        <v>3093</v>
      </c>
      <c r="E3998" s="113" t="s">
        <v>1620</v>
      </c>
      <c r="F3998" s="113" t="s">
        <v>3093</v>
      </c>
      <c r="G3998" s="113" t="s">
        <v>3093</v>
      </c>
      <c r="H3998" s="161">
        <v>0.16</v>
      </c>
      <c r="I3998" s="161">
        <v>2297</v>
      </c>
    </row>
    <row r="3999" spans="1:9">
      <c r="A3999" s="113">
        <v>101100116</v>
      </c>
      <c r="B3999" s="113" t="s">
        <v>6650</v>
      </c>
      <c r="C3999" s="113">
        <v>7012126</v>
      </c>
      <c r="D3999" s="113" t="s">
        <v>3093</v>
      </c>
      <c r="E3999" s="113" t="s">
        <v>1620</v>
      </c>
      <c r="F3999" s="113" t="s">
        <v>3093</v>
      </c>
      <c r="G3999" s="113" t="s">
        <v>3093</v>
      </c>
      <c r="H3999" s="161">
        <v>0.16</v>
      </c>
      <c r="I3999" s="161">
        <v>1756</v>
      </c>
    </row>
    <row r="4000" spans="1:9">
      <c r="A4000" s="113">
        <v>101100117</v>
      </c>
      <c r="B4000" s="113" t="s">
        <v>900</v>
      </c>
      <c r="C4000" s="113">
        <v>7012127</v>
      </c>
      <c r="D4000" s="113" t="s">
        <v>3093</v>
      </c>
      <c r="E4000" s="113" t="s">
        <v>1620</v>
      </c>
      <c r="F4000" s="113" t="s">
        <v>3093</v>
      </c>
      <c r="G4000" s="113" t="s">
        <v>3093</v>
      </c>
      <c r="H4000" s="161">
        <v>13</v>
      </c>
      <c r="I4000" s="161">
        <v>5</v>
      </c>
    </row>
    <row r="4001" spans="1:9">
      <c r="A4001" s="113">
        <v>101100118</v>
      </c>
      <c r="B4001" s="113" t="s">
        <v>901</v>
      </c>
      <c r="C4001" s="113">
        <v>7012128</v>
      </c>
      <c r="D4001" s="113" t="s">
        <v>3093</v>
      </c>
      <c r="E4001" s="113" t="s">
        <v>1620</v>
      </c>
      <c r="F4001" s="113" t="s">
        <v>3093</v>
      </c>
      <c r="G4001" s="113" t="s">
        <v>3093</v>
      </c>
      <c r="H4001" s="161">
        <v>0</v>
      </c>
      <c r="I4001" s="161" t="s">
        <v>7138</v>
      </c>
    </row>
    <row r="4002" spans="1:9">
      <c r="A4002" s="113">
        <v>101100119</v>
      </c>
      <c r="B4002" s="113" t="s">
        <v>938</v>
      </c>
      <c r="C4002" s="113">
        <v>7012129</v>
      </c>
      <c r="D4002" s="113" t="s">
        <v>3093</v>
      </c>
      <c r="E4002" s="113" t="s">
        <v>1620</v>
      </c>
      <c r="F4002" s="113" t="s">
        <v>3093</v>
      </c>
      <c r="G4002" s="113" t="s">
        <v>3093</v>
      </c>
      <c r="H4002" s="161">
        <v>12.853400000000001</v>
      </c>
      <c r="I4002" s="161">
        <v>0</v>
      </c>
    </row>
    <row r="4003" spans="1:9">
      <c r="A4003" s="113">
        <v>101100120</v>
      </c>
      <c r="B4003" s="113" t="s">
        <v>6651</v>
      </c>
      <c r="C4003" s="113">
        <v>7012130</v>
      </c>
      <c r="D4003" s="113" t="s">
        <v>3093</v>
      </c>
      <c r="E4003" s="113" t="s">
        <v>1620</v>
      </c>
      <c r="F4003" s="113" t="s">
        <v>3093</v>
      </c>
      <c r="G4003" s="115" t="s">
        <v>3093</v>
      </c>
      <c r="H4003" s="161">
        <v>15</v>
      </c>
      <c r="I4003" s="161">
        <v>10</v>
      </c>
    </row>
    <row r="4004" spans="1:9">
      <c r="A4004" s="113">
        <v>101100121</v>
      </c>
      <c r="B4004" s="113" t="s">
        <v>6652</v>
      </c>
      <c r="C4004" s="113">
        <v>7012131</v>
      </c>
      <c r="D4004" s="113" t="s">
        <v>3093</v>
      </c>
      <c r="E4004" s="113" t="s">
        <v>1620</v>
      </c>
      <c r="F4004" s="113" t="s">
        <v>3093</v>
      </c>
      <c r="G4004" s="113" t="s">
        <v>3093</v>
      </c>
      <c r="H4004" s="161">
        <v>15</v>
      </c>
      <c r="I4004" s="161">
        <v>5</v>
      </c>
    </row>
    <row r="4005" spans="1:9">
      <c r="A4005" s="113">
        <v>101100122</v>
      </c>
      <c r="B4005" s="113" t="s">
        <v>6653</v>
      </c>
      <c r="C4005" s="113">
        <v>7012132</v>
      </c>
      <c r="D4005" s="113" t="s">
        <v>3093</v>
      </c>
      <c r="E4005" s="113" t="s">
        <v>1620</v>
      </c>
      <c r="F4005" s="113" t="s">
        <v>3093</v>
      </c>
      <c r="G4005" s="113" t="s">
        <v>3093</v>
      </c>
      <c r="H4005" s="161">
        <v>2.8121999999999998</v>
      </c>
      <c r="I4005" s="161">
        <v>3</v>
      </c>
    </row>
    <row r="4006" spans="1:9">
      <c r="A4006" s="113">
        <v>101100123</v>
      </c>
      <c r="B4006" s="113" t="s">
        <v>6654</v>
      </c>
      <c r="C4006" s="113">
        <v>7012133</v>
      </c>
      <c r="D4006" s="113" t="s">
        <v>3093</v>
      </c>
      <c r="E4006" s="113" t="s">
        <v>1620</v>
      </c>
      <c r="F4006" s="113" t="s">
        <v>3093</v>
      </c>
      <c r="G4006" s="113" t="s">
        <v>3093</v>
      </c>
      <c r="H4006" s="161">
        <v>3.7427999999999999</v>
      </c>
      <c r="I4006" s="161">
        <v>3</v>
      </c>
    </row>
    <row r="4007" spans="1:9">
      <c r="A4007" s="113">
        <v>101100124</v>
      </c>
      <c r="B4007" s="113" t="s">
        <v>6655</v>
      </c>
      <c r="C4007" s="113">
        <v>7012134</v>
      </c>
      <c r="D4007" s="113" t="s">
        <v>3093</v>
      </c>
      <c r="E4007" s="113" t="s">
        <v>1620</v>
      </c>
      <c r="F4007" s="113" t="s">
        <v>3093</v>
      </c>
      <c r="G4007" s="113" t="s">
        <v>3093</v>
      </c>
      <c r="H4007" s="161">
        <v>1.75</v>
      </c>
      <c r="I4007" s="161">
        <v>0</v>
      </c>
    </row>
    <row r="4008" spans="1:9">
      <c r="A4008" s="113">
        <v>101100125</v>
      </c>
      <c r="B4008" s="113" t="s">
        <v>6656</v>
      </c>
      <c r="C4008" s="113">
        <v>7012135</v>
      </c>
      <c r="D4008" s="113" t="s">
        <v>3093</v>
      </c>
      <c r="E4008" s="113" t="s">
        <v>1620</v>
      </c>
      <c r="F4008" s="113" t="s">
        <v>3093</v>
      </c>
      <c r="G4008" s="113" t="s">
        <v>3093</v>
      </c>
      <c r="H4008" s="161">
        <v>3.5</v>
      </c>
      <c r="I4008" s="161">
        <v>60</v>
      </c>
    </row>
    <row r="4009" spans="1:9">
      <c r="A4009" s="113">
        <v>101100126</v>
      </c>
      <c r="B4009" s="113" t="s">
        <v>6657</v>
      </c>
      <c r="C4009" s="113">
        <v>7012136</v>
      </c>
      <c r="D4009" s="113" t="s">
        <v>3093</v>
      </c>
      <c r="E4009" s="113" t="s">
        <v>1620</v>
      </c>
      <c r="F4009" s="113" t="s">
        <v>3093</v>
      </c>
      <c r="G4009" s="113" t="s">
        <v>3093</v>
      </c>
      <c r="H4009" s="161">
        <v>2.25</v>
      </c>
      <c r="I4009" s="161">
        <v>5</v>
      </c>
    </row>
    <row r="4010" spans="1:9">
      <c r="A4010" s="113">
        <v>101100127</v>
      </c>
      <c r="B4010" s="113" t="s">
        <v>6658</v>
      </c>
      <c r="C4010" s="113">
        <v>7012137</v>
      </c>
      <c r="D4010" s="113" t="s">
        <v>3093</v>
      </c>
      <c r="E4010" s="113" t="s">
        <v>1620</v>
      </c>
      <c r="F4010" s="113" t="s">
        <v>3093</v>
      </c>
      <c r="G4010" s="115" t="s">
        <v>3093</v>
      </c>
      <c r="H4010" s="161">
        <v>1.25</v>
      </c>
      <c r="I4010" s="161">
        <v>0</v>
      </c>
    </row>
    <row r="4011" spans="1:9">
      <c r="A4011" s="113">
        <v>101100128</v>
      </c>
      <c r="B4011" s="113" t="s">
        <v>6659</v>
      </c>
      <c r="C4011" s="113">
        <v>7012138</v>
      </c>
      <c r="D4011" s="113" t="s">
        <v>3093</v>
      </c>
      <c r="E4011" s="113" t="s">
        <v>1620</v>
      </c>
      <c r="F4011" s="113" t="s">
        <v>3093</v>
      </c>
      <c r="G4011" s="115" t="s">
        <v>3093</v>
      </c>
      <c r="H4011" s="161">
        <v>1.1299999999999999</v>
      </c>
      <c r="I4011" s="161">
        <v>0</v>
      </c>
    </row>
    <row r="4012" spans="1:9">
      <c r="A4012" s="113">
        <v>101100129</v>
      </c>
      <c r="B4012" s="113" t="s">
        <v>6660</v>
      </c>
      <c r="C4012" s="113">
        <v>7012139</v>
      </c>
      <c r="D4012" s="113" t="s">
        <v>3093</v>
      </c>
      <c r="E4012" s="113" t="s">
        <v>1620</v>
      </c>
      <c r="F4012" s="113" t="s">
        <v>3093</v>
      </c>
      <c r="G4012" s="115" t="s">
        <v>3093</v>
      </c>
      <c r="H4012" s="161">
        <v>2</v>
      </c>
      <c r="I4012" s="161">
        <v>0</v>
      </c>
    </row>
    <row r="4013" spans="1:9">
      <c r="A4013" s="113">
        <v>101100130</v>
      </c>
      <c r="B4013" s="113" t="s">
        <v>6661</v>
      </c>
      <c r="C4013" s="113">
        <v>7012140</v>
      </c>
      <c r="D4013" s="113" t="s">
        <v>3093</v>
      </c>
      <c r="E4013" s="113" t="s">
        <v>1620</v>
      </c>
      <c r="F4013" s="113" t="s">
        <v>3093</v>
      </c>
      <c r="G4013" s="115" t="s">
        <v>3093</v>
      </c>
      <c r="H4013" s="161">
        <v>1.1299999999999999</v>
      </c>
      <c r="I4013" s="161">
        <v>0</v>
      </c>
    </row>
    <row r="4014" spans="1:9">
      <c r="A4014" s="113">
        <v>101100131</v>
      </c>
      <c r="B4014" s="113" t="s">
        <v>6662</v>
      </c>
      <c r="C4014" s="113">
        <v>7012141</v>
      </c>
      <c r="D4014" s="113" t="s">
        <v>3093</v>
      </c>
      <c r="E4014" s="113" t="s">
        <v>1620</v>
      </c>
      <c r="F4014" s="113" t="s">
        <v>3093</v>
      </c>
      <c r="G4014" s="115" t="s">
        <v>3093</v>
      </c>
      <c r="H4014" s="161">
        <v>3.39</v>
      </c>
      <c r="I4014" s="161">
        <v>0</v>
      </c>
    </row>
    <row r="4015" spans="1:9">
      <c r="A4015" s="113">
        <v>101100132</v>
      </c>
      <c r="B4015" s="113" t="s">
        <v>6663</v>
      </c>
      <c r="C4015" s="113">
        <v>7012143</v>
      </c>
      <c r="D4015" s="113" t="s">
        <v>3093</v>
      </c>
      <c r="E4015" s="113" t="s">
        <v>1620</v>
      </c>
      <c r="F4015" s="113" t="s">
        <v>3093</v>
      </c>
      <c r="G4015" s="113" t="s">
        <v>3093</v>
      </c>
      <c r="H4015" s="161">
        <v>2.4</v>
      </c>
      <c r="I4015" s="161">
        <v>0</v>
      </c>
    </row>
    <row r="4016" spans="1:9">
      <c r="A4016" s="113">
        <v>101100133</v>
      </c>
      <c r="B4016" s="113" t="s">
        <v>6664</v>
      </c>
      <c r="C4016" s="113">
        <v>7012144</v>
      </c>
      <c r="D4016" s="113" t="s">
        <v>3093</v>
      </c>
      <c r="E4016" s="113" t="s">
        <v>1620</v>
      </c>
      <c r="F4016" s="113" t="s">
        <v>3093</v>
      </c>
      <c r="G4016" s="113" t="s">
        <v>3093</v>
      </c>
      <c r="H4016" s="161">
        <v>6</v>
      </c>
      <c r="I4016" s="161">
        <v>5</v>
      </c>
    </row>
    <row r="4017" spans="1:9">
      <c r="A4017" s="113">
        <v>101100134</v>
      </c>
      <c r="B4017" s="113" t="s">
        <v>6665</v>
      </c>
      <c r="C4017" s="113">
        <v>7012145</v>
      </c>
      <c r="D4017" s="113" t="s">
        <v>3093</v>
      </c>
      <c r="E4017" s="113" t="s">
        <v>1620</v>
      </c>
      <c r="F4017" s="113" t="s">
        <v>3093</v>
      </c>
      <c r="G4017" s="113" t="s">
        <v>3093</v>
      </c>
      <c r="H4017" s="161">
        <v>3</v>
      </c>
      <c r="I4017" s="161">
        <v>0</v>
      </c>
    </row>
    <row r="4018" spans="1:9">
      <c r="A4018" s="113">
        <v>101100135</v>
      </c>
      <c r="B4018" s="113" t="s">
        <v>6666</v>
      </c>
      <c r="C4018" s="113">
        <v>7012147</v>
      </c>
      <c r="D4018" s="113" t="s">
        <v>3093</v>
      </c>
      <c r="E4018" s="113" t="s">
        <v>1620</v>
      </c>
      <c r="F4018" s="113" t="s">
        <v>3093</v>
      </c>
      <c r="G4018" s="113" t="s">
        <v>3093</v>
      </c>
      <c r="H4018" s="161">
        <v>3.16</v>
      </c>
      <c r="I4018" s="161">
        <v>50</v>
      </c>
    </row>
    <row r="4019" spans="1:9">
      <c r="A4019" s="113">
        <v>101100136</v>
      </c>
      <c r="B4019" s="113" t="s">
        <v>6667</v>
      </c>
      <c r="C4019" s="113">
        <v>7012151</v>
      </c>
      <c r="D4019" s="113" t="s">
        <v>3093</v>
      </c>
      <c r="E4019" s="113" t="s">
        <v>1620</v>
      </c>
      <c r="F4019" s="113" t="s">
        <v>3093</v>
      </c>
      <c r="G4019" s="113" t="s">
        <v>3093</v>
      </c>
      <c r="H4019" s="161">
        <v>7.91</v>
      </c>
      <c r="I4019" s="161">
        <v>24</v>
      </c>
    </row>
    <row r="4020" spans="1:9">
      <c r="A4020" s="113">
        <v>101100137</v>
      </c>
      <c r="B4020" s="113" t="s">
        <v>6668</v>
      </c>
      <c r="C4020" s="113">
        <v>7012152</v>
      </c>
      <c r="D4020" s="113" t="s">
        <v>3093</v>
      </c>
      <c r="E4020" s="113" t="s">
        <v>1620</v>
      </c>
      <c r="F4020" s="113" t="s">
        <v>3093</v>
      </c>
      <c r="G4020" s="113" t="s">
        <v>3093</v>
      </c>
      <c r="H4020" s="161">
        <v>3.5</v>
      </c>
      <c r="I4020" s="161">
        <v>24</v>
      </c>
    </row>
    <row r="4021" spans="1:9">
      <c r="A4021" s="113">
        <v>101100138</v>
      </c>
      <c r="B4021" s="113" t="s">
        <v>6669</v>
      </c>
      <c r="C4021" s="113">
        <v>7012154</v>
      </c>
      <c r="D4021" s="113" t="s">
        <v>3093</v>
      </c>
      <c r="E4021" s="113" t="s">
        <v>1620</v>
      </c>
      <c r="F4021" s="113" t="s">
        <v>3093</v>
      </c>
      <c r="G4021" s="115" t="s">
        <v>3093</v>
      </c>
      <c r="H4021" s="161">
        <v>15</v>
      </c>
      <c r="I4021" s="161">
        <v>0</v>
      </c>
    </row>
    <row r="4022" spans="1:9">
      <c r="A4022" s="113">
        <v>101100139</v>
      </c>
      <c r="B4022" s="113" t="s">
        <v>6670</v>
      </c>
      <c r="C4022" s="113">
        <v>7012155</v>
      </c>
      <c r="D4022" s="113" t="s">
        <v>3093</v>
      </c>
      <c r="E4022" s="113" t="s">
        <v>1620</v>
      </c>
      <c r="F4022" s="113" t="s">
        <v>3093</v>
      </c>
      <c r="G4022" s="115" t="s">
        <v>3093</v>
      </c>
      <c r="H4022" s="161">
        <v>0.7</v>
      </c>
      <c r="I4022" s="161">
        <v>35</v>
      </c>
    </row>
    <row r="4023" spans="1:9">
      <c r="A4023" s="113">
        <v>101100140</v>
      </c>
      <c r="B4023" s="113" t="s">
        <v>6671</v>
      </c>
      <c r="C4023" s="113">
        <v>7012156</v>
      </c>
      <c r="D4023" s="113" t="s">
        <v>3093</v>
      </c>
      <c r="E4023" s="113" t="s">
        <v>1620</v>
      </c>
      <c r="F4023" s="113" t="s">
        <v>3093</v>
      </c>
      <c r="G4023" s="113" t="s">
        <v>3093</v>
      </c>
      <c r="H4023" s="161">
        <v>1</v>
      </c>
      <c r="I4023" s="161">
        <v>63</v>
      </c>
    </row>
    <row r="4024" spans="1:9">
      <c r="A4024" s="113">
        <v>101100141</v>
      </c>
      <c r="B4024" s="113" t="s">
        <v>6672</v>
      </c>
      <c r="C4024" s="113">
        <v>7012157</v>
      </c>
      <c r="D4024" s="113" t="s">
        <v>3093</v>
      </c>
      <c r="E4024" s="113" t="s">
        <v>1620</v>
      </c>
      <c r="F4024" s="113" t="s">
        <v>3093</v>
      </c>
      <c r="G4024" s="113" t="s">
        <v>3093</v>
      </c>
      <c r="H4024" s="161">
        <v>1</v>
      </c>
      <c r="I4024" s="161">
        <v>60</v>
      </c>
    </row>
    <row r="4025" spans="1:9">
      <c r="A4025" s="113">
        <v>101100142</v>
      </c>
      <c r="B4025" s="113" t="s">
        <v>6673</v>
      </c>
      <c r="C4025" s="113">
        <v>7012158</v>
      </c>
      <c r="D4025" s="113" t="s">
        <v>3093</v>
      </c>
      <c r="E4025" s="113" t="s">
        <v>1620</v>
      </c>
      <c r="F4025" s="113" t="s">
        <v>3093</v>
      </c>
      <c r="G4025" s="113" t="s">
        <v>3093</v>
      </c>
      <c r="H4025" s="161">
        <v>1.5</v>
      </c>
      <c r="I4025" s="161">
        <v>24</v>
      </c>
    </row>
    <row r="4026" spans="1:9">
      <c r="A4026" s="113">
        <v>101100143</v>
      </c>
      <c r="B4026" s="113" t="s">
        <v>6674</v>
      </c>
      <c r="C4026" s="113">
        <v>7012159</v>
      </c>
      <c r="D4026" s="113" t="s">
        <v>3093</v>
      </c>
      <c r="E4026" s="113" t="s">
        <v>1620</v>
      </c>
      <c r="F4026" s="113" t="s">
        <v>3093</v>
      </c>
      <c r="G4026" s="115" t="s">
        <v>3093</v>
      </c>
      <c r="H4026" s="161">
        <v>2.2599999999999998</v>
      </c>
      <c r="I4026" s="161">
        <v>15</v>
      </c>
    </row>
    <row r="4027" spans="1:9">
      <c r="A4027" s="113">
        <v>101100144</v>
      </c>
      <c r="B4027" s="113" t="s">
        <v>6675</v>
      </c>
      <c r="C4027" s="113">
        <v>7012160</v>
      </c>
      <c r="D4027" s="113" t="s">
        <v>3093</v>
      </c>
      <c r="E4027" s="113" t="s">
        <v>1620</v>
      </c>
      <c r="F4027" s="113" t="s">
        <v>3093</v>
      </c>
      <c r="G4027" s="115" t="s">
        <v>3093</v>
      </c>
      <c r="H4027" s="161">
        <v>19</v>
      </c>
      <c r="I4027" s="161">
        <v>90</v>
      </c>
    </row>
    <row r="4028" spans="1:9">
      <c r="A4028" s="113">
        <v>101100145</v>
      </c>
      <c r="B4028" s="113" t="s">
        <v>6676</v>
      </c>
      <c r="C4028" s="113">
        <v>7012161</v>
      </c>
      <c r="D4028" s="113" t="s">
        <v>3093</v>
      </c>
      <c r="E4028" s="113" t="s">
        <v>1620</v>
      </c>
      <c r="F4028" s="113" t="s">
        <v>3093</v>
      </c>
      <c r="G4028" s="115" t="s">
        <v>3093</v>
      </c>
      <c r="H4028" s="161">
        <v>19</v>
      </c>
      <c r="I4028" s="161">
        <v>0</v>
      </c>
    </row>
    <row r="4029" spans="1:9">
      <c r="A4029" s="113">
        <v>101100146</v>
      </c>
      <c r="B4029" s="113" t="s">
        <v>6677</v>
      </c>
      <c r="C4029" s="113">
        <v>7012162</v>
      </c>
      <c r="D4029" s="113" t="s">
        <v>3093</v>
      </c>
      <c r="E4029" s="113" t="s">
        <v>1620</v>
      </c>
      <c r="F4029" s="113" t="s">
        <v>3093</v>
      </c>
      <c r="G4029" s="115" t="s">
        <v>3093</v>
      </c>
      <c r="H4029" s="161">
        <v>0</v>
      </c>
      <c r="I4029" s="161" t="s">
        <v>7138</v>
      </c>
    </row>
    <row r="4030" spans="1:9">
      <c r="A4030" s="113">
        <v>101100147</v>
      </c>
      <c r="B4030" s="113" t="s">
        <v>6678</v>
      </c>
      <c r="C4030" s="113">
        <v>7012163</v>
      </c>
      <c r="D4030" s="113" t="s">
        <v>3093</v>
      </c>
      <c r="E4030" s="113" t="s">
        <v>1620</v>
      </c>
      <c r="F4030" s="113" t="s">
        <v>3093</v>
      </c>
      <c r="G4030" s="115" t="s">
        <v>3093</v>
      </c>
      <c r="H4030" s="161">
        <v>3.39</v>
      </c>
      <c r="I4030" s="161">
        <v>12</v>
      </c>
    </row>
    <row r="4031" spans="1:9">
      <c r="A4031" s="113">
        <v>101100148</v>
      </c>
      <c r="B4031" s="113" t="s">
        <v>6679</v>
      </c>
      <c r="C4031" s="113">
        <v>7012164</v>
      </c>
      <c r="D4031" s="113" t="s">
        <v>3093</v>
      </c>
      <c r="E4031" s="113" t="s">
        <v>1620</v>
      </c>
      <c r="F4031" s="113" t="s">
        <v>3093</v>
      </c>
      <c r="G4031" s="113" t="s">
        <v>3093</v>
      </c>
      <c r="H4031" s="161">
        <v>2.3730000000000002</v>
      </c>
      <c r="I4031" s="161">
        <v>12</v>
      </c>
    </row>
    <row r="4032" spans="1:9">
      <c r="A4032" s="113">
        <v>101100149</v>
      </c>
      <c r="B4032" s="113" t="s">
        <v>6680</v>
      </c>
      <c r="C4032" s="113">
        <v>7012165</v>
      </c>
      <c r="D4032" s="113" t="s">
        <v>3093</v>
      </c>
      <c r="E4032" s="113" t="s">
        <v>1620</v>
      </c>
      <c r="F4032" s="113" t="s">
        <v>3093</v>
      </c>
      <c r="G4032" s="115" t="s">
        <v>3093</v>
      </c>
      <c r="H4032" s="161">
        <v>1.36</v>
      </c>
      <c r="I4032" s="161">
        <v>0</v>
      </c>
    </row>
    <row r="4033" spans="1:9">
      <c r="A4033" s="113">
        <v>101100150</v>
      </c>
      <c r="B4033" s="113" t="s">
        <v>6681</v>
      </c>
      <c r="C4033" s="113">
        <v>7012166</v>
      </c>
      <c r="D4033" s="113" t="s">
        <v>3093</v>
      </c>
      <c r="E4033" s="113" t="s">
        <v>1620</v>
      </c>
      <c r="F4033" s="113" t="s">
        <v>3093</v>
      </c>
      <c r="G4033" s="115" t="s">
        <v>3093</v>
      </c>
      <c r="H4033" s="161">
        <v>2.1</v>
      </c>
      <c r="I4033" s="161">
        <v>157</v>
      </c>
    </row>
    <row r="4034" spans="1:9">
      <c r="A4034" s="113">
        <v>101100151</v>
      </c>
      <c r="B4034" s="113" t="s">
        <v>6682</v>
      </c>
      <c r="C4034" s="113">
        <v>7012167</v>
      </c>
      <c r="D4034" s="113" t="s">
        <v>3093</v>
      </c>
      <c r="E4034" s="113" t="s">
        <v>1620</v>
      </c>
      <c r="F4034" s="113" t="s">
        <v>3093</v>
      </c>
      <c r="G4034" s="115" t="s">
        <v>3093</v>
      </c>
      <c r="H4034" s="161">
        <v>3</v>
      </c>
      <c r="I4034" s="161">
        <v>25</v>
      </c>
    </row>
    <row r="4035" spans="1:9">
      <c r="A4035" s="113">
        <v>101100152</v>
      </c>
      <c r="B4035" s="113" t="s">
        <v>6683</v>
      </c>
      <c r="C4035" s="113">
        <v>7012168</v>
      </c>
      <c r="D4035" s="113" t="s">
        <v>3093</v>
      </c>
      <c r="E4035" s="113" t="s">
        <v>1620</v>
      </c>
      <c r="F4035" s="113" t="s">
        <v>3093</v>
      </c>
      <c r="G4035" s="115" t="s">
        <v>3093</v>
      </c>
      <c r="H4035" s="161">
        <v>0.14000000000000001</v>
      </c>
      <c r="I4035" s="161">
        <v>48</v>
      </c>
    </row>
    <row r="4036" spans="1:9">
      <c r="A4036" s="113">
        <v>101100153</v>
      </c>
      <c r="B4036" s="113" t="s">
        <v>6684</v>
      </c>
      <c r="C4036" s="113">
        <v>7012169</v>
      </c>
      <c r="D4036" s="113" t="s">
        <v>3093</v>
      </c>
      <c r="E4036" s="113" t="s">
        <v>1620</v>
      </c>
      <c r="F4036" s="113" t="s">
        <v>3093</v>
      </c>
      <c r="G4036" s="113" t="s">
        <v>3093</v>
      </c>
      <c r="H4036" s="161">
        <v>0.45</v>
      </c>
      <c r="I4036" s="161">
        <v>10</v>
      </c>
    </row>
    <row r="4037" spans="1:9">
      <c r="A4037" s="113">
        <v>101100154</v>
      </c>
      <c r="B4037" s="113" t="s">
        <v>3061</v>
      </c>
      <c r="C4037" s="113">
        <v>7012170</v>
      </c>
      <c r="D4037" s="113" t="s">
        <v>3093</v>
      </c>
      <c r="E4037" s="113" t="s">
        <v>1620</v>
      </c>
      <c r="F4037" s="113" t="s">
        <v>3093</v>
      </c>
      <c r="G4037" s="115" t="s">
        <v>3093</v>
      </c>
      <c r="H4037" s="161">
        <v>55.25</v>
      </c>
      <c r="I4037" s="161">
        <v>0</v>
      </c>
    </row>
    <row r="4038" spans="1:9">
      <c r="A4038" s="113">
        <v>101100155</v>
      </c>
      <c r="B4038" s="113" t="s">
        <v>6685</v>
      </c>
      <c r="C4038" s="113">
        <v>7012183</v>
      </c>
      <c r="D4038" s="113" t="s">
        <v>3093</v>
      </c>
      <c r="E4038" s="113" t="s">
        <v>1620</v>
      </c>
      <c r="F4038" s="113" t="s">
        <v>3093</v>
      </c>
      <c r="G4038" s="113" t="s">
        <v>3093</v>
      </c>
      <c r="H4038" s="161">
        <v>0</v>
      </c>
      <c r="I4038" s="161" t="s">
        <v>7138</v>
      </c>
    </row>
    <row r="4039" spans="1:9">
      <c r="A4039" s="113">
        <v>101100156</v>
      </c>
      <c r="B4039" s="113" t="s">
        <v>6686</v>
      </c>
      <c r="C4039" s="113">
        <v>7012184</v>
      </c>
      <c r="D4039" s="113" t="s">
        <v>3093</v>
      </c>
      <c r="E4039" s="113" t="s">
        <v>1620</v>
      </c>
      <c r="F4039" s="113" t="s">
        <v>3093</v>
      </c>
      <c r="G4039" s="115" t="s">
        <v>3093</v>
      </c>
      <c r="H4039" s="161">
        <v>76.8</v>
      </c>
      <c r="I4039" s="161" t="s">
        <v>7138</v>
      </c>
    </row>
    <row r="4040" spans="1:9">
      <c r="A4040" s="113">
        <v>101100157</v>
      </c>
      <c r="B4040" s="113" t="s">
        <v>6687</v>
      </c>
      <c r="C4040" s="113">
        <v>7012185</v>
      </c>
      <c r="D4040" s="113" t="s">
        <v>3093</v>
      </c>
      <c r="E4040" s="113" t="s">
        <v>1620</v>
      </c>
      <c r="F4040" s="113" t="s">
        <v>3093</v>
      </c>
      <c r="G4040" s="115" t="s">
        <v>3093</v>
      </c>
      <c r="H4040" s="161">
        <v>4.9000000000000004</v>
      </c>
      <c r="I4040" s="161" t="s">
        <v>7138</v>
      </c>
    </row>
    <row r="4041" spans="1:9">
      <c r="A4041" s="113">
        <v>101100158</v>
      </c>
      <c r="B4041" s="113" t="s">
        <v>6688</v>
      </c>
      <c r="C4041" s="113">
        <v>7014150</v>
      </c>
      <c r="D4041" s="113" t="s">
        <v>3093</v>
      </c>
      <c r="E4041" s="113" t="s">
        <v>1620</v>
      </c>
      <c r="F4041" s="113" t="s">
        <v>3093</v>
      </c>
      <c r="G4041" s="115" t="s">
        <v>3093</v>
      </c>
      <c r="H4041" s="161">
        <v>70</v>
      </c>
      <c r="I4041" s="161">
        <v>24</v>
      </c>
    </row>
    <row r="4042" spans="1:9">
      <c r="A4042" s="113">
        <v>101100159</v>
      </c>
      <c r="B4042" s="113" t="s">
        <v>6689</v>
      </c>
      <c r="C4042" s="113">
        <v>7014151</v>
      </c>
      <c r="D4042" s="113" t="s">
        <v>3093</v>
      </c>
      <c r="E4042" s="113" t="s">
        <v>1620</v>
      </c>
      <c r="F4042" s="113" t="s">
        <v>3093</v>
      </c>
      <c r="G4042" s="113" t="s">
        <v>3093</v>
      </c>
      <c r="H4042" s="161">
        <v>70</v>
      </c>
      <c r="I4042" s="161">
        <v>25</v>
      </c>
    </row>
    <row r="4043" spans="1:9">
      <c r="A4043" s="113">
        <v>101100160</v>
      </c>
      <c r="B4043" s="113" t="s">
        <v>6690</v>
      </c>
      <c r="C4043" s="113">
        <v>7014160</v>
      </c>
      <c r="D4043" s="113" t="s">
        <v>3093</v>
      </c>
      <c r="E4043" s="113" t="s">
        <v>1620</v>
      </c>
      <c r="F4043" s="113" t="s">
        <v>3093</v>
      </c>
      <c r="G4043" s="115" t="s">
        <v>3093</v>
      </c>
      <c r="H4043" s="161">
        <v>0</v>
      </c>
      <c r="I4043" s="161" t="s">
        <v>7138</v>
      </c>
    </row>
    <row r="4044" spans="1:9">
      <c r="A4044" s="113">
        <v>101100161</v>
      </c>
      <c r="B4044" s="113" t="s">
        <v>6691</v>
      </c>
      <c r="C4044" s="113">
        <v>7014161</v>
      </c>
      <c r="D4044" s="113" t="s">
        <v>3093</v>
      </c>
      <c r="E4044" s="113" t="s">
        <v>1620</v>
      </c>
      <c r="F4044" s="113" t="s">
        <v>3093</v>
      </c>
      <c r="G4044" s="115" t="s">
        <v>3093</v>
      </c>
      <c r="H4044" s="161">
        <v>0</v>
      </c>
      <c r="I4044" s="161" t="s">
        <v>7138</v>
      </c>
    </row>
    <row r="4045" spans="1:9">
      <c r="A4045" s="113">
        <v>101100162</v>
      </c>
      <c r="B4045" s="113" t="s">
        <v>6692</v>
      </c>
      <c r="C4045" s="113">
        <v>7014162</v>
      </c>
      <c r="D4045" s="113" t="s">
        <v>3093</v>
      </c>
      <c r="E4045" s="113" t="s">
        <v>1620</v>
      </c>
      <c r="F4045" s="113" t="s">
        <v>3093</v>
      </c>
      <c r="G4045" s="115" t="s">
        <v>3093</v>
      </c>
      <c r="H4045" s="161">
        <v>588.25</v>
      </c>
      <c r="I4045" s="161">
        <v>0</v>
      </c>
    </row>
    <row r="4046" spans="1:9">
      <c r="A4046" s="113">
        <v>101100163</v>
      </c>
      <c r="B4046" s="113" t="s">
        <v>6693</v>
      </c>
      <c r="C4046" s="113">
        <v>7016097</v>
      </c>
      <c r="D4046" s="113" t="s">
        <v>3093</v>
      </c>
      <c r="E4046" s="113" t="s">
        <v>1620</v>
      </c>
      <c r="F4046" s="113" t="s">
        <v>3093</v>
      </c>
      <c r="G4046" s="113" t="s">
        <v>3093</v>
      </c>
      <c r="H4046" s="161">
        <v>6</v>
      </c>
      <c r="I4046" s="161">
        <v>270</v>
      </c>
    </row>
    <row r="4047" spans="1:9">
      <c r="A4047" s="113">
        <v>101100164</v>
      </c>
      <c r="B4047" s="113" t="s">
        <v>6694</v>
      </c>
      <c r="C4047" s="113">
        <v>7016099</v>
      </c>
      <c r="D4047" s="113" t="s">
        <v>3093</v>
      </c>
      <c r="E4047" s="113" t="s">
        <v>1620</v>
      </c>
      <c r="F4047" s="113" t="s">
        <v>3093</v>
      </c>
      <c r="G4047" s="113" t="s">
        <v>3093</v>
      </c>
      <c r="H4047" s="161">
        <v>0</v>
      </c>
      <c r="I4047" s="161" t="s">
        <v>7138</v>
      </c>
    </row>
    <row r="4048" spans="1:9">
      <c r="A4048" s="113">
        <v>101100165</v>
      </c>
      <c r="B4048" s="113" t="s">
        <v>6695</v>
      </c>
      <c r="C4048" s="113">
        <v>7016116</v>
      </c>
      <c r="D4048" s="113" t="s">
        <v>3093</v>
      </c>
      <c r="E4048" s="113" t="s">
        <v>1620</v>
      </c>
      <c r="F4048" s="113" t="s">
        <v>3093</v>
      </c>
      <c r="G4048" s="115" t="s">
        <v>3093</v>
      </c>
      <c r="H4048" s="161">
        <v>5.0999999999999996</v>
      </c>
      <c r="I4048" s="161">
        <v>450</v>
      </c>
    </row>
    <row r="4049" spans="1:9">
      <c r="A4049" s="113">
        <v>101100166</v>
      </c>
      <c r="B4049" s="113" t="s">
        <v>6696</v>
      </c>
      <c r="C4049" s="113">
        <v>7016117</v>
      </c>
      <c r="D4049" s="113" t="s">
        <v>3093</v>
      </c>
      <c r="E4049" s="113" t="s">
        <v>1620</v>
      </c>
      <c r="F4049" s="113" t="s">
        <v>3093</v>
      </c>
      <c r="G4049" s="115" t="s">
        <v>3093</v>
      </c>
      <c r="H4049" s="161">
        <v>4</v>
      </c>
      <c r="I4049" s="161">
        <v>35</v>
      </c>
    </row>
    <row r="4050" spans="1:9">
      <c r="A4050" s="113">
        <v>101100167</v>
      </c>
      <c r="B4050" s="113" t="s">
        <v>6697</v>
      </c>
      <c r="C4050" s="113">
        <v>7016130</v>
      </c>
      <c r="D4050" s="113" t="s">
        <v>3093</v>
      </c>
      <c r="E4050" s="113" t="s">
        <v>1620</v>
      </c>
      <c r="F4050" s="113" t="s">
        <v>3093</v>
      </c>
      <c r="G4050" s="115" t="s">
        <v>3093</v>
      </c>
      <c r="H4050" s="161">
        <v>8.11</v>
      </c>
      <c r="I4050" s="161">
        <v>120</v>
      </c>
    </row>
    <row r="4051" spans="1:9">
      <c r="A4051" s="113">
        <v>101100168</v>
      </c>
      <c r="B4051" s="113" t="s">
        <v>3062</v>
      </c>
      <c r="C4051" s="113">
        <v>7016132</v>
      </c>
      <c r="D4051" s="113" t="s">
        <v>3093</v>
      </c>
      <c r="E4051" s="113" t="s">
        <v>1620</v>
      </c>
      <c r="F4051" s="113" t="s">
        <v>3093</v>
      </c>
      <c r="G4051" s="113" t="s">
        <v>3093</v>
      </c>
      <c r="H4051" s="161">
        <v>20.02</v>
      </c>
      <c r="I4051" s="161">
        <v>50</v>
      </c>
    </row>
    <row r="4052" spans="1:9">
      <c r="A4052" s="113">
        <v>101100169</v>
      </c>
      <c r="B4052" s="113" t="s">
        <v>3063</v>
      </c>
      <c r="C4052" s="113">
        <v>7016145</v>
      </c>
      <c r="D4052" s="113" t="s">
        <v>3093</v>
      </c>
      <c r="E4052" s="113" t="s">
        <v>1620</v>
      </c>
      <c r="F4052" s="113" t="s">
        <v>3093</v>
      </c>
      <c r="G4052" s="113" t="s">
        <v>3093</v>
      </c>
      <c r="H4052" s="161">
        <v>19.25</v>
      </c>
      <c r="I4052" s="161">
        <v>12</v>
      </c>
    </row>
    <row r="4053" spans="1:9">
      <c r="A4053" s="113">
        <v>101100170</v>
      </c>
      <c r="B4053" s="113" t="s">
        <v>6698</v>
      </c>
      <c r="C4053" s="113">
        <v>7016156</v>
      </c>
      <c r="D4053" s="113" t="s">
        <v>3093</v>
      </c>
      <c r="E4053" s="113" t="s">
        <v>1620</v>
      </c>
      <c r="F4053" s="113" t="s">
        <v>3093</v>
      </c>
      <c r="G4053" s="113" t="s">
        <v>3093</v>
      </c>
      <c r="H4053" s="161">
        <v>0</v>
      </c>
      <c r="I4053" s="161" t="s">
        <v>7138</v>
      </c>
    </row>
    <row r="4054" spans="1:9">
      <c r="A4054" s="113">
        <v>101100171</v>
      </c>
      <c r="B4054" s="113" t="s">
        <v>6699</v>
      </c>
      <c r="C4054" s="113">
        <v>7016160</v>
      </c>
      <c r="D4054" s="113" t="s">
        <v>3093</v>
      </c>
      <c r="E4054" s="113" t="s">
        <v>1620</v>
      </c>
      <c r="F4054" s="113" t="s">
        <v>3093</v>
      </c>
      <c r="G4054" s="113" t="s">
        <v>3093</v>
      </c>
      <c r="H4054" s="161">
        <v>6.5</v>
      </c>
      <c r="I4054" s="161">
        <v>2</v>
      </c>
    </row>
    <row r="4055" spans="1:9">
      <c r="A4055" s="113">
        <v>101100172</v>
      </c>
      <c r="B4055" s="113" t="s">
        <v>6700</v>
      </c>
      <c r="C4055" s="113">
        <v>7016182</v>
      </c>
      <c r="D4055" s="113" t="s">
        <v>3093</v>
      </c>
      <c r="E4055" s="113" t="s">
        <v>1620</v>
      </c>
      <c r="F4055" s="113" t="s">
        <v>3093</v>
      </c>
      <c r="G4055" s="113" t="s">
        <v>3093</v>
      </c>
      <c r="H4055" s="161">
        <v>12</v>
      </c>
      <c r="I4055" s="161">
        <v>510</v>
      </c>
    </row>
    <row r="4056" spans="1:9">
      <c r="A4056" s="113">
        <v>101100173</v>
      </c>
      <c r="B4056" s="113" t="s">
        <v>6701</v>
      </c>
      <c r="C4056" s="113">
        <v>7016183</v>
      </c>
      <c r="D4056" s="113" t="s">
        <v>3093</v>
      </c>
      <c r="E4056" s="113" t="s">
        <v>1620</v>
      </c>
      <c r="F4056" s="113" t="s">
        <v>3093</v>
      </c>
      <c r="G4056" s="115" t="s">
        <v>3093</v>
      </c>
      <c r="H4056" s="161">
        <v>118</v>
      </c>
      <c r="I4056" s="161">
        <v>300</v>
      </c>
    </row>
    <row r="4057" spans="1:9">
      <c r="A4057" s="113">
        <v>101100174</v>
      </c>
      <c r="B4057" s="113" t="s">
        <v>6702</v>
      </c>
      <c r="C4057" s="113">
        <v>7016212</v>
      </c>
      <c r="D4057" s="113" t="s">
        <v>3093</v>
      </c>
      <c r="E4057" s="113" t="s">
        <v>1620</v>
      </c>
      <c r="F4057" s="113" t="s">
        <v>3093</v>
      </c>
      <c r="G4057" s="115" t="s">
        <v>3093</v>
      </c>
      <c r="H4057" s="161">
        <v>19</v>
      </c>
      <c r="I4057" s="161">
        <v>0</v>
      </c>
    </row>
    <row r="4058" spans="1:9">
      <c r="A4058" s="113">
        <v>101100175</v>
      </c>
      <c r="B4058" s="113" t="s">
        <v>6703</v>
      </c>
      <c r="C4058" s="113">
        <v>7018080</v>
      </c>
      <c r="D4058" s="113" t="s">
        <v>3093</v>
      </c>
      <c r="E4058" s="113" t="s">
        <v>1620</v>
      </c>
      <c r="F4058" s="113" t="s">
        <v>3093</v>
      </c>
      <c r="G4058" s="115" t="s">
        <v>3093</v>
      </c>
      <c r="H4058" s="161">
        <v>22.8</v>
      </c>
      <c r="I4058" s="161">
        <v>6</v>
      </c>
    </row>
    <row r="4059" spans="1:9">
      <c r="A4059" s="113">
        <v>101100176</v>
      </c>
      <c r="B4059" s="113" t="s">
        <v>6704</v>
      </c>
      <c r="C4059" s="113">
        <v>7020075</v>
      </c>
      <c r="D4059" s="113" t="s">
        <v>3093</v>
      </c>
      <c r="E4059" s="113" t="s">
        <v>1620</v>
      </c>
      <c r="F4059" s="113" t="s">
        <v>3093</v>
      </c>
      <c r="G4059" s="115" t="s">
        <v>3093</v>
      </c>
      <c r="H4059" s="161">
        <v>165</v>
      </c>
      <c r="I4059" s="161">
        <v>2</v>
      </c>
    </row>
    <row r="4060" spans="1:9">
      <c r="A4060" s="113">
        <v>101100177</v>
      </c>
      <c r="B4060" s="113" t="s">
        <v>6705</v>
      </c>
      <c r="C4060" s="113">
        <v>7020076</v>
      </c>
      <c r="D4060" s="113" t="s">
        <v>3093</v>
      </c>
      <c r="E4060" s="113" t="s">
        <v>1620</v>
      </c>
      <c r="F4060" s="113" t="s">
        <v>3093</v>
      </c>
      <c r="G4060" s="115" t="s">
        <v>3093</v>
      </c>
      <c r="H4060" s="161">
        <v>149</v>
      </c>
      <c r="I4060" s="161">
        <v>10</v>
      </c>
    </row>
    <row r="4061" spans="1:9">
      <c r="A4061" s="113">
        <v>101100178</v>
      </c>
      <c r="B4061" s="113" t="s">
        <v>6706</v>
      </c>
      <c r="C4061" s="113">
        <v>7020089</v>
      </c>
      <c r="D4061" s="113" t="s">
        <v>3093</v>
      </c>
      <c r="E4061" s="113" t="s">
        <v>1620</v>
      </c>
      <c r="F4061" s="113" t="s">
        <v>3093</v>
      </c>
      <c r="G4061" s="115" t="s">
        <v>3093</v>
      </c>
      <c r="H4061" s="161">
        <v>140</v>
      </c>
      <c r="I4061" s="161">
        <v>1</v>
      </c>
    </row>
    <row r="4062" spans="1:9">
      <c r="A4062" s="113">
        <v>101100179</v>
      </c>
      <c r="B4062" s="113" t="s">
        <v>6707</v>
      </c>
      <c r="C4062" s="113">
        <v>7020156</v>
      </c>
      <c r="D4062" s="113" t="s">
        <v>3093</v>
      </c>
      <c r="E4062" s="113" t="s">
        <v>1620</v>
      </c>
      <c r="F4062" s="113" t="s">
        <v>3093</v>
      </c>
      <c r="G4062" s="115" t="s">
        <v>3093</v>
      </c>
      <c r="H4062" s="161">
        <v>45.99</v>
      </c>
      <c r="I4062" s="161">
        <v>50</v>
      </c>
    </row>
    <row r="4063" spans="1:9">
      <c r="A4063" s="113">
        <v>101100180</v>
      </c>
      <c r="B4063" s="113" t="s">
        <v>6708</v>
      </c>
      <c r="C4063" s="113">
        <v>7020172</v>
      </c>
      <c r="D4063" s="113" t="s">
        <v>3093</v>
      </c>
      <c r="E4063" s="113" t="s">
        <v>1620</v>
      </c>
      <c r="F4063" s="113" t="s">
        <v>3093</v>
      </c>
      <c r="G4063" s="115" t="s">
        <v>3093</v>
      </c>
      <c r="H4063" s="161">
        <v>28.5</v>
      </c>
      <c r="I4063" s="161">
        <v>320</v>
      </c>
    </row>
    <row r="4064" spans="1:9">
      <c r="A4064" s="113">
        <v>101100181</v>
      </c>
      <c r="B4064" s="113" t="s">
        <v>6709</v>
      </c>
      <c r="C4064" s="113">
        <v>7020178</v>
      </c>
      <c r="D4064" s="113" t="s">
        <v>3093</v>
      </c>
      <c r="E4064" s="113" t="s">
        <v>1620</v>
      </c>
      <c r="F4064" s="113" t="s">
        <v>3093</v>
      </c>
      <c r="G4064" s="115" t="s">
        <v>3093</v>
      </c>
      <c r="H4064" s="161">
        <v>24</v>
      </c>
      <c r="I4064" s="161">
        <v>0</v>
      </c>
    </row>
    <row r="4065" spans="1:9">
      <c r="A4065" s="113">
        <v>101100182</v>
      </c>
      <c r="B4065" s="113" t="s">
        <v>6710</v>
      </c>
      <c r="C4065" s="113">
        <v>7020179</v>
      </c>
      <c r="D4065" s="113" t="s">
        <v>3093</v>
      </c>
      <c r="E4065" s="113" t="s">
        <v>1620</v>
      </c>
      <c r="F4065" s="113" t="s">
        <v>3093</v>
      </c>
      <c r="G4065" s="115" t="s">
        <v>3093</v>
      </c>
      <c r="H4065" s="161">
        <v>13.9</v>
      </c>
      <c r="I4065" s="161">
        <v>200</v>
      </c>
    </row>
    <row r="4066" spans="1:9">
      <c r="A4066" s="113">
        <v>101100183</v>
      </c>
      <c r="B4066" s="113" t="s">
        <v>6711</v>
      </c>
      <c r="C4066" s="113">
        <v>7020180</v>
      </c>
      <c r="D4066" s="113" t="s">
        <v>3093</v>
      </c>
      <c r="E4066" s="113" t="s">
        <v>1620</v>
      </c>
      <c r="F4066" s="113" t="s">
        <v>3093</v>
      </c>
      <c r="G4066" s="115" t="s">
        <v>3093</v>
      </c>
      <c r="H4066" s="161">
        <v>0</v>
      </c>
      <c r="I4066" s="161" t="s">
        <v>7138</v>
      </c>
    </row>
    <row r="4067" spans="1:9">
      <c r="A4067" s="113">
        <v>101100184</v>
      </c>
      <c r="B4067" s="113" t="s">
        <v>6712</v>
      </c>
      <c r="C4067" s="113">
        <v>7020181</v>
      </c>
      <c r="D4067" s="113" t="s">
        <v>3093</v>
      </c>
      <c r="E4067" s="113" t="s">
        <v>1620</v>
      </c>
      <c r="F4067" s="113" t="s">
        <v>3093</v>
      </c>
      <c r="G4067" s="115" t="s">
        <v>3093</v>
      </c>
      <c r="H4067" s="161">
        <v>13.55</v>
      </c>
      <c r="I4067" s="161">
        <v>300</v>
      </c>
    </row>
    <row r="4068" spans="1:9">
      <c r="A4068" s="113">
        <v>101100185</v>
      </c>
      <c r="B4068" s="113" t="s">
        <v>6713</v>
      </c>
      <c r="C4068" s="113">
        <v>7020182</v>
      </c>
      <c r="D4068" s="113" t="s">
        <v>3093</v>
      </c>
      <c r="E4068" s="113" t="s">
        <v>1620</v>
      </c>
      <c r="F4068" s="113" t="s">
        <v>3093</v>
      </c>
      <c r="G4068" s="115" t="s">
        <v>3093</v>
      </c>
      <c r="H4068" s="161">
        <v>18.07</v>
      </c>
      <c r="I4068" s="161">
        <v>200</v>
      </c>
    </row>
    <row r="4069" spans="1:9">
      <c r="A4069" s="113">
        <v>101100186</v>
      </c>
      <c r="B4069" s="113" t="s">
        <v>6714</v>
      </c>
      <c r="C4069" s="113">
        <v>7020206</v>
      </c>
      <c r="D4069" s="113" t="s">
        <v>3093</v>
      </c>
      <c r="E4069" s="113" t="s">
        <v>1620</v>
      </c>
      <c r="F4069" s="113" t="s">
        <v>3093</v>
      </c>
      <c r="G4069" s="115" t="s">
        <v>3093</v>
      </c>
      <c r="H4069" s="161">
        <v>146</v>
      </c>
      <c r="I4069" s="161">
        <v>35</v>
      </c>
    </row>
    <row r="4070" spans="1:9">
      <c r="A4070" s="113">
        <v>101100187</v>
      </c>
      <c r="B4070" s="113" t="s">
        <v>6715</v>
      </c>
      <c r="C4070" s="113">
        <v>7020213</v>
      </c>
      <c r="D4070" s="113" t="s">
        <v>3093</v>
      </c>
      <c r="E4070" s="113" t="s">
        <v>1620</v>
      </c>
      <c r="F4070" s="113" t="s">
        <v>3093</v>
      </c>
      <c r="G4070" s="115" t="s">
        <v>3093</v>
      </c>
      <c r="H4070" s="161">
        <v>2.96</v>
      </c>
      <c r="I4070" s="161">
        <v>300</v>
      </c>
    </row>
    <row r="4071" spans="1:9">
      <c r="A4071" s="113">
        <v>101100188</v>
      </c>
      <c r="B4071" s="113" t="s">
        <v>6716</v>
      </c>
      <c r="C4071" s="113">
        <v>7020214</v>
      </c>
      <c r="D4071" s="113" t="s">
        <v>3093</v>
      </c>
      <c r="E4071" s="113" t="s">
        <v>1620</v>
      </c>
      <c r="F4071" s="113" t="s">
        <v>3093</v>
      </c>
      <c r="G4071" s="115" t="s">
        <v>3093</v>
      </c>
      <c r="H4071" s="161">
        <v>2.96</v>
      </c>
      <c r="I4071" s="161">
        <v>0</v>
      </c>
    </row>
    <row r="4072" spans="1:9">
      <c r="A4072" s="113">
        <v>101100189</v>
      </c>
      <c r="B4072" s="113" t="s">
        <v>6717</v>
      </c>
      <c r="C4072" s="113">
        <v>7020220</v>
      </c>
      <c r="D4072" s="113" t="s">
        <v>3093</v>
      </c>
      <c r="E4072" s="113" t="s">
        <v>1620</v>
      </c>
      <c r="F4072" s="113" t="s">
        <v>3093</v>
      </c>
      <c r="G4072" s="115" t="s">
        <v>3093</v>
      </c>
      <c r="H4072" s="161">
        <v>135</v>
      </c>
      <c r="I4072" s="161">
        <v>15</v>
      </c>
    </row>
    <row r="4073" spans="1:9">
      <c r="A4073" s="113">
        <v>101100190</v>
      </c>
      <c r="B4073" s="113" t="s">
        <v>6718</v>
      </c>
      <c r="C4073" s="113">
        <v>7020265</v>
      </c>
      <c r="D4073" s="113" t="s">
        <v>3093</v>
      </c>
      <c r="E4073" s="113" t="s">
        <v>1620</v>
      </c>
      <c r="F4073" s="113" t="s">
        <v>3093</v>
      </c>
      <c r="G4073" s="115" t="s">
        <v>3093</v>
      </c>
      <c r="H4073" s="161">
        <v>220</v>
      </c>
      <c r="I4073" s="161">
        <v>144</v>
      </c>
    </row>
    <row r="4074" spans="1:9">
      <c r="A4074" s="113">
        <v>101100191</v>
      </c>
      <c r="B4074" s="113" t="s">
        <v>6719</v>
      </c>
      <c r="C4074" s="113">
        <v>7020266</v>
      </c>
      <c r="D4074" s="113" t="s">
        <v>3093</v>
      </c>
      <c r="E4074" s="113" t="s">
        <v>1620</v>
      </c>
      <c r="F4074" s="113" t="s">
        <v>3093</v>
      </c>
      <c r="G4074" s="113" t="s">
        <v>3093</v>
      </c>
      <c r="H4074" s="161">
        <v>0</v>
      </c>
      <c r="I4074" s="161" t="s">
        <v>7138</v>
      </c>
    </row>
    <row r="4075" spans="1:9">
      <c r="A4075" s="113">
        <v>101100192</v>
      </c>
      <c r="B4075" s="113" t="s">
        <v>6720</v>
      </c>
      <c r="C4075" s="113">
        <v>7020268</v>
      </c>
      <c r="D4075" s="113" t="s">
        <v>3093</v>
      </c>
      <c r="E4075" s="113" t="s">
        <v>1620</v>
      </c>
      <c r="F4075" s="113" t="s">
        <v>3093</v>
      </c>
      <c r="G4075" s="113" t="s">
        <v>3093</v>
      </c>
      <c r="H4075" s="161">
        <v>0</v>
      </c>
      <c r="I4075" s="161" t="s">
        <v>7138</v>
      </c>
    </row>
    <row r="4076" spans="1:9">
      <c r="A4076" s="113">
        <v>101100193</v>
      </c>
      <c r="B4076" s="113" t="s">
        <v>6721</v>
      </c>
      <c r="C4076" s="113">
        <v>7030018</v>
      </c>
      <c r="D4076" s="113" t="s">
        <v>3093</v>
      </c>
      <c r="E4076" s="113" t="s">
        <v>1620</v>
      </c>
      <c r="F4076" s="113" t="s">
        <v>3093</v>
      </c>
      <c r="G4076" s="113" t="s">
        <v>3093</v>
      </c>
      <c r="H4076" s="161">
        <v>1150</v>
      </c>
      <c r="I4076" s="161">
        <v>24</v>
      </c>
    </row>
    <row r="4077" spans="1:9">
      <c r="A4077" s="113">
        <v>101100194</v>
      </c>
      <c r="B4077" s="113" t="s">
        <v>6722</v>
      </c>
      <c r="C4077" s="113">
        <v>7030063</v>
      </c>
      <c r="D4077" s="113" t="s">
        <v>3093</v>
      </c>
      <c r="E4077" s="113" t="s">
        <v>1620</v>
      </c>
      <c r="F4077" s="113" t="s">
        <v>3093</v>
      </c>
      <c r="G4077" s="113" t="s">
        <v>3093</v>
      </c>
      <c r="H4077" s="161">
        <v>357.5</v>
      </c>
      <c r="I4077" s="161">
        <v>60</v>
      </c>
    </row>
    <row r="4078" spans="1:9">
      <c r="A4078" s="113">
        <v>101100195</v>
      </c>
      <c r="B4078" s="113" t="s">
        <v>6723</v>
      </c>
      <c r="C4078" s="113">
        <v>7031030</v>
      </c>
      <c r="D4078" s="113" t="s">
        <v>3093</v>
      </c>
      <c r="E4078" s="113" t="s">
        <v>1620</v>
      </c>
      <c r="F4078" s="113" t="s">
        <v>3093</v>
      </c>
      <c r="G4078" s="113" t="s">
        <v>3093</v>
      </c>
      <c r="H4078" s="161">
        <v>350</v>
      </c>
      <c r="I4078" s="161">
        <v>48</v>
      </c>
    </row>
    <row r="4079" spans="1:9">
      <c r="A4079" s="113">
        <v>101100196</v>
      </c>
      <c r="B4079" s="113" t="s">
        <v>6724</v>
      </c>
      <c r="C4079" s="113">
        <v>7031032</v>
      </c>
      <c r="D4079" s="113" t="s">
        <v>3093</v>
      </c>
      <c r="E4079" s="113" t="s">
        <v>1620</v>
      </c>
      <c r="F4079" s="113" t="s">
        <v>3093</v>
      </c>
      <c r="G4079" s="113" t="s">
        <v>3093</v>
      </c>
      <c r="H4079" s="161">
        <v>0</v>
      </c>
      <c r="I4079" s="161" t="s">
        <v>7138</v>
      </c>
    </row>
    <row r="4080" spans="1:9">
      <c r="A4080" s="113">
        <v>101100197</v>
      </c>
      <c r="B4080" s="113" t="s">
        <v>6725</v>
      </c>
      <c r="C4080" s="113">
        <v>7031034</v>
      </c>
      <c r="D4080" s="113" t="s">
        <v>3093</v>
      </c>
      <c r="E4080" s="113" t="s">
        <v>1620</v>
      </c>
      <c r="F4080" s="113" t="s">
        <v>3093</v>
      </c>
      <c r="G4080" s="113" t="s">
        <v>3093</v>
      </c>
      <c r="H4080" s="161">
        <v>0</v>
      </c>
      <c r="I4080" s="161" t="s">
        <v>7138</v>
      </c>
    </row>
    <row r="4081" spans="1:9">
      <c r="A4081" s="113">
        <v>101100198</v>
      </c>
      <c r="B4081" s="113" t="s">
        <v>6726</v>
      </c>
      <c r="C4081" s="113">
        <v>7032037</v>
      </c>
      <c r="D4081" s="113" t="s">
        <v>3093</v>
      </c>
      <c r="E4081" s="113" t="s">
        <v>1620</v>
      </c>
      <c r="F4081" s="113" t="s">
        <v>3093</v>
      </c>
      <c r="G4081" s="113" t="s">
        <v>3093</v>
      </c>
      <c r="H4081" s="161">
        <v>0</v>
      </c>
      <c r="I4081" s="161" t="s">
        <v>7138</v>
      </c>
    </row>
    <row r="4082" spans="1:9">
      <c r="A4082" s="113">
        <v>101100199</v>
      </c>
      <c r="B4082" s="113" t="s">
        <v>6727</v>
      </c>
      <c r="C4082" s="113">
        <v>7032038</v>
      </c>
      <c r="D4082" s="113" t="s">
        <v>3093</v>
      </c>
      <c r="E4082" s="113" t="s">
        <v>1620</v>
      </c>
      <c r="F4082" s="113" t="s">
        <v>3093</v>
      </c>
      <c r="G4082" s="113" t="s">
        <v>3093</v>
      </c>
      <c r="H4082" s="161">
        <v>0</v>
      </c>
      <c r="I4082" s="161" t="s">
        <v>7138</v>
      </c>
    </row>
    <row r="4083" spans="1:9">
      <c r="A4083" s="113">
        <v>101100200</v>
      </c>
      <c r="B4083" s="113" t="s">
        <v>6728</v>
      </c>
      <c r="C4083" s="113">
        <v>7032039</v>
      </c>
      <c r="D4083" s="113" t="s">
        <v>3093</v>
      </c>
      <c r="E4083" s="113" t="s">
        <v>1620</v>
      </c>
      <c r="F4083" s="113" t="s">
        <v>3093</v>
      </c>
      <c r="G4083" s="113" t="s">
        <v>3093</v>
      </c>
      <c r="H4083" s="161">
        <v>0</v>
      </c>
      <c r="I4083" s="161" t="s">
        <v>7138</v>
      </c>
    </row>
    <row r="4084" spans="1:9">
      <c r="A4084" s="113">
        <v>101100201</v>
      </c>
      <c r="B4084" s="113" t="s">
        <v>6729</v>
      </c>
      <c r="C4084" s="113">
        <v>7032041</v>
      </c>
      <c r="D4084" s="113" t="s">
        <v>3093</v>
      </c>
      <c r="E4084" s="113" t="s">
        <v>1620</v>
      </c>
      <c r="F4084" s="113" t="s">
        <v>3093</v>
      </c>
      <c r="G4084" s="113" t="s">
        <v>3093</v>
      </c>
      <c r="H4084" s="161">
        <v>0</v>
      </c>
      <c r="I4084" s="161" t="s">
        <v>7138</v>
      </c>
    </row>
    <row r="4085" spans="1:9">
      <c r="A4085" s="113">
        <v>101100202</v>
      </c>
      <c r="B4085" s="113" t="s">
        <v>6730</v>
      </c>
      <c r="C4085" s="113">
        <v>7033028</v>
      </c>
      <c r="D4085" s="113" t="s">
        <v>3093</v>
      </c>
      <c r="E4085" s="113" t="s">
        <v>99</v>
      </c>
      <c r="F4085" s="113" t="s">
        <v>3093</v>
      </c>
      <c r="G4085" s="113" t="s">
        <v>3093</v>
      </c>
      <c r="H4085" s="161">
        <v>0.37</v>
      </c>
      <c r="I4085" s="161">
        <v>0</v>
      </c>
    </row>
    <row r="4086" spans="1:9">
      <c r="A4086" s="113">
        <v>101100203</v>
      </c>
      <c r="B4086" s="113" t="s">
        <v>6731</v>
      </c>
      <c r="C4086" s="113">
        <v>7033029</v>
      </c>
      <c r="D4086" s="113" t="s">
        <v>3093</v>
      </c>
      <c r="E4086" s="113" t="s">
        <v>99</v>
      </c>
      <c r="F4086" s="113" t="s">
        <v>3093</v>
      </c>
      <c r="G4086" s="115" t="s">
        <v>3093</v>
      </c>
      <c r="H4086" s="161">
        <v>0.37</v>
      </c>
      <c r="I4086" s="161">
        <v>0</v>
      </c>
    </row>
    <row r="4087" spans="1:9">
      <c r="A4087" s="113">
        <v>101100204</v>
      </c>
      <c r="B4087" s="113" t="s">
        <v>6732</v>
      </c>
      <c r="C4087" s="113">
        <v>7033031</v>
      </c>
      <c r="D4087" s="113" t="s">
        <v>3093</v>
      </c>
      <c r="E4087" s="113" t="s">
        <v>1620</v>
      </c>
      <c r="F4087" s="113" t="s">
        <v>3093</v>
      </c>
      <c r="G4087" s="115" t="s">
        <v>3093</v>
      </c>
      <c r="H4087" s="161">
        <v>174.82</v>
      </c>
      <c r="I4087" s="161">
        <v>0</v>
      </c>
    </row>
    <row r="4088" spans="1:9">
      <c r="A4088" s="113">
        <v>101100205</v>
      </c>
      <c r="B4088" s="113" t="s">
        <v>6733</v>
      </c>
      <c r="C4088" s="113">
        <v>7033063</v>
      </c>
      <c r="D4088" s="113" t="s">
        <v>3093</v>
      </c>
      <c r="E4088" s="113" t="s">
        <v>1620</v>
      </c>
      <c r="F4088" s="113" t="s">
        <v>3093</v>
      </c>
      <c r="G4088" s="113" t="s">
        <v>3093</v>
      </c>
      <c r="H4088" s="161">
        <v>163.6</v>
      </c>
      <c r="I4088" s="161">
        <v>300</v>
      </c>
    </row>
    <row r="4089" spans="1:9">
      <c r="A4089" s="113">
        <v>101100206</v>
      </c>
      <c r="B4089" s="113" t="s">
        <v>6734</v>
      </c>
      <c r="C4089" s="113">
        <v>7033091</v>
      </c>
      <c r="D4089" s="113" t="s">
        <v>3093</v>
      </c>
      <c r="E4089" s="113" t="s">
        <v>1620</v>
      </c>
      <c r="F4089" s="113" t="s">
        <v>3093</v>
      </c>
      <c r="G4089" s="113" t="s">
        <v>3093</v>
      </c>
      <c r="H4089" s="161">
        <v>0</v>
      </c>
      <c r="I4089" s="161" t="s">
        <v>7138</v>
      </c>
    </row>
    <row r="4090" spans="1:9">
      <c r="A4090" s="113">
        <v>101100207</v>
      </c>
      <c r="B4090" s="113" t="s">
        <v>6735</v>
      </c>
      <c r="C4090" s="113">
        <v>7034055</v>
      </c>
      <c r="D4090" s="113" t="s">
        <v>3093</v>
      </c>
      <c r="E4090" s="113" t="s">
        <v>1620</v>
      </c>
      <c r="F4090" s="113" t="s">
        <v>3093</v>
      </c>
      <c r="G4090" s="115" t="s">
        <v>3093</v>
      </c>
      <c r="H4090" s="161">
        <v>215</v>
      </c>
      <c r="I4090" s="161">
        <v>0</v>
      </c>
    </row>
    <row r="4091" spans="1:9">
      <c r="A4091" s="113">
        <v>101100208</v>
      </c>
      <c r="B4091" s="113" t="s">
        <v>6736</v>
      </c>
      <c r="C4091" s="113">
        <v>7036039</v>
      </c>
      <c r="D4091" s="113" t="s">
        <v>3093</v>
      </c>
      <c r="E4091" s="113" t="s">
        <v>1620</v>
      </c>
      <c r="F4091" s="113" t="s">
        <v>3093</v>
      </c>
      <c r="G4091" s="113" t="s">
        <v>3093</v>
      </c>
      <c r="H4091" s="161">
        <v>828</v>
      </c>
      <c r="I4091" s="161">
        <v>6</v>
      </c>
    </row>
    <row r="4092" spans="1:9">
      <c r="A4092" s="113">
        <v>101100209</v>
      </c>
      <c r="B4092" s="113" t="s">
        <v>6737</v>
      </c>
      <c r="C4092" s="113">
        <v>7036042</v>
      </c>
      <c r="D4092" s="113" t="s">
        <v>3093</v>
      </c>
      <c r="E4092" s="113" t="s">
        <v>1620</v>
      </c>
      <c r="F4092" s="113" t="s">
        <v>3093</v>
      </c>
      <c r="G4092" s="113" t="s">
        <v>3093</v>
      </c>
      <c r="H4092" s="161">
        <v>43.67</v>
      </c>
      <c r="I4092" s="161">
        <v>48</v>
      </c>
    </row>
    <row r="4093" spans="1:9">
      <c r="A4093" s="113">
        <v>101100210</v>
      </c>
      <c r="B4093" s="113" t="s">
        <v>6738</v>
      </c>
      <c r="C4093" s="113">
        <v>7036043</v>
      </c>
      <c r="D4093" s="113" t="s">
        <v>3093</v>
      </c>
      <c r="E4093" s="113" t="s">
        <v>1620</v>
      </c>
      <c r="F4093" s="113" t="s">
        <v>3093</v>
      </c>
      <c r="G4093" s="115" t="s">
        <v>3093</v>
      </c>
      <c r="H4093" s="161">
        <v>43.67</v>
      </c>
      <c r="I4093" s="161">
        <v>48</v>
      </c>
    </row>
    <row r="4094" spans="1:9">
      <c r="A4094" s="113">
        <v>101100211</v>
      </c>
      <c r="B4094" s="113" t="s">
        <v>6739</v>
      </c>
      <c r="C4094" s="113">
        <v>7036044</v>
      </c>
      <c r="D4094" s="113" t="s">
        <v>3093</v>
      </c>
      <c r="E4094" s="113" t="s">
        <v>1620</v>
      </c>
      <c r="F4094" s="113" t="s">
        <v>3093</v>
      </c>
      <c r="G4094" s="115" t="s">
        <v>3093</v>
      </c>
      <c r="H4094" s="161">
        <v>178.54</v>
      </c>
      <c r="I4094" s="161">
        <v>0</v>
      </c>
    </row>
    <row r="4095" spans="1:9">
      <c r="A4095" s="113">
        <v>101100212</v>
      </c>
      <c r="B4095" s="113" t="s">
        <v>6740</v>
      </c>
      <c r="C4095" s="113">
        <v>7036108</v>
      </c>
      <c r="D4095" s="113" t="s">
        <v>3093</v>
      </c>
      <c r="E4095" s="113" t="s">
        <v>1620</v>
      </c>
      <c r="F4095" s="113" t="s">
        <v>3093</v>
      </c>
      <c r="G4095" s="113" t="s">
        <v>3093</v>
      </c>
      <c r="H4095" s="161">
        <v>0</v>
      </c>
      <c r="I4095" s="161" t="s">
        <v>7138</v>
      </c>
    </row>
    <row r="4096" spans="1:9">
      <c r="A4096" s="113">
        <v>101100213</v>
      </c>
      <c r="B4096" s="113" t="s">
        <v>6741</v>
      </c>
      <c r="C4096" s="113">
        <v>7036158</v>
      </c>
      <c r="D4096" s="113" t="s">
        <v>3093</v>
      </c>
      <c r="E4096" s="113" t="s">
        <v>1620</v>
      </c>
      <c r="F4096" s="113" t="s">
        <v>3093</v>
      </c>
      <c r="G4096" s="113" t="s">
        <v>3093</v>
      </c>
      <c r="H4096" s="161">
        <v>298.27999999999997</v>
      </c>
      <c r="I4096" s="161">
        <v>1</v>
      </c>
    </row>
    <row r="4097" spans="1:9">
      <c r="A4097" s="113">
        <v>101100214</v>
      </c>
      <c r="B4097" s="113" t="s">
        <v>6742</v>
      </c>
      <c r="C4097" s="113">
        <v>7036159</v>
      </c>
      <c r="D4097" s="113" t="s">
        <v>3093</v>
      </c>
      <c r="E4097" s="113" t="s">
        <v>1620</v>
      </c>
      <c r="F4097" s="113" t="s">
        <v>3093</v>
      </c>
      <c r="G4097" s="113" t="s">
        <v>3093</v>
      </c>
      <c r="H4097" s="161">
        <v>304.25</v>
      </c>
      <c r="I4097" s="161">
        <v>8</v>
      </c>
    </row>
    <row r="4098" spans="1:9">
      <c r="A4098" s="113">
        <v>101100215</v>
      </c>
      <c r="B4098" s="113" t="s">
        <v>6743</v>
      </c>
      <c r="C4098" s="113">
        <v>7036160</v>
      </c>
      <c r="D4098" s="113" t="s">
        <v>3093</v>
      </c>
      <c r="E4098" s="113" t="s">
        <v>1620</v>
      </c>
      <c r="F4098" s="113" t="s">
        <v>3093</v>
      </c>
      <c r="G4098" s="113" t="s">
        <v>3093</v>
      </c>
      <c r="H4098" s="161">
        <v>376.73</v>
      </c>
      <c r="I4098" s="161">
        <v>10</v>
      </c>
    </row>
    <row r="4099" spans="1:9">
      <c r="A4099" s="113">
        <v>101100216</v>
      </c>
      <c r="B4099" s="113" t="s">
        <v>6744</v>
      </c>
      <c r="C4099" s="113">
        <v>7036161</v>
      </c>
      <c r="D4099" s="113" t="s">
        <v>3093</v>
      </c>
      <c r="E4099" s="113" t="s">
        <v>1620</v>
      </c>
      <c r="F4099" s="113" t="s">
        <v>3093</v>
      </c>
      <c r="G4099" s="115" t="s">
        <v>3093</v>
      </c>
      <c r="H4099" s="161">
        <v>300.26</v>
      </c>
      <c r="I4099" s="161">
        <v>6</v>
      </c>
    </row>
    <row r="4100" spans="1:9">
      <c r="A4100" s="113">
        <v>101100217</v>
      </c>
      <c r="B4100" s="113" t="s">
        <v>6745</v>
      </c>
      <c r="C4100" s="113">
        <v>7036162</v>
      </c>
      <c r="D4100" s="113" t="s">
        <v>3093</v>
      </c>
      <c r="E4100" s="113" t="s">
        <v>1620</v>
      </c>
      <c r="F4100" s="113" t="s">
        <v>3093</v>
      </c>
      <c r="G4100" s="113" t="s">
        <v>3093</v>
      </c>
      <c r="H4100" s="161">
        <v>265</v>
      </c>
      <c r="I4100" s="161">
        <v>12</v>
      </c>
    </row>
    <row r="4101" spans="1:9">
      <c r="A4101" s="113">
        <v>101100218</v>
      </c>
      <c r="B4101" s="113" t="s">
        <v>6746</v>
      </c>
      <c r="C4101" s="113">
        <v>7036163</v>
      </c>
      <c r="D4101" s="113" t="s">
        <v>3093</v>
      </c>
      <c r="E4101" s="113" t="s">
        <v>1620</v>
      </c>
      <c r="F4101" s="113" t="s">
        <v>3093</v>
      </c>
      <c r="G4101" s="113" t="s">
        <v>3093</v>
      </c>
      <c r="H4101" s="161">
        <v>29.95</v>
      </c>
      <c r="I4101" s="161">
        <v>100</v>
      </c>
    </row>
    <row r="4102" spans="1:9">
      <c r="A4102" s="113">
        <v>101100219</v>
      </c>
      <c r="B4102" s="113" t="s">
        <v>6747</v>
      </c>
      <c r="C4102" s="113">
        <v>7037149</v>
      </c>
      <c r="D4102" s="113" t="s">
        <v>3093</v>
      </c>
      <c r="E4102" s="113" t="s">
        <v>1620</v>
      </c>
      <c r="F4102" s="113" t="s">
        <v>3093</v>
      </c>
      <c r="G4102" s="115" t="s">
        <v>3093</v>
      </c>
      <c r="H4102" s="161">
        <v>435.05</v>
      </c>
      <c r="I4102" s="161">
        <v>5</v>
      </c>
    </row>
    <row r="4103" spans="1:9">
      <c r="A4103" s="113">
        <v>101100220</v>
      </c>
      <c r="B4103" s="113" t="s">
        <v>6748</v>
      </c>
      <c r="C4103" s="113">
        <v>7038052</v>
      </c>
      <c r="D4103" s="113" t="s">
        <v>3093</v>
      </c>
      <c r="E4103" s="113" t="s">
        <v>1620</v>
      </c>
      <c r="F4103" s="113" t="s">
        <v>3093</v>
      </c>
      <c r="G4103" s="113" t="s">
        <v>3093</v>
      </c>
      <c r="H4103" s="161">
        <v>75</v>
      </c>
      <c r="I4103" s="161">
        <v>12</v>
      </c>
    </row>
    <row r="4104" spans="1:9">
      <c r="A4104" s="113">
        <v>101100221</v>
      </c>
      <c r="B4104" s="113" t="s">
        <v>6749</v>
      </c>
      <c r="C4104" s="113">
        <v>7038053</v>
      </c>
      <c r="D4104" s="113" t="s">
        <v>3093</v>
      </c>
      <c r="E4104" s="113" t="s">
        <v>1620</v>
      </c>
      <c r="F4104" s="113" t="s">
        <v>3093</v>
      </c>
      <c r="G4104" s="113" t="s">
        <v>3093</v>
      </c>
      <c r="H4104" s="161">
        <v>35</v>
      </c>
      <c r="I4104" s="161">
        <v>150</v>
      </c>
    </row>
    <row r="4105" spans="1:9">
      <c r="A4105" s="113">
        <v>101100222</v>
      </c>
      <c r="B4105" s="113" t="s">
        <v>6750</v>
      </c>
      <c r="C4105" s="113">
        <v>7041055</v>
      </c>
      <c r="D4105" s="113" t="s">
        <v>3093</v>
      </c>
      <c r="E4105" s="113" t="s">
        <v>1620</v>
      </c>
      <c r="F4105" s="113" t="s">
        <v>3093</v>
      </c>
      <c r="G4105" s="113" t="s">
        <v>3093</v>
      </c>
      <c r="H4105" s="161">
        <v>6</v>
      </c>
      <c r="I4105" s="161">
        <v>40</v>
      </c>
    </row>
    <row r="4106" spans="1:9">
      <c r="A4106" s="113">
        <v>101100223</v>
      </c>
      <c r="B4106" s="113" t="s">
        <v>6751</v>
      </c>
      <c r="C4106" s="113">
        <v>7041066</v>
      </c>
      <c r="D4106" s="113" t="s">
        <v>3093</v>
      </c>
      <c r="E4106" s="113" t="s">
        <v>1620</v>
      </c>
      <c r="F4106" s="113" t="s">
        <v>3093</v>
      </c>
      <c r="G4106" s="115" t="s">
        <v>3093</v>
      </c>
      <c r="H4106" s="161">
        <v>0</v>
      </c>
      <c r="I4106" s="161" t="s">
        <v>7138</v>
      </c>
    </row>
    <row r="4107" spans="1:9">
      <c r="A4107" s="113">
        <v>101100224</v>
      </c>
      <c r="B4107" s="113" t="s">
        <v>6752</v>
      </c>
      <c r="C4107" s="113">
        <v>7042028</v>
      </c>
      <c r="D4107" s="113" t="s">
        <v>3093</v>
      </c>
      <c r="E4107" s="113" t="s">
        <v>1620</v>
      </c>
      <c r="F4107" s="113" t="s">
        <v>3093</v>
      </c>
      <c r="G4107" s="113" t="s">
        <v>3093</v>
      </c>
      <c r="H4107" s="161">
        <v>140</v>
      </c>
      <c r="I4107" s="161">
        <v>96</v>
      </c>
    </row>
    <row r="4108" spans="1:9">
      <c r="A4108" s="113">
        <v>101100225</v>
      </c>
      <c r="B4108" s="113" t="s">
        <v>6753</v>
      </c>
      <c r="C4108" s="113">
        <v>7042033</v>
      </c>
      <c r="D4108" s="113" t="s">
        <v>3093</v>
      </c>
      <c r="E4108" s="113" t="s">
        <v>1620</v>
      </c>
      <c r="F4108" s="113" t="s">
        <v>3093</v>
      </c>
      <c r="G4108" s="113" t="s">
        <v>3093</v>
      </c>
      <c r="H4108" s="161">
        <v>155</v>
      </c>
      <c r="I4108" s="161" t="s">
        <v>7138</v>
      </c>
    </row>
    <row r="4109" spans="1:9">
      <c r="A4109" s="113">
        <v>101100226</v>
      </c>
      <c r="B4109" s="113" t="s">
        <v>6754</v>
      </c>
      <c r="C4109" s="113">
        <v>7042034</v>
      </c>
      <c r="D4109" s="113" t="s">
        <v>3093</v>
      </c>
      <c r="E4109" s="113" t="s">
        <v>1620</v>
      </c>
      <c r="F4109" s="113" t="s">
        <v>3093</v>
      </c>
      <c r="G4109" s="115" t="s">
        <v>3093</v>
      </c>
      <c r="H4109" s="161">
        <v>575</v>
      </c>
      <c r="I4109" s="161">
        <v>2</v>
      </c>
    </row>
    <row r="4110" spans="1:9">
      <c r="A4110" s="113">
        <v>101100227</v>
      </c>
      <c r="B4110" s="113" t="s">
        <v>6755</v>
      </c>
      <c r="C4110" s="113">
        <v>7042043</v>
      </c>
      <c r="D4110" s="113" t="s">
        <v>3093</v>
      </c>
      <c r="E4110" s="113" t="s">
        <v>1620</v>
      </c>
      <c r="F4110" s="113" t="s">
        <v>3093</v>
      </c>
      <c r="G4110" s="115" t="s">
        <v>3093</v>
      </c>
      <c r="H4110" s="161">
        <v>349</v>
      </c>
      <c r="I4110" s="161">
        <v>10</v>
      </c>
    </row>
    <row r="4111" spans="1:9">
      <c r="A4111" s="113">
        <v>101100228</v>
      </c>
      <c r="B4111" s="113" t="s">
        <v>6756</v>
      </c>
      <c r="C4111" s="113">
        <v>7042045</v>
      </c>
      <c r="D4111" s="113" t="s">
        <v>3093</v>
      </c>
      <c r="E4111" s="113" t="s">
        <v>1620</v>
      </c>
      <c r="F4111" s="113" t="s">
        <v>3093</v>
      </c>
      <c r="G4111" s="115" t="s">
        <v>3093</v>
      </c>
      <c r="H4111" s="161">
        <v>547</v>
      </c>
      <c r="I4111" s="161">
        <v>20</v>
      </c>
    </row>
    <row r="4112" spans="1:9">
      <c r="A4112" s="113">
        <v>101100229</v>
      </c>
      <c r="B4112" s="113" t="s">
        <v>6757</v>
      </c>
      <c r="C4112" s="113">
        <v>7042046</v>
      </c>
      <c r="D4112" s="113" t="s">
        <v>3093</v>
      </c>
      <c r="E4112" s="113" t="s">
        <v>1620</v>
      </c>
      <c r="F4112" s="113" t="s">
        <v>3093</v>
      </c>
      <c r="G4112" s="115" t="s">
        <v>3093</v>
      </c>
      <c r="H4112" s="161">
        <v>45</v>
      </c>
      <c r="I4112" s="161">
        <v>374</v>
      </c>
    </row>
    <row r="4113" spans="1:9">
      <c r="A4113" s="113">
        <v>101100230</v>
      </c>
      <c r="B4113" s="113" t="s">
        <v>6758</v>
      </c>
      <c r="C4113" s="113">
        <v>7042047</v>
      </c>
      <c r="D4113" s="113" t="s">
        <v>3093</v>
      </c>
      <c r="E4113" s="113" t="s">
        <v>1620</v>
      </c>
      <c r="F4113" s="113" t="s">
        <v>3093</v>
      </c>
      <c r="G4113" s="113" t="s">
        <v>3093</v>
      </c>
      <c r="H4113" s="161">
        <v>43</v>
      </c>
      <c r="I4113" s="161">
        <v>144</v>
      </c>
    </row>
    <row r="4114" spans="1:9">
      <c r="A4114" s="113">
        <v>101100231</v>
      </c>
      <c r="B4114" s="113" t="s">
        <v>6759</v>
      </c>
      <c r="C4114" s="113">
        <v>7042054</v>
      </c>
      <c r="D4114" s="113" t="s">
        <v>3093</v>
      </c>
      <c r="E4114" s="113" t="s">
        <v>1620</v>
      </c>
      <c r="F4114" s="113" t="s">
        <v>3093</v>
      </c>
      <c r="G4114" s="113" t="s">
        <v>3093</v>
      </c>
      <c r="H4114" s="161">
        <v>0</v>
      </c>
      <c r="I4114" s="161" t="s">
        <v>7138</v>
      </c>
    </row>
    <row r="4115" spans="1:9">
      <c r="A4115" s="113">
        <v>101100232</v>
      </c>
      <c r="B4115" s="113" t="s">
        <v>6760</v>
      </c>
      <c r="C4115" s="113">
        <v>7042055</v>
      </c>
      <c r="D4115" s="113" t="s">
        <v>3093</v>
      </c>
      <c r="E4115" s="113" t="s">
        <v>1620</v>
      </c>
      <c r="F4115" s="113" t="s">
        <v>3093</v>
      </c>
      <c r="G4115" s="115" t="s">
        <v>3093</v>
      </c>
      <c r="H4115" s="161">
        <v>60</v>
      </c>
      <c r="I4115" s="161">
        <v>60</v>
      </c>
    </row>
    <row r="4116" spans="1:9">
      <c r="A4116" s="113">
        <v>101100233</v>
      </c>
      <c r="B4116" s="113" t="s">
        <v>6761</v>
      </c>
      <c r="C4116" s="113">
        <v>7042056</v>
      </c>
      <c r="D4116" s="113" t="s">
        <v>3093</v>
      </c>
      <c r="E4116" s="113" t="s">
        <v>1620</v>
      </c>
      <c r="F4116" s="113" t="s">
        <v>3093</v>
      </c>
      <c r="G4116" s="113" t="s">
        <v>3093</v>
      </c>
      <c r="H4116" s="161">
        <v>35.75</v>
      </c>
      <c r="I4116" s="161">
        <v>12</v>
      </c>
    </row>
    <row r="4117" spans="1:9">
      <c r="A4117" s="113">
        <v>101100234</v>
      </c>
      <c r="B4117" s="113" t="s">
        <v>6762</v>
      </c>
      <c r="C4117" s="113">
        <v>7042057</v>
      </c>
      <c r="D4117" s="113" t="s">
        <v>3093</v>
      </c>
      <c r="E4117" s="113" t="s">
        <v>1620</v>
      </c>
      <c r="F4117" s="113" t="s">
        <v>3093</v>
      </c>
      <c r="G4117" s="113" t="s">
        <v>3093</v>
      </c>
      <c r="H4117" s="161">
        <v>140</v>
      </c>
      <c r="I4117" s="161">
        <v>12</v>
      </c>
    </row>
    <row r="4118" spans="1:9">
      <c r="A4118" s="113">
        <v>101100235</v>
      </c>
      <c r="B4118" s="113" t="s">
        <v>6763</v>
      </c>
      <c r="C4118" s="113">
        <v>7042058</v>
      </c>
      <c r="D4118" s="113" t="s">
        <v>3093</v>
      </c>
      <c r="E4118" s="113" t="s">
        <v>1620</v>
      </c>
      <c r="F4118" s="113" t="s">
        <v>3093</v>
      </c>
      <c r="G4118" s="115" t="s">
        <v>3093</v>
      </c>
      <c r="H4118" s="161">
        <v>45</v>
      </c>
      <c r="I4118" s="161">
        <v>120</v>
      </c>
    </row>
    <row r="4119" spans="1:9">
      <c r="A4119" s="113">
        <v>101100236</v>
      </c>
      <c r="B4119" s="113" t="s">
        <v>6764</v>
      </c>
      <c r="C4119" s="113">
        <v>7042059</v>
      </c>
      <c r="D4119" s="113" t="s">
        <v>3093</v>
      </c>
      <c r="E4119" s="113" t="s">
        <v>1620</v>
      </c>
      <c r="F4119" s="113" t="s">
        <v>3093</v>
      </c>
      <c r="G4119" s="113" t="s">
        <v>3093</v>
      </c>
      <c r="H4119" s="161">
        <v>57</v>
      </c>
      <c r="I4119" s="161">
        <v>120</v>
      </c>
    </row>
    <row r="4120" spans="1:9">
      <c r="A4120" s="113">
        <v>101100237</v>
      </c>
      <c r="B4120" s="113" t="s">
        <v>6765</v>
      </c>
      <c r="C4120" s="113">
        <v>7042060</v>
      </c>
      <c r="D4120" s="113" t="s">
        <v>3093</v>
      </c>
      <c r="E4120" s="113" t="s">
        <v>1620</v>
      </c>
      <c r="F4120" s="113" t="s">
        <v>3093</v>
      </c>
      <c r="G4120" s="115" t="s">
        <v>3093</v>
      </c>
      <c r="H4120" s="161">
        <v>145</v>
      </c>
      <c r="I4120" s="161">
        <v>14</v>
      </c>
    </row>
    <row r="4121" spans="1:9">
      <c r="A4121" s="113">
        <v>101100238</v>
      </c>
      <c r="B4121" s="113" t="s">
        <v>6766</v>
      </c>
      <c r="C4121" s="113">
        <v>7042071</v>
      </c>
      <c r="D4121" s="113" t="s">
        <v>3093</v>
      </c>
      <c r="E4121" s="113" t="s">
        <v>1620</v>
      </c>
      <c r="F4121" s="113" t="s">
        <v>3093</v>
      </c>
      <c r="G4121" s="115" t="s">
        <v>3093</v>
      </c>
      <c r="H4121" s="161">
        <v>165</v>
      </c>
      <c r="I4121" s="161">
        <v>65</v>
      </c>
    </row>
    <row r="4122" spans="1:9">
      <c r="A4122" s="113">
        <v>101100239</v>
      </c>
      <c r="B4122" s="113" t="s">
        <v>6767</v>
      </c>
      <c r="C4122" s="113">
        <v>7042072</v>
      </c>
      <c r="D4122" s="113" t="s">
        <v>3093</v>
      </c>
      <c r="E4122" s="113" t="s">
        <v>1620</v>
      </c>
      <c r="F4122" s="113" t="s">
        <v>3093</v>
      </c>
      <c r="G4122" s="115" t="s">
        <v>3093</v>
      </c>
      <c r="H4122" s="161">
        <v>145</v>
      </c>
      <c r="I4122" s="161">
        <v>40</v>
      </c>
    </row>
    <row r="4123" spans="1:9">
      <c r="A4123" s="113">
        <v>101100240</v>
      </c>
      <c r="B4123" s="113" t="s">
        <v>6768</v>
      </c>
      <c r="C4123" s="113">
        <v>7042074</v>
      </c>
      <c r="D4123" s="113" t="s">
        <v>3093</v>
      </c>
      <c r="E4123" s="113" t="s">
        <v>1620</v>
      </c>
      <c r="F4123" s="113" t="s">
        <v>3093</v>
      </c>
      <c r="G4123" s="115" t="s">
        <v>3093</v>
      </c>
      <c r="H4123" s="161">
        <v>280</v>
      </c>
      <c r="I4123" s="161">
        <v>25</v>
      </c>
    </row>
    <row r="4124" spans="1:9">
      <c r="A4124" s="113">
        <v>101100241</v>
      </c>
      <c r="B4124" s="113" t="s">
        <v>6769</v>
      </c>
      <c r="C4124" s="113">
        <v>7042075</v>
      </c>
      <c r="D4124" s="113" t="s">
        <v>3093</v>
      </c>
      <c r="E4124" s="113" t="s">
        <v>1620</v>
      </c>
      <c r="F4124" s="113" t="s">
        <v>3093</v>
      </c>
      <c r="G4124" s="115" t="s">
        <v>3093</v>
      </c>
      <c r="H4124" s="161">
        <v>280</v>
      </c>
      <c r="I4124" s="161">
        <v>0</v>
      </c>
    </row>
    <row r="4125" spans="1:9">
      <c r="A4125" s="113">
        <v>101100242</v>
      </c>
      <c r="B4125" s="113" t="s">
        <v>6770</v>
      </c>
      <c r="C4125" s="113">
        <v>7042076</v>
      </c>
      <c r="D4125" s="113" t="s">
        <v>3093</v>
      </c>
      <c r="E4125" s="113" t="s">
        <v>1620</v>
      </c>
      <c r="F4125" s="113" t="s">
        <v>3093</v>
      </c>
      <c r="G4125" s="115" t="s">
        <v>3093</v>
      </c>
      <c r="H4125" s="161">
        <v>620.5</v>
      </c>
      <c r="I4125" s="161">
        <v>24</v>
      </c>
    </row>
    <row r="4126" spans="1:9">
      <c r="A4126" s="113">
        <v>101100243</v>
      </c>
      <c r="B4126" s="113" t="s">
        <v>3064</v>
      </c>
      <c r="C4126" s="113">
        <v>7042077</v>
      </c>
      <c r="D4126" s="113" t="s">
        <v>3093</v>
      </c>
      <c r="E4126" s="113" t="s">
        <v>1620</v>
      </c>
      <c r="F4126" s="113" t="s">
        <v>3093</v>
      </c>
      <c r="G4126" s="115" t="s">
        <v>3093</v>
      </c>
      <c r="H4126" s="161">
        <v>0.73</v>
      </c>
      <c r="I4126" s="161">
        <v>0</v>
      </c>
    </row>
    <row r="4127" spans="1:9">
      <c r="A4127" s="113">
        <v>101100244</v>
      </c>
      <c r="B4127" s="113" t="s">
        <v>3065</v>
      </c>
      <c r="C4127" s="113">
        <v>7042078</v>
      </c>
      <c r="D4127" s="113" t="s">
        <v>3093</v>
      </c>
      <c r="E4127" s="113" t="s">
        <v>1620</v>
      </c>
      <c r="F4127" s="113" t="s">
        <v>3093</v>
      </c>
      <c r="G4127" s="115" t="s">
        <v>3093</v>
      </c>
      <c r="H4127" s="161">
        <v>0.73</v>
      </c>
      <c r="I4127" s="161">
        <v>0</v>
      </c>
    </row>
    <row r="4128" spans="1:9">
      <c r="A4128" s="113">
        <v>101100245</v>
      </c>
      <c r="B4128" s="113" t="s">
        <v>6771</v>
      </c>
      <c r="C4128" s="113">
        <v>7042085</v>
      </c>
      <c r="D4128" s="113" t="s">
        <v>3093</v>
      </c>
      <c r="E4128" s="113" t="s">
        <v>1620</v>
      </c>
      <c r="F4128" s="113" t="s">
        <v>3093</v>
      </c>
      <c r="G4128" s="115" t="s">
        <v>3093</v>
      </c>
      <c r="H4128" s="161">
        <v>0</v>
      </c>
      <c r="I4128" s="161" t="s">
        <v>7138</v>
      </c>
    </row>
    <row r="4129" spans="1:9">
      <c r="A4129" s="113">
        <v>101100246</v>
      </c>
      <c r="B4129" s="113" t="s">
        <v>6772</v>
      </c>
      <c r="C4129" s="113">
        <v>7042086</v>
      </c>
      <c r="D4129" s="113" t="s">
        <v>3093</v>
      </c>
      <c r="E4129" s="113" t="s">
        <v>1620</v>
      </c>
      <c r="F4129" s="113" t="s">
        <v>3093</v>
      </c>
      <c r="G4129" s="115" t="s">
        <v>3093</v>
      </c>
      <c r="H4129" s="161">
        <v>425</v>
      </c>
      <c r="I4129" s="161">
        <v>8</v>
      </c>
    </row>
    <row r="4130" spans="1:9">
      <c r="A4130" s="113">
        <v>101100247</v>
      </c>
      <c r="B4130" s="113" t="s">
        <v>6773</v>
      </c>
      <c r="C4130" s="113">
        <v>7042087</v>
      </c>
      <c r="D4130" s="113" t="s">
        <v>3093</v>
      </c>
      <c r="E4130" s="113" t="s">
        <v>1620</v>
      </c>
      <c r="F4130" s="113" t="s">
        <v>3093</v>
      </c>
      <c r="G4130" s="115" t="s">
        <v>3093</v>
      </c>
      <c r="H4130" s="161">
        <v>546.47</v>
      </c>
      <c r="I4130" s="161">
        <v>5</v>
      </c>
    </row>
    <row r="4131" spans="1:9">
      <c r="A4131" s="113">
        <v>101100248</v>
      </c>
      <c r="B4131" s="113" t="s">
        <v>6774</v>
      </c>
      <c r="C4131" s="113">
        <v>7042088</v>
      </c>
      <c r="D4131" s="113" t="s">
        <v>3093</v>
      </c>
      <c r="E4131" s="113" t="s">
        <v>1620</v>
      </c>
      <c r="F4131" s="113" t="s">
        <v>3093</v>
      </c>
      <c r="G4131" s="113" t="s">
        <v>3093</v>
      </c>
      <c r="H4131" s="161">
        <v>580</v>
      </c>
      <c r="I4131" s="161">
        <v>0</v>
      </c>
    </row>
    <row r="4132" spans="1:9">
      <c r="A4132" s="113">
        <v>101100249</v>
      </c>
      <c r="B4132" s="113" t="s">
        <v>6775</v>
      </c>
      <c r="C4132" s="113">
        <v>7042090</v>
      </c>
      <c r="D4132" s="113" t="s">
        <v>3093</v>
      </c>
      <c r="E4132" s="113" t="s">
        <v>1620</v>
      </c>
      <c r="F4132" s="113" t="s">
        <v>3093</v>
      </c>
      <c r="G4132" s="115" t="s">
        <v>3093</v>
      </c>
      <c r="H4132" s="161">
        <v>390.16</v>
      </c>
      <c r="I4132" s="161">
        <v>12</v>
      </c>
    </row>
    <row r="4133" spans="1:9">
      <c r="A4133" s="113">
        <v>101100250</v>
      </c>
      <c r="B4133" s="113" t="s">
        <v>6776</v>
      </c>
      <c r="C4133" s="113">
        <v>7054088</v>
      </c>
      <c r="D4133" s="113" t="s">
        <v>3093</v>
      </c>
      <c r="E4133" s="113" t="s">
        <v>1620</v>
      </c>
      <c r="F4133" s="113" t="s">
        <v>3093</v>
      </c>
      <c r="G4133" s="115" t="s">
        <v>3093</v>
      </c>
      <c r="H4133" s="161">
        <v>24.35</v>
      </c>
      <c r="I4133" s="161">
        <v>10</v>
      </c>
    </row>
    <row r="4134" spans="1:9">
      <c r="A4134" s="113">
        <v>101100251</v>
      </c>
      <c r="B4134" s="113" t="s">
        <v>6777</v>
      </c>
      <c r="C4134" s="113">
        <v>7054125</v>
      </c>
      <c r="D4134" s="113" t="s">
        <v>3093</v>
      </c>
      <c r="E4134" s="113" t="s">
        <v>1620</v>
      </c>
      <c r="F4134" s="113" t="s">
        <v>3093</v>
      </c>
      <c r="G4134" s="113" t="s">
        <v>3093</v>
      </c>
      <c r="H4134" s="161">
        <v>0</v>
      </c>
      <c r="I4134" s="161" t="s">
        <v>7138</v>
      </c>
    </row>
    <row r="4135" spans="1:9">
      <c r="A4135" s="113">
        <v>101100252</v>
      </c>
      <c r="B4135" s="113" t="s">
        <v>6778</v>
      </c>
      <c r="C4135" s="113">
        <v>7054126</v>
      </c>
      <c r="D4135" s="113" t="s">
        <v>3093</v>
      </c>
      <c r="E4135" s="113" t="s">
        <v>1620</v>
      </c>
      <c r="F4135" s="113" t="s">
        <v>3093</v>
      </c>
      <c r="G4135" s="113" t="s">
        <v>3093</v>
      </c>
      <c r="H4135" s="161">
        <v>0</v>
      </c>
      <c r="I4135" s="161" t="s">
        <v>7138</v>
      </c>
    </row>
    <row r="4136" spans="1:9">
      <c r="A4136" s="113">
        <v>101100253</v>
      </c>
      <c r="B4136" s="113" t="s">
        <v>6779</v>
      </c>
      <c r="C4136" s="113">
        <v>7054127</v>
      </c>
      <c r="D4136" s="113" t="s">
        <v>3093</v>
      </c>
      <c r="E4136" s="113" t="s">
        <v>1620</v>
      </c>
      <c r="F4136" s="113" t="s">
        <v>3093</v>
      </c>
      <c r="G4136" s="115" t="s">
        <v>3093</v>
      </c>
      <c r="H4136" s="161">
        <v>0</v>
      </c>
      <c r="I4136" s="161" t="s">
        <v>7138</v>
      </c>
    </row>
    <row r="4137" spans="1:9">
      <c r="A4137" s="113">
        <v>101100254</v>
      </c>
      <c r="B4137" s="113" t="s">
        <v>6780</v>
      </c>
      <c r="C4137" s="113">
        <v>7054128</v>
      </c>
      <c r="D4137" s="113" t="s">
        <v>3093</v>
      </c>
      <c r="E4137" s="113" t="s">
        <v>1620</v>
      </c>
      <c r="F4137" s="113" t="s">
        <v>3093</v>
      </c>
      <c r="G4137" s="115" t="s">
        <v>3093</v>
      </c>
      <c r="H4137" s="161">
        <v>0</v>
      </c>
      <c r="I4137" s="161" t="s">
        <v>7138</v>
      </c>
    </row>
    <row r="4138" spans="1:9">
      <c r="A4138" s="113">
        <v>101100255</v>
      </c>
      <c r="B4138" s="113" t="s">
        <v>6781</v>
      </c>
      <c r="C4138" s="113">
        <v>7054129</v>
      </c>
      <c r="D4138" s="113" t="s">
        <v>3093</v>
      </c>
      <c r="E4138" s="113" t="s">
        <v>1620</v>
      </c>
      <c r="F4138" s="113" t="s">
        <v>3093</v>
      </c>
      <c r="G4138" s="113" t="s">
        <v>3093</v>
      </c>
      <c r="H4138" s="161">
        <v>0</v>
      </c>
      <c r="I4138" s="161" t="s">
        <v>7138</v>
      </c>
    </row>
    <row r="4139" spans="1:9">
      <c r="A4139" s="113">
        <v>101100256</v>
      </c>
      <c r="B4139" s="113" t="s">
        <v>6782</v>
      </c>
      <c r="C4139" s="113">
        <v>7054130</v>
      </c>
      <c r="D4139" s="113" t="s">
        <v>3093</v>
      </c>
      <c r="E4139" s="113" t="s">
        <v>1620</v>
      </c>
      <c r="F4139" s="113" t="s">
        <v>3093</v>
      </c>
      <c r="G4139" s="113" t="s">
        <v>3093</v>
      </c>
      <c r="H4139" s="161">
        <v>55</v>
      </c>
      <c r="I4139" s="161">
        <v>10</v>
      </c>
    </row>
    <row r="4140" spans="1:9">
      <c r="A4140" s="113">
        <v>101100257</v>
      </c>
      <c r="B4140" s="113" t="s">
        <v>6783</v>
      </c>
      <c r="C4140" s="113">
        <v>7054131</v>
      </c>
      <c r="D4140" s="113" t="s">
        <v>3093</v>
      </c>
      <c r="E4140" s="113" t="s">
        <v>1620</v>
      </c>
      <c r="F4140" s="113" t="s">
        <v>3093</v>
      </c>
      <c r="G4140" s="115" t="s">
        <v>3093</v>
      </c>
      <c r="H4140" s="161">
        <v>55</v>
      </c>
      <c r="I4140" s="161">
        <v>8</v>
      </c>
    </row>
    <row r="4141" spans="1:9">
      <c r="A4141" s="113">
        <v>101100258</v>
      </c>
      <c r="B4141" s="113" t="s">
        <v>6784</v>
      </c>
      <c r="C4141" s="113">
        <v>7054132</v>
      </c>
      <c r="D4141" s="113" t="s">
        <v>3093</v>
      </c>
      <c r="E4141" s="113" t="s">
        <v>1620</v>
      </c>
      <c r="F4141" s="113" t="s">
        <v>3093</v>
      </c>
      <c r="G4141" s="115" t="s">
        <v>3093</v>
      </c>
      <c r="H4141" s="161">
        <v>55</v>
      </c>
      <c r="I4141" s="161">
        <v>16</v>
      </c>
    </row>
    <row r="4142" spans="1:9">
      <c r="A4142" s="113">
        <v>101100259</v>
      </c>
      <c r="B4142" s="113" t="s">
        <v>6785</v>
      </c>
      <c r="C4142" s="113">
        <v>7071128</v>
      </c>
      <c r="D4142" s="113" t="s">
        <v>3093</v>
      </c>
      <c r="E4142" s="113" t="s">
        <v>1620</v>
      </c>
      <c r="F4142" s="113" t="s">
        <v>3093</v>
      </c>
      <c r="G4142" s="113" t="s">
        <v>3093</v>
      </c>
      <c r="H4142" s="161">
        <v>22</v>
      </c>
      <c r="I4142" s="161">
        <v>100</v>
      </c>
    </row>
    <row r="4143" spans="1:9">
      <c r="A4143" s="113">
        <v>101100260</v>
      </c>
      <c r="B4143" s="113" t="s">
        <v>6786</v>
      </c>
      <c r="C4143" s="113">
        <v>7072029</v>
      </c>
      <c r="D4143" s="113" t="s">
        <v>3093</v>
      </c>
      <c r="E4143" s="113" t="s">
        <v>1620</v>
      </c>
      <c r="F4143" s="113" t="s">
        <v>3093</v>
      </c>
      <c r="G4143" s="113" t="s">
        <v>3093</v>
      </c>
      <c r="H4143" s="161">
        <v>82</v>
      </c>
      <c r="I4143" s="161">
        <v>40</v>
      </c>
    </row>
    <row r="4144" spans="1:9">
      <c r="A4144" s="113">
        <v>101100261</v>
      </c>
      <c r="B4144" s="113" t="s">
        <v>6787</v>
      </c>
      <c r="C4144" s="113">
        <v>7072039</v>
      </c>
      <c r="D4144" s="113" t="s">
        <v>3093</v>
      </c>
      <c r="E4144" s="113" t="s">
        <v>1620</v>
      </c>
      <c r="F4144" s="113" t="s">
        <v>3093</v>
      </c>
      <c r="G4144" s="113" t="s">
        <v>3093</v>
      </c>
      <c r="H4144" s="161">
        <v>0</v>
      </c>
      <c r="I4144" s="161" t="s">
        <v>7138</v>
      </c>
    </row>
    <row r="4145" spans="1:9">
      <c r="A4145" s="113">
        <v>101100262</v>
      </c>
      <c r="B4145" s="113" t="s">
        <v>6788</v>
      </c>
      <c r="C4145" s="113">
        <v>7072050</v>
      </c>
      <c r="D4145" s="113" t="s">
        <v>3093</v>
      </c>
      <c r="E4145" s="113" t="s">
        <v>1620</v>
      </c>
      <c r="F4145" s="113" t="s">
        <v>3093</v>
      </c>
      <c r="G4145" s="113" t="s">
        <v>3093</v>
      </c>
      <c r="H4145" s="161">
        <v>244.08</v>
      </c>
      <c r="I4145" s="161">
        <v>30</v>
      </c>
    </row>
    <row r="4146" spans="1:9">
      <c r="A4146" s="113">
        <v>101100263</v>
      </c>
      <c r="B4146" s="113" t="s">
        <v>6789</v>
      </c>
      <c r="C4146" s="113">
        <v>7072051</v>
      </c>
      <c r="D4146" s="113" t="s">
        <v>3093</v>
      </c>
      <c r="E4146" s="113" t="s">
        <v>1620</v>
      </c>
      <c r="F4146" s="113" t="s">
        <v>3093</v>
      </c>
      <c r="G4146" s="113" t="s">
        <v>3093</v>
      </c>
      <c r="H4146" s="161">
        <v>0</v>
      </c>
      <c r="I4146" s="161" t="s">
        <v>7138</v>
      </c>
    </row>
    <row r="4147" spans="1:9">
      <c r="A4147" s="113">
        <v>101100264</v>
      </c>
      <c r="B4147" s="113" t="s">
        <v>6790</v>
      </c>
      <c r="C4147" s="113">
        <v>7072052</v>
      </c>
      <c r="D4147" s="113" t="s">
        <v>3093</v>
      </c>
      <c r="E4147" s="113" t="s">
        <v>1620</v>
      </c>
      <c r="F4147" s="113" t="s">
        <v>3093</v>
      </c>
      <c r="G4147" s="115" t="s">
        <v>3093</v>
      </c>
      <c r="H4147" s="161">
        <v>7800</v>
      </c>
      <c r="I4147" s="161">
        <v>10</v>
      </c>
    </row>
    <row r="4148" spans="1:9">
      <c r="A4148" s="113">
        <v>101100265</v>
      </c>
      <c r="B4148" s="113" t="s">
        <v>6791</v>
      </c>
      <c r="C4148" s="113">
        <v>7072053</v>
      </c>
      <c r="D4148" s="113" t="s">
        <v>3093</v>
      </c>
      <c r="E4148" s="113" t="s">
        <v>1620</v>
      </c>
      <c r="F4148" s="113" t="s">
        <v>3093</v>
      </c>
      <c r="G4148" s="115" t="s">
        <v>3093</v>
      </c>
      <c r="H4148" s="161">
        <v>6830.38</v>
      </c>
      <c r="I4148" s="161">
        <v>5</v>
      </c>
    </row>
    <row r="4149" spans="1:9">
      <c r="A4149" s="113">
        <v>101100266</v>
      </c>
      <c r="B4149" s="113" t="s">
        <v>6792</v>
      </c>
      <c r="C4149" s="113">
        <v>7072070</v>
      </c>
      <c r="D4149" s="113" t="s">
        <v>3093</v>
      </c>
      <c r="E4149" s="113" t="s">
        <v>1620</v>
      </c>
      <c r="F4149" s="113" t="s">
        <v>3093</v>
      </c>
      <c r="G4149" s="115" t="s">
        <v>3093</v>
      </c>
      <c r="H4149" s="161">
        <v>1228.07</v>
      </c>
      <c r="I4149" s="161">
        <v>50</v>
      </c>
    </row>
    <row r="4150" spans="1:9">
      <c r="A4150" s="113">
        <v>101100267</v>
      </c>
      <c r="B4150" s="113" t="s">
        <v>6793</v>
      </c>
      <c r="C4150" s="113">
        <v>7072076</v>
      </c>
      <c r="D4150" s="113" t="s">
        <v>3093</v>
      </c>
      <c r="E4150" s="113" t="s">
        <v>1620</v>
      </c>
      <c r="F4150" s="113" t="s">
        <v>3093</v>
      </c>
      <c r="G4150" s="113" t="s">
        <v>3093</v>
      </c>
      <c r="H4150" s="161">
        <v>347.94</v>
      </c>
      <c r="I4150" s="161">
        <v>10</v>
      </c>
    </row>
    <row r="4151" spans="1:9">
      <c r="A4151" s="113">
        <v>101100268</v>
      </c>
      <c r="B4151" s="113" t="s">
        <v>6794</v>
      </c>
      <c r="C4151" s="113">
        <v>7072077</v>
      </c>
      <c r="D4151" s="113" t="s">
        <v>3093</v>
      </c>
      <c r="E4151" s="113" t="s">
        <v>1620</v>
      </c>
      <c r="F4151" s="113" t="s">
        <v>3093</v>
      </c>
      <c r="G4151" s="113" t="s">
        <v>3093</v>
      </c>
      <c r="H4151" s="161">
        <v>270.89999999999998</v>
      </c>
      <c r="I4151" s="161">
        <v>10</v>
      </c>
    </row>
    <row r="4152" spans="1:9">
      <c r="A4152" s="113">
        <v>101100269</v>
      </c>
      <c r="B4152" s="113" t="s">
        <v>6795</v>
      </c>
      <c r="C4152" s="113">
        <v>7072078</v>
      </c>
      <c r="D4152" s="113" t="s">
        <v>3093</v>
      </c>
      <c r="E4152" s="113" t="s">
        <v>1620</v>
      </c>
      <c r="F4152" s="113" t="s">
        <v>3093</v>
      </c>
      <c r="G4152" s="113" t="s">
        <v>3093</v>
      </c>
      <c r="H4152" s="161">
        <v>0</v>
      </c>
      <c r="I4152" s="161" t="s">
        <v>7138</v>
      </c>
    </row>
    <row r="4153" spans="1:9">
      <c r="A4153" s="113">
        <v>101100270</v>
      </c>
      <c r="B4153" s="113" t="s">
        <v>6796</v>
      </c>
      <c r="C4153" s="113">
        <v>7072082</v>
      </c>
      <c r="D4153" s="113" t="s">
        <v>3093</v>
      </c>
      <c r="E4153" s="113" t="s">
        <v>1620</v>
      </c>
      <c r="F4153" s="113" t="s">
        <v>3093</v>
      </c>
      <c r="G4153" s="113" t="s">
        <v>3093</v>
      </c>
      <c r="H4153" s="161">
        <v>0</v>
      </c>
      <c r="I4153" s="161" t="s">
        <v>7138</v>
      </c>
    </row>
    <row r="4154" spans="1:9">
      <c r="A4154" s="113">
        <v>101100271</v>
      </c>
      <c r="B4154" s="113" t="s">
        <v>6797</v>
      </c>
      <c r="C4154" s="113">
        <v>7072086</v>
      </c>
      <c r="D4154" s="113" t="s">
        <v>3093</v>
      </c>
      <c r="E4154" s="113" t="s">
        <v>1620</v>
      </c>
      <c r="F4154" s="113" t="s">
        <v>3093</v>
      </c>
      <c r="G4154" s="115" t="s">
        <v>3093</v>
      </c>
      <c r="H4154" s="161">
        <v>0</v>
      </c>
      <c r="I4154" s="161" t="s">
        <v>7138</v>
      </c>
    </row>
    <row r="4155" spans="1:9">
      <c r="A4155" s="113">
        <v>101100272</v>
      </c>
      <c r="B4155" s="113" t="s">
        <v>6798</v>
      </c>
      <c r="C4155" s="113">
        <v>7072120</v>
      </c>
      <c r="D4155" s="113" t="s">
        <v>3093</v>
      </c>
      <c r="E4155" s="113" t="s">
        <v>1620</v>
      </c>
      <c r="F4155" s="113" t="s">
        <v>3093</v>
      </c>
      <c r="G4155" s="115" t="s">
        <v>3093</v>
      </c>
      <c r="H4155" s="161">
        <v>200</v>
      </c>
      <c r="I4155" s="161">
        <v>120</v>
      </c>
    </row>
    <row r="4156" spans="1:9">
      <c r="A4156" s="113">
        <v>101100273</v>
      </c>
      <c r="B4156" s="113" t="s">
        <v>6799</v>
      </c>
      <c r="C4156" s="113">
        <v>7080058</v>
      </c>
      <c r="D4156" s="113" t="s">
        <v>3093</v>
      </c>
      <c r="E4156" s="113" t="s">
        <v>1620</v>
      </c>
      <c r="F4156" s="113" t="s">
        <v>3093</v>
      </c>
      <c r="G4156" s="115" t="s">
        <v>3093</v>
      </c>
      <c r="H4156" s="161">
        <v>200</v>
      </c>
      <c r="I4156" s="161">
        <v>30</v>
      </c>
    </row>
    <row r="4157" spans="1:9">
      <c r="A4157" s="113">
        <v>101100274</v>
      </c>
      <c r="B4157" s="113" t="s">
        <v>6800</v>
      </c>
      <c r="C4157" s="113">
        <v>7080114</v>
      </c>
      <c r="D4157" s="113" t="s">
        <v>3093</v>
      </c>
      <c r="E4157" s="113" t="s">
        <v>1620</v>
      </c>
      <c r="F4157" s="113" t="s">
        <v>3093</v>
      </c>
      <c r="G4157" s="113" t="s">
        <v>3093</v>
      </c>
      <c r="H4157" s="161">
        <v>58.49</v>
      </c>
      <c r="I4157" s="161">
        <v>30</v>
      </c>
    </row>
    <row r="4158" spans="1:9">
      <c r="A4158" s="113">
        <v>101100275</v>
      </c>
      <c r="B4158" s="113" t="s">
        <v>6801</v>
      </c>
      <c r="C4158" s="113">
        <v>7080149</v>
      </c>
      <c r="D4158" s="113" t="s">
        <v>3093</v>
      </c>
      <c r="E4158" s="113" t="s">
        <v>1620</v>
      </c>
      <c r="F4158" s="113" t="s">
        <v>3093</v>
      </c>
      <c r="G4158" s="113" t="s">
        <v>3093</v>
      </c>
      <c r="H4158" s="161">
        <v>63.73</v>
      </c>
      <c r="I4158" s="161">
        <v>30</v>
      </c>
    </row>
    <row r="4159" spans="1:9">
      <c r="A4159" s="113">
        <v>101100276</v>
      </c>
      <c r="B4159" s="113" t="s">
        <v>3066</v>
      </c>
      <c r="C4159" s="113">
        <v>7080150</v>
      </c>
      <c r="D4159" s="113" t="s">
        <v>3093</v>
      </c>
      <c r="E4159" s="113" t="s">
        <v>1620</v>
      </c>
      <c r="F4159" s="113" t="s">
        <v>3093</v>
      </c>
      <c r="G4159" s="113" t="s">
        <v>3093</v>
      </c>
      <c r="H4159" s="161">
        <v>82.13</v>
      </c>
      <c r="I4159" s="161">
        <v>60</v>
      </c>
    </row>
    <row r="4160" spans="1:9">
      <c r="A4160" s="113">
        <v>101100277</v>
      </c>
      <c r="B4160" s="113" t="s">
        <v>3067</v>
      </c>
      <c r="C4160" s="113">
        <v>7080151</v>
      </c>
      <c r="D4160" s="113" t="s">
        <v>3093</v>
      </c>
      <c r="E4160" s="113" t="s">
        <v>1620</v>
      </c>
      <c r="F4160" s="113" t="s">
        <v>3093</v>
      </c>
      <c r="G4160" s="113" t="s">
        <v>3093</v>
      </c>
      <c r="H4160" s="161">
        <v>63.73</v>
      </c>
      <c r="I4160" s="161">
        <v>40</v>
      </c>
    </row>
    <row r="4161" spans="1:9">
      <c r="A4161" s="113">
        <v>101100278</v>
      </c>
      <c r="B4161" s="113" t="s">
        <v>6802</v>
      </c>
      <c r="C4161" s="113">
        <v>7080153</v>
      </c>
      <c r="D4161" s="113" t="s">
        <v>3093</v>
      </c>
      <c r="E4161" s="113" t="s">
        <v>1620</v>
      </c>
      <c r="F4161" s="113" t="s">
        <v>3093</v>
      </c>
      <c r="G4161" s="113" t="s">
        <v>3093</v>
      </c>
      <c r="H4161" s="161">
        <v>55</v>
      </c>
      <c r="I4161" s="161">
        <v>12</v>
      </c>
    </row>
    <row r="4162" spans="1:9">
      <c r="A4162" s="113">
        <v>101100279</v>
      </c>
      <c r="B4162" s="113" t="s">
        <v>6803</v>
      </c>
      <c r="C4162" s="113">
        <v>7080154</v>
      </c>
      <c r="D4162" s="113" t="s">
        <v>3093</v>
      </c>
      <c r="E4162" s="113" t="s">
        <v>1620</v>
      </c>
      <c r="F4162" s="113" t="s">
        <v>3093</v>
      </c>
      <c r="G4162" s="115" t="s">
        <v>3093</v>
      </c>
      <c r="H4162" s="161">
        <v>107</v>
      </c>
      <c r="I4162" s="161">
        <v>20</v>
      </c>
    </row>
    <row r="4163" spans="1:9">
      <c r="A4163" s="113">
        <v>101100280</v>
      </c>
      <c r="B4163" s="113" t="s">
        <v>6804</v>
      </c>
      <c r="C4163" s="113">
        <v>7080155</v>
      </c>
      <c r="D4163" s="113" t="s">
        <v>3093</v>
      </c>
      <c r="E4163" s="113" t="s">
        <v>1620</v>
      </c>
      <c r="F4163" s="113" t="s">
        <v>3093</v>
      </c>
      <c r="G4163" s="113" t="s">
        <v>3093</v>
      </c>
      <c r="H4163" s="161">
        <v>65</v>
      </c>
      <c r="I4163" s="161">
        <v>12</v>
      </c>
    </row>
    <row r="4164" spans="1:9">
      <c r="A4164" s="113">
        <v>101100281</v>
      </c>
      <c r="B4164" s="113" t="s">
        <v>6805</v>
      </c>
      <c r="C4164" s="113">
        <v>7080156</v>
      </c>
      <c r="D4164" s="113" t="s">
        <v>3093</v>
      </c>
      <c r="E4164" s="113" t="s">
        <v>1620</v>
      </c>
      <c r="F4164" s="113" t="s">
        <v>3093</v>
      </c>
      <c r="G4164" s="113" t="s">
        <v>3093</v>
      </c>
      <c r="H4164" s="161">
        <v>56.99</v>
      </c>
      <c r="I4164" s="161">
        <v>36</v>
      </c>
    </row>
    <row r="4165" spans="1:9">
      <c r="A4165" s="113">
        <v>101100282</v>
      </c>
      <c r="B4165" s="113" t="s">
        <v>6806</v>
      </c>
      <c r="C4165" s="113">
        <v>7080157</v>
      </c>
      <c r="D4165" s="113" t="s">
        <v>3093</v>
      </c>
      <c r="E4165" s="113" t="s">
        <v>1620</v>
      </c>
      <c r="F4165" s="113" t="s">
        <v>3093</v>
      </c>
      <c r="G4165" s="113" t="s">
        <v>3093</v>
      </c>
      <c r="H4165" s="161">
        <v>0</v>
      </c>
      <c r="I4165" s="161" t="s">
        <v>7138</v>
      </c>
    </row>
    <row r="4166" spans="1:9">
      <c r="A4166" s="113">
        <v>101100283</v>
      </c>
      <c r="B4166" s="113" t="s">
        <v>6807</v>
      </c>
      <c r="C4166" s="113">
        <v>7080161</v>
      </c>
      <c r="D4166" s="113" t="s">
        <v>3093</v>
      </c>
      <c r="E4166" s="113" t="s">
        <v>1620</v>
      </c>
      <c r="F4166" s="113" t="s">
        <v>3093</v>
      </c>
      <c r="G4166" s="113" t="s">
        <v>3093</v>
      </c>
      <c r="H4166" s="161">
        <v>59</v>
      </c>
      <c r="I4166" s="161">
        <v>250</v>
      </c>
    </row>
    <row r="4167" spans="1:9">
      <c r="A4167" s="113">
        <v>101100284</v>
      </c>
      <c r="B4167" s="113" t="s">
        <v>6808</v>
      </c>
      <c r="C4167" s="113">
        <v>7080162</v>
      </c>
      <c r="D4167" s="113" t="s">
        <v>3093</v>
      </c>
      <c r="E4167" s="113" t="s">
        <v>1620</v>
      </c>
      <c r="F4167" s="113" t="s">
        <v>3093</v>
      </c>
      <c r="G4167" s="113" t="s">
        <v>3093</v>
      </c>
      <c r="H4167" s="161">
        <v>138.63999999999999</v>
      </c>
      <c r="I4167" s="161">
        <v>60</v>
      </c>
    </row>
    <row r="4168" spans="1:9">
      <c r="A4168" s="113">
        <v>101100285</v>
      </c>
      <c r="B4168" s="113" t="s">
        <v>6809</v>
      </c>
      <c r="C4168" s="113">
        <v>7080163</v>
      </c>
      <c r="D4168" s="113" t="s">
        <v>3093</v>
      </c>
      <c r="E4168" s="113" t="s">
        <v>1620</v>
      </c>
      <c r="F4168" s="113" t="s">
        <v>3093</v>
      </c>
      <c r="G4168" s="113" t="s">
        <v>3093</v>
      </c>
      <c r="H4168" s="161">
        <v>79.040000000000006</v>
      </c>
      <c r="I4168" s="161">
        <v>20</v>
      </c>
    </row>
    <row r="4169" spans="1:9">
      <c r="A4169" s="113">
        <v>101100286</v>
      </c>
      <c r="B4169" s="113" t="s">
        <v>6810</v>
      </c>
      <c r="C4169" s="113">
        <v>7080164</v>
      </c>
      <c r="D4169" s="113" t="s">
        <v>3093</v>
      </c>
      <c r="E4169" s="113" t="s">
        <v>1620</v>
      </c>
      <c r="F4169" s="113" t="s">
        <v>3093</v>
      </c>
      <c r="G4169" s="115" t="s">
        <v>3093</v>
      </c>
      <c r="H4169" s="161">
        <v>86</v>
      </c>
      <c r="I4169" s="161">
        <v>20</v>
      </c>
    </row>
    <row r="4170" spans="1:9">
      <c r="A4170" s="113">
        <v>101100287</v>
      </c>
      <c r="B4170" s="113" t="s">
        <v>6811</v>
      </c>
      <c r="C4170" s="113">
        <v>7080165</v>
      </c>
      <c r="D4170" s="113" t="s">
        <v>3093</v>
      </c>
      <c r="E4170" s="113" t="s">
        <v>1620</v>
      </c>
      <c r="F4170" s="113" t="s">
        <v>3093</v>
      </c>
      <c r="G4170" s="115" t="s">
        <v>3093</v>
      </c>
      <c r="H4170" s="161">
        <v>65</v>
      </c>
      <c r="I4170" s="161">
        <v>48</v>
      </c>
    </row>
    <row r="4171" spans="1:9">
      <c r="A4171" s="113">
        <v>101100288</v>
      </c>
      <c r="B4171" s="113" t="s">
        <v>6812</v>
      </c>
      <c r="C4171" s="113">
        <v>7080166</v>
      </c>
      <c r="D4171" s="113" t="s">
        <v>3093</v>
      </c>
      <c r="E4171" s="113" t="s">
        <v>1620</v>
      </c>
      <c r="F4171" s="113" t="s">
        <v>3093</v>
      </c>
      <c r="G4171" s="113" t="s">
        <v>3093</v>
      </c>
      <c r="H4171" s="161">
        <v>99.82</v>
      </c>
      <c r="I4171" s="161">
        <v>20</v>
      </c>
    </row>
    <row r="4172" spans="1:9">
      <c r="A4172" s="113">
        <v>101100289</v>
      </c>
      <c r="B4172" s="113" t="s">
        <v>6813</v>
      </c>
      <c r="C4172" s="113">
        <v>7080167</v>
      </c>
      <c r="D4172" s="113" t="s">
        <v>3093</v>
      </c>
      <c r="E4172" s="113" t="s">
        <v>1620</v>
      </c>
      <c r="F4172" s="113" t="s">
        <v>3093</v>
      </c>
      <c r="G4172" s="115" t="s">
        <v>3093</v>
      </c>
      <c r="H4172" s="161">
        <v>65</v>
      </c>
      <c r="I4172" s="161">
        <v>8</v>
      </c>
    </row>
    <row r="4173" spans="1:9">
      <c r="A4173" s="113">
        <v>101100290</v>
      </c>
      <c r="B4173" s="113" t="s">
        <v>6814</v>
      </c>
      <c r="C4173" s="113">
        <v>7080168</v>
      </c>
      <c r="D4173" s="113" t="s">
        <v>3093</v>
      </c>
      <c r="E4173" s="113" t="s">
        <v>1620</v>
      </c>
      <c r="F4173" s="113" t="s">
        <v>3093</v>
      </c>
      <c r="G4173" s="113" t="s">
        <v>3093</v>
      </c>
      <c r="H4173" s="161">
        <v>49</v>
      </c>
      <c r="I4173" s="161">
        <v>12</v>
      </c>
    </row>
    <row r="4174" spans="1:9">
      <c r="A4174" s="113">
        <v>101100291</v>
      </c>
      <c r="B4174" s="113" t="s">
        <v>6815</v>
      </c>
      <c r="C4174" s="113">
        <v>7080169</v>
      </c>
      <c r="D4174" s="113" t="s">
        <v>3093</v>
      </c>
      <c r="E4174" s="113" t="s">
        <v>1620</v>
      </c>
      <c r="F4174" s="113" t="s">
        <v>3093</v>
      </c>
      <c r="G4174" s="113" t="s">
        <v>3093</v>
      </c>
      <c r="H4174" s="161">
        <v>645</v>
      </c>
      <c r="I4174" s="161">
        <v>10</v>
      </c>
    </row>
    <row r="4175" spans="1:9">
      <c r="A4175" s="113">
        <v>101100292</v>
      </c>
      <c r="B4175" s="113" t="s">
        <v>6816</v>
      </c>
      <c r="C4175" s="113">
        <v>7080174</v>
      </c>
      <c r="D4175" s="113" t="s">
        <v>3093</v>
      </c>
      <c r="E4175" s="113" t="s">
        <v>1620</v>
      </c>
      <c r="F4175" s="113" t="s">
        <v>3093</v>
      </c>
      <c r="G4175" s="113" t="s">
        <v>3093</v>
      </c>
      <c r="H4175" s="161">
        <v>34.18</v>
      </c>
      <c r="I4175" s="161">
        <v>30</v>
      </c>
    </row>
    <row r="4176" spans="1:9">
      <c r="A4176" s="113">
        <v>101100293</v>
      </c>
      <c r="B4176" s="113" t="s">
        <v>6817</v>
      </c>
      <c r="C4176" s="113">
        <v>7080175</v>
      </c>
      <c r="D4176" s="113" t="s">
        <v>3093</v>
      </c>
      <c r="E4176" s="113" t="s">
        <v>1620</v>
      </c>
      <c r="F4176" s="113" t="s">
        <v>3093</v>
      </c>
      <c r="G4176" s="113" t="s">
        <v>3093</v>
      </c>
      <c r="H4176" s="161">
        <v>79</v>
      </c>
      <c r="I4176" s="161">
        <v>30</v>
      </c>
    </row>
    <row r="4177" spans="1:9">
      <c r="A4177" s="113">
        <v>101100294</v>
      </c>
      <c r="B4177" s="113" t="s">
        <v>6818</v>
      </c>
      <c r="C4177" s="113">
        <v>7080177</v>
      </c>
      <c r="D4177" s="113" t="s">
        <v>3093</v>
      </c>
      <c r="E4177" s="113" t="s">
        <v>1620</v>
      </c>
      <c r="F4177" s="113" t="s">
        <v>3093</v>
      </c>
      <c r="G4177" s="115" t="s">
        <v>3093</v>
      </c>
      <c r="H4177" s="161">
        <v>48.83</v>
      </c>
      <c r="I4177" s="161">
        <v>12</v>
      </c>
    </row>
    <row r="4178" spans="1:9">
      <c r="A4178" s="113">
        <v>101100295</v>
      </c>
      <c r="B4178" s="113" t="s">
        <v>6819</v>
      </c>
      <c r="C4178" s="113">
        <v>7080178</v>
      </c>
      <c r="D4178" s="113" t="s">
        <v>3093</v>
      </c>
      <c r="E4178" s="113" t="s">
        <v>1620</v>
      </c>
      <c r="F4178" s="113" t="s">
        <v>3093</v>
      </c>
      <c r="G4178" s="115" t="s">
        <v>3093</v>
      </c>
      <c r="H4178" s="161">
        <v>135</v>
      </c>
      <c r="I4178" s="161">
        <v>10</v>
      </c>
    </row>
    <row r="4179" spans="1:9">
      <c r="A4179" s="113">
        <v>101100296</v>
      </c>
      <c r="B4179" s="113" t="s">
        <v>6820</v>
      </c>
      <c r="C4179" s="113">
        <v>7080180</v>
      </c>
      <c r="D4179" s="113" t="s">
        <v>3093</v>
      </c>
      <c r="E4179" s="113" t="s">
        <v>1620</v>
      </c>
      <c r="F4179" s="113" t="s">
        <v>3093</v>
      </c>
      <c r="G4179" s="115" t="s">
        <v>3093</v>
      </c>
      <c r="H4179" s="161">
        <v>79</v>
      </c>
      <c r="I4179" s="161">
        <v>40</v>
      </c>
    </row>
    <row r="4180" spans="1:9">
      <c r="A4180" s="113">
        <v>101100297</v>
      </c>
      <c r="B4180" s="113" t="s">
        <v>6821</v>
      </c>
      <c r="C4180" s="113">
        <v>7080181</v>
      </c>
      <c r="D4180" s="113" t="s">
        <v>3093</v>
      </c>
      <c r="E4180" s="113" t="s">
        <v>1620</v>
      </c>
      <c r="F4180" s="113" t="s">
        <v>3093</v>
      </c>
      <c r="G4180" s="115" t="s">
        <v>3093</v>
      </c>
      <c r="H4180" s="161">
        <v>79</v>
      </c>
      <c r="I4180" s="161">
        <v>60</v>
      </c>
    </row>
    <row r="4181" spans="1:9">
      <c r="A4181" s="113">
        <v>101100298</v>
      </c>
      <c r="B4181" s="113" t="s">
        <v>6822</v>
      </c>
      <c r="C4181" s="113">
        <v>7080182</v>
      </c>
      <c r="D4181" s="113" t="s">
        <v>3093</v>
      </c>
      <c r="E4181" s="113" t="s">
        <v>1620</v>
      </c>
      <c r="F4181" s="113" t="s">
        <v>3093</v>
      </c>
      <c r="G4181" s="115" t="s">
        <v>3093</v>
      </c>
      <c r="H4181" s="161">
        <v>79</v>
      </c>
      <c r="I4181" s="161">
        <v>24</v>
      </c>
    </row>
    <row r="4182" spans="1:9">
      <c r="A4182" s="113">
        <v>101100299</v>
      </c>
      <c r="B4182" s="113" t="s">
        <v>6823</v>
      </c>
      <c r="C4182" s="113">
        <v>7080211</v>
      </c>
      <c r="D4182" s="113" t="s">
        <v>3093</v>
      </c>
      <c r="E4182" s="113" t="s">
        <v>1620</v>
      </c>
      <c r="F4182" s="113" t="s">
        <v>3093</v>
      </c>
      <c r="G4182" s="115" t="s">
        <v>3093</v>
      </c>
      <c r="H4182" s="161">
        <v>61.74</v>
      </c>
      <c r="I4182" s="161">
        <v>10</v>
      </c>
    </row>
    <row r="4183" spans="1:9">
      <c r="A4183" s="113">
        <v>101100300</v>
      </c>
      <c r="B4183" s="113" t="s">
        <v>6824</v>
      </c>
      <c r="C4183" s="113">
        <v>7080240</v>
      </c>
      <c r="D4183" s="113" t="s">
        <v>3093</v>
      </c>
      <c r="E4183" s="113" t="s">
        <v>1620</v>
      </c>
      <c r="F4183" s="113" t="s">
        <v>3093</v>
      </c>
      <c r="G4183" s="115" t="s">
        <v>3093</v>
      </c>
      <c r="H4183" s="161">
        <v>50</v>
      </c>
      <c r="I4183" s="161">
        <v>3</v>
      </c>
    </row>
    <row r="4184" spans="1:9">
      <c r="A4184" s="113">
        <v>101100301</v>
      </c>
      <c r="B4184" s="113" t="s">
        <v>6825</v>
      </c>
      <c r="C4184" s="113">
        <v>7081024</v>
      </c>
      <c r="D4184" s="113" t="s">
        <v>3093</v>
      </c>
      <c r="E4184" s="113" t="s">
        <v>1620</v>
      </c>
      <c r="F4184" s="113" t="s">
        <v>3093</v>
      </c>
      <c r="G4184" s="115" t="s">
        <v>3093</v>
      </c>
      <c r="H4184" s="161">
        <v>240</v>
      </c>
      <c r="I4184" s="161">
        <v>225</v>
      </c>
    </row>
    <row r="4185" spans="1:9">
      <c r="A4185" s="113">
        <v>101100302</v>
      </c>
      <c r="B4185" s="113" t="s">
        <v>6826</v>
      </c>
      <c r="C4185" s="113">
        <v>7081026</v>
      </c>
      <c r="D4185" s="113" t="s">
        <v>3093</v>
      </c>
      <c r="E4185" s="113" t="s">
        <v>1620</v>
      </c>
      <c r="F4185" s="113" t="s">
        <v>3093</v>
      </c>
      <c r="G4185" s="115" t="s">
        <v>3093</v>
      </c>
      <c r="H4185" s="161">
        <v>1700</v>
      </c>
      <c r="I4185" s="161">
        <v>125</v>
      </c>
    </row>
    <row r="4186" spans="1:9">
      <c r="A4186" s="113">
        <v>101100303</v>
      </c>
      <c r="B4186" s="113" t="s">
        <v>6827</v>
      </c>
      <c r="C4186" s="113">
        <v>7081061</v>
      </c>
      <c r="D4186" s="113" t="s">
        <v>3093</v>
      </c>
      <c r="E4186" s="113" t="s">
        <v>1620</v>
      </c>
      <c r="F4186" s="113" t="s">
        <v>3093</v>
      </c>
      <c r="G4186" s="115" t="s">
        <v>3093</v>
      </c>
      <c r="H4186" s="161">
        <v>715</v>
      </c>
      <c r="I4186" s="161">
        <v>3</v>
      </c>
    </row>
    <row r="4187" spans="1:9">
      <c r="A4187" s="113">
        <v>101100304</v>
      </c>
      <c r="B4187" s="113" t="s">
        <v>6828</v>
      </c>
      <c r="C4187" s="113">
        <v>7081062</v>
      </c>
      <c r="D4187" s="113" t="s">
        <v>3093</v>
      </c>
      <c r="E4187" s="113" t="s">
        <v>1620</v>
      </c>
      <c r="F4187" s="113" t="s">
        <v>3093</v>
      </c>
      <c r="G4187" s="113" t="s">
        <v>3093</v>
      </c>
      <c r="H4187" s="161">
        <v>845</v>
      </c>
      <c r="I4187" s="161">
        <v>6</v>
      </c>
    </row>
    <row r="4188" spans="1:9">
      <c r="A4188" s="113">
        <v>101100305</v>
      </c>
      <c r="B4188" s="113" t="s">
        <v>6829</v>
      </c>
      <c r="C4188" s="113">
        <v>7081063</v>
      </c>
      <c r="D4188" s="113" t="s">
        <v>3093</v>
      </c>
      <c r="E4188" s="113" t="s">
        <v>1620</v>
      </c>
      <c r="F4188" s="113" t="s">
        <v>3093</v>
      </c>
      <c r="G4188" s="115" t="s">
        <v>3093</v>
      </c>
      <c r="H4188" s="161">
        <v>305</v>
      </c>
      <c r="I4188" s="161">
        <v>0</v>
      </c>
    </row>
    <row r="4189" spans="1:9">
      <c r="A4189" s="113">
        <v>101100306</v>
      </c>
      <c r="B4189" s="113" t="s">
        <v>6830</v>
      </c>
      <c r="C4189" s="113">
        <v>7081085</v>
      </c>
      <c r="D4189" s="113" t="s">
        <v>3093</v>
      </c>
      <c r="E4189" s="113" t="s">
        <v>1620</v>
      </c>
      <c r="F4189" s="113" t="s">
        <v>3093</v>
      </c>
      <c r="G4189" s="115" t="s">
        <v>3093</v>
      </c>
      <c r="H4189" s="161">
        <v>1345</v>
      </c>
      <c r="I4189" s="161">
        <v>12</v>
      </c>
    </row>
    <row r="4190" spans="1:9">
      <c r="A4190" s="113">
        <v>101100307</v>
      </c>
      <c r="B4190" s="113" t="s">
        <v>6831</v>
      </c>
      <c r="C4190" s="113">
        <v>7081086</v>
      </c>
      <c r="D4190" s="113" t="s">
        <v>3093</v>
      </c>
      <c r="E4190" s="113" t="s">
        <v>1620</v>
      </c>
      <c r="F4190" s="113" t="s">
        <v>3093</v>
      </c>
      <c r="G4190" s="115" t="s">
        <v>3093</v>
      </c>
      <c r="H4190" s="161">
        <v>815</v>
      </c>
      <c r="I4190" s="161">
        <v>50</v>
      </c>
    </row>
    <row r="4191" spans="1:9">
      <c r="A4191" s="113">
        <v>101100308</v>
      </c>
      <c r="B4191" s="113" t="s">
        <v>6832</v>
      </c>
      <c r="C4191" s="113">
        <v>7091022</v>
      </c>
      <c r="D4191" s="113" t="s">
        <v>3093</v>
      </c>
      <c r="E4191" s="113" t="s">
        <v>1620</v>
      </c>
      <c r="F4191" s="113" t="s">
        <v>3093</v>
      </c>
      <c r="G4191" s="115" t="s">
        <v>3093</v>
      </c>
      <c r="H4191" s="161">
        <v>0</v>
      </c>
      <c r="I4191" s="161" t="s">
        <v>7138</v>
      </c>
    </row>
    <row r="4192" spans="1:9">
      <c r="A4192" s="113">
        <v>101100309</v>
      </c>
      <c r="B4192" s="113" t="s">
        <v>6833</v>
      </c>
      <c r="C4192" s="113">
        <v>7091024</v>
      </c>
      <c r="D4192" s="113" t="s">
        <v>3093</v>
      </c>
      <c r="E4192" s="113" t="s">
        <v>1620</v>
      </c>
      <c r="F4192" s="113" t="s">
        <v>3093</v>
      </c>
      <c r="G4192" s="115" t="s">
        <v>3093</v>
      </c>
      <c r="H4192" s="161">
        <v>12.5</v>
      </c>
      <c r="I4192" s="161">
        <v>144</v>
      </c>
    </row>
    <row r="4193" spans="1:9">
      <c r="A4193" s="113">
        <v>101100310</v>
      </c>
      <c r="B4193" s="113" t="s">
        <v>6834</v>
      </c>
      <c r="C4193" s="113">
        <v>7091025</v>
      </c>
      <c r="D4193" s="113" t="s">
        <v>3093</v>
      </c>
      <c r="E4193" s="113" t="s">
        <v>1620</v>
      </c>
      <c r="F4193" s="113" t="s">
        <v>3093</v>
      </c>
      <c r="G4193" s="115" t="s">
        <v>3093</v>
      </c>
      <c r="H4193" s="161">
        <v>14.5</v>
      </c>
      <c r="I4193" s="161">
        <v>37</v>
      </c>
    </row>
    <row r="4194" spans="1:9">
      <c r="A4194" s="113">
        <v>101100311</v>
      </c>
      <c r="B4194" s="113" t="s">
        <v>6835</v>
      </c>
      <c r="C4194" s="113">
        <v>7091026</v>
      </c>
      <c r="D4194" s="113" t="s">
        <v>3093</v>
      </c>
      <c r="E4194" s="113" t="s">
        <v>1620</v>
      </c>
      <c r="F4194" s="113" t="s">
        <v>3093</v>
      </c>
      <c r="G4194" s="115" t="s">
        <v>3093</v>
      </c>
      <c r="H4194" s="161">
        <v>14.5</v>
      </c>
      <c r="I4194" s="161">
        <v>192</v>
      </c>
    </row>
    <row r="4195" spans="1:9">
      <c r="A4195" s="113">
        <v>101100312</v>
      </c>
      <c r="B4195" s="113" t="s">
        <v>6836</v>
      </c>
      <c r="C4195" s="113">
        <v>7091042</v>
      </c>
      <c r="D4195" s="113" t="s">
        <v>3093</v>
      </c>
      <c r="E4195" s="113" t="s">
        <v>1620</v>
      </c>
      <c r="F4195" s="113" t="s">
        <v>3093</v>
      </c>
      <c r="G4195" s="115" t="s">
        <v>3093</v>
      </c>
      <c r="H4195" s="161">
        <v>230</v>
      </c>
      <c r="I4195" s="161">
        <v>10</v>
      </c>
    </row>
    <row r="4196" spans="1:9">
      <c r="A4196" s="113">
        <v>101100313</v>
      </c>
      <c r="B4196" s="113" t="s">
        <v>6837</v>
      </c>
      <c r="C4196" s="113">
        <v>7091046</v>
      </c>
      <c r="D4196" s="113" t="s">
        <v>3093</v>
      </c>
      <c r="E4196" s="113" t="s">
        <v>1620</v>
      </c>
      <c r="F4196" s="113" t="s">
        <v>3093</v>
      </c>
      <c r="G4196" s="115" t="s">
        <v>3093</v>
      </c>
      <c r="H4196" s="161">
        <v>0</v>
      </c>
      <c r="I4196" s="161" t="s">
        <v>7138</v>
      </c>
    </row>
    <row r="4197" spans="1:9">
      <c r="A4197" s="113">
        <v>101100314</v>
      </c>
      <c r="B4197" s="113" t="s">
        <v>6838</v>
      </c>
      <c r="C4197" s="113">
        <v>7100008</v>
      </c>
      <c r="D4197" s="113" t="s">
        <v>3093</v>
      </c>
      <c r="E4197" s="113" t="s">
        <v>1620</v>
      </c>
      <c r="F4197" s="113" t="s">
        <v>3093</v>
      </c>
      <c r="G4197" s="115" t="s">
        <v>3093</v>
      </c>
      <c r="H4197" s="161">
        <v>30</v>
      </c>
      <c r="I4197" s="161">
        <v>100</v>
      </c>
    </row>
    <row r="4198" spans="1:9">
      <c r="A4198" s="113">
        <v>101100315</v>
      </c>
      <c r="B4198" s="113" t="s">
        <v>6839</v>
      </c>
      <c r="C4198" s="113">
        <v>7100012</v>
      </c>
      <c r="D4198" s="113" t="s">
        <v>3093</v>
      </c>
      <c r="E4198" s="113" t="s">
        <v>1620</v>
      </c>
      <c r="F4198" s="113" t="s">
        <v>3093</v>
      </c>
      <c r="G4198" s="115" t="s">
        <v>3093</v>
      </c>
      <c r="H4198" s="161">
        <v>0</v>
      </c>
      <c r="I4198" s="161" t="s">
        <v>7138</v>
      </c>
    </row>
    <row r="4199" spans="1:9">
      <c r="A4199" s="113">
        <v>101100316</v>
      </c>
      <c r="B4199" s="113" t="s">
        <v>6840</v>
      </c>
      <c r="C4199" s="113">
        <v>7100027</v>
      </c>
      <c r="D4199" s="113" t="s">
        <v>3093</v>
      </c>
      <c r="E4199" s="113" t="s">
        <v>1620</v>
      </c>
      <c r="F4199" s="113" t="s">
        <v>3093</v>
      </c>
      <c r="G4199" s="115" t="s">
        <v>3093</v>
      </c>
      <c r="H4199" s="161">
        <v>30</v>
      </c>
      <c r="I4199" s="161">
        <v>5</v>
      </c>
    </row>
    <row r="4200" spans="1:9">
      <c r="A4200" s="113">
        <v>101100317</v>
      </c>
      <c r="B4200" s="113" t="s">
        <v>6841</v>
      </c>
      <c r="C4200" s="113">
        <v>7100147</v>
      </c>
      <c r="D4200" s="113" t="s">
        <v>3093</v>
      </c>
      <c r="E4200" s="113" t="s">
        <v>1620</v>
      </c>
      <c r="F4200" s="113" t="s">
        <v>3093</v>
      </c>
      <c r="G4200" s="113" t="s">
        <v>3093</v>
      </c>
      <c r="H4200" s="161">
        <v>13.75</v>
      </c>
      <c r="I4200" s="161">
        <v>2000</v>
      </c>
    </row>
    <row r="4201" spans="1:9">
      <c r="A4201" s="113">
        <v>101100318</v>
      </c>
      <c r="B4201" s="113" t="s">
        <v>6842</v>
      </c>
      <c r="C4201" s="113">
        <v>7100184</v>
      </c>
      <c r="D4201" s="113" t="s">
        <v>3093</v>
      </c>
      <c r="E4201" s="113" t="s">
        <v>1620</v>
      </c>
      <c r="F4201" s="113" t="s">
        <v>3093</v>
      </c>
      <c r="G4201" s="115" t="s">
        <v>3093</v>
      </c>
      <c r="H4201" s="161">
        <v>652</v>
      </c>
      <c r="I4201" s="161">
        <v>360</v>
      </c>
    </row>
    <row r="4202" spans="1:9">
      <c r="A4202" s="113">
        <v>101100319</v>
      </c>
      <c r="B4202" s="113" t="s">
        <v>6843</v>
      </c>
      <c r="C4202" s="113">
        <v>7100190</v>
      </c>
      <c r="D4202" s="113" t="s">
        <v>3093</v>
      </c>
      <c r="E4202" s="113" t="s">
        <v>1620</v>
      </c>
      <c r="F4202" s="113" t="s">
        <v>3093</v>
      </c>
      <c r="G4202" s="115" t="s">
        <v>3093</v>
      </c>
      <c r="H4202" s="161">
        <v>511.47</v>
      </c>
      <c r="I4202" s="161">
        <v>0</v>
      </c>
    </row>
    <row r="4203" spans="1:9">
      <c r="A4203" s="113">
        <v>101100320</v>
      </c>
      <c r="B4203" s="113" t="s">
        <v>6844</v>
      </c>
      <c r="C4203" s="113">
        <v>7100193</v>
      </c>
      <c r="D4203" s="113" t="s">
        <v>3093</v>
      </c>
      <c r="E4203" s="113" t="s">
        <v>1620</v>
      </c>
      <c r="F4203" s="113" t="s">
        <v>3093</v>
      </c>
      <c r="G4203" s="115" t="s">
        <v>3093</v>
      </c>
      <c r="H4203" s="161">
        <v>78</v>
      </c>
      <c r="I4203" s="161">
        <v>24</v>
      </c>
    </row>
    <row r="4204" spans="1:9">
      <c r="A4204" s="113">
        <v>101100321</v>
      </c>
      <c r="B4204" s="113" t="s">
        <v>6845</v>
      </c>
      <c r="C4204" s="113">
        <v>7100194</v>
      </c>
      <c r="D4204" s="113" t="s">
        <v>3093</v>
      </c>
      <c r="E4204" s="113" t="s">
        <v>1620</v>
      </c>
      <c r="F4204" s="113" t="s">
        <v>3093</v>
      </c>
      <c r="G4204" s="115" t="s">
        <v>3093</v>
      </c>
      <c r="H4204" s="161">
        <v>113</v>
      </c>
      <c r="I4204" s="161">
        <v>24</v>
      </c>
    </row>
    <row r="4205" spans="1:9">
      <c r="A4205" s="113">
        <v>101100322</v>
      </c>
      <c r="B4205" s="113" t="s">
        <v>6846</v>
      </c>
      <c r="C4205" s="113">
        <v>7100195</v>
      </c>
      <c r="D4205" s="113" t="s">
        <v>3093</v>
      </c>
      <c r="E4205" s="113" t="s">
        <v>1620</v>
      </c>
      <c r="F4205" s="113" t="s">
        <v>3093</v>
      </c>
      <c r="G4205" s="113" t="s">
        <v>3093</v>
      </c>
      <c r="H4205" s="161">
        <v>0</v>
      </c>
      <c r="I4205" s="161" t="s">
        <v>7138</v>
      </c>
    </row>
    <row r="4206" spans="1:9">
      <c r="A4206" s="113">
        <v>101100323</v>
      </c>
      <c r="B4206" s="113" t="s">
        <v>6847</v>
      </c>
      <c r="C4206" s="113">
        <v>7100197</v>
      </c>
      <c r="D4206" s="113" t="s">
        <v>3093</v>
      </c>
      <c r="E4206" s="113" t="s">
        <v>1620</v>
      </c>
      <c r="F4206" s="113" t="s">
        <v>3093</v>
      </c>
      <c r="G4206" s="115" t="s">
        <v>3093</v>
      </c>
      <c r="H4206" s="161">
        <v>0</v>
      </c>
      <c r="I4206" s="161" t="s">
        <v>7138</v>
      </c>
    </row>
    <row r="4207" spans="1:9">
      <c r="A4207" s="113">
        <v>101100324</v>
      </c>
      <c r="B4207" s="113" t="s">
        <v>6848</v>
      </c>
      <c r="C4207" s="113">
        <v>7100198</v>
      </c>
      <c r="D4207" s="113" t="s">
        <v>3093</v>
      </c>
      <c r="E4207" s="113" t="s">
        <v>1620</v>
      </c>
      <c r="F4207" s="113" t="s">
        <v>3093</v>
      </c>
      <c r="G4207" s="113" t="s">
        <v>3093</v>
      </c>
      <c r="H4207" s="161">
        <v>0</v>
      </c>
      <c r="I4207" s="161" t="s">
        <v>7138</v>
      </c>
    </row>
    <row r="4208" spans="1:9">
      <c r="A4208" s="113">
        <v>101100325</v>
      </c>
      <c r="B4208" s="113" t="s">
        <v>6849</v>
      </c>
      <c r="C4208" s="113">
        <v>7100199</v>
      </c>
      <c r="D4208" s="113" t="s">
        <v>3093</v>
      </c>
      <c r="E4208" s="113" t="s">
        <v>1620</v>
      </c>
      <c r="F4208" s="113" t="s">
        <v>3093</v>
      </c>
      <c r="G4208" s="113" t="s">
        <v>3093</v>
      </c>
      <c r="H4208" s="161">
        <v>0</v>
      </c>
      <c r="I4208" s="161" t="s">
        <v>7138</v>
      </c>
    </row>
    <row r="4209" spans="1:9">
      <c r="A4209" s="113">
        <v>101100326</v>
      </c>
      <c r="B4209" s="113" t="s">
        <v>6850</v>
      </c>
      <c r="C4209" s="113">
        <v>7100202</v>
      </c>
      <c r="D4209" s="113" t="s">
        <v>3093</v>
      </c>
      <c r="E4209" s="113" t="s">
        <v>1620</v>
      </c>
      <c r="F4209" s="113" t="s">
        <v>3093</v>
      </c>
      <c r="G4209" s="115" t="s">
        <v>3093</v>
      </c>
      <c r="H4209" s="161">
        <v>0</v>
      </c>
      <c r="I4209" s="161" t="s">
        <v>7138</v>
      </c>
    </row>
    <row r="4210" spans="1:9">
      <c r="A4210" s="113">
        <v>101100327</v>
      </c>
      <c r="B4210" s="113" t="s">
        <v>6851</v>
      </c>
      <c r="C4210" s="113">
        <v>7100204</v>
      </c>
      <c r="D4210" s="113" t="s">
        <v>3093</v>
      </c>
      <c r="E4210" s="113" t="s">
        <v>1620</v>
      </c>
      <c r="F4210" s="113" t="s">
        <v>3093</v>
      </c>
      <c r="G4210" s="115" t="s">
        <v>3093</v>
      </c>
      <c r="H4210" s="161">
        <v>104.28</v>
      </c>
      <c r="I4210" s="161">
        <v>126</v>
      </c>
    </row>
    <row r="4211" spans="1:9">
      <c r="A4211" s="113">
        <v>101100328</v>
      </c>
      <c r="B4211" s="113" t="s">
        <v>6852</v>
      </c>
      <c r="C4211" s="113">
        <v>7100205</v>
      </c>
      <c r="D4211" s="113" t="s">
        <v>3093</v>
      </c>
      <c r="E4211" s="113" t="s">
        <v>1620</v>
      </c>
      <c r="F4211" s="113" t="s">
        <v>3093</v>
      </c>
      <c r="G4211" s="115" t="s">
        <v>3093</v>
      </c>
      <c r="H4211" s="161">
        <v>23.5</v>
      </c>
      <c r="I4211" s="161">
        <v>360</v>
      </c>
    </row>
    <row r="4212" spans="1:9">
      <c r="A4212" s="113">
        <v>101100329</v>
      </c>
      <c r="B4212" s="113" t="s">
        <v>6853</v>
      </c>
      <c r="C4212" s="113">
        <v>7100216</v>
      </c>
      <c r="D4212" s="113" t="s">
        <v>3093</v>
      </c>
      <c r="E4212" s="113" t="s">
        <v>1620</v>
      </c>
      <c r="F4212" s="113" t="s">
        <v>3093</v>
      </c>
      <c r="G4212" s="115" t="s">
        <v>3093</v>
      </c>
      <c r="H4212" s="161">
        <v>0</v>
      </c>
      <c r="I4212" s="161" t="s">
        <v>7138</v>
      </c>
    </row>
    <row r="4213" spans="1:9">
      <c r="A4213" s="113">
        <v>101100330</v>
      </c>
      <c r="B4213" s="113" t="s">
        <v>6854</v>
      </c>
      <c r="C4213" s="113">
        <v>7100218</v>
      </c>
      <c r="D4213" s="113" t="s">
        <v>3093</v>
      </c>
      <c r="E4213" s="113" t="s">
        <v>1620</v>
      </c>
      <c r="F4213" s="113" t="s">
        <v>3093</v>
      </c>
      <c r="G4213" s="115" t="s">
        <v>3093</v>
      </c>
      <c r="H4213" s="161">
        <v>20</v>
      </c>
      <c r="I4213" s="161" t="s">
        <v>7138</v>
      </c>
    </row>
    <row r="4214" spans="1:9">
      <c r="A4214" s="113">
        <v>101100331</v>
      </c>
      <c r="B4214" s="113" t="s">
        <v>6855</v>
      </c>
      <c r="C4214" s="113">
        <v>7100219</v>
      </c>
      <c r="D4214" s="113" t="s">
        <v>3093</v>
      </c>
      <c r="E4214" s="113" t="s">
        <v>1620</v>
      </c>
      <c r="F4214" s="113" t="s">
        <v>3093</v>
      </c>
      <c r="G4214" s="113" t="s">
        <v>3093</v>
      </c>
      <c r="H4214" s="161">
        <v>65</v>
      </c>
      <c r="I4214" s="161">
        <v>35</v>
      </c>
    </row>
    <row r="4215" spans="1:9">
      <c r="A4215" s="113">
        <v>101100332</v>
      </c>
      <c r="B4215" s="113" t="s">
        <v>6856</v>
      </c>
      <c r="C4215" s="113">
        <v>7100220</v>
      </c>
      <c r="D4215" s="113" t="s">
        <v>3093</v>
      </c>
      <c r="E4215" s="113" t="s">
        <v>1620</v>
      </c>
      <c r="F4215" s="113" t="s">
        <v>3093</v>
      </c>
      <c r="G4215" s="113" t="s">
        <v>3093</v>
      </c>
      <c r="H4215" s="161">
        <v>60</v>
      </c>
      <c r="I4215" s="161">
        <v>100</v>
      </c>
    </row>
    <row r="4216" spans="1:9">
      <c r="A4216" s="113">
        <v>101100333</v>
      </c>
      <c r="B4216" s="113" t="s">
        <v>6857</v>
      </c>
      <c r="C4216" s="113">
        <v>7100221</v>
      </c>
      <c r="D4216" s="113" t="s">
        <v>3093</v>
      </c>
      <c r="E4216" s="113" t="s">
        <v>1620</v>
      </c>
      <c r="F4216" s="113" t="s">
        <v>3093</v>
      </c>
      <c r="G4216" s="113" t="s">
        <v>3093</v>
      </c>
      <c r="H4216" s="161">
        <v>85</v>
      </c>
      <c r="I4216" s="161">
        <v>35</v>
      </c>
    </row>
    <row r="4217" spans="1:9">
      <c r="A4217" s="113">
        <v>101100334</v>
      </c>
      <c r="B4217" s="113" t="s">
        <v>6858</v>
      </c>
      <c r="C4217" s="113">
        <v>7100225</v>
      </c>
      <c r="D4217" s="113" t="s">
        <v>3093</v>
      </c>
      <c r="E4217" s="113" t="s">
        <v>1620</v>
      </c>
      <c r="F4217" s="113" t="s">
        <v>3093</v>
      </c>
      <c r="G4217" s="113" t="s">
        <v>3093</v>
      </c>
      <c r="H4217" s="161">
        <v>425</v>
      </c>
      <c r="I4217" s="161">
        <v>35</v>
      </c>
    </row>
    <row r="4218" spans="1:9">
      <c r="A4218" s="113">
        <v>101100335</v>
      </c>
      <c r="B4218" s="113" t="s">
        <v>6859</v>
      </c>
      <c r="C4218" s="113">
        <v>7100226</v>
      </c>
      <c r="D4218" s="113" t="s">
        <v>3093</v>
      </c>
      <c r="E4218" s="113" t="s">
        <v>1620</v>
      </c>
      <c r="F4218" s="113" t="s">
        <v>3093</v>
      </c>
      <c r="G4218" s="113" t="s">
        <v>3093</v>
      </c>
      <c r="H4218" s="161">
        <v>75</v>
      </c>
      <c r="I4218" s="161">
        <v>35</v>
      </c>
    </row>
    <row r="4219" spans="1:9">
      <c r="A4219" s="113">
        <v>101100336</v>
      </c>
      <c r="B4219" s="113" t="s">
        <v>6860</v>
      </c>
      <c r="C4219" s="113">
        <v>7100227</v>
      </c>
      <c r="D4219" s="113" t="s">
        <v>3093</v>
      </c>
      <c r="E4219" s="113" t="s">
        <v>1620</v>
      </c>
      <c r="F4219" s="113" t="s">
        <v>3093</v>
      </c>
      <c r="G4219" s="113" t="s">
        <v>3093</v>
      </c>
      <c r="H4219" s="161">
        <v>49</v>
      </c>
      <c r="I4219" s="161">
        <v>30</v>
      </c>
    </row>
    <row r="4220" spans="1:9">
      <c r="A4220" s="113">
        <v>101100337</v>
      </c>
      <c r="B4220" s="113" t="s">
        <v>6861</v>
      </c>
      <c r="C4220" s="113">
        <v>7100228</v>
      </c>
      <c r="D4220" s="113" t="s">
        <v>3093</v>
      </c>
      <c r="E4220" s="113" t="s">
        <v>1620</v>
      </c>
      <c r="F4220" s="113" t="s">
        <v>3093</v>
      </c>
      <c r="G4220" s="113" t="s">
        <v>3093</v>
      </c>
      <c r="H4220" s="161">
        <v>83.62</v>
      </c>
      <c r="I4220" s="161">
        <v>30</v>
      </c>
    </row>
    <row r="4221" spans="1:9">
      <c r="A4221" s="113">
        <v>101100338</v>
      </c>
      <c r="B4221" s="113" t="s">
        <v>6862</v>
      </c>
      <c r="C4221" s="113">
        <v>7100229</v>
      </c>
      <c r="D4221" s="113" t="s">
        <v>3093</v>
      </c>
      <c r="E4221" s="113" t="s">
        <v>1620</v>
      </c>
      <c r="F4221" s="113" t="s">
        <v>3093</v>
      </c>
      <c r="G4221" s="113" t="s">
        <v>3093</v>
      </c>
      <c r="H4221" s="161">
        <v>40</v>
      </c>
      <c r="I4221" s="161">
        <v>410</v>
      </c>
    </row>
    <row r="4222" spans="1:9">
      <c r="A4222" s="113">
        <v>101100339</v>
      </c>
      <c r="B4222" s="113" t="s">
        <v>6863</v>
      </c>
      <c r="C4222" s="113">
        <v>7100230</v>
      </c>
      <c r="D4222" s="113" t="s">
        <v>3093</v>
      </c>
      <c r="E4222" s="113" t="s">
        <v>1620</v>
      </c>
      <c r="F4222" s="113" t="s">
        <v>3093</v>
      </c>
      <c r="G4222" s="113" t="s">
        <v>3093</v>
      </c>
      <c r="H4222" s="161">
        <v>40</v>
      </c>
      <c r="I4222" s="161">
        <v>30</v>
      </c>
    </row>
    <row r="4223" spans="1:9">
      <c r="A4223" s="113">
        <v>101100340</v>
      </c>
      <c r="B4223" s="113" t="s">
        <v>6864</v>
      </c>
      <c r="C4223" s="113">
        <v>7100232</v>
      </c>
      <c r="D4223" s="113" t="s">
        <v>3093</v>
      </c>
      <c r="E4223" s="113" t="s">
        <v>1620</v>
      </c>
      <c r="F4223" s="113" t="s">
        <v>3093</v>
      </c>
      <c r="G4223" s="113" t="s">
        <v>3093</v>
      </c>
      <c r="H4223" s="161">
        <v>14.7</v>
      </c>
      <c r="I4223" s="161">
        <v>10</v>
      </c>
    </row>
    <row r="4224" spans="1:9">
      <c r="A4224" s="113">
        <v>101100341</v>
      </c>
      <c r="B4224" s="113" t="s">
        <v>6865</v>
      </c>
      <c r="C4224" s="113">
        <v>7100233</v>
      </c>
      <c r="D4224" s="113" t="s">
        <v>3093</v>
      </c>
      <c r="E4224" s="113" t="s">
        <v>1620</v>
      </c>
      <c r="F4224" s="113" t="s">
        <v>3093</v>
      </c>
      <c r="G4224" s="113" t="s">
        <v>3093</v>
      </c>
      <c r="H4224" s="161">
        <v>40</v>
      </c>
      <c r="I4224" s="161">
        <v>36</v>
      </c>
    </row>
    <row r="4225" spans="1:9">
      <c r="A4225" s="113">
        <v>101100342</v>
      </c>
      <c r="B4225" s="113" t="s">
        <v>6866</v>
      </c>
      <c r="C4225" s="113">
        <v>7100234</v>
      </c>
      <c r="D4225" s="113" t="s">
        <v>3093</v>
      </c>
      <c r="E4225" s="113" t="s">
        <v>1620</v>
      </c>
      <c r="F4225" s="113" t="s">
        <v>3093</v>
      </c>
      <c r="G4225" s="113" t="s">
        <v>3093</v>
      </c>
      <c r="H4225" s="161">
        <v>2190</v>
      </c>
      <c r="I4225" s="161">
        <v>10</v>
      </c>
    </row>
    <row r="4226" spans="1:9">
      <c r="A4226" s="113">
        <v>101100343</v>
      </c>
      <c r="B4226" s="113" t="s">
        <v>6867</v>
      </c>
      <c r="C4226" s="113">
        <v>7100235</v>
      </c>
      <c r="D4226" s="113" t="s">
        <v>3093</v>
      </c>
      <c r="E4226" s="113" t="s">
        <v>1620</v>
      </c>
      <c r="F4226" s="113" t="s">
        <v>3093</v>
      </c>
      <c r="G4226" s="113" t="s">
        <v>3093</v>
      </c>
      <c r="H4226" s="161">
        <v>7</v>
      </c>
      <c r="I4226" s="161">
        <v>260</v>
      </c>
    </row>
    <row r="4227" spans="1:9">
      <c r="A4227" s="113">
        <v>101100344</v>
      </c>
      <c r="B4227" s="113" t="s">
        <v>6868</v>
      </c>
      <c r="C4227" s="113">
        <v>7100236</v>
      </c>
      <c r="D4227" s="113" t="s">
        <v>3093</v>
      </c>
      <c r="E4227" s="113" t="s">
        <v>1620</v>
      </c>
      <c r="F4227" s="113" t="s">
        <v>3093</v>
      </c>
      <c r="G4227" s="113" t="s">
        <v>3093</v>
      </c>
      <c r="H4227" s="161">
        <v>0.3</v>
      </c>
      <c r="I4227" s="161">
        <v>130</v>
      </c>
    </row>
    <row r="4228" spans="1:9">
      <c r="A4228" s="113">
        <v>101100345</v>
      </c>
      <c r="B4228" s="113" t="s">
        <v>6869</v>
      </c>
      <c r="C4228" s="113">
        <v>7100237</v>
      </c>
      <c r="D4228" s="113" t="s">
        <v>3093</v>
      </c>
      <c r="E4228" s="113" t="s">
        <v>1620</v>
      </c>
      <c r="F4228" s="113" t="s">
        <v>3093</v>
      </c>
      <c r="G4228" s="113" t="s">
        <v>3093</v>
      </c>
      <c r="H4228" s="161">
        <v>45</v>
      </c>
      <c r="I4228" s="161">
        <v>170</v>
      </c>
    </row>
    <row r="4229" spans="1:9">
      <c r="A4229" s="113">
        <v>101100346</v>
      </c>
      <c r="B4229" s="113" t="s">
        <v>6870</v>
      </c>
      <c r="C4229" s="113">
        <v>7100239</v>
      </c>
      <c r="D4229" s="113" t="s">
        <v>3093</v>
      </c>
      <c r="E4229" s="113" t="s">
        <v>1620</v>
      </c>
      <c r="F4229" s="113" t="s">
        <v>3093</v>
      </c>
      <c r="G4229" s="113" t="s">
        <v>3093</v>
      </c>
      <c r="H4229" s="161">
        <v>600</v>
      </c>
      <c r="I4229" s="161">
        <v>55</v>
      </c>
    </row>
    <row r="4230" spans="1:9">
      <c r="A4230" s="113">
        <v>101100347</v>
      </c>
      <c r="B4230" s="113" t="s">
        <v>6871</v>
      </c>
      <c r="C4230" s="113">
        <v>7100241</v>
      </c>
      <c r="D4230" s="113" t="s">
        <v>3093</v>
      </c>
      <c r="E4230" s="113" t="s">
        <v>1620</v>
      </c>
      <c r="F4230" s="113" t="s">
        <v>3093</v>
      </c>
      <c r="G4230" s="113" t="s">
        <v>3093</v>
      </c>
      <c r="H4230" s="161">
        <v>4800</v>
      </c>
      <c r="I4230" s="161" t="s">
        <v>7138</v>
      </c>
    </row>
    <row r="4231" spans="1:9">
      <c r="A4231" s="113">
        <v>101100348</v>
      </c>
      <c r="B4231" s="113" t="s">
        <v>6872</v>
      </c>
      <c r="C4231" s="113">
        <v>7100243</v>
      </c>
      <c r="D4231" s="113" t="s">
        <v>3093</v>
      </c>
      <c r="E4231" s="113" t="s">
        <v>1620</v>
      </c>
      <c r="F4231" s="113" t="s">
        <v>3093</v>
      </c>
      <c r="G4231" s="113" t="s">
        <v>3093</v>
      </c>
      <c r="H4231" s="161">
        <v>0</v>
      </c>
      <c r="I4231" s="161" t="s">
        <v>7138</v>
      </c>
    </row>
    <row r="4232" spans="1:9">
      <c r="A4232" s="113">
        <v>101100349</v>
      </c>
      <c r="B4232" s="113" t="s">
        <v>6873</v>
      </c>
      <c r="C4232" s="113">
        <v>7100244</v>
      </c>
      <c r="D4232" s="113" t="s">
        <v>3093</v>
      </c>
      <c r="E4232" s="113" t="s">
        <v>1620</v>
      </c>
      <c r="F4232" s="113" t="s">
        <v>3093</v>
      </c>
      <c r="G4232" s="113" t="s">
        <v>3093</v>
      </c>
      <c r="H4232" s="161">
        <v>146</v>
      </c>
      <c r="I4232" s="161">
        <v>50</v>
      </c>
    </row>
    <row r="4233" spans="1:9">
      <c r="A4233" s="113">
        <v>101100350</v>
      </c>
      <c r="B4233" s="113" t="s">
        <v>6874</v>
      </c>
      <c r="C4233" s="113">
        <v>7100250</v>
      </c>
      <c r="D4233" s="113" t="s">
        <v>3093</v>
      </c>
      <c r="E4233" s="113" t="s">
        <v>1620</v>
      </c>
      <c r="F4233" s="113" t="s">
        <v>3093</v>
      </c>
      <c r="G4233" s="113" t="s">
        <v>3093</v>
      </c>
      <c r="H4233" s="161">
        <v>490</v>
      </c>
      <c r="I4233" s="161">
        <v>30</v>
      </c>
    </row>
    <row r="4234" spans="1:9">
      <c r="A4234" s="113">
        <v>101100351</v>
      </c>
      <c r="B4234" s="113" t="s">
        <v>6875</v>
      </c>
      <c r="C4234" s="113">
        <v>7101003</v>
      </c>
      <c r="D4234" s="113" t="s">
        <v>3093</v>
      </c>
      <c r="E4234" s="113" t="s">
        <v>1620</v>
      </c>
      <c r="F4234" s="113" t="s">
        <v>3093</v>
      </c>
      <c r="G4234" s="113" t="s">
        <v>3093</v>
      </c>
      <c r="H4234" s="161">
        <v>1150</v>
      </c>
      <c r="I4234" s="161">
        <v>96</v>
      </c>
    </row>
    <row r="4235" spans="1:9">
      <c r="A4235" s="113">
        <v>101100352</v>
      </c>
      <c r="B4235" s="113" t="s">
        <v>6876</v>
      </c>
      <c r="C4235" s="113">
        <v>7101042</v>
      </c>
      <c r="D4235" s="113" t="s">
        <v>3093</v>
      </c>
      <c r="E4235" s="113" t="s">
        <v>1620</v>
      </c>
      <c r="F4235" s="113" t="s">
        <v>3093</v>
      </c>
      <c r="G4235" s="113" t="s">
        <v>3093</v>
      </c>
      <c r="H4235" s="161">
        <v>3091.1</v>
      </c>
      <c r="I4235" s="161">
        <v>35</v>
      </c>
    </row>
    <row r="4236" spans="1:9">
      <c r="A4236" s="113">
        <v>101100353</v>
      </c>
      <c r="B4236" s="113" t="s">
        <v>6877</v>
      </c>
      <c r="C4236" s="113">
        <v>7101059</v>
      </c>
      <c r="D4236" s="113" t="s">
        <v>3093</v>
      </c>
      <c r="E4236" s="113" t="s">
        <v>1620</v>
      </c>
      <c r="F4236" s="113" t="s">
        <v>3093</v>
      </c>
      <c r="G4236" s="113" t="s">
        <v>3093</v>
      </c>
      <c r="H4236" s="161">
        <v>0</v>
      </c>
      <c r="I4236" s="161" t="s">
        <v>7138</v>
      </c>
    </row>
    <row r="4237" spans="1:9">
      <c r="A4237" s="113">
        <v>101100354</v>
      </c>
      <c r="B4237" s="113" t="s">
        <v>6878</v>
      </c>
      <c r="C4237" s="113">
        <v>7101140</v>
      </c>
      <c r="D4237" s="113" t="s">
        <v>3093</v>
      </c>
      <c r="E4237" s="113" t="s">
        <v>1620</v>
      </c>
      <c r="F4237" s="113" t="s">
        <v>3093</v>
      </c>
      <c r="G4237" s="113" t="s">
        <v>3093</v>
      </c>
      <c r="H4237" s="161">
        <v>0</v>
      </c>
      <c r="I4237" s="161" t="s">
        <v>7138</v>
      </c>
    </row>
    <row r="4238" spans="1:9">
      <c r="A4238" s="113">
        <v>101100355</v>
      </c>
      <c r="B4238" s="113" t="s">
        <v>6879</v>
      </c>
      <c r="C4238" s="113">
        <v>7101150</v>
      </c>
      <c r="D4238" s="113" t="s">
        <v>3093</v>
      </c>
      <c r="E4238" s="113" t="s">
        <v>1620</v>
      </c>
      <c r="F4238" s="113" t="s">
        <v>3093</v>
      </c>
      <c r="G4238" s="113" t="s">
        <v>3093</v>
      </c>
      <c r="H4238" s="161">
        <v>600</v>
      </c>
      <c r="I4238" s="161">
        <v>68</v>
      </c>
    </row>
    <row r="4239" spans="1:9">
      <c r="A4239" s="113">
        <v>101100356</v>
      </c>
      <c r="B4239" s="113" t="s">
        <v>6880</v>
      </c>
      <c r="C4239" s="113">
        <v>7101151</v>
      </c>
      <c r="D4239" s="113" t="s">
        <v>3093</v>
      </c>
      <c r="E4239" s="113" t="s">
        <v>1620</v>
      </c>
      <c r="F4239" s="113" t="s">
        <v>3093</v>
      </c>
      <c r="G4239" s="113" t="s">
        <v>3093</v>
      </c>
      <c r="H4239" s="161">
        <v>390</v>
      </c>
      <c r="I4239" s="161">
        <v>0</v>
      </c>
    </row>
    <row r="4240" spans="1:9">
      <c r="A4240" s="113">
        <v>101100357</v>
      </c>
      <c r="B4240" s="113" t="s">
        <v>6881</v>
      </c>
      <c r="C4240" s="113">
        <v>7101152</v>
      </c>
      <c r="D4240" s="113" t="s">
        <v>3093</v>
      </c>
      <c r="E4240" s="113" t="s">
        <v>1620</v>
      </c>
      <c r="F4240" s="113" t="s">
        <v>3093</v>
      </c>
      <c r="G4240" s="115" t="s">
        <v>3093</v>
      </c>
      <c r="H4240" s="161">
        <v>600</v>
      </c>
      <c r="I4240" s="161">
        <v>9</v>
      </c>
    </row>
    <row r="4241" spans="1:9">
      <c r="A4241" s="113">
        <v>101100358</v>
      </c>
      <c r="B4241" s="113" t="s">
        <v>6882</v>
      </c>
      <c r="C4241" s="113">
        <v>7101154</v>
      </c>
      <c r="D4241" s="113" t="s">
        <v>3093</v>
      </c>
      <c r="E4241" s="113" t="s">
        <v>1620</v>
      </c>
      <c r="F4241" s="113" t="s">
        <v>3093</v>
      </c>
      <c r="G4241" s="115" t="s">
        <v>3093</v>
      </c>
      <c r="H4241" s="161">
        <v>568.29999999999995</v>
      </c>
      <c r="I4241" s="161">
        <v>0</v>
      </c>
    </row>
    <row r="4242" spans="1:9">
      <c r="A4242" s="113">
        <v>101100359</v>
      </c>
      <c r="B4242" s="113" t="s">
        <v>6883</v>
      </c>
      <c r="C4242" s="113">
        <v>7101159</v>
      </c>
      <c r="D4242" s="113" t="s">
        <v>3093</v>
      </c>
      <c r="E4242" s="113" t="s">
        <v>1620</v>
      </c>
      <c r="F4242" s="113" t="s">
        <v>3093</v>
      </c>
      <c r="G4242" s="115" t="s">
        <v>3093</v>
      </c>
      <c r="H4242" s="161">
        <v>2234</v>
      </c>
      <c r="I4242" s="161">
        <v>40</v>
      </c>
    </row>
    <row r="4243" spans="1:9">
      <c r="A4243" s="113">
        <v>101100360</v>
      </c>
      <c r="B4243" s="113" t="s">
        <v>6884</v>
      </c>
      <c r="C4243" s="113">
        <v>7101161</v>
      </c>
      <c r="D4243" s="113" t="s">
        <v>3093</v>
      </c>
      <c r="E4243" s="113" t="s">
        <v>1620</v>
      </c>
      <c r="F4243" s="113" t="s">
        <v>3093</v>
      </c>
      <c r="G4243" s="115" t="s">
        <v>3093</v>
      </c>
      <c r="H4243" s="161">
        <v>600</v>
      </c>
      <c r="I4243" s="161">
        <v>0</v>
      </c>
    </row>
    <row r="4244" spans="1:9">
      <c r="A4244" s="113">
        <v>101100361</v>
      </c>
      <c r="B4244" s="113" t="s">
        <v>6885</v>
      </c>
      <c r="C4244" s="113">
        <v>7101162</v>
      </c>
      <c r="D4244" s="113" t="s">
        <v>3093</v>
      </c>
      <c r="E4244" s="113" t="s">
        <v>1620</v>
      </c>
      <c r="F4244" s="113" t="s">
        <v>3093</v>
      </c>
      <c r="G4244" s="113" t="s">
        <v>3093</v>
      </c>
      <c r="H4244" s="161">
        <v>600</v>
      </c>
      <c r="I4244" s="161">
        <v>30</v>
      </c>
    </row>
    <row r="4245" spans="1:9">
      <c r="A4245" s="113">
        <v>101100362</v>
      </c>
      <c r="B4245" s="113" t="s">
        <v>6886</v>
      </c>
      <c r="C4245" s="113">
        <v>7101163</v>
      </c>
      <c r="D4245" s="113" t="s">
        <v>3093</v>
      </c>
      <c r="E4245" s="113" t="s">
        <v>1620</v>
      </c>
      <c r="F4245" s="113" t="s">
        <v>3093</v>
      </c>
      <c r="G4245" s="115" t="s">
        <v>3093</v>
      </c>
      <c r="H4245" s="161">
        <v>525</v>
      </c>
      <c r="I4245" s="161">
        <v>50</v>
      </c>
    </row>
    <row r="4246" spans="1:9">
      <c r="A4246" s="113">
        <v>101100363</v>
      </c>
      <c r="B4246" s="113" t="s">
        <v>6887</v>
      </c>
      <c r="C4246" s="113">
        <v>7101166</v>
      </c>
      <c r="D4246" s="113" t="s">
        <v>3093</v>
      </c>
      <c r="E4246" s="113" t="s">
        <v>1620</v>
      </c>
      <c r="F4246" s="113" t="s">
        <v>3093</v>
      </c>
      <c r="G4246" s="113" t="s">
        <v>3093</v>
      </c>
      <c r="H4246" s="161">
        <v>450</v>
      </c>
      <c r="I4246" s="161">
        <v>150</v>
      </c>
    </row>
    <row r="4247" spans="1:9">
      <c r="A4247" s="113">
        <v>101100364</v>
      </c>
      <c r="B4247" s="113" t="s">
        <v>6888</v>
      </c>
      <c r="C4247" s="113">
        <v>7101168</v>
      </c>
      <c r="D4247" s="113" t="s">
        <v>3093</v>
      </c>
      <c r="E4247" s="113" t="s">
        <v>1620</v>
      </c>
      <c r="F4247" s="113" t="s">
        <v>3093</v>
      </c>
      <c r="G4247" s="113" t="s">
        <v>3093</v>
      </c>
      <c r="H4247" s="161">
        <v>490</v>
      </c>
      <c r="I4247" s="161">
        <v>25</v>
      </c>
    </row>
    <row r="4248" spans="1:9">
      <c r="A4248" s="113">
        <v>101100365</v>
      </c>
      <c r="B4248" s="113" t="s">
        <v>6889</v>
      </c>
      <c r="C4248" s="113">
        <v>7101169</v>
      </c>
      <c r="D4248" s="113" t="s">
        <v>3093</v>
      </c>
      <c r="E4248" s="113" t="s">
        <v>1620</v>
      </c>
      <c r="F4248" s="113" t="s">
        <v>3093</v>
      </c>
      <c r="G4248" s="115" t="s">
        <v>3093</v>
      </c>
      <c r="H4248" s="161">
        <v>65</v>
      </c>
      <c r="I4248" s="161">
        <v>23</v>
      </c>
    </row>
    <row r="4249" spans="1:9">
      <c r="A4249" s="113">
        <v>101100366</v>
      </c>
      <c r="B4249" s="113" t="s">
        <v>6890</v>
      </c>
      <c r="C4249" s="113">
        <v>7101170</v>
      </c>
      <c r="D4249" s="113" t="s">
        <v>3093</v>
      </c>
      <c r="E4249" s="113" t="s">
        <v>1620</v>
      </c>
      <c r="F4249" s="113" t="s">
        <v>3093</v>
      </c>
      <c r="G4249" s="115" t="s">
        <v>3093</v>
      </c>
      <c r="H4249" s="161">
        <v>95</v>
      </c>
      <c r="I4249" s="161">
        <v>10</v>
      </c>
    </row>
    <row r="4250" spans="1:9">
      <c r="A4250" s="113">
        <v>101100367</v>
      </c>
      <c r="B4250" s="113" t="s">
        <v>6891</v>
      </c>
      <c r="C4250" s="113">
        <v>7101171</v>
      </c>
      <c r="D4250" s="113" t="s">
        <v>3093</v>
      </c>
      <c r="E4250" s="113" t="s">
        <v>1620</v>
      </c>
      <c r="F4250" s="113" t="s">
        <v>3093</v>
      </c>
      <c r="G4250" s="113" t="s">
        <v>3093</v>
      </c>
      <c r="H4250" s="161">
        <v>70</v>
      </c>
      <c r="I4250" s="161">
        <v>0</v>
      </c>
    </row>
    <row r="4251" spans="1:9">
      <c r="A4251" s="113">
        <v>101100368</v>
      </c>
      <c r="B4251" s="113" t="s">
        <v>6892</v>
      </c>
      <c r="C4251" s="113">
        <v>7101172</v>
      </c>
      <c r="D4251" s="113" t="s">
        <v>3093</v>
      </c>
      <c r="E4251" s="113" t="s">
        <v>1620</v>
      </c>
      <c r="F4251" s="113" t="s">
        <v>3093</v>
      </c>
      <c r="G4251" s="115" t="s">
        <v>3093</v>
      </c>
      <c r="H4251" s="161">
        <v>90</v>
      </c>
      <c r="I4251" s="161">
        <v>0</v>
      </c>
    </row>
    <row r="4252" spans="1:9">
      <c r="A4252" s="113">
        <v>101100369</v>
      </c>
      <c r="B4252" s="113" t="s">
        <v>6893</v>
      </c>
      <c r="C4252" s="113">
        <v>7101173</v>
      </c>
      <c r="D4252" s="113" t="s">
        <v>3093</v>
      </c>
      <c r="E4252" s="113" t="s">
        <v>1620</v>
      </c>
      <c r="F4252" s="113" t="s">
        <v>3093</v>
      </c>
      <c r="G4252" s="115" t="s">
        <v>3093</v>
      </c>
      <c r="H4252" s="161">
        <v>455</v>
      </c>
      <c r="I4252" s="161">
        <v>3</v>
      </c>
    </row>
    <row r="4253" spans="1:9">
      <c r="A4253" s="113">
        <v>101100370</v>
      </c>
      <c r="B4253" s="113" t="s">
        <v>6894</v>
      </c>
      <c r="C4253" s="113">
        <v>7101175</v>
      </c>
      <c r="D4253" s="113" t="s">
        <v>3093</v>
      </c>
      <c r="E4253" s="113" t="s">
        <v>1620</v>
      </c>
      <c r="F4253" s="113" t="s">
        <v>3093</v>
      </c>
      <c r="G4253" s="115" t="s">
        <v>3093</v>
      </c>
      <c r="H4253" s="161">
        <v>151</v>
      </c>
      <c r="I4253" s="161">
        <v>50</v>
      </c>
    </row>
    <row r="4254" spans="1:9">
      <c r="A4254" s="113">
        <v>101100371</v>
      </c>
      <c r="B4254" s="113" t="s">
        <v>6895</v>
      </c>
      <c r="C4254" s="113">
        <v>7101181</v>
      </c>
      <c r="D4254" s="113" t="s">
        <v>3093</v>
      </c>
      <c r="E4254" s="113" t="s">
        <v>1620</v>
      </c>
      <c r="F4254" s="113" t="s">
        <v>3093</v>
      </c>
      <c r="G4254" s="115" t="s">
        <v>3093</v>
      </c>
      <c r="H4254" s="161">
        <v>225</v>
      </c>
      <c r="I4254" s="161">
        <v>35</v>
      </c>
    </row>
    <row r="4255" spans="1:9">
      <c r="A4255" s="113">
        <v>101100372</v>
      </c>
      <c r="B4255" s="113" t="s">
        <v>6896</v>
      </c>
      <c r="C4255" s="113">
        <v>7101182</v>
      </c>
      <c r="D4255" s="113" t="s">
        <v>3093</v>
      </c>
      <c r="E4255" s="113" t="s">
        <v>1620</v>
      </c>
      <c r="F4255" s="113" t="s">
        <v>3093</v>
      </c>
      <c r="G4255" s="115" t="s">
        <v>3093</v>
      </c>
      <c r="H4255" s="161">
        <v>245</v>
      </c>
      <c r="I4255" s="161">
        <v>33</v>
      </c>
    </row>
    <row r="4256" spans="1:9">
      <c r="A4256" s="113">
        <v>101100373</v>
      </c>
      <c r="B4256" s="113" t="s">
        <v>6897</v>
      </c>
      <c r="C4256" s="113">
        <v>7101183</v>
      </c>
      <c r="D4256" s="113" t="s">
        <v>3093</v>
      </c>
      <c r="E4256" s="113" t="s">
        <v>1620</v>
      </c>
      <c r="F4256" s="113" t="s">
        <v>3093</v>
      </c>
      <c r="G4256" s="115" t="s">
        <v>3093</v>
      </c>
      <c r="H4256" s="161">
        <v>450</v>
      </c>
      <c r="I4256" s="161" t="s">
        <v>7138</v>
      </c>
    </row>
    <row r="4257" spans="1:9">
      <c r="A4257" s="113">
        <v>101100374</v>
      </c>
      <c r="B4257" s="113" t="s">
        <v>6898</v>
      </c>
      <c r="C4257" s="113">
        <v>7101184</v>
      </c>
      <c r="D4257" s="113" t="s">
        <v>3093</v>
      </c>
      <c r="E4257" s="113" t="s">
        <v>1620</v>
      </c>
      <c r="F4257" s="113" t="s">
        <v>3093</v>
      </c>
      <c r="G4257" s="115" t="s">
        <v>3093</v>
      </c>
      <c r="H4257" s="161">
        <v>125</v>
      </c>
      <c r="I4257" s="161">
        <v>50</v>
      </c>
    </row>
    <row r="4258" spans="1:9">
      <c r="A4258" s="113">
        <v>101100375</v>
      </c>
      <c r="B4258" s="113" t="s">
        <v>6899</v>
      </c>
      <c r="C4258" s="113">
        <v>7101194</v>
      </c>
      <c r="D4258" s="113" t="s">
        <v>3093</v>
      </c>
      <c r="E4258" s="113" t="s">
        <v>1620</v>
      </c>
      <c r="F4258" s="113" t="s">
        <v>3093</v>
      </c>
      <c r="G4258" s="115" t="s">
        <v>3093</v>
      </c>
      <c r="H4258" s="161">
        <v>2190</v>
      </c>
      <c r="I4258" s="161">
        <v>0</v>
      </c>
    </row>
    <row r="4259" spans="1:9">
      <c r="A4259" s="113">
        <v>101100376</v>
      </c>
      <c r="B4259" s="113" t="s">
        <v>6900</v>
      </c>
      <c r="C4259" s="113">
        <v>7101195</v>
      </c>
      <c r="D4259" s="113" t="s">
        <v>3093</v>
      </c>
      <c r="E4259" s="113" t="s">
        <v>1620</v>
      </c>
      <c r="F4259" s="113" t="s">
        <v>3093</v>
      </c>
      <c r="G4259" s="115" t="s">
        <v>3093</v>
      </c>
      <c r="H4259" s="161">
        <v>3073.6</v>
      </c>
      <c r="I4259" s="161">
        <v>6</v>
      </c>
    </row>
    <row r="4260" spans="1:9">
      <c r="A4260" s="113">
        <v>101100377</v>
      </c>
      <c r="B4260" s="113" t="s">
        <v>6901</v>
      </c>
      <c r="C4260" s="113">
        <v>7101197</v>
      </c>
      <c r="D4260" s="113" t="s">
        <v>3093</v>
      </c>
      <c r="E4260" s="113" t="s">
        <v>1620</v>
      </c>
      <c r="F4260" s="113" t="s">
        <v>3093</v>
      </c>
      <c r="G4260" s="115" t="s">
        <v>3093</v>
      </c>
      <c r="H4260" s="161">
        <v>438</v>
      </c>
      <c r="I4260" s="161">
        <v>30</v>
      </c>
    </row>
    <row r="4261" spans="1:9">
      <c r="A4261" s="113">
        <v>101100378</v>
      </c>
      <c r="B4261" s="113" t="s">
        <v>6902</v>
      </c>
      <c r="C4261" s="113">
        <v>7101201</v>
      </c>
      <c r="D4261" s="113" t="s">
        <v>3093</v>
      </c>
      <c r="E4261" s="113" t="s">
        <v>1620</v>
      </c>
      <c r="F4261" s="113" t="s">
        <v>3093</v>
      </c>
      <c r="G4261" s="113" t="s">
        <v>3093</v>
      </c>
      <c r="H4261" s="161">
        <v>690</v>
      </c>
      <c r="I4261" s="161">
        <v>25</v>
      </c>
    </row>
    <row r="4262" spans="1:9">
      <c r="A4262" s="113">
        <v>101100379</v>
      </c>
      <c r="B4262" s="113" t="s">
        <v>6903</v>
      </c>
      <c r="C4262" s="113">
        <v>7101211</v>
      </c>
      <c r="D4262" s="113" t="s">
        <v>3093</v>
      </c>
      <c r="E4262" s="113" t="s">
        <v>1620</v>
      </c>
      <c r="F4262" s="113" t="s">
        <v>3093</v>
      </c>
      <c r="G4262" s="115" t="s">
        <v>3093</v>
      </c>
      <c r="H4262" s="161">
        <v>709.08</v>
      </c>
      <c r="I4262" s="161">
        <v>12</v>
      </c>
    </row>
    <row r="4263" spans="1:9">
      <c r="A4263" s="113">
        <v>101100380</v>
      </c>
      <c r="B4263" s="113" t="s">
        <v>6904</v>
      </c>
      <c r="C4263" s="113">
        <v>7101222</v>
      </c>
      <c r="D4263" s="113" t="s">
        <v>3093</v>
      </c>
      <c r="E4263" s="113" t="s">
        <v>1620</v>
      </c>
      <c r="F4263" s="113" t="s">
        <v>3093</v>
      </c>
      <c r="G4263" s="113" t="s">
        <v>3093</v>
      </c>
      <c r="H4263" s="161">
        <v>650</v>
      </c>
      <c r="I4263" s="161">
        <v>50</v>
      </c>
    </row>
    <row r="4264" spans="1:9">
      <c r="A4264" s="113">
        <v>101100381</v>
      </c>
      <c r="B4264" s="113" t="s">
        <v>6905</v>
      </c>
      <c r="C4264" s="113">
        <v>7101223</v>
      </c>
      <c r="D4264" s="113" t="s">
        <v>3093</v>
      </c>
      <c r="E4264" s="113" t="s">
        <v>1620</v>
      </c>
      <c r="F4264" s="113" t="s">
        <v>3093</v>
      </c>
      <c r="G4264" s="113" t="s">
        <v>3093</v>
      </c>
      <c r="H4264" s="161">
        <v>167.49</v>
      </c>
      <c r="I4264" s="161">
        <v>30</v>
      </c>
    </row>
    <row r="4265" spans="1:9">
      <c r="A4265" s="113">
        <v>101100382</v>
      </c>
      <c r="B4265" s="113" t="s">
        <v>6906</v>
      </c>
      <c r="C4265" s="113">
        <v>7101224</v>
      </c>
      <c r="D4265" s="113" t="s">
        <v>3093</v>
      </c>
      <c r="E4265" s="113" t="s">
        <v>1620</v>
      </c>
      <c r="F4265" s="113" t="s">
        <v>3093</v>
      </c>
      <c r="G4265" s="115" t="s">
        <v>3093</v>
      </c>
      <c r="H4265" s="161">
        <v>0</v>
      </c>
      <c r="I4265" s="161" t="s">
        <v>7138</v>
      </c>
    </row>
    <row r="4266" spans="1:9">
      <c r="A4266" s="113">
        <v>101100383</v>
      </c>
      <c r="B4266" s="113" t="s">
        <v>6907</v>
      </c>
      <c r="C4266" s="113">
        <v>7101240</v>
      </c>
      <c r="D4266" s="113" t="s">
        <v>3093</v>
      </c>
      <c r="E4266" s="113" t="s">
        <v>1620</v>
      </c>
      <c r="F4266" s="113" t="s">
        <v>3093</v>
      </c>
      <c r="G4266" s="115" t="s">
        <v>3093</v>
      </c>
      <c r="H4266" s="161">
        <v>325.66000000000003</v>
      </c>
      <c r="I4266" s="161">
        <v>36</v>
      </c>
    </row>
    <row r="4267" spans="1:9">
      <c r="A4267" s="113">
        <v>101100384</v>
      </c>
      <c r="B4267" s="113" t="s">
        <v>6908</v>
      </c>
      <c r="C4267" s="113">
        <v>7101242</v>
      </c>
      <c r="D4267" s="113" t="s">
        <v>3093</v>
      </c>
      <c r="E4267" s="113" t="s">
        <v>1620</v>
      </c>
      <c r="F4267" s="113" t="s">
        <v>3093</v>
      </c>
      <c r="G4267" s="115" t="s">
        <v>3093</v>
      </c>
      <c r="H4267" s="161">
        <v>126</v>
      </c>
      <c r="I4267" s="161">
        <v>20</v>
      </c>
    </row>
    <row r="4268" spans="1:9">
      <c r="A4268" s="113">
        <v>101100385</v>
      </c>
      <c r="B4268" s="113" t="s">
        <v>6909</v>
      </c>
      <c r="C4268" s="113">
        <v>7101243</v>
      </c>
      <c r="D4268" s="113" t="s">
        <v>3093</v>
      </c>
      <c r="E4268" s="113" t="s">
        <v>1620</v>
      </c>
      <c r="F4268" s="113" t="s">
        <v>3093</v>
      </c>
      <c r="G4268" s="115" t="s">
        <v>3093</v>
      </c>
      <c r="H4268" s="161">
        <v>126</v>
      </c>
      <c r="I4268" s="161">
        <v>60</v>
      </c>
    </row>
    <row r="4269" spans="1:9">
      <c r="A4269" s="113">
        <v>101100386</v>
      </c>
      <c r="B4269" s="113" t="s">
        <v>6910</v>
      </c>
      <c r="C4269" s="113">
        <v>7101245</v>
      </c>
      <c r="D4269" s="113" t="s">
        <v>3093</v>
      </c>
      <c r="E4269" s="113" t="s">
        <v>1620</v>
      </c>
      <c r="F4269" s="113" t="s">
        <v>3093</v>
      </c>
      <c r="G4269" s="115" t="s">
        <v>3093</v>
      </c>
      <c r="H4269" s="161">
        <v>0</v>
      </c>
      <c r="I4269" s="161" t="s">
        <v>7138</v>
      </c>
    </row>
    <row r="4270" spans="1:9">
      <c r="A4270" s="113">
        <v>101100387</v>
      </c>
      <c r="B4270" s="113" t="s">
        <v>6911</v>
      </c>
      <c r="C4270" s="113">
        <v>7101246</v>
      </c>
      <c r="D4270" s="113" t="s">
        <v>3093</v>
      </c>
      <c r="E4270" s="113" t="s">
        <v>1620</v>
      </c>
      <c r="F4270" s="113" t="s">
        <v>3093</v>
      </c>
      <c r="G4270" s="115" t="s">
        <v>3093</v>
      </c>
      <c r="H4270" s="161">
        <v>126</v>
      </c>
      <c r="I4270" s="161">
        <v>150</v>
      </c>
    </row>
    <row r="4271" spans="1:9">
      <c r="A4271" s="113">
        <v>101100388</v>
      </c>
      <c r="B4271" s="113" t="s">
        <v>6912</v>
      </c>
      <c r="C4271" s="113">
        <v>7101247</v>
      </c>
      <c r="D4271" s="113" t="s">
        <v>3093</v>
      </c>
      <c r="E4271" s="113" t="s">
        <v>1620</v>
      </c>
      <c r="F4271" s="113" t="s">
        <v>3093</v>
      </c>
      <c r="G4271" s="115" t="s">
        <v>3093</v>
      </c>
      <c r="H4271" s="161">
        <v>84.75</v>
      </c>
      <c r="I4271" s="161">
        <v>25</v>
      </c>
    </row>
    <row r="4272" spans="1:9">
      <c r="A4272" s="113">
        <v>101100389</v>
      </c>
      <c r="B4272" s="113" t="s">
        <v>6913</v>
      </c>
      <c r="C4272" s="113">
        <v>7101249</v>
      </c>
      <c r="D4272" s="113" t="s">
        <v>3093</v>
      </c>
      <c r="E4272" s="113" t="s">
        <v>1620</v>
      </c>
      <c r="F4272" s="113" t="s">
        <v>3093</v>
      </c>
      <c r="G4272" s="115" t="s">
        <v>3093</v>
      </c>
      <c r="H4272" s="161">
        <v>0</v>
      </c>
      <c r="I4272" s="161" t="s">
        <v>7138</v>
      </c>
    </row>
    <row r="4273" spans="1:9">
      <c r="A4273" s="113">
        <v>101100390</v>
      </c>
      <c r="B4273" s="113" t="s">
        <v>6914</v>
      </c>
      <c r="C4273" s="113">
        <v>7101250</v>
      </c>
      <c r="D4273" s="113" t="s">
        <v>3093</v>
      </c>
      <c r="E4273" s="113" t="s">
        <v>1620</v>
      </c>
      <c r="F4273" s="113" t="s">
        <v>3093</v>
      </c>
      <c r="G4273" s="113" t="s">
        <v>3093</v>
      </c>
      <c r="H4273" s="161">
        <v>950</v>
      </c>
      <c r="I4273" s="161">
        <v>12</v>
      </c>
    </row>
    <row r="4274" spans="1:9">
      <c r="A4274" s="113">
        <v>101100391</v>
      </c>
      <c r="B4274" s="113" t="s">
        <v>6915</v>
      </c>
      <c r="C4274" s="113">
        <v>7101253</v>
      </c>
      <c r="D4274" s="113" t="s">
        <v>3093</v>
      </c>
      <c r="E4274" s="113" t="s">
        <v>1620</v>
      </c>
      <c r="F4274" s="113" t="s">
        <v>3093</v>
      </c>
      <c r="G4274" s="113" t="s">
        <v>3093</v>
      </c>
      <c r="H4274" s="161">
        <v>941.23</v>
      </c>
      <c r="I4274" s="161">
        <v>80</v>
      </c>
    </row>
    <row r="4275" spans="1:9">
      <c r="A4275" s="113">
        <v>101100392</v>
      </c>
      <c r="B4275" s="113" t="s">
        <v>6916</v>
      </c>
      <c r="C4275" s="113">
        <v>7101257</v>
      </c>
      <c r="D4275" s="113" t="s">
        <v>3093</v>
      </c>
      <c r="E4275" s="113" t="s">
        <v>1620</v>
      </c>
      <c r="F4275" s="113" t="s">
        <v>3093</v>
      </c>
      <c r="G4275" s="113" t="s">
        <v>3093</v>
      </c>
      <c r="H4275" s="161">
        <v>121.98</v>
      </c>
      <c r="I4275" s="161">
        <v>48</v>
      </c>
    </row>
    <row r="4276" spans="1:9">
      <c r="A4276" s="113">
        <v>101100393</v>
      </c>
      <c r="B4276" s="113" t="s">
        <v>6917</v>
      </c>
      <c r="C4276" s="113">
        <v>7101258</v>
      </c>
      <c r="D4276" s="113" t="s">
        <v>3093</v>
      </c>
      <c r="E4276" s="113" t="s">
        <v>1620</v>
      </c>
      <c r="F4276" s="113" t="s">
        <v>3093</v>
      </c>
      <c r="G4276" s="113" t="s">
        <v>3093</v>
      </c>
      <c r="H4276" s="161">
        <v>78</v>
      </c>
      <c r="I4276" s="161">
        <v>84</v>
      </c>
    </row>
    <row r="4277" spans="1:9">
      <c r="A4277" s="113">
        <v>101100394</v>
      </c>
      <c r="B4277" s="113" t="s">
        <v>6918</v>
      </c>
      <c r="C4277" s="113">
        <v>7101266</v>
      </c>
      <c r="D4277" s="113" t="s">
        <v>3093</v>
      </c>
      <c r="E4277" s="113" t="s">
        <v>1620</v>
      </c>
      <c r="F4277" s="113" t="s">
        <v>3093</v>
      </c>
      <c r="G4277" s="113" t="s">
        <v>3093</v>
      </c>
      <c r="H4277" s="161">
        <v>1768.99</v>
      </c>
      <c r="I4277" s="161">
        <v>4</v>
      </c>
    </row>
    <row r="4278" spans="1:9">
      <c r="A4278" s="113">
        <v>101100395</v>
      </c>
      <c r="B4278" s="113" t="s">
        <v>6919</v>
      </c>
      <c r="C4278" s="113">
        <v>7102054</v>
      </c>
      <c r="D4278" s="113" t="s">
        <v>3093</v>
      </c>
      <c r="E4278" s="113" t="s">
        <v>1620</v>
      </c>
      <c r="F4278" s="113" t="s">
        <v>3093</v>
      </c>
      <c r="G4278" s="113" t="s">
        <v>3093</v>
      </c>
      <c r="H4278" s="161">
        <v>115</v>
      </c>
      <c r="I4278" s="161">
        <v>10</v>
      </c>
    </row>
    <row r="4279" spans="1:9">
      <c r="A4279" s="113">
        <v>101100396</v>
      </c>
      <c r="B4279" s="113" t="s">
        <v>6920</v>
      </c>
      <c r="C4279" s="113">
        <v>7102055</v>
      </c>
      <c r="D4279" s="113" t="s">
        <v>3093</v>
      </c>
      <c r="E4279" s="113" t="s">
        <v>1620</v>
      </c>
      <c r="F4279" s="113" t="s">
        <v>3093</v>
      </c>
      <c r="G4279" s="115" t="s">
        <v>3093</v>
      </c>
      <c r="H4279" s="161">
        <v>75</v>
      </c>
      <c r="I4279" s="161">
        <v>12</v>
      </c>
    </row>
    <row r="4280" spans="1:9">
      <c r="A4280" s="113">
        <v>101100397</v>
      </c>
      <c r="B4280" s="113" t="s">
        <v>6921</v>
      </c>
      <c r="C4280" s="113">
        <v>7102056</v>
      </c>
      <c r="D4280" s="113" t="s">
        <v>3093</v>
      </c>
      <c r="E4280" s="113" t="s">
        <v>1620</v>
      </c>
      <c r="F4280" s="113" t="s">
        <v>3093</v>
      </c>
      <c r="G4280" s="115" t="s">
        <v>3093</v>
      </c>
      <c r="H4280" s="161">
        <v>39.96</v>
      </c>
      <c r="I4280" s="161">
        <v>20</v>
      </c>
    </row>
    <row r="4281" spans="1:9">
      <c r="A4281" s="113">
        <v>101100398</v>
      </c>
      <c r="B4281" s="113" t="s">
        <v>6922</v>
      </c>
      <c r="C4281" s="113">
        <v>7102058</v>
      </c>
      <c r="D4281" s="113" t="s">
        <v>3093</v>
      </c>
      <c r="E4281" s="113" t="s">
        <v>1620</v>
      </c>
      <c r="F4281" s="113" t="s">
        <v>3093</v>
      </c>
      <c r="G4281" s="113" t="s">
        <v>3093</v>
      </c>
      <c r="H4281" s="161">
        <v>450</v>
      </c>
      <c r="I4281" s="161">
        <v>120</v>
      </c>
    </row>
    <row r="4282" spans="1:9">
      <c r="A4282" s="113">
        <v>101100399</v>
      </c>
      <c r="B4282" s="113" t="s">
        <v>6923</v>
      </c>
      <c r="C4282" s="113">
        <v>7102059</v>
      </c>
      <c r="D4282" s="113" t="s">
        <v>3093</v>
      </c>
      <c r="E4282" s="113" t="s">
        <v>1620</v>
      </c>
      <c r="F4282" s="113" t="s">
        <v>3093</v>
      </c>
      <c r="G4282" s="115" t="s">
        <v>3093</v>
      </c>
      <c r="H4282" s="161">
        <v>450</v>
      </c>
      <c r="I4282" s="161">
        <v>240</v>
      </c>
    </row>
    <row r="4283" spans="1:9">
      <c r="A4283" s="113">
        <v>101100400</v>
      </c>
      <c r="B4283" s="113" t="s">
        <v>6924</v>
      </c>
      <c r="C4283" s="113">
        <v>7102060</v>
      </c>
      <c r="D4283" s="113" t="s">
        <v>3093</v>
      </c>
      <c r="E4283" s="113" t="s">
        <v>1620</v>
      </c>
      <c r="F4283" s="113" t="s">
        <v>3093</v>
      </c>
      <c r="G4283" s="115" t="s">
        <v>3093</v>
      </c>
      <c r="H4283" s="161">
        <v>700</v>
      </c>
      <c r="I4283" s="161" t="s">
        <v>7138</v>
      </c>
    </row>
    <row r="4284" spans="1:9">
      <c r="A4284" s="113">
        <v>101100401</v>
      </c>
      <c r="B4284" s="113" t="s">
        <v>6925</v>
      </c>
      <c r="C4284" s="113">
        <v>7102061</v>
      </c>
      <c r="D4284" s="113" t="s">
        <v>3093</v>
      </c>
      <c r="E4284" s="113" t="s">
        <v>1620</v>
      </c>
      <c r="F4284" s="113" t="s">
        <v>3093</v>
      </c>
      <c r="G4284" s="115" t="s">
        <v>3093</v>
      </c>
      <c r="H4284" s="161">
        <v>700</v>
      </c>
      <c r="I4284" s="161" t="s">
        <v>7138</v>
      </c>
    </row>
    <row r="4285" spans="1:9">
      <c r="A4285" s="113">
        <v>101100402</v>
      </c>
      <c r="B4285" s="113" t="s">
        <v>6926</v>
      </c>
      <c r="C4285" s="113">
        <v>7102062</v>
      </c>
      <c r="D4285" s="113" t="s">
        <v>3093</v>
      </c>
      <c r="E4285" s="113" t="s">
        <v>1620</v>
      </c>
      <c r="F4285" s="113" t="s">
        <v>3093</v>
      </c>
      <c r="G4285" s="115" t="s">
        <v>3093</v>
      </c>
      <c r="H4285" s="161">
        <v>850</v>
      </c>
      <c r="I4285" s="161" t="s">
        <v>7138</v>
      </c>
    </row>
    <row r="4286" spans="1:9">
      <c r="A4286" s="113">
        <v>101100403</v>
      </c>
      <c r="B4286" s="113" t="s">
        <v>6927</v>
      </c>
      <c r="C4286" s="113">
        <v>7102064</v>
      </c>
      <c r="D4286" s="113" t="s">
        <v>3093</v>
      </c>
      <c r="E4286" s="113" t="s">
        <v>1620</v>
      </c>
      <c r="F4286" s="113" t="s">
        <v>3093</v>
      </c>
      <c r="G4286" s="113" t="s">
        <v>3093</v>
      </c>
      <c r="H4286" s="161">
        <v>547</v>
      </c>
      <c r="I4286" s="161">
        <v>200</v>
      </c>
    </row>
    <row r="4287" spans="1:9">
      <c r="A4287" s="113">
        <v>101100404</v>
      </c>
      <c r="B4287" s="113" t="s">
        <v>3068</v>
      </c>
      <c r="C4287" s="113">
        <v>7102065</v>
      </c>
      <c r="D4287" s="113" t="s">
        <v>3093</v>
      </c>
      <c r="E4287" s="113" t="s">
        <v>1620</v>
      </c>
      <c r="F4287" s="113" t="s">
        <v>3093</v>
      </c>
      <c r="G4287" s="113" t="s">
        <v>3093</v>
      </c>
      <c r="H4287" s="161">
        <v>7</v>
      </c>
      <c r="I4287" s="161">
        <v>254</v>
      </c>
    </row>
    <row r="4288" spans="1:9">
      <c r="A4288" s="113">
        <v>101100405</v>
      </c>
      <c r="B4288" s="113" t="s">
        <v>6928</v>
      </c>
      <c r="C4288" s="113">
        <v>7102068</v>
      </c>
      <c r="D4288" s="113" t="s">
        <v>3093</v>
      </c>
      <c r="E4288" s="113" t="s">
        <v>1620</v>
      </c>
      <c r="F4288" s="113" t="s">
        <v>3093</v>
      </c>
      <c r="G4288" s="113" t="s">
        <v>3093</v>
      </c>
      <c r="H4288" s="161">
        <v>813.46</v>
      </c>
      <c r="I4288" s="161">
        <v>100</v>
      </c>
    </row>
    <row r="4289" spans="1:9">
      <c r="A4289" s="113">
        <v>101100406</v>
      </c>
      <c r="B4289" s="113" t="s">
        <v>6929</v>
      </c>
      <c r="C4289" s="113">
        <v>7102069</v>
      </c>
      <c r="D4289" s="113" t="s">
        <v>3093</v>
      </c>
      <c r="E4289" s="113" t="s">
        <v>1620</v>
      </c>
      <c r="F4289" s="113" t="s">
        <v>3093</v>
      </c>
      <c r="G4289" s="113" t="s">
        <v>3093</v>
      </c>
      <c r="H4289" s="161">
        <v>900</v>
      </c>
      <c r="I4289" s="161">
        <v>25</v>
      </c>
    </row>
    <row r="4290" spans="1:9">
      <c r="A4290" s="113">
        <v>101100407</v>
      </c>
      <c r="B4290" s="113" t="s">
        <v>6930</v>
      </c>
      <c r="C4290" s="113">
        <v>7102075</v>
      </c>
      <c r="D4290" s="113" t="s">
        <v>3093</v>
      </c>
      <c r="E4290" s="113" t="s">
        <v>1620</v>
      </c>
      <c r="F4290" s="113" t="s">
        <v>3093</v>
      </c>
      <c r="G4290" s="113" t="s">
        <v>3093</v>
      </c>
      <c r="H4290" s="161">
        <v>45</v>
      </c>
      <c r="I4290" s="161">
        <v>480</v>
      </c>
    </row>
    <row r="4291" spans="1:9">
      <c r="A4291" s="113">
        <v>101100408</v>
      </c>
      <c r="B4291" s="113" t="s">
        <v>6931</v>
      </c>
      <c r="C4291" s="113">
        <v>7110030</v>
      </c>
      <c r="D4291" s="113" t="s">
        <v>3093</v>
      </c>
      <c r="E4291" s="113" t="s">
        <v>1620</v>
      </c>
      <c r="F4291" s="113" t="s">
        <v>3093</v>
      </c>
      <c r="G4291" s="113" t="s">
        <v>3093</v>
      </c>
      <c r="H4291" s="161">
        <v>226</v>
      </c>
      <c r="I4291" s="161">
        <v>370</v>
      </c>
    </row>
    <row r="4292" spans="1:9">
      <c r="A4292" s="113">
        <v>101100409</v>
      </c>
      <c r="B4292" s="113" t="s">
        <v>6932</v>
      </c>
      <c r="C4292" s="113">
        <v>7111075</v>
      </c>
      <c r="D4292" s="113" t="s">
        <v>3093</v>
      </c>
      <c r="E4292" s="113" t="s">
        <v>1620</v>
      </c>
      <c r="F4292" s="113" t="s">
        <v>3093</v>
      </c>
      <c r="G4292" s="113" t="s">
        <v>3093</v>
      </c>
      <c r="H4292" s="161">
        <v>45.5</v>
      </c>
      <c r="I4292" s="161">
        <v>25</v>
      </c>
    </row>
    <row r="4293" spans="1:9">
      <c r="A4293" s="113">
        <v>101100410</v>
      </c>
      <c r="B4293" s="113" t="s">
        <v>6933</v>
      </c>
      <c r="C4293" s="113">
        <v>7111094</v>
      </c>
      <c r="D4293" s="113" t="s">
        <v>3093</v>
      </c>
      <c r="E4293" s="113" t="s">
        <v>1620</v>
      </c>
      <c r="F4293" s="113" t="s">
        <v>3093</v>
      </c>
      <c r="G4293" s="113" t="s">
        <v>3093</v>
      </c>
      <c r="H4293" s="161">
        <v>53.8</v>
      </c>
      <c r="I4293" s="161">
        <v>14</v>
      </c>
    </row>
    <row r="4294" spans="1:9">
      <c r="A4294" s="113">
        <v>101100411</v>
      </c>
      <c r="B4294" s="113" t="s">
        <v>6934</v>
      </c>
      <c r="C4294" s="113">
        <v>7112065</v>
      </c>
      <c r="D4294" s="113" t="s">
        <v>3093</v>
      </c>
      <c r="E4294" s="113" t="s">
        <v>1620</v>
      </c>
      <c r="F4294" s="113" t="s">
        <v>3093</v>
      </c>
      <c r="G4294" s="113" t="s">
        <v>3093</v>
      </c>
      <c r="H4294" s="161">
        <v>175</v>
      </c>
      <c r="I4294" s="161">
        <v>0</v>
      </c>
    </row>
    <row r="4295" spans="1:9">
      <c r="A4295" s="113">
        <v>101100412</v>
      </c>
      <c r="B4295" s="113" t="s">
        <v>6935</v>
      </c>
      <c r="C4295" s="113" t="s">
        <v>3093</v>
      </c>
      <c r="D4295" s="113" t="s">
        <v>3093</v>
      </c>
      <c r="E4295" s="113" t="s">
        <v>1620</v>
      </c>
      <c r="F4295" s="113" t="s">
        <v>3093</v>
      </c>
      <c r="G4295" s="113" t="s">
        <v>3093</v>
      </c>
      <c r="H4295" s="161">
        <v>118.65</v>
      </c>
      <c r="I4295" s="161">
        <v>5</v>
      </c>
    </row>
    <row r="4296" spans="1:9">
      <c r="A4296" s="113">
        <v>101100413</v>
      </c>
      <c r="B4296" s="113" t="s">
        <v>6936</v>
      </c>
      <c r="C4296" s="113" t="s">
        <v>3093</v>
      </c>
      <c r="D4296" s="113" t="s">
        <v>3093</v>
      </c>
      <c r="E4296" s="113" t="s">
        <v>1620</v>
      </c>
      <c r="F4296" s="113" t="s">
        <v>3093</v>
      </c>
      <c r="G4296" s="113" t="s">
        <v>3093</v>
      </c>
      <c r="H4296" s="161">
        <v>118.65</v>
      </c>
      <c r="I4296" s="161">
        <v>5</v>
      </c>
    </row>
    <row r="4297" spans="1:9">
      <c r="A4297" s="113">
        <v>101100414</v>
      </c>
      <c r="B4297" s="113" t="s">
        <v>6937</v>
      </c>
      <c r="C4297" s="113" t="s">
        <v>3093</v>
      </c>
      <c r="D4297" s="113" t="s">
        <v>3093</v>
      </c>
      <c r="E4297" s="113" t="s">
        <v>1620</v>
      </c>
      <c r="F4297" s="113" t="s">
        <v>3093</v>
      </c>
      <c r="G4297" s="113" t="s">
        <v>3093</v>
      </c>
      <c r="H4297" s="161">
        <v>118.65</v>
      </c>
      <c r="I4297" s="161">
        <v>5</v>
      </c>
    </row>
    <row r="4298" spans="1:9">
      <c r="A4298" s="113">
        <v>101100415</v>
      </c>
      <c r="B4298" s="113" t="s">
        <v>6938</v>
      </c>
      <c r="C4298" s="113" t="s">
        <v>3093</v>
      </c>
      <c r="D4298" s="113" t="s">
        <v>3093</v>
      </c>
      <c r="E4298" s="113" t="s">
        <v>1620</v>
      </c>
      <c r="F4298" s="113" t="s">
        <v>3093</v>
      </c>
      <c r="G4298" s="113" t="s">
        <v>3093</v>
      </c>
      <c r="H4298" s="161">
        <v>118.65</v>
      </c>
      <c r="I4298" s="161">
        <v>3</v>
      </c>
    </row>
    <row r="4299" spans="1:9">
      <c r="A4299" s="113">
        <v>101100416</v>
      </c>
      <c r="B4299" s="113" t="s">
        <v>6939</v>
      </c>
      <c r="C4299" s="113" t="s">
        <v>3093</v>
      </c>
      <c r="D4299" s="113" t="s">
        <v>3093</v>
      </c>
      <c r="E4299" s="113" t="s">
        <v>1620</v>
      </c>
      <c r="F4299" s="113" t="s">
        <v>3093</v>
      </c>
      <c r="G4299" s="113" t="s">
        <v>3093</v>
      </c>
      <c r="H4299" s="161">
        <v>118.65</v>
      </c>
      <c r="I4299" s="161">
        <v>3</v>
      </c>
    </row>
    <row r="4300" spans="1:9">
      <c r="A4300" s="113">
        <v>101100417</v>
      </c>
      <c r="B4300" s="113" t="s">
        <v>6940</v>
      </c>
      <c r="C4300" s="113" t="s">
        <v>3093</v>
      </c>
      <c r="D4300" s="113" t="s">
        <v>3093</v>
      </c>
      <c r="E4300" s="113" t="s">
        <v>1620</v>
      </c>
      <c r="F4300" s="113" t="s">
        <v>3093</v>
      </c>
      <c r="G4300" s="113" t="s">
        <v>3093</v>
      </c>
      <c r="H4300" s="161">
        <v>118.65</v>
      </c>
      <c r="I4300" s="161">
        <v>3</v>
      </c>
    </row>
    <row r="4301" spans="1:9">
      <c r="A4301" s="113">
        <v>101100418</v>
      </c>
      <c r="B4301" s="113" t="s">
        <v>6941</v>
      </c>
      <c r="C4301" s="113" t="s">
        <v>3093</v>
      </c>
      <c r="D4301" s="113" t="s">
        <v>3093</v>
      </c>
      <c r="E4301" s="113" t="s">
        <v>1620</v>
      </c>
      <c r="F4301" s="113" t="s">
        <v>3093</v>
      </c>
      <c r="G4301" s="113" t="s">
        <v>3093</v>
      </c>
      <c r="H4301" s="161">
        <v>0</v>
      </c>
      <c r="I4301" s="161" t="s">
        <v>7138</v>
      </c>
    </row>
    <row r="4302" spans="1:9">
      <c r="A4302" s="113">
        <v>101100419</v>
      </c>
      <c r="B4302" s="113" t="s">
        <v>6942</v>
      </c>
      <c r="C4302" s="113" t="s">
        <v>3093</v>
      </c>
      <c r="D4302" s="113" t="s">
        <v>3093</v>
      </c>
      <c r="E4302" s="113" t="s">
        <v>1620</v>
      </c>
      <c r="F4302" s="113" t="s">
        <v>3093</v>
      </c>
      <c r="G4302" s="113" t="s">
        <v>3093</v>
      </c>
      <c r="H4302" s="161">
        <v>0</v>
      </c>
      <c r="I4302" s="161" t="s">
        <v>7138</v>
      </c>
    </row>
    <row r="4303" spans="1:9">
      <c r="A4303" s="113">
        <v>101100420</v>
      </c>
      <c r="B4303" s="113" t="s">
        <v>6943</v>
      </c>
      <c r="C4303" s="113" t="s">
        <v>3093</v>
      </c>
      <c r="D4303" s="113" t="s">
        <v>3093</v>
      </c>
      <c r="E4303" s="113" t="s">
        <v>1620</v>
      </c>
      <c r="F4303" s="113" t="s">
        <v>3093</v>
      </c>
      <c r="G4303" s="113" t="s">
        <v>3093</v>
      </c>
      <c r="H4303" s="161">
        <v>0</v>
      </c>
      <c r="I4303" s="161" t="s">
        <v>7138</v>
      </c>
    </row>
    <row r="4304" spans="1:9">
      <c r="A4304" s="113">
        <v>101100421</v>
      </c>
      <c r="B4304" s="113" t="s">
        <v>6944</v>
      </c>
      <c r="C4304" s="113" t="s">
        <v>3093</v>
      </c>
      <c r="D4304" s="113" t="s">
        <v>3093</v>
      </c>
      <c r="E4304" s="113" t="s">
        <v>1620</v>
      </c>
      <c r="F4304" s="113" t="s">
        <v>3093</v>
      </c>
      <c r="G4304" s="113" t="s">
        <v>3093</v>
      </c>
      <c r="H4304" s="161">
        <v>0</v>
      </c>
      <c r="I4304" s="161" t="s">
        <v>7138</v>
      </c>
    </row>
    <row r="4305" spans="1:9">
      <c r="A4305" s="113">
        <v>101100422</v>
      </c>
      <c r="B4305" s="113" t="s">
        <v>6945</v>
      </c>
      <c r="C4305" s="113" t="s">
        <v>3093</v>
      </c>
      <c r="D4305" s="113" t="s">
        <v>3093</v>
      </c>
      <c r="E4305" s="113" t="s">
        <v>1620</v>
      </c>
      <c r="F4305" s="113" t="s">
        <v>3093</v>
      </c>
      <c r="G4305" s="113" t="s">
        <v>3093</v>
      </c>
      <c r="H4305" s="161">
        <v>0</v>
      </c>
      <c r="I4305" s="161" t="s">
        <v>7138</v>
      </c>
    </row>
    <row r="4306" spans="1:9">
      <c r="A4306" s="113">
        <v>101100423</v>
      </c>
      <c r="B4306" s="113" t="s">
        <v>6946</v>
      </c>
      <c r="C4306" s="113" t="s">
        <v>3093</v>
      </c>
      <c r="D4306" s="113" t="s">
        <v>3093</v>
      </c>
      <c r="E4306" s="113" t="s">
        <v>1620</v>
      </c>
      <c r="F4306" s="113" t="s">
        <v>3093</v>
      </c>
      <c r="G4306" s="113" t="s">
        <v>3093</v>
      </c>
      <c r="H4306" s="161">
        <v>0</v>
      </c>
      <c r="I4306" s="161" t="s">
        <v>7138</v>
      </c>
    </row>
    <row r="4307" spans="1:9">
      <c r="A4307" s="113">
        <v>101100424</v>
      </c>
      <c r="B4307" s="113" t="s">
        <v>6947</v>
      </c>
      <c r="C4307" s="113" t="s">
        <v>3093</v>
      </c>
      <c r="D4307" s="113" t="s">
        <v>3093</v>
      </c>
      <c r="E4307" s="113" t="s">
        <v>1620</v>
      </c>
      <c r="F4307" s="113" t="s">
        <v>3093</v>
      </c>
      <c r="G4307" s="115" t="s">
        <v>3093</v>
      </c>
      <c r="H4307" s="161">
        <v>36160</v>
      </c>
      <c r="I4307" s="161" t="s">
        <v>7138</v>
      </c>
    </row>
    <row r="4308" spans="1:9">
      <c r="A4308" s="113">
        <v>101100425</v>
      </c>
      <c r="B4308" s="113" t="s">
        <v>6948</v>
      </c>
      <c r="C4308" s="113" t="s">
        <v>3093</v>
      </c>
      <c r="D4308" s="113" t="s">
        <v>3093</v>
      </c>
      <c r="E4308" s="113" t="s">
        <v>1620</v>
      </c>
      <c r="F4308" s="113" t="s">
        <v>3093</v>
      </c>
      <c r="G4308" s="115" t="s">
        <v>3093</v>
      </c>
      <c r="H4308" s="161">
        <v>0</v>
      </c>
      <c r="I4308" s="161" t="s">
        <v>7138</v>
      </c>
    </row>
    <row r="4309" spans="1:9">
      <c r="A4309" s="113">
        <v>101100426</v>
      </c>
      <c r="B4309" s="113" t="s">
        <v>6949</v>
      </c>
      <c r="C4309" s="113" t="s">
        <v>3093</v>
      </c>
      <c r="D4309" s="113" t="s">
        <v>3093</v>
      </c>
      <c r="E4309" s="113" t="s">
        <v>1620</v>
      </c>
      <c r="F4309" s="113" t="s">
        <v>3093</v>
      </c>
      <c r="G4309" s="113" t="s">
        <v>3093</v>
      </c>
      <c r="H4309" s="161">
        <v>0</v>
      </c>
      <c r="I4309" s="161" t="s">
        <v>7138</v>
      </c>
    </row>
    <row r="4310" spans="1:9">
      <c r="A4310" s="113">
        <v>101100427</v>
      </c>
      <c r="B4310" s="113" t="s">
        <v>6950</v>
      </c>
      <c r="C4310" s="113" t="s">
        <v>3093</v>
      </c>
      <c r="D4310" s="113" t="s">
        <v>3093</v>
      </c>
      <c r="E4310" s="113" t="s">
        <v>1620</v>
      </c>
      <c r="F4310" s="113" t="s">
        <v>3093</v>
      </c>
      <c r="G4310" s="113" t="s">
        <v>3093</v>
      </c>
      <c r="H4310" s="161">
        <v>0</v>
      </c>
      <c r="I4310" s="161" t="s">
        <v>7138</v>
      </c>
    </row>
    <row r="4311" spans="1:9">
      <c r="A4311" s="113">
        <v>101100428</v>
      </c>
      <c r="B4311" s="113" t="s">
        <v>6951</v>
      </c>
      <c r="C4311" s="113" t="s">
        <v>3093</v>
      </c>
      <c r="D4311" s="113" t="s">
        <v>3093</v>
      </c>
      <c r="E4311" s="113" t="s">
        <v>1620</v>
      </c>
      <c r="F4311" s="113" t="s">
        <v>3093</v>
      </c>
      <c r="G4311" s="113" t="s">
        <v>3093</v>
      </c>
      <c r="H4311" s="161">
        <v>0</v>
      </c>
      <c r="I4311" s="161" t="s">
        <v>7138</v>
      </c>
    </row>
    <row r="4312" spans="1:9">
      <c r="A4312" s="113">
        <v>101100429</v>
      </c>
      <c r="B4312" s="113" t="s">
        <v>6952</v>
      </c>
      <c r="C4312" s="113" t="s">
        <v>3093</v>
      </c>
      <c r="D4312" s="113" t="s">
        <v>3093</v>
      </c>
      <c r="E4312" s="113" t="s">
        <v>1620</v>
      </c>
      <c r="F4312" s="113" t="s">
        <v>3093</v>
      </c>
      <c r="G4312" s="113" t="s">
        <v>3093</v>
      </c>
      <c r="H4312" s="161">
        <v>0</v>
      </c>
      <c r="I4312" s="161" t="s">
        <v>7138</v>
      </c>
    </row>
    <row r="4313" spans="1:9">
      <c r="A4313" s="113">
        <v>101100430</v>
      </c>
      <c r="B4313" s="113" t="s">
        <v>6953</v>
      </c>
      <c r="C4313" s="113" t="s">
        <v>3093</v>
      </c>
      <c r="D4313" s="113" t="s">
        <v>3093</v>
      </c>
      <c r="E4313" s="113" t="s">
        <v>1620</v>
      </c>
      <c r="F4313" s="113" t="s">
        <v>3093</v>
      </c>
      <c r="G4313" s="113" t="s">
        <v>3093</v>
      </c>
      <c r="H4313" s="161">
        <v>0</v>
      </c>
      <c r="I4313" s="161" t="s">
        <v>7138</v>
      </c>
    </row>
    <row r="4314" spans="1:9">
      <c r="A4314" s="113">
        <v>101100431</v>
      </c>
      <c r="B4314" s="113" t="s">
        <v>6954</v>
      </c>
      <c r="C4314" s="113" t="s">
        <v>3093</v>
      </c>
      <c r="D4314" s="113" t="s">
        <v>3093</v>
      </c>
      <c r="E4314" s="113" t="s">
        <v>1620</v>
      </c>
      <c r="F4314" s="113" t="s">
        <v>3093</v>
      </c>
      <c r="G4314" s="113" t="s">
        <v>3093</v>
      </c>
      <c r="H4314" s="161">
        <v>0</v>
      </c>
      <c r="I4314" s="161" t="s">
        <v>7138</v>
      </c>
    </row>
    <row r="4315" spans="1:9">
      <c r="A4315" s="113">
        <v>101100432</v>
      </c>
      <c r="B4315" s="113" t="s">
        <v>6955</v>
      </c>
      <c r="C4315" s="113" t="s">
        <v>3093</v>
      </c>
      <c r="D4315" s="113" t="s">
        <v>3093</v>
      </c>
      <c r="E4315" s="113" t="s">
        <v>1620</v>
      </c>
      <c r="F4315" s="113" t="s">
        <v>3093</v>
      </c>
      <c r="G4315" s="113" t="s">
        <v>3093</v>
      </c>
      <c r="H4315" s="161">
        <v>0</v>
      </c>
      <c r="I4315" s="161" t="s">
        <v>7138</v>
      </c>
    </row>
    <row r="4316" spans="1:9">
      <c r="A4316" s="113">
        <v>101100433</v>
      </c>
      <c r="B4316" s="113" t="s">
        <v>6956</v>
      </c>
      <c r="C4316" s="113" t="s">
        <v>3093</v>
      </c>
      <c r="D4316" s="113" t="s">
        <v>3093</v>
      </c>
      <c r="E4316" s="113" t="s">
        <v>1620</v>
      </c>
      <c r="F4316" s="113" t="s">
        <v>3093</v>
      </c>
      <c r="G4316" s="113" t="s">
        <v>3093</v>
      </c>
      <c r="H4316" s="161">
        <v>2300</v>
      </c>
      <c r="I4316" s="161" t="s">
        <v>7138</v>
      </c>
    </row>
    <row r="4317" spans="1:9">
      <c r="A4317" s="113">
        <v>101100434</v>
      </c>
      <c r="B4317" s="113" t="s">
        <v>6957</v>
      </c>
      <c r="C4317" s="113" t="s">
        <v>3093</v>
      </c>
      <c r="D4317" s="113" t="s">
        <v>3093</v>
      </c>
      <c r="E4317" s="113" t="s">
        <v>1620</v>
      </c>
      <c r="F4317" s="113" t="s">
        <v>3093</v>
      </c>
      <c r="G4317" s="113" t="s">
        <v>3093</v>
      </c>
      <c r="H4317" s="161">
        <v>0</v>
      </c>
      <c r="I4317" s="161" t="s">
        <v>7138</v>
      </c>
    </row>
    <row r="4318" spans="1:9">
      <c r="A4318" s="113">
        <v>101100435</v>
      </c>
      <c r="B4318" s="113" t="s">
        <v>6958</v>
      </c>
      <c r="C4318" s="113" t="s">
        <v>3093</v>
      </c>
      <c r="D4318" s="113" t="s">
        <v>3093</v>
      </c>
      <c r="E4318" s="113" t="s">
        <v>1620</v>
      </c>
      <c r="F4318" s="113" t="s">
        <v>3093</v>
      </c>
      <c r="G4318" s="113" t="s">
        <v>3093</v>
      </c>
      <c r="H4318" s="161">
        <v>3390</v>
      </c>
      <c r="I4318" s="161" t="s">
        <v>7138</v>
      </c>
    </row>
    <row r="4319" spans="1:9">
      <c r="A4319" s="113">
        <v>101100436</v>
      </c>
      <c r="B4319" s="113" t="s">
        <v>6959</v>
      </c>
      <c r="C4319" s="113" t="s">
        <v>3093</v>
      </c>
      <c r="D4319" s="113" t="s">
        <v>3093</v>
      </c>
      <c r="E4319" s="113" t="s">
        <v>1620</v>
      </c>
      <c r="F4319" s="113" t="s">
        <v>3093</v>
      </c>
      <c r="G4319" s="113" t="s">
        <v>3093</v>
      </c>
      <c r="H4319" s="161">
        <v>0</v>
      </c>
      <c r="I4319" s="161" t="s">
        <v>7138</v>
      </c>
    </row>
    <row r="4320" spans="1:9">
      <c r="A4320" s="113">
        <v>101100437</v>
      </c>
      <c r="B4320" s="113" t="s">
        <v>6960</v>
      </c>
      <c r="C4320" s="113" t="s">
        <v>3093</v>
      </c>
      <c r="D4320" s="113" t="s">
        <v>3093</v>
      </c>
      <c r="E4320" s="113" t="s">
        <v>1620</v>
      </c>
      <c r="F4320" s="113" t="s">
        <v>3093</v>
      </c>
      <c r="G4320" s="113" t="s">
        <v>3093</v>
      </c>
      <c r="H4320" s="161">
        <v>1808</v>
      </c>
      <c r="I4320" s="161" t="s">
        <v>7138</v>
      </c>
    </row>
    <row r="4321" spans="1:9">
      <c r="A4321" s="113">
        <v>101100438</v>
      </c>
      <c r="B4321" s="113" t="s">
        <v>6961</v>
      </c>
      <c r="C4321" s="113" t="s">
        <v>3093</v>
      </c>
      <c r="D4321" s="113" t="s">
        <v>3093</v>
      </c>
      <c r="E4321" s="113" t="s">
        <v>1620</v>
      </c>
      <c r="F4321" s="113" t="s">
        <v>3093</v>
      </c>
      <c r="G4321" s="113" t="s">
        <v>3093</v>
      </c>
      <c r="H4321" s="161">
        <v>186</v>
      </c>
      <c r="I4321" s="161" t="s">
        <v>7138</v>
      </c>
    </row>
    <row r="4322" spans="1:9">
      <c r="A4322" s="113">
        <v>101100439</v>
      </c>
      <c r="B4322" s="113" t="s">
        <v>6962</v>
      </c>
      <c r="C4322" s="113" t="s">
        <v>3093</v>
      </c>
      <c r="D4322" s="113" t="s">
        <v>3093</v>
      </c>
      <c r="E4322" s="113" t="s">
        <v>1620</v>
      </c>
      <c r="F4322" s="113" t="s">
        <v>3093</v>
      </c>
      <c r="G4322" s="113" t="s">
        <v>3093</v>
      </c>
      <c r="H4322" s="161">
        <v>203</v>
      </c>
      <c r="I4322" s="161" t="s">
        <v>7138</v>
      </c>
    </row>
    <row r="4323" spans="1:9">
      <c r="A4323" s="113">
        <v>101100440</v>
      </c>
      <c r="B4323" s="113" t="s">
        <v>6963</v>
      </c>
      <c r="C4323" s="113" t="s">
        <v>3093</v>
      </c>
      <c r="D4323" s="113" t="s">
        <v>3093</v>
      </c>
      <c r="E4323" s="113" t="s">
        <v>1620</v>
      </c>
      <c r="F4323" s="113" t="s">
        <v>3093</v>
      </c>
      <c r="G4323" s="113" t="s">
        <v>3093</v>
      </c>
      <c r="H4323" s="161">
        <v>650</v>
      </c>
      <c r="I4323" s="161" t="s">
        <v>7138</v>
      </c>
    </row>
    <row r="4324" spans="1:9">
      <c r="A4324" s="113">
        <v>101100441</v>
      </c>
      <c r="B4324" s="113" t="s">
        <v>6964</v>
      </c>
      <c r="C4324" s="113" t="s">
        <v>3093</v>
      </c>
      <c r="D4324" s="113" t="s">
        <v>3093</v>
      </c>
      <c r="E4324" s="113" t="s">
        <v>1620</v>
      </c>
      <c r="F4324" s="113" t="s">
        <v>3093</v>
      </c>
      <c r="G4324" s="115" t="s">
        <v>3093</v>
      </c>
      <c r="H4324" s="161">
        <v>768.4</v>
      </c>
      <c r="I4324" s="161" t="s">
        <v>7138</v>
      </c>
    </row>
    <row r="4325" spans="1:9">
      <c r="A4325" s="113">
        <v>101100442</v>
      </c>
      <c r="B4325" s="113" t="s">
        <v>6965</v>
      </c>
      <c r="C4325" s="113" t="s">
        <v>3093</v>
      </c>
      <c r="D4325" s="113" t="s">
        <v>3093</v>
      </c>
      <c r="E4325" s="113" t="s">
        <v>1620</v>
      </c>
      <c r="F4325" s="113" t="s">
        <v>3093</v>
      </c>
      <c r="G4325" s="113" t="s">
        <v>3093</v>
      </c>
      <c r="H4325" s="161">
        <v>0</v>
      </c>
      <c r="I4325" s="161" t="s">
        <v>7138</v>
      </c>
    </row>
    <row r="4326" spans="1:9">
      <c r="A4326" s="113">
        <v>101100443</v>
      </c>
      <c r="B4326" s="113" t="s">
        <v>6966</v>
      </c>
      <c r="C4326" s="113" t="s">
        <v>3093</v>
      </c>
      <c r="D4326" s="113" t="s">
        <v>3093</v>
      </c>
      <c r="E4326" s="113" t="s">
        <v>1620</v>
      </c>
      <c r="F4326" s="113" t="s">
        <v>3093</v>
      </c>
      <c r="G4326" s="113" t="s">
        <v>3093</v>
      </c>
      <c r="H4326" s="161">
        <v>0</v>
      </c>
      <c r="I4326" s="161" t="s">
        <v>7138</v>
      </c>
    </row>
    <row r="4327" spans="1:9">
      <c r="A4327" s="113">
        <v>101200002</v>
      </c>
      <c r="B4327" s="113" t="s">
        <v>6967</v>
      </c>
      <c r="C4327" s="113">
        <v>7013026</v>
      </c>
      <c r="D4327" s="113" t="s">
        <v>3093</v>
      </c>
      <c r="E4327" s="113" t="s">
        <v>1620</v>
      </c>
      <c r="F4327" s="113" t="s">
        <v>3093</v>
      </c>
      <c r="G4327" s="113" t="s">
        <v>3093</v>
      </c>
      <c r="H4327" s="161">
        <v>20.95</v>
      </c>
      <c r="I4327" s="161">
        <v>0</v>
      </c>
    </row>
    <row r="4328" spans="1:9">
      <c r="A4328" s="113">
        <v>101200004</v>
      </c>
      <c r="B4328" s="113" t="s">
        <v>6968</v>
      </c>
      <c r="C4328" s="113">
        <v>7013029</v>
      </c>
      <c r="D4328" s="113" t="s">
        <v>3093</v>
      </c>
      <c r="E4328" s="113" t="s">
        <v>1620</v>
      </c>
      <c r="F4328" s="113" t="s">
        <v>3093</v>
      </c>
      <c r="G4328" s="113" t="s">
        <v>3093</v>
      </c>
      <c r="H4328" s="161">
        <v>116.5963</v>
      </c>
      <c r="I4328" s="161">
        <v>20</v>
      </c>
    </row>
    <row r="4329" spans="1:9">
      <c r="A4329" s="113">
        <v>101200006</v>
      </c>
      <c r="B4329" s="113" t="s">
        <v>6969</v>
      </c>
      <c r="C4329" s="113">
        <v>7013033</v>
      </c>
      <c r="D4329" s="113" t="s">
        <v>3093</v>
      </c>
      <c r="E4329" s="113" t="s">
        <v>1620</v>
      </c>
      <c r="F4329" s="113" t="s">
        <v>3093</v>
      </c>
      <c r="G4329" s="113" t="s">
        <v>3093</v>
      </c>
      <c r="H4329" s="161">
        <v>12.8</v>
      </c>
      <c r="I4329" s="161">
        <v>0</v>
      </c>
    </row>
    <row r="4330" spans="1:9">
      <c r="A4330" s="113">
        <v>101200007</v>
      </c>
      <c r="B4330" s="113" t="s">
        <v>6970</v>
      </c>
      <c r="C4330" s="113">
        <v>7013035</v>
      </c>
      <c r="D4330" s="113" t="s">
        <v>3093</v>
      </c>
      <c r="E4330" s="113" t="s">
        <v>1620</v>
      </c>
      <c r="F4330" s="113" t="s">
        <v>3093</v>
      </c>
      <c r="G4330" s="113" t="s">
        <v>3093</v>
      </c>
      <c r="H4330" s="161">
        <v>90.831199999999995</v>
      </c>
      <c r="I4330" s="161">
        <v>20</v>
      </c>
    </row>
    <row r="4331" spans="1:9">
      <c r="A4331" s="113">
        <v>101200008</v>
      </c>
      <c r="B4331" s="113" t="s">
        <v>6971</v>
      </c>
      <c r="C4331" s="113">
        <v>7013036</v>
      </c>
      <c r="D4331" s="113" t="s">
        <v>3093</v>
      </c>
      <c r="E4331" s="113" t="s">
        <v>1620</v>
      </c>
      <c r="F4331" s="113" t="s">
        <v>3093</v>
      </c>
      <c r="G4331" s="113" t="s">
        <v>3093</v>
      </c>
      <c r="H4331" s="161">
        <v>3</v>
      </c>
      <c r="I4331" s="161">
        <v>5</v>
      </c>
    </row>
    <row r="4332" spans="1:9">
      <c r="A4332" s="113">
        <v>101200009</v>
      </c>
      <c r="B4332" s="113" t="s">
        <v>6972</v>
      </c>
      <c r="C4332" s="113">
        <v>7013037</v>
      </c>
      <c r="D4332" s="113" t="s">
        <v>3093</v>
      </c>
      <c r="E4332" s="113" t="s">
        <v>99</v>
      </c>
      <c r="F4332" s="113" t="s">
        <v>3093</v>
      </c>
      <c r="G4332" s="113" t="s">
        <v>3093</v>
      </c>
      <c r="H4332" s="161">
        <v>0.06</v>
      </c>
      <c r="I4332" s="161">
        <v>48800</v>
      </c>
    </row>
    <row r="4333" spans="1:9">
      <c r="A4333" s="113">
        <v>101200010</v>
      </c>
      <c r="B4333" s="113" t="s">
        <v>6973</v>
      </c>
      <c r="C4333" s="113">
        <v>7013038</v>
      </c>
      <c r="D4333" s="113" t="s">
        <v>3093</v>
      </c>
      <c r="E4333" s="113" t="s">
        <v>2522</v>
      </c>
      <c r="F4333" s="113" t="s">
        <v>3093</v>
      </c>
      <c r="G4333" s="113" t="s">
        <v>3093</v>
      </c>
      <c r="H4333" s="161">
        <v>0</v>
      </c>
      <c r="I4333" s="161" t="s">
        <v>7138</v>
      </c>
    </row>
    <row r="4334" spans="1:9">
      <c r="A4334" s="113">
        <v>101200011</v>
      </c>
      <c r="B4334" s="113" t="s">
        <v>6974</v>
      </c>
      <c r="C4334" s="113">
        <v>7013039</v>
      </c>
      <c r="D4334" s="113" t="s">
        <v>3093</v>
      </c>
      <c r="E4334" s="113" t="s">
        <v>1620</v>
      </c>
      <c r="F4334" s="113" t="s">
        <v>3093</v>
      </c>
      <c r="G4334" s="113" t="s">
        <v>3093</v>
      </c>
      <c r="H4334" s="161">
        <v>24.77</v>
      </c>
      <c r="I4334" s="161" t="s">
        <v>7138</v>
      </c>
    </row>
    <row r="4335" spans="1:9">
      <c r="A4335" s="113">
        <v>101200016</v>
      </c>
      <c r="B4335" s="113" t="s">
        <v>6975</v>
      </c>
      <c r="C4335" s="113">
        <v>7013055</v>
      </c>
      <c r="D4335" s="113" t="s">
        <v>3093</v>
      </c>
      <c r="E4335" s="113" t="s">
        <v>99</v>
      </c>
      <c r="F4335" s="113" t="s">
        <v>3093</v>
      </c>
      <c r="G4335" s="115" t="s">
        <v>3093</v>
      </c>
      <c r="H4335" s="161">
        <v>1.0999999999999999E-2</v>
      </c>
      <c r="I4335" s="161">
        <v>6000</v>
      </c>
    </row>
    <row r="4336" spans="1:9">
      <c r="A4336" s="113">
        <v>101200017</v>
      </c>
      <c r="B4336" s="113" t="s">
        <v>6976</v>
      </c>
      <c r="C4336" s="113">
        <v>7013061</v>
      </c>
      <c r="D4336" s="113" t="s">
        <v>3093</v>
      </c>
      <c r="E4336" s="113" t="s">
        <v>1620</v>
      </c>
      <c r="F4336" s="113" t="s">
        <v>3093</v>
      </c>
      <c r="G4336" s="113" t="s">
        <v>3093</v>
      </c>
      <c r="H4336" s="161">
        <v>0.2</v>
      </c>
      <c r="I4336" s="161">
        <v>8780</v>
      </c>
    </row>
    <row r="4337" spans="1:9">
      <c r="A4337" s="113">
        <v>101200018</v>
      </c>
      <c r="B4337" s="113" t="s">
        <v>6977</v>
      </c>
      <c r="C4337" s="113">
        <v>7013073</v>
      </c>
      <c r="D4337" s="113" t="s">
        <v>3093</v>
      </c>
      <c r="E4337" s="113" t="s">
        <v>1620</v>
      </c>
      <c r="F4337" s="113" t="s">
        <v>3093</v>
      </c>
      <c r="G4337" s="113" t="s">
        <v>3093</v>
      </c>
      <c r="H4337" s="161">
        <v>0.1077</v>
      </c>
      <c r="I4337" s="161">
        <v>3400</v>
      </c>
    </row>
    <row r="4338" spans="1:9">
      <c r="A4338" s="113">
        <v>101200019</v>
      </c>
      <c r="B4338" s="113" t="s">
        <v>6978</v>
      </c>
      <c r="C4338" s="113">
        <v>7013074</v>
      </c>
      <c r="D4338" s="113" t="s">
        <v>3093</v>
      </c>
      <c r="E4338" s="113" t="s">
        <v>1620</v>
      </c>
      <c r="F4338" s="113" t="s">
        <v>3093</v>
      </c>
      <c r="G4338" s="113" t="s">
        <v>3093</v>
      </c>
      <c r="H4338" s="161">
        <v>0.25</v>
      </c>
      <c r="I4338" s="161">
        <v>500</v>
      </c>
    </row>
    <row r="4339" spans="1:9">
      <c r="A4339" s="113">
        <v>101200020</v>
      </c>
      <c r="B4339" s="113" t="s">
        <v>6979</v>
      </c>
      <c r="C4339" s="113">
        <v>7013075</v>
      </c>
      <c r="D4339" s="113" t="s">
        <v>3093</v>
      </c>
      <c r="E4339" s="113" t="s">
        <v>1620</v>
      </c>
      <c r="F4339" s="113" t="s">
        <v>3093</v>
      </c>
      <c r="G4339" s="115" t="s">
        <v>3093</v>
      </c>
      <c r="H4339" s="161">
        <v>0.23069999999999999</v>
      </c>
      <c r="I4339" s="161">
        <v>50</v>
      </c>
    </row>
    <row r="4340" spans="1:9">
      <c r="A4340" s="113">
        <v>101200021</v>
      </c>
      <c r="B4340" s="113" t="s">
        <v>6980</v>
      </c>
      <c r="C4340" s="113">
        <v>7013077</v>
      </c>
      <c r="D4340" s="113" t="s">
        <v>3093</v>
      </c>
      <c r="E4340" s="113" t="s">
        <v>1620</v>
      </c>
      <c r="F4340" s="113" t="s">
        <v>3093</v>
      </c>
      <c r="G4340" s="113" t="s">
        <v>3093</v>
      </c>
      <c r="H4340" s="161">
        <v>0.41</v>
      </c>
      <c r="I4340" s="161">
        <v>0</v>
      </c>
    </row>
    <row r="4341" spans="1:9">
      <c r="A4341" s="113">
        <v>101200022</v>
      </c>
      <c r="B4341" s="113" t="s">
        <v>6981</v>
      </c>
      <c r="C4341" s="113">
        <v>7013078</v>
      </c>
      <c r="D4341" s="113" t="s">
        <v>3093</v>
      </c>
      <c r="E4341" s="113" t="s">
        <v>1620</v>
      </c>
      <c r="F4341" s="113" t="s">
        <v>3093</v>
      </c>
      <c r="G4341" s="115" t="s">
        <v>3093</v>
      </c>
      <c r="H4341" s="161">
        <v>4.4999999999999998E-2</v>
      </c>
      <c r="I4341" s="161">
        <v>4000</v>
      </c>
    </row>
    <row r="4342" spans="1:9">
      <c r="A4342" s="113">
        <v>101200023</v>
      </c>
      <c r="B4342" s="113" t="s">
        <v>6982</v>
      </c>
      <c r="C4342" s="113">
        <v>7013081</v>
      </c>
      <c r="D4342" s="113" t="s">
        <v>3093</v>
      </c>
      <c r="E4342" s="113" t="s">
        <v>1620</v>
      </c>
      <c r="F4342" s="113" t="s">
        <v>3093</v>
      </c>
      <c r="G4342" s="113" t="s">
        <v>3093</v>
      </c>
      <c r="H4342" s="161">
        <v>20</v>
      </c>
      <c r="I4342" s="161">
        <v>2400</v>
      </c>
    </row>
    <row r="4343" spans="1:9">
      <c r="A4343" s="113">
        <v>101200024</v>
      </c>
      <c r="B4343" s="113" t="s">
        <v>6983</v>
      </c>
      <c r="C4343" s="113">
        <v>7013082</v>
      </c>
      <c r="D4343" s="113" t="s">
        <v>3093</v>
      </c>
      <c r="E4343" s="113" t="s">
        <v>1620</v>
      </c>
      <c r="F4343" s="113" t="s">
        <v>3093</v>
      </c>
      <c r="G4343" s="113" t="s">
        <v>3093</v>
      </c>
      <c r="H4343" s="161">
        <v>3.73</v>
      </c>
      <c r="I4343" s="161">
        <v>150</v>
      </c>
    </row>
    <row r="4344" spans="1:9">
      <c r="A4344" s="113">
        <v>101200025</v>
      </c>
      <c r="B4344" s="113" t="s">
        <v>6984</v>
      </c>
      <c r="C4344" s="113">
        <v>7013083</v>
      </c>
      <c r="D4344" s="113" t="s">
        <v>3093</v>
      </c>
      <c r="E4344" s="113" t="s">
        <v>1620</v>
      </c>
      <c r="F4344" s="113" t="s">
        <v>3093</v>
      </c>
      <c r="G4344" s="113" t="s">
        <v>3093</v>
      </c>
      <c r="H4344" s="161">
        <v>5</v>
      </c>
      <c r="I4344" s="161">
        <v>0</v>
      </c>
    </row>
    <row r="4345" spans="1:9">
      <c r="A4345" s="113">
        <v>101200026</v>
      </c>
      <c r="B4345" s="113" t="s">
        <v>6985</v>
      </c>
      <c r="C4345" s="113">
        <v>7013084</v>
      </c>
      <c r="D4345" s="113" t="s">
        <v>3093</v>
      </c>
      <c r="E4345" s="113" t="s">
        <v>1620</v>
      </c>
      <c r="F4345" s="113" t="s">
        <v>3093</v>
      </c>
      <c r="G4345" s="115" t="s">
        <v>3093</v>
      </c>
      <c r="H4345" s="161">
        <v>3.3628999999999998</v>
      </c>
      <c r="I4345" s="161">
        <v>55</v>
      </c>
    </row>
    <row r="4346" spans="1:9">
      <c r="A4346" s="113">
        <v>101200027</v>
      </c>
      <c r="B4346" s="113" t="s">
        <v>6986</v>
      </c>
      <c r="C4346" s="113">
        <v>7013086</v>
      </c>
      <c r="D4346" s="113" t="s">
        <v>3093</v>
      </c>
      <c r="E4346" s="113" t="s">
        <v>1620</v>
      </c>
      <c r="F4346" s="113" t="s">
        <v>3093</v>
      </c>
      <c r="G4346" s="113" t="s">
        <v>3093</v>
      </c>
      <c r="H4346" s="161">
        <v>11</v>
      </c>
      <c r="I4346" s="161">
        <v>6</v>
      </c>
    </row>
    <row r="4347" spans="1:9">
      <c r="A4347" s="113">
        <v>101200028</v>
      </c>
      <c r="B4347" s="113" t="s">
        <v>6987</v>
      </c>
      <c r="C4347" s="113">
        <v>7013087</v>
      </c>
      <c r="D4347" s="113" t="s">
        <v>3093</v>
      </c>
      <c r="E4347" s="113" t="s">
        <v>1620</v>
      </c>
      <c r="F4347" s="113" t="s">
        <v>3093</v>
      </c>
      <c r="G4347" s="113" t="s">
        <v>3093</v>
      </c>
      <c r="H4347" s="161">
        <v>21</v>
      </c>
      <c r="I4347" s="161">
        <v>4</v>
      </c>
    </row>
    <row r="4348" spans="1:9">
      <c r="A4348" s="113">
        <v>101200029</v>
      </c>
      <c r="B4348" s="113" t="s">
        <v>6988</v>
      </c>
      <c r="C4348" s="113">
        <v>7013088</v>
      </c>
      <c r="D4348" s="113" t="s">
        <v>3093</v>
      </c>
      <c r="E4348" s="113" t="s">
        <v>1620</v>
      </c>
      <c r="F4348" s="113" t="s">
        <v>3093</v>
      </c>
      <c r="G4348" s="115" t="s">
        <v>3093</v>
      </c>
      <c r="H4348" s="161">
        <v>0</v>
      </c>
      <c r="I4348" s="161" t="s">
        <v>7138</v>
      </c>
    </row>
    <row r="4349" spans="1:9">
      <c r="A4349" s="113">
        <v>101200030</v>
      </c>
      <c r="B4349" s="113" t="s">
        <v>6989</v>
      </c>
      <c r="C4349" s="113">
        <v>7013089</v>
      </c>
      <c r="D4349" s="113" t="s">
        <v>3093</v>
      </c>
      <c r="E4349" s="113" t="s">
        <v>1620</v>
      </c>
      <c r="F4349" s="113" t="s">
        <v>3093</v>
      </c>
      <c r="G4349" s="113" t="s">
        <v>3093</v>
      </c>
      <c r="H4349" s="161">
        <v>115</v>
      </c>
      <c r="I4349" s="161">
        <v>1</v>
      </c>
    </row>
    <row r="4350" spans="1:9">
      <c r="A4350" s="113">
        <v>101200031</v>
      </c>
      <c r="B4350" s="113" t="s">
        <v>6990</v>
      </c>
      <c r="C4350" s="113">
        <v>7013090</v>
      </c>
      <c r="D4350" s="113" t="s">
        <v>3093</v>
      </c>
      <c r="E4350" s="113" t="s">
        <v>1620</v>
      </c>
      <c r="F4350" s="113" t="s">
        <v>3093</v>
      </c>
      <c r="G4350" s="113" t="s">
        <v>3093</v>
      </c>
      <c r="H4350" s="161">
        <v>36.83</v>
      </c>
      <c r="I4350" s="161">
        <v>2</v>
      </c>
    </row>
    <row r="4351" spans="1:9">
      <c r="A4351" s="113">
        <v>101200032</v>
      </c>
      <c r="B4351" s="113" t="s">
        <v>6991</v>
      </c>
      <c r="C4351" s="113">
        <v>7013091</v>
      </c>
      <c r="D4351" s="113" t="s">
        <v>3093</v>
      </c>
      <c r="E4351" s="113" t="s">
        <v>1620</v>
      </c>
      <c r="F4351" s="113" t="s">
        <v>3093</v>
      </c>
      <c r="G4351" s="113" t="s">
        <v>3093</v>
      </c>
      <c r="H4351" s="161">
        <v>47</v>
      </c>
      <c r="I4351" s="161">
        <v>4</v>
      </c>
    </row>
    <row r="4352" spans="1:9">
      <c r="A4352" s="113">
        <v>101200034</v>
      </c>
      <c r="B4352" s="113" t="s">
        <v>6992</v>
      </c>
      <c r="C4352" s="113">
        <v>7013095</v>
      </c>
      <c r="D4352" s="113" t="s">
        <v>3093</v>
      </c>
      <c r="E4352" s="113" t="s">
        <v>1620</v>
      </c>
      <c r="F4352" s="113" t="s">
        <v>3093</v>
      </c>
      <c r="G4352" s="113" t="s">
        <v>3093</v>
      </c>
      <c r="H4352" s="161">
        <v>27</v>
      </c>
      <c r="I4352" s="161">
        <v>0</v>
      </c>
    </row>
    <row r="4353" spans="1:9">
      <c r="A4353" s="113">
        <v>101200035</v>
      </c>
      <c r="B4353" s="113" t="s">
        <v>6993</v>
      </c>
      <c r="C4353" s="113">
        <v>7013096</v>
      </c>
      <c r="D4353" s="113" t="s">
        <v>3093</v>
      </c>
      <c r="E4353" s="113" t="s">
        <v>1620</v>
      </c>
      <c r="F4353" s="113" t="s">
        <v>3093</v>
      </c>
      <c r="G4353" s="113" t="s">
        <v>3093</v>
      </c>
      <c r="H4353" s="161">
        <v>50</v>
      </c>
      <c r="I4353" s="161">
        <v>0</v>
      </c>
    </row>
    <row r="4354" spans="1:9">
      <c r="A4354" s="113">
        <v>101200036</v>
      </c>
      <c r="B4354" s="113" t="s">
        <v>6994</v>
      </c>
      <c r="C4354" s="113">
        <v>7013097</v>
      </c>
      <c r="D4354" s="113" t="s">
        <v>3093</v>
      </c>
      <c r="E4354" s="113" t="s">
        <v>1620</v>
      </c>
      <c r="F4354" s="113" t="s">
        <v>3093</v>
      </c>
      <c r="G4354" s="113" t="s">
        <v>3093</v>
      </c>
      <c r="H4354" s="161">
        <v>63.031399999999998</v>
      </c>
      <c r="I4354" s="161">
        <v>1</v>
      </c>
    </row>
    <row r="4355" spans="1:9">
      <c r="A4355" s="113">
        <v>101200037</v>
      </c>
      <c r="B4355" s="113" t="s">
        <v>6995</v>
      </c>
      <c r="C4355" s="113">
        <v>7013098</v>
      </c>
      <c r="D4355" s="113" t="s">
        <v>3093</v>
      </c>
      <c r="E4355" s="113" t="s">
        <v>1620</v>
      </c>
      <c r="F4355" s="113" t="s">
        <v>3093</v>
      </c>
      <c r="G4355" s="113" t="s">
        <v>3093</v>
      </c>
      <c r="H4355" s="161">
        <v>78.6738</v>
      </c>
      <c r="I4355" s="161">
        <v>0</v>
      </c>
    </row>
    <row r="4356" spans="1:9">
      <c r="A4356" s="113">
        <v>101200039</v>
      </c>
      <c r="B4356" s="113" t="s">
        <v>6996</v>
      </c>
      <c r="C4356" s="113">
        <v>7013107</v>
      </c>
      <c r="D4356" s="113" t="s">
        <v>7139</v>
      </c>
      <c r="E4356" s="113" t="s">
        <v>99</v>
      </c>
      <c r="F4356" s="113" t="s">
        <v>7139</v>
      </c>
      <c r="G4356" s="113" t="s">
        <v>7139</v>
      </c>
      <c r="H4356" s="161">
        <v>0</v>
      </c>
      <c r="I4356" s="161" t="s">
        <v>7139</v>
      </c>
    </row>
    <row r="4357" spans="1:9">
      <c r="A4357" s="113">
        <v>101200040</v>
      </c>
      <c r="B4357" s="113" t="s">
        <v>6997</v>
      </c>
      <c r="C4357" s="113">
        <v>7013108</v>
      </c>
      <c r="D4357" s="113" t="s">
        <v>7139</v>
      </c>
      <c r="E4357" s="113" t="s">
        <v>99</v>
      </c>
      <c r="F4357" s="113" t="s">
        <v>7139</v>
      </c>
      <c r="G4357" s="113" t="s">
        <v>3093</v>
      </c>
      <c r="H4357" s="161">
        <v>2.0209999999999999E-2</v>
      </c>
      <c r="I4357" s="161" t="s">
        <v>7138</v>
      </c>
    </row>
    <row r="4358" spans="1:9">
      <c r="A4358" s="113">
        <v>101200043</v>
      </c>
      <c r="B4358" s="113" t="s">
        <v>6998</v>
      </c>
      <c r="C4358" s="113">
        <v>7014174</v>
      </c>
      <c r="D4358" s="113" t="s">
        <v>3093</v>
      </c>
      <c r="E4358" s="113" t="s">
        <v>1620</v>
      </c>
      <c r="F4358" s="113" t="s">
        <v>3093</v>
      </c>
      <c r="G4358" s="115" t="s">
        <v>3093</v>
      </c>
      <c r="H4358" s="161">
        <v>5.12</v>
      </c>
      <c r="I4358" s="161">
        <v>360</v>
      </c>
    </row>
    <row r="4359" spans="1:9">
      <c r="A4359" s="113">
        <v>101200044</v>
      </c>
      <c r="B4359" s="113" t="s">
        <v>6999</v>
      </c>
      <c r="C4359" s="113">
        <v>3500161</v>
      </c>
      <c r="D4359" s="113" t="s">
        <v>3093</v>
      </c>
      <c r="E4359" s="113" t="s">
        <v>1620</v>
      </c>
      <c r="F4359" s="113" t="s">
        <v>3093</v>
      </c>
      <c r="G4359" s="115" t="s">
        <v>3093</v>
      </c>
      <c r="H4359" s="161">
        <v>0</v>
      </c>
      <c r="I4359" s="161" t="s">
        <v>7138</v>
      </c>
    </row>
    <row r="4360" spans="1:9">
      <c r="A4360" s="113">
        <v>101200045</v>
      </c>
      <c r="B4360" s="113" t="s">
        <v>7000</v>
      </c>
      <c r="C4360" s="113">
        <v>7013111</v>
      </c>
      <c r="D4360" s="113" t="s">
        <v>3093</v>
      </c>
      <c r="E4360" s="113" t="s">
        <v>2522</v>
      </c>
      <c r="F4360" s="113" t="s">
        <v>3093</v>
      </c>
      <c r="G4360" s="113" t="s">
        <v>3093</v>
      </c>
      <c r="H4360" s="161">
        <v>45.83</v>
      </c>
      <c r="I4360" s="161">
        <v>95</v>
      </c>
    </row>
    <row r="4361" spans="1:9">
      <c r="A4361" s="113">
        <v>101200046</v>
      </c>
      <c r="B4361" s="113" t="s">
        <v>7001</v>
      </c>
      <c r="C4361" s="113">
        <v>7013025</v>
      </c>
      <c r="D4361" s="113" t="s">
        <v>3093</v>
      </c>
      <c r="E4361" s="113" t="s">
        <v>99</v>
      </c>
      <c r="F4361" s="113" t="s">
        <v>3093</v>
      </c>
      <c r="G4361" s="113" t="s">
        <v>3093</v>
      </c>
      <c r="H4361" s="161">
        <v>0.6</v>
      </c>
      <c r="I4361" s="161">
        <v>6000</v>
      </c>
    </row>
    <row r="4362" spans="1:9">
      <c r="A4362" s="113">
        <v>101200047</v>
      </c>
      <c r="B4362" s="113" t="s">
        <v>7002</v>
      </c>
      <c r="C4362" s="113">
        <v>7013027</v>
      </c>
      <c r="D4362" s="113" t="s">
        <v>3093</v>
      </c>
      <c r="E4362" s="113" t="s">
        <v>99</v>
      </c>
      <c r="F4362" s="113" t="s">
        <v>3093</v>
      </c>
      <c r="G4362" s="115" t="s">
        <v>3093</v>
      </c>
      <c r="H4362" s="161">
        <v>1.37E-2</v>
      </c>
      <c r="I4362" s="161">
        <v>76000</v>
      </c>
    </row>
    <row r="4363" spans="1:9">
      <c r="A4363" s="113">
        <v>101200048</v>
      </c>
      <c r="B4363" s="113" t="s">
        <v>7003</v>
      </c>
      <c r="C4363" s="113">
        <v>7013031</v>
      </c>
      <c r="D4363" s="113" t="s">
        <v>3093</v>
      </c>
      <c r="E4363" s="113" t="s">
        <v>99</v>
      </c>
      <c r="F4363" s="113" t="s">
        <v>3093</v>
      </c>
      <c r="G4363" s="113" t="s">
        <v>3093</v>
      </c>
      <c r="H4363" s="161">
        <v>0.04</v>
      </c>
      <c r="I4363" s="161">
        <v>3000</v>
      </c>
    </row>
    <row r="4364" spans="1:9">
      <c r="A4364" s="113">
        <v>101200049</v>
      </c>
      <c r="B4364" s="113" t="s">
        <v>7004</v>
      </c>
      <c r="C4364" s="113">
        <v>7013042</v>
      </c>
      <c r="D4364" s="113" t="s">
        <v>3093</v>
      </c>
      <c r="E4364" s="113" t="s">
        <v>99</v>
      </c>
      <c r="F4364" s="113" t="s">
        <v>3093</v>
      </c>
      <c r="G4364" s="113"/>
      <c r="H4364" s="161">
        <v>6.9000000000000006E-2</v>
      </c>
      <c r="I4364" s="161">
        <v>3000</v>
      </c>
    </row>
    <row r="4365" spans="1:9">
      <c r="A4365" s="113">
        <v>101200050</v>
      </c>
      <c r="B4365" s="113" t="s">
        <v>7005</v>
      </c>
      <c r="C4365" s="113">
        <v>7013049</v>
      </c>
      <c r="D4365" s="113" t="s">
        <v>3093</v>
      </c>
      <c r="E4365" s="113" t="s">
        <v>99</v>
      </c>
      <c r="F4365" s="113" t="s">
        <v>3093</v>
      </c>
      <c r="G4365" s="113" t="s">
        <v>3093</v>
      </c>
      <c r="H4365" s="161">
        <v>0.04</v>
      </c>
      <c r="I4365" s="161">
        <v>6000</v>
      </c>
    </row>
    <row r="4366" spans="1:9">
      <c r="A4366" s="113">
        <v>101200051</v>
      </c>
      <c r="B4366" s="113" t="s">
        <v>7006</v>
      </c>
      <c r="C4366" s="113">
        <v>7013053</v>
      </c>
      <c r="D4366" s="113" t="s">
        <v>3093</v>
      </c>
      <c r="E4366" s="113" t="s">
        <v>99</v>
      </c>
      <c r="F4366" s="113" t="s">
        <v>3093</v>
      </c>
      <c r="G4366" s="113" t="s">
        <v>3093</v>
      </c>
      <c r="H4366" s="161">
        <v>0.01</v>
      </c>
      <c r="I4366" s="161">
        <v>60000</v>
      </c>
    </row>
    <row r="4367" spans="1:9">
      <c r="A4367" s="113">
        <v>101200052</v>
      </c>
      <c r="B4367" s="113" t="s">
        <v>7007</v>
      </c>
      <c r="C4367" s="113">
        <v>7013054</v>
      </c>
      <c r="D4367" s="113" t="s">
        <v>3093</v>
      </c>
      <c r="E4367" s="113" t="s">
        <v>99</v>
      </c>
      <c r="F4367" s="113" t="s">
        <v>3093</v>
      </c>
      <c r="G4367" s="113" t="s">
        <v>3093</v>
      </c>
      <c r="H4367" s="161">
        <v>8.5000000000000006E-3</v>
      </c>
      <c r="I4367" s="161">
        <v>12000</v>
      </c>
    </row>
    <row r="4368" spans="1:9">
      <c r="A4368" s="113">
        <v>101200053</v>
      </c>
      <c r="B4368" s="113" t="s">
        <v>7008</v>
      </c>
      <c r="C4368" s="113">
        <v>7013092</v>
      </c>
      <c r="D4368" s="113" t="s">
        <v>3093</v>
      </c>
      <c r="E4368" s="113" t="s">
        <v>99</v>
      </c>
      <c r="F4368" s="113" t="s">
        <v>3093</v>
      </c>
      <c r="G4368" s="113" t="s">
        <v>3093</v>
      </c>
      <c r="H4368" s="161">
        <v>1.2E-2</v>
      </c>
      <c r="I4368" s="161">
        <v>100</v>
      </c>
    </row>
    <row r="4369" spans="1:9">
      <c r="A4369" s="113">
        <v>101200054</v>
      </c>
      <c r="B4369" s="113" t="s">
        <v>7009</v>
      </c>
      <c r="C4369" s="113">
        <v>7013105</v>
      </c>
      <c r="D4369" s="113" t="s">
        <v>3093</v>
      </c>
      <c r="E4369" s="113" t="s">
        <v>99</v>
      </c>
      <c r="F4369" s="113" t="s">
        <v>3093</v>
      </c>
      <c r="G4369" s="113" t="s">
        <v>3093</v>
      </c>
      <c r="H4369" s="161">
        <v>2.5999999999999999E-2</v>
      </c>
      <c r="I4369" s="161">
        <v>29000</v>
      </c>
    </row>
    <row r="4370" spans="1:9">
      <c r="A4370" s="113">
        <v>101200055</v>
      </c>
      <c r="B4370" s="113" t="s">
        <v>6996</v>
      </c>
      <c r="C4370" s="113">
        <v>7013107</v>
      </c>
      <c r="D4370" s="113" t="s">
        <v>3093</v>
      </c>
      <c r="E4370" s="113" t="s">
        <v>99</v>
      </c>
      <c r="F4370" s="113" t="s">
        <v>3093</v>
      </c>
      <c r="G4370" s="113" t="s">
        <v>3093</v>
      </c>
      <c r="H4370" s="161">
        <v>6.7999999999999996E-3</v>
      </c>
      <c r="I4370" s="161">
        <v>59000</v>
      </c>
    </row>
    <row r="4371" spans="1:9">
      <c r="A4371" s="113">
        <v>101200056</v>
      </c>
      <c r="B4371" s="113" t="s">
        <v>6997</v>
      </c>
      <c r="C4371" s="113">
        <v>7013108</v>
      </c>
      <c r="D4371" s="113" t="s">
        <v>3093</v>
      </c>
      <c r="E4371" s="113" t="s">
        <v>99</v>
      </c>
      <c r="F4371" s="113" t="s">
        <v>3093</v>
      </c>
      <c r="G4371" s="113" t="s">
        <v>3093</v>
      </c>
      <c r="H4371" s="161">
        <v>8.8999999999999999E-3</v>
      </c>
      <c r="I4371" s="161">
        <v>2000</v>
      </c>
    </row>
    <row r="4372" spans="1:9">
      <c r="A4372" s="113">
        <v>101200057</v>
      </c>
      <c r="B4372" s="113" t="s">
        <v>7010</v>
      </c>
      <c r="C4372" s="113">
        <v>7013109</v>
      </c>
      <c r="D4372" s="113" t="s">
        <v>3093</v>
      </c>
      <c r="E4372" s="113" t="s">
        <v>99</v>
      </c>
      <c r="F4372" s="113" t="s">
        <v>3093</v>
      </c>
      <c r="G4372" s="113" t="s">
        <v>3093</v>
      </c>
      <c r="H4372" s="161">
        <v>0.14000000000000001</v>
      </c>
      <c r="I4372" s="161">
        <v>0</v>
      </c>
    </row>
    <row r="4373" spans="1:9">
      <c r="A4373" s="113">
        <v>101300001</v>
      </c>
      <c r="B4373" s="113" t="s">
        <v>7011</v>
      </c>
      <c r="C4373" s="113">
        <v>7015030</v>
      </c>
      <c r="D4373" s="113" t="s">
        <v>3093</v>
      </c>
      <c r="E4373" s="113" t="s">
        <v>1620</v>
      </c>
      <c r="F4373" s="113" t="s">
        <v>3093</v>
      </c>
      <c r="G4373" s="113" t="s">
        <v>3093</v>
      </c>
      <c r="H4373" s="161">
        <v>175</v>
      </c>
      <c r="I4373" s="161">
        <v>0</v>
      </c>
    </row>
    <row r="4374" spans="1:9">
      <c r="A4374" s="113">
        <v>101300002</v>
      </c>
      <c r="B4374" s="113" t="s">
        <v>7012</v>
      </c>
      <c r="C4374" s="113">
        <v>7015038</v>
      </c>
      <c r="D4374" s="113" t="s">
        <v>3093</v>
      </c>
      <c r="E4374" s="113" t="s">
        <v>1620</v>
      </c>
      <c r="F4374" s="113" t="s">
        <v>3093</v>
      </c>
      <c r="G4374" s="113" t="s">
        <v>3093</v>
      </c>
      <c r="H4374" s="161">
        <v>71.23</v>
      </c>
      <c r="I4374" s="161">
        <v>60</v>
      </c>
    </row>
    <row r="4375" spans="1:9">
      <c r="A4375" s="113">
        <v>101300003</v>
      </c>
      <c r="B4375" s="113" t="s">
        <v>7013</v>
      </c>
      <c r="C4375" s="113">
        <v>7015044</v>
      </c>
      <c r="D4375" s="113" t="s">
        <v>3093</v>
      </c>
      <c r="E4375" s="113" t="s">
        <v>1620</v>
      </c>
      <c r="F4375" s="113" t="s">
        <v>3093</v>
      </c>
      <c r="G4375" s="113" t="s">
        <v>3093</v>
      </c>
      <c r="H4375" s="161">
        <v>0</v>
      </c>
      <c r="I4375" s="161" t="s">
        <v>7138</v>
      </c>
    </row>
    <row r="4376" spans="1:9">
      <c r="A4376" s="113">
        <v>101300004</v>
      </c>
      <c r="B4376" s="113" t="s">
        <v>7014</v>
      </c>
      <c r="C4376" s="113">
        <v>7015046</v>
      </c>
      <c r="D4376" s="113" t="s">
        <v>3093</v>
      </c>
      <c r="E4376" s="113" t="s">
        <v>1620</v>
      </c>
      <c r="F4376" s="113" t="s">
        <v>3093</v>
      </c>
      <c r="G4376" s="113" t="s">
        <v>3093</v>
      </c>
      <c r="H4376" s="161">
        <v>0</v>
      </c>
      <c r="I4376" s="161" t="s">
        <v>7138</v>
      </c>
    </row>
    <row r="4377" spans="1:9">
      <c r="A4377" s="113">
        <v>101300005</v>
      </c>
      <c r="B4377" s="113" t="s">
        <v>7015</v>
      </c>
      <c r="C4377" s="113">
        <v>7015047</v>
      </c>
      <c r="D4377" s="113" t="s">
        <v>3093</v>
      </c>
      <c r="E4377" s="113" t="s">
        <v>1620</v>
      </c>
      <c r="F4377" s="113" t="s">
        <v>3093</v>
      </c>
      <c r="G4377" s="113" t="s">
        <v>3093</v>
      </c>
      <c r="H4377" s="161">
        <v>0</v>
      </c>
      <c r="I4377" s="161" t="s">
        <v>7138</v>
      </c>
    </row>
    <row r="4378" spans="1:9">
      <c r="A4378" s="113">
        <v>101300006</v>
      </c>
      <c r="B4378" s="113" t="s">
        <v>7016</v>
      </c>
      <c r="C4378" s="113">
        <v>7015048</v>
      </c>
      <c r="D4378" s="113" t="s">
        <v>3093</v>
      </c>
      <c r="E4378" s="113" t="s">
        <v>1620</v>
      </c>
      <c r="F4378" s="113" t="s">
        <v>3093</v>
      </c>
      <c r="G4378" s="113" t="s">
        <v>3093</v>
      </c>
      <c r="H4378" s="161">
        <v>0</v>
      </c>
      <c r="I4378" s="161" t="s">
        <v>7138</v>
      </c>
    </row>
    <row r="4379" spans="1:9">
      <c r="A4379" s="113">
        <v>101300007</v>
      </c>
      <c r="B4379" s="113" t="s">
        <v>7017</v>
      </c>
      <c r="C4379" s="113">
        <v>7015050</v>
      </c>
      <c r="D4379" s="113" t="s">
        <v>3093</v>
      </c>
      <c r="E4379" s="113" t="s">
        <v>1620</v>
      </c>
      <c r="F4379" s="113" t="s">
        <v>3093</v>
      </c>
      <c r="G4379" s="113" t="s">
        <v>3093</v>
      </c>
      <c r="H4379" s="161">
        <v>0</v>
      </c>
      <c r="I4379" s="161" t="s">
        <v>7138</v>
      </c>
    </row>
    <row r="4380" spans="1:9">
      <c r="A4380" s="113">
        <v>101300008</v>
      </c>
      <c r="B4380" s="113" t="s">
        <v>7018</v>
      </c>
      <c r="C4380" s="113">
        <v>7015053</v>
      </c>
      <c r="D4380" s="113" t="s">
        <v>3093</v>
      </c>
      <c r="E4380" s="113" t="s">
        <v>1620</v>
      </c>
      <c r="F4380" s="113" t="s">
        <v>3093</v>
      </c>
      <c r="G4380" s="113" t="s">
        <v>3093</v>
      </c>
      <c r="H4380" s="161">
        <v>22.5</v>
      </c>
      <c r="I4380" s="161">
        <v>102</v>
      </c>
    </row>
    <row r="4381" spans="1:9">
      <c r="A4381" s="113">
        <v>101300009</v>
      </c>
      <c r="B4381" s="113" t="s">
        <v>7019</v>
      </c>
      <c r="C4381" s="113">
        <v>7015054</v>
      </c>
      <c r="D4381" s="113" t="s">
        <v>3093</v>
      </c>
      <c r="E4381" s="113" t="s">
        <v>1620</v>
      </c>
      <c r="F4381" s="113" t="s">
        <v>3093</v>
      </c>
      <c r="G4381" s="113" t="s">
        <v>3093</v>
      </c>
      <c r="H4381" s="161">
        <v>0</v>
      </c>
      <c r="I4381" s="161" t="s">
        <v>7138</v>
      </c>
    </row>
    <row r="4382" spans="1:9">
      <c r="A4382" s="113">
        <v>101300010</v>
      </c>
      <c r="B4382" s="113" t="s">
        <v>7020</v>
      </c>
      <c r="C4382" s="113">
        <v>7015055</v>
      </c>
      <c r="D4382" s="113" t="s">
        <v>3093</v>
      </c>
      <c r="E4382" s="113" t="s">
        <v>1620</v>
      </c>
      <c r="F4382" s="113" t="s">
        <v>3093</v>
      </c>
      <c r="G4382" s="113" t="s">
        <v>3093</v>
      </c>
      <c r="H4382" s="161">
        <v>0</v>
      </c>
      <c r="I4382" s="161" t="s">
        <v>7138</v>
      </c>
    </row>
    <row r="4383" spans="1:9">
      <c r="A4383" s="113">
        <v>101300011</v>
      </c>
      <c r="B4383" s="113" t="s">
        <v>7021</v>
      </c>
      <c r="C4383" s="113">
        <v>7015056</v>
      </c>
      <c r="D4383" s="113" t="s">
        <v>3093</v>
      </c>
      <c r="E4383" s="113" t="s">
        <v>1620</v>
      </c>
      <c r="F4383" s="113" t="s">
        <v>3093</v>
      </c>
      <c r="G4383" s="113" t="s">
        <v>3093</v>
      </c>
      <c r="H4383" s="161">
        <v>341</v>
      </c>
      <c r="I4383" s="161">
        <v>3</v>
      </c>
    </row>
    <row r="4384" spans="1:9">
      <c r="A4384" s="113">
        <v>101300012</v>
      </c>
      <c r="B4384" s="113" t="s">
        <v>7022</v>
      </c>
      <c r="C4384" s="113">
        <v>7015057</v>
      </c>
      <c r="D4384" s="113" t="s">
        <v>3093</v>
      </c>
      <c r="E4384" s="113" t="s">
        <v>1620</v>
      </c>
      <c r="F4384" s="113" t="s">
        <v>3093</v>
      </c>
      <c r="G4384" s="113" t="s">
        <v>3093</v>
      </c>
      <c r="H4384" s="161">
        <v>48</v>
      </c>
      <c r="I4384" s="161">
        <v>78</v>
      </c>
    </row>
    <row r="4385" spans="1:9">
      <c r="A4385" s="113">
        <v>101300013</v>
      </c>
      <c r="B4385" s="113" t="s">
        <v>7023</v>
      </c>
      <c r="C4385" s="113">
        <v>7015058</v>
      </c>
      <c r="D4385" s="113" t="s">
        <v>3093</v>
      </c>
      <c r="E4385" s="113" t="s">
        <v>1620</v>
      </c>
      <c r="F4385" s="113" t="s">
        <v>3093</v>
      </c>
      <c r="G4385" s="113" t="s">
        <v>3093</v>
      </c>
      <c r="H4385" s="161">
        <v>48</v>
      </c>
      <c r="I4385" s="161">
        <v>68</v>
      </c>
    </row>
    <row r="4386" spans="1:9">
      <c r="A4386" s="113">
        <v>101300014</v>
      </c>
      <c r="B4386" s="113" t="s">
        <v>1049</v>
      </c>
      <c r="C4386" s="113">
        <v>7015061</v>
      </c>
      <c r="D4386" s="113" t="s">
        <v>3093</v>
      </c>
      <c r="E4386" s="113" t="s">
        <v>1620</v>
      </c>
      <c r="F4386" s="113" t="s">
        <v>3093</v>
      </c>
      <c r="G4386" s="115" t="s">
        <v>3093</v>
      </c>
      <c r="H4386" s="161">
        <v>29.95</v>
      </c>
      <c r="I4386" s="161">
        <v>8</v>
      </c>
    </row>
    <row r="4387" spans="1:9">
      <c r="A4387" s="113">
        <v>101300015</v>
      </c>
      <c r="B4387" s="113" t="s">
        <v>7024</v>
      </c>
      <c r="C4387" s="113">
        <v>7015062</v>
      </c>
      <c r="D4387" s="113" t="s">
        <v>3093</v>
      </c>
      <c r="E4387" s="113" t="s">
        <v>1620</v>
      </c>
      <c r="F4387" s="113" t="s">
        <v>3093</v>
      </c>
      <c r="G4387" s="115" t="s">
        <v>3093</v>
      </c>
      <c r="H4387" s="161">
        <v>24.97</v>
      </c>
      <c r="I4387" s="161">
        <v>147</v>
      </c>
    </row>
    <row r="4388" spans="1:9">
      <c r="A4388" s="113">
        <v>101300016</v>
      </c>
      <c r="B4388" s="113" t="s">
        <v>7025</v>
      </c>
      <c r="C4388" s="113">
        <v>7015063</v>
      </c>
      <c r="D4388" s="113" t="s">
        <v>3093</v>
      </c>
      <c r="E4388" s="113" t="s">
        <v>1620</v>
      </c>
      <c r="F4388" s="113" t="s">
        <v>3093</v>
      </c>
      <c r="G4388" s="115" t="s">
        <v>3093</v>
      </c>
      <c r="H4388" s="161">
        <v>24.97</v>
      </c>
      <c r="I4388" s="161">
        <v>123</v>
      </c>
    </row>
    <row r="4389" spans="1:9">
      <c r="A4389" s="113">
        <v>101300017</v>
      </c>
      <c r="B4389" s="113" t="s">
        <v>7026</v>
      </c>
      <c r="C4389" s="113">
        <v>7015064</v>
      </c>
      <c r="D4389" s="113" t="s">
        <v>3093</v>
      </c>
      <c r="E4389" s="113" t="s">
        <v>1620</v>
      </c>
      <c r="F4389" s="113" t="s">
        <v>3093</v>
      </c>
      <c r="G4389" s="115" t="s">
        <v>3093</v>
      </c>
      <c r="H4389" s="161">
        <v>24.97</v>
      </c>
      <c r="I4389" s="161">
        <v>123</v>
      </c>
    </row>
    <row r="4390" spans="1:9">
      <c r="A4390" s="113">
        <v>101300018</v>
      </c>
      <c r="B4390" s="113" t="s">
        <v>7027</v>
      </c>
      <c r="C4390" s="113">
        <v>7015065</v>
      </c>
      <c r="D4390" s="113" t="s">
        <v>3093</v>
      </c>
      <c r="E4390" s="113" t="s">
        <v>1620</v>
      </c>
      <c r="F4390" s="113" t="s">
        <v>3093</v>
      </c>
      <c r="G4390" s="115" t="s">
        <v>3093</v>
      </c>
      <c r="H4390" s="161">
        <v>26.54</v>
      </c>
      <c r="I4390" s="161">
        <v>0</v>
      </c>
    </row>
    <row r="4391" spans="1:9">
      <c r="A4391" s="113">
        <v>101300019</v>
      </c>
      <c r="B4391" s="113" t="s">
        <v>7028</v>
      </c>
      <c r="C4391" s="113">
        <v>7015066</v>
      </c>
      <c r="D4391" s="113" t="s">
        <v>3093</v>
      </c>
      <c r="E4391" s="113" t="s">
        <v>1620</v>
      </c>
      <c r="F4391" s="113" t="s">
        <v>3093</v>
      </c>
      <c r="G4391" s="115" t="s">
        <v>3093</v>
      </c>
      <c r="H4391" s="161">
        <v>13.264799999999999</v>
      </c>
      <c r="I4391" s="161">
        <v>16</v>
      </c>
    </row>
    <row r="4392" spans="1:9">
      <c r="A4392" s="113">
        <v>101300020</v>
      </c>
      <c r="B4392" s="113" t="s">
        <v>7029</v>
      </c>
      <c r="C4392" s="113">
        <v>7015067</v>
      </c>
      <c r="D4392" s="113" t="s">
        <v>3093</v>
      </c>
      <c r="E4392" s="113" t="s">
        <v>1620</v>
      </c>
      <c r="F4392" s="113" t="s">
        <v>3093</v>
      </c>
      <c r="G4392" s="115" t="s">
        <v>3093</v>
      </c>
      <c r="H4392" s="161">
        <v>25</v>
      </c>
      <c r="I4392" s="161">
        <v>18</v>
      </c>
    </row>
    <row r="4393" spans="1:9">
      <c r="A4393" s="113">
        <v>101300021</v>
      </c>
      <c r="B4393" s="113" t="s">
        <v>7030</v>
      </c>
      <c r="C4393" s="113">
        <v>7015068</v>
      </c>
      <c r="D4393" s="113" t="s">
        <v>3093</v>
      </c>
      <c r="E4393" s="113" t="s">
        <v>1620</v>
      </c>
      <c r="F4393" s="113" t="s">
        <v>3093</v>
      </c>
      <c r="G4393" s="115" t="s">
        <v>3093</v>
      </c>
      <c r="H4393" s="161">
        <v>1197</v>
      </c>
      <c r="I4393" s="161">
        <v>3</v>
      </c>
    </row>
    <row r="4394" spans="1:9">
      <c r="A4394" s="113">
        <v>101300022</v>
      </c>
      <c r="B4394" s="113" t="s">
        <v>7031</v>
      </c>
      <c r="C4394" s="113">
        <v>7015072</v>
      </c>
      <c r="D4394" s="113" t="s">
        <v>3093</v>
      </c>
      <c r="E4394" s="113" t="s">
        <v>1620</v>
      </c>
      <c r="F4394" s="113" t="s">
        <v>3093</v>
      </c>
      <c r="G4394" s="115" t="s">
        <v>3093</v>
      </c>
      <c r="H4394" s="161">
        <v>200</v>
      </c>
      <c r="I4394" s="161">
        <v>15</v>
      </c>
    </row>
    <row r="4395" spans="1:9">
      <c r="A4395" s="113">
        <v>101300023</v>
      </c>
      <c r="B4395" s="113" t="s">
        <v>7032</v>
      </c>
      <c r="C4395" s="113">
        <v>7015082</v>
      </c>
      <c r="D4395" s="113" t="s">
        <v>3093</v>
      </c>
      <c r="E4395" s="113" t="s">
        <v>1620</v>
      </c>
      <c r="F4395" s="113" t="s">
        <v>3093</v>
      </c>
      <c r="G4395" s="115" t="s">
        <v>3093</v>
      </c>
      <c r="H4395" s="161">
        <v>0.14000000000000001</v>
      </c>
      <c r="I4395" s="161">
        <v>0</v>
      </c>
    </row>
    <row r="4396" spans="1:9">
      <c r="A4396" s="113">
        <v>101300024</v>
      </c>
      <c r="B4396" s="113" t="s">
        <v>7033</v>
      </c>
      <c r="C4396" s="113">
        <v>7015083</v>
      </c>
      <c r="D4396" s="113" t="s">
        <v>3093</v>
      </c>
      <c r="E4396" s="113" t="s">
        <v>1620</v>
      </c>
      <c r="F4396" s="113" t="s">
        <v>3093</v>
      </c>
      <c r="G4396" s="115" t="s">
        <v>3093</v>
      </c>
      <c r="H4396" s="161">
        <v>0.31</v>
      </c>
      <c r="I4396" s="161">
        <v>30</v>
      </c>
    </row>
    <row r="4397" spans="1:9">
      <c r="A4397" s="113">
        <v>101300025</v>
      </c>
      <c r="B4397" s="113" t="s">
        <v>7034</v>
      </c>
      <c r="C4397" s="113">
        <v>7015092</v>
      </c>
      <c r="D4397" s="113" t="s">
        <v>3093</v>
      </c>
      <c r="E4397" s="113" t="s">
        <v>1620</v>
      </c>
      <c r="F4397" s="113" t="s">
        <v>3093</v>
      </c>
      <c r="G4397" s="115" t="s">
        <v>3093</v>
      </c>
      <c r="H4397" s="161">
        <v>4.91</v>
      </c>
      <c r="I4397" s="161">
        <v>95</v>
      </c>
    </row>
    <row r="4398" spans="1:9">
      <c r="A4398" s="113">
        <v>101300026</v>
      </c>
      <c r="B4398" s="113" t="s">
        <v>7035</v>
      </c>
      <c r="C4398" s="113">
        <v>7015099</v>
      </c>
      <c r="D4398" s="113" t="s">
        <v>3093</v>
      </c>
      <c r="E4398" s="113" t="s">
        <v>1620</v>
      </c>
      <c r="F4398" s="113" t="s">
        <v>3093</v>
      </c>
      <c r="G4398" s="115" t="s">
        <v>3093</v>
      </c>
      <c r="H4398" s="161">
        <v>16.25</v>
      </c>
      <c r="I4398" s="161">
        <v>2</v>
      </c>
    </row>
    <row r="4399" spans="1:9">
      <c r="A4399" s="113">
        <v>101300027</v>
      </c>
      <c r="B4399" s="113" t="s">
        <v>7036</v>
      </c>
      <c r="C4399" s="113">
        <v>7015100</v>
      </c>
      <c r="D4399" s="113" t="s">
        <v>3093</v>
      </c>
      <c r="E4399" s="113" t="s">
        <v>1620</v>
      </c>
      <c r="F4399" s="113" t="s">
        <v>3093</v>
      </c>
      <c r="G4399" s="115" t="s">
        <v>3093</v>
      </c>
      <c r="H4399" s="161">
        <v>96.004999999999995</v>
      </c>
      <c r="I4399" s="161">
        <v>50</v>
      </c>
    </row>
    <row r="4400" spans="1:9">
      <c r="A4400" s="113">
        <v>101300028</v>
      </c>
      <c r="B4400" s="113" t="s">
        <v>7037</v>
      </c>
      <c r="C4400" s="113">
        <v>7015107</v>
      </c>
      <c r="D4400" s="113" t="s">
        <v>3093</v>
      </c>
      <c r="E4400" s="113" t="s">
        <v>1620</v>
      </c>
      <c r="F4400" s="113" t="s">
        <v>3093</v>
      </c>
      <c r="G4400" s="115" t="s">
        <v>3093</v>
      </c>
      <c r="H4400" s="161">
        <v>399.38</v>
      </c>
      <c r="I4400" s="161">
        <v>12</v>
      </c>
    </row>
    <row r="4401" spans="1:9">
      <c r="A4401" s="113">
        <v>101300029</v>
      </c>
      <c r="B4401" s="113" t="s">
        <v>7038</v>
      </c>
      <c r="C4401" s="113">
        <v>7015108</v>
      </c>
      <c r="D4401" s="113" t="s">
        <v>3093</v>
      </c>
      <c r="E4401" s="113" t="s">
        <v>1620</v>
      </c>
      <c r="F4401" s="113" t="s">
        <v>3093</v>
      </c>
      <c r="G4401" s="115" t="s">
        <v>3093</v>
      </c>
      <c r="H4401" s="161">
        <v>77</v>
      </c>
      <c r="I4401" s="161">
        <v>30</v>
      </c>
    </row>
    <row r="4402" spans="1:9">
      <c r="A4402" s="113">
        <v>101300030</v>
      </c>
      <c r="B4402" s="113" t="s">
        <v>7039</v>
      </c>
      <c r="C4402" s="113">
        <v>7015109</v>
      </c>
      <c r="D4402" s="113" t="s">
        <v>3093</v>
      </c>
      <c r="E4402" s="113" t="s">
        <v>1620</v>
      </c>
      <c r="F4402" s="113" t="s">
        <v>3093</v>
      </c>
      <c r="G4402" s="115" t="s">
        <v>3093</v>
      </c>
      <c r="H4402" s="161">
        <v>180.8</v>
      </c>
      <c r="I4402" s="161">
        <v>5</v>
      </c>
    </row>
    <row r="4403" spans="1:9">
      <c r="A4403" s="113">
        <v>101300031</v>
      </c>
      <c r="B4403" s="113" t="s">
        <v>7040</v>
      </c>
      <c r="C4403" s="113">
        <v>7015111</v>
      </c>
      <c r="D4403" s="113" t="s">
        <v>3093</v>
      </c>
      <c r="E4403" s="113" t="s">
        <v>1620</v>
      </c>
      <c r="F4403" s="113" t="s">
        <v>3093</v>
      </c>
      <c r="G4403" s="113" t="s">
        <v>3093</v>
      </c>
      <c r="H4403" s="161">
        <v>65</v>
      </c>
      <c r="I4403" s="161">
        <v>132</v>
      </c>
    </row>
    <row r="4404" spans="1:9">
      <c r="A4404" s="113">
        <v>101300032</v>
      </c>
      <c r="B4404" s="113" t="s">
        <v>7041</v>
      </c>
      <c r="C4404" s="113">
        <v>7015112</v>
      </c>
      <c r="D4404" s="113" t="s">
        <v>3093</v>
      </c>
      <c r="E4404" s="113" t="s">
        <v>1620</v>
      </c>
      <c r="F4404" s="113" t="s">
        <v>3093</v>
      </c>
      <c r="G4404" s="113" t="s">
        <v>3093</v>
      </c>
      <c r="H4404" s="161">
        <v>29.82</v>
      </c>
      <c r="I4404" s="161">
        <v>200</v>
      </c>
    </row>
    <row r="4405" spans="1:9">
      <c r="A4405" s="113">
        <v>101300033</v>
      </c>
      <c r="B4405" s="113" t="s">
        <v>7042</v>
      </c>
      <c r="C4405" s="113">
        <v>7015115</v>
      </c>
      <c r="D4405" s="113" t="s">
        <v>3093</v>
      </c>
      <c r="E4405" s="113" t="s">
        <v>1620</v>
      </c>
      <c r="F4405" s="113" t="s">
        <v>3093</v>
      </c>
      <c r="G4405" s="113" t="s">
        <v>3093</v>
      </c>
      <c r="H4405" s="161">
        <v>25990</v>
      </c>
      <c r="I4405" s="161" t="s">
        <v>7138</v>
      </c>
    </row>
    <row r="4406" spans="1:9">
      <c r="A4406" s="113">
        <v>101300034</v>
      </c>
      <c r="B4406" s="113" t="s">
        <v>7043</v>
      </c>
      <c r="C4406" s="113">
        <v>7015116</v>
      </c>
      <c r="D4406" s="113" t="s">
        <v>3093</v>
      </c>
      <c r="E4406" s="113" t="s">
        <v>1620</v>
      </c>
      <c r="F4406" s="113" t="s">
        <v>3093</v>
      </c>
      <c r="G4406" s="113" t="s">
        <v>3093</v>
      </c>
      <c r="H4406" s="161">
        <v>48</v>
      </c>
      <c r="I4406" s="161">
        <v>12</v>
      </c>
    </row>
    <row r="4407" spans="1:9">
      <c r="A4407" s="113">
        <v>101300035</v>
      </c>
      <c r="B4407" s="113" t="s">
        <v>7044</v>
      </c>
      <c r="C4407" s="113">
        <v>7015118</v>
      </c>
      <c r="D4407" s="113" t="s">
        <v>3093</v>
      </c>
      <c r="E4407" s="113" t="s">
        <v>1620</v>
      </c>
      <c r="F4407" s="113" t="s">
        <v>3093</v>
      </c>
      <c r="G4407" s="113" t="s">
        <v>3093</v>
      </c>
      <c r="H4407" s="161">
        <v>139.85</v>
      </c>
      <c r="I4407" s="161">
        <v>139</v>
      </c>
    </row>
    <row r="4408" spans="1:9">
      <c r="A4408" s="113">
        <v>101300036</v>
      </c>
      <c r="B4408" s="113" t="s">
        <v>7045</v>
      </c>
      <c r="C4408" s="113">
        <v>7015120</v>
      </c>
      <c r="D4408" s="113" t="s">
        <v>3093</v>
      </c>
      <c r="E4408" s="113" t="s">
        <v>1620</v>
      </c>
      <c r="F4408" s="113" t="s">
        <v>3093</v>
      </c>
      <c r="G4408" s="113" t="s">
        <v>3093</v>
      </c>
      <c r="H4408" s="161">
        <v>131.35</v>
      </c>
      <c r="I4408" s="161">
        <v>24</v>
      </c>
    </row>
    <row r="4409" spans="1:9">
      <c r="A4409" s="113">
        <v>101300037</v>
      </c>
      <c r="B4409" s="113" t="s">
        <v>7046</v>
      </c>
      <c r="C4409" s="113">
        <v>7015121</v>
      </c>
      <c r="D4409" s="113" t="s">
        <v>3093</v>
      </c>
      <c r="E4409" s="113" t="s">
        <v>1620</v>
      </c>
      <c r="F4409" s="113" t="s">
        <v>3093</v>
      </c>
      <c r="G4409" s="113" t="s">
        <v>3093</v>
      </c>
      <c r="H4409" s="161">
        <v>78.2</v>
      </c>
      <c r="I4409" s="161">
        <v>0</v>
      </c>
    </row>
    <row r="4410" spans="1:9">
      <c r="A4410" s="113">
        <v>101300038</v>
      </c>
      <c r="B4410" s="113" t="s">
        <v>7047</v>
      </c>
      <c r="C4410" s="113">
        <v>7015125</v>
      </c>
      <c r="D4410" s="113" t="s">
        <v>3093</v>
      </c>
      <c r="E4410" s="113" t="s">
        <v>1620</v>
      </c>
      <c r="F4410" s="113" t="s">
        <v>3093</v>
      </c>
      <c r="G4410" s="113" t="s">
        <v>3093</v>
      </c>
      <c r="H4410" s="161">
        <v>79.8</v>
      </c>
      <c r="I4410" s="161">
        <v>4</v>
      </c>
    </row>
    <row r="4411" spans="1:9">
      <c r="A4411" s="113">
        <v>101300039</v>
      </c>
      <c r="B4411" s="113" t="s">
        <v>7048</v>
      </c>
      <c r="C4411" s="113">
        <v>7016193</v>
      </c>
      <c r="D4411" s="113" t="s">
        <v>3093</v>
      </c>
      <c r="E4411" s="113" t="s">
        <v>1620</v>
      </c>
      <c r="F4411" s="113" t="s">
        <v>3093</v>
      </c>
      <c r="G4411" s="113" t="s">
        <v>3093</v>
      </c>
      <c r="H4411" s="161">
        <v>2128.62</v>
      </c>
      <c r="I4411" s="161">
        <v>0</v>
      </c>
    </row>
    <row r="4412" spans="1:9">
      <c r="A4412" s="113">
        <v>101300040</v>
      </c>
      <c r="B4412" s="113" t="s">
        <v>7049</v>
      </c>
      <c r="C4412" s="113">
        <v>7016194</v>
      </c>
      <c r="D4412" s="113" t="s">
        <v>3093</v>
      </c>
      <c r="E4412" s="113" t="s">
        <v>1620</v>
      </c>
      <c r="F4412" s="113" t="s">
        <v>3093</v>
      </c>
      <c r="G4412" s="113" t="s">
        <v>3093</v>
      </c>
      <c r="H4412" s="161">
        <v>0</v>
      </c>
      <c r="I4412" s="161" t="s">
        <v>7138</v>
      </c>
    </row>
    <row r="4413" spans="1:9">
      <c r="A4413" s="113">
        <v>101300041</v>
      </c>
      <c r="B4413" s="113" t="s">
        <v>7050</v>
      </c>
      <c r="C4413" s="113">
        <v>7016213</v>
      </c>
      <c r="D4413" s="113" t="s">
        <v>3093</v>
      </c>
      <c r="E4413" s="113" t="s">
        <v>1620</v>
      </c>
      <c r="F4413" s="113" t="s">
        <v>3093</v>
      </c>
      <c r="G4413" s="113" t="s">
        <v>3093</v>
      </c>
      <c r="H4413" s="161">
        <v>0</v>
      </c>
      <c r="I4413" s="161" t="s">
        <v>7138</v>
      </c>
    </row>
    <row r="4414" spans="1:9">
      <c r="A4414" s="113">
        <v>101300042</v>
      </c>
      <c r="B4414" s="113" t="s">
        <v>7051</v>
      </c>
      <c r="C4414" s="113">
        <v>7016214</v>
      </c>
      <c r="D4414" s="113" t="s">
        <v>3093</v>
      </c>
      <c r="E4414" s="113" t="s">
        <v>1620</v>
      </c>
      <c r="F4414" s="113" t="s">
        <v>3093</v>
      </c>
      <c r="G4414" s="113" t="s">
        <v>3093</v>
      </c>
      <c r="H4414" s="161">
        <v>29.88</v>
      </c>
      <c r="I4414" s="161">
        <v>1</v>
      </c>
    </row>
    <row r="4415" spans="1:9">
      <c r="A4415" s="113">
        <v>101300043</v>
      </c>
      <c r="B4415" s="113" t="s">
        <v>7052</v>
      </c>
      <c r="C4415" s="113">
        <v>7016242</v>
      </c>
      <c r="D4415" s="113" t="s">
        <v>3093</v>
      </c>
      <c r="E4415" s="113" t="s">
        <v>1620</v>
      </c>
      <c r="F4415" s="113" t="s">
        <v>3093</v>
      </c>
      <c r="G4415" s="113" t="s">
        <v>3093</v>
      </c>
      <c r="H4415" s="161">
        <v>0</v>
      </c>
      <c r="I4415" s="161" t="s">
        <v>7138</v>
      </c>
    </row>
    <row r="4416" spans="1:9">
      <c r="A4416" s="113">
        <v>101300044</v>
      </c>
      <c r="B4416" s="113" t="s">
        <v>3069</v>
      </c>
      <c r="C4416" s="113">
        <v>7016243</v>
      </c>
      <c r="D4416" s="113" t="s">
        <v>3093</v>
      </c>
      <c r="E4416" s="113" t="s">
        <v>1620</v>
      </c>
      <c r="F4416" s="113" t="s">
        <v>3093</v>
      </c>
      <c r="G4416" s="113" t="s">
        <v>3093</v>
      </c>
      <c r="H4416" s="161">
        <v>0</v>
      </c>
      <c r="I4416" s="161" t="s">
        <v>7138</v>
      </c>
    </row>
    <row r="4417" spans="1:9">
      <c r="A4417" s="113">
        <v>101300045</v>
      </c>
      <c r="B4417" s="113" t="s">
        <v>7053</v>
      </c>
      <c r="C4417" s="113">
        <v>7016245</v>
      </c>
      <c r="D4417" s="113" t="s">
        <v>3093</v>
      </c>
      <c r="E4417" s="113" t="s">
        <v>1620</v>
      </c>
      <c r="F4417" s="113" t="s">
        <v>3093</v>
      </c>
      <c r="G4417" s="113" t="s">
        <v>3093</v>
      </c>
      <c r="H4417" s="161">
        <v>171.8</v>
      </c>
      <c r="I4417" s="161">
        <v>0</v>
      </c>
    </row>
    <row r="4418" spans="1:9">
      <c r="A4418" s="113">
        <v>101300046</v>
      </c>
      <c r="B4418" s="113" t="s">
        <v>7054</v>
      </c>
      <c r="C4418" s="113">
        <v>7016249</v>
      </c>
      <c r="D4418" s="113" t="s">
        <v>3093</v>
      </c>
      <c r="E4418" s="113" t="s">
        <v>1620</v>
      </c>
      <c r="F4418" s="113" t="s">
        <v>3093</v>
      </c>
      <c r="G4418" s="115" t="s">
        <v>3093</v>
      </c>
      <c r="H4418" s="161">
        <v>0</v>
      </c>
      <c r="I4418" s="161" t="s">
        <v>7138</v>
      </c>
    </row>
    <row r="4419" spans="1:9">
      <c r="A4419" s="113">
        <v>101300047</v>
      </c>
      <c r="B4419" s="113" t="s">
        <v>7055</v>
      </c>
      <c r="C4419" s="113">
        <v>7016264</v>
      </c>
      <c r="D4419" s="113" t="s">
        <v>3093</v>
      </c>
      <c r="E4419" s="113" t="s">
        <v>1620</v>
      </c>
      <c r="F4419" s="113" t="s">
        <v>3093</v>
      </c>
      <c r="G4419" s="115" t="s">
        <v>3093</v>
      </c>
      <c r="H4419" s="161">
        <v>0</v>
      </c>
      <c r="I4419" s="161" t="s">
        <v>7138</v>
      </c>
    </row>
    <row r="4420" spans="1:9">
      <c r="A4420" s="113">
        <v>101300048</v>
      </c>
      <c r="B4420" s="113" t="s">
        <v>3070</v>
      </c>
      <c r="C4420" s="113">
        <v>7016276</v>
      </c>
      <c r="D4420" s="113" t="s">
        <v>3093</v>
      </c>
      <c r="E4420" s="113" t="s">
        <v>1620</v>
      </c>
      <c r="F4420" s="113" t="s">
        <v>3093</v>
      </c>
      <c r="G4420" s="115" t="s">
        <v>3093</v>
      </c>
      <c r="H4420" s="161">
        <v>43.6</v>
      </c>
      <c r="I4420" s="161">
        <v>2</v>
      </c>
    </row>
    <row r="4421" spans="1:9">
      <c r="A4421" s="113">
        <v>101300049</v>
      </c>
      <c r="B4421" s="113" t="s">
        <v>7056</v>
      </c>
      <c r="C4421" s="113">
        <v>7016287</v>
      </c>
      <c r="D4421" s="113" t="s">
        <v>3093</v>
      </c>
      <c r="E4421" s="113" t="s">
        <v>1620</v>
      </c>
      <c r="F4421" s="113" t="s">
        <v>3093</v>
      </c>
      <c r="G4421" s="115" t="s">
        <v>3093</v>
      </c>
      <c r="H4421" s="161">
        <v>0</v>
      </c>
      <c r="I4421" s="161" t="s">
        <v>7138</v>
      </c>
    </row>
    <row r="4422" spans="1:9">
      <c r="A4422" s="113">
        <v>101300051</v>
      </c>
      <c r="B4422" s="113" t="s">
        <v>7057</v>
      </c>
      <c r="C4422" s="113">
        <v>7033107</v>
      </c>
      <c r="D4422" s="113" t="s">
        <v>3093</v>
      </c>
      <c r="E4422" s="113" t="s">
        <v>1620</v>
      </c>
      <c r="F4422" s="113" t="s">
        <v>3093</v>
      </c>
      <c r="G4422" s="115" t="s">
        <v>3093</v>
      </c>
      <c r="H4422" s="161">
        <v>380</v>
      </c>
      <c r="I4422" s="161">
        <v>0</v>
      </c>
    </row>
    <row r="4423" spans="1:9">
      <c r="A4423" s="113">
        <v>101300052</v>
      </c>
      <c r="B4423" s="113" t="s">
        <v>7058</v>
      </c>
      <c r="C4423" s="113">
        <v>7033115</v>
      </c>
      <c r="D4423" s="113" t="s">
        <v>3093</v>
      </c>
      <c r="E4423" s="113" t="s">
        <v>1620</v>
      </c>
      <c r="F4423" s="113" t="s">
        <v>3093</v>
      </c>
      <c r="G4423" s="115" t="s">
        <v>3093</v>
      </c>
      <c r="H4423" s="161">
        <v>0</v>
      </c>
      <c r="I4423" s="161" t="s">
        <v>7138</v>
      </c>
    </row>
    <row r="4424" spans="1:9">
      <c r="A4424" s="113">
        <v>101300053</v>
      </c>
      <c r="B4424" s="113" t="s">
        <v>7059</v>
      </c>
      <c r="C4424" s="113">
        <v>7033116</v>
      </c>
      <c r="D4424" s="113" t="s">
        <v>3093</v>
      </c>
      <c r="E4424" s="113" t="s">
        <v>1620</v>
      </c>
      <c r="F4424" s="113" t="s">
        <v>3093</v>
      </c>
      <c r="G4424" s="113" t="s">
        <v>3093</v>
      </c>
      <c r="H4424" s="161">
        <v>15500</v>
      </c>
      <c r="I4424" s="161">
        <v>0</v>
      </c>
    </row>
    <row r="4425" spans="1:9">
      <c r="A4425" s="113">
        <v>101300054</v>
      </c>
      <c r="B4425" s="113" t="s">
        <v>7060</v>
      </c>
      <c r="C4425" s="113">
        <v>7033118</v>
      </c>
      <c r="D4425" s="113" t="s">
        <v>3093</v>
      </c>
      <c r="E4425" s="113" t="s">
        <v>1620</v>
      </c>
      <c r="F4425" s="113" t="s">
        <v>3093</v>
      </c>
      <c r="G4425" s="115" t="s">
        <v>3093</v>
      </c>
      <c r="H4425" s="161">
        <v>19285.2</v>
      </c>
      <c r="I4425" s="161">
        <v>0</v>
      </c>
    </row>
    <row r="4426" spans="1:9">
      <c r="A4426" s="113">
        <v>101300055</v>
      </c>
      <c r="B4426" s="113" t="s">
        <v>7061</v>
      </c>
      <c r="C4426" s="113">
        <v>7033119</v>
      </c>
      <c r="D4426" s="113" t="s">
        <v>3093</v>
      </c>
      <c r="E4426" s="113" t="s">
        <v>1620</v>
      </c>
      <c r="F4426" s="113" t="s">
        <v>3093</v>
      </c>
      <c r="G4426" s="113" t="s">
        <v>3093</v>
      </c>
      <c r="H4426" s="161">
        <v>22318</v>
      </c>
      <c r="I4426" s="161">
        <v>1</v>
      </c>
    </row>
    <row r="4427" spans="1:9">
      <c r="A4427" s="113">
        <v>101300056</v>
      </c>
      <c r="B4427" s="113" t="s">
        <v>7062</v>
      </c>
      <c r="C4427" s="113">
        <v>7034036</v>
      </c>
      <c r="D4427" s="113" t="s">
        <v>3093</v>
      </c>
      <c r="E4427" s="113" t="s">
        <v>1620</v>
      </c>
      <c r="F4427" s="113" t="s">
        <v>3093</v>
      </c>
      <c r="G4427" s="115" t="s">
        <v>3093</v>
      </c>
      <c r="H4427" s="161">
        <v>0</v>
      </c>
      <c r="I4427" s="161" t="s">
        <v>7138</v>
      </c>
    </row>
    <row r="4428" spans="1:9">
      <c r="A4428" s="113">
        <v>101300057</v>
      </c>
      <c r="B4428" s="113" t="s">
        <v>3071</v>
      </c>
      <c r="C4428" s="113">
        <v>7034059</v>
      </c>
      <c r="D4428" s="113" t="s">
        <v>3093</v>
      </c>
      <c r="E4428" s="113" t="s">
        <v>1620</v>
      </c>
      <c r="F4428" s="113" t="s">
        <v>3093</v>
      </c>
      <c r="G4428" s="115" t="s">
        <v>3093</v>
      </c>
      <c r="H4428" s="161">
        <v>9</v>
      </c>
      <c r="I4428" s="161">
        <v>120</v>
      </c>
    </row>
    <row r="4429" spans="1:9">
      <c r="A4429" s="113">
        <v>101300058</v>
      </c>
      <c r="B4429" s="113" t="s">
        <v>7063</v>
      </c>
      <c r="C4429" s="113">
        <v>7036156</v>
      </c>
      <c r="D4429" s="113" t="s">
        <v>3093</v>
      </c>
      <c r="E4429" s="113" t="s">
        <v>1620</v>
      </c>
      <c r="F4429" s="113" t="s">
        <v>3093</v>
      </c>
      <c r="G4429" s="113" t="s">
        <v>3093</v>
      </c>
      <c r="H4429" s="161">
        <v>75.349999999999994</v>
      </c>
      <c r="I4429" s="161">
        <v>200</v>
      </c>
    </row>
    <row r="4430" spans="1:9">
      <c r="A4430" s="113">
        <v>101300059</v>
      </c>
      <c r="B4430" s="113" t="s">
        <v>7064</v>
      </c>
      <c r="C4430" s="113">
        <v>7040039</v>
      </c>
      <c r="D4430" s="113" t="s">
        <v>3093</v>
      </c>
      <c r="E4430" s="113" t="s">
        <v>1620</v>
      </c>
      <c r="F4430" s="113" t="s">
        <v>3093</v>
      </c>
      <c r="G4430" s="115" t="s">
        <v>3093</v>
      </c>
      <c r="H4430" s="161">
        <v>0</v>
      </c>
      <c r="I4430" s="161" t="s">
        <v>7138</v>
      </c>
    </row>
    <row r="4431" spans="1:9">
      <c r="A4431" s="113">
        <v>101300060</v>
      </c>
      <c r="B4431" s="113" t="s">
        <v>7065</v>
      </c>
      <c r="C4431" s="113">
        <v>7042068</v>
      </c>
      <c r="D4431" s="113" t="s">
        <v>3093</v>
      </c>
      <c r="E4431" s="113" t="s">
        <v>1620</v>
      </c>
      <c r="F4431" s="113" t="s">
        <v>3093</v>
      </c>
      <c r="G4431" s="113" t="s">
        <v>3093</v>
      </c>
      <c r="H4431" s="161">
        <v>40</v>
      </c>
      <c r="I4431" s="161">
        <v>102</v>
      </c>
    </row>
    <row r="4432" spans="1:9">
      <c r="A4432" s="113">
        <v>101300061</v>
      </c>
      <c r="B4432" s="113" t="s">
        <v>7066</v>
      </c>
      <c r="C4432" s="113">
        <v>7042069</v>
      </c>
      <c r="D4432" s="113" t="s">
        <v>3093</v>
      </c>
      <c r="E4432" s="113" t="s">
        <v>1620</v>
      </c>
      <c r="F4432" s="113" t="s">
        <v>3093</v>
      </c>
      <c r="G4432" s="115" t="s">
        <v>3093</v>
      </c>
      <c r="H4432" s="161">
        <v>15</v>
      </c>
      <c r="I4432" s="161">
        <v>190</v>
      </c>
    </row>
    <row r="4433" spans="1:9">
      <c r="A4433" s="113">
        <v>101300062</v>
      </c>
      <c r="B4433" s="113" t="s">
        <v>7067</v>
      </c>
      <c r="C4433" s="113">
        <v>7042080</v>
      </c>
      <c r="D4433" s="113" t="s">
        <v>3093</v>
      </c>
      <c r="E4433" s="113" t="s">
        <v>1620</v>
      </c>
      <c r="F4433" s="113" t="s">
        <v>3093</v>
      </c>
      <c r="G4433" s="115" t="s">
        <v>3093</v>
      </c>
      <c r="H4433" s="161">
        <v>50</v>
      </c>
      <c r="I4433" s="161">
        <v>144</v>
      </c>
    </row>
    <row r="4434" spans="1:9">
      <c r="A4434" s="113">
        <v>101300063</v>
      </c>
      <c r="B4434" s="113" t="s">
        <v>7068</v>
      </c>
      <c r="C4434" s="113">
        <v>7042107</v>
      </c>
      <c r="D4434" s="113" t="s">
        <v>3093</v>
      </c>
      <c r="E4434" s="113" t="s">
        <v>1620</v>
      </c>
      <c r="F4434" s="113" t="s">
        <v>3093</v>
      </c>
      <c r="G4434" s="113" t="s">
        <v>3093</v>
      </c>
      <c r="H4434" s="161">
        <v>45</v>
      </c>
      <c r="I4434" s="161">
        <v>1200</v>
      </c>
    </row>
    <row r="4435" spans="1:9">
      <c r="A4435" s="113">
        <v>101300064</v>
      </c>
      <c r="B4435" s="113" t="s">
        <v>7069</v>
      </c>
      <c r="C4435" s="113">
        <v>7042116</v>
      </c>
      <c r="D4435" s="113" t="s">
        <v>3093</v>
      </c>
      <c r="E4435" s="113" t="s">
        <v>1620</v>
      </c>
      <c r="F4435" s="113" t="s">
        <v>3093</v>
      </c>
      <c r="G4435" s="113" t="s">
        <v>3093</v>
      </c>
      <c r="H4435" s="161">
        <v>720</v>
      </c>
      <c r="I4435" s="161">
        <v>1</v>
      </c>
    </row>
    <row r="4436" spans="1:9">
      <c r="A4436" s="113">
        <v>101300065</v>
      </c>
      <c r="B4436" s="113" t="s">
        <v>7070</v>
      </c>
      <c r="C4436" s="113">
        <v>7054028</v>
      </c>
      <c r="D4436" s="113" t="s">
        <v>3093</v>
      </c>
      <c r="E4436" s="113" t="s">
        <v>1620</v>
      </c>
      <c r="F4436" s="113" t="s">
        <v>3093</v>
      </c>
      <c r="G4436" s="115" t="s">
        <v>3093</v>
      </c>
      <c r="H4436" s="161">
        <v>0</v>
      </c>
      <c r="I4436" s="161" t="s">
        <v>7138</v>
      </c>
    </row>
    <row r="4437" spans="1:9">
      <c r="A4437" s="113">
        <v>101300066</v>
      </c>
      <c r="B4437" s="113" t="s">
        <v>7071</v>
      </c>
      <c r="C4437" s="113">
        <v>7054038</v>
      </c>
      <c r="D4437" s="113" t="s">
        <v>3093</v>
      </c>
      <c r="E4437" s="113" t="s">
        <v>1620</v>
      </c>
      <c r="F4437" s="113" t="s">
        <v>3093</v>
      </c>
      <c r="G4437" s="115" t="s">
        <v>3093</v>
      </c>
      <c r="H4437" s="161">
        <v>847.5</v>
      </c>
      <c r="I4437" s="161" t="s">
        <v>7138</v>
      </c>
    </row>
    <row r="4438" spans="1:9">
      <c r="A4438" s="113">
        <v>101300067</v>
      </c>
      <c r="B4438" s="113" t="s">
        <v>7072</v>
      </c>
      <c r="C4438" s="113">
        <v>7054039</v>
      </c>
      <c r="D4438" s="113" t="s">
        <v>3093</v>
      </c>
      <c r="E4438" s="113" t="s">
        <v>1620</v>
      </c>
      <c r="F4438" s="113" t="s">
        <v>3093</v>
      </c>
      <c r="G4438" s="115" t="s">
        <v>3093</v>
      </c>
      <c r="H4438" s="161">
        <v>0</v>
      </c>
      <c r="I4438" s="161" t="s">
        <v>7138</v>
      </c>
    </row>
    <row r="4439" spans="1:9">
      <c r="A4439" s="113">
        <v>101300068</v>
      </c>
      <c r="B4439" s="113" t="s">
        <v>7073</v>
      </c>
      <c r="C4439" s="113">
        <v>7054043</v>
      </c>
      <c r="D4439" s="113" t="s">
        <v>3093</v>
      </c>
      <c r="E4439" s="113" t="s">
        <v>1620</v>
      </c>
      <c r="F4439" s="113" t="s">
        <v>3093</v>
      </c>
      <c r="G4439" s="115" t="s">
        <v>3093</v>
      </c>
      <c r="H4439" s="161">
        <v>0</v>
      </c>
      <c r="I4439" s="161" t="s">
        <v>7138</v>
      </c>
    </row>
    <row r="4440" spans="1:9">
      <c r="A4440" s="113">
        <v>101300069</v>
      </c>
      <c r="B4440" s="113" t="s">
        <v>7074</v>
      </c>
      <c r="C4440" s="113">
        <v>7054052</v>
      </c>
      <c r="D4440" s="113" t="s">
        <v>3093</v>
      </c>
      <c r="E4440" s="113" t="s">
        <v>1620</v>
      </c>
      <c r="F4440" s="113" t="s">
        <v>3093</v>
      </c>
      <c r="G4440" s="115" t="s">
        <v>3093</v>
      </c>
      <c r="H4440" s="161">
        <v>218.95</v>
      </c>
      <c r="I4440" s="161" t="s">
        <v>7138</v>
      </c>
    </row>
    <row r="4441" spans="1:9">
      <c r="A4441" s="113">
        <v>101300070</v>
      </c>
      <c r="B4441" s="113" t="s">
        <v>7075</v>
      </c>
      <c r="C4441" s="113">
        <v>7054053</v>
      </c>
      <c r="D4441" s="113" t="s">
        <v>3093</v>
      </c>
      <c r="E4441" s="113" t="s">
        <v>1620</v>
      </c>
      <c r="F4441" s="113" t="s">
        <v>3093</v>
      </c>
      <c r="G4441" s="115" t="s">
        <v>3093</v>
      </c>
      <c r="H4441" s="161">
        <v>115</v>
      </c>
      <c r="I4441" s="161" t="s">
        <v>7138</v>
      </c>
    </row>
    <row r="4442" spans="1:9">
      <c r="A4442" s="113">
        <v>101300071</v>
      </c>
      <c r="B4442" s="113" t="s">
        <v>7076</v>
      </c>
      <c r="C4442" s="113">
        <v>7054054</v>
      </c>
      <c r="D4442" s="113" t="s">
        <v>3093</v>
      </c>
      <c r="E4442" s="113" t="s">
        <v>1620</v>
      </c>
      <c r="F4442" s="113" t="s">
        <v>3093</v>
      </c>
      <c r="G4442" s="115" t="s">
        <v>3093</v>
      </c>
      <c r="H4442" s="161">
        <v>18</v>
      </c>
      <c r="I4442" s="161" t="s">
        <v>7138</v>
      </c>
    </row>
    <row r="4443" spans="1:9">
      <c r="A4443" s="113">
        <v>101300072</v>
      </c>
      <c r="B4443" s="113" t="s">
        <v>7077</v>
      </c>
      <c r="C4443" s="113">
        <v>7054055</v>
      </c>
      <c r="D4443" s="113" t="s">
        <v>3093</v>
      </c>
      <c r="E4443" s="113" t="s">
        <v>1620</v>
      </c>
      <c r="F4443" s="113" t="s">
        <v>3093</v>
      </c>
      <c r="G4443" s="115" t="s">
        <v>3093</v>
      </c>
      <c r="H4443" s="161">
        <v>0</v>
      </c>
      <c r="I4443" s="161" t="s">
        <v>7138</v>
      </c>
    </row>
    <row r="4444" spans="1:9">
      <c r="A4444" s="113">
        <v>101300073</v>
      </c>
      <c r="B4444" s="113" t="s">
        <v>7078</v>
      </c>
      <c r="C4444" s="113">
        <v>7054056</v>
      </c>
      <c r="D4444" s="113" t="s">
        <v>3093</v>
      </c>
      <c r="E4444" s="113" t="s">
        <v>1620</v>
      </c>
      <c r="F4444" s="113" t="s">
        <v>3093</v>
      </c>
      <c r="G4444" s="115" t="s">
        <v>3093</v>
      </c>
      <c r="H4444" s="161">
        <v>0</v>
      </c>
      <c r="I4444" s="161" t="s">
        <v>7138</v>
      </c>
    </row>
    <row r="4445" spans="1:9">
      <c r="A4445" s="113">
        <v>101300074</v>
      </c>
      <c r="B4445" s="113" t="s">
        <v>7079</v>
      </c>
      <c r="C4445" s="113">
        <v>7054057</v>
      </c>
      <c r="D4445" s="113" t="s">
        <v>3093</v>
      </c>
      <c r="E4445" s="113" t="s">
        <v>1620</v>
      </c>
      <c r="F4445" s="113" t="s">
        <v>3093</v>
      </c>
      <c r="G4445" s="115" t="s">
        <v>3093</v>
      </c>
      <c r="H4445" s="161">
        <v>25</v>
      </c>
      <c r="I4445" s="161">
        <v>50</v>
      </c>
    </row>
    <row r="4446" spans="1:9">
      <c r="A4446" s="113">
        <v>101300075</v>
      </c>
      <c r="B4446" s="113" t="s">
        <v>7080</v>
      </c>
      <c r="C4446" s="113">
        <v>7054058</v>
      </c>
      <c r="D4446" s="113" t="s">
        <v>3093</v>
      </c>
      <c r="E4446" s="113" t="s">
        <v>1620</v>
      </c>
      <c r="F4446" s="113" t="s">
        <v>3093</v>
      </c>
      <c r="G4446" s="115" t="s">
        <v>3093</v>
      </c>
      <c r="H4446" s="161">
        <v>115</v>
      </c>
      <c r="I4446" s="161">
        <v>60</v>
      </c>
    </row>
    <row r="4447" spans="1:9">
      <c r="A4447" s="113">
        <v>101300076</v>
      </c>
      <c r="B4447" s="113" t="s">
        <v>7081</v>
      </c>
      <c r="C4447" s="113">
        <v>7054059</v>
      </c>
      <c r="D4447" s="113" t="s">
        <v>3093</v>
      </c>
      <c r="E4447" s="113" t="s">
        <v>1620</v>
      </c>
      <c r="F4447" s="113" t="s">
        <v>3093</v>
      </c>
      <c r="G4447" s="115" t="s">
        <v>3093</v>
      </c>
      <c r="H4447" s="161">
        <v>15</v>
      </c>
      <c r="I4447" s="161">
        <v>60</v>
      </c>
    </row>
    <row r="4448" spans="1:9">
      <c r="A4448" s="113">
        <v>101300077</v>
      </c>
      <c r="B4448" s="113" t="s">
        <v>7082</v>
      </c>
      <c r="C4448" s="113">
        <v>7054060</v>
      </c>
      <c r="D4448" s="113" t="s">
        <v>3093</v>
      </c>
      <c r="E4448" s="113" t="s">
        <v>1620</v>
      </c>
      <c r="F4448" s="113" t="s">
        <v>3093</v>
      </c>
      <c r="G4448" s="115" t="s">
        <v>3093</v>
      </c>
      <c r="H4448" s="161">
        <v>0</v>
      </c>
      <c r="I4448" s="161" t="s">
        <v>7138</v>
      </c>
    </row>
    <row r="4449" spans="1:9">
      <c r="A4449" s="113">
        <v>101300078</v>
      </c>
      <c r="B4449" s="113" t="s">
        <v>7083</v>
      </c>
      <c r="C4449" s="113">
        <v>7054061</v>
      </c>
      <c r="D4449" s="113" t="s">
        <v>3093</v>
      </c>
      <c r="E4449" s="113" t="s">
        <v>1620</v>
      </c>
      <c r="F4449" s="113" t="s">
        <v>3093</v>
      </c>
      <c r="G4449" s="115" t="s">
        <v>3093</v>
      </c>
      <c r="H4449" s="161">
        <v>0</v>
      </c>
      <c r="I4449" s="161" t="s">
        <v>7138</v>
      </c>
    </row>
    <row r="4450" spans="1:9">
      <c r="A4450" s="113">
        <v>101300079</v>
      </c>
      <c r="B4450" s="113" t="s">
        <v>7084</v>
      </c>
      <c r="C4450" s="113">
        <v>7054062</v>
      </c>
      <c r="D4450" s="113" t="s">
        <v>3093</v>
      </c>
      <c r="E4450" s="113" t="s">
        <v>1620</v>
      </c>
      <c r="F4450" s="113" t="s">
        <v>3093</v>
      </c>
      <c r="G4450" s="115" t="s">
        <v>3093</v>
      </c>
      <c r="H4450" s="161">
        <v>0</v>
      </c>
      <c r="I4450" s="161" t="s">
        <v>7138</v>
      </c>
    </row>
    <row r="4451" spans="1:9">
      <c r="A4451" s="113">
        <v>101300080</v>
      </c>
      <c r="B4451" s="113" t="s">
        <v>7085</v>
      </c>
      <c r="C4451" s="113">
        <v>7054063</v>
      </c>
      <c r="D4451" s="113" t="s">
        <v>3093</v>
      </c>
      <c r="E4451" s="113" t="s">
        <v>1620</v>
      </c>
      <c r="F4451" s="113" t="s">
        <v>3093</v>
      </c>
      <c r="G4451" s="115" t="s">
        <v>3093</v>
      </c>
      <c r="H4451" s="161">
        <v>0</v>
      </c>
      <c r="I4451" s="161" t="s">
        <v>7138</v>
      </c>
    </row>
    <row r="4452" spans="1:9">
      <c r="A4452" s="113">
        <v>101300081</v>
      </c>
      <c r="B4452" s="113" t="s">
        <v>7086</v>
      </c>
      <c r="C4452" s="113">
        <v>7054064</v>
      </c>
      <c r="D4452" s="113" t="s">
        <v>3093</v>
      </c>
      <c r="E4452" s="113" t="s">
        <v>1620</v>
      </c>
      <c r="F4452" s="113" t="s">
        <v>3093</v>
      </c>
      <c r="G4452" s="115" t="s">
        <v>3093</v>
      </c>
      <c r="H4452" s="161">
        <v>0</v>
      </c>
      <c r="I4452" s="161" t="s">
        <v>7138</v>
      </c>
    </row>
    <row r="4453" spans="1:9">
      <c r="A4453" s="113">
        <v>101300082</v>
      </c>
      <c r="B4453" s="113" t="s">
        <v>7087</v>
      </c>
      <c r="C4453" s="113">
        <v>7054065</v>
      </c>
      <c r="D4453" s="113" t="s">
        <v>3093</v>
      </c>
      <c r="E4453" s="113" t="s">
        <v>1620</v>
      </c>
      <c r="F4453" s="113" t="s">
        <v>3093</v>
      </c>
      <c r="G4453" s="113" t="s">
        <v>3093</v>
      </c>
      <c r="H4453" s="161">
        <v>0</v>
      </c>
      <c r="I4453" s="161" t="s">
        <v>7138</v>
      </c>
    </row>
    <row r="4454" spans="1:9">
      <c r="A4454" s="113">
        <v>101300083</v>
      </c>
      <c r="B4454" s="113" t="s">
        <v>7088</v>
      </c>
      <c r="C4454" s="113">
        <v>7054066</v>
      </c>
      <c r="D4454" s="113" t="s">
        <v>3093</v>
      </c>
      <c r="E4454" s="113" t="s">
        <v>1620</v>
      </c>
      <c r="F4454" s="113" t="s">
        <v>3093</v>
      </c>
      <c r="G4454" s="115" t="s">
        <v>3093</v>
      </c>
      <c r="H4454" s="161">
        <v>0</v>
      </c>
      <c r="I4454" s="161" t="s">
        <v>7138</v>
      </c>
    </row>
    <row r="4455" spans="1:9">
      <c r="A4455" s="113">
        <v>101300084</v>
      </c>
      <c r="B4455" s="113" t="s">
        <v>7089</v>
      </c>
      <c r="C4455" s="113">
        <v>7054067</v>
      </c>
      <c r="D4455" s="113" t="s">
        <v>3093</v>
      </c>
      <c r="E4455" s="113" t="s">
        <v>1620</v>
      </c>
      <c r="F4455" s="113" t="s">
        <v>3093</v>
      </c>
      <c r="G4455" s="115" t="s">
        <v>3093</v>
      </c>
      <c r="H4455" s="161">
        <v>0</v>
      </c>
      <c r="I4455" s="161" t="s">
        <v>7138</v>
      </c>
    </row>
    <row r="4456" spans="1:9">
      <c r="A4456" s="113">
        <v>101300085</v>
      </c>
      <c r="B4456" s="113" t="s">
        <v>7090</v>
      </c>
      <c r="C4456" s="113">
        <v>7054068</v>
      </c>
      <c r="D4456" s="113" t="s">
        <v>3093</v>
      </c>
      <c r="E4456" s="113" t="s">
        <v>1620</v>
      </c>
      <c r="F4456" s="113" t="s">
        <v>3093</v>
      </c>
      <c r="G4456" s="115" t="s">
        <v>3093</v>
      </c>
      <c r="H4456" s="161">
        <v>25</v>
      </c>
      <c r="I4456" s="161">
        <v>4</v>
      </c>
    </row>
    <row r="4457" spans="1:9">
      <c r="A4457" s="113">
        <v>101300086</v>
      </c>
      <c r="B4457" s="113" t="s">
        <v>7091</v>
      </c>
      <c r="C4457" s="113">
        <v>7054070</v>
      </c>
      <c r="D4457" s="113" t="s">
        <v>3093</v>
      </c>
      <c r="E4457" s="113" t="s">
        <v>1620</v>
      </c>
      <c r="F4457" s="113" t="s">
        <v>3093</v>
      </c>
      <c r="G4457" s="115" t="s">
        <v>3093</v>
      </c>
      <c r="H4457" s="161">
        <v>0</v>
      </c>
      <c r="I4457" s="161" t="s">
        <v>7138</v>
      </c>
    </row>
    <row r="4458" spans="1:9">
      <c r="A4458" s="113">
        <v>101300087</v>
      </c>
      <c r="B4458" s="113" t="s">
        <v>7092</v>
      </c>
      <c r="C4458" s="113">
        <v>7054071</v>
      </c>
      <c r="D4458" s="113" t="s">
        <v>3093</v>
      </c>
      <c r="E4458" s="113" t="s">
        <v>1620</v>
      </c>
      <c r="F4458" s="113" t="s">
        <v>3093</v>
      </c>
      <c r="G4458" s="115" t="s">
        <v>3093</v>
      </c>
      <c r="H4458" s="161">
        <v>0</v>
      </c>
      <c r="I4458" s="161" t="s">
        <v>7138</v>
      </c>
    </row>
    <row r="4459" spans="1:9">
      <c r="A4459" s="113">
        <v>101300088</v>
      </c>
      <c r="B4459" s="113" t="s">
        <v>7093</v>
      </c>
      <c r="C4459" s="113">
        <v>7054072</v>
      </c>
      <c r="D4459" s="113" t="s">
        <v>3093</v>
      </c>
      <c r="E4459" s="113" t="s">
        <v>1620</v>
      </c>
      <c r="F4459" s="113" t="s">
        <v>3093</v>
      </c>
      <c r="G4459" s="115" t="s">
        <v>3093</v>
      </c>
      <c r="H4459" s="161">
        <v>50</v>
      </c>
      <c r="I4459" s="161">
        <v>1</v>
      </c>
    </row>
    <row r="4460" spans="1:9">
      <c r="A4460" s="113">
        <v>101300089</v>
      </c>
      <c r="B4460" s="113" t="s">
        <v>7094</v>
      </c>
      <c r="C4460" s="113">
        <v>7054140</v>
      </c>
      <c r="D4460" s="113" t="s">
        <v>3093</v>
      </c>
      <c r="E4460" s="113" t="s">
        <v>1620</v>
      </c>
      <c r="F4460" s="113" t="s">
        <v>3093</v>
      </c>
      <c r="G4460" s="113" t="s">
        <v>3093</v>
      </c>
      <c r="H4460" s="161">
        <v>0</v>
      </c>
      <c r="I4460" s="161" t="s">
        <v>7138</v>
      </c>
    </row>
    <row r="4461" spans="1:9">
      <c r="A4461" s="113">
        <v>101300090</v>
      </c>
      <c r="B4461" s="113" t="s">
        <v>7095</v>
      </c>
      <c r="C4461" s="113">
        <v>7070211</v>
      </c>
      <c r="D4461" s="113" t="s">
        <v>3093</v>
      </c>
      <c r="E4461" s="113" t="s">
        <v>1620</v>
      </c>
      <c r="F4461" s="113" t="s">
        <v>3093</v>
      </c>
      <c r="G4461" s="113" t="s">
        <v>3093</v>
      </c>
      <c r="H4461" s="161">
        <v>12</v>
      </c>
      <c r="I4461" s="161">
        <v>3</v>
      </c>
    </row>
    <row r="4462" spans="1:9">
      <c r="A4462" s="113">
        <v>101300091</v>
      </c>
      <c r="B4462" s="113" t="s">
        <v>3072</v>
      </c>
      <c r="C4462" s="113">
        <v>7072087</v>
      </c>
      <c r="D4462" s="113" t="s">
        <v>3093</v>
      </c>
      <c r="E4462" s="113" t="s">
        <v>1620</v>
      </c>
      <c r="F4462" s="113" t="s">
        <v>3093</v>
      </c>
      <c r="G4462" s="115" t="s">
        <v>3093</v>
      </c>
      <c r="H4462" s="161">
        <v>39.549999999999997</v>
      </c>
      <c r="I4462" s="161" t="s">
        <v>7138</v>
      </c>
    </row>
    <row r="4463" spans="1:9">
      <c r="A4463" s="113">
        <v>101300092</v>
      </c>
      <c r="B4463" s="113" t="s">
        <v>7096</v>
      </c>
      <c r="C4463" s="113">
        <v>7090117</v>
      </c>
      <c r="D4463" s="113" t="s">
        <v>3093</v>
      </c>
      <c r="E4463" s="113" t="s">
        <v>1620</v>
      </c>
      <c r="F4463" s="113" t="s">
        <v>3093</v>
      </c>
      <c r="G4463" s="113" t="s">
        <v>3093</v>
      </c>
      <c r="H4463" s="161">
        <v>0</v>
      </c>
      <c r="I4463" s="161" t="s">
        <v>7138</v>
      </c>
    </row>
    <row r="4464" spans="1:9">
      <c r="A4464" s="113">
        <v>101300093</v>
      </c>
      <c r="B4464" s="113" t="s">
        <v>7097</v>
      </c>
      <c r="C4464" s="113">
        <v>7090125</v>
      </c>
      <c r="D4464" s="113" t="s">
        <v>3093</v>
      </c>
      <c r="E4464" s="113" t="s">
        <v>1620</v>
      </c>
      <c r="F4464" s="113" t="s">
        <v>3093</v>
      </c>
      <c r="G4464" s="113" t="s">
        <v>3093</v>
      </c>
      <c r="H4464" s="161">
        <v>0</v>
      </c>
      <c r="I4464" s="161" t="s">
        <v>7138</v>
      </c>
    </row>
    <row r="4465" spans="1:9">
      <c r="A4465" s="113">
        <v>101300094</v>
      </c>
      <c r="B4465" s="113" t="s">
        <v>7098</v>
      </c>
      <c r="C4465" s="113">
        <v>7091033</v>
      </c>
      <c r="D4465" s="113" t="s">
        <v>3093</v>
      </c>
      <c r="E4465" s="113" t="s">
        <v>1620</v>
      </c>
      <c r="F4465" s="113" t="s">
        <v>3093</v>
      </c>
      <c r="G4465" s="115" t="s">
        <v>3093</v>
      </c>
      <c r="H4465" s="161">
        <v>264.72000000000003</v>
      </c>
      <c r="I4465" s="161">
        <v>74</v>
      </c>
    </row>
    <row r="4466" spans="1:9">
      <c r="A4466" s="113">
        <v>101300095</v>
      </c>
      <c r="B4466" s="113" t="s">
        <v>7099</v>
      </c>
      <c r="C4466" s="113">
        <v>7091045</v>
      </c>
      <c r="D4466" s="113" t="s">
        <v>3093</v>
      </c>
      <c r="E4466" s="113" t="s">
        <v>1620</v>
      </c>
      <c r="F4466" s="113" t="s">
        <v>3093</v>
      </c>
      <c r="G4466" s="115" t="s">
        <v>3093</v>
      </c>
      <c r="H4466" s="161">
        <v>0</v>
      </c>
      <c r="I4466" s="161" t="s">
        <v>7138</v>
      </c>
    </row>
    <row r="4467" spans="1:9">
      <c r="A4467" s="113">
        <v>101300096</v>
      </c>
      <c r="B4467" s="113" t="s">
        <v>7100</v>
      </c>
      <c r="C4467" s="113">
        <v>7091047</v>
      </c>
      <c r="D4467" s="113" t="s">
        <v>3093</v>
      </c>
      <c r="E4467" s="113" t="s">
        <v>1620</v>
      </c>
      <c r="F4467" s="113" t="s">
        <v>3093</v>
      </c>
      <c r="G4467" s="115" t="s">
        <v>3093</v>
      </c>
      <c r="H4467" s="161">
        <v>0</v>
      </c>
      <c r="I4467" s="161" t="s">
        <v>7138</v>
      </c>
    </row>
    <row r="4468" spans="1:9">
      <c r="A4468" s="113">
        <v>101300097</v>
      </c>
      <c r="B4468" s="113" t="s">
        <v>7101</v>
      </c>
      <c r="C4468" s="113">
        <v>7091048</v>
      </c>
      <c r="D4468" s="113" t="s">
        <v>3093</v>
      </c>
      <c r="E4468" s="113" t="s">
        <v>1620</v>
      </c>
      <c r="F4468" s="113" t="s">
        <v>3093</v>
      </c>
      <c r="G4468" s="115" t="s">
        <v>3093</v>
      </c>
      <c r="H4468" s="161">
        <v>0</v>
      </c>
      <c r="I4468" s="161" t="s">
        <v>7138</v>
      </c>
    </row>
    <row r="4469" spans="1:9">
      <c r="A4469" s="113">
        <v>101300098</v>
      </c>
      <c r="B4469" s="113" t="s">
        <v>7102</v>
      </c>
      <c r="C4469" s="113">
        <v>7091049</v>
      </c>
      <c r="D4469" s="113" t="s">
        <v>3093</v>
      </c>
      <c r="E4469" s="113" t="s">
        <v>1620</v>
      </c>
      <c r="F4469" s="113" t="s">
        <v>3093</v>
      </c>
      <c r="G4469" s="113" t="s">
        <v>3093</v>
      </c>
      <c r="H4469" s="161">
        <v>0</v>
      </c>
      <c r="I4469" s="161" t="s">
        <v>7138</v>
      </c>
    </row>
    <row r="4470" spans="1:9">
      <c r="A4470" s="113">
        <v>101300099</v>
      </c>
      <c r="B4470" s="113" t="s">
        <v>7103</v>
      </c>
      <c r="C4470" s="113">
        <v>7091052</v>
      </c>
      <c r="D4470" s="113" t="s">
        <v>3093</v>
      </c>
      <c r="E4470" s="113" t="s">
        <v>1620</v>
      </c>
      <c r="F4470" s="113" t="s">
        <v>3093</v>
      </c>
      <c r="G4470" s="115" t="s">
        <v>3093</v>
      </c>
      <c r="H4470" s="161">
        <v>0</v>
      </c>
      <c r="I4470" s="161" t="s">
        <v>7138</v>
      </c>
    </row>
    <row r="4471" spans="1:9">
      <c r="A4471" s="113">
        <v>101300100</v>
      </c>
      <c r="B4471" s="113" t="s">
        <v>7104</v>
      </c>
      <c r="C4471" s="113">
        <v>7091053</v>
      </c>
      <c r="D4471" s="113" t="s">
        <v>3093</v>
      </c>
      <c r="E4471" s="113" t="s">
        <v>1620</v>
      </c>
      <c r="F4471" s="113" t="s">
        <v>3093</v>
      </c>
      <c r="G4471" s="115" t="s">
        <v>3093</v>
      </c>
      <c r="H4471" s="161">
        <v>0</v>
      </c>
      <c r="I4471" s="161" t="s">
        <v>7138</v>
      </c>
    </row>
    <row r="4472" spans="1:9">
      <c r="A4472" s="113">
        <v>101300101</v>
      </c>
      <c r="B4472" s="113" t="s">
        <v>7105</v>
      </c>
      <c r="C4472" s="113">
        <v>7091054</v>
      </c>
      <c r="D4472" s="113" t="s">
        <v>3093</v>
      </c>
      <c r="E4472" s="113" t="s">
        <v>1620</v>
      </c>
      <c r="F4472" s="113" t="s">
        <v>3093</v>
      </c>
      <c r="G4472" s="115" t="s">
        <v>3093</v>
      </c>
      <c r="H4472" s="161">
        <v>0</v>
      </c>
      <c r="I4472" s="161" t="s">
        <v>7138</v>
      </c>
    </row>
    <row r="4473" spans="1:9">
      <c r="A4473" s="113">
        <v>101300102</v>
      </c>
      <c r="B4473" s="113" t="s">
        <v>7106</v>
      </c>
      <c r="C4473" s="113">
        <v>7091055</v>
      </c>
      <c r="D4473" s="113" t="s">
        <v>3093</v>
      </c>
      <c r="E4473" s="113" t="s">
        <v>1620</v>
      </c>
      <c r="F4473" s="113" t="s">
        <v>3093</v>
      </c>
      <c r="G4473" s="115" t="s">
        <v>3093</v>
      </c>
      <c r="H4473" s="161">
        <v>0</v>
      </c>
      <c r="I4473" s="161" t="s">
        <v>7138</v>
      </c>
    </row>
    <row r="4474" spans="1:9">
      <c r="A4474" s="113">
        <v>101300103</v>
      </c>
      <c r="B4474" s="113" t="s">
        <v>7107</v>
      </c>
      <c r="C4474" s="113">
        <v>7091056</v>
      </c>
      <c r="D4474" s="113" t="s">
        <v>3093</v>
      </c>
      <c r="E4474" s="113" t="s">
        <v>1620</v>
      </c>
      <c r="F4474" s="113" t="s">
        <v>3093</v>
      </c>
      <c r="G4474" s="115" t="s">
        <v>3093</v>
      </c>
      <c r="H4474" s="161">
        <v>0</v>
      </c>
      <c r="I4474" s="161" t="s">
        <v>7138</v>
      </c>
    </row>
    <row r="4475" spans="1:9">
      <c r="A4475" s="113">
        <v>101300104</v>
      </c>
      <c r="B4475" s="113" t="s">
        <v>7108</v>
      </c>
      <c r="C4475" s="113">
        <v>7091057</v>
      </c>
      <c r="D4475" s="113" t="s">
        <v>3093</v>
      </c>
      <c r="E4475" s="113" t="s">
        <v>1620</v>
      </c>
      <c r="F4475" s="113" t="s">
        <v>3093</v>
      </c>
      <c r="G4475" s="115" t="s">
        <v>3093</v>
      </c>
      <c r="H4475" s="161">
        <v>1395.98</v>
      </c>
      <c r="I4475" s="161" t="s">
        <v>7138</v>
      </c>
    </row>
    <row r="4476" spans="1:9">
      <c r="A4476" s="113">
        <v>101300105</v>
      </c>
      <c r="B4476" s="113" t="s">
        <v>7109</v>
      </c>
      <c r="C4476" s="113">
        <v>7091058</v>
      </c>
      <c r="D4476" s="113" t="s">
        <v>3093</v>
      </c>
      <c r="E4476" s="113" t="s">
        <v>1620</v>
      </c>
      <c r="F4476" s="113" t="s">
        <v>3093</v>
      </c>
      <c r="G4476" s="115" t="s">
        <v>3093</v>
      </c>
      <c r="H4476" s="161">
        <v>0</v>
      </c>
      <c r="I4476" s="161" t="s">
        <v>7138</v>
      </c>
    </row>
    <row r="4477" spans="1:9">
      <c r="A4477" s="113">
        <v>101300106</v>
      </c>
      <c r="B4477" s="113" t="s">
        <v>7110</v>
      </c>
      <c r="C4477" s="113">
        <v>7091059</v>
      </c>
      <c r="D4477" s="113" t="s">
        <v>3093</v>
      </c>
      <c r="E4477" s="113" t="s">
        <v>1620</v>
      </c>
      <c r="F4477" s="113" t="s">
        <v>3093</v>
      </c>
      <c r="G4477" s="115" t="s">
        <v>3093</v>
      </c>
      <c r="H4477" s="161">
        <v>0</v>
      </c>
      <c r="I4477" s="161" t="s">
        <v>7138</v>
      </c>
    </row>
    <row r="4478" spans="1:9">
      <c r="A4478" s="113">
        <v>101300107</v>
      </c>
      <c r="B4478" s="113" t="s">
        <v>7111</v>
      </c>
      <c r="C4478" s="113">
        <v>7091060</v>
      </c>
      <c r="D4478" s="113" t="s">
        <v>3093</v>
      </c>
      <c r="E4478" s="113" t="s">
        <v>1620</v>
      </c>
      <c r="F4478" s="113" t="s">
        <v>3093</v>
      </c>
      <c r="G4478" s="115" t="s">
        <v>3093</v>
      </c>
      <c r="H4478" s="161">
        <v>0</v>
      </c>
      <c r="I4478" s="161" t="s">
        <v>7138</v>
      </c>
    </row>
    <row r="4479" spans="1:9">
      <c r="A4479" s="113">
        <v>101300108</v>
      </c>
      <c r="B4479" s="113" t="s">
        <v>7112</v>
      </c>
      <c r="C4479" s="113">
        <v>7091061</v>
      </c>
      <c r="D4479" s="113" t="s">
        <v>3093</v>
      </c>
      <c r="E4479" s="113" t="s">
        <v>1620</v>
      </c>
      <c r="F4479" s="113" t="s">
        <v>3093</v>
      </c>
      <c r="G4479" s="115" t="s">
        <v>3093</v>
      </c>
      <c r="H4479" s="161">
        <v>0</v>
      </c>
      <c r="I4479" s="161" t="s">
        <v>7138</v>
      </c>
    </row>
    <row r="4480" spans="1:9">
      <c r="A4480" s="113">
        <v>101300109</v>
      </c>
      <c r="B4480" s="113" t="s">
        <v>7113</v>
      </c>
      <c r="C4480" s="113">
        <v>7091065</v>
      </c>
      <c r="D4480" s="113" t="s">
        <v>3093</v>
      </c>
      <c r="E4480" s="113" t="s">
        <v>1620</v>
      </c>
      <c r="F4480" s="113" t="s">
        <v>3093</v>
      </c>
      <c r="G4480" s="113" t="s">
        <v>3093</v>
      </c>
      <c r="H4480" s="161">
        <v>0</v>
      </c>
      <c r="I4480" s="161" t="s">
        <v>7138</v>
      </c>
    </row>
    <row r="4481" spans="1:9">
      <c r="A4481" s="113">
        <v>101300110</v>
      </c>
      <c r="B4481" s="113" t="s">
        <v>7114</v>
      </c>
      <c r="C4481" s="113">
        <v>7100217</v>
      </c>
      <c r="D4481" s="113" t="s">
        <v>3093</v>
      </c>
      <c r="E4481" s="113" t="s">
        <v>1620</v>
      </c>
      <c r="F4481" s="113" t="s">
        <v>3093</v>
      </c>
      <c r="G4481" s="113" t="s">
        <v>3093</v>
      </c>
      <c r="H4481" s="161">
        <v>9.18</v>
      </c>
      <c r="I4481" s="161">
        <v>932</v>
      </c>
    </row>
    <row r="4482" spans="1:9">
      <c r="A4482" s="113">
        <v>101300111</v>
      </c>
      <c r="B4482" s="113" t="s">
        <v>7115</v>
      </c>
      <c r="C4482" s="113" t="s">
        <v>3093</v>
      </c>
      <c r="D4482" s="113" t="s">
        <v>3093</v>
      </c>
      <c r="E4482" s="113" t="s">
        <v>1620</v>
      </c>
      <c r="F4482" s="113" t="s">
        <v>3093</v>
      </c>
      <c r="G4482" s="113" t="s">
        <v>3093</v>
      </c>
      <c r="H4482" s="161">
        <v>680</v>
      </c>
      <c r="I4482" s="161" t="s">
        <v>7138</v>
      </c>
    </row>
    <row r="4483" spans="1:9">
      <c r="A4483" s="113">
        <v>100790000</v>
      </c>
      <c r="B4483" s="113" t="s">
        <v>7116</v>
      </c>
      <c r="C4483" s="113">
        <v>4990208</v>
      </c>
      <c r="D4483" s="113" t="s">
        <v>7139</v>
      </c>
      <c r="E4483" s="113" t="s">
        <v>1620</v>
      </c>
      <c r="F4483" s="113" t="s">
        <v>7139</v>
      </c>
      <c r="G4483" s="113" t="s">
        <v>7145</v>
      </c>
      <c r="H4483" s="161">
        <v>0</v>
      </c>
      <c r="I4483" s="161" t="s">
        <v>7146</v>
      </c>
    </row>
    <row r="4484" spans="1:9">
      <c r="A4484" s="113">
        <v>100790007</v>
      </c>
      <c r="B4484" s="113" t="s">
        <v>7116</v>
      </c>
      <c r="C4484" s="113">
        <v>6003227</v>
      </c>
      <c r="D4484" s="113" t="s">
        <v>7139</v>
      </c>
      <c r="E4484" s="113" t="s">
        <v>1620</v>
      </c>
      <c r="F4484" s="113" t="s">
        <v>7139</v>
      </c>
      <c r="G4484" s="113" t="s">
        <v>7145</v>
      </c>
      <c r="H4484" s="161">
        <v>0</v>
      </c>
      <c r="I4484" s="161" t="s">
        <v>7146</v>
      </c>
    </row>
    <row r="4485" spans="1:9">
      <c r="A4485" s="113">
        <v>100790008</v>
      </c>
      <c r="B4485" s="113" t="s">
        <v>7116</v>
      </c>
      <c r="C4485" s="113">
        <v>6003228</v>
      </c>
      <c r="D4485" s="113" t="s">
        <v>7139</v>
      </c>
      <c r="E4485" s="113" t="s">
        <v>1620</v>
      </c>
      <c r="F4485" s="113" t="s">
        <v>7139</v>
      </c>
      <c r="G4485" s="113" t="s">
        <v>7145</v>
      </c>
      <c r="H4485" s="161">
        <v>0</v>
      </c>
      <c r="I4485" s="161" t="s">
        <v>7146</v>
      </c>
    </row>
    <row r="4486" spans="1:9">
      <c r="A4486" s="113">
        <v>100790009</v>
      </c>
      <c r="B4486" s="113" t="s">
        <v>7116</v>
      </c>
      <c r="C4486" s="113">
        <v>6003229</v>
      </c>
      <c r="D4486" s="113" t="s">
        <v>7139</v>
      </c>
      <c r="E4486" s="113" t="s">
        <v>1620</v>
      </c>
      <c r="F4486" s="113" t="s">
        <v>7139</v>
      </c>
      <c r="G4486" s="113" t="s">
        <v>7145</v>
      </c>
      <c r="H4486" s="161">
        <v>0</v>
      </c>
      <c r="I4486" s="161" t="s">
        <v>7146</v>
      </c>
    </row>
    <row r="4487" spans="1:9">
      <c r="A4487" s="113">
        <v>100790010</v>
      </c>
      <c r="B4487" s="113" t="s">
        <v>7116</v>
      </c>
      <c r="C4487" s="113">
        <v>6003230</v>
      </c>
      <c r="D4487" s="113" t="s">
        <v>7139</v>
      </c>
      <c r="E4487" s="113" t="s">
        <v>1620</v>
      </c>
      <c r="F4487" s="113" t="s">
        <v>7139</v>
      </c>
      <c r="G4487" s="113" t="s">
        <v>7145</v>
      </c>
      <c r="H4487" s="161">
        <v>0</v>
      </c>
      <c r="I4487" s="161" t="s">
        <v>7146</v>
      </c>
    </row>
    <row r="4488" spans="1:9">
      <c r="A4488" s="113">
        <v>100790011</v>
      </c>
      <c r="B4488" s="113" t="s">
        <v>7116</v>
      </c>
      <c r="C4488" s="113">
        <v>6003231</v>
      </c>
      <c r="D4488" s="113" t="s">
        <v>7139</v>
      </c>
      <c r="E4488" s="113" t="s">
        <v>1620</v>
      </c>
      <c r="F4488" s="113" t="s">
        <v>7139</v>
      </c>
      <c r="G4488" s="113" t="s">
        <v>7145</v>
      </c>
      <c r="H4488" s="161">
        <v>0</v>
      </c>
      <c r="I4488" s="161" t="s">
        <v>7146</v>
      </c>
    </row>
    <row r="4489" spans="1:9">
      <c r="A4489" s="113">
        <v>100790012</v>
      </c>
      <c r="B4489" s="113" t="s">
        <v>7116</v>
      </c>
      <c r="C4489" s="113">
        <v>6003232</v>
      </c>
      <c r="D4489" s="113" t="s">
        <v>7139</v>
      </c>
      <c r="E4489" s="113" t="s">
        <v>1620</v>
      </c>
      <c r="F4489" s="113" t="s">
        <v>7139</v>
      </c>
      <c r="G4489" s="113" t="s">
        <v>7145</v>
      </c>
      <c r="H4489" s="161">
        <v>0</v>
      </c>
      <c r="I4489" s="161" t="s">
        <v>7146</v>
      </c>
    </row>
    <row r="4490" spans="1:9">
      <c r="A4490" s="113">
        <v>100790013</v>
      </c>
      <c r="B4490" s="113" t="s">
        <v>7116</v>
      </c>
      <c r="C4490" s="113">
        <v>6003233</v>
      </c>
      <c r="D4490" s="113" t="s">
        <v>7139</v>
      </c>
      <c r="E4490" s="113" t="s">
        <v>1620</v>
      </c>
      <c r="F4490" s="113" t="s">
        <v>7139</v>
      </c>
      <c r="G4490" s="113" t="s">
        <v>7145</v>
      </c>
      <c r="H4490" s="161">
        <v>0</v>
      </c>
      <c r="I4490" s="161" t="s">
        <v>7146</v>
      </c>
    </row>
    <row r="4491" spans="1:9">
      <c r="A4491" s="113">
        <v>100790014</v>
      </c>
      <c r="B4491" s="113" t="s">
        <v>7116</v>
      </c>
      <c r="C4491" s="113">
        <v>6003234</v>
      </c>
      <c r="D4491" s="113" t="s">
        <v>7139</v>
      </c>
      <c r="E4491" s="113" t="s">
        <v>1620</v>
      </c>
      <c r="F4491" s="113" t="s">
        <v>7139</v>
      </c>
      <c r="G4491" s="113" t="s">
        <v>7145</v>
      </c>
      <c r="H4491" s="161">
        <v>0</v>
      </c>
      <c r="I4491" s="161" t="s">
        <v>7146</v>
      </c>
    </row>
    <row r="4492" spans="1:9">
      <c r="A4492" s="113">
        <v>100790015</v>
      </c>
      <c r="B4492" s="113" t="s">
        <v>7116</v>
      </c>
      <c r="C4492" s="113">
        <v>6003235</v>
      </c>
      <c r="D4492" s="113" t="s">
        <v>7139</v>
      </c>
      <c r="E4492" s="113" t="s">
        <v>1620</v>
      </c>
      <c r="F4492" s="113" t="s">
        <v>7139</v>
      </c>
      <c r="G4492" s="113" t="s">
        <v>7145</v>
      </c>
      <c r="H4492" s="161">
        <v>0</v>
      </c>
      <c r="I4492" s="161" t="s">
        <v>7146</v>
      </c>
    </row>
    <row r="4493" spans="1:9">
      <c r="A4493" s="113">
        <v>100790016</v>
      </c>
      <c r="B4493" s="113" t="s">
        <v>7116</v>
      </c>
      <c r="C4493" s="113">
        <v>6003236</v>
      </c>
      <c r="D4493" s="113" t="s">
        <v>7139</v>
      </c>
      <c r="E4493" s="113" t="s">
        <v>1620</v>
      </c>
      <c r="F4493" s="113" t="s">
        <v>7139</v>
      </c>
      <c r="G4493" s="113" t="s">
        <v>7145</v>
      </c>
      <c r="H4493" s="161">
        <v>0</v>
      </c>
      <c r="I4493" s="161" t="s">
        <v>7146</v>
      </c>
    </row>
    <row r="4494" spans="1:9">
      <c r="A4494" s="113">
        <v>100790017</v>
      </c>
      <c r="B4494" s="113" t="s">
        <v>7116</v>
      </c>
      <c r="C4494" s="113">
        <v>6003237</v>
      </c>
      <c r="D4494" s="113" t="s">
        <v>7139</v>
      </c>
      <c r="E4494" s="113" t="s">
        <v>1620</v>
      </c>
      <c r="F4494" s="113" t="s">
        <v>7139</v>
      </c>
      <c r="G4494" s="113" t="s">
        <v>7145</v>
      </c>
      <c r="H4494" s="161">
        <v>0</v>
      </c>
      <c r="I4494" s="161" t="s">
        <v>7146</v>
      </c>
    </row>
    <row r="4495" spans="1:9">
      <c r="A4495" s="113">
        <v>100790018</v>
      </c>
      <c r="B4495" s="113" t="s">
        <v>7116</v>
      </c>
      <c r="C4495" s="113">
        <v>6003238</v>
      </c>
      <c r="D4495" s="113" t="s">
        <v>7139</v>
      </c>
      <c r="E4495" s="113" t="s">
        <v>1620</v>
      </c>
      <c r="F4495" s="113" t="s">
        <v>7139</v>
      </c>
      <c r="G4495" s="113" t="s">
        <v>7145</v>
      </c>
      <c r="H4495" s="161">
        <v>0</v>
      </c>
      <c r="I4495" s="161" t="s">
        <v>7146</v>
      </c>
    </row>
    <row r="4496" spans="1:9">
      <c r="A4496" s="113">
        <v>100790019</v>
      </c>
      <c r="B4496" s="113" t="s">
        <v>7116</v>
      </c>
      <c r="C4496" s="113">
        <v>6003239</v>
      </c>
      <c r="D4496" s="113" t="s">
        <v>7139</v>
      </c>
      <c r="E4496" s="113" t="s">
        <v>1620</v>
      </c>
      <c r="F4496" s="113" t="s">
        <v>7139</v>
      </c>
      <c r="G4496" s="113" t="s">
        <v>7145</v>
      </c>
      <c r="H4496" s="161">
        <v>0</v>
      </c>
      <c r="I4496" s="161" t="s">
        <v>7146</v>
      </c>
    </row>
    <row r="4497" spans="1:9">
      <c r="A4497" s="113">
        <v>100790020</v>
      </c>
      <c r="B4497" s="113" t="s">
        <v>7116</v>
      </c>
      <c r="C4497" s="113">
        <v>6003240</v>
      </c>
      <c r="D4497" s="113" t="s">
        <v>7139</v>
      </c>
      <c r="E4497" s="113" t="s">
        <v>1620</v>
      </c>
      <c r="F4497" s="113" t="s">
        <v>7139</v>
      </c>
      <c r="G4497" s="115" t="s">
        <v>7145</v>
      </c>
      <c r="H4497" s="161">
        <v>0</v>
      </c>
      <c r="I4497" s="161" t="s">
        <v>7146</v>
      </c>
    </row>
    <row r="4498" spans="1:9">
      <c r="A4498" s="113">
        <v>100790021</v>
      </c>
      <c r="B4498" s="113" t="s">
        <v>7116</v>
      </c>
      <c r="C4498" s="113">
        <v>6003241</v>
      </c>
      <c r="D4498" s="113" t="s">
        <v>7139</v>
      </c>
      <c r="E4498" s="113" t="s">
        <v>1620</v>
      </c>
      <c r="F4498" s="113" t="s">
        <v>7139</v>
      </c>
      <c r="G4498" s="113" t="s">
        <v>7145</v>
      </c>
      <c r="H4498" s="161">
        <v>0</v>
      </c>
      <c r="I4498" s="161" t="s">
        <v>7146</v>
      </c>
    </row>
    <row r="4499" spans="1:9">
      <c r="A4499" s="113">
        <v>100790022</v>
      </c>
      <c r="B4499" s="113" t="s">
        <v>7116</v>
      </c>
      <c r="C4499" s="113">
        <v>6003243</v>
      </c>
      <c r="D4499" s="113" t="s">
        <v>7139</v>
      </c>
      <c r="E4499" s="113" t="s">
        <v>1620</v>
      </c>
      <c r="F4499" s="113" t="s">
        <v>7139</v>
      </c>
      <c r="G4499" s="113" t="s">
        <v>7145</v>
      </c>
      <c r="H4499" s="161">
        <v>0</v>
      </c>
      <c r="I4499" s="161" t="s">
        <v>7146</v>
      </c>
    </row>
    <row r="4500" spans="1:9">
      <c r="A4500" s="113">
        <v>100790023</v>
      </c>
      <c r="B4500" s="113" t="s">
        <v>7116</v>
      </c>
      <c r="C4500" s="113">
        <v>6003244</v>
      </c>
      <c r="D4500" s="113" t="s">
        <v>7139</v>
      </c>
      <c r="E4500" s="113" t="s">
        <v>1620</v>
      </c>
      <c r="F4500" s="113" t="s">
        <v>7139</v>
      </c>
      <c r="G4500" s="113" t="s">
        <v>7145</v>
      </c>
      <c r="H4500" s="161">
        <v>0</v>
      </c>
      <c r="I4500" s="161" t="s">
        <v>7146</v>
      </c>
    </row>
    <row r="4501" spans="1:9">
      <c r="A4501" s="113">
        <v>100790024</v>
      </c>
      <c r="B4501" s="113" t="s">
        <v>7116</v>
      </c>
      <c r="C4501" s="113">
        <v>6003245</v>
      </c>
      <c r="D4501" s="113" t="s">
        <v>7139</v>
      </c>
      <c r="E4501" s="113" t="s">
        <v>1620</v>
      </c>
      <c r="F4501" s="113" t="s">
        <v>7139</v>
      </c>
      <c r="G4501" s="113" t="s">
        <v>7145</v>
      </c>
      <c r="H4501" s="161">
        <v>0</v>
      </c>
      <c r="I4501" s="161" t="s">
        <v>7146</v>
      </c>
    </row>
    <row r="4502" spans="1:9">
      <c r="A4502" s="113">
        <v>100790025</v>
      </c>
      <c r="B4502" s="113" t="s">
        <v>7116</v>
      </c>
      <c r="C4502" s="113">
        <v>6003246</v>
      </c>
      <c r="D4502" s="113" t="s">
        <v>7139</v>
      </c>
      <c r="E4502" s="113" t="s">
        <v>1620</v>
      </c>
      <c r="F4502" s="113" t="s">
        <v>7139</v>
      </c>
      <c r="G4502" s="113" t="s">
        <v>7145</v>
      </c>
      <c r="H4502" s="161">
        <v>0</v>
      </c>
      <c r="I4502" s="161" t="s">
        <v>7146</v>
      </c>
    </row>
    <row r="4503" spans="1:9">
      <c r="A4503" s="113">
        <v>100790026</v>
      </c>
      <c r="B4503" s="113" t="s">
        <v>7116</v>
      </c>
      <c r="C4503" s="113">
        <v>6003247</v>
      </c>
      <c r="D4503" s="113" t="s">
        <v>7139</v>
      </c>
      <c r="E4503" s="113" t="s">
        <v>1620</v>
      </c>
      <c r="F4503" s="113" t="s">
        <v>7139</v>
      </c>
      <c r="G4503" s="113" t="s">
        <v>7145</v>
      </c>
      <c r="H4503" s="161">
        <v>0</v>
      </c>
      <c r="I4503" s="161" t="s">
        <v>7146</v>
      </c>
    </row>
    <row r="4504" spans="1:9">
      <c r="A4504" s="113">
        <v>100790027</v>
      </c>
      <c r="B4504" s="113" t="s">
        <v>7116</v>
      </c>
      <c r="C4504" s="113">
        <v>6003248</v>
      </c>
      <c r="D4504" s="113" t="s">
        <v>7139</v>
      </c>
      <c r="E4504" s="113" t="s">
        <v>1620</v>
      </c>
      <c r="F4504" s="113" t="s">
        <v>7139</v>
      </c>
      <c r="G4504" s="113" t="s">
        <v>7145</v>
      </c>
      <c r="H4504" s="161">
        <v>0</v>
      </c>
      <c r="I4504" s="161" t="s">
        <v>7146</v>
      </c>
    </row>
    <row r="4505" spans="1:9">
      <c r="A4505" s="113">
        <v>100790028</v>
      </c>
      <c r="B4505" s="113" t="s">
        <v>7116</v>
      </c>
      <c r="C4505" s="113">
        <v>6003249</v>
      </c>
      <c r="D4505" s="113" t="s">
        <v>7139</v>
      </c>
      <c r="E4505" s="113" t="s">
        <v>1620</v>
      </c>
      <c r="F4505" s="113" t="s">
        <v>7139</v>
      </c>
      <c r="G4505" s="113" t="s">
        <v>7145</v>
      </c>
      <c r="H4505" s="161">
        <v>0</v>
      </c>
      <c r="I4505" s="161" t="s">
        <v>7146</v>
      </c>
    </row>
    <row r="4506" spans="1:9">
      <c r="A4506" s="113">
        <v>100790029</v>
      </c>
      <c r="B4506" s="113" t="s">
        <v>7116</v>
      </c>
      <c r="C4506" s="113">
        <v>6003251</v>
      </c>
      <c r="D4506" s="113" t="s">
        <v>7139</v>
      </c>
      <c r="E4506" s="113" t="s">
        <v>1620</v>
      </c>
      <c r="F4506" s="113" t="s">
        <v>7139</v>
      </c>
      <c r="G4506" s="113" t="s">
        <v>7145</v>
      </c>
      <c r="H4506" s="161">
        <v>0</v>
      </c>
      <c r="I4506" s="161" t="s">
        <v>7146</v>
      </c>
    </row>
    <row r="4507" spans="1:9">
      <c r="A4507" s="113">
        <v>100790030</v>
      </c>
      <c r="B4507" s="113" t="s">
        <v>7116</v>
      </c>
      <c r="C4507" s="113">
        <v>6003252</v>
      </c>
      <c r="D4507" s="113" t="s">
        <v>7139</v>
      </c>
      <c r="E4507" s="113" t="s">
        <v>1620</v>
      </c>
      <c r="F4507" s="113" t="s">
        <v>7139</v>
      </c>
      <c r="G4507" s="113" t="s">
        <v>7145</v>
      </c>
      <c r="H4507" s="161">
        <v>0</v>
      </c>
      <c r="I4507" s="161" t="s">
        <v>7146</v>
      </c>
    </row>
    <row r="4508" spans="1:9">
      <c r="A4508" s="113">
        <v>100790031</v>
      </c>
      <c r="B4508" s="113" t="s">
        <v>7116</v>
      </c>
      <c r="C4508" s="113">
        <v>6003253</v>
      </c>
      <c r="D4508" s="113" t="s">
        <v>7139</v>
      </c>
      <c r="E4508" s="113" t="s">
        <v>1620</v>
      </c>
      <c r="F4508" s="113" t="s">
        <v>7139</v>
      </c>
      <c r="G4508" s="113" t="s">
        <v>7145</v>
      </c>
      <c r="H4508" s="161">
        <v>0</v>
      </c>
      <c r="I4508" s="161" t="s">
        <v>7146</v>
      </c>
    </row>
    <row r="4509" spans="1:9">
      <c r="A4509" s="113">
        <v>100790032</v>
      </c>
      <c r="B4509" s="113" t="s">
        <v>7116</v>
      </c>
      <c r="C4509" s="113">
        <v>6003254</v>
      </c>
      <c r="D4509" s="113" t="s">
        <v>7139</v>
      </c>
      <c r="E4509" s="113" t="s">
        <v>1620</v>
      </c>
      <c r="F4509" s="113" t="s">
        <v>7139</v>
      </c>
      <c r="G4509" s="113" t="s">
        <v>7145</v>
      </c>
      <c r="H4509" s="161">
        <v>0</v>
      </c>
      <c r="I4509" s="161" t="s">
        <v>7146</v>
      </c>
    </row>
    <row r="4510" spans="1:9">
      <c r="A4510" s="113">
        <v>100790033</v>
      </c>
      <c r="B4510" s="113" t="s">
        <v>7116</v>
      </c>
      <c r="C4510" s="113">
        <v>6003255</v>
      </c>
      <c r="D4510" s="113" t="s">
        <v>7139</v>
      </c>
      <c r="E4510" s="113" t="s">
        <v>1620</v>
      </c>
      <c r="F4510" s="113" t="s">
        <v>7139</v>
      </c>
      <c r="G4510" s="113" t="s">
        <v>7145</v>
      </c>
      <c r="H4510" s="161">
        <v>0</v>
      </c>
      <c r="I4510" s="161" t="s">
        <v>7146</v>
      </c>
    </row>
    <row r="4511" spans="1:9">
      <c r="A4511" s="113">
        <v>100790034</v>
      </c>
      <c r="B4511" s="113" t="s">
        <v>7116</v>
      </c>
      <c r="C4511" s="113">
        <v>6003256</v>
      </c>
      <c r="D4511" s="113" t="s">
        <v>7139</v>
      </c>
      <c r="E4511" s="113" t="s">
        <v>1620</v>
      </c>
      <c r="F4511" s="113" t="s">
        <v>7139</v>
      </c>
      <c r="G4511" s="113" t="s">
        <v>7145</v>
      </c>
      <c r="H4511" s="161">
        <v>0</v>
      </c>
      <c r="I4511" s="161" t="s">
        <v>7146</v>
      </c>
    </row>
    <row r="4512" spans="1:9">
      <c r="A4512" s="113">
        <v>100790035</v>
      </c>
      <c r="B4512" s="113" t="s">
        <v>7116</v>
      </c>
      <c r="C4512" s="113">
        <v>6003257</v>
      </c>
      <c r="D4512" s="113" t="s">
        <v>7139</v>
      </c>
      <c r="E4512" s="113" t="s">
        <v>1620</v>
      </c>
      <c r="F4512" s="113" t="s">
        <v>7139</v>
      </c>
      <c r="G4512" s="115" t="s">
        <v>7145</v>
      </c>
      <c r="H4512" s="161">
        <v>0</v>
      </c>
      <c r="I4512" s="161" t="s">
        <v>7146</v>
      </c>
    </row>
    <row r="4513" spans="1:9">
      <c r="A4513" s="113">
        <v>100790036</v>
      </c>
      <c r="B4513" s="113" t="s">
        <v>7116</v>
      </c>
      <c r="C4513" s="113">
        <v>6003258</v>
      </c>
      <c r="D4513" s="113" t="s">
        <v>7139</v>
      </c>
      <c r="E4513" s="113" t="s">
        <v>1620</v>
      </c>
      <c r="F4513" s="113" t="s">
        <v>7139</v>
      </c>
      <c r="G4513" s="113" t="s">
        <v>7145</v>
      </c>
      <c r="H4513" s="161">
        <v>0</v>
      </c>
      <c r="I4513" s="161" t="s">
        <v>7146</v>
      </c>
    </row>
    <row r="4514" spans="1:9">
      <c r="A4514" s="113">
        <v>100790037</v>
      </c>
      <c r="B4514" s="113" t="s">
        <v>7116</v>
      </c>
      <c r="C4514" s="113">
        <v>6003259</v>
      </c>
      <c r="D4514" s="113" t="s">
        <v>7139</v>
      </c>
      <c r="E4514" s="113" t="s">
        <v>1620</v>
      </c>
      <c r="F4514" s="113" t="s">
        <v>7139</v>
      </c>
      <c r="G4514" s="113" t="s">
        <v>7145</v>
      </c>
      <c r="H4514" s="161">
        <v>0</v>
      </c>
      <c r="I4514" s="161" t="s">
        <v>7146</v>
      </c>
    </row>
    <row r="4515" spans="1:9">
      <c r="A4515" s="113">
        <v>100790038</v>
      </c>
      <c r="B4515" s="113" t="s">
        <v>7116</v>
      </c>
      <c r="C4515" s="113">
        <v>6003260</v>
      </c>
      <c r="D4515" s="113" t="s">
        <v>7139</v>
      </c>
      <c r="E4515" s="113" t="s">
        <v>1620</v>
      </c>
      <c r="F4515" s="113" t="s">
        <v>7139</v>
      </c>
      <c r="G4515" s="113" t="s">
        <v>7145</v>
      </c>
      <c r="H4515" s="161">
        <v>0</v>
      </c>
      <c r="I4515" s="161" t="s">
        <v>7146</v>
      </c>
    </row>
    <row r="4516" spans="1:9">
      <c r="A4516" s="113">
        <v>100790039</v>
      </c>
      <c r="B4516" s="113" t="s">
        <v>7116</v>
      </c>
      <c r="C4516" s="113">
        <v>6003261</v>
      </c>
      <c r="D4516" s="113" t="s">
        <v>7139</v>
      </c>
      <c r="E4516" s="113" t="s">
        <v>1620</v>
      </c>
      <c r="F4516" s="113" t="s">
        <v>7139</v>
      </c>
      <c r="G4516" s="115" t="s">
        <v>7145</v>
      </c>
      <c r="H4516" s="161">
        <v>0</v>
      </c>
      <c r="I4516" s="161" t="s">
        <v>7146</v>
      </c>
    </row>
    <row r="4517" spans="1:9">
      <c r="A4517" s="113">
        <v>100790040</v>
      </c>
      <c r="B4517" s="113" t="s">
        <v>7116</v>
      </c>
      <c r="C4517" s="113">
        <v>6003263</v>
      </c>
      <c r="D4517" s="113" t="s">
        <v>7139</v>
      </c>
      <c r="E4517" s="113" t="s">
        <v>1620</v>
      </c>
      <c r="F4517" s="113" t="s">
        <v>7139</v>
      </c>
      <c r="G4517" s="113" t="s">
        <v>7145</v>
      </c>
      <c r="H4517" s="161">
        <v>0</v>
      </c>
      <c r="I4517" s="161" t="s">
        <v>7146</v>
      </c>
    </row>
    <row r="4518" spans="1:9">
      <c r="A4518" s="113">
        <v>100790041</v>
      </c>
      <c r="B4518" s="113" t="s">
        <v>7116</v>
      </c>
      <c r="C4518" s="113">
        <v>6003265</v>
      </c>
      <c r="D4518" s="113" t="s">
        <v>7139</v>
      </c>
      <c r="E4518" s="113" t="s">
        <v>1620</v>
      </c>
      <c r="F4518" s="113" t="s">
        <v>7139</v>
      </c>
      <c r="G4518" s="113" t="s">
        <v>7145</v>
      </c>
      <c r="H4518" s="161">
        <v>0</v>
      </c>
      <c r="I4518" s="161" t="s">
        <v>7146</v>
      </c>
    </row>
    <row r="4519" spans="1:9">
      <c r="A4519" s="113">
        <v>100790042</v>
      </c>
      <c r="B4519" s="113" t="s">
        <v>7116</v>
      </c>
      <c r="C4519" s="113">
        <v>6003267</v>
      </c>
      <c r="D4519" s="113" t="s">
        <v>7139</v>
      </c>
      <c r="E4519" s="113" t="s">
        <v>1620</v>
      </c>
      <c r="F4519" s="113" t="s">
        <v>7139</v>
      </c>
      <c r="G4519" s="113" t="s">
        <v>7145</v>
      </c>
      <c r="H4519" s="161">
        <v>0</v>
      </c>
      <c r="I4519" s="161" t="s">
        <v>7146</v>
      </c>
    </row>
    <row r="4520" spans="1:9">
      <c r="A4520" s="113">
        <v>100790043</v>
      </c>
      <c r="B4520" s="113" t="s">
        <v>7116</v>
      </c>
      <c r="C4520" s="113">
        <v>6003269</v>
      </c>
      <c r="D4520" s="113" t="s">
        <v>7139</v>
      </c>
      <c r="E4520" s="113" t="s">
        <v>1620</v>
      </c>
      <c r="F4520" s="113" t="s">
        <v>7139</v>
      </c>
      <c r="G4520" s="113" t="s">
        <v>7145</v>
      </c>
      <c r="H4520" s="161">
        <v>0</v>
      </c>
      <c r="I4520" s="161" t="s">
        <v>7146</v>
      </c>
    </row>
    <row r="4521" spans="1:9">
      <c r="A4521" s="113">
        <v>100790044</v>
      </c>
      <c r="B4521" s="113" t="s">
        <v>7116</v>
      </c>
      <c r="C4521" s="113">
        <v>6003271</v>
      </c>
      <c r="D4521" s="113" t="s">
        <v>7139</v>
      </c>
      <c r="E4521" s="113" t="s">
        <v>1620</v>
      </c>
      <c r="F4521" s="113" t="s">
        <v>7139</v>
      </c>
      <c r="G4521" s="113" t="s">
        <v>7145</v>
      </c>
      <c r="H4521" s="161">
        <v>0</v>
      </c>
      <c r="I4521" s="161" t="s">
        <v>7146</v>
      </c>
    </row>
    <row r="4522" spans="1:9">
      <c r="A4522" s="113">
        <v>100790045</v>
      </c>
      <c r="B4522" s="113" t="s">
        <v>7116</v>
      </c>
      <c r="C4522" s="113">
        <v>6003272</v>
      </c>
      <c r="D4522" s="113" t="s">
        <v>7139</v>
      </c>
      <c r="E4522" s="113" t="s">
        <v>1620</v>
      </c>
      <c r="F4522" s="113" t="s">
        <v>7139</v>
      </c>
      <c r="G4522" s="113" t="s">
        <v>7145</v>
      </c>
      <c r="H4522" s="161">
        <v>0</v>
      </c>
      <c r="I4522" s="161" t="s">
        <v>7146</v>
      </c>
    </row>
    <row r="4523" spans="1:9">
      <c r="A4523" s="113">
        <v>100790046</v>
      </c>
      <c r="B4523" s="113" t="s">
        <v>7116</v>
      </c>
      <c r="C4523" s="113">
        <v>6003274</v>
      </c>
      <c r="D4523" s="113" t="s">
        <v>7139</v>
      </c>
      <c r="E4523" s="113" t="s">
        <v>1620</v>
      </c>
      <c r="F4523" s="113" t="s">
        <v>7139</v>
      </c>
      <c r="G4523" s="113" t="s">
        <v>7145</v>
      </c>
      <c r="H4523" s="161">
        <v>0</v>
      </c>
      <c r="I4523" s="161" t="s">
        <v>7146</v>
      </c>
    </row>
    <row r="4524" spans="1:9">
      <c r="A4524" s="113">
        <v>100790047</v>
      </c>
      <c r="B4524" s="113" t="s">
        <v>7116</v>
      </c>
      <c r="C4524" s="113">
        <v>6003277</v>
      </c>
      <c r="D4524" s="113" t="s">
        <v>7139</v>
      </c>
      <c r="E4524" s="113" t="s">
        <v>1620</v>
      </c>
      <c r="F4524" s="113" t="s">
        <v>7139</v>
      </c>
      <c r="G4524" s="113" t="s">
        <v>7145</v>
      </c>
      <c r="H4524" s="161">
        <v>0</v>
      </c>
      <c r="I4524" s="161" t="s">
        <v>7146</v>
      </c>
    </row>
    <row r="4525" spans="1:9">
      <c r="A4525" s="113">
        <v>100790048</v>
      </c>
      <c r="B4525" s="113" t="s">
        <v>7116</v>
      </c>
      <c r="C4525" s="113">
        <v>6003279</v>
      </c>
      <c r="D4525" s="113" t="s">
        <v>7139</v>
      </c>
      <c r="E4525" s="113" t="s">
        <v>1620</v>
      </c>
      <c r="F4525" s="113" t="s">
        <v>7139</v>
      </c>
      <c r="G4525" s="113" t="s">
        <v>7145</v>
      </c>
      <c r="H4525" s="161">
        <v>0</v>
      </c>
      <c r="I4525" s="161" t="s">
        <v>7146</v>
      </c>
    </row>
    <row r="4526" spans="1:9">
      <c r="A4526" s="113">
        <v>100790049</v>
      </c>
      <c r="B4526" s="113" t="s">
        <v>7116</v>
      </c>
      <c r="C4526" s="113">
        <v>6003280</v>
      </c>
      <c r="D4526" s="113" t="s">
        <v>7139</v>
      </c>
      <c r="E4526" s="113" t="s">
        <v>1620</v>
      </c>
      <c r="F4526" s="113" t="s">
        <v>7139</v>
      </c>
      <c r="G4526" s="113" t="s">
        <v>7145</v>
      </c>
      <c r="H4526" s="161">
        <v>0</v>
      </c>
      <c r="I4526" s="161" t="s">
        <v>7146</v>
      </c>
    </row>
    <row r="4527" spans="1:9">
      <c r="A4527" s="113">
        <v>100790050</v>
      </c>
      <c r="B4527" s="113" t="s">
        <v>7116</v>
      </c>
      <c r="C4527" s="113">
        <v>6003281</v>
      </c>
      <c r="D4527" s="113" t="s">
        <v>7139</v>
      </c>
      <c r="E4527" s="113" t="s">
        <v>1620</v>
      </c>
      <c r="F4527" s="113" t="s">
        <v>7139</v>
      </c>
      <c r="G4527" s="113" t="s">
        <v>7145</v>
      </c>
      <c r="H4527" s="161">
        <v>0</v>
      </c>
      <c r="I4527" s="161" t="s">
        <v>7146</v>
      </c>
    </row>
    <row r="4528" spans="1:9">
      <c r="A4528" s="113">
        <v>100790051</v>
      </c>
      <c r="B4528" s="113" t="s">
        <v>7116</v>
      </c>
      <c r="C4528" s="113">
        <v>6003282</v>
      </c>
      <c r="D4528" s="113" t="s">
        <v>7139</v>
      </c>
      <c r="E4528" s="113" t="s">
        <v>1620</v>
      </c>
      <c r="F4528" s="113" t="s">
        <v>7139</v>
      </c>
      <c r="G4528" s="113" t="s">
        <v>7145</v>
      </c>
      <c r="H4528" s="161">
        <v>0</v>
      </c>
      <c r="I4528" s="161" t="s">
        <v>7146</v>
      </c>
    </row>
    <row r="4529" spans="1:9">
      <c r="A4529" s="113">
        <v>100790052</v>
      </c>
      <c r="B4529" s="113" t="s">
        <v>7116</v>
      </c>
      <c r="C4529" s="113">
        <v>6003283</v>
      </c>
      <c r="D4529" s="113" t="s">
        <v>7139</v>
      </c>
      <c r="E4529" s="113" t="s">
        <v>1620</v>
      </c>
      <c r="F4529" s="113" t="s">
        <v>7139</v>
      </c>
      <c r="G4529" s="113" t="s">
        <v>7145</v>
      </c>
      <c r="H4529" s="161">
        <v>0</v>
      </c>
      <c r="I4529" s="161" t="s">
        <v>7146</v>
      </c>
    </row>
    <row r="4530" spans="1:9">
      <c r="A4530" s="113">
        <v>100790053</v>
      </c>
      <c r="B4530" s="113" t="s">
        <v>7116</v>
      </c>
      <c r="C4530" s="113">
        <v>6003284</v>
      </c>
      <c r="D4530" s="113" t="s">
        <v>7139</v>
      </c>
      <c r="E4530" s="113" t="s">
        <v>1620</v>
      </c>
      <c r="F4530" s="113" t="s">
        <v>7139</v>
      </c>
      <c r="G4530" s="113" t="s">
        <v>7145</v>
      </c>
      <c r="H4530" s="161">
        <v>0</v>
      </c>
      <c r="I4530" s="161" t="s">
        <v>7146</v>
      </c>
    </row>
    <row r="4531" spans="1:9">
      <c r="A4531" s="113">
        <v>100790054</v>
      </c>
      <c r="B4531" s="113" t="s">
        <v>7116</v>
      </c>
      <c r="C4531" s="113">
        <v>6003285</v>
      </c>
      <c r="D4531" s="113" t="s">
        <v>7139</v>
      </c>
      <c r="E4531" s="113" t="s">
        <v>1620</v>
      </c>
      <c r="F4531" s="113" t="s">
        <v>7139</v>
      </c>
      <c r="G4531" s="113" t="s">
        <v>7145</v>
      </c>
      <c r="H4531" s="161">
        <v>0</v>
      </c>
      <c r="I4531" s="161" t="s">
        <v>7146</v>
      </c>
    </row>
    <row r="4532" spans="1:9">
      <c r="A4532" s="113">
        <v>100790055</v>
      </c>
      <c r="B4532" s="113" t="s">
        <v>7116</v>
      </c>
      <c r="C4532" s="113">
        <v>6003286</v>
      </c>
      <c r="D4532" s="113" t="s">
        <v>7139</v>
      </c>
      <c r="E4532" s="113" t="s">
        <v>1620</v>
      </c>
      <c r="F4532" s="113" t="s">
        <v>7139</v>
      </c>
      <c r="G4532" s="113" t="s">
        <v>7145</v>
      </c>
      <c r="H4532" s="161">
        <v>0</v>
      </c>
      <c r="I4532" s="161" t="s">
        <v>7146</v>
      </c>
    </row>
    <row r="4533" spans="1:9">
      <c r="A4533" s="113">
        <v>100790056</v>
      </c>
      <c r="B4533" s="113" t="s">
        <v>7116</v>
      </c>
      <c r="C4533" s="113">
        <v>6003287</v>
      </c>
      <c r="D4533" s="113" t="s">
        <v>7139</v>
      </c>
      <c r="E4533" s="113" t="s">
        <v>1620</v>
      </c>
      <c r="F4533" s="113" t="s">
        <v>7139</v>
      </c>
      <c r="G4533" s="113" t="s">
        <v>7145</v>
      </c>
      <c r="H4533" s="161">
        <v>0</v>
      </c>
      <c r="I4533" s="161" t="s">
        <v>7146</v>
      </c>
    </row>
    <row r="4534" spans="1:9">
      <c r="A4534" s="113">
        <v>100790057</v>
      </c>
      <c r="B4534" s="113" t="s">
        <v>7116</v>
      </c>
      <c r="C4534" s="113">
        <v>6003288</v>
      </c>
      <c r="D4534" s="113" t="s">
        <v>7139</v>
      </c>
      <c r="E4534" s="113" t="s">
        <v>1620</v>
      </c>
      <c r="F4534" s="113" t="s">
        <v>7139</v>
      </c>
      <c r="G4534" s="113" t="s">
        <v>7145</v>
      </c>
      <c r="H4534" s="161">
        <v>0</v>
      </c>
      <c r="I4534" s="161" t="s">
        <v>7146</v>
      </c>
    </row>
    <row r="4535" spans="1:9">
      <c r="A4535" s="113">
        <v>100790058</v>
      </c>
      <c r="B4535" s="113" t="s">
        <v>7116</v>
      </c>
      <c r="C4535" s="113">
        <v>6003289</v>
      </c>
      <c r="D4535" s="113" t="s">
        <v>7139</v>
      </c>
      <c r="E4535" s="113" t="s">
        <v>1620</v>
      </c>
      <c r="F4535" s="113" t="s">
        <v>7139</v>
      </c>
      <c r="G4535" s="113" t="s">
        <v>7145</v>
      </c>
      <c r="H4535" s="161">
        <v>0</v>
      </c>
      <c r="I4535" s="161" t="s">
        <v>7146</v>
      </c>
    </row>
    <row r="4536" spans="1:9">
      <c r="A4536" s="113">
        <v>100790059</v>
      </c>
      <c r="B4536" s="113" t="s">
        <v>7116</v>
      </c>
      <c r="C4536" s="113">
        <v>6003290</v>
      </c>
      <c r="D4536" s="113" t="s">
        <v>7139</v>
      </c>
      <c r="E4536" s="113" t="s">
        <v>1620</v>
      </c>
      <c r="F4536" s="113" t="s">
        <v>7139</v>
      </c>
      <c r="G4536" s="113" t="s">
        <v>7145</v>
      </c>
      <c r="H4536" s="161">
        <v>0</v>
      </c>
      <c r="I4536" s="161" t="s">
        <v>7146</v>
      </c>
    </row>
    <row r="4537" spans="1:9">
      <c r="A4537" s="113">
        <v>100790060</v>
      </c>
      <c r="B4537" s="113" t="s">
        <v>7116</v>
      </c>
      <c r="C4537" s="113">
        <v>6003291</v>
      </c>
      <c r="D4537" s="113" t="s">
        <v>7139</v>
      </c>
      <c r="E4537" s="113" t="s">
        <v>1620</v>
      </c>
      <c r="F4537" s="113" t="s">
        <v>7139</v>
      </c>
      <c r="G4537" s="113" t="s">
        <v>7145</v>
      </c>
      <c r="H4537" s="161">
        <v>0</v>
      </c>
      <c r="I4537" s="161" t="s">
        <v>7146</v>
      </c>
    </row>
    <row r="4538" spans="1:9">
      <c r="A4538" s="113">
        <v>100790061</v>
      </c>
      <c r="B4538" s="113" t="s">
        <v>7116</v>
      </c>
      <c r="C4538" s="113">
        <v>6003292</v>
      </c>
      <c r="D4538" s="113" t="s">
        <v>7139</v>
      </c>
      <c r="E4538" s="113" t="s">
        <v>1620</v>
      </c>
      <c r="F4538" s="113" t="s">
        <v>7139</v>
      </c>
      <c r="G4538" s="113" t="s">
        <v>7145</v>
      </c>
      <c r="H4538" s="161">
        <v>0</v>
      </c>
      <c r="I4538" s="161" t="s">
        <v>7146</v>
      </c>
    </row>
    <row r="4539" spans="1:9">
      <c r="A4539" s="113">
        <v>100790062</v>
      </c>
      <c r="B4539" s="113" t="s">
        <v>7116</v>
      </c>
      <c r="C4539" s="113">
        <v>6003293</v>
      </c>
      <c r="D4539" s="113" t="s">
        <v>7139</v>
      </c>
      <c r="E4539" s="113" t="s">
        <v>1620</v>
      </c>
      <c r="F4539" s="113" t="s">
        <v>7139</v>
      </c>
      <c r="G4539" s="113" t="s">
        <v>7145</v>
      </c>
      <c r="H4539" s="161">
        <v>0</v>
      </c>
      <c r="I4539" s="161" t="s">
        <v>7146</v>
      </c>
    </row>
    <row r="4540" spans="1:9">
      <c r="A4540" s="113">
        <v>100790063</v>
      </c>
      <c r="B4540" s="113" t="s">
        <v>7116</v>
      </c>
      <c r="C4540" s="113">
        <v>6003294</v>
      </c>
      <c r="D4540" s="113" t="s">
        <v>7139</v>
      </c>
      <c r="E4540" s="113" t="s">
        <v>1620</v>
      </c>
      <c r="F4540" s="113" t="s">
        <v>7139</v>
      </c>
      <c r="G4540" s="113" t="s">
        <v>7145</v>
      </c>
      <c r="H4540" s="161">
        <v>0</v>
      </c>
      <c r="I4540" s="161" t="s">
        <v>7146</v>
      </c>
    </row>
    <row r="4541" spans="1:9">
      <c r="A4541" s="113">
        <v>100790064</v>
      </c>
      <c r="B4541" s="113" t="s">
        <v>7116</v>
      </c>
      <c r="C4541" s="113">
        <v>6003295</v>
      </c>
      <c r="D4541" s="113" t="s">
        <v>7139</v>
      </c>
      <c r="E4541" s="113" t="s">
        <v>1620</v>
      </c>
      <c r="F4541" s="113" t="s">
        <v>7139</v>
      </c>
      <c r="G4541" s="113" t="s">
        <v>7145</v>
      </c>
      <c r="H4541" s="161">
        <v>0</v>
      </c>
      <c r="I4541" s="161" t="s">
        <v>7146</v>
      </c>
    </row>
    <row r="4542" spans="1:9">
      <c r="A4542" s="113">
        <v>100790065</v>
      </c>
      <c r="B4542" s="113" t="s">
        <v>7116</v>
      </c>
      <c r="C4542" s="113">
        <v>6003296</v>
      </c>
      <c r="D4542" s="113" t="s">
        <v>7139</v>
      </c>
      <c r="E4542" s="113" t="s">
        <v>1620</v>
      </c>
      <c r="F4542" s="113" t="s">
        <v>7139</v>
      </c>
      <c r="G4542" s="113" t="s">
        <v>7145</v>
      </c>
      <c r="H4542" s="161">
        <v>0</v>
      </c>
      <c r="I4542" s="161" t="s">
        <v>7146</v>
      </c>
    </row>
    <row r="4543" spans="1:9">
      <c r="A4543" s="113">
        <v>100790066</v>
      </c>
      <c r="B4543" s="113" t="s">
        <v>7116</v>
      </c>
      <c r="C4543" s="113">
        <v>6003297</v>
      </c>
      <c r="D4543" s="113" t="s">
        <v>7139</v>
      </c>
      <c r="E4543" s="113" t="s">
        <v>1620</v>
      </c>
      <c r="F4543" s="113" t="s">
        <v>7139</v>
      </c>
      <c r="G4543" s="113" t="s">
        <v>7145</v>
      </c>
      <c r="H4543" s="161">
        <v>0</v>
      </c>
      <c r="I4543" s="161" t="s">
        <v>7146</v>
      </c>
    </row>
    <row r="4544" spans="1:9">
      <c r="A4544" s="113">
        <v>100790067</v>
      </c>
      <c r="B4544" s="113" t="s">
        <v>7116</v>
      </c>
      <c r="C4544" s="113">
        <v>6003298</v>
      </c>
      <c r="D4544" s="113" t="s">
        <v>7139</v>
      </c>
      <c r="E4544" s="113" t="s">
        <v>1620</v>
      </c>
      <c r="F4544" s="113" t="s">
        <v>7139</v>
      </c>
      <c r="G4544" s="113" t="s">
        <v>7145</v>
      </c>
      <c r="H4544" s="161">
        <v>0</v>
      </c>
      <c r="I4544" s="161" t="s">
        <v>7146</v>
      </c>
    </row>
    <row r="4545" spans="1:9">
      <c r="A4545" s="113">
        <v>100790068</v>
      </c>
      <c r="B4545" s="113" t="s">
        <v>7116</v>
      </c>
      <c r="C4545" s="113">
        <v>6003299</v>
      </c>
      <c r="D4545" s="113" t="s">
        <v>7139</v>
      </c>
      <c r="E4545" s="113" t="s">
        <v>1620</v>
      </c>
      <c r="F4545" s="113" t="s">
        <v>7139</v>
      </c>
      <c r="G4545" s="113" t="s">
        <v>7145</v>
      </c>
      <c r="H4545" s="161">
        <v>0</v>
      </c>
      <c r="I4545" s="161" t="s">
        <v>7146</v>
      </c>
    </row>
    <row r="4546" spans="1:9">
      <c r="A4546" s="113">
        <v>100790069</v>
      </c>
      <c r="B4546" s="113" t="s">
        <v>7116</v>
      </c>
      <c r="C4546" s="113">
        <v>6003300</v>
      </c>
      <c r="D4546" s="113" t="s">
        <v>7139</v>
      </c>
      <c r="E4546" s="113" t="s">
        <v>1620</v>
      </c>
      <c r="F4546" s="113" t="s">
        <v>7139</v>
      </c>
      <c r="G4546" s="113" t="s">
        <v>7145</v>
      </c>
      <c r="H4546" s="161">
        <v>0</v>
      </c>
      <c r="I4546" s="161" t="s">
        <v>7146</v>
      </c>
    </row>
    <row r="4547" spans="1:9">
      <c r="A4547" s="113">
        <v>100790070</v>
      </c>
      <c r="B4547" s="113" t="s">
        <v>7116</v>
      </c>
      <c r="C4547" s="113">
        <v>6003301</v>
      </c>
      <c r="D4547" s="113" t="s">
        <v>7139</v>
      </c>
      <c r="E4547" s="113" t="s">
        <v>1620</v>
      </c>
      <c r="F4547" s="113" t="s">
        <v>7139</v>
      </c>
      <c r="G4547" s="113" t="s">
        <v>7145</v>
      </c>
      <c r="H4547" s="161">
        <v>0</v>
      </c>
      <c r="I4547" s="161" t="s">
        <v>7146</v>
      </c>
    </row>
    <row r="4548" spans="1:9">
      <c r="A4548" s="113">
        <v>100790072</v>
      </c>
      <c r="B4548" s="113" t="s">
        <v>7116</v>
      </c>
      <c r="C4548" s="113">
        <v>6011018</v>
      </c>
      <c r="D4548" s="113" t="s">
        <v>7139</v>
      </c>
      <c r="E4548" s="113" t="s">
        <v>1620</v>
      </c>
      <c r="F4548" s="113" t="s">
        <v>7139</v>
      </c>
      <c r="G4548" s="113" t="s">
        <v>7145</v>
      </c>
      <c r="H4548" s="161">
        <v>0</v>
      </c>
      <c r="I4548" s="161" t="s">
        <v>7146</v>
      </c>
    </row>
    <row r="4549" spans="1:9">
      <c r="A4549" s="113">
        <v>100790073</v>
      </c>
      <c r="B4549" s="113" t="s">
        <v>7116</v>
      </c>
      <c r="C4549" s="113">
        <v>6014051</v>
      </c>
      <c r="D4549" s="113" t="s">
        <v>7139</v>
      </c>
      <c r="E4549" s="113" t="s">
        <v>1620</v>
      </c>
      <c r="F4549" s="113" t="s">
        <v>7139</v>
      </c>
      <c r="G4549" s="113" t="s">
        <v>7145</v>
      </c>
      <c r="H4549" s="161">
        <v>0</v>
      </c>
      <c r="I4549" s="161" t="s">
        <v>7146</v>
      </c>
    </row>
    <row r="4550" spans="1:9">
      <c r="A4550" s="113">
        <v>100790075</v>
      </c>
      <c r="B4550" s="113" t="s">
        <v>7116</v>
      </c>
      <c r="C4550" s="113">
        <v>6050236</v>
      </c>
      <c r="D4550" s="113" t="s">
        <v>7139</v>
      </c>
      <c r="E4550" s="113" t="s">
        <v>1620</v>
      </c>
      <c r="F4550" s="113" t="s">
        <v>7139</v>
      </c>
      <c r="G4550" s="113" t="s">
        <v>7145</v>
      </c>
      <c r="H4550" s="161">
        <v>0</v>
      </c>
      <c r="I4550" s="161" t="s">
        <v>7146</v>
      </c>
    </row>
    <row r="4551" spans="1:9">
      <c r="A4551" s="113">
        <v>100790076</v>
      </c>
      <c r="B4551" s="113" t="s">
        <v>7116</v>
      </c>
      <c r="C4551" s="113">
        <v>6050239</v>
      </c>
      <c r="D4551" s="113" t="s">
        <v>7139</v>
      </c>
      <c r="E4551" s="113" t="s">
        <v>1620</v>
      </c>
      <c r="F4551" s="113" t="s">
        <v>7139</v>
      </c>
      <c r="G4551" s="113" t="s">
        <v>7145</v>
      </c>
      <c r="H4551" s="161">
        <v>0</v>
      </c>
      <c r="I4551" s="161" t="s">
        <v>7146</v>
      </c>
    </row>
    <row r="4552" spans="1:9">
      <c r="A4552" s="113">
        <v>100790077</v>
      </c>
      <c r="B4552" s="113" t="s">
        <v>7116</v>
      </c>
      <c r="C4552" s="113">
        <v>6054035</v>
      </c>
      <c r="D4552" s="113" t="s">
        <v>7139</v>
      </c>
      <c r="E4552" s="113" t="s">
        <v>1620</v>
      </c>
      <c r="F4552" s="113" t="s">
        <v>7139</v>
      </c>
      <c r="G4552" s="113" t="s">
        <v>7145</v>
      </c>
      <c r="H4552" s="161">
        <v>0</v>
      </c>
      <c r="I4552" s="161" t="s">
        <v>7146</v>
      </c>
    </row>
    <row r="4553" spans="1:9">
      <c r="A4553" s="113">
        <v>100790078</v>
      </c>
      <c r="B4553" s="113" t="s">
        <v>7116</v>
      </c>
      <c r="C4553" s="113">
        <v>6054212</v>
      </c>
      <c r="D4553" s="113" t="s">
        <v>7139</v>
      </c>
      <c r="E4553" s="113" t="s">
        <v>1620</v>
      </c>
      <c r="F4553" s="113" t="s">
        <v>7139</v>
      </c>
      <c r="G4553" s="113" t="s">
        <v>7145</v>
      </c>
      <c r="H4553" s="161">
        <v>0</v>
      </c>
      <c r="I4553" s="161" t="s">
        <v>7146</v>
      </c>
    </row>
    <row r="4554" spans="1:9">
      <c r="A4554" s="113">
        <v>100790079</v>
      </c>
      <c r="B4554" s="113" t="s">
        <v>7116</v>
      </c>
      <c r="C4554" s="113">
        <v>6072065</v>
      </c>
      <c r="D4554" s="113" t="s">
        <v>7139</v>
      </c>
      <c r="E4554" s="113" t="s">
        <v>1620</v>
      </c>
      <c r="F4554" s="113" t="s">
        <v>7139</v>
      </c>
      <c r="G4554" s="113" t="s">
        <v>7145</v>
      </c>
      <c r="H4554" s="161">
        <v>0</v>
      </c>
      <c r="I4554" s="161" t="s">
        <v>7146</v>
      </c>
    </row>
    <row r="4555" spans="1:9">
      <c r="A4555" s="113">
        <v>100790080</v>
      </c>
      <c r="B4555" s="113" t="s">
        <v>7116</v>
      </c>
      <c r="C4555" s="113">
        <v>6080049</v>
      </c>
      <c r="D4555" s="113" t="s">
        <v>7139</v>
      </c>
      <c r="E4555" s="113" t="s">
        <v>1620</v>
      </c>
      <c r="F4555" s="113" t="s">
        <v>7139</v>
      </c>
      <c r="G4555" s="113" t="s">
        <v>7145</v>
      </c>
      <c r="H4555" s="161">
        <v>0</v>
      </c>
      <c r="I4555" s="161" t="s">
        <v>7146</v>
      </c>
    </row>
    <row r="4556" spans="1:9">
      <c r="A4556" s="113">
        <v>100790081</v>
      </c>
      <c r="B4556" s="113" t="s">
        <v>7116</v>
      </c>
      <c r="C4556" s="113">
        <v>6088010</v>
      </c>
      <c r="D4556" s="113" t="s">
        <v>7139</v>
      </c>
      <c r="E4556" s="113" t="s">
        <v>1620</v>
      </c>
      <c r="F4556" s="113" t="s">
        <v>7139</v>
      </c>
      <c r="G4556" s="113" t="s">
        <v>7145</v>
      </c>
      <c r="H4556" s="161">
        <v>0</v>
      </c>
      <c r="I4556" s="161" t="s">
        <v>7146</v>
      </c>
    </row>
    <row r="4557" spans="1:9">
      <c r="A4557" s="113">
        <v>100790082</v>
      </c>
      <c r="B4557" s="113" t="s">
        <v>7116</v>
      </c>
      <c r="C4557" s="113">
        <v>6088012</v>
      </c>
      <c r="D4557" s="113" t="s">
        <v>7139</v>
      </c>
      <c r="E4557" s="113" t="s">
        <v>1620</v>
      </c>
      <c r="F4557" s="113" t="s">
        <v>7139</v>
      </c>
      <c r="G4557" s="113" t="s">
        <v>7145</v>
      </c>
      <c r="H4557" s="161">
        <v>0</v>
      </c>
      <c r="I4557" s="161" t="s">
        <v>7146</v>
      </c>
    </row>
    <row r="4558" spans="1:9">
      <c r="A4558" s="113">
        <v>100790083</v>
      </c>
      <c r="B4558" s="113" t="s">
        <v>7116</v>
      </c>
      <c r="C4558" s="113">
        <v>6990640</v>
      </c>
      <c r="D4558" s="113" t="s">
        <v>7139</v>
      </c>
      <c r="E4558" s="113" t="s">
        <v>1620</v>
      </c>
      <c r="F4558" s="113" t="s">
        <v>7139</v>
      </c>
      <c r="G4558" s="113" t="s">
        <v>7145</v>
      </c>
      <c r="H4558" s="161">
        <v>0</v>
      </c>
      <c r="I4558" s="161" t="s">
        <v>7146</v>
      </c>
    </row>
    <row r="4559" spans="1:9">
      <c r="A4559" s="113">
        <v>100790084</v>
      </c>
      <c r="B4559" s="113" t="s">
        <v>7116</v>
      </c>
      <c r="C4559" s="113">
        <v>6990660</v>
      </c>
      <c r="D4559" s="113" t="s">
        <v>7139</v>
      </c>
      <c r="E4559" s="113" t="s">
        <v>1620</v>
      </c>
      <c r="F4559" s="113" t="s">
        <v>7139</v>
      </c>
      <c r="G4559" s="113" t="s">
        <v>7145</v>
      </c>
      <c r="H4559" s="161">
        <v>0</v>
      </c>
      <c r="I4559" s="161" t="s">
        <v>7146</v>
      </c>
    </row>
    <row r="4560" spans="1:9">
      <c r="A4560" s="113">
        <v>100790085</v>
      </c>
      <c r="B4560" s="113" t="s">
        <v>7116</v>
      </c>
      <c r="C4560" s="113">
        <v>6991147</v>
      </c>
      <c r="D4560" s="113" t="s">
        <v>7139</v>
      </c>
      <c r="E4560" s="113" t="s">
        <v>1620</v>
      </c>
      <c r="F4560" s="113" t="s">
        <v>7139</v>
      </c>
      <c r="G4560" s="113" t="s">
        <v>7145</v>
      </c>
      <c r="H4560" s="161">
        <v>0</v>
      </c>
      <c r="I4560" s="161" t="s">
        <v>7146</v>
      </c>
    </row>
    <row r="4561" spans="1:9">
      <c r="A4561" s="113">
        <v>100790088</v>
      </c>
      <c r="B4561" s="113" t="s">
        <v>7116</v>
      </c>
      <c r="C4561" s="113">
        <v>7011083</v>
      </c>
      <c r="D4561" s="113" t="s">
        <v>7139</v>
      </c>
      <c r="E4561" s="113" t="s">
        <v>1620</v>
      </c>
      <c r="F4561" s="113" t="s">
        <v>7139</v>
      </c>
      <c r="G4561" s="113" t="s">
        <v>7145</v>
      </c>
      <c r="H4561" s="161">
        <v>0</v>
      </c>
      <c r="I4561" s="161" t="s">
        <v>7146</v>
      </c>
    </row>
    <row r="4562" spans="1:9">
      <c r="A4562" s="113">
        <v>100790089</v>
      </c>
      <c r="B4562" s="113" t="s">
        <v>7116</v>
      </c>
      <c r="C4562" s="113">
        <v>7012148</v>
      </c>
      <c r="D4562" s="113" t="s">
        <v>7139</v>
      </c>
      <c r="E4562" s="113" t="s">
        <v>1620</v>
      </c>
      <c r="F4562" s="113" t="s">
        <v>7139</v>
      </c>
      <c r="G4562" s="113" t="s">
        <v>7145</v>
      </c>
      <c r="H4562" s="161">
        <v>0</v>
      </c>
      <c r="I4562" s="161" t="s">
        <v>7146</v>
      </c>
    </row>
    <row r="4563" spans="1:9">
      <c r="A4563" s="113">
        <v>100790092</v>
      </c>
      <c r="B4563" s="113" t="s">
        <v>7116</v>
      </c>
      <c r="C4563" s="113">
        <v>7013103</v>
      </c>
      <c r="D4563" s="113" t="s">
        <v>7139</v>
      </c>
      <c r="E4563" s="113" t="s">
        <v>1620</v>
      </c>
      <c r="F4563" s="113" t="s">
        <v>7139</v>
      </c>
      <c r="G4563" s="113" t="s">
        <v>7145</v>
      </c>
      <c r="H4563" s="161">
        <v>0</v>
      </c>
      <c r="I4563" s="161" t="s">
        <v>7146</v>
      </c>
    </row>
    <row r="4564" spans="1:9">
      <c r="A4564" s="113">
        <v>100790093</v>
      </c>
      <c r="B4564" s="113" t="s">
        <v>7116</v>
      </c>
      <c r="C4564" s="113">
        <v>7013106</v>
      </c>
      <c r="D4564" s="113" t="s">
        <v>7139</v>
      </c>
      <c r="E4564" s="113" t="s">
        <v>1620</v>
      </c>
      <c r="F4564" s="113" t="s">
        <v>7139</v>
      </c>
      <c r="G4564" s="113" t="s">
        <v>7145</v>
      </c>
      <c r="H4564" s="161">
        <v>0</v>
      </c>
      <c r="I4564" s="161" t="s">
        <v>7146</v>
      </c>
    </row>
    <row r="4565" spans="1:9">
      <c r="A4565" s="113">
        <v>100790094</v>
      </c>
      <c r="B4565" s="113" t="s">
        <v>7116</v>
      </c>
      <c r="C4565" s="113">
        <v>7013110</v>
      </c>
      <c r="D4565" s="113" t="s">
        <v>7139</v>
      </c>
      <c r="E4565" s="113" t="s">
        <v>1620</v>
      </c>
      <c r="F4565" s="113" t="s">
        <v>7139</v>
      </c>
      <c r="G4565" s="113" t="s">
        <v>7145</v>
      </c>
      <c r="H4565" s="161">
        <v>0</v>
      </c>
      <c r="I4565" s="161" t="s">
        <v>7146</v>
      </c>
    </row>
    <row r="4566" spans="1:9">
      <c r="A4566" s="113">
        <v>100790096</v>
      </c>
      <c r="B4566" s="113" t="s">
        <v>7116</v>
      </c>
      <c r="C4566" s="113">
        <v>7016162</v>
      </c>
      <c r="D4566" s="113" t="s">
        <v>7139</v>
      </c>
      <c r="E4566" s="113" t="s">
        <v>1620</v>
      </c>
      <c r="F4566" s="113" t="s">
        <v>7139</v>
      </c>
      <c r="G4566" s="113" t="s">
        <v>7145</v>
      </c>
      <c r="H4566" s="161">
        <v>0</v>
      </c>
      <c r="I4566" s="161" t="s">
        <v>7146</v>
      </c>
    </row>
    <row r="4567" spans="1:9">
      <c r="A4567" s="113">
        <v>100790098</v>
      </c>
      <c r="B4567" s="113" t="s">
        <v>7116</v>
      </c>
      <c r="C4567" s="113">
        <v>7018078</v>
      </c>
      <c r="D4567" s="113" t="s">
        <v>7139</v>
      </c>
      <c r="E4567" s="113" t="s">
        <v>1620</v>
      </c>
      <c r="F4567" s="113" t="s">
        <v>7139</v>
      </c>
      <c r="G4567" s="113" t="s">
        <v>7145</v>
      </c>
      <c r="H4567" s="161">
        <v>0</v>
      </c>
      <c r="I4567" s="161" t="s">
        <v>7146</v>
      </c>
    </row>
    <row r="4568" spans="1:9">
      <c r="A4568" s="113">
        <v>100790099</v>
      </c>
      <c r="B4568" s="113" t="s">
        <v>7116</v>
      </c>
      <c r="C4568" s="113">
        <v>7032065</v>
      </c>
      <c r="D4568" s="113" t="s">
        <v>7139</v>
      </c>
      <c r="E4568" s="113" t="s">
        <v>1620</v>
      </c>
      <c r="F4568" s="113" t="s">
        <v>7139</v>
      </c>
      <c r="G4568" s="113" t="s">
        <v>7145</v>
      </c>
      <c r="H4568" s="161">
        <v>0</v>
      </c>
      <c r="I4568" s="161" t="s">
        <v>7146</v>
      </c>
    </row>
    <row r="4569" spans="1:9">
      <c r="A4569" s="113">
        <v>100790100</v>
      </c>
      <c r="B4569" s="113" t="s">
        <v>7116</v>
      </c>
      <c r="C4569" s="113">
        <v>7032066</v>
      </c>
      <c r="D4569" s="113" t="s">
        <v>7139</v>
      </c>
      <c r="E4569" s="113" t="s">
        <v>1620</v>
      </c>
      <c r="F4569" s="113" t="s">
        <v>7139</v>
      </c>
      <c r="G4569" s="115" t="s">
        <v>7145</v>
      </c>
      <c r="H4569" s="161">
        <v>0</v>
      </c>
      <c r="I4569" s="161" t="s">
        <v>7146</v>
      </c>
    </row>
    <row r="4570" spans="1:9">
      <c r="A4570" s="113">
        <v>100790103</v>
      </c>
      <c r="B4570" s="113" t="s">
        <v>7116</v>
      </c>
      <c r="C4570" s="113">
        <v>7035035</v>
      </c>
      <c r="D4570" s="113" t="s">
        <v>7139</v>
      </c>
      <c r="E4570" s="113" t="s">
        <v>1620</v>
      </c>
      <c r="F4570" s="113" t="s">
        <v>7139</v>
      </c>
      <c r="G4570" s="115" t="s">
        <v>7145</v>
      </c>
      <c r="H4570" s="161">
        <v>0</v>
      </c>
      <c r="I4570" s="161" t="s">
        <v>7146</v>
      </c>
    </row>
    <row r="4571" spans="1:9">
      <c r="A4571" s="113">
        <v>100790107</v>
      </c>
      <c r="B4571" s="113" t="s">
        <v>7116</v>
      </c>
      <c r="C4571" s="113">
        <v>7038059</v>
      </c>
      <c r="D4571" s="113" t="s">
        <v>7139</v>
      </c>
      <c r="E4571" s="113" t="s">
        <v>1620</v>
      </c>
      <c r="F4571" s="113" t="s">
        <v>7139</v>
      </c>
      <c r="G4571" s="115" t="s">
        <v>7145</v>
      </c>
      <c r="H4571" s="161">
        <v>0</v>
      </c>
      <c r="I4571" s="161" t="s">
        <v>7146</v>
      </c>
    </row>
    <row r="4572" spans="1:9">
      <c r="A4572" s="113">
        <v>100790108</v>
      </c>
      <c r="B4572" s="113" t="s">
        <v>7116</v>
      </c>
      <c r="C4572" s="113">
        <v>7038060</v>
      </c>
      <c r="D4572" s="113" t="s">
        <v>7139</v>
      </c>
      <c r="E4572" s="113" t="s">
        <v>1620</v>
      </c>
      <c r="F4572" s="113" t="s">
        <v>7139</v>
      </c>
      <c r="G4572" s="115" t="s">
        <v>7145</v>
      </c>
      <c r="H4572" s="161">
        <v>0</v>
      </c>
      <c r="I4572" s="161" t="s">
        <v>7146</v>
      </c>
    </row>
    <row r="4573" spans="1:9">
      <c r="A4573" s="113">
        <v>100790109</v>
      </c>
      <c r="B4573" s="113" t="s">
        <v>7116</v>
      </c>
      <c r="C4573" s="113">
        <v>7038061</v>
      </c>
      <c r="D4573" s="113" t="s">
        <v>7139</v>
      </c>
      <c r="E4573" s="113" t="s">
        <v>1620</v>
      </c>
      <c r="F4573" s="113" t="s">
        <v>7139</v>
      </c>
      <c r="G4573" s="115" t="s">
        <v>7145</v>
      </c>
      <c r="H4573" s="161">
        <v>0</v>
      </c>
      <c r="I4573" s="161" t="s">
        <v>7146</v>
      </c>
    </row>
    <row r="4574" spans="1:9">
      <c r="A4574" s="113">
        <v>100790110</v>
      </c>
      <c r="B4574" s="113" t="s">
        <v>7116</v>
      </c>
      <c r="C4574" s="113">
        <v>7038062</v>
      </c>
      <c r="D4574" s="113" t="s">
        <v>7139</v>
      </c>
      <c r="E4574" s="113" t="s">
        <v>1620</v>
      </c>
      <c r="F4574" s="113" t="s">
        <v>7139</v>
      </c>
      <c r="G4574" s="113" t="s">
        <v>7145</v>
      </c>
      <c r="H4574" s="161">
        <v>0</v>
      </c>
      <c r="I4574" s="161" t="s">
        <v>7146</v>
      </c>
    </row>
    <row r="4575" spans="1:9">
      <c r="A4575" s="113">
        <v>100790111</v>
      </c>
      <c r="B4575" s="113" t="s">
        <v>7116</v>
      </c>
      <c r="C4575" s="113">
        <v>7038067</v>
      </c>
      <c r="D4575" s="113" t="s">
        <v>7139</v>
      </c>
      <c r="E4575" s="113" t="s">
        <v>1620</v>
      </c>
      <c r="F4575" s="113" t="s">
        <v>7139</v>
      </c>
      <c r="G4575" s="113" t="s">
        <v>7145</v>
      </c>
      <c r="H4575" s="161">
        <v>0</v>
      </c>
      <c r="I4575" s="161" t="s">
        <v>7146</v>
      </c>
    </row>
    <row r="4576" spans="1:9">
      <c r="A4576" s="113">
        <v>100790112</v>
      </c>
      <c r="B4576" s="113" t="s">
        <v>7116</v>
      </c>
      <c r="C4576" s="113">
        <v>7040025</v>
      </c>
      <c r="D4576" s="113" t="s">
        <v>7139</v>
      </c>
      <c r="E4576" s="113" t="s">
        <v>1620</v>
      </c>
      <c r="F4576" s="113" t="s">
        <v>7139</v>
      </c>
      <c r="G4576" s="113" t="s">
        <v>7145</v>
      </c>
      <c r="H4576" s="161">
        <v>0</v>
      </c>
      <c r="I4576" s="161" t="s">
        <v>7146</v>
      </c>
    </row>
    <row r="4577" spans="1:9">
      <c r="A4577" s="113">
        <v>100790115</v>
      </c>
      <c r="B4577" s="113" t="s">
        <v>7116</v>
      </c>
      <c r="C4577" s="113">
        <v>7050031</v>
      </c>
      <c r="D4577" s="113" t="s">
        <v>7139</v>
      </c>
      <c r="E4577" s="113" t="s">
        <v>1620</v>
      </c>
      <c r="F4577" s="113" t="s">
        <v>7139</v>
      </c>
      <c r="G4577" s="115" t="s">
        <v>7145</v>
      </c>
      <c r="H4577" s="161">
        <v>0</v>
      </c>
      <c r="I4577" s="161" t="s">
        <v>7146</v>
      </c>
    </row>
    <row r="4578" spans="1:9">
      <c r="A4578" s="113">
        <v>100790116</v>
      </c>
      <c r="B4578" s="113" t="s">
        <v>7116</v>
      </c>
      <c r="C4578" s="113">
        <v>7050032</v>
      </c>
      <c r="D4578" s="113" t="s">
        <v>7139</v>
      </c>
      <c r="E4578" s="113" t="s">
        <v>1620</v>
      </c>
      <c r="F4578" s="113" t="s">
        <v>7139</v>
      </c>
      <c r="G4578" s="115" t="s">
        <v>7145</v>
      </c>
      <c r="H4578" s="161">
        <v>0</v>
      </c>
      <c r="I4578" s="161" t="s">
        <v>7146</v>
      </c>
    </row>
    <row r="4579" spans="1:9">
      <c r="A4579" s="113">
        <v>100790117</v>
      </c>
      <c r="B4579" s="113" t="s">
        <v>7116</v>
      </c>
      <c r="C4579" s="113">
        <v>7050033</v>
      </c>
      <c r="D4579" s="113" t="s">
        <v>7139</v>
      </c>
      <c r="E4579" s="113" t="s">
        <v>1620</v>
      </c>
      <c r="F4579" s="113" t="s">
        <v>7139</v>
      </c>
      <c r="G4579" s="113" t="s">
        <v>7145</v>
      </c>
      <c r="H4579" s="161">
        <v>0</v>
      </c>
      <c r="I4579" s="161" t="s">
        <v>7146</v>
      </c>
    </row>
    <row r="4580" spans="1:9">
      <c r="A4580" s="113">
        <v>100790118</v>
      </c>
      <c r="B4580" s="113" t="s">
        <v>7116</v>
      </c>
      <c r="C4580" s="113">
        <v>7050034</v>
      </c>
      <c r="D4580" s="113" t="s">
        <v>7139</v>
      </c>
      <c r="E4580" s="113" t="s">
        <v>1620</v>
      </c>
      <c r="F4580" s="113" t="s">
        <v>7139</v>
      </c>
      <c r="G4580" s="115" t="s">
        <v>7145</v>
      </c>
      <c r="H4580" s="161">
        <v>0</v>
      </c>
      <c r="I4580" s="161" t="s">
        <v>7146</v>
      </c>
    </row>
    <row r="4581" spans="1:9">
      <c r="A4581" s="113">
        <v>100790119</v>
      </c>
      <c r="B4581" s="113" t="s">
        <v>7116</v>
      </c>
      <c r="C4581" s="113">
        <v>7050035</v>
      </c>
      <c r="D4581" s="113" t="s">
        <v>7139</v>
      </c>
      <c r="E4581" s="113" t="s">
        <v>1620</v>
      </c>
      <c r="F4581" s="113" t="s">
        <v>7139</v>
      </c>
      <c r="G4581" s="115" t="s">
        <v>7145</v>
      </c>
      <c r="H4581" s="161">
        <v>0</v>
      </c>
      <c r="I4581" s="161" t="s">
        <v>7146</v>
      </c>
    </row>
    <row r="4582" spans="1:9">
      <c r="A4582" s="113">
        <v>100790120</v>
      </c>
      <c r="B4582" s="113" t="s">
        <v>7116</v>
      </c>
      <c r="C4582" s="113">
        <v>7050036</v>
      </c>
      <c r="D4582" s="113" t="s">
        <v>7139</v>
      </c>
      <c r="E4582" s="113" t="s">
        <v>1620</v>
      </c>
      <c r="F4582" s="113" t="s">
        <v>7139</v>
      </c>
      <c r="G4582" s="113" t="s">
        <v>7145</v>
      </c>
      <c r="H4582" s="161">
        <v>0</v>
      </c>
      <c r="I4582" s="161" t="s">
        <v>7146</v>
      </c>
    </row>
    <row r="4583" spans="1:9">
      <c r="A4583" s="113">
        <v>100790121</v>
      </c>
      <c r="B4583" s="113" t="s">
        <v>7116</v>
      </c>
      <c r="C4583" s="113">
        <v>7050037</v>
      </c>
      <c r="D4583" s="113" t="s">
        <v>7139</v>
      </c>
      <c r="E4583" s="113" t="s">
        <v>1620</v>
      </c>
      <c r="F4583" s="113" t="s">
        <v>7139</v>
      </c>
      <c r="G4583" s="115" t="s">
        <v>7145</v>
      </c>
      <c r="H4583" s="161">
        <v>0</v>
      </c>
      <c r="I4583" s="161" t="s">
        <v>7146</v>
      </c>
    </row>
    <row r="4584" spans="1:9">
      <c r="A4584" s="113">
        <v>100790122</v>
      </c>
      <c r="B4584" s="113" t="s">
        <v>7116</v>
      </c>
      <c r="C4584" s="113">
        <v>7050038</v>
      </c>
      <c r="D4584" s="113" t="s">
        <v>7139</v>
      </c>
      <c r="E4584" s="113" t="s">
        <v>1620</v>
      </c>
      <c r="F4584" s="113" t="s">
        <v>7139</v>
      </c>
      <c r="G4584" s="115" t="s">
        <v>7145</v>
      </c>
      <c r="H4584" s="161">
        <v>0</v>
      </c>
      <c r="I4584" s="161" t="s">
        <v>7146</v>
      </c>
    </row>
    <row r="4585" spans="1:9">
      <c r="A4585" s="113">
        <v>100790123</v>
      </c>
      <c r="B4585" s="113" t="s">
        <v>7116</v>
      </c>
      <c r="C4585" s="113">
        <v>7050041</v>
      </c>
      <c r="D4585" s="113" t="s">
        <v>7139</v>
      </c>
      <c r="E4585" s="113" t="s">
        <v>1620</v>
      </c>
      <c r="F4585" s="113" t="s">
        <v>7139</v>
      </c>
      <c r="G4585" s="113" t="s">
        <v>7145</v>
      </c>
      <c r="H4585" s="161">
        <v>0</v>
      </c>
      <c r="I4585" s="161" t="s">
        <v>7146</v>
      </c>
    </row>
    <row r="4586" spans="1:9">
      <c r="A4586" s="113">
        <v>100790125</v>
      </c>
      <c r="B4586" s="113" t="s">
        <v>7116</v>
      </c>
      <c r="C4586" s="113">
        <v>7050045</v>
      </c>
      <c r="D4586" s="113" t="s">
        <v>7139</v>
      </c>
      <c r="E4586" s="113" t="s">
        <v>1620</v>
      </c>
      <c r="F4586" s="113" t="s">
        <v>7139</v>
      </c>
      <c r="G4586" s="115" t="s">
        <v>7145</v>
      </c>
      <c r="H4586" s="161">
        <v>0</v>
      </c>
      <c r="I4586" s="161" t="s">
        <v>7146</v>
      </c>
    </row>
    <row r="4587" spans="1:9">
      <c r="A4587" s="113">
        <v>100790127</v>
      </c>
      <c r="B4587" s="113" t="s">
        <v>7116</v>
      </c>
      <c r="C4587" s="113">
        <v>7050047</v>
      </c>
      <c r="D4587" s="113" t="s">
        <v>7139</v>
      </c>
      <c r="E4587" s="113" t="s">
        <v>1620</v>
      </c>
      <c r="F4587" s="113" t="s">
        <v>7139</v>
      </c>
      <c r="G4587" s="113" t="s">
        <v>7145</v>
      </c>
      <c r="H4587" s="161">
        <v>0</v>
      </c>
      <c r="I4587" s="161" t="s">
        <v>7146</v>
      </c>
    </row>
    <row r="4588" spans="1:9">
      <c r="A4588" s="113">
        <v>100790131</v>
      </c>
      <c r="B4588" s="113" t="s">
        <v>7116</v>
      </c>
      <c r="C4588" s="113">
        <v>7051041</v>
      </c>
      <c r="D4588" s="113" t="s">
        <v>7139</v>
      </c>
      <c r="E4588" s="113" t="s">
        <v>1620</v>
      </c>
      <c r="F4588" s="113" t="s">
        <v>7139</v>
      </c>
      <c r="G4588" s="113" t="s">
        <v>7145</v>
      </c>
      <c r="H4588" s="161">
        <v>0</v>
      </c>
      <c r="I4588" s="161" t="s">
        <v>7146</v>
      </c>
    </row>
    <row r="4589" spans="1:9">
      <c r="A4589" s="113">
        <v>100790132</v>
      </c>
      <c r="B4589" s="113" t="s">
        <v>7116</v>
      </c>
      <c r="C4589" s="113">
        <v>7051045</v>
      </c>
      <c r="D4589" s="113" t="s">
        <v>7139</v>
      </c>
      <c r="E4589" s="113" t="s">
        <v>1620</v>
      </c>
      <c r="F4589" s="113" t="s">
        <v>7139</v>
      </c>
      <c r="G4589" s="115" t="s">
        <v>7145</v>
      </c>
      <c r="H4589" s="161">
        <v>0</v>
      </c>
      <c r="I4589" s="161" t="s">
        <v>7146</v>
      </c>
    </row>
    <row r="4590" spans="1:9">
      <c r="A4590" s="113">
        <v>100790133</v>
      </c>
      <c r="B4590" s="113" t="s">
        <v>7116</v>
      </c>
      <c r="C4590" s="113">
        <v>7051046</v>
      </c>
      <c r="D4590" s="113" t="s">
        <v>7139</v>
      </c>
      <c r="E4590" s="113" t="s">
        <v>1620</v>
      </c>
      <c r="F4590" s="113" t="s">
        <v>7139</v>
      </c>
      <c r="G4590" s="113" t="s">
        <v>7145</v>
      </c>
      <c r="H4590" s="161">
        <v>0</v>
      </c>
      <c r="I4590" s="161" t="s">
        <v>7146</v>
      </c>
    </row>
    <row r="4591" spans="1:9">
      <c r="A4591" s="113">
        <v>100790134</v>
      </c>
      <c r="B4591" s="113" t="s">
        <v>7116</v>
      </c>
      <c r="C4591" s="113">
        <v>7051047</v>
      </c>
      <c r="D4591" s="113" t="s">
        <v>7139</v>
      </c>
      <c r="E4591" s="113" t="s">
        <v>1620</v>
      </c>
      <c r="F4591" s="113" t="s">
        <v>7139</v>
      </c>
      <c r="G4591" s="115" t="s">
        <v>7145</v>
      </c>
      <c r="H4591" s="161">
        <v>0</v>
      </c>
      <c r="I4591" s="161" t="s">
        <v>7146</v>
      </c>
    </row>
    <row r="4592" spans="1:9">
      <c r="A4592" s="113">
        <v>100790135</v>
      </c>
      <c r="B4592" s="113" t="s">
        <v>7116</v>
      </c>
      <c r="C4592" s="113">
        <v>7051048</v>
      </c>
      <c r="D4592" s="113" t="s">
        <v>7139</v>
      </c>
      <c r="E4592" s="113" t="s">
        <v>1620</v>
      </c>
      <c r="F4592" s="113" t="s">
        <v>7139</v>
      </c>
      <c r="G4592" s="115" t="s">
        <v>7145</v>
      </c>
      <c r="H4592" s="161">
        <v>0</v>
      </c>
      <c r="I4592" s="161" t="s">
        <v>7146</v>
      </c>
    </row>
    <row r="4593" spans="1:9">
      <c r="A4593" s="113">
        <v>100790136</v>
      </c>
      <c r="B4593" s="113" t="s">
        <v>7116</v>
      </c>
      <c r="C4593" s="113">
        <v>7051049</v>
      </c>
      <c r="D4593" s="113" t="s">
        <v>7139</v>
      </c>
      <c r="E4593" s="113" t="s">
        <v>1620</v>
      </c>
      <c r="F4593" s="113" t="s">
        <v>7139</v>
      </c>
      <c r="G4593" s="115" t="s">
        <v>7145</v>
      </c>
      <c r="H4593" s="161">
        <v>0</v>
      </c>
      <c r="I4593" s="161" t="s">
        <v>7146</v>
      </c>
    </row>
    <row r="4594" spans="1:9">
      <c r="A4594" s="113">
        <v>100790137</v>
      </c>
      <c r="B4594" s="113" t="s">
        <v>7116</v>
      </c>
      <c r="C4594" s="113">
        <v>7051050</v>
      </c>
      <c r="D4594" s="113" t="s">
        <v>7139</v>
      </c>
      <c r="E4594" s="113" t="s">
        <v>1620</v>
      </c>
      <c r="F4594" s="113" t="s">
        <v>7139</v>
      </c>
      <c r="G4594" s="115" t="s">
        <v>7145</v>
      </c>
      <c r="H4594" s="161">
        <v>0</v>
      </c>
      <c r="I4594" s="161" t="s">
        <v>7146</v>
      </c>
    </row>
    <row r="4595" spans="1:9">
      <c r="A4595" s="113">
        <v>100790138</v>
      </c>
      <c r="B4595" s="113" t="s">
        <v>7116</v>
      </c>
      <c r="C4595" s="113">
        <v>7051051</v>
      </c>
      <c r="D4595" s="113" t="s">
        <v>7139</v>
      </c>
      <c r="E4595" s="113" t="s">
        <v>1620</v>
      </c>
      <c r="F4595" s="113" t="s">
        <v>7139</v>
      </c>
      <c r="G4595" s="113" t="s">
        <v>7145</v>
      </c>
      <c r="H4595" s="161">
        <v>0</v>
      </c>
      <c r="I4595" s="161" t="s">
        <v>7146</v>
      </c>
    </row>
    <row r="4596" spans="1:9">
      <c r="A4596" s="113">
        <v>100790139</v>
      </c>
      <c r="B4596" s="113" t="s">
        <v>7116</v>
      </c>
      <c r="C4596" s="113">
        <v>7051052</v>
      </c>
      <c r="D4596" s="113" t="s">
        <v>7139</v>
      </c>
      <c r="E4596" s="113" t="s">
        <v>1620</v>
      </c>
      <c r="F4596" s="113" t="s">
        <v>7139</v>
      </c>
      <c r="G4596" s="113" t="s">
        <v>7145</v>
      </c>
      <c r="H4596" s="161">
        <v>0</v>
      </c>
      <c r="I4596" s="161" t="s">
        <v>7146</v>
      </c>
    </row>
    <row r="4597" spans="1:9">
      <c r="A4597" s="113">
        <v>100790140</v>
      </c>
      <c r="B4597" s="113" t="s">
        <v>7116</v>
      </c>
      <c r="C4597" s="113">
        <v>7051053</v>
      </c>
      <c r="D4597" s="113" t="s">
        <v>7139</v>
      </c>
      <c r="E4597" s="113" t="s">
        <v>1620</v>
      </c>
      <c r="F4597" s="113" t="s">
        <v>7139</v>
      </c>
      <c r="G4597" s="113" t="s">
        <v>7145</v>
      </c>
      <c r="H4597" s="161">
        <v>0</v>
      </c>
      <c r="I4597" s="161" t="s">
        <v>7146</v>
      </c>
    </row>
    <row r="4598" spans="1:9">
      <c r="A4598" s="113">
        <v>100790141</v>
      </c>
      <c r="B4598" s="113" t="s">
        <v>7116</v>
      </c>
      <c r="C4598" s="113">
        <v>7051054</v>
      </c>
      <c r="D4598" s="113" t="s">
        <v>7139</v>
      </c>
      <c r="E4598" s="113" t="s">
        <v>1620</v>
      </c>
      <c r="F4598" s="113" t="s">
        <v>7139</v>
      </c>
      <c r="G4598" s="113" t="s">
        <v>7145</v>
      </c>
      <c r="H4598" s="161">
        <v>0</v>
      </c>
      <c r="I4598" s="161" t="s">
        <v>7146</v>
      </c>
    </row>
    <row r="4599" spans="1:9">
      <c r="A4599" s="113">
        <v>100790142</v>
      </c>
      <c r="B4599" s="113" t="s">
        <v>7116</v>
      </c>
      <c r="C4599" s="113">
        <v>7051055</v>
      </c>
      <c r="D4599" s="113" t="s">
        <v>7139</v>
      </c>
      <c r="E4599" s="113" t="s">
        <v>1620</v>
      </c>
      <c r="F4599" s="113" t="s">
        <v>7139</v>
      </c>
      <c r="G4599" s="113" t="s">
        <v>7145</v>
      </c>
      <c r="H4599" s="161">
        <v>0</v>
      </c>
      <c r="I4599" s="161" t="s">
        <v>7146</v>
      </c>
    </row>
    <row r="4600" spans="1:9">
      <c r="A4600" s="113">
        <v>100790143</v>
      </c>
      <c r="B4600" s="113" t="s">
        <v>7116</v>
      </c>
      <c r="C4600" s="113">
        <v>7051057</v>
      </c>
      <c r="D4600" s="113" t="s">
        <v>7139</v>
      </c>
      <c r="E4600" s="113" t="s">
        <v>1620</v>
      </c>
      <c r="F4600" s="113" t="s">
        <v>7139</v>
      </c>
      <c r="G4600" s="113" t="s">
        <v>7145</v>
      </c>
      <c r="H4600" s="161">
        <v>0</v>
      </c>
      <c r="I4600" s="161" t="s">
        <v>7146</v>
      </c>
    </row>
    <row r="4601" spans="1:9">
      <c r="A4601" s="113">
        <v>100790145</v>
      </c>
      <c r="B4601" s="113" t="s">
        <v>7116</v>
      </c>
      <c r="C4601" s="113">
        <v>7051061</v>
      </c>
      <c r="D4601" s="113" t="s">
        <v>7139</v>
      </c>
      <c r="E4601" s="113" t="s">
        <v>1620</v>
      </c>
      <c r="F4601" s="113" t="s">
        <v>7139</v>
      </c>
      <c r="G4601" s="113" t="s">
        <v>7145</v>
      </c>
      <c r="H4601" s="161">
        <v>0</v>
      </c>
      <c r="I4601" s="161" t="s">
        <v>7146</v>
      </c>
    </row>
    <row r="4602" spans="1:9">
      <c r="A4602" s="113">
        <v>100790147</v>
      </c>
      <c r="B4602" s="113" t="s">
        <v>7116</v>
      </c>
      <c r="C4602" s="113">
        <v>7051069</v>
      </c>
      <c r="D4602" s="113" t="s">
        <v>7139</v>
      </c>
      <c r="E4602" s="113" t="s">
        <v>1620</v>
      </c>
      <c r="F4602" s="113" t="s">
        <v>7139</v>
      </c>
      <c r="G4602" s="113" t="s">
        <v>7145</v>
      </c>
      <c r="H4602" s="161">
        <v>0</v>
      </c>
      <c r="I4602" s="161" t="s">
        <v>7146</v>
      </c>
    </row>
    <row r="4603" spans="1:9">
      <c r="A4603" s="113">
        <v>100790148</v>
      </c>
      <c r="B4603" s="113" t="s">
        <v>7116</v>
      </c>
      <c r="C4603" s="113">
        <v>7051071</v>
      </c>
      <c r="D4603" s="113" t="s">
        <v>7139</v>
      </c>
      <c r="E4603" s="113" t="s">
        <v>1620</v>
      </c>
      <c r="F4603" s="113" t="s">
        <v>7139</v>
      </c>
      <c r="G4603" s="115" t="s">
        <v>7145</v>
      </c>
      <c r="H4603" s="161">
        <v>0</v>
      </c>
      <c r="I4603" s="161" t="s">
        <v>7146</v>
      </c>
    </row>
    <row r="4604" spans="1:9">
      <c r="A4604" s="113">
        <v>100790151</v>
      </c>
      <c r="B4604" s="113" t="s">
        <v>7116</v>
      </c>
      <c r="C4604" s="113">
        <v>7052033</v>
      </c>
      <c r="D4604" s="113" t="s">
        <v>7139</v>
      </c>
      <c r="E4604" s="113" t="s">
        <v>1620</v>
      </c>
      <c r="F4604" s="113" t="s">
        <v>7139</v>
      </c>
      <c r="G4604" s="113" t="s">
        <v>7145</v>
      </c>
      <c r="H4604" s="161">
        <v>0</v>
      </c>
      <c r="I4604" s="161" t="s">
        <v>7146</v>
      </c>
    </row>
    <row r="4605" spans="1:9">
      <c r="A4605" s="113">
        <v>100790152</v>
      </c>
      <c r="B4605" s="113" t="s">
        <v>7116</v>
      </c>
      <c r="C4605" s="113">
        <v>7052034</v>
      </c>
      <c r="D4605" s="113" t="s">
        <v>7139</v>
      </c>
      <c r="E4605" s="113" t="s">
        <v>1620</v>
      </c>
      <c r="F4605" s="113" t="s">
        <v>7139</v>
      </c>
      <c r="G4605" s="115" t="s">
        <v>7145</v>
      </c>
      <c r="H4605" s="161">
        <v>0</v>
      </c>
      <c r="I4605" s="161" t="s">
        <v>7146</v>
      </c>
    </row>
    <row r="4606" spans="1:9">
      <c r="A4606" s="113">
        <v>100790153</v>
      </c>
      <c r="B4606" s="113" t="s">
        <v>7116</v>
      </c>
      <c r="C4606" s="113">
        <v>7052035</v>
      </c>
      <c r="D4606" s="113" t="s">
        <v>7139</v>
      </c>
      <c r="E4606" s="113" t="s">
        <v>1620</v>
      </c>
      <c r="F4606" s="113" t="s">
        <v>7139</v>
      </c>
      <c r="G4606" s="115" t="s">
        <v>7145</v>
      </c>
      <c r="H4606" s="161">
        <v>0</v>
      </c>
      <c r="I4606" s="161" t="s">
        <v>7146</v>
      </c>
    </row>
    <row r="4607" spans="1:9">
      <c r="A4607" s="113">
        <v>100790154</v>
      </c>
      <c r="B4607" s="113" t="s">
        <v>7116</v>
      </c>
      <c r="C4607" s="113">
        <v>7052036</v>
      </c>
      <c r="D4607" s="113" t="s">
        <v>7139</v>
      </c>
      <c r="E4607" s="113" t="s">
        <v>1620</v>
      </c>
      <c r="F4607" s="113" t="s">
        <v>7139</v>
      </c>
      <c r="G4607" s="115" t="s">
        <v>7145</v>
      </c>
      <c r="H4607" s="161">
        <v>0</v>
      </c>
      <c r="I4607" s="161" t="s">
        <v>7146</v>
      </c>
    </row>
    <row r="4608" spans="1:9">
      <c r="A4608" s="113">
        <v>100790155</v>
      </c>
      <c r="B4608" s="113" t="s">
        <v>7116</v>
      </c>
      <c r="C4608" s="113">
        <v>7052037</v>
      </c>
      <c r="D4608" s="113" t="s">
        <v>7139</v>
      </c>
      <c r="E4608" s="113" t="s">
        <v>1620</v>
      </c>
      <c r="F4608" s="113" t="s">
        <v>7139</v>
      </c>
      <c r="G4608" s="113" t="s">
        <v>7145</v>
      </c>
      <c r="H4608" s="161">
        <v>0</v>
      </c>
      <c r="I4608" s="161" t="s">
        <v>7146</v>
      </c>
    </row>
    <row r="4609" spans="1:9">
      <c r="A4609" s="113">
        <v>100790156</v>
      </c>
      <c r="B4609" s="113" t="s">
        <v>7116</v>
      </c>
      <c r="C4609" s="113">
        <v>7052038</v>
      </c>
      <c r="D4609" s="113" t="s">
        <v>7139</v>
      </c>
      <c r="E4609" s="113" t="s">
        <v>1620</v>
      </c>
      <c r="F4609" s="113" t="s">
        <v>7139</v>
      </c>
      <c r="G4609" s="115" t="s">
        <v>7145</v>
      </c>
      <c r="H4609" s="161">
        <v>0</v>
      </c>
      <c r="I4609" s="161" t="s">
        <v>7146</v>
      </c>
    </row>
    <row r="4610" spans="1:9">
      <c r="A4610" s="113">
        <v>100790157</v>
      </c>
      <c r="B4610" s="113" t="s">
        <v>7116</v>
      </c>
      <c r="C4610" s="113">
        <v>7052039</v>
      </c>
      <c r="D4610" s="113" t="s">
        <v>7139</v>
      </c>
      <c r="E4610" s="113" t="s">
        <v>1620</v>
      </c>
      <c r="F4610" s="113" t="s">
        <v>7139</v>
      </c>
      <c r="G4610" s="113" t="s">
        <v>7145</v>
      </c>
      <c r="H4610" s="161">
        <v>0</v>
      </c>
      <c r="I4610" s="161" t="s">
        <v>7146</v>
      </c>
    </row>
    <row r="4611" spans="1:9">
      <c r="A4611" s="113">
        <v>100790158</v>
      </c>
      <c r="B4611" s="113" t="s">
        <v>7116</v>
      </c>
      <c r="C4611" s="113">
        <v>7052040</v>
      </c>
      <c r="D4611" s="113" t="s">
        <v>7139</v>
      </c>
      <c r="E4611" s="113" t="s">
        <v>1620</v>
      </c>
      <c r="F4611" s="113" t="s">
        <v>7139</v>
      </c>
      <c r="G4611" s="113" t="s">
        <v>7145</v>
      </c>
      <c r="H4611" s="161">
        <v>0</v>
      </c>
      <c r="I4611" s="161" t="s">
        <v>7146</v>
      </c>
    </row>
    <row r="4612" spans="1:9">
      <c r="A4612" s="113">
        <v>100790159</v>
      </c>
      <c r="B4612" s="113" t="s">
        <v>7116</v>
      </c>
      <c r="C4612" s="113">
        <v>7052041</v>
      </c>
      <c r="D4612" s="113" t="s">
        <v>7139</v>
      </c>
      <c r="E4612" s="113" t="s">
        <v>1620</v>
      </c>
      <c r="F4612" s="113" t="s">
        <v>7139</v>
      </c>
      <c r="G4612" s="115" t="s">
        <v>7145</v>
      </c>
      <c r="H4612" s="161">
        <v>0</v>
      </c>
      <c r="I4612" s="161" t="s">
        <v>7146</v>
      </c>
    </row>
    <row r="4613" spans="1:9">
      <c r="A4613" s="113">
        <v>100790161</v>
      </c>
      <c r="B4613" s="113" t="s">
        <v>7116</v>
      </c>
      <c r="C4613" s="113">
        <v>7053058</v>
      </c>
      <c r="D4613" s="113" t="s">
        <v>7139</v>
      </c>
      <c r="E4613" s="113" t="s">
        <v>1620</v>
      </c>
      <c r="F4613" s="113" t="s">
        <v>7139</v>
      </c>
      <c r="G4613" s="113" t="s">
        <v>7145</v>
      </c>
      <c r="H4613" s="161">
        <v>0</v>
      </c>
      <c r="I4613" s="161" t="s">
        <v>7146</v>
      </c>
    </row>
    <row r="4614" spans="1:9">
      <c r="A4614" s="113">
        <v>100790163</v>
      </c>
      <c r="B4614" s="113" t="s">
        <v>7116</v>
      </c>
      <c r="C4614" s="113">
        <v>7053062</v>
      </c>
      <c r="D4614" s="113" t="s">
        <v>7139</v>
      </c>
      <c r="E4614" s="113" t="s">
        <v>1620</v>
      </c>
      <c r="F4614" s="113" t="s">
        <v>7139</v>
      </c>
      <c r="G4614" s="115" t="s">
        <v>7145</v>
      </c>
      <c r="H4614" s="161">
        <v>0</v>
      </c>
      <c r="I4614" s="161" t="s">
        <v>7146</v>
      </c>
    </row>
    <row r="4615" spans="1:9">
      <c r="A4615" s="113">
        <v>100790165</v>
      </c>
      <c r="B4615" s="113" t="s">
        <v>7116</v>
      </c>
      <c r="C4615" s="113">
        <v>7053064</v>
      </c>
      <c r="D4615" s="113" t="s">
        <v>7139</v>
      </c>
      <c r="E4615" s="113" t="s">
        <v>1620</v>
      </c>
      <c r="F4615" s="113" t="s">
        <v>7139</v>
      </c>
      <c r="G4615" s="115" t="s">
        <v>7145</v>
      </c>
      <c r="H4615" s="161">
        <v>0</v>
      </c>
      <c r="I4615" s="161" t="s">
        <v>7146</v>
      </c>
    </row>
    <row r="4616" spans="1:9">
      <c r="A4616" s="113">
        <v>100790166</v>
      </c>
      <c r="B4616" s="113" t="s">
        <v>7116</v>
      </c>
      <c r="C4616" s="113">
        <v>7053065</v>
      </c>
      <c r="D4616" s="113" t="s">
        <v>7139</v>
      </c>
      <c r="E4616" s="113" t="s">
        <v>1620</v>
      </c>
      <c r="F4616" s="113" t="s">
        <v>7139</v>
      </c>
      <c r="G4616" s="113" t="s">
        <v>7145</v>
      </c>
      <c r="H4616" s="161">
        <v>0</v>
      </c>
      <c r="I4616" s="161" t="s">
        <v>7146</v>
      </c>
    </row>
    <row r="4617" spans="1:9">
      <c r="A4617" s="113">
        <v>100790167</v>
      </c>
      <c r="B4617" s="113" t="s">
        <v>7116</v>
      </c>
      <c r="C4617" s="113">
        <v>7053066</v>
      </c>
      <c r="D4617" s="113" t="s">
        <v>7139</v>
      </c>
      <c r="E4617" s="113" t="s">
        <v>1620</v>
      </c>
      <c r="F4617" s="113" t="s">
        <v>7139</v>
      </c>
      <c r="G4617" s="113" t="s">
        <v>7145</v>
      </c>
      <c r="H4617" s="161">
        <v>0</v>
      </c>
      <c r="I4617" s="161" t="s">
        <v>7146</v>
      </c>
    </row>
    <row r="4618" spans="1:9">
      <c r="A4618" s="113">
        <v>100790169</v>
      </c>
      <c r="B4618" s="113" t="s">
        <v>7116</v>
      </c>
      <c r="C4618" s="113">
        <v>7053068</v>
      </c>
      <c r="D4618" s="113" t="s">
        <v>7139</v>
      </c>
      <c r="E4618" s="113" t="s">
        <v>1620</v>
      </c>
      <c r="F4618" s="113" t="s">
        <v>7139</v>
      </c>
      <c r="G4618" s="113" t="s">
        <v>7145</v>
      </c>
      <c r="H4618" s="161">
        <v>0</v>
      </c>
      <c r="I4618" s="161" t="s">
        <v>7146</v>
      </c>
    </row>
    <row r="4619" spans="1:9">
      <c r="A4619" s="113">
        <v>100790170</v>
      </c>
      <c r="B4619" s="113" t="s">
        <v>7116</v>
      </c>
      <c r="C4619" s="113">
        <v>7053076</v>
      </c>
      <c r="D4619" s="113" t="s">
        <v>7139</v>
      </c>
      <c r="E4619" s="113" t="s">
        <v>1620</v>
      </c>
      <c r="F4619" s="113" t="s">
        <v>7139</v>
      </c>
      <c r="G4619" s="115" t="s">
        <v>7145</v>
      </c>
      <c r="H4619" s="161">
        <v>0</v>
      </c>
      <c r="I4619" s="161" t="s">
        <v>7146</v>
      </c>
    </row>
    <row r="4620" spans="1:9">
      <c r="A4620" s="113">
        <v>100790171</v>
      </c>
      <c r="B4620" s="113" t="s">
        <v>7116</v>
      </c>
      <c r="C4620" s="113">
        <v>7053077</v>
      </c>
      <c r="D4620" s="113" t="s">
        <v>7139</v>
      </c>
      <c r="E4620" s="113" t="s">
        <v>1620</v>
      </c>
      <c r="F4620" s="113" t="s">
        <v>7139</v>
      </c>
      <c r="G4620" s="113" t="s">
        <v>7145</v>
      </c>
      <c r="H4620" s="161">
        <v>0</v>
      </c>
      <c r="I4620" s="161" t="s">
        <v>7146</v>
      </c>
    </row>
    <row r="4621" spans="1:9">
      <c r="A4621" s="113">
        <v>100790172</v>
      </c>
      <c r="B4621" s="113" t="s">
        <v>7116</v>
      </c>
      <c r="C4621" s="113">
        <v>7053078</v>
      </c>
      <c r="D4621" s="113" t="s">
        <v>7139</v>
      </c>
      <c r="E4621" s="113" t="s">
        <v>1620</v>
      </c>
      <c r="F4621" s="113" t="s">
        <v>7139</v>
      </c>
      <c r="G4621" s="115" t="s">
        <v>7145</v>
      </c>
      <c r="H4621" s="161">
        <v>0</v>
      </c>
      <c r="I4621" s="161" t="s">
        <v>7146</v>
      </c>
    </row>
    <row r="4622" spans="1:9">
      <c r="A4622" s="113">
        <v>100790173</v>
      </c>
      <c r="B4622" s="113" t="s">
        <v>7116</v>
      </c>
      <c r="C4622" s="113">
        <v>7053079</v>
      </c>
      <c r="D4622" s="113" t="s">
        <v>7139</v>
      </c>
      <c r="E4622" s="113" t="s">
        <v>1620</v>
      </c>
      <c r="F4622" s="113" t="s">
        <v>7139</v>
      </c>
      <c r="G4622" s="113" t="s">
        <v>7145</v>
      </c>
      <c r="H4622" s="161">
        <v>0</v>
      </c>
      <c r="I4622" s="161" t="s">
        <v>7146</v>
      </c>
    </row>
    <row r="4623" spans="1:9">
      <c r="A4623" s="113">
        <v>100790174</v>
      </c>
      <c r="B4623" s="113" t="s">
        <v>7116</v>
      </c>
      <c r="C4623" s="113">
        <v>7053082</v>
      </c>
      <c r="D4623" s="113" t="s">
        <v>7139</v>
      </c>
      <c r="E4623" s="113" t="s">
        <v>1620</v>
      </c>
      <c r="F4623" s="113" t="s">
        <v>7139</v>
      </c>
      <c r="G4623" s="115" t="s">
        <v>7145</v>
      </c>
      <c r="H4623" s="161">
        <v>0</v>
      </c>
      <c r="I4623" s="161" t="s">
        <v>7146</v>
      </c>
    </row>
    <row r="4624" spans="1:9">
      <c r="A4624" s="113">
        <v>100790175</v>
      </c>
      <c r="B4624" s="113" t="s">
        <v>7116</v>
      </c>
      <c r="C4624" s="113">
        <v>7053083</v>
      </c>
      <c r="D4624" s="113" t="s">
        <v>7139</v>
      </c>
      <c r="E4624" s="113" t="s">
        <v>1620</v>
      </c>
      <c r="F4624" s="113" t="s">
        <v>7139</v>
      </c>
      <c r="G4624" s="115" t="s">
        <v>7145</v>
      </c>
      <c r="H4624" s="161">
        <v>0</v>
      </c>
      <c r="I4624" s="161" t="s">
        <v>7146</v>
      </c>
    </row>
    <row r="4625" spans="1:9">
      <c r="A4625" s="113">
        <v>100790176</v>
      </c>
      <c r="B4625" s="113" t="s">
        <v>7116</v>
      </c>
      <c r="C4625" s="113">
        <v>7053087</v>
      </c>
      <c r="D4625" s="113" t="s">
        <v>7139</v>
      </c>
      <c r="E4625" s="113" t="s">
        <v>1620</v>
      </c>
      <c r="F4625" s="113" t="s">
        <v>7139</v>
      </c>
      <c r="G4625" s="115" t="s">
        <v>7145</v>
      </c>
      <c r="H4625" s="161">
        <v>0</v>
      </c>
      <c r="I4625" s="161" t="s">
        <v>7146</v>
      </c>
    </row>
    <row r="4626" spans="1:9">
      <c r="A4626" s="113">
        <v>100790177</v>
      </c>
      <c r="B4626" s="113" t="s">
        <v>7116</v>
      </c>
      <c r="C4626" s="113">
        <v>7053088</v>
      </c>
      <c r="D4626" s="113" t="s">
        <v>7139</v>
      </c>
      <c r="E4626" s="113" t="s">
        <v>1620</v>
      </c>
      <c r="F4626" s="113" t="s">
        <v>7139</v>
      </c>
      <c r="G4626" s="113" t="s">
        <v>7145</v>
      </c>
      <c r="H4626" s="161">
        <v>0</v>
      </c>
      <c r="I4626" s="161" t="s">
        <v>7146</v>
      </c>
    </row>
    <row r="4627" spans="1:9">
      <c r="A4627" s="113">
        <v>100790180</v>
      </c>
      <c r="B4627" s="113" t="s">
        <v>7116</v>
      </c>
      <c r="C4627" s="113">
        <v>7062237</v>
      </c>
      <c r="D4627" s="113" t="s">
        <v>7139</v>
      </c>
      <c r="E4627" s="113" t="s">
        <v>1620</v>
      </c>
      <c r="F4627" s="113" t="s">
        <v>7139</v>
      </c>
      <c r="G4627" s="113" t="s">
        <v>7145</v>
      </c>
      <c r="H4627" s="161">
        <v>0</v>
      </c>
      <c r="I4627" s="161" t="s">
        <v>7146</v>
      </c>
    </row>
    <row r="4628" spans="1:9">
      <c r="A4628" s="113">
        <v>100790181</v>
      </c>
      <c r="B4628" s="113" t="s">
        <v>7116</v>
      </c>
      <c r="C4628" s="113">
        <v>7062238</v>
      </c>
      <c r="D4628" s="113" t="s">
        <v>7139</v>
      </c>
      <c r="E4628" s="113" t="s">
        <v>1620</v>
      </c>
      <c r="F4628" s="113" t="s">
        <v>7139</v>
      </c>
      <c r="G4628" s="113" t="s">
        <v>7145</v>
      </c>
      <c r="H4628" s="161">
        <v>0</v>
      </c>
      <c r="I4628" s="161" t="s">
        <v>7146</v>
      </c>
    </row>
    <row r="4629" spans="1:9">
      <c r="A4629" s="113">
        <v>100790182</v>
      </c>
      <c r="B4629" s="113" t="s">
        <v>7116</v>
      </c>
      <c r="C4629" s="113">
        <v>7062239</v>
      </c>
      <c r="D4629" s="113" t="s">
        <v>7139</v>
      </c>
      <c r="E4629" s="113" t="s">
        <v>1620</v>
      </c>
      <c r="F4629" s="113" t="s">
        <v>7139</v>
      </c>
      <c r="G4629" s="115" t="s">
        <v>7145</v>
      </c>
      <c r="H4629" s="161">
        <v>0</v>
      </c>
      <c r="I4629" s="161" t="s">
        <v>7146</v>
      </c>
    </row>
    <row r="4630" spans="1:9">
      <c r="A4630" s="113">
        <v>100790183</v>
      </c>
      <c r="B4630" s="113" t="s">
        <v>7116</v>
      </c>
      <c r="C4630" s="113">
        <v>7062255</v>
      </c>
      <c r="D4630" s="113" t="s">
        <v>7139</v>
      </c>
      <c r="E4630" s="113" t="s">
        <v>1620</v>
      </c>
      <c r="F4630" s="113" t="s">
        <v>7139</v>
      </c>
      <c r="G4630" s="113" t="s">
        <v>7145</v>
      </c>
      <c r="H4630" s="161">
        <v>0</v>
      </c>
      <c r="I4630" s="161" t="s">
        <v>7146</v>
      </c>
    </row>
    <row r="4631" spans="1:9">
      <c r="A4631" s="113">
        <v>100790184</v>
      </c>
      <c r="B4631" s="113" t="s">
        <v>7116</v>
      </c>
      <c r="C4631" s="113">
        <v>7062256</v>
      </c>
      <c r="D4631" s="113" t="s">
        <v>7139</v>
      </c>
      <c r="E4631" s="113" t="s">
        <v>1620</v>
      </c>
      <c r="F4631" s="113" t="s">
        <v>7139</v>
      </c>
      <c r="G4631" s="113" t="s">
        <v>7145</v>
      </c>
      <c r="H4631" s="161">
        <v>0</v>
      </c>
      <c r="I4631" s="161" t="s">
        <v>7146</v>
      </c>
    </row>
    <row r="4632" spans="1:9">
      <c r="A4632" s="113">
        <v>100790185</v>
      </c>
      <c r="B4632" s="113" t="s">
        <v>7116</v>
      </c>
      <c r="C4632" s="113">
        <v>7062265</v>
      </c>
      <c r="D4632" s="113" t="s">
        <v>7139</v>
      </c>
      <c r="E4632" s="113" t="s">
        <v>1620</v>
      </c>
      <c r="F4632" s="113" t="s">
        <v>7139</v>
      </c>
      <c r="G4632" s="113" t="s">
        <v>7145</v>
      </c>
      <c r="H4632" s="161">
        <v>0</v>
      </c>
      <c r="I4632" s="161" t="s">
        <v>7146</v>
      </c>
    </row>
    <row r="4633" spans="1:9">
      <c r="A4633" s="113">
        <v>100790186</v>
      </c>
      <c r="B4633" s="113" t="s">
        <v>7116</v>
      </c>
      <c r="C4633" s="113">
        <v>7062266</v>
      </c>
      <c r="D4633" s="113" t="s">
        <v>7139</v>
      </c>
      <c r="E4633" s="113" t="s">
        <v>1620</v>
      </c>
      <c r="F4633" s="113" t="s">
        <v>7139</v>
      </c>
      <c r="G4633" s="113" t="s">
        <v>7145</v>
      </c>
      <c r="H4633" s="161">
        <v>0</v>
      </c>
      <c r="I4633" s="161" t="s">
        <v>7146</v>
      </c>
    </row>
    <row r="4634" spans="1:9">
      <c r="A4634" s="113">
        <v>100790187</v>
      </c>
      <c r="B4634" s="113" t="s">
        <v>7116</v>
      </c>
      <c r="C4634" s="113">
        <v>7062267</v>
      </c>
      <c r="D4634" s="113" t="s">
        <v>7139</v>
      </c>
      <c r="E4634" s="113" t="s">
        <v>1620</v>
      </c>
      <c r="F4634" s="113" t="s">
        <v>7139</v>
      </c>
      <c r="G4634" s="113" t="s">
        <v>7145</v>
      </c>
      <c r="H4634" s="161">
        <v>0</v>
      </c>
      <c r="I4634" s="161" t="s">
        <v>7146</v>
      </c>
    </row>
    <row r="4635" spans="1:9">
      <c r="A4635" s="113">
        <v>100790188</v>
      </c>
      <c r="B4635" s="113" t="s">
        <v>7116</v>
      </c>
      <c r="C4635" s="113">
        <v>7062269</v>
      </c>
      <c r="D4635" s="113" t="s">
        <v>7139</v>
      </c>
      <c r="E4635" s="113" t="s">
        <v>1620</v>
      </c>
      <c r="F4635" s="113" t="s">
        <v>7139</v>
      </c>
      <c r="G4635" s="113" t="s">
        <v>7145</v>
      </c>
      <c r="H4635" s="161">
        <v>0</v>
      </c>
      <c r="I4635" s="161" t="s">
        <v>7146</v>
      </c>
    </row>
    <row r="4636" spans="1:9">
      <c r="A4636" s="113">
        <v>100790189</v>
      </c>
      <c r="B4636" s="113" t="s">
        <v>7116</v>
      </c>
      <c r="C4636" s="113">
        <v>7062272</v>
      </c>
      <c r="D4636" s="113" t="s">
        <v>7139</v>
      </c>
      <c r="E4636" s="113" t="s">
        <v>1620</v>
      </c>
      <c r="F4636" s="113" t="s">
        <v>7139</v>
      </c>
      <c r="G4636" s="113" t="s">
        <v>7145</v>
      </c>
      <c r="H4636" s="161">
        <v>0</v>
      </c>
      <c r="I4636" s="161" t="s">
        <v>7146</v>
      </c>
    </row>
    <row r="4637" spans="1:9">
      <c r="A4637" s="113">
        <v>100790190</v>
      </c>
      <c r="B4637" s="113" t="s">
        <v>7116</v>
      </c>
      <c r="C4637" s="113">
        <v>7062273</v>
      </c>
      <c r="D4637" s="113" t="s">
        <v>7139</v>
      </c>
      <c r="E4637" s="113" t="s">
        <v>1620</v>
      </c>
      <c r="F4637" s="113" t="s">
        <v>7139</v>
      </c>
      <c r="G4637" s="113" t="s">
        <v>7145</v>
      </c>
      <c r="H4637" s="161">
        <v>0</v>
      </c>
      <c r="I4637" s="161" t="s">
        <v>7146</v>
      </c>
    </row>
    <row r="4638" spans="1:9">
      <c r="A4638" s="113">
        <v>100790191</v>
      </c>
      <c r="B4638" s="113" t="s">
        <v>7116</v>
      </c>
      <c r="C4638" s="113">
        <v>7062274</v>
      </c>
      <c r="D4638" s="113" t="s">
        <v>7139</v>
      </c>
      <c r="E4638" s="113" t="s">
        <v>1620</v>
      </c>
      <c r="F4638" s="113" t="s">
        <v>7139</v>
      </c>
      <c r="G4638" s="115" t="s">
        <v>7145</v>
      </c>
      <c r="H4638" s="161">
        <v>0</v>
      </c>
      <c r="I4638" s="161" t="s">
        <v>7146</v>
      </c>
    </row>
    <row r="4639" spans="1:9">
      <c r="A4639" s="113">
        <v>100790192</v>
      </c>
      <c r="B4639" s="113" t="s">
        <v>7116</v>
      </c>
      <c r="C4639" s="113">
        <v>7062275</v>
      </c>
      <c r="D4639" s="113" t="s">
        <v>7139</v>
      </c>
      <c r="E4639" s="113" t="s">
        <v>1620</v>
      </c>
      <c r="F4639" s="113" t="s">
        <v>7139</v>
      </c>
      <c r="G4639" s="115" t="s">
        <v>7145</v>
      </c>
      <c r="H4639" s="161">
        <v>0</v>
      </c>
      <c r="I4639" s="161" t="s">
        <v>7146</v>
      </c>
    </row>
    <row r="4640" spans="1:9">
      <c r="A4640" s="113">
        <v>100790193</v>
      </c>
      <c r="B4640" s="113" t="s">
        <v>7116</v>
      </c>
      <c r="C4640" s="113">
        <v>7062290</v>
      </c>
      <c r="D4640" s="113" t="s">
        <v>7139</v>
      </c>
      <c r="E4640" s="113" t="s">
        <v>1620</v>
      </c>
      <c r="F4640" s="113" t="s">
        <v>7139</v>
      </c>
      <c r="G4640" s="115" t="s">
        <v>7145</v>
      </c>
      <c r="H4640" s="161">
        <v>0</v>
      </c>
      <c r="I4640" s="161" t="s">
        <v>7146</v>
      </c>
    </row>
    <row r="4641" spans="1:9">
      <c r="A4641" s="113">
        <v>100790194</v>
      </c>
      <c r="B4641" s="113" t="s">
        <v>7116</v>
      </c>
      <c r="C4641" s="113">
        <v>7062293</v>
      </c>
      <c r="D4641" s="113" t="s">
        <v>7139</v>
      </c>
      <c r="E4641" s="113" t="s">
        <v>1620</v>
      </c>
      <c r="F4641" s="113" t="s">
        <v>7139</v>
      </c>
      <c r="G4641" s="115" t="s">
        <v>7145</v>
      </c>
      <c r="H4641" s="161">
        <v>0</v>
      </c>
      <c r="I4641" s="161" t="s">
        <v>7146</v>
      </c>
    </row>
    <row r="4642" spans="1:9">
      <c r="A4642" s="113">
        <v>100790195</v>
      </c>
      <c r="B4642" s="113" t="s">
        <v>7116</v>
      </c>
      <c r="C4642" s="113">
        <v>7062294</v>
      </c>
      <c r="D4642" s="113" t="s">
        <v>7139</v>
      </c>
      <c r="E4642" s="113" t="s">
        <v>1620</v>
      </c>
      <c r="F4642" s="113" t="s">
        <v>7139</v>
      </c>
      <c r="G4642" s="115" t="s">
        <v>7145</v>
      </c>
      <c r="H4642" s="161">
        <v>0</v>
      </c>
      <c r="I4642" s="161" t="s">
        <v>7146</v>
      </c>
    </row>
    <row r="4643" spans="1:9">
      <c r="A4643" s="113">
        <v>100790196</v>
      </c>
      <c r="B4643" s="113" t="s">
        <v>7116</v>
      </c>
      <c r="C4643" s="113">
        <v>7062301</v>
      </c>
      <c r="D4643" s="113" t="s">
        <v>7139</v>
      </c>
      <c r="E4643" s="113" t="s">
        <v>1620</v>
      </c>
      <c r="F4643" s="113" t="s">
        <v>7139</v>
      </c>
      <c r="G4643" s="115" t="s">
        <v>7145</v>
      </c>
      <c r="H4643" s="161">
        <v>0</v>
      </c>
      <c r="I4643" s="161" t="s">
        <v>7146</v>
      </c>
    </row>
    <row r="4644" spans="1:9">
      <c r="A4644" s="113">
        <v>100790197</v>
      </c>
      <c r="B4644" s="113" t="s">
        <v>7116</v>
      </c>
      <c r="C4644" s="113">
        <v>7062308</v>
      </c>
      <c r="D4644" s="113" t="s">
        <v>7139</v>
      </c>
      <c r="E4644" s="113" t="s">
        <v>1620</v>
      </c>
      <c r="F4644" s="113" t="s">
        <v>7139</v>
      </c>
      <c r="G4644" s="115" t="s">
        <v>7145</v>
      </c>
      <c r="H4644" s="161">
        <v>0</v>
      </c>
      <c r="I4644" s="161" t="s">
        <v>7146</v>
      </c>
    </row>
    <row r="4645" spans="1:9">
      <c r="A4645" s="113">
        <v>100790199</v>
      </c>
      <c r="B4645" s="113" t="s">
        <v>7116</v>
      </c>
      <c r="C4645" s="113">
        <v>7062314</v>
      </c>
      <c r="D4645" s="113" t="s">
        <v>7139</v>
      </c>
      <c r="E4645" s="113" t="s">
        <v>1620</v>
      </c>
      <c r="F4645" s="113" t="s">
        <v>7139</v>
      </c>
      <c r="G4645" s="115" t="s">
        <v>7145</v>
      </c>
      <c r="H4645" s="161">
        <v>0</v>
      </c>
      <c r="I4645" s="161" t="s">
        <v>7146</v>
      </c>
    </row>
    <row r="4646" spans="1:9">
      <c r="A4646" s="113">
        <v>100790200</v>
      </c>
      <c r="B4646" s="113" t="s">
        <v>7116</v>
      </c>
      <c r="C4646" s="113">
        <v>7062315</v>
      </c>
      <c r="D4646" s="113" t="s">
        <v>7139</v>
      </c>
      <c r="E4646" s="113" t="s">
        <v>1620</v>
      </c>
      <c r="F4646" s="113" t="s">
        <v>7139</v>
      </c>
      <c r="G4646" s="113" t="s">
        <v>7145</v>
      </c>
      <c r="H4646" s="161">
        <v>0</v>
      </c>
      <c r="I4646" s="161" t="s">
        <v>7146</v>
      </c>
    </row>
    <row r="4647" spans="1:9">
      <c r="A4647" s="113">
        <v>100790201</v>
      </c>
      <c r="B4647" s="113" t="s">
        <v>7116</v>
      </c>
      <c r="C4647" s="113">
        <v>7062316</v>
      </c>
      <c r="D4647" s="113" t="s">
        <v>7139</v>
      </c>
      <c r="E4647" s="113" t="s">
        <v>1620</v>
      </c>
      <c r="F4647" s="113" t="s">
        <v>7139</v>
      </c>
      <c r="G4647" s="113" t="s">
        <v>7145</v>
      </c>
      <c r="H4647" s="161">
        <v>0</v>
      </c>
      <c r="I4647" s="161" t="s">
        <v>7146</v>
      </c>
    </row>
    <row r="4648" spans="1:9">
      <c r="A4648" s="113">
        <v>100790202</v>
      </c>
      <c r="B4648" s="113" t="s">
        <v>7116</v>
      </c>
      <c r="C4648" s="113">
        <v>7062317</v>
      </c>
      <c r="D4648" s="113" t="s">
        <v>7139</v>
      </c>
      <c r="E4648" s="113" t="s">
        <v>1620</v>
      </c>
      <c r="F4648" s="113" t="s">
        <v>7139</v>
      </c>
      <c r="G4648" s="113" t="s">
        <v>7145</v>
      </c>
      <c r="H4648" s="161">
        <v>0</v>
      </c>
      <c r="I4648" s="161" t="s">
        <v>7146</v>
      </c>
    </row>
    <row r="4649" spans="1:9">
      <c r="A4649" s="113">
        <v>100790203</v>
      </c>
      <c r="B4649" s="113" t="s">
        <v>7116</v>
      </c>
      <c r="C4649" s="113">
        <v>7062318</v>
      </c>
      <c r="D4649" s="113" t="s">
        <v>7139</v>
      </c>
      <c r="E4649" s="113" t="s">
        <v>1620</v>
      </c>
      <c r="F4649" s="113" t="s">
        <v>7139</v>
      </c>
      <c r="G4649" s="113" t="s">
        <v>7145</v>
      </c>
      <c r="H4649" s="161">
        <v>0</v>
      </c>
      <c r="I4649" s="161" t="s">
        <v>7146</v>
      </c>
    </row>
    <row r="4650" spans="1:9">
      <c r="A4650" s="113">
        <v>100790204</v>
      </c>
      <c r="B4650" s="113" t="s">
        <v>7116</v>
      </c>
      <c r="C4650" s="113">
        <v>7062319</v>
      </c>
      <c r="D4650" s="113" t="s">
        <v>7139</v>
      </c>
      <c r="E4650" s="113" t="s">
        <v>1620</v>
      </c>
      <c r="F4650" s="113" t="s">
        <v>7139</v>
      </c>
      <c r="G4650" s="113" t="s">
        <v>7145</v>
      </c>
      <c r="H4650" s="161">
        <v>0</v>
      </c>
      <c r="I4650" s="161" t="s">
        <v>7146</v>
      </c>
    </row>
    <row r="4651" spans="1:9">
      <c r="A4651" s="113">
        <v>100790205</v>
      </c>
      <c r="B4651" s="113" t="s">
        <v>7116</v>
      </c>
      <c r="C4651" s="113">
        <v>7062325</v>
      </c>
      <c r="D4651" s="113" t="s">
        <v>7139</v>
      </c>
      <c r="E4651" s="113" t="s">
        <v>1620</v>
      </c>
      <c r="F4651" s="113" t="s">
        <v>7139</v>
      </c>
      <c r="G4651" s="113" t="s">
        <v>7145</v>
      </c>
      <c r="H4651" s="161">
        <v>0</v>
      </c>
      <c r="I4651" s="161" t="s">
        <v>7146</v>
      </c>
    </row>
    <row r="4652" spans="1:9">
      <c r="A4652" s="113">
        <v>100790206</v>
      </c>
      <c r="B4652" s="113" t="s">
        <v>7116</v>
      </c>
      <c r="C4652" s="113">
        <v>7062326</v>
      </c>
      <c r="D4652" s="113" t="s">
        <v>7139</v>
      </c>
      <c r="E4652" s="113" t="s">
        <v>1620</v>
      </c>
      <c r="F4652" s="113" t="s">
        <v>7139</v>
      </c>
      <c r="G4652" s="113" t="s">
        <v>7145</v>
      </c>
      <c r="H4652" s="161">
        <v>0</v>
      </c>
      <c r="I4652" s="161" t="s">
        <v>7146</v>
      </c>
    </row>
    <row r="4653" spans="1:9">
      <c r="A4653" s="113">
        <v>100790207</v>
      </c>
      <c r="B4653" s="113" t="s">
        <v>7116</v>
      </c>
      <c r="C4653" s="113">
        <v>7062331</v>
      </c>
      <c r="D4653" s="113" t="s">
        <v>7139</v>
      </c>
      <c r="E4653" s="113" t="s">
        <v>1620</v>
      </c>
      <c r="F4653" s="113" t="s">
        <v>7139</v>
      </c>
      <c r="G4653" s="113" t="s">
        <v>7145</v>
      </c>
      <c r="H4653" s="161">
        <v>0</v>
      </c>
      <c r="I4653" s="161" t="s">
        <v>7146</v>
      </c>
    </row>
    <row r="4654" spans="1:9">
      <c r="A4654" s="113">
        <v>100790209</v>
      </c>
      <c r="B4654" s="113" t="s">
        <v>7116</v>
      </c>
      <c r="C4654" s="113">
        <v>7062342</v>
      </c>
      <c r="D4654" s="113" t="s">
        <v>7139</v>
      </c>
      <c r="E4654" s="113" t="s">
        <v>1620</v>
      </c>
      <c r="F4654" s="113" t="s">
        <v>7139</v>
      </c>
      <c r="G4654" s="113" t="s">
        <v>7145</v>
      </c>
      <c r="H4654" s="161">
        <v>0</v>
      </c>
      <c r="I4654" s="161" t="s">
        <v>7146</v>
      </c>
    </row>
    <row r="4655" spans="1:9">
      <c r="A4655" s="113">
        <v>100790210</v>
      </c>
      <c r="B4655" s="113" t="s">
        <v>7116</v>
      </c>
      <c r="C4655" s="113">
        <v>7062343</v>
      </c>
      <c r="D4655" s="113" t="s">
        <v>7139</v>
      </c>
      <c r="E4655" s="113" t="s">
        <v>1620</v>
      </c>
      <c r="F4655" s="113" t="s">
        <v>7139</v>
      </c>
      <c r="G4655" s="113" t="s">
        <v>7145</v>
      </c>
      <c r="H4655" s="161">
        <v>0</v>
      </c>
      <c r="I4655" s="161" t="s">
        <v>7146</v>
      </c>
    </row>
    <row r="4656" spans="1:9">
      <c r="A4656" s="113">
        <v>100790212</v>
      </c>
      <c r="B4656" s="113" t="s">
        <v>7116</v>
      </c>
      <c r="C4656" s="113">
        <v>7062345</v>
      </c>
      <c r="D4656" s="113" t="s">
        <v>7139</v>
      </c>
      <c r="E4656" s="113" t="s">
        <v>1620</v>
      </c>
      <c r="F4656" s="113" t="s">
        <v>7139</v>
      </c>
      <c r="G4656" s="113" t="s">
        <v>7145</v>
      </c>
      <c r="H4656" s="161">
        <v>0</v>
      </c>
      <c r="I4656" s="161" t="s">
        <v>7146</v>
      </c>
    </row>
    <row r="4657" spans="1:9">
      <c r="A4657" s="113">
        <v>100790213</v>
      </c>
      <c r="B4657" s="113" t="s">
        <v>7116</v>
      </c>
      <c r="C4657" s="113">
        <v>7062346</v>
      </c>
      <c r="D4657" s="113" t="s">
        <v>7139</v>
      </c>
      <c r="E4657" s="113" t="s">
        <v>1620</v>
      </c>
      <c r="F4657" s="113" t="s">
        <v>7139</v>
      </c>
      <c r="G4657" s="113" t="s">
        <v>7145</v>
      </c>
      <c r="H4657" s="161">
        <v>0</v>
      </c>
      <c r="I4657" s="161" t="s">
        <v>7146</v>
      </c>
    </row>
    <row r="4658" spans="1:9">
      <c r="A4658" s="113">
        <v>100790214</v>
      </c>
      <c r="B4658" s="113" t="s">
        <v>7116</v>
      </c>
      <c r="C4658" s="113">
        <v>7062368</v>
      </c>
      <c r="D4658" s="113" t="s">
        <v>7139</v>
      </c>
      <c r="E4658" s="113" t="s">
        <v>1620</v>
      </c>
      <c r="F4658" s="113" t="s">
        <v>7139</v>
      </c>
      <c r="G4658" s="113" t="s">
        <v>7145</v>
      </c>
      <c r="H4658" s="161">
        <v>0</v>
      </c>
      <c r="I4658" s="161" t="s">
        <v>7146</v>
      </c>
    </row>
    <row r="4659" spans="1:9">
      <c r="A4659" s="113">
        <v>100790215</v>
      </c>
      <c r="B4659" s="113" t="s">
        <v>7116</v>
      </c>
      <c r="C4659" s="113">
        <v>7062369</v>
      </c>
      <c r="D4659" s="113" t="s">
        <v>7139</v>
      </c>
      <c r="E4659" s="113" t="s">
        <v>1620</v>
      </c>
      <c r="F4659" s="113" t="s">
        <v>7139</v>
      </c>
      <c r="G4659" s="113" t="s">
        <v>7145</v>
      </c>
      <c r="H4659" s="161">
        <v>0</v>
      </c>
      <c r="I4659" s="161" t="s">
        <v>7146</v>
      </c>
    </row>
    <row r="4660" spans="1:9">
      <c r="A4660" s="113">
        <v>100790216</v>
      </c>
      <c r="B4660" s="113" t="s">
        <v>7116</v>
      </c>
      <c r="C4660" s="113">
        <v>7062370</v>
      </c>
      <c r="D4660" s="113" t="s">
        <v>7139</v>
      </c>
      <c r="E4660" s="113" t="s">
        <v>1620</v>
      </c>
      <c r="F4660" s="113" t="s">
        <v>7139</v>
      </c>
      <c r="G4660" s="113" t="s">
        <v>7145</v>
      </c>
      <c r="H4660" s="161">
        <v>0</v>
      </c>
      <c r="I4660" s="161" t="s">
        <v>7146</v>
      </c>
    </row>
    <row r="4661" spans="1:9">
      <c r="A4661" s="113">
        <v>100790217</v>
      </c>
      <c r="B4661" s="113" t="s">
        <v>7116</v>
      </c>
      <c r="C4661" s="113">
        <v>7062371</v>
      </c>
      <c r="D4661" s="113" t="s">
        <v>7139</v>
      </c>
      <c r="E4661" s="113" t="s">
        <v>1620</v>
      </c>
      <c r="F4661" s="113" t="s">
        <v>7139</v>
      </c>
      <c r="G4661" s="115" t="s">
        <v>7145</v>
      </c>
      <c r="H4661" s="161">
        <v>0</v>
      </c>
      <c r="I4661" s="161" t="s">
        <v>7146</v>
      </c>
    </row>
    <row r="4662" spans="1:9">
      <c r="A4662" s="113">
        <v>100790218</v>
      </c>
      <c r="B4662" s="113" t="s">
        <v>7116</v>
      </c>
      <c r="C4662" s="113">
        <v>7062372</v>
      </c>
      <c r="D4662" s="113" t="s">
        <v>7139</v>
      </c>
      <c r="E4662" s="113" t="s">
        <v>1620</v>
      </c>
      <c r="F4662" s="113" t="s">
        <v>7139</v>
      </c>
      <c r="G4662" s="115" t="s">
        <v>7145</v>
      </c>
      <c r="H4662" s="161">
        <v>0</v>
      </c>
      <c r="I4662" s="161" t="s">
        <v>7146</v>
      </c>
    </row>
    <row r="4663" spans="1:9">
      <c r="A4663" s="113">
        <v>100790219</v>
      </c>
      <c r="B4663" s="113" t="s">
        <v>7116</v>
      </c>
      <c r="C4663" s="113">
        <v>7062373</v>
      </c>
      <c r="D4663" s="113" t="s">
        <v>7139</v>
      </c>
      <c r="E4663" s="113" t="s">
        <v>1620</v>
      </c>
      <c r="F4663" s="113" t="s">
        <v>7139</v>
      </c>
      <c r="G4663" s="115" t="s">
        <v>7145</v>
      </c>
      <c r="H4663" s="161">
        <v>0</v>
      </c>
      <c r="I4663" s="161" t="s">
        <v>7146</v>
      </c>
    </row>
    <row r="4664" spans="1:9">
      <c r="A4664" s="113">
        <v>100790220</v>
      </c>
      <c r="B4664" s="113" t="s">
        <v>7116</v>
      </c>
      <c r="C4664" s="113">
        <v>7062374</v>
      </c>
      <c r="D4664" s="113" t="s">
        <v>7139</v>
      </c>
      <c r="E4664" s="113" t="s">
        <v>1620</v>
      </c>
      <c r="F4664" s="113" t="s">
        <v>7139</v>
      </c>
      <c r="G4664" s="113" t="s">
        <v>7145</v>
      </c>
      <c r="H4664" s="161">
        <v>0</v>
      </c>
      <c r="I4664" s="161" t="s">
        <v>7146</v>
      </c>
    </row>
    <row r="4665" spans="1:9">
      <c r="A4665" s="113">
        <v>100790221</v>
      </c>
      <c r="B4665" s="113" t="s">
        <v>7116</v>
      </c>
      <c r="C4665" s="113">
        <v>7062375</v>
      </c>
      <c r="D4665" s="113" t="s">
        <v>7139</v>
      </c>
      <c r="E4665" s="113" t="s">
        <v>1620</v>
      </c>
      <c r="F4665" s="113" t="s">
        <v>7139</v>
      </c>
      <c r="G4665" s="113" t="s">
        <v>7145</v>
      </c>
      <c r="H4665" s="161">
        <v>0</v>
      </c>
      <c r="I4665" s="161" t="s">
        <v>7146</v>
      </c>
    </row>
    <row r="4666" spans="1:9">
      <c r="A4666" s="113">
        <v>100790222</v>
      </c>
      <c r="B4666" s="113" t="s">
        <v>7116</v>
      </c>
      <c r="C4666" s="113">
        <v>7062376</v>
      </c>
      <c r="D4666" s="113" t="s">
        <v>7139</v>
      </c>
      <c r="E4666" s="113" t="s">
        <v>1620</v>
      </c>
      <c r="F4666" s="113" t="s">
        <v>7139</v>
      </c>
      <c r="G4666" s="115" t="s">
        <v>7145</v>
      </c>
      <c r="H4666" s="161">
        <v>0</v>
      </c>
      <c r="I4666" s="161" t="s">
        <v>7146</v>
      </c>
    </row>
    <row r="4667" spans="1:9">
      <c r="A4667" s="113">
        <v>100790223</v>
      </c>
      <c r="B4667" s="113" t="s">
        <v>7116</v>
      </c>
      <c r="C4667" s="113">
        <v>7062377</v>
      </c>
      <c r="D4667" s="113" t="s">
        <v>7139</v>
      </c>
      <c r="E4667" s="113" t="s">
        <v>1620</v>
      </c>
      <c r="F4667" s="113" t="s">
        <v>7139</v>
      </c>
      <c r="G4667" s="113" t="s">
        <v>7145</v>
      </c>
      <c r="H4667" s="161">
        <v>0</v>
      </c>
      <c r="I4667" s="161" t="s">
        <v>7146</v>
      </c>
    </row>
    <row r="4668" spans="1:9">
      <c r="A4668" s="113">
        <v>100790224</v>
      </c>
      <c r="B4668" s="113" t="s">
        <v>7116</v>
      </c>
      <c r="C4668" s="113">
        <v>7062378</v>
      </c>
      <c r="D4668" s="113" t="s">
        <v>7139</v>
      </c>
      <c r="E4668" s="113" t="s">
        <v>1620</v>
      </c>
      <c r="F4668" s="113" t="s">
        <v>7139</v>
      </c>
      <c r="G4668" s="115" t="s">
        <v>7145</v>
      </c>
      <c r="H4668" s="161">
        <v>0</v>
      </c>
      <c r="I4668" s="161" t="s">
        <v>7146</v>
      </c>
    </row>
    <row r="4669" spans="1:9">
      <c r="A4669" s="113">
        <v>100790225</v>
      </c>
      <c r="B4669" s="113" t="s">
        <v>7116</v>
      </c>
      <c r="C4669" s="113">
        <v>7062379</v>
      </c>
      <c r="D4669" s="113" t="s">
        <v>7139</v>
      </c>
      <c r="E4669" s="113" t="s">
        <v>1620</v>
      </c>
      <c r="F4669" s="113" t="s">
        <v>7139</v>
      </c>
      <c r="G4669" s="115" t="s">
        <v>7145</v>
      </c>
      <c r="H4669" s="161">
        <v>0</v>
      </c>
      <c r="I4669" s="161" t="s">
        <v>7146</v>
      </c>
    </row>
    <row r="4670" spans="1:9">
      <c r="A4670" s="113">
        <v>100790226</v>
      </c>
      <c r="B4670" s="113" t="s">
        <v>7116</v>
      </c>
      <c r="C4670" s="113">
        <v>7062380</v>
      </c>
      <c r="D4670" s="113" t="s">
        <v>7139</v>
      </c>
      <c r="E4670" s="113" t="s">
        <v>1620</v>
      </c>
      <c r="F4670" s="113" t="s">
        <v>7139</v>
      </c>
      <c r="G4670" s="113" t="s">
        <v>7145</v>
      </c>
      <c r="H4670" s="161">
        <v>0</v>
      </c>
      <c r="I4670" s="161" t="s">
        <v>7146</v>
      </c>
    </row>
    <row r="4671" spans="1:9">
      <c r="A4671" s="113">
        <v>100790227</v>
      </c>
      <c r="B4671" s="113" t="s">
        <v>7116</v>
      </c>
      <c r="C4671" s="113">
        <v>7062381</v>
      </c>
      <c r="D4671" s="113" t="s">
        <v>7139</v>
      </c>
      <c r="E4671" s="113" t="s">
        <v>1620</v>
      </c>
      <c r="F4671" s="113" t="s">
        <v>7139</v>
      </c>
      <c r="G4671" s="113" t="s">
        <v>7145</v>
      </c>
      <c r="H4671" s="161">
        <v>0</v>
      </c>
      <c r="I4671" s="161" t="s">
        <v>7146</v>
      </c>
    </row>
    <row r="4672" spans="1:9">
      <c r="A4672" s="113">
        <v>100790228</v>
      </c>
      <c r="B4672" s="113" t="s">
        <v>7116</v>
      </c>
      <c r="C4672" s="113">
        <v>7062382</v>
      </c>
      <c r="D4672" s="113" t="s">
        <v>7139</v>
      </c>
      <c r="E4672" s="113" t="s">
        <v>1620</v>
      </c>
      <c r="F4672" s="113" t="s">
        <v>7139</v>
      </c>
      <c r="G4672" s="115" t="s">
        <v>7145</v>
      </c>
      <c r="H4672" s="161">
        <v>0</v>
      </c>
      <c r="I4672" s="161" t="s">
        <v>7146</v>
      </c>
    </row>
    <row r="4673" spans="1:9">
      <c r="A4673" s="113">
        <v>100790229</v>
      </c>
      <c r="B4673" s="113" t="s">
        <v>7116</v>
      </c>
      <c r="C4673" s="113">
        <v>7062383</v>
      </c>
      <c r="D4673" s="113" t="s">
        <v>7139</v>
      </c>
      <c r="E4673" s="113" t="s">
        <v>1620</v>
      </c>
      <c r="F4673" s="113" t="s">
        <v>7139</v>
      </c>
      <c r="G4673" s="115" t="s">
        <v>7145</v>
      </c>
      <c r="H4673" s="161">
        <v>0</v>
      </c>
      <c r="I4673" s="161" t="s">
        <v>7146</v>
      </c>
    </row>
    <row r="4674" spans="1:9">
      <c r="A4674" s="113">
        <v>100790230</v>
      </c>
      <c r="B4674" s="113" t="s">
        <v>7116</v>
      </c>
      <c r="C4674" s="113">
        <v>7062384</v>
      </c>
      <c r="D4674" s="113" t="s">
        <v>7139</v>
      </c>
      <c r="E4674" s="113" t="s">
        <v>1620</v>
      </c>
      <c r="F4674" s="113" t="s">
        <v>7139</v>
      </c>
      <c r="G4674" s="115" t="s">
        <v>7145</v>
      </c>
      <c r="H4674" s="161">
        <v>0</v>
      </c>
      <c r="I4674" s="161" t="s">
        <v>7146</v>
      </c>
    </row>
    <row r="4675" spans="1:9">
      <c r="A4675" s="113">
        <v>100790231</v>
      </c>
      <c r="B4675" s="113" t="s">
        <v>7116</v>
      </c>
      <c r="C4675" s="113">
        <v>7062385</v>
      </c>
      <c r="D4675" s="113" t="s">
        <v>7139</v>
      </c>
      <c r="E4675" s="113" t="s">
        <v>1620</v>
      </c>
      <c r="F4675" s="113" t="s">
        <v>7139</v>
      </c>
      <c r="G4675" s="113" t="s">
        <v>7145</v>
      </c>
      <c r="H4675" s="161">
        <v>0</v>
      </c>
      <c r="I4675" s="161" t="s">
        <v>7146</v>
      </c>
    </row>
    <row r="4676" spans="1:9">
      <c r="A4676" s="113">
        <v>100790232</v>
      </c>
      <c r="B4676" s="113" t="s">
        <v>7116</v>
      </c>
      <c r="C4676" s="113">
        <v>7062386</v>
      </c>
      <c r="D4676" s="113" t="s">
        <v>7139</v>
      </c>
      <c r="E4676" s="113" t="s">
        <v>1620</v>
      </c>
      <c r="F4676" s="113" t="s">
        <v>7139</v>
      </c>
      <c r="G4676" s="113" t="s">
        <v>7145</v>
      </c>
      <c r="H4676" s="161">
        <v>0</v>
      </c>
      <c r="I4676" s="161" t="s">
        <v>7146</v>
      </c>
    </row>
    <row r="4677" spans="1:9">
      <c r="A4677" s="113">
        <v>100790233</v>
      </c>
      <c r="B4677" s="113" t="s">
        <v>7116</v>
      </c>
      <c r="C4677" s="113">
        <v>7062387</v>
      </c>
      <c r="D4677" s="113" t="s">
        <v>7139</v>
      </c>
      <c r="E4677" s="113" t="s">
        <v>1620</v>
      </c>
      <c r="F4677" s="113" t="s">
        <v>7139</v>
      </c>
      <c r="G4677" s="113" t="s">
        <v>7145</v>
      </c>
      <c r="H4677" s="161">
        <v>0</v>
      </c>
      <c r="I4677" s="161" t="s">
        <v>7146</v>
      </c>
    </row>
    <row r="4678" spans="1:9">
      <c r="A4678" s="113">
        <v>100790234</v>
      </c>
      <c r="B4678" s="113" t="s">
        <v>7116</v>
      </c>
      <c r="C4678" s="113">
        <v>7062388</v>
      </c>
      <c r="D4678" s="113" t="s">
        <v>7139</v>
      </c>
      <c r="E4678" s="113" t="s">
        <v>1620</v>
      </c>
      <c r="F4678" s="113" t="s">
        <v>7139</v>
      </c>
      <c r="G4678" s="113" t="s">
        <v>7145</v>
      </c>
      <c r="H4678" s="161">
        <v>0</v>
      </c>
      <c r="I4678" s="161" t="s">
        <v>7146</v>
      </c>
    </row>
    <row r="4679" spans="1:9">
      <c r="A4679" s="113">
        <v>100790235</v>
      </c>
      <c r="B4679" s="113" t="s">
        <v>7116</v>
      </c>
      <c r="C4679" s="113">
        <v>7062389</v>
      </c>
      <c r="D4679" s="113" t="s">
        <v>7139</v>
      </c>
      <c r="E4679" s="113" t="s">
        <v>1620</v>
      </c>
      <c r="F4679" s="113" t="s">
        <v>7139</v>
      </c>
      <c r="G4679" s="115" t="s">
        <v>7145</v>
      </c>
      <c r="H4679" s="161">
        <v>0</v>
      </c>
      <c r="I4679" s="161" t="s">
        <v>7146</v>
      </c>
    </row>
    <row r="4680" spans="1:9">
      <c r="A4680" s="113">
        <v>100790236</v>
      </c>
      <c r="B4680" s="113" t="s">
        <v>7116</v>
      </c>
      <c r="C4680" s="113">
        <v>7062390</v>
      </c>
      <c r="D4680" s="113" t="s">
        <v>7139</v>
      </c>
      <c r="E4680" s="113" t="s">
        <v>1620</v>
      </c>
      <c r="F4680" s="113" t="s">
        <v>7139</v>
      </c>
      <c r="G4680" s="113" t="s">
        <v>7145</v>
      </c>
      <c r="H4680" s="161">
        <v>0</v>
      </c>
      <c r="I4680" s="161" t="s">
        <v>7146</v>
      </c>
    </row>
    <row r="4681" spans="1:9">
      <c r="A4681" s="113">
        <v>100790237</v>
      </c>
      <c r="B4681" s="113" t="s">
        <v>7116</v>
      </c>
      <c r="C4681" s="113">
        <v>7062391</v>
      </c>
      <c r="D4681" s="113" t="s">
        <v>7139</v>
      </c>
      <c r="E4681" s="113" t="s">
        <v>1620</v>
      </c>
      <c r="F4681" s="113" t="s">
        <v>7139</v>
      </c>
      <c r="G4681" s="113" t="s">
        <v>7145</v>
      </c>
      <c r="H4681" s="161">
        <v>0</v>
      </c>
      <c r="I4681" s="161" t="s">
        <v>7146</v>
      </c>
    </row>
    <row r="4682" spans="1:9">
      <c r="A4682" s="113">
        <v>100790238</v>
      </c>
      <c r="B4682" s="113" t="s">
        <v>7116</v>
      </c>
      <c r="C4682" s="113">
        <v>7062392</v>
      </c>
      <c r="D4682" s="113" t="s">
        <v>7139</v>
      </c>
      <c r="E4682" s="113" t="s">
        <v>1620</v>
      </c>
      <c r="F4682" s="113" t="s">
        <v>7139</v>
      </c>
      <c r="G4682" s="113" t="s">
        <v>7145</v>
      </c>
      <c r="H4682" s="161">
        <v>0</v>
      </c>
      <c r="I4682" s="161" t="s">
        <v>7146</v>
      </c>
    </row>
    <row r="4683" spans="1:9">
      <c r="A4683" s="113">
        <v>100790239</v>
      </c>
      <c r="B4683" s="113" t="s">
        <v>7116</v>
      </c>
      <c r="C4683" s="113">
        <v>7062393</v>
      </c>
      <c r="D4683" s="113" t="s">
        <v>7139</v>
      </c>
      <c r="E4683" s="113" t="s">
        <v>1620</v>
      </c>
      <c r="F4683" s="113" t="s">
        <v>7139</v>
      </c>
      <c r="G4683" s="115" t="s">
        <v>7145</v>
      </c>
      <c r="H4683" s="161">
        <v>0</v>
      </c>
      <c r="I4683" s="161" t="s">
        <v>7146</v>
      </c>
    </row>
    <row r="4684" spans="1:9">
      <c r="A4684" s="113">
        <v>100790240</v>
      </c>
      <c r="B4684" s="113" t="s">
        <v>7116</v>
      </c>
      <c r="C4684" s="113">
        <v>7062395</v>
      </c>
      <c r="D4684" s="113" t="s">
        <v>7139</v>
      </c>
      <c r="E4684" s="113" t="s">
        <v>1620</v>
      </c>
      <c r="F4684" s="113" t="s">
        <v>7139</v>
      </c>
      <c r="G4684" s="115" t="s">
        <v>7145</v>
      </c>
      <c r="H4684" s="161">
        <v>0</v>
      </c>
      <c r="I4684" s="161" t="s">
        <v>7146</v>
      </c>
    </row>
    <row r="4685" spans="1:9">
      <c r="A4685" s="113">
        <v>100790241</v>
      </c>
      <c r="B4685" s="113" t="s">
        <v>7116</v>
      </c>
      <c r="C4685" s="113">
        <v>7062396</v>
      </c>
      <c r="D4685" s="113" t="s">
        <v>7139</v>
      </c>
      <c r="E4685" s="113" t="s">
        <v>1620</v>
      </c>
      <c r="F4685" s="113" t="s">
        <v>7139</v>
      </c>
      <c r="G4685" s="115" t="s">
        <v>7145</v>
      </c>
      <c r="H4685" s="161">
        <v>0</v>
      </c>
      <c r="I4685" s="161" t="s">
        <v>7146</v>
      </c>
    </row>
    <row r="4686" spans="1:9">
      <c r="A4686" s="113">
        <v>100790242</v>
      </c>
      <c r="B4686" s="113" t="s">
        <v>7116</v>
      </c>
      <c r="C4686" s="113">
        <v>7062397</v>
      </c>
      <c r="D4686" s="113" t="s">
        <v>7139</v>
      </c>
      <c r="E4686" s="113" t="s">
        <v>1620</v>
      </c>
      <c r="F4686" s="113" t="s">
        <v>7139</v>
      </c>
      <c r="G4686" s="113" t="s">
        <v>7145</v>
      </c>
      <c r="H4686" s="161">
        <v>0</v>
      </c>
      <c r="I4686" s="161" t="s">
        <v>7146</v>
      </c>
    </row>
    <row r="4687" spans="1:9">
      <c r="A4687" s="113">
        <v>100790243</v>
      </c>
      <c r="B4687" s="113" t="s">
        <v>7116</v>
      </c>
      <c r="C4687" s="113">
        <v>7062398</v>
      </c>
      <c r="D4687" s="113" t="s">
        <v>7139</v>
      </c>
      <c r="E4687" s="113" t="s">
        <v>1620</v>
      </c>
      <c r="F4687" s="113" t="s">
        <v>7139</v>
      </c>
      <c r="G4687" s="113" t="s">
        <v>7145</v>
      </c>
      <c r="H4687" s="161">
        <v>0</v>
      </c>
      <c r="I4687" s="161" t="s">
        <v>7146</v>
      </c>
    </row>
    <row r="4688" spans="1:9">
      <c r="A4688" s="113">
        <v>100790245</v>
      </c>
      <c r="B4688" s="113" t="s">
        <v>7116</v>
      </c>
      <c r="C4688" s="113">
        <v>7062400</v>
      </c>
      <c r="D4688" s="113" t="s">
        <v>7139</v>
      </c>
      <c r="E4688" s="113" t="s">
        <v>1620</v>
      </c>
      <c r="F4688" s="113" t="s">
        <v>7139</v>
      </c>
      <c r="G4688" s="115" t="s">
        <v>7145</v>
      </c>
      <c r="H4688" s="161">
        <v>0</v>
      </c>
      <c r="I4688" s="161" t="s">
        <v>7146</v>
      </c>
    </row>
    <row r="4689" spans="1:9">
      <c r="A4689" s="113">
        <v>100790246</v>
      </c>
      <c r="B4689" s="113" t="s">
        <v>7116</v>
      </c>
      <c r="C4689" s="113">
        <v>7062401</v>
      </c>
      <c r="D4689" s="113" t="s">
        <v>7139</v>
      </c>
      <c r="E4689" s="113" t="s">
        <v>1620</v>
      </c>
      <c r="F4689" s="113" t="s">
        <v>7139</v>
      </c>
      <c r="G4689" s="115" t="s">
        <v>7145</v>
      </c>
      <c r="H4689" s="161">
        <v>0</v>
      </c>
      <c r="I4689" s="161" t="s">
        <v>7146</v>
      </c>
    </row>
    <row r="4690" spans="1:9">
      <c r="A4690" s="113">
        <v>100790247</v>
      </c>
      <c r="B4690" s="113" t="s">
        <v>7116</v>
      </c>
      <c r="C4690" s="113">
        <v>7062402</v>
      </c>
      <c r="D4690" s="113" t="s">
        <v>7139</v>
      </c>
      <c r="E4690" s="113" t="s">
        <v>1620</v>
      </c>
      <c r="F4690" s="113" t="s">
        <v>7139</v>
      </c>
      <c r="G4690" s="115" t="s">
        <v>7145</v>
      </c>
      <c r="H4690" s="161">
        <v>0</v>
      </c>
      <c r="I4690" s="161" t="s">
        <v>7146</v>
      </c>
    </row>
    <row r="4691" spans="1:9">
      <c r="A4691" s="113">
        <v>100790248</v>
      </c>
      <c r="B4691" s="113" t="s">
        <v>7116</v>
      </c>
      <c r="C4691" s="113">
        <v>7062403</v>
      </c>
      <c r="D4691" s="113" t="s">
        <v>7139</v>
      </c>
      <c r="E4691" s="113" t="s">
        <v>1620</v>
      </c>
      <c r="F4691" s="113" t="s">
        <v>7139</v>
      </c>
      <c r="G4691" s="113" t="s">
        <v>7145</v>
      </c>
      <c r="H4691" s="161">
        <v>0</v>
      </c>
      <c r="I4691" s="161" t="s">
        <v>7146</v>
      </c>
    </row>
    <row r="4692" spans="1:9">
      <c r="A4692" s="113">
        <v>100790249</v>
      </c>
      <c r="B4692" s="113" t="s">
        <v>7116</v>
      </c>
      <c r="C4692" s="113">
        <v>7062404</v>
      </c>
      <c r="D4692" s="113" t="s">
        <v>7139</v>
      </c>
      <c r="E4692" s="113" t="s">
        <v>1620</v>
      </c>
      <c r="F4692" s="113" t="s">
        <v>7139</v>
      </c>
      <c r="G4692" s="115" t="s">
        <v>7145</v>
      </c>
      <c r="H4692" s="161">
        <v>0</v>
      </c>
      <c r="I4692" s="161" t="s">
        <v>7146</v>
      </c>
    </row>
    <row r="4693" spans="1:9">
      <c r="A4693" s="113">
        <v>100790250</v>
      </c>
      <c r="B4693" s="113" t="s">
        <v>7116</v>
      </c>
      <c r="C4693" s="113">
        <v>7062405</v>
      </c>
      <c r="D4693" s="113" t="s">
        <v>7139</v>
      </c>
      <c r="E4693" s="113" t="s">
        <v>1620</v>
      </c>
      <c r="F4693" s="113" t="s">
        <v>7139</v>
      </c>
      <c r="G4693" s="115" t="s">
        <v>7145</v>
      </c>
      <c r="H4693" s="161">
        <v>0</v>
      </c>
      <c r="I4693" s="161" t="s">
        <v>7146</v>
      </c>
    </row>
    <row r="4694" spans="1:9">
      <c r="A4694" s="113">
        <v>100790251</v>
      </c>
      <c r="B4694" s="113" t="s">
        <v>7116</v>
      </c>
      <c r="C4694" s="113">
        <v>7062406</v>
      </c>
      <c r="D4694" s="113" t="s">
        <v>7139</v>
      </c>
      <c r="E4694" s="113" t="s">
        <v>1620</v>
      </c>
      <c r="F4694" s="113" t="s">
        <v>7139</v>
      </c>
      <c r="G4694" s="115" t="s">
        <v>7145</v>
      </c>
      <c r="H4694" s="161">
        <v>0</v>
      </c>
      <c r="I4694" s="161" t="s">
        <v>7146</v>
      </c>
    </row>
    <row r="4695" spans="1:9">
      <c r="A4695" s="113">
        <v>100790252</v>
      </c>
      <c r="B4695" s="113" t="s">
        <v>7116</v>
      </c>
      <c r="C4695" s="113">
        <v>7062407</v>
      </c>
      <c r="D4695" s="113" t="s">
        <v>7139</v>
      </c>
      <c r="E4695" s="113" t="s">
        <v>1620</v>
      </c>
      <c r="F4695" s="113" t="s">
        <v>7139</v>
      </c>
      <c r="G4695" s="115" t="s">
        <v>7145</v>
      </c>
      <c r="H4695" s="161">
        <v>0</v>
      </c>
      <c r="I4695" s="161" t="s">
        <v>7146</v>
      </c>
    </row>
    <row r="4696" spans="1:9">
      <c r="A4696" s="113">
        <v>100790254</v>
      </c>
      <c r="B4696" s="113" t="s">
        <v>7116</v>
      </c>
      <c r="C4696" s="113">
        <v>7062417</v>
      </c>
      <c r="D4696" s="113" t="s">
        <v>7139</v>
      </c>
      <c r="E4696" s="113" t="s">
        <v>1620</v>
      </c>
      <c r="F4696" s="113" t="s">
        <v>7139</v>
      </c>
      <c r="G4696" s="113" t="s">
        <v>7145</v>
      </c>
      <c r="H4696" s="161">
        <v>0</v>
      </c>
      <c r="I4696" s="161" t="s">
        <v>7146</v>
      </c>
    </row>
    <row r="4697" spans="1:9">
      <c r="A4697" s="113">
        <v>100790255</v>
      </c>
      <c r="B4697" s="113" t="s">
        <v>7116</v>
      </c>
      <c r="C4697" s="113">
        <v>7062420</v>
      </c>
      <c r="D4697" s="113" t="s">
        <v>7139</v>
      </c>
      <c r="E4697" s="113" t="s">
        <v>1620</v>
      </c>
      <c r="F4697" s="113" t="s">
        <v>7139</v>
      </c>
      <c r="G4697" s="115" t="s">
        <v>7145</v>
      </c>
      <c r="H4697" s="161">
        <v>0</v>
      </c>
      <c r="I4697" s="161" t="s">
        <v>7146</v>
      </c>
    </row>
    <row r="4698" spans="1:9">
      <c r="A4698" s="113">
        <v>100790256</v>
      </c>
      <c r="B4698" s="113" t="s">
        <v>7116</v>
      </c>
      <c r="C4698" s="113">
        <v>7062421</v>
      </c>
      <c r="D4698" s="113" t="s">
        <v>7139</v>
      </c>
      <c r="E4698" s="113" t="s">
        <v>1620</v>
      </c>
      <c r="F4698" s="113" t="s">
        <v>7139</v>
      </c>
      <c r="G4698" s="115" t="s">
        <v>7145</v>
      </c>
      <c r="H4698" s="161">
        <v>0</v>
      </c>
      <c r="I4698" s="161" t="s">
        <v>7146</v>
      </c>
    </row>
    <row r="4699" spans="1:9">
      <c r="A4699" s="113">
        <v>100790257</v>
      </c>
      <c r="B4699" s="113" t="s">
        <v>7116</v>
      </c>
      <c r="C4699" s="113">
        <v>7062422</v>
      </c>
      <c r="D4699" s="113" t="s">
        <v>7139</v>
      </c>
      <c r="E4699" s="113" t="s">
        <v>1620</v>
      </c>
      <c r="F4699" s="113" t="s">
        <v>7139</v>
      </c>
      <c r="G4699" s="115" t="s">
        <v>7145</v>
      </c>
      <c r="H4699" s="161">
        <v>0</v>
      </c>
      <c r="I4699" s="161" t="s">
        <v>7146</v>
      </c>
    </row>
    <row r="4700" spans="1:9">
      <c r="A4700" s="113">
        <v>100790258</v>
      </c>
      <c r="B4700" s="113" t="s">
        <v>7116</v>
      </c>
      <c r="C4700" s="113">
        <v>7062423</v>
      </c>
      <c r="D4700" s="113" t="s">
        <v>7139</v>
      </c>
      <c r="E4700" s="113" t="s">
        <v>1620</v>
      </c>
      <c r="F4700" s="113" t="s">
        <v>7139</v>
      </c>
      <c r="G4700" s="113" t="s">
        <v>7145</v>
      </c>
      <c r="H4700" s="161">
        <v>0</v>
      </c>
      <c r="I4700" s="161" t="s">
        <v>7146</v>
      </c>
    </row>
    <row r="4701" spans="1:9">
      <c r="A4701" s="113">
        <v>100790259</v>
      </c>
      <c r="B4701" s="113" t="s">
        <v>7116</v>
      </c>
      <c r="C4701" s="113">
        <v>7062442</v>
      </c>
      <c r="D4701" s="113" t="s">
        <v>7139</v>
      </c>
      <c r="E4701" s="113" t="s">
        <v>1620</v>
      </c>
      <c r="F4701" s="113" t="s">
        <v>7139</v>
      </c>
      <c r="G4701" s="115" t="s">
        <v>7145</v>
      </c>
      <c r="H4701" s="161">
        <v>0</v>
      </c>
      <c r="I4701" s="161" t="s">
        <v>7146</v>
      </c>
    </row>
    <row r="4702" spans="1:9">
      <c r="A4702" s="113">
        <v>100790260</v>
      </c>
      <c r="B4702" s="113" t="s">
        <v>7116</v>
      </c>
      <c r="C4702" s="113">
        <v>7062444</v>
      </c>
      <c r="D4702" s="113" t="s">
        <v>7139</v>
      </c>
      <c r="E4702" s="113" t="s">
        <v>1620</v>
      </c>
      <c r="F4702" s="113" t="s">
        <v>7139</v>
      </c>
      <c r="G4702" s="113" t="s">
        <v>7145</v>
      </c>
      <c r="H4702" s="161">
        <v>0</v>
      </c>
      <c r="I4702" s="161" t="s">
        <v>7146</v>
      </c>
    </row>
    <row r="4703" spans="1:9">
      <c r="A4703" s="113">
        <v>100790261</v>
      </c>
      <c r="B4703" s="113" t="s">
        <v>7116</v>
      </c>
      <c r="C4703" s="113">
        <v>7062446</v>
      </c>
      <c r="D4703" s="113" t="s">
        <v>7139</v>
      </c>
      <c r="E4703" s="113" t="s">
        <v>1620</v>
      </c>
      <c r="F4703" s="113" t="s">
        <v>7139</v>
      </c>
      <c r="G4703" s="113" t="s">
        <v>7145</v>
      </c>
      <c r="H4703" s="161">
        <v>0</v>
      </c>
      <c r="I4703" s="161" t="s">
        <v>7146</v>
      </c>
    </row>
    <row r="4704" spans="1:9">
      <c r="A4704" s="113">
        <v>100790263</v>
      </c>
      <c r="B4704" s="113" t="s">
        <v>7116</v>
      </c>
      <c r="C4704" s="113">
        <v>7062448</v>
      </c>
      <c r="D4704" s="113" t="s">
        <v>7139</v>
      </c>
      <c r="E4704" s="113" t="s">
        <v>1620</v>
      </c>
      <c r="F4704" s="113" t="s">
        <v>7139</v>
      </c>
      <c r="G4704" s="113" t="s">
        <v>7145</v>
      </c>
      <c r="H4704" s="161">
        <v>0</v>
      </c>
      <c r="I4704" s="161" t="s">
        <v>7146</v>
      </c>
    </row>
    <row r="4705" spans="1:9">
      <c r="A4705" s="113">
        <v>100790264</v>
      </c>
      <c r="B4705" s="113" t="s">
        <v>7116</v>
      </c>
      <c r="C4705" s="113">
        <v>7062451</v>
      </c>
      <c r="D4705" s="113" t="s">
        <v>7139</v>
      </c>
      <c r="E4705" s="113" t="s">
        <v>1620</v>
      </c>
      <c r="F4705" s="113" t="s">
        <v>7139</v>
      </c>
      <c r="G4705" s="113" t="s">
        <v>7145</v>
      </c>
      <c r="H4705" s="161">
        <v>0</v>
      </c>
      <c r="I4705" s="161" t="s">
        <v>7146</v>
      </c>
    </row>
    <row r="4706" spans="1:9">
      <c r="A4706" s="113">
        <v>100790267</v>
      </c>
      <c r="B4706" s="113" t="s">
        <v>7116</v>
      </c>
      <c r="C4706" s="113">
        <v>7062456</v>
      </c>
      <c r="D4706" s="113" t="s">
        <v>7139</v>
      </c>
      <c r="E4706" s="113" t="s">
        <v>1620</v>
      </c>
      <c r="F4706" s="113" t="s">
        <v>7139</v>
      </c>
      <c r="G4706" s="113" t="s">
        <v>7145</v>
      </c>
      <c r="H4706" s="161">
        <v>0</v>
      </c>
      <c r="I4706" s="161" t="s">
        <v>7146</v>
      </c>
    </row>
    <row r="4707" spans="1:9">
      <c r="A4707" s="113">
        <v>100790269</v>
      </c>
      <c r="B4707" s="113" t="s">
        <v>7116</v>
      </c>
      <c r="C4707" s="113">
        <v>7062459</v>
      </c>
      <c r="D4707" s="113" t="s">
        <v>7139</v>
      </c>
      <c r="E4707" s="113" t="s">
        <v>1620</v>
      </c>
      <c r="F4707" s="113" t="s">
        <v>7139</v>
      </c>
      <c r="G4707" s="113" t="s">
        <v>7145</v>
      </c>
      <c r="H4707" s="161">
        <v>0</v>
      </c>
      <c r="I4707" s="161" t="s">
        <v>7146</v>
      </c>
    </row>
    <row r="4708" spans="1:9">
      <c r="A4708" s="113">
        <v>100790270</v>
      </c>
      <c r="B4708" s="113" t="s">
        <v>7116</v>
      </c>
      <c r="C4708" s="113">
        <v>7062462</v>
      </c>
      <c r="D4708" s="113" t="s">
        <v>7139</v>
      </c>
      <c r="E4708" s="113" t="s">
        <v>1620</v>
      </c>
      <c r="F4708" s="113" t="s">
        <v>7139</v>
      </c>
      <c r="G4708" s="113" t="s">
        <v>7145</v>
      </c>
      <c r="H4708" s="161">
        <v>0</v>
      </c>
      <c r="I4708" s="161" t="s">
        <v>7146</v>
      </c>
    </row>
    <row r="4709" spans="1:9">
      <c r="A4709" s="113">
        <v>100790272</v>
      </c>
      <c r="B4709" s="113" t="s">
        <v>7116</v>
      </c>
      <c r="C4709" s="113">
        <v>7062464</v>
      </c>
      <c r="D4709" s="113" t="s">
        <v>7139</v>
      </c>
      <c r="E4709" s="113" t="s">
        <v>1620</v>
      </c>
      <c r="F4709" s="113" t="s">
        <v>7139</v>
      </c>
      <c r="G4709" s="113" t="s">
        <v>7145</v>
      </c>
      <c r="H4709" s="161">
        <v>0</v>
      </c>
      <c r="I4709" s="161" t="s">
        <v>7146</v>
      </c>
    </row>
    <row r="4710" spans="1:9">
      <c r="A4710" s="113">
        <v>100790273</v>
      </c>
      <c r="B4710" s="113" t="s">
        <v>7116</v>
      </c>
      <c r="C4710" s="113">
        <v>7062478</v>
      </c>
      <c r="D4710" s="113" t="s">
        <v>7139</v>
      </c>
      <c r="E4710" s="113" t="s">
        <v>1620</v>
      </c>
      <c r="F4710" s="113" t="s">
        <v>7139</v>
      </c>
      <c r="G4710" s="113" t="s">
        <v>7145</v>
      </c>
      <c r="H4710" s="161">
        <v>0</v>
      </c>
      <c r="I4710" s="161" t="s">
        <v>7146</v>
      </c>
    </row>
    <row r="4711" spans="1:9">
      <c r="A4711" s="113">
        <v>100790274</v>
      </c>
      <c r="B4711" s="113" t="s">
        <v>7116</v>
      </c>
      <c r="C4711" s="113">
        <v>7062479</v>
      </c>
      <c r="D4711" s="113" t="s">
        <v>7139</v>
      </c>
      <c r="E4711" s="113" t="s">
        <v>1620</v>
      </c>
      <c r="F4711" s="113" t="s">
        <v>7139</v>
      </c>
      <c r="G4711" s="113" t="s">
        <v>7145</v>
      </c>
      <c r="H4711" s="161">
        <v>0</v>
      </c>
      <c r="I4711" s="161" t="s">
        <v>7146</v>
      </c>
    </row>
    <row r="4712" spans="1:9">
      <c r="A4712" s="113">
        <v>100790275</v>
      </c>
      <c r="B4712" s="113" t="s">
        <v>7116</v>
      </c>
      <c r="C4712" s="113">
        <v>7062485</v>
      </c>
      <c r="D4712" s="113" t="s">
        <v>7139</v>
      </c>
      <c r="E4712" s="113" t="s">
        <v>1620</v>
      </c>
      <c r="F4712" s="113" t="s">
        <v>7139</v>
      </c>
      <c r="G4712" s="113" t="s">
        <v>7145</v>
      </c>
      <c r="H4712" s="161">
        <v>0</v>
      </c>
      <c r="I4712" s="161" t="s">
        <v>7146</v>
      </c>
    </row>
    <row r="4713" spans="1:9">
      <c r="A4713" s="113">
        <v>100790276</v>
      </c>
      <c r="B4713" s="113" t="s">
        <v>7116</v>
      </c>
      <c r="C4713" s="113">
        <v>7062487</v>
      </c>
      <c r="D4713" s="113" t="s">
        <v>7139</v>
      </c>
      <c r="E4713" s="113" t="s">
        <v>1620</v>
      </c>
      <c r="F4713" s="113" t="s">
        <v>7139</v>
      </c>
      <c r="G4713" s="113" t="s">
        <v>7145</v>
      </c>
      <c r="H4713" s="161">
        <v>0</v>
      </c>
      <c r="I4713" s="161" t="s">
        <v>7146</v>
      </c>
    </row>
    <row r="4714" spans="1:9">
      <c r="A4714" s="113">
        <v>100790277</v>
      </c>
      <c r="B4714" s="113" t="s">
        <v>7116</v>
      </c>
      <c r="C4714" s="113">
        <v>7062489</v>
      </c>
      <c r="D4714" s="113" t="s">
        <v>7139</v>
      </c>
      <c r="E4714" s="113" t="s">
        <v>1620</v>
      </c>
      <c r="F4714" s="113" t="s">
        <v>7139</v>
      </c>
      <c r="G4714" s="113" t="s">
        <v>7145</v>
      </c>
      <c r="H4714" s="161">
        <v>0</v>
      </c>
      <c r="I4714" s="161" t="s">
        <v>7146</v>
      </c>
    </row>
    <row r="4715" spans="1:9">
      <c r="A4715" s="113">
        <v>100790278</v>
      </c>
      <c r="B4715" s="113" t="s">
        <v>7116</v>
      </c>
      <c r="C4715" s="113">
        <v>7062490</v>
      </c>
      <c r="D4715" s="113" t="s">
        <v>7139</v>
      </c>
      <c r="E4715" s="113" t="s">
        <v>1620</v>
      </c>
      <c r="F4715" s="113" t="s">
        <v>7139</v>
      </c>
      <c r="G4715" s="113" t="s">
        <v>7145</v>
      </c>
      <c r="H4715" s="161">
        <v>0</v>
      </c>
      <c r="I4715" s="161" t="s">
        <v>7146</v>
      </c>
    </row>
    <row r="4716" spans="1:9">
      <c r="A4716" s="113">
        <v>100790280</v>
      </c>
      <c r="B4716" s="113" t="s">
        <v>7116</v>
      </c>
      <c r="C4716" s="113">
        <v>7062494</v>
      </c>
      <c r="D4716" s="113" t="s">
        <v>7139</v>
      </c>
      <c r="E4716" s="113" t="s">
        <v>1620</v>
      </c>
      <c r="F4716" s="113" t="s">
        <v>7139</v>
      </c>
      <c r="G4716" s="113" t="s">
        <v>7145</v>
      </c>
      <c r="H4716" s="161">
        <v>0</v>
      </c>
      <c r="I4716" s="161" t="s">
        <v>7146</v>
      </c>
    </row>
    <row r="4717" spans="1:9">
      <c r="A4717" s="113">
        <v>100790282</v>
      </c>
      <c r="B4717" s="113" t="s">
        <v>7116</v>
      </c>
      <c r="C4717" s="113">
        <v>7062496</v>
      </c>
      <c r="D4717" s="113" t="s">
        <v>7139</v>
      </c>
      <c r="E4717" s="113" t="s">
        <v>1620</v>
      </c>
      <c r="F4717" s="113" t="s">
        <v>7139</v>
      </c>
      <c r="G4717" s="113" t="s">
        <v>7145</v>
      </c>
      <c r="H4717" s="161">
        <v>0</v>
      </c>
      <c r="I4717" s="161" t="s">
        <v>7146</v>
      </c>
    </row>
    <row r="4718" spans="1:9">
      <c r="A4718" s="113">
        <v>100790283</v>
      </c>
      <c r="B4718" s="113" t="s">
        <v>7116</v>
      </c>
      <c r="C4718" s="113">
        <v>7062497</v>
      </c>
      <c r="D4718" s="113" t="s">
        <v>7139</v>
      </c>
      <c r="E4718" s="113" t="s">
        <v>1620</v>
      </c>
      <c r="F4718" s="113" t="s">
        <v>7139</v>
      </c>
      <c r="G4718" s="113" t="s">
        <v>7145</v>
      </c>
      <c r="H4718" s="161">
        <v>0</v>
      </c>
      <c r="I4718" s="161" t="s">
        <v>7146</v>
      </c>
    </row>
    <row r="4719" spans="1:9">
      <c r="A4719" s="113">
        <v>100790284</v>
      </c>
      <c r="B4719" s="113" t="s">
        <v>7116</v>
      </c>
      <c r="C4719" s="113">
        <v>7062498</v>
      </c>
      <c r="D4719" s="113" t="s">
        <v>7139</v>
      </c>
      <c r="E4719" s="113" t="s">
        <v>1620</v>
      </c>
      <c r="F4719" s="113" t="s">
        <v>7139</v>
      </c>
      <c r="G4719" s="113" t="s">
        <v>7145</v>
      </c>
      <c r="H4719" s="161">
        <v>0</v>
      </c>
      <c r="I4719" s="161" t="s">
        <v>7146</v>
      </c>
    </row>
    <row r="4720" spans="1:9">
      <c r="A4720" s="113">
        <v>100790285</v>
      </c>
      <c r="B4720" s="113" t="s">
        <v>7116</v>
      </c>
      <c r="C4720" s="113">
        <v>7062499</v>
      </c>
      <c r="D4720" s="113" t="s">
        <v>7139</v>
      </c>
      <c r="E4720" s="113" t="s">
        <v>1620</v>
      </c>
      <c r="F4720" s="113" t="s">
        <v>7139</v>
      </c>
      <c r="G4720" s="113" t="s">
        <v>7145</v>
      </c>
      <c r="H4720" s="161">
        <v>0</v>
      </c>
      <c r="I4720" s="161" t="s">
        <v>7146</v>
      </c>
    </row>
    <row r="4721" spans="1:9">
      <c r="A4721" s="113">
        <v>100790286</v>
      </c>
      <c r="B4721" s="113" t="s">
        <v>7116</v>
      </c>
      <c r="C4721" s="113">
        <v>7062500</v>
      </c>
      <c r="D4721" s="113" t="s">
        <v>7139</v>
      </c>
      <c r="E4721" s="113" t="s">
        <v>1620</v>
      </c>
      <c r="F4721" s="113" t="s">
        <v>7139</v>
      </c>
      <c r="G4721" s="113" t="s">
        <v>7145</v>
      </c>
      <c r="H4721" s="161">
        <v>0</v>
      </c>
      <c r="I4721" s="161" t="s">
        <v>7146</v>
      </c>
    </row>
    <row r="4722" spans="1:9">
      <c r="A4722" s="113">
        <v>100790287</v>
      </c>
      <c r="B4722" s="113" t="s">
        <v>7116</v>
      </c>
      <c r="C4722" s="113">
        <v>7062501</v>
      </c>
      <c r="D4722" s="113" t="s">
        <v>7139</v>
      </c>
      <c r="E4722" s="113" t="s">
        <v>1620</v>
      </c>
      <c r="F4722" s="113" t="s">
        <v>7139</v>
      </c>
      <c r="G4722" s="113" t="s">
        <v>7145</v>
      </c>
      <c r="H4722" s="161">
        <v>0</v>
      </c>
      <c r="I4722" s="161" t="s">
        <v>7146</v>
      </c>
    </row>
    <row r="4723" spans="1:9">
      <c r="A4723" s="113">
        <v>100790288</v>
      </c>
      <c r="B4723" s="113" t="s">
        <v>7116</v>
      </c>
      <c r="C4723" s="113">
        <v>7062502</v>
      </c>
      <c r="D4723" s="113" t="s">
        <v>7139</v>
      </c>
      <c r="E4723" s="113" t="s">
        <v>1620</v>
      </c>
      <c r="F4723" s="113" t="s">
        <v>7139</v>
      </c>
      <c r="G4723" s="113" t="s">
        <v>7145</v>
      </c>
      <c r="H4723" s="161">
        <v>0</v>
      </c>
      <c r="I4723" s="161" t="s">
        <v>7146</v>
      </c>
    </row>
    <row r="4724" spans="1:9">
      <c r="A4724" s="113">
        <v>100790289</v>
      </c>
      <c r="B4724" s="113" t="s">
        <v>7116</v>
      </c>
      <c r="C4724" s="113">
        <v>7062506</v>
      </c>
      <c r="D4724" s="113" t="s">
        <v>7139</v>
      </c>
      <c r="E4724" s="113" t="s">
        <v>1620</v>
      </c>
      <c r="F4724" s="113" t="s">
        <v>7139</v>
      </c>
      <c r="G4724" s="113" t="s">
        <v>7145</v>
      </c>
      <c r="H4724" s="161">
        <v>0</v>
      </c>
      <c r="I4724" s="161" t="s">
        <v>7146</v>
      </c>
    </row>
    <row r="4725" spans="1:9">
      <c r="A4725" s="113">
        <v>100790290</v>
      </c>
      <c r="B4725" s="113" t="s">
        <v>7116</v>
      </c>
      <c r="C4725" s="113">
        <v>7062509</v>
      </c>
      <c r="D4725" s="113" t="s">
        <v>7139</v>
      </c>
      <c r="E4725" s="113" t="s">
        <v>1620</v>
      </c>
      <c r="F4725" s="113" t="s">
        <v>7139</v>
      </c>
      <c r="G4725" s="113" t="s">
        <v>7145</v>
      </c>
      <c r="H4725" s="161">
        <v>0</v>
      </c>
      <c r="I4725" s="161" t="s">
        <v>7146</v>
      </c>
    </row>
    <row r="4726" spans="1:9">
      <c r="A4726" s="113">
        <v>100790291</v>
      </c>
      <c r="B4726" s="113" t="s">
        <v>7116</v>
      </c>
      <c r="C4726" s="113">
        <v>7062510</v>
      </c>
      <c r="D4726" s="113" t="s">
        <v>7139</v>
      </c>
      <c r="E4726" s="113" t="s">
        <v>1620</v>
      </c>
      <c r="F4726" s="113" t="s">
        <v>7139</v>
      </c>
      <c r="G4726" s="113" t="s">
        <v>7145</v>
      </c>
      <c r="H4726" s="161">
        <v>0</v>
      </c>
      <c r="I4726" s="161" t="s">
        <v>7146</v>
      </c>
    </row>
    <row r="4727" spans="1:9">
      <c r="A4727" s="113">
        <v>100790292</v>
      </c>
      <c r="B4727" s="113" t="s">
        <v>7116</v>
      </c>
      <c r="C4727" s="113">
        <v>7062511</v>
      </c>
      <c r="D4727" s="113" t="s">
        <v>7139</v>
      </c>
      <c r="E4727" s="113" t="s">
        <v>1620</v>
      </c>
      <c r="F4727" s="113" t="s">
        <v>7139</v>
      </c>
      <c r="G4727" s="113" t="s">
        <v>7145</v>
      </c>
      <c r="H4727" s="161">
        <v>0</v>
      </c>
      <c r="I4727" s="161" t="s">
        <v>7146</v>
      </c>
    </row>
    <row r="4728" spans="1:9">
      <c r="A4728" s="113">
        <v>100790293</v>
      </c>
      <c r="B4728" s="113" t="s">
        <v>7116</v>
      </c>
      <c r="C4728" s="113">
        <v>7062512</v>
      </c>
      <c r="D4728" s="113" t="s">
        <v>7139</v>
      </c>
      <c r="E4728" s="113" t="s">
        <v>1620</v>
      </c>
      <c r="F4728" s="113" t="s">
        <v>7139</v>
      </c>
      <c r="G4728" s="115" t="s">
        <v>7145</v>
      </c>
      <c r="H4728" s="161">
        <v>0</v>
      </c>
      <c r="I4728" s="161" t="s">
        <v>7146</v>
      </c>
    </row>
    <row r="4729" spans="1:9">
      <c r="A4729" s="113">
        <v>100790294</v>
      </c>
      <c r="B4729" s="113" t="s">
        <v>7116</v>
      </c>
      <c r="C4729" s="113">
        <v>7062513</v>
      </c>
      <c r="D4729" s="113" t="s">
        <v>7139</v>
      </c>
      <c r="E4729" s="113" t="s">
        <v>1620</v>
      </c>
      <c r="F4729" s="113" t="s">
        <v>7139</v>
      </c>
      <c r="G4729" s="113" t="s">
        <v>7145</v>
      </c>
      <c r="H4729" s="161">
        <v>0</v>
      </c>
      <c r="I4729" s="161" t="s">
        <v>7146</v>
      </c>
    </row>
    <row r="4730" spans="1:9">
      <c r="A4730" s="113">
        <v>100790295</v>
      </c>
      <c r="B4730" s="113" t="s">
        <v>7116</v>
      </c>
      <c r="C4730" s="113">
        <v>7062514</v>
      </c>
      <c r="D4730" s="113" t="s">
        <v>7139</v>
      </c>
      <c r="E4730" s="113" t="s">
        <v>1620</v>
      </c>
      <c r="F4730" s="113" t="s">
        <v>7139</v>
      </c>
      <c r="G4730" s="113" t="s">
        <v>7145</v>
      </c>
      <c r="H4730" s="161">
        <v>0</v>
      </c>
      <c r="I4730" s="161" t="s">
        <v>7146</v>
      </c>
    </row>
    <row r="4731" spans="1:9">
      <c r="A4731" s="113">
        <v>100790296</v>
      </c>
      <c r="B4731" s="113" t="s">
        <v>7116</v>
      </c>
      <c r="C4731" s="113">
        <v>7062515</v>
      </c>
      <c r="D4731" s="113" t="s">
        <v>7139</v>
      </c>
      <c r="E4731" s="113" t="s">
        <v>1620</v>
      </c>
      <c r="F4731" s="113" t="s">
        <v>7139</v>
      </c>
      <c r="G4731" s="113" t="s">
        <v>7145</v>
      </c>
      <c r="H4731" s="161">
        <v>0</v>
      </c>
      <c r="I4731" s="161" t="s">
        <v>7146</v>
      </c>
    </row>
    <row r="4732" spans="1:9">
      <c r="A4732" s="113">
        <v>100790297</v>
      </c>
      <c r="B4732" s="113" t="s">
        <v>7116</v>
      </c>
      <c r="C4732" s="113">
        <v>7062516</v>
      </c>
      <c r="D4732" s="113" t="s">
        <v>7139</v>
      </c>
      <c r="E4732" s="113" t="s">
        <v>1620</v>
      </c>
      <c r="F4732" s="113" t="s">
        <v>7139</v>
      </c>
      <c r="G4732" s="113" t="s">
        <v>7145</v>
      </c>
      <c r="H4732" s="161">
        <v>0</v>
      </c>
      <c r="I4732" s="161" t="s">
        <v>7146</v>
      </c>
    </row>
    <row r="4733" spans="1:9">
      <c r="A4733" s="113">
        <v>100790298</v>
      </c>
      <c r="B4733" s="113" t="s">
        <v>7116</v>
      </c>
      <c r="C4733" s="113">
        <v>7062517</v>
      </c>
      <c r="D4733" s="113" t="s">
        <v>7139</v>
      </c>
      <c r="E4733" s="113" t="s">
        <v>1620</v>
      </c>
      <c r="F4733" s="113" t="s">
        <v>7139</v>
      </c>
      <c r="G4733" s="113" t="s">
        <v>7145</v>
      </c>
      <c r="H4733" s="161">
        <v>0</v>
      </c>
      <c r="I4733" s="161" t="s">
        <v>7146</v>
      </c>
    </row>
    <row r="4734" spans="1:9">
      <c r="A4734" s="113">
        <v>100790299</v>
      </c>
      <c r="B4734" s="113" t="s">
        <v>7116</v>
      </c>
      <c r="C4734" s="113">
        <v>7062518</v>
      </c>
      <c r="D4734" s="113" t="s">
        <v>7139</v>
      </c>
      <c r="E4734" s="113" t="s">
        <v>1620</v>
      </c>
      <c r="F4734" s="113" t="s">
        <v>7139</v>
      </c>
      <c r="G4734" s="113" t="s">
        <v>7145</v>
      </c>
      <c r="H4734" s="161">
        <v>0</v>
      </c>
      <c r="I4734" s="161" t="s">
        <v>7146</v>
      </c>
    </row>
    <row r="4735" spans="1:9">
      <c r="A4735" s="113">
        <v>100790300</v>
      </c>
      <c r="B4735" s="113" t="s">
        <v>7116</v>
      </c>
      <c r="C4735" s="113">
        <v>7062519</v>
      </c>
      <c r="D4735" s="113" t="s">
        <v>7139</v>
      </c>
      <c r="E4735" s="113" t="s">
        <v>1620</v>
      </c>
      <c r="F4735" s="113" t="s">
        <v>7139</v>
      </c>
      <c r="G4735" s="113" t="s">
        <v>7145</v>
      </c>
      <c r="H4735" s="161">
        <v>0</v>
      </c>
      <c r="I4735" s="161" t="s">
        <v>7146</v>
      </c>
    </row>
    <row r="4736" spans="1:9">
      <c r="A4736" s="113">
        <v>100790301</v>
      </c>
      <c r="B4736" s="113" t="s">
        <v>7116</v>
      </c>
      <c r="C4736" s="113">
        <v>7062520</v>
      </c>
      <c r="D4736" s="113" t="s">
        <v>7139</v>
      </c>
      <c r="E4736" s="113" t="s">
        <v>1620</v>
      </c>
      <c r="F4736" s="113" t="s">
        <v>7139</v>
      </c>
      <c r="G4736" s="113" t="s">
        <v>7145</v>
      </c>
      <c r="H4736" s="161">
        <v>0</v>
      </c>
      <c r="I4736" s="161" t="s">
        <v>7146</v>
      </c>
    </row>
    <row r="4737" spans="1:9">
      <c r="A4737" s="113">
        <v>100790302</v>
      </c>
      <c r="B4737" s="113" t="s">
        <v>7116</v>
      </c>
      <c r="C4737" s="113">
        <v>7062521</v>
      </c>
      <c r="D4737" s="113" t="s">
        <v>7139</v>
      </c>
      <c r="E4737" s="113" t="s">
        <v>1620</v>
      </c>
      <c r="F4737" s="113" t="s">
        <v>7139</v>
      </c>
      <c r="G4737" s="115" t="s">
        <v>7145</v>
      </c>
      <c r="H4737" s="161">
        <v>0</v>
      </c>
      <c r="I4737" s="161" t="s">
        <v>7146</v>
      </c>
    </row>
    <row r="4738" spans="1:9">
      <c r="A4738" s="113">
        <v>100790305</v>
      </c>
      <c r="B4738" s="113" t="s">
        <v>7116</v>
      </c>
      <c r="C4738" s="113">
        <v>7070178</v>
      </c>
      <c r="D4738" s="113" t="s">
        <v>7139</v>
      </c>
      <c r="E4738" s="113" t="s">
        <v>1620</v>
      </c>
      <c r="F4738" s="113" t="s">
        <v>7139</v>
      </c>
      <c r="G4738" s="113" t="s">
        <v>7145</v>
      </c>
      <c r="H4738" s="161">
        <v>0</v>
      </c>
      <c r="I4738" s="161" t="s">
        <v>7146</v>
      </c>
    </row>
    <row r="4739" spans="1:9">
      <c r="A4739" s="113">
        <v>100790306</v>
      </c>
      <c r="B4739" s="113" t="s">
        <v>7116</v>
      </c>
      <c r="C4739" s="113">
        <v>7074060</v>
      </c>
      <c r="D4739" s="113" t="s">
        <v>7139</v>
      </c>
      <c r="E4739" s="113" t="s">
        <v>1620</v>
      </c>
      <c r="F4739" s="113" t="s">
        <v>7139</v>
      </c>
      <c r="G4739" s="113" t="s">
        <v>7145</v>
      </c>
      <c r="H4739" s="161">
        <v>0</v>
      </c>
      <c r="I4739" s="161" t="s">
        <v>7146</v>
      </c>
    </row>
    <row r="4740" spans="1:9">
      <c r="A4740" s="113">
        <v>100790307</v>
      </c>
      <c r="B4740" s="113" t="s">
        <v>7116</v>
      </c>
      <c r="C4740" s="113">
        <v>7090099</v>
      </c>
      <c r="D4740" s="113" t="s">
        <v>7139</v>
      </c>
      <c r="E4740" s="113" t="s">
        <v>1620</v>
      </c>
      <c r="F4740" s="113" t="s">
        <v>7139</v>
      </c>
      <c r="G4740" s="113" t="s">
        <v>7145</v>
      </c>
      <c r="H4740" s="161">
        <v>0</v>
      </c>
      <c r="I4740" s="161" t="s">
        <v>7146</v>
      </c>
    </row>
    <row r="4741" spans="1:9">
      <c r="A4741" s="113">
        <v>100790310</v>
      </c>
      <c r="B4741" s="113" t="s">
        <v>7116</v>
      </c>
      <c r="C4741" s="113">
        <v>7110034</v>
      </c>
      <c r="D4741" s="113" t="s">
        <v>7139</v>
      </c>
      <c r="E4741" s="113" t="s">
        <v>1620</v>
      </c>
      <c r="F4741" s="113" t="s">
        <v>7139</v>
      </c>
      <c r="G4741" s="113" t="s">
        <v>7145</v>
      </c>
      <c r="H4741" s="161">
        <v>0</v>
      </c>
      <c r="I4741" s="161" t="s">
        <v>7146</v>
      </c>
    </row>
    <row r="4742" spans="1:9">
      <c r="A4742" s="113">
        <v>100790311</v>
      </c>
      <c r="B4742" s="113" t="s">
        <v>7116</v>
      </c>
      <c r="C4742" s="113">
        <v>7112069</v>
      </c>
      <c r="D4742" s="113" t="s">
        <v>7139</v>
      </c>
      <c r="E4742" s="113" t="s">
        <v>1620</v>
      </c>
      <c r="F4742" s="113" t="s">
        <v>7139</v>
      </c>
      <c r="G4742" s="113" t="s">
        <v>7145</v>
      </c>
      <c r="H4742" s="161">
        <v>0</v>
      </c>
      <c r="I4742" s="161" t="s">
        <v>7146</v>
      </c>
    </row>
    <row r="4743" spans="1:9">
      <c r="A4743" s="113">
        <v>100790313</v>
      </c>
      <c r="B4743" s="113" t="s">
        <v>7116</v>
      </c>
      <c r="C4743" s="113">
        <v>7990052</v>
      </c>
      <c r="D4743" s="113" t="s">
        <v>7139</v>
      </c>
      <c r="E4743" s="113" t="s">
        <v>1620</v>
      </c>
      <c r="F4743" s="113" t="s">
        <v>7139</v>
      </c>
      <c r="G4743" s="113" t="s">
        <v>7145</v>
      </c>
      <c r="H4743" s="161">
        <v>0</v>
      </c>
      <c r="I4743" s="161" t="s">
        <v>7146</v>
      </c>
    </row>
    <row r="4744" spans="1:9">
      <c r="A4744" s="113">
        <v>100790315</v>
      </c>
      <c r="B4744" s="113" t="s">
        <v>7116</v>
      </c>
      <c r="C4744" s="113">
        <v>7990096</v>
      </c>
      <c r="D4744" s="113" t="s">
        <v>7139</v>
      </c>
      <c r="E4744" s="113" t="s">
        <v>1620</v>
      </c>
      <c r="F4744" s="113" t="s">
        <v>7139</v>
      </c>
      <c r="G4744" s="113" t="s">
        <v>7145</v>
      </c>
      <c r="H4744" s="161">
        <v>0</v>
      </c>
      <c r="I4744" s="161" t="s">
        <v>7146</v>
      </c>
    </row>
    <row r="4745" spans="1:9">
      <c r="A4745" s="113">
        <v>100790316</v>
      </c>
      <c r="B4745" s="113" t="s">
        <v>7116</v>
      </c>
      <c r="C4745" s="113">
        <v>7990099</v>
      </c>
      <c r="D4745" s="113" t="s">
        <v>7139</v>
      </c>
      <c r="E4745" s="113" t="s">
        <v>1620</v>
      </c>
      <c r="F4745" s="113" t="s">
        <v>7139</v>
      </c>
      <c r="G4745" s="113" t="s">
        <v>7145</v>
      </c>
      <c r="H4745" s="161">
        <v>0</v>
      </c>
      <c r="I4745" s="161" t="s">
        <v>7146</v>
      </c>
    </row>
    <row r="4746" spans="1:9">
      <c r="A4746" s="113">
        <v>100790317</v>
      </c>
      <c r="B4746" s="113" t="s">
        <v>7116</v>
      </c>
      <c r="C4746" s="113">
        <v>7990204</v>
      </c>
      <c r="D4746" s="113" t="s">
        <v>7139</v>
      </c>
      <c r="E4746" s="113" t="s">
        <v>1620</v>
      </c>
      <c r="F4746" s="113" t="s">
        <v>7139</v>
      </c>
      <c r="G4746" s="115" t="s">
        <v>7145</v>
      </c>
      <c r="H4746" s="161">
        <v>0</v>
      </c>
      <c r="I4746" s="161" t="s">
        <v>7146</v>
      </c>
    </row>
    <row r="4747" spans="1:9">
      <c r="A4747" s="113">
        <v>100790318</v>
      </c>
      <c r="B4747" s="113" t="s">
        <v>7116</v>
      </c>
      <c r="C4747" s="113">
        <v>7990208</v>
      </c>
      <c r="D4747" s="113" t="s">
        <v>7139</v>
      </c>
      <c r="E4747" s="113" t="s">
        <v>1620</v>
      </c>
      <c r="F4747" s="113" t="s">
        <v>7139</v>
      </c>
      <c r="G4747" s="115" t="s">
        <v>7145</v>
      </c>
      <c r="H4747" s="161">
        <v>0</v>
      </c>
      <c r="I4747" s="161" t="s">
        <v>7146</v>
      </c>
    </row>
    <row r="4748" spans="1:9">
      <c r="A4748" s="113">
        <v>100790319</v>
      </c>
      <c r="B4748" s="113" t="s">
        <v>7116</v>
      </c>
      <c r="C4748" s="113">
        <v>7990250</v>
      </c>
      <c r="D4748" s="113" t="s">
        <v>7139</v>
      </c>
      <c r="E4748" s="113" t="s">
        <v>1620</v>
      </c>
      <c r="F4748" s="113" t="s">
        <v>7139</v>
      </c>
      <c r="G4748" s="115" t="s">
        <v>7145</v>
      </c>
      <c r="H4748" s="161">
        <v>0</v>
      </c>
      <c r="I4748" s="161" t="s">
        <v>7146</v>
      </c>
    </row>
    <row r="4749" spans="1:9">
      <c r="A4749" s="113">
        <v>100790322</v>
      </c>
      <c r="B4749" s="113" t="s">
        <v>7116</v>
      </c>
      <c r="C4749" s="113">
        <v>7991277</v>
      </c>
      <c r="D4749" s="113" t="s">
        <v>7139</v>
      </c>
      <c r="E4749" s="113" t="s">
        <v>1620</v>
      </c>
      <c r="F4749" s="113" t="s">
        <v>7139</v>
      </c>
      <c r="G4749" s="115" t="s">
        <v>7145</v>
      </c>
      <c r="H4749" s="161">
        <v>0</v>
      </c>
      <c r="I4749" s="161" t="s">
        <v>7146</v>
      </c>
    </row>
    <row r="4750" spans="1:9">
      <c r="A4750" s="113">
        <v>100790323</v>
      </c>
      <c r="B4750" s="113" t="s">
        <v>7116</v>
      </c>
      <c r="C4750" s="113">
        <v>7991695</v>
      </c>
      <c r="D4750" s="113" t="s">
        <v>7139</v>
      </c>
      <c r="E4750" s="113" t="s">
        <v>1620</v>
      </c>
      <c r="F4750" s="113" t="s">
        <v>7139</v>
      </c>
      <c r="G4750" s="115" t="s">
        <v>7145</v>
      </c>
      <c r="H4750" s="161">
        <v>0</v>
      </c>
      <c r="I4750" s="161" t="s">
        <v>7146</v>
      </c>
    </row>
    <row r="4751" spans="1:9">
      <c r="A4751" s="113">
        <v>100790324</v>
      </c>
      <c r="B4751" s="113" t="s">
        <v>7116</v>
      </c>
      <c r="C4751" s="113">
        <v>7991730</v>
      </c>
      <c r="D4751" s="113" t="s">
        <v>7139</v>
      </c>
      <c r="E4751" s="113" t="s">
        <v>1620</v>
      </c>
      <c r="F4751" s="113" t="s">
        <v>7139</v>
      </c>
      <c r="G4751" s="115" t="s">
        <v>7145</v>
      </c>
      <c r="H4751" s="161">
        <v>0</v>
      </c>
      <c r="I4751" s="161" t="s">
        <v>7146</v>
      </c>
    </row>
    <row r="4752" spans="1:9">
      <c r="A4752" s="113">
        <v>100790325</v>
      </c>
      <c r="B4752" s="113" t="s">
        <v>7116</v>
      </c>
      <c r="C4752" s="113">
        <v>7991777</v>
      </c>
      <c r="D4752" s="113" t="s">
        <v>7139</v>
      </c>
      <c r="E4752" s="113" t="s">
        <v>1620</v>
      </c>
      <c r="F4752" s="113" t="s">
        <v>7139</v>
      </c>
      <c r="G4752" s="115" t="s">
        <v>7145</v>
      </c>
      <c r="H4752" s="161">
        <v>0</v>
      </c>
      <c r="I4752" s="161" t="s">
        <v>7146</v>
      </c>
    </row>
    <row r="4753" spans="1:9">
      <c r="A4753" s="113">
        <v>100790326</v>
      </c>
      <c r="B4753" s="113" t="s">
        <v>7116</v>
      </c>
      <c r="C4753" s="113">
        <v>7991801</v>
      </c>
      <c r="D4753" s="113" t="s">
        <v>7139</v>
      </c>
      <c r="E4753" s="113" t="s">
        <v>1620</v>
      </c>
      <c r="F4753" s="113" t="s">
        <v>7139</v>
      </c>
      <c r="G4753" s="115" t="s">
        <v>7145</v>
      </c>
      <c r="H4753" s="161">
        <v>0</v>
      </c>
      <c r="I4753" s="161" t="s">
        <v>7146</v>
      </c>
    </row>
    <row r="4754" spans="1:9">
      <c r="A4754" s="113">
        <v>100790327</v>
      </c>
      <c r="B4754" s="113" t="s">
        <v>7116</v>
      </c>
      <c r="C4754" s="113">
        <v>7991875</v>
      </c>
      <c r="D4754" s="113" t="s">
        <v>7139</v>
      </c>
      <c r="E4754" s="113" t="s">
        <v>1620</v>
      </c>
      <c r="F4754" s="113" t="s">
        <v>7139</v>
      </c>
      <c r="G4754" s="115" t="s">
        <v>7145</v>
      </c>
      <c r="H4754" s="161">
        <v>0</v>
      </c>
      <c r="I4754" s="161" t="s">
        <v>7146</v>
      </c>
    </row>
    <row r="4755" spans="1:9">
      <c r="A4755" s="113">
        <v>100790328</v>
      </c>
      <c r="B4755" s="113" t="s">
        <v>7116</v>
      </c>
      <c r="C4755" s="113">
        <v>7991881</v>
      </c>
      <c r="D4755" s="113" t="s">
        <v>7139</v>
      </c>
      <c r="E4755" s="113" t="s">
        <v>1620</v>
      </c>
      <c r="F4755" s="113" t="s">
        <v>7139</v>
      </c>
      <c r="G4755" s="115" t="s">
        <v>7145</v>
      </c>
      <c r="H4755" s="161">
        <v>0</v>
      </c>
      <c r="I4755" s="161" t="s">
        <v>7146</v>
      </c>
    </row>
    <row r="4756" spans="1:9">
      <c r="A4756" s="113">
        <v>100790329</v>
      </c>
      <c r="B4756" s="113" t="s">
        <v>7116</v>
      </c>
      <c r="C4756" s="113">
        <v>7991886</v>
      </c>
      <c r="D4756" s="113" t="s">
        <v>7139</v>
      </c>
      <c r="E4756" s="113" t="s">
        <v>1620</v>
      </c>
      <c r="F4756" s="113" t="s">
        <v>7139</v>
      </c>
      <c r="G4756" s="115" t="s">
        <v>7145</v>
      </c>
      <c r="H4756" s="161">
        <v>0</v>
      </c>
      <c r="I4756" s="161" t="s">
        <v>7146</v>
      </c>
    </row>
    <row r="4757" spans="1:9">
      <c r="A4757" s="113">
        <v>100790330</v>
      </c>
      <c r="B4757" s="113" t="s">
        <v>7116</v>
      </c>
      <c r="C4757" s="113">
        <v>7991901</v>
      </c>
      <c r="D4757" s="113" t="s">
        <v>7139</v>
      </c>
      <c r="E4757" s="113" t="s">
        <v>1620</v>
      </c>
      <c r="F4757" s="113" t="s">
        <v>7139</v>
      </c>
      <c r="G4757" s="113" t="s">
        <v>7145</v>
      </c>
      <c r="H4757" s="161">
        <v>0</v>
      </c>
      <c r="I4757" s="161" t="s">
        <v>7146</v>
      </c>
    </row>
    <row r="4758" spans="1:9">
      <c r="A4758" s="113">
        <v>100790331</v>
      </c>
      <c r="B4758" s="113" t="s">
        <v>7116</v>
      </c>
      <c r="C4758" s="113">
        <v>7991904</v>
      </c>
      <c r="D4758" s="113" t="s">
        <v>7139</v>
      </c>
      <c r="E4758" s="113" t="s">
        <v>1620</v>
      </c>
      <c r="F4758" s="113" t="s">
        <v>7139</v>
      </c>
      <c r="G4758" s="113" t="s">
        <v>7145</v>
      </c>
      <c r="H4758" s="161">
        <v>0</v>
      </c>
      <c r="I4758" s="161" t="s">
        <v>7146</v>
      </c>
    </row>
    <row r="4759" spans="1:9">
      <c r="A4759" s="113">
        <v>100790332</v>
      </c>
      <c r="B4759" s="113" t="s">
        <v>7116</v>
      </c>
      <c r="C4759" s="113">
        <v>7991935</v>
      </c>
      <c r="D4759" s="113" t="s">
        <v>7139</v>
      </c>
      <c r="E4759" s="113" t="s">
        <v>1620</v>
      </c>
      <c r="F4759" s="113" t="s">
        <v>7139</v>
      </c>
      <c r="G4759" s="113" t="s">
        <v>7145</v>
      </c>
      <c r="H4759" s="161">
        <v>0</v>
      </c>
      <c r="I4759" s="161" t="s">
        <v>7146</v>
      </c>
    </row>
    <row r="4760" spans="1:9">
      <c r="A4760" s="113">
        <v>100790333</v>
      </c>
      <c r="B4760" s="113" t="s">
        <v>7116</v>
      </c>
      <c r="C4760" s="113">
        <v>7991936</v>
      </c>
      <c r="D4760" s="113" t="s">
        <v>7139</v>
      </c>
      <c r="E4760" s="113" t="s">
        <v>1620</v>
      </c>
      <c r="F4760" s="113" t="s">
        <v>7139</v>
      </c>
      <c r="G4760" s="113" t="s">
        <v>7145</v>
      </c>
      <c r="H4760" s="161">
        <v>0</v>
      </c>
      <c r="I4760" s="161" t="s">
        <v>7146</v>
      </c>
    </row>
    <row r="4761" spans="1:9">
      <c r="A4761" s="113">
        <v>100790335</v>
      </c>
      <c r="B4761" s="113" t="s">
        <v>7116</v>
      </c>
      <c r="C4761" s="113">
        <v>7992181</v>
      </c>
      <c r="D4761" s="113" t="s">
        <v>7139</v>
      </c>
      <c r="E4761" s="113" t="s">
        <v>1620</v>
      </c>
      <c r="F4761" s="113" t="s">
        <v>7139</v>
      </c>
      <c r="G4761" s="113" t="s">
        <v>7145</v>
      </c>
      <c r="H4761" s="161">
        <v>0</v>
      </c>
      <c r="I4761" s="161" t="s">
        <v>7146</v>
      </c>
    </row>
    <row r="4762" spans="1:9">
      <c r="A4762" s="113">
        <v>100790336</v>
      </c>
      <c r="B4762" s="113" t="s">
        <v>7116</v>
      </c>
      <c r="C4762" s="113">
        <v>7992233</v>
      </c>
      <c r="D4762" s="113" t="s">
        <v>7139</v>
      </c>
      <c r="E4762" s="113" t="s">
        <v>1620</v>
      </c>
      <c r="F4762" s="113" t="s">
        <v>7139</v>
      </c>
      <c r="G4762" s="113" t="s">
        <v>7145</v>
      </c>
      <c r="H4762" s="161">
        <v>0</v>
      </c>
      <c r="I4762" s="161" t="s">
        <v>7146</v>
      </c>
    </row>
    <row r="4763" spans="1:9">
      <c r="A4763" s="113">
        <v>100790337</v>
      </c>
      <c r="B4763" s="113" t="s">
        <v>7116</v>
      </c>
      <c r="C4763" s="113">
        <v>7992235</v>
      </c>
      <c r="D4763" s="113" t="s">
        <v>7139</v>
      </c>
      <c r="E4763" s="113" t="s">
        <v>1620</v>
      </c>
      <c r="F4763" s="113" t="s">
        <v>7139</v>
      </c>
      <c r="G4763" s="113" t="s">
        <v>7145</v>
      </c>
      <c r="H4763" s="161">
        <v>0</v>
      </c>
      <c r="I4763" s="161" t="s">
        <v>7146</v>
      </c>
    </row>
    <row r="4764" spans="1:9">
      <c r="A4764" s="113">
        <v>100790339</v>
      </c>
      <c r="B4764" s="113" t="s">
        <v>7116</v>
      </c>
      <c r="C4764" s="113">
        <v>7992250</v>
      </c>
      <c r="D4764" s="113" t="s">
        <v>7139</v>
      </c>
      <c r="E4764" s="113" t="s">
        <v>1620</v>
      </c>
      <c r="F4764" s="113" t="s">
        <v>7139</v>
      </c>
      <c r="G4764" s="113" t="s">
        <v>7145</v>
      </c>
      <c r="H4764" s="161">
        <v>0</v>
      </c>
      <c r="I4764" s="161" t="s">
        <v>7146</v>
      </c>
    </row>
    <row r="4765" spans="1:9">
      <c r="A4765" s="113">
        <v>100790340</v>
      </c>
      <c r="B4765" s="113" t="s">
        <v>7116</v>
      </c>
      <c r="C4765" s="113">
        <v>7992635</v>
      </c>
      <c r="D4765" s="113" t="s">
        <v>7139</v>
      </c>
      <c r="E4765" s="113" t="s">
        <v>1620</v>
      </c>
      <c r="F4765" s="113" t="s">
        <v>7139</v>
      </c>
      <c r="G4765" s="113" t="s">
        <v>7145</v>
      </c>
      <c r="H4765" s="161">
        <v>0</v>
      </c>
      <c r="I4765" s="161" t="s">
        <v>7146</v>
      </c>
    </row>
    <row r="4766" spans="1:9">
      <c r="A4766" s="113">
        <v>100790341</v>
      </c>
      <c r="B4766" s="113" t="s">
        <v>7116</v>
      </c>
      <c r="C4766" s="113">
        <v>7992636</v>
      </c>
      <c r="D4766" s="113" t="s">
        <v>7139</v>
      </c>
      <c r="E4766" s="113" t="s">
        <v>1620</v>
      </c>
      <c r="F4766" s="113" t="s">
        <v>7139</v>
      </c>
      <c r="G4766" s="113" t="s">
        <v>7145</v>
      </c>
      <c r="H4766" s="161">
        <v>0</v>
      </c>
      <c r="I4766" s="161" t="s">
        <v>7146</v>
      </c>
    </row>
    <row r="4767" spans="1:9">
      <c r="A4767" s="113">
        <v>100790342</v>
      </c>
      <c r="B4767" s="113" t="s">
        <v>7116</v>
      </c>
      <c r="C4767" s="113">
        <v>7992650</v>
      </c>
      <c r="D4767" s="113" t="s">
        <v>7139</v>
      </c>
      <c r="E4767" s="113" t="s">
        <v>1620</v>
      </c>
      <c r="F4767" s="113" t="s">
        <v>7139</v>
      </c>
      <c r="G4767" s="113" t="s">
        <v>7145</v>
      </c>
      <c r="H4767" s="161">
        <v>0</v>
      </c>
      <c r="I4767" s="161" t="s">
        <v>7146</v>
      </c>
    </row>
    <row r="4768" spans="1:9">
      <c r="A4768" s="113">
        <v>100790353</v>
      </c>
      <c r="B4768" s="113" t="s">
        <v>7116</v>
      </c>
      <c r="C4768" s="113">
        <v>6014006</v>
      </c>
      <c r="D4768" s="113" t="s">
        <v>7139</v>
      </c>
      <c r="E4768" s="113" t="s">
        <v>1620</v>
      </c>
      <c r="F4768" s="113" t="s">
        <v>7139</v>
      </c>
      <c r="G4768" s="113" t="s">
        <v>7145</v>
      </c>
      <c r="H4768" s="161">
        <v>0</v>
      </c>
      <c r="I4768" s="161" t="s">
        <v>7146</v>
      </c>
    </row>
    <row r="4769" spans="1:9">
      <c r="A4769" s="113">
        <v>100790356</v>
      </c>
      <c r="B4769" s="113" t="s">
        <v>7116</v>
      </c>
      <c r="C4769" s="113">
        <v>6014010</v>
      </c>
      <c r="D4769" s="113" t="s">
        <v>7139</v>
      </c>
      <c r="E4769" s="113" t="s">
        <v>1620</v>
      </c>
      <c r="F4769" s="113" t="s">
        <v>7139</v>
      </c>
      <c r="G4769" s="113" t="s">
        <v>7145</v>
      </c>
      <c r="H4769" s="161">
        <v>0</v>
      </c>
      <c r="I4769" s="161" t="s">
        <v>7146</v>
      </c>
    </row>
    <row r="4770" spans="1:9">
      <c r="A4770" s="113">
        <v>100790370</v>
      </c>
      <c r="B4770" s="113" t="s">
        <v>7116</v>
      </c>
      <c r="C4770" s="113">
        <v>6003080</v>
      </c>
      <c r="D4770" s="113" t="s">
        <v>7139</v>
      </c>
      <c r="E4770" s="113" t="s">
        <v>1620</v>
      </c>
      <c r="F4770" s="113" t="s">
        <v>7139</v>
      </c>
      <c r="G4770" s="113" t="s">
        <v>7145</v>
      </c>
      <c r="H4770" s="161">
        <v>0</v>
      </c>
      <c r="I4770" s="161" t="s">
        <v>7146</v>
      </c>
    </row>
    <row r="4771" spans="1:9">
      <c r="A4771" s="113">
        <v>100790375</v>
      </c>
      <c r="B4771" s="113" t="s">
        <v>7116</v>
      </c>
      <c r="C4771" s="113">
        <v>6003085</v>
      </c>
      <c r="D4771" s="113" t="s">
        <v>7139</v>
      </c>
      <c r="E4771" s="113" t="s">
        <v>1620</v>
      </c>
      <c r="F4771" s="113" t="s">
        <v>7139</v>
      </c>
      <c r="G4771" s="113" t="s">
        <v>7145</v>
      </c>
      <c r="H4771" s="161">
        <v>0</v>
      </c>
      <c r="I4771" s="161" t="s">
        <v>7146</v>
      </c>
    </row>
    <row r="4772" spans="1:9">
      <c r="A4772" s="113">
        <v>100790385</v>
      </c>
      <c r="B4772" s="113" t="s">
        <v>7116</v>
      </c>
      <c r="C4772" s="113">
        <v>6003184</v>
      </c>
      <c r="D4772" s="113" t="s">
        <v>7139</v>
      </c>
      <c r="E4772" s="113" t="s">
        <v>1620</v>
      </c>
      <c r="F4772" s="113" t="s">
        <v>7139</v>
      </c>
      <c r="G4772" s="113" t="s">
        <v>7145</v>
      </c>
      <c r="H4772" s="161">
        <v>0</v>
      </c>
      <c r="I4772" s="161" t="s">
        <v>7146</v>
      </c>
    </row>
    <row r="4773" spans="1:9">
      <c r="A4773" s="113">
        <v>100790386</v>
      </c>
      <c r="B4773" s="113" t="s">
        <v>7116</v>
      </c>
      <c r="C4773" s="113">
        <v>6044150</v>
      </c>
      <c r="D4773" s="113" t="s">
        <v>7139</v>
      </c>
      <c r="E4773" s="113" t="s">
        <v>1620</v>
      </c>
      <c r="F4773" s="113" t="s">
        <v>7139</v>
      </c>
      <c r="G4773" s="113" t="s">
        <v>7145</v>
      </c>
      <c r="H4773" s="161">
        <v>0</v>
      </c>
      <c r="I4773" s="161" t="s">
        <v>7146</v>
      </c>
    </row>
    <row r="4774" spans="1:9">
      <c r="A4774" s="113">
        <v>100790387</v>
      </c>
      <c r="B4774" s="113" t="s">
        <v>7116</v>
      </c>
      <c r="C4774" s="113">
        <v>6047108</v>
      </c>
      <c r="D4774" s="113" t="s">
        <v>7139</v>
      </c>
      <c r="E4774" s="113" t="s">
        <v>1620</v>
      </c>
      <c r="F4774" s="113" t="s">
        <v>7139</v>
      </c>
      <c r="G4774" s="113" t="s">
        <v>7145</v>
      </c>
      <c r="H4774" s="161">
        <v>0</v>
      </c>
      <c r="I4774" s="161" t="s">
        <v>7146</v>
      </c>
    </row>
    <row r="4775" spans="1:9">
      <c r="A4775" s="113">
        <v>100790390</v>
      </c>
      <c r="B4775" s="113" t="s">
        <v>7116</v>
      </c>
      <c r="C4775" s="113">
        <v>4000000</v>
      </c>
      <c r="D4775" s="113" t="s">
        <v>7139</v>
      </c>
      <c r="E4775" s="113" t="s">
        <v>1620</v>
      </c>
      <c r="F4775" s="113" t="s">
        <v>7139</v>
      </c>
      <c r="G4775" s="113" t="s">
        <v>7145</v>
      </c>
      <c r="H4775" s="161">
        <v>0</v>
      </c>
      <c r="I4775" s="161" t="s">
        <v>7146</v>
      </c>
    </row>
    <row r="4776" spans="1:9">
      <c r="A4776" s="113">
        <v>100790392</v>
      </c>
      <c r="B4776" s="113" t="s">
        <v>7116</v>
      </c>
      <c r="C4776" s="113">
        <v>4002005</v>
      </c>
      <c r="D4776" s="113" t="s">
        <v>7139</v>
      </c>
      <c r="E4776" s="113" t="s">
        <v>1620</v>
      </c>
      <c r="F4776" s="113" t="s">
        <v>7139</v>
      </c>
      <c r="G4776" s="113" t="s">
        <v>7145</v>
      </c>
      <c r="H4776" s="161">
        <v>0</v>
      </c>
      <c r="I4776" s="161" t="s">
        <v>7146</v>
      </c>
    </row>
    <row r="4777" spans="1:9">
      <c r="A4777" s="113">
        <v>100790393</v>
      </c>
      <c r="B4777" s="113" t="s">
        <v>7116</v>
      </c>
      <c r="C4777" s="113">
        <v>4002006</v>
      </c>
      <c r="D4777" s="113" t="s">
        <v>7139</v>
      </c>
      <c r="E4777" s="113" t="s">
        <v>1620</v>
      </c>
      <c r="F4777" s="113" t="s">
        <v>7139</v>
      </c>
      <c r="G4777" s="113" t="s">
        <v>7145</v>
      </c>
      <c r="H4777" s="161">
        <v>0</v>
      </c>
      <c r="I4777" s="161" t="s">
        <v>7146</v>
      </c>
    </row>
    <row r="4778" spans="1:9">
      <c r="A4778" s="113">
        <v>100790401</v>
      </c>
      <c r="B4778" s="113" t="s">
        <v>7116</v>
      </c>
      <c r="C4778" s="113">
        <v>4002023</v>
      </c>
      <c r="D4778" s="113" t="s">
        <v>7139</v>
      </c>
      <c r="E4778" s="113" t="s">
        <v>1620</v>
      </c>
      <c r="F4778" s="113" t="s">
        <v>7139</v>
      </c>
      <c r="G4778" s="113" t="s">
        <v>7145</v>
      </c>
      <c r="H4778" s="161">
        <v>0</v>
      </c>
      <c r="I4778" s="161" t="s">
        <v>7146</v>
      </c>
    </row>
    <row r="4779" spans="1:9">
      <c r="A4779" s="113">
        <v>100790402</v>
      </c>
      <c r="B4779" s="113" t="s">
        <v>7116</v>
      </c>
      <c r="C4779" s="113">
        <v>4002027</v>
      </c>
      <c r="D4779" s="113" t="s">
        <v>7139</v>
      </c>
      <c r="E4779" s="113" t="s">
        <v>1620</v>
      </c>
      <c r="F4779" s="113" t="s">
        <v>7139</v>
      </c>
      <c r="G4779" s="113" t="s">
        <v>7145</v>
      </c>
      <c r="H4779" s="161">
        <v>0</v>
      </c>
      <c r="I4779" s="161" t="s">
        <v>7146</v>
      </c>
    </row>
    <row r="4780" spans="1:9">
      <c r="A4780" s="113">
        <v>100790405</v>
      </c>
      <c r="B4780" s="113" t="s">
        <v>7116</v>
      </c>
      <c r="C4780" s="113">
        <v>4002032</v>
      </c>
      <c r="D4780" s="113" t="s">
        <v>7139</v>
      </c>
      <c r="E4780" s="113" t="s">
        <v>1620</v>
      </c>
      <c r="F4780" s="113" t="s">
        <v>7139</v>
      </c>
      <c r="G4780" s="113" t="s">
        <v>7145</v>
      </c>
      <c r="H4780" s="161">
        <v>0</v>
      </c>
      <c r="I4780" s="161" t="s">
        <v>7146</v>
      </c>
    </row>
    <row r="4781" spans="1:9">
      <c r="A4781" s="113">
        <v>100790407</v>
      </c>
      <c r="B4781" s="113" t="s">
        <v>7116</v>
      </c>
      <c r="C4781" s="113">
        <v>4003001</v>
      </c>
      <c r="D4781" s="113" t="s">
        <v>7139</v>
      </c>
      <c r="E4781" s="113" t="s">
        <v>1620</v>
      </c>
      <c r="F4781" s="113" t="s">
        <v>7139</v>
      </c>
      <c r="G4781" s="113" t="s">
        <v>7145</v>
      </c>
      <c r="H4781" s="161">
        <v>0</v>
      </c>
      <c r="I4781" s="161" t="s">
        <v>7146</v>
      </c>
    </row>
    <row r="4782" spans="1:9">
      <c r="A4782" s="113">
        <v>100790408</v>
      </c>
      <c r="B4782" s="113" t="s">
        <v>7116</v>
      </c>
      <c r="C4782" s="113">
        <v>4003002</v>
      </c>
      <c r="D4782" s="113" t="s">
        <v>7139</v>
      </c>
      <c r="E4782" s="113" t="s">
        <v>1620</v>
      </c>
      <c r="F4782" s="113" t="s">
        <v>7139</v>
      </c>
      <c r="G4782" s="113" t="s">
        <v>7145</v>
      </c>
      <c r="H4782" s="161">
        <v>0</v>
      </c>
      <c r="I4782" s="161" t="s">
        <v>7146</v>
      </c>
    </row>
    <row r="4783" spans="1:9">
      <c r="A4783" s="113">
        <v>100790416</v>
      </c>
      <c r="B4783" s="113" t="s">
        <v>7116</v>
      </c>
      <c r="C4783" s="113">
        <v>4005008</v>
      </c>
      <c r="D4783" s="113" t="s">
        <v>7139</v>
      </c>
      <c r="E4783" s="113" t="s">
        <v>1620</v>
      </c>
      <c r="F4783" s="113" t="s">
        <v>7139</v>
      </c>
      <c r="G4783" s="113" t="s">
        <v>7145</v>
      </c>
      <c r="H4783" s="161">
        <v>0</v>
      </c>
      <c r="I4783" s="161" t="s">
        <v>7146</v>
      </c>
    </row>
    <row r="4784" spans="1:9">
      <c r="A4784" s="113">
        <v>100790419</v>
      </c>
      <c r="B4784" s="113" t="s">
        <v>7116</v>
      </c>
      <c r="C4784" s="113">
        <v>4005011</v>
      </c>
      <c r="D4784" s="113" t="s">
        <v>7139</v>
      </c>
      <c r="E4784" s="113" t="s">
        <v>1620</v>
      </c>
      <c r="F4784" s="113" t="s">
        <v>7139</v>
      </c>
      <c r="G4784" s="113" t="s">
        <v>7145</v>
      </c>
      <c r="H4784" s="161">
        <v>0</v>
      </c>
      <c r="I4784" s="161" t="s">
        <v>7146</v>
      </c>
    </row>
    <row r="4785" spans="1:9">
      <c r="A4785" s="113">
        <v>100790422</v>
      </c>
      <c r="B4785" s="113" t="s">
        <v>7116</v>
      </c>
      <c r="C4785" s="113">
        <v>4005014</v>
      </c>
      <c r="D4785" s="113" t="s">
        <v>7139</v>
      </c>
      <c r="E4785" s="113" t="s">
        <v>1620</v>
      </c>
      <c r="F4785" s="113" t="s">
        <v>7139</v>
      </c>
      <c r="G4785" s="113" t="s">
        <v>7145</v>
      </c>
      <c r="H4785" s="161">
        <v>0</v>
      </c>
      <c r="I4785" s="161" t="s">
        <v>7146</v>
      </c>
    </row>
    <row r="4786" spans="1:9">
      <c r="A4786" s="113">
        <v>100790424</v>
      </c>
      <c r="B4786" s="113" t="s">
        <v>7116</v>
      </c>
      <c r="C4786" s="113">
        <v>4005016</v>
      </c>
      <c r="D4786" s="113" t="s">
        <v>7139</v>
      </c>
      <c r="E4786" s="113" t="s">
        <v>1620</v>
      </c>
      <c r="F4786" s="113" t="s">
        <v>7139</v>
      </c>
      <c r="G4786" s="113" t="s">
        <v>7145</v>
      </c>
      <c r="H4786" s="161">
        <v>0</v>
      </c>
      <c r="I4786" s="161" t="s">
        <v>7146</v>
      </c>
    </row>
    <row r="4787" spans="1:9">
      <c r="A4787" s="113">
        <v>100790425</v>
      </c>
      <c r="B4787" s="113" t="s">
        <v>7116</v>
      </c>
      <c r="C4787" s="113">
        <v>4005018</v>
      </c>
      <c r="D4787" s="113" t="s">
        <v>7139</v>
      </c>
      <c r="E4787" s="113" t="s">
        <v>1620</v>
      </c>
      <c r="F4787" s="113" t="s">
        <v>7139</v>
      </c>
      <c r="G4787" s="113" t="s">
        <v>7145</v>
      </c>
      <c r="H4787" s="161">
        <v>0</v>
      </c>
      <c r="I4787" s="161" t="s">
        <v>7146</v>
      </c>
    </row>
    <row r="4788" spans="1:9">
      <c r="A4788" s="113">
        <v>100790426</v>
      </c>
      <c r="B4788" s="113" t="s">
        <v>7116</v>
      </c>
      <c r="C4788" s="113">
        <v>4005020</v>
      </c>
      <c r="D4788" s="113" t="s">
        <v>7139</v>
      </c>
      <c r="E4788" s="113" t="s">
        <v>1620</v>
      </c>
      <c r="F4788" s="113" t="s">
        <v>7139</v>
      </c>
      <c r="G4788" s="113" t="s">
        <v>7145</v>
      </c>
      <c r="H4788" s="161">
        <v>0</v>
      </c>
      <c r="I4788" s="161" t="s">
        <v>7146</v>
      </c>
    </row>
    <row r="4789" spans="1:9">
      <c r="A4789" s="113">
        <v>100790427</v>
      </c>
      <c r="B4789" s="113" t="s">
        <v>7116</v>
      </c>
      <c r="C4789" s="113">
        <v>4005021</v>
      </c>
      <c r="D4789" s="113" t="s">
        <v>7139</v>
      </c>
      <c r="E4789" s="113" t="s">
        <v>1620</v>
      </c>
      <c r="F4789" s="113" t="s">
        <v>7139</v>
      </c>
      <c r="G4789" s="113" t="s">
        <v>7145</v>
      </c>
      <c r="H4789" s="161">
        <v>0</v>
      </c>
      <c r="I4789" s="161" t="s">
        <v>7146</v>
      </c>
    </row>
    <row r="4790" spans="1:9">
      <c r="A4790" s="113">
        <v>100790429</v>
      </c>
      <c r="B4790" s="113" t="s">
        <v>7116</v>
      </c>
      <c r="C4790" s="113">
        <v>4005025</v>
      </c>
      <c r="D4790" s="113" t="s">
        <v>7139</v>
      </c>
      <c r="E4790" s="113" t="s">
        <v>1620</v>
      </c>
      <c r="F4790" s="113" t="s">
        <v>7139</v>
      </c>
      <c r="G4790" s="113" t="s">
        <v>7145</v>
      </c>
      <c r="H4790" s="161">
        <v>0</v>
      </c>
      <c r="I4790" s="161" t="s">
        <v>7146</v>
      </c>
    </row>
    <row r="4791" spans="1:9">
      <c r="A4791" s="113">
        <v>100790431</v>
      </c>
      <c r="B4791" s="113" t="s">
        <v>7116</v>
      </c>
      <c r="C4791" s="113">
        <v>4005027</v>
      </c>
      <c r="D4791" s="113" t="s">
        <v>7139</v>
      </c>
      <c r="E4791" s="113" t="s">
        <v>1620</v>
      </c>
      <c r="F4791" s="113" t="s">
        <v>7139</v>
      </c>
      <c r="G4791" s="113" t="s">
        <v>7145</v>
      </c>
      <c r="H4791" s="161">
        <v>0</v>
      </c>
      <c r="I4791" s="161" t="s">
        <v>7146</v>
      </c>
    </row>
    <row r="4792" spans="1:9">
      <c r="A4792" s="113">
        <v>100790433</v>
      </c>
      <c r="B4792" s="113" t="s">
        <v>7116</v>
      </c>
      <c r="C4792" s="113">
        <v>4005029</v>
      </c>
      <c r="D4792" s="113" t="s">
        <v>7139</v>
      </c>
      <c r="E4792" s="113" t="s">
        <v>1620</v>
      </c>
      <c r="F4792" s="113" t="s">
        <v>7139</v>
      </c>
      <c r="G4792" s="113" t="s">
        <v>7145</v>
      </c>
      <c r="H4792" s="161">
        <v>0</v>
      </c>
      <c r="I4792" s="161" t="s">
        <v>7146</v>
      </c>
    </row>
    <row r="4793" spans="1:9">
      <c r="A4793" s="113">
        <v>100790434</v>
      </c>
      <c r="B4793" s="113" t="s">
        <v>7116</v>
      </c>
      <c r="C4793" s="113">
        <v>4005030</v>
      </c>
      <c r="D4793" s="113" t="s">
        <v>7139</v>
      </c>
      <c r="E4793" s="113" t="s">
        <v>1620</v>
      </c>
      <c r="F4793" s="113" t="s">
        <v>7139</v>
      </c>
      <c r="G4793" s="113" t="s">
        <v>7145</v>
      </c>
      <c r="H4793" s="161">
        <v>0</v>
      </c>
      <c r="I4793" s="161" t="s">
        <v>7146</v>
      </c>
    </row>
    <row r="4794" spans="1:9">
      <c r="A4794" s="113">
        <v>100790435</v>
      </c>
      <c r="B4794" s="113" t="s">
        <v>7116</v>
      </c>
      <c r="C4794" s="113">
        <v>4005032</v>
      </c>
      <c r="D4794" s="113" t="s">
        <v>7139</v>
      </c>
      <c r="E4794" s="113" t="s">
        <v>1620</v>
      </c>
      <c r="F4794" s="113" t="s">
        <v>7139</v>
      </c>
      <c r="G4794" s="113" t="s">
        <v>7145</v>
      </c>
      <c r="H4794" s="161">
        <v>0</v>
      </c>
      <c r="I4794" s="161" t="s">
        <v>7146</v>
      </c>
    </row>
    <row r="4795" spans="1:9">
      <c r="A4795" s="113">
        <v>100790436</v>
      </c>
      <c r="B4795" s="113" t="s">
        <v>7116</v>
      </c>
      <c r="C4795" s="113">
        <v>4005033</v>
      </c>
      <c r="D4795" s="113" t="s">
        <v>7139</v>
      </c>
      <c r="E4795" s="113" t="s">
        <v>1620</v>
      </c>
      <c r="F4795" s="113" t="s">
        <v>7139</v>
      </c>
      <c r="G4795" s="113" t="s">
        <v>7145</v>
      </c>
      <c r="H4795" s="161">
        <v>0</v>
      </c>
      <c r="I4795" s="161" t="s">
        <v>7146</v>
      </c>
    </row>
    <row r="4796" spans="1:9">
      <c r="A4796" s="113">
        <v>100790437</v>
      </c>
      <c r="B4796" s="113" t="s">
        <v>7116</v>
      </c>
      <c r="C4796" s="113">
        <v>4005036</v>
      </c>
      <c r="D4796" s="113" t="s">
        <v>7139</v>
      </c>
      <c r="E4796" s="113" t="s">
        <v>1620</v>
      </c>
      <c r="F4796" s="113" t="s">
        <v>7139</v>
      </c>
      <c r="G4796" s="113" t="s">
        <v>7145</v>
      </c>
      <c r="H4796" s="161">
        <v>0</v>
      </c>
      <c r="I4796" s="161" t="s">
        <v>7146</v>
      </c>
    </row>
    <row r="4797" spans="1:9">
      <c r="A4797" s="113">
        <v>100790438</v>
      </c>
      <c r="B4797" s="113" t="s">
        <v>7116</v>
      </c>
      <c r="C4797" s="113">
        <v>4005037</v>
      </c>
      <c r="D4797" s="113" t="s">
        <v>7139</v>
      </c>
      <c r="E4797" s="113" t="s">
        <v>1620</v>
      </c>
      <c r="F4797" s="113" t="s">
        <v>7139</v>
      </c>
      <c r="G4797" s="113" t="s">
        <v>7145</v>
      </c>
      <c r="H4797" s="161">
        <v>0</v>
      </c>
      <c r="I4797" s="161" t="s">
        <v>7146</v>
      </c>
    </row>
    <row r="4798" spans="1:9">
      <c r="A4798" s="113">
        <v>100790439</v>
      </c>
      <c r="B4798" s="113" t="s">
        <v>7116</v>
      </c>
      <c r="C4798" s="113">
        <v>4005038</v>
      </c>
      <c r="D4798" s="113" t="s">
        <v>7139</v>
      </c>
      <c r="E4798" s="113" t="s">
        <v>1620</v>
      </c>
      <c r="F4798" s="113" t="s">
        <v>7139</v>
      </c>
      <c r="G4798" s="113" t="s">
        <v>7145</v>
      </c>
      <c r="H4798" s="161">
        <v>0</v>
      </c>
      <c r="I4798" s="161" t="s">
        <v>7146</v>
      </c>
    </row>
    <row r="4799" spans="1:9">
      <c r="A4799" s="113">
        <v>100790440</v>
      </c>
      <c r="B4799" s="113" t="s">
        <v>7116</v>
      </c>
      <c r="C4799" s="113">
        <v>4005039</v>
      </c>
      <c r="D4799" s="113" t="s">
        <v>7139</v>
      </c>
      <c r="E4799" s="113" t="s">
        <v>1620</v>
      </c>
      <c r="F4799" s="113" t="s">
        <v>7139</v>
      </c>
      <c r="G4799" s="113" t="s">
        <v>7145</v>
      </c>
      <c r="H4799" s="161">
        <v>0</v>
      </c>
      <c r="I4799" s="161" t="s">
        <v>7146</v>
      </c>
    </row>
    <row r="4800" spans="1:9">
      <c r="A4800" s="113">
        <v>100790442</v>
      </c>
      <c r="B4800" s="113" t="s">
        <v>7116</v>
      </c>
      <c r="C4800" s="113">
        <v>4005043</v>
      </c>
      <c r="D4800" s="113" t="s">
        <v>7139</v>
      </c>
      <c r="E4800" s="113" t="s">
        <v>1620</v>
      </c>
      <c r="F4800" s="113" t="s">
        <v>7139</v>
      </c>
      <c r="G4800" s="113" t="s">
        <v>7145</v>
      </c>
      <c r="H4800" s="161">
        <v>0</v>
      </c>
      <c r="I4800" s="161" t="s">
        <v>7146</v>
      </c>
    </row>
    <row r="4801" spans="1:9">
      <c r="A4801" s="113">
        <v>100790444</v>
      </c>
      <c r="B4801" s="113" t="s">
        <v>7116</v>
      </c>
      <c r="C4801" s="113">
        <v>4005049</v>
      </c>
      <c r="D4801" s="113" t="s">
        <v>7139</v>
      </c>
      <c r="E4801" s="113" t="s">
        <v>1620</v>
      </c>
      <c r="F4801" s="113" t="s">
        <v>7139</v>
      </c>
      <c r="G4801" s="113" t="s">
        <v>7145</v>
      </c>
      <c r="H4801" s="161">
        <v>0</v>
      </c>
      <c r="I4801" s="161" t="s">
        <v>7146</v>
      </c>
    </row>
    <row r="4802" spans="1:9">
      <c r="A4802" s="113">
        <v>100790446</v>
      </c>
      <c r="B4802" s="113" t="s">
        <v>7116</v>
      </c>
      <c r="C4802" s="113">
        <v>4005054</v>
      </c>
      <c r="D4802" s="113" t="s">
        <v>7139</v>
      </c>
      <c r="E4802" s="113" t="s">
        <v>1620</v>
      </c>
      <c r="F4802" s="113" t="s">
        <v>7139</v>
      </c>
      <c r="G4802" s="113" t="s">
        <v>7145</v>
      </c>
      <c r="H4802" s="161">
        <v>0</v>
      </c>
      <c r="I4802" s="161" t="s">
        <v>7146</v>
      </c>
    </row>
    <row r="4803" spans="1:9">
      <c r="A4803" s="113">
        <v>100790447</v>
      </c>
      <c r="B4803" s="113" t="s">
        <v>7116</v>
      </c>
      <c r="C4803" s="113">
        <v>4005055</v>
      </c>
      <c r="D4803" s="113" t="s">
        <v>7139</v>
      </c>
      <c r="E4803" s="113" t="s">
        <v>1620</v>
      </c>
      <c r="F4803" s="113" t="s">
        <v>7139</v>
      </c>
      <c r="G4803" s="113" t="s">
        <v>7145</v>
      </c>
      <c r="H4803" s="161">
        <v>0</v>
      </c>
      <c r="I4803" s="161" t="s">
        <v>7146</v>
      </c>
    </row>
    <row r="4804" spans="1:9">
      <c r="A4804" s="113">
        <v>100790448</v>
      </c>
      <c r="B4804" s="113" t="s">
        <v>7116</v>
      </c>
      <c r="C4804" s="113">
        <v>4005061</v>
      </c>
      <c r="D4804" s="113" t="s">
        <v>7139</v>
      </c>
      <c r="E4804" s="113" t="s">
        <v>1620</v>
      </c>
      <c r="F4804" s="113" t="s">
        <v>7139</v>
      </c>
      <c r="G4804" s="113" t="s">
        <v>7145</v>
      </c>
      <c r="H4804" s="161">
        <v>0</v>
      </c>
      <c r="I4804" s="161" t="s">
        <v>7146</v>
      </c>
    </row>
    <row r="4805" spans="1:9">
      <c r="A4805" s="113">
        <v>100790450</v>
      </c>
      <c r="B4805" s="113" t="s">
        <v>7116</v>
      </c>
      <c r="C4805" s="113">
        <v>4005075</v>
      </c>
      <c r="D4805" s="113" t="s">
        <v>7139</v>
      </c>
      <c r="E4805" s="113" t="s">
        <v>1620</v>
      </c>
      <c r="F4805" s="113" t="s">
        <v>7139</v>
      </c>
      <c r="G4805" s="113" t="s">
        <v>7145</v>
      </c>
      <c r="H4805" s="161">
        <v>0</v>
      </c>
      <c r="I4805" s="161" t="s">
        <v>7146</v>
      </c>
    </row>
    <row r="4806" spans="1:9">
      <c r="A4806" s="113">
        <v>100790453</v>
      </c>
      <c r="B4806" s="113" t="s">
        <v>7116</v>
      </c>
      <c r="C4806" s="113">
        <v>4005088</v>
      </c>
      <c r="D4806" s="113" t="s">
        <v>7139</v>
      </c>
      <c r="E4806" s="113" t="s">
        <v>1620</v>
      </c>
      <c r="F4806" s="113" t="s">
        <v>7139</v>
      </c>
      <c r="G4806" s="113" t="s">
        <v>7145</v>
      </c>
      <c r="H4806" s="161">
        <v>0</v>
      </c>
      <c r="I4806" s="161" t="s">
        <v>7146</v>
      </c>
    </row>
    <row r="4807" spans="1:9">
      <c r="A4807" s="113">
        <v>100790454</v>
      </c>
      <c r="B4807" s="113" t="s">
        <v>7116</v>
      </c>
      <c r="C4807" s="113">
        <v>4005091</v>
      </c>
      <c r="D4807" s="113" t="s">
        <v>7139</v>
      </c>
      <c r="E4807" s="113" t="s">
        <v>1620</v>
      </c>
      <c r="F4807" s="113" t="s">
        <v>7139</v>
      </c>
      <c r="G4807" s="113" t="s">
        <v>7145</v>
      </c>
      <c r="H4807" s="161">
        <v>0</v>
      </c>
      <c r="I4807" s="161" t="s">
        <v>7146</v>
      </c>
    </row>
    <row r="4808" spans="1:9">
      <c r="A4808" s="113">
        <v>100790455</v>
      </c>
      <c r="B4808" s="113" t="s">
        <v>7116</v>
      </c>
      <c r="C4808" s="113">
        <v>4005094</v>
      </c>
      <c r="D4808" s="113" t="s">
        <v>7139</v>
      </c>
      <c r="E4808" s="113" t="s">
        <v>1620</v>
      </c>
      <c r="F4808" s="113" t="s">
        <v>7139</v>
      </c>
      <c r="G4808" s="113" t="s">
        <v>7145</v>
      </c>
      <c r="H4808" s="161">
        <v>0</v>
      </c>
      <c r="I4808" s="161" t="s">
        <v>7146</v>
      </c>
    </row>
    <row r="4809" spans="1:9">
      <c r="A4809" s="113">
        <v>100790457</v>
      </c>
      <c r="B4809" s="113" t="s">
        <v>7116</v>
      </c>
      <c r="C4809" s="113">
        <v>4100001</v>
      </c>
      <c r="D4809" s="113" t="s">
        <v>7139</v>
      </c>
      <c r="E4809" s="113" t="s">
        <v>1620</v>
      </c>
      <c r="F4809" s="113" t="s">
        <v>7139</v>
      </c>
      <c r="G4809" s="113" t="s">
        <v>7145</v>
      </c>
      <c r="H4809" s="161">
        <v>0</v>
      </c>
      <c r="I4809" s="161" t="s">
        <v>7146</v>
      </c>
    </row>
    <row r="4810" spans="1:9">
      <c r="A4810" s="113">
        <v>100790458</v>
      </c>
      <c r="B4810" s="113" t="s">
        <v>7116</v>
      </c>
      <c r="C4810" s="113">
        <v>4100003</v>
      </c>
      <c r="D4810" s="113" t="s">
        <v>7139</v>
      </c>
      <c r="E4810" s="113" t="s">
        <v>1620</v>
      </c>
      <c r="F4810" s="113" t="s">
        <v>7139</v>
      </c>
      <c r="G4810" s="113" t="s">
        <v>7145</v>
      </c>
      <c r="H4810" s="161">
        <v>0</v>
      </c>
      <c r="I4810" s="161" t="s">
        <v>7146</v>
      </c>
    </row>
    <row r="4811" spans="1:9">
      <c r="A4811" s="113">
        <v>100790460</v>
      </c>
      <c r="B4811" s="113" t="s">
        <v>7116</v>
      </c>
      <c r="C4811" s="113">
        <v>4100010</v>
      </c>
      <c r="D4811" s="113" t="s">
        <v>7139</v>
      </c>
      <c r="E4811" s="113" t="s">
        <v>1620</v>
      </c>
      <c r="F4811" s="113" t="s">
        <v>7139</v>
      </c>
      <c r="G4811" s="113" t="s">
        <v>7145</v>
      </c>
      <c r="H4811" s="161">
        <v>0</v>
      </c>
      <c r="I4811" s="161" t="s">
        <v>7146</v>
      </c>
    </row>
    <row r="4812" spans="1:9">
      <c r="A4812" s="113">
        <v>100790461</v>
      </c>
      <c r="B4812" s="113" t="s">
        <v>7116</v>
      </c>
      <c r="C4812" s="113">
        <v>4100011</v>
      </c>
      <c r="D4812" s="113" t="s">
        <v>7139</v>
      </c>
      <c r="E4812" s="113" t="s">
        <v>1620</v>
      </c>
      <c r="F4812" s="113" t="s">
        <v>7139</v>
      </c>
      <c r="G4812" s="113" t="s">
        <v>7145</v>
      </c>
      <c r="H4812" s="161">
        <v>0</v>
      </c>
      <c r="I4812" s="161" t="s">
        <v>7146</v>
      </c>
    </row>
    <row r="4813" spans="1:9">
      <c r="A4813" s="113">
        <v>100790462</v>
      </c>
      <c r="B4813" s="113" t="s">
        <v>7116</v>
      </c>
      <c r="C4813" s="113">
        <v>4100012</v>
      </c>
      <c r="D4813" s="113" t="s">
        <v>7139</v>
      </c>
      <c r="E4813" s="113" t="s">
        <v>1620</v>
      </c>
      <c r="F4813" s="113" t="s">
        <v>7139</v>
      </c>
      <c r="G4813" s="113" t="s">
        <v>7145</v>
      </c>
      <c r="H4813" s="161">
        <v>0</v>
      </c>
      <c r="I4813" s="161" t="s">
        <v>7146</v>
      </c>
    </row>
    <row r="4814" spans="1:9">
      <c r="A4814" s="113">
        <v>100790463</v>
      </c>
      <c r="B4814" s="113" t="s">
        <v>7116</v>
      </c>
      <c r="C4814" s="113">
        <v>4101000</v>
      </c>
      <c r="D4814" s="113" t="s">
        <v>7139</v>
      </c>
      <c r="E4814" s="113" t="s">
        <v>1620</v>
      </c>
      <c r="F4814" s="113" t="s">
        <v>7139</v>
      </c>
      <c r="G4814" s="113" t="s">
        <v>7145</v>
      </c>
      <c r="H4814" s="161">
        <v>0</v>
      </c>
      <c r="I4814" s="161" t="s">
        <v>7146</v>
      </c>
    </row>
    <row r="4815" spans="1:9">
      <c r="A4815" s="113">
        <v>100790464</v>
      </c>
      <c r="B4815" s="113" t="s">
        <v>7116</v>
      </c>
      <c r="C4815" s="113">
        <v>4101001</v>
      </c>
      <c r="D4815" s="113" t="s">
        <v>7139</v>
      </c>
      <c r="E4815" s="113" t="s">
        <v>1620</v>
      </c>
      <c r="F4815" s="113" t="s">
        <v>7139</v>
      </c>
      <c r="G4815" s="113" t="s">
        <v>7145</v>
      </c>
      <c r="H4815" s="161">
        <v>0</v>
      </c>
      <c r="I4815" s="161" t="s">
        <v>7146</v>
      </c>
    </row>
    <row r="4816" spans="1:9">
      <c r="A4816" s="113">
        <v>100790465</v>
      </c>
      <c r="B4816" s="113" t="s">
        <v>7116</v>
      </c>
      <c r="C4816" s="113">
        <v>4101003</v>
      </c>
      <c r="D4816" s="113" t="s">
        <v>7139</v>
      </c>
      <c r="E4816" s="113" t="s">
        <v>1620</v>
      </c>
      <c r="F4816" s="113" t="s">
        <v>7139</v>
      </c>
      <c r="G4816" s="113" t="s">
        <v>7145</v>
      </c>
      <c r="H4816" s="161">
        <v>0</v>
      </c>
      <c r="I4816" s="161" t="s">
        <v>7146</v>
      </c>
    </row>
    <row r="4817" spans="1:9">
      <c r="A4817" s="113">
        <v>100790469</v>
      </c>
      <c r="B4817" s="113" t="s">
        <v>7116</v>
      </c>
      <c r="C4817" s="113">
        <v>4101010</v>
      </c>
      <c r="D4817" s="113" t="s">
        <v>7139</v>
      </c>
      <c r="E4817" s="113" t="s">
        <v>1620</v>
      </c>
      <c r="F4817" s="113" t="s">
        <v>7139</v>
      </c>
      <c r="G4817" s="113" t="s">
        <v>7145</v>
      </c>
      <c r="H4817" s="161">
        <v>0</v>
      </c>
      <c r="I4817" s="161" t="s">
        <v>7146</v>
      </c>
    </row>
    <row r="4818" spans="1:9">
      <c r="A4818" s="113">
        <v>100790470</v>
      </c>
      <c r="B4818" s="113" t="s">
        <v>7116</v>
      </c>
      <c r="C4818" s="113">
        <v>4101013</v>
      </c>
      <c r="D4818" s="113" t="s">
        <v>7139</v>
      </c>
      <c r="E4818" s="113" t="s">
        <v>1620</v>
      </c>
      <c r="F4818" s="113" t="s">
        <v>7139</v>
      </c>
      <c r="G4818" s="113" t="s">
        <v>7145</v>
      </c>
      <c r="H4818" s="161">
        <v>0</v>
      </c>
      <c r="I4818" s="161" t="s">
        <v>7146</v>
      </c>
    </row>
    <row r="4819" spans="1:9">
      <c r="A4819" s="113">
        <v>100790471</v>
      </c>
      <c r="B4819" s="113" t="s">
        <v>7116</v>
      </c>
      <c r="C4819" s="113">
        <v>4102001</v>
      </c>
      <c r="D4819" s="113" t="s">
        <v>7139</v>
      </c>
      <c r="E4819" s="113" t="s">
        <v>1620</v>
      </c>
      <c r="F4819" s="113" t="s">
        <v>7139</v>
      </c>
      <c r="G4819" s="113" t="s">
        <v>7145</v>
      </c>
      <c r="H4819" s="161">
        <v>0</v>
      </c>
      <c r="I4819" s="161" t="s">
        <v>7146</v>
      </c>
    </row>
    <row r="4820" spans="1:9">
      <c r="A4820" s="113">
        <v>100790476</v>
      </c>
      <c r="B4820" s="113" t="s">
        <v>7116</v>
      </c>
      <c r="C4820" s="113">
        <v>4103003</v>
      </c>
      <c r="D4820" s="113" t="s">
        <v>7139</v>
      </c>
      <c r="E4820" s="113" t="s">
        <v>1620</v>
      </c>
      <c r="F4820" s="113" t="s">
        <v>7139</v>
      </c>
      <c r="G4820" s="113" t="s">
        <v>7145</v>
      </c>
      <c r="H4820" s="161">
        <v>0</v>
      </c>
      <c r="I4820" s="161" t="s">
        <v>7146</v>
      </c>
    </row>
    <row r="4821" spans="1:9">
      <c r="A4821" s="113">
        <v>100790477</v>
      </c>
      <c r="B4821" s="113" t="s">
        <v>7116</v>
      </c>
      <c r="C4821" s="113">
        <v>4103004</v>
      </c>
      <c r="D4821" s="113" t="s">
        <v>7139</v>
      </c>
      <c r="E4821" s="113" t="s">
        <v>1620</v>
      </c>
      <c r="F4821" s="113" t="s">
        <v>7139</v>
      </c>
      <c r="G4821" s="113" t="s">
        <v>7145</v>
      </c>
      <c r="H4821" s="161">
        <v>0</v>
      </c>
      <c r="I4821" s="161" t="s">
        <v>7146</v>
      </c>
    </row>
    <row r="4822" spans="1:9">
      <c r="A4822" s="113">
        <v>100790481</v>
      </c>
      <c r="B4822" s="113" t="s">
        <v>7116</v>
      </c>
      <c r="C4822" s="113">
        <v>4104001</v>
      </c>
      <c r="D4822" s="113" t="s">
        <v>7139</v>
      </c>
      <c r="E4822" s="113" t="s">
        <v>1620</v>
      </c>
      <c r="F4822" s="113" t="s">
        <v>7139</v>
      </c>
      <c r="G4822" s="113" t="s">
        <v>7145</v>
      </c>
      <c r="H4822" s="161">
        <v>0</v>
      </c>
      <c r="I4822" s="161" t="s">
        <v>7146</v>
      </c>
    </row>
    <row r="4823" spans="1:9">
      <c r="A4823" s="113">
        <v>100790482</v>
      </c>
      <c r="B4823" s="113" t="s">
        <v>7116</v>
      </c>
      <c r="C4823" s="113">
        <v>4104002</v>
      </c>
      <c r="D4823" s="113" t="s">
        <v>7139</v>
      </c>
      <c r="E4823" s="113" t="s">
        <v>1620</v>
      </c>
      <c r="F4823" s="113" t="s">
        <v>7139</v>
      </c>
      <c r="G4823" s="113" t="s">
        <v>7145</v>
      </c>
      <c r="H4823" s="161">
        <v>0</v>
      </c>
      <c r="I4823" s="161" t="s">
        <v>7146</v>
      </c>
    </row>
    <row r="4824" spans="1:9">
      <c r="A4824" s="113">
        <v>100790483</v>
      </c>
      <c r="B4824" s="113" t="s">
        <v>7116</v>
      </c>
      <c r="C4824" s="113">
        <v>4104003</v>
      </c>
      <c r="D4824" s="113" t="s">
        <v>7139</v>
      </c>
      <c r="E4824" s="113" t="s">
        <v>1620</v>
      </c>
      <c r="F4824" s="113" t="s">
        <v>7139</v>
      </c>
      <c r="G4824" s="113" t="s">
        <v>7145</v>
      </c>
      <c r="H4824" s="161">
        <v>0</v>
      </c>
      <c r="I4824" s="161" t="s">
        <v>7146</v>
      </c>
    </row>
    <row r="4825" spans="1:9">
      <c r="A4825" s="113">
        <v>100790484</v>
      </c>
      <c r="B4825" s="113" t="s">
        <v>7116</v>
      </c>
      <c r="C4825" s="113">
        <v>4104004</v>
      </c>
      <c r="D4825" s="113" t="s">
        <v>7139</v>
      </c>
      <c r="E4825" s="113" t="s">
        <v>1620</v>
      </c>
      <c r="F4825" s="113" t="s">
        <v>7139</v>
      </c>
      <c r="G4825" s="113" t="s">
        <v>7145</v>
      </c>
      <c r="H4825" s="161">
        <v>0</v>
      </c>
      <c r="I4825" s="161" t="s">
        <v>7146</v>
      </c>
    </row>
    <row r="4826" spans="1:9">
      <c r="A4826" s="113">
        <v>100790486</v>
      </c>
      <c r="B4826" s="113" t="s">
        <v>7116</v>
      </c>
      <c r="C4826" s="113">
        <v>4104007</v>
      </c>
      <c r="D4826" s="113" t="s">
        <v>7139</v>
      </c>
      <c r="E4826" s="113" t="s">
        <v>1620</v>
      </c>
      <c r="F4826" s="113" t="s">
        <v>7139</v>
      </c>
      <c r="G4826" s="113" t="s">
        <v>7145</v>
      </c>
      <c r="H4826" s="161">
        <v>0</v>
      </c>
      <c r="I4826" s="161" t="s">
        <v>7146</v>
      </c>
    </row>
    <row r="4827" spans="1:9">
      <c r="A4827" s="113">
        <v>100790487</v>
      </c>
      <c r="B4827" s="113" t="s">
        <v>7116</v>
      </c>
      <c r="C4827" s="113">
        <v>4104008</v>
      </c>
      <c r="D4827" s="113" t="s">
        <v>7139</v>
      </c>
      <c r="E4827" s="113" t="s">
        <v>1620</v>
      </c>
      <c r="F4827" s="113" t="s">
        <v>7139</v>
      </c>
      <c r="G4827" s="113" t="s">
        <v>7145</v>
      </c>
      <c r="H4827" s="161">
        <v>0</v>
      </c>
      <c r="I4827" s="161" t="s">
        <v>7146</v>
      </c>
    </row>
    <row r="4828" spans="1:9">
      <c r="A4828" s="113">
        <v>100790490</v>
      </c>
      <c r="B4828" s="113" t="s">
        <v>7116</v>
      </c>
      <c r="C4828" s="113">
        <v>4104011</v>
      </c>
      <c r="D4828" s="113" t="s">
        <v>7139</v>
      </c>
      <c r="E4828" s="113" t="s">
        <v>1620</v>
      </c>
      <c r="F4828" s="113" t="s">
        <v>7139</v>
      </c>
      <c r="G4828" s="115" t="s">
        <v>7145</v>
      </c>
      <c r="H4828" s="161">
        <v>0</v>
      </c>
      <c r="I4828" s="161" t="s">
        <v>7146</v>
      </c>
    </row>
    <row r="4829" spans="1:9">
      <c r="A4829" s="113">
        <v>100790491</v>
      </c>
      <c r="B4829" s="113" t="s">
        <v>7116</v>
      </c>
      <c r="C4829" s="113">
        <v>4104012</v>
      </c>
      <c r="D4829" s="113" t="s">
        <v>7139</v>
      </c>
      <c r="E4829" s="113" t="s">
        <v>1620</v>
      </c>
      <c r="F4829" s="113" t="s">
        <v>7139</v>
      </c>
      <c r="G4829" s="113" t="s">
        <v>7145</v>
      </c>
      <c r="H4829" s="161">
        <v>0</v>
      </c>
      <c r="I4829" s="161" t="s">
        <v>7146</v>
      </c>
    </row>
    <row r="4830" spans="1:9">
      <c r="A4830" s="113">
        <v>100790492</v>
      </c>
      <c r="B4830" s="113" t="s">
        <v>7116</v>
      </c>
      <c r="C4830" s="113">
        <v>4104013</v>
      </c>
      <c r="D4830" s="113" t="s">
        <v>7139</v>
      </c>
      <c r="E4830" s="113" t="s">
        <v>1620</v>
      </c>
      <c r="F4830" s="113" t="s">
        <v>7139</v>
      </c>
      <c r="G4830" s="113" t="s">
        <v>7145</v>
      </c>
      <c r="H4830" s="161">
        <v>0</v>
      </c>
      <c r="I4830" s="161" t="s">
        <v>7146</v>
      </c>
    </row>
    <row r="4831" spans="1:9">
      <c r="A4831" s="113">
        <v>100790493</v>
      </c>
      <c r="B4831" s="113" t="s">
        <v>7116</v>
      </c>
      <c r="C4831" s="113">
        <v>4104014</v>
      </c>
      <c r="D4831" s="113" t="s">
        <v>7139</v>
      </c>
      <c r="E4831" s="113" t="s">
        <v>1620</v>
      </c>
      <c r="F4831" s="113" t="s">
        <v>7139</v>
      </c>
      <c r="G4831" s="113" t="s">
        <v>7145</v>
      </c>
      <c r="H4831" s="161">
        <v>0</v>
      </c>
      <c r="I4831" s="161" t="s">
        <v>7146</v>
      </c>
    </row>
    <row r="4832" spans="1:9">
      <c r="A4832" s="113">
        <v>100790494</v>
      </c>
      <c r="B4832" s="113" t="s">
        <v>7116</v>
      </c>
      <c r="C4832" s="113">
        <v>4104015</v>
      </c>
      <c r="D4832" s="113" t="s">
        <v>7139</v>
      </c>
      <c r="E4832" s="113" t="s">
        <v>1620</v>
      </c>
      <c r="F4832" s="113" t="s">
        <v>7139</v>
      </c>
      <c r="G4832" s="113" t="s">
        <v>7145</v>
      </c>
      <c r="H4832" s="161">
        <v>0</v>
      </c>
      <c r="I4832" s="161" t="s">
        <v>7146</v>
      </c>
    </row>
    <row r="4833" spans="1:9">
      <c r="A4833" s="113">
        <v>100790495</v>
      </c>
      <c r="B4833" s="113" t="s">
        <v>7116</v>
      </c>
      <c r="C4833" s="113">
        <v>4104016</v>
      </c>
      <c r="D4833" s="113" t="s">
        <v>7139</v>
      </c>
      <c r="E4833" s="113" t="s">
        <v>1620</v>
      </c>
      <c r="F4833" s="113" t="s">
        <v>7139</v>
      </c>
      <c r="G4833" s="113" t="s">
        <v>7145</v>
      </c>
      <c r="H4833" s="161">
        <v>0</v>
      </c>
      <c r="I4833" s="161" t="s">
        <v>7146</v>
      </c>
    </row>
    <row r="4834" spans="1:9">
      <c r="A4834" s="113">
        <v>100790497</v>
      </c>
      <c r="B4834" s="113" t="s">
        <v>7116</v>
      </c>
      <c r="C4834" s="113">
        <v>4104019</v>
      </c>
      <c r="D4834" s="113" t="s">
        <v>7139</v>
      </c>
      <c r="E4834" s="113" t="s">
        <v>1620</v>
      </c>
      <c r="F4834" s="113" t="s">
        <v>7139</v>
      </c>
      <c r="G4834" s="113" t="s">
        <v>7145</v>
      </c>
      <c r="H4834" s="161">
        <v>0</v>
      </c>
      <c r="I4834" s="161" t="s">
        <v>7146</v>
      </c>
    </row>
    <row r="4835" spans="1:9">
      <c r="A4835" s="113">
        <v>100790499</v>
      </c>
      <c r="B4835" s="113" t="s">
        <v>7116</v>
      </c>
      <c r="C4835" s="113">
        <v>4104021</v>
      </c>
      <c r="D4835" s="113" t="s">
        <v>7139</v>
      </c>
      <c r="E4835" s="113" t="s">
        <v>1620</v>
      </c>
      <c r="F4835" s="113" t="s">
        <v>7139</v>
      </c>
      <c r="G4835" s="113" t="s">
        <v>7145</v>
      </c>
      <c r="H4835" s="161">
        <v>0</v>
      </c>
      <c r="I4835" s="161" t="s">
        <v>7146</v>
      </c>
    </row>
    <row r="4836" spans="1:9">
      <c r="A4836" s="113">
        <v>100790500</v>
      </c>
      <c r="B4836" s="113" t="s">
        <v>7116</v>
      </c>
      <c r="C4836" s="113">
        <v>4104022</v>
      </c>
      <c r="D4836" s="113" t="s">
        <v>7139</v>
      </c>
      <c r="E4836" s="113" t="s">
        <v>1620</v>
      </c>
      <c r="F4836" s="113" t="s">
        <v>7139</v>
      </c>
      <c r="G4836" s="113" t="s">
        <v>7145</v>
      </c>
      <c r="H4836" s="161">
        <v>0</v>
      </c>
      <c r="I4836" s="161" t="s">
        <v>7146</v>
      </c>
    </row>
    <row r="4837" spans="1:9">
      <c r="A4837" s="113">
        <v>100790501</v>
      </c>
      <c r="B4837" s="113" t="s">
        <v>7116</v>
      </c>
      <c r="C4837" s="113">
        <v>4104023</v>
      </c>
      <c r="D4837" s="113" t="s">
        <v>7139</v>
      </c>
      <c r="E4837" s="113" t="s">
        <v>1620</v>
      </c>
      <c r="F4837" s="113" t="s">
        <v>7139</v>
      </c>
      <c r="G4837" s="113" t="s">
        <v>7145</v>
      </c>
      <c r="H4837" s="161">
        <v>0</v>
      </c>
      <c r="I4837" s="161" t="s">
        <v>7146</v>
      </c>
    </row>
    <row r="4838" spans="1:9">
      <c r="A4838" s="113">
        <v>100790502</v>
      </c>
      <c r="B4838" s="113" t="s">
        <v>7116</v>
      </c>
      <c r="C4838" s="113">
        <v>4104024</v>
      </c>
      <c r="D4838" s="113" t="s">
        <v>7139</v>
      </c>
      <c r="E4838" s="113" t="s">
        <v>1620</v>
      </c>
      <c r="F4838" s="113" t="s">
        <v>7139</v>
      </c>
      <c r="G4838" s="113" t="s">
        <v>7145</v>
      </c>
      <c r="H4838" s="161">
        <v>0</v>
      </c>
      <c r="I4838" s="161" t="s">
        <v>7146</v>
      </c>
    </row>
    <row r="4839" spans="1:9">
      <c r="A4839" s="113">
        <v>100790503</v>
      </c>
      <c r="B4839" s="113" t="s">
        <v>7116</v>
      </c>
      <c r="C4839" s="113">
        <v>4104025</v>
      </c>
      <c r="D4839" s="113" t="s">
        <v>7139</v>
      </c>
      <c r="E4839" s="113" t="s">
        <v>1620</v>
      </c>
      <c r="F4839" s="113" t="s">
        <v>7139</v>
      </c>
      <c r="G4839" s="113" t="s">
        <v>7145</v>
      </c>
      <c r="H4839" s="161">
        <v>0</v>
      </c>
      <c r="I4839" s="161" t="s">
        <v>7146</v>
      </c>
    </row>
    <row r="4840" spans="1:9">
      <c r="A4840" s="113">
        <v>100790504</v>
      </c>
      <c r="B4840" s="113" t="s">
        <v>7116</v>
      </c>
      <c r="C4840" s="113">
        <v>4104026</v>
      </c>
      <c r="D4840" s="113" t="s">
        <v>7139</v>
      </c>
      <c r="E4840" s="113" t="s">
        <v>1620</v>
      </c>
      <c r="F4840" s="113" t="s">
        <v>7139</v>
      </c>
      <c r="G4840" s="113" t="s">
        <v>7145</v>
      </c>
      <c r="H4840" s="161">
        <v>0</v>
      </c>
      <c r="I4840" s="161" t="s">
        <v>7146</v>
      </c>
    </row>
    <row r="4841" spans="1:9">
      <c r="A4841" s="113">
        <v>100790505</v>
      </c>
      <c r="B4841" s="113" t="s">
        <v>7116</v>
      </c>
      <c r="C4841" s="113">
        <v>4104027</v>
      </c>
      <c r="D4841" s="113" t="s">
        <v>7139</v>
      </c>
      <c r="E4841" s="113" t="s">
        <v>1620</v>
      </c>
      <c r="F4841" s="113" t="s">
        <v>7139</v>
      </c>
      <c r="G4841" s="113" t="s">
        <v>7145</v>
      </c>
      <c r="H4841" s="161">
        <v>0</v>
      </c>
      <c r="I4841" s="161" t="s">
        <v>7146</v>
      </c>
    </row>
    <row r="4842" spans="1:9">
      <c r="A4842" s="113">
        <v>100790506</v>
      </c>
      <c r="B4842" s="113" t="s">
        <v>7116</v>
      </c>
      <c r="C4842" s="113">
        <v>4104028</v>
      </c>
      <c r="D4842" s="113" t="s">
        <v>7139</v>
      </c>
      <c r="E4842" s="113" t="s">
        <v>1620</v>
      </c>
      <c r="F4842" s="113" t="s">
        <v>7139</v>
      </c>
      <c r="G4842" s="113" t="s">
        <v>7145</v>
      </c>
      <c r="H4842" s="161">
        <v>0</v>
      </c>
      <c r="I4842" s="161" t="s">
        <v>7146</v>
      </c>
    </row>
    <row r="4843" spans="1:9">
      <c r="A4843" s="113">
        <v>100790508</v>
      </c>
      <c r="B4843" s="113" t="s">
        <v>7116</v>
      </c>
      <c r="C4843" s="113">
        <v>4104032</v>
      </c>
      <c r="D4843" s="113" t="s">
        <v>7139</v>
      </c>
      <c r="E4843" s="113" t="s">
        <v>1620</v>
      </c>
      <c r="F4843" s="113" t="s">
        <v>7139</v>
      </c>
      <c r="G4843" s="113" t="s">
        <v>7145</v>
      </c>
      <c r="H4843" s="161">
        <v>0</v>
      </c>
      <c r="I4843" s="161" t="s">
        <v>7146</v>
      </c>
    </row>
    <row r="4844" spans="1:9">
      <c r="A4844" s="113">
        <v>100790509</v>
      </c>
      <c r="B4844" s="113" t="s">
        <v>7116</v>
      </c>
      <c r="C4844" s="113">
        <v>4104033</v>
      </c>
      <c r="D4844" s="113" t="s">
        <v>7139</v>
      </c>
      <c r="E4844" s="113" t="s">
        <v>1620</v>
      </c>
      <c r="F4844" s="113" t="s">
        <v>7139</v>
      </c>
      <c r="G4844" s="113" t="s">
        <v>7145</v>
      </c>
      <c r="H4844" s="161">
        <v>0</v>
      </c>
      <c r="I4844" s="161" t="s">
        <v>7146</v>
      </c>
    </row>
    <row r="4845" spans="1:9">
      <c r="A4845" s="113">
        <v>100790510</v>
      </c>
      <c r="B4845" s="113" t="s">
        <v>7116</v>
      </c>
      <c r="C4845" s="113">
        <v>4104034</v>
      </c>
      <c r="D4845" s="113" t="s">
        <v>7139</v>
      </c>
      <c r="E4845" s="113" t="s">
        <v>1620</v>
      </c>
      <c r="F4845" s="113" t="s">
        <v>7139</v>
      </c>
      <c r="G4845" s="113" t="s">
        <v>7145</v>
      </c>
      <c r="H4845" s="161">
        <v>0</v>
      </c>
      <c r="I4845" s="161" t="s">
        <v>7146</v>
      </c>
    </row>
    <row r="4846" spans="1:9">
      <c r="A4846" s="113">
        <v>100790512</v>
      </c>
      <c r="B4846" s="113" t="s">
        <v>7116</v>
      </c>
      <c r="C4846" s="113">
        <v>4104036</v>
      </c>
      <c r="D4846" s="113" t="s">
        <v>7139</v>
      </c>
      <c r="E4846" s="113" t="s">
        <v>1620</v>
      </c>
      <c r="F4846" s="113" t="s">
        <v>7139</v>
      </c>
      <c r="G4846" s="113" t="s">
        <v>7145</v>
      </c>
      <c r="H4846" s="161">
        <v>0</v>
      </c>
      <c r="I4846" s="161" t="s">
        <v>7146</v>
      </c>
    </row>
    <row r="4847" spans="1:9">
      <c r="A4847" s="113">
        <v>100790513</v>
      </c>
      <c r="B4847" s="113" t="s">
        <v>7116</v>
      </c>
      <c r="C4847" s="113">
        <v>4104037</v>
      </c>
      <c r="D4847" s="113" t="s">
        <v>7139</v>
      </c>
      <c r="E4847" s="113" t="s">
        <v>1620</v>
      </c>
      <c r="F4847" s="113" t="s">
        <v>7139</v>
      </c>
      <c r="G4847" s="113" t="s">
        <v>7145</v>
      </c>
      <c r="H4847" s="161">
        <v>0</v>
      </c>
      <c r="I4847" s="161" t="s">
        <v>7146</v>
      </c>
    </row>
    <row r="4848" spans="1:9">
      <c r="A4848" s="113">
        <v>100790515</v>
      </c>
      <c r="B4848" s="113" t="s">
        <v>7116</v>
      </c>
      <c r="C4848" s="113">
        <v>4104039</v>
      </c>
      <c r="D4848" s="113" t="s">
        <v>7139</v>
      </c>
      <c r="E4848" s="113" t="s">
        <v>1620</v>
      </c>
      <c r="F4848" s="113" t="s">
        <v>7139</v>
      </c>
      <c r="G4848" s="113" t="s">
        <v>7145</v>
      </c>
      <c r="H4848" s="161">
        <v>0</v>
      </c>
      <c r="I4848" s="161" t="s">
        <v>7146</v>
      </c>
    </row>
    <row r="4849" spans="1:9">
      <c r="A4849" s="113">
        <v>100790516</v>
      </c>
      <c r="B4849" s="113" t="s">
        <v>7116</v>
      </c>
      <c r="C4849" s="113">
        <v>4104040</v>
      </c>
      <c r="D4849" s="113" t="s">
        <v>7139</v>
      </c>
      <c r="E4849" s="113" t="s">
        <v>1620</v>
      </c>
      <c r="F4849" s="113" t="s">
        <v>7139</v>
      </c>
      <c r="G4849" s="113" t="s">
        <v>7145</v>
      </c>
      <c r="H4849" s="161">
        <v>0</v>
      </c>
      <c r="I4849" s="161" t="s">
        <v>7146</v>
      </c>
    </row>
    <row r="4850" spans="1:9">
      <c r="A4850" s="113">
        <v>100790518</v>
      </c>
      <c r="B4850" s="113" t="s">
        <v>7116</v>
      </c>
      <c r="C4850" s="113">
        <v>4104043</v>
      </c>
      <c r="D4850" s="113" t="s">
        <v>7139</v>
      </c>
      <c r="E4850" s="113" t="s">
        <v>1620</v>
      </c>
      <c r="F4850" s="113" t="s">
        <v>7139</v>
      </c>
      <c r="G4850" s="113" t="s">
        <v>7145</v>
      </c>
      <c r="H4850" s="161">
        <v>0</v>
      </c>
      <c r="I4850" s="161" t="s">
        <v>7146</v>
      </c>
    </row>
    <row r="4851" spans="1:9">
      <c r="A4851" s="113">
        <v>100790519</v>
      </c>
      <c r="B4851" s="113" t="s">
        <v>7116</v>
      </c>
      <c r="C4851" s="113">
        <v>4104044</v>
      </c>
      <c r="D4851" s="113" t="s">
        <v>7139</v>
      </c>
      <c r="E4851" s="113" t="s">
        <v>1620</v>
      </c>
      <c r="F4851" s="113" t="s">
        <v>7139</v>
      </c>
      <c r="G4851" s="113" t="s">
        <v>7145</v>
      </c>
      <c r="H4851" s="161">
        <v>0</v>
      </c>
      <c r="I4851" s="161" t="s">
        <v>7146</v>
      </c>
    </row>
    <row r="4852" spans="1:9">
      <c r="A4852" s="113">
        <v>100790520</v>
      </c>
      <c r="B4852" s="113" t="s">
        <v>7116</v>
      </c>
      <c r="C4852" s="113">
        <v>4104045</v>
      </c>
      <c r="D4852" s="113" t="s">
        <v>7139</v>
      </c>
      <c r="E4852" s="113" t="s">
        <v>1620</v>
      </c>
      <c r="F4852" s="113" t="s">
        <v>7139</v>
      </c>
      <c r="G4852" s="113" t="s">
        <v>7145</v>
      </c>
      <c r="H4852" s="161">
        <v>0</v>
      </c>
      <c r="I4852" s="161" t="s">
        <v>7146</v>
      </c>
    </row>
    <row r="4853" spans="1:9">
      <c r="A4853" s="113">
        <v>100790521</v>
      </c>
      <c r="B4853" s="113" t="s">
        <v>7116</v>
      </c>
      <c r="C4853" s="113">
        <v>4104046</v>
      </c>
      <c r="D4853" s="113" t="s">
        <v>7139</v>
      </c>
      <c r="E4853" s="113" t="s">
        <v>1620</v>
      </c>
      <c r="F4853" s="113" t="s">
        <v>7139</v>
      </c>
      <c r="G4853" s="113" t="s">
        <v>7145</v>
      </c>
      <c r="H4853" s="161">
        <v>0</v>
      </c>
      <c r="I4853" s="161" t="s">
        <v>7146</v>
      </c>
    </row>
    <row r="4854" spans="1:9">
      <c r="A4854" s="113">
        <v>100790522</v>
      </c>
      <c r="B4854" s="113" t="s">
        <v>7116</v>
      </c>
      <c r="C4854" s="113">
        <v>4104047</v>
      </c>
      <c r="D4854" s="113" t="s">
        <v>7139</v>
      </c>
      <c r="E4854" s="113" t="s">
        <v>1620</v>
      </c>
      <c r="F4854" s="113" t="s">
        <v>7139</v>
      </c>
      <c r="G4854" s="113" t="s">
        <v>7145</v>
      </c>
      <c r="H4854" s="161">
        <v>0</v>
      </c>
      <c r="I4854" s="161" t="s">
        <v>7146</v>
      </c>
    </row>
    <row r="4855" spans="1:9">
      <c r="A4855" s="113">
        <v>100790524</v>
      </c>
      <c r="B4855" s="113" t="s">
        <v>7116</v>
      </c>
      <c r="C4855" s="113">
        <v>4104049</v>
      </c>
      <c r="D4855" s="113" t="s">
        <v>7139</v>
      </c>
      <c r="E4855" s="113" t="s">
        <v>1620</v>
      </c>
      <c r="F4855" s="113" t="s">
        <v>7139</v>
      </c>
      <c r="G4855" s="113" t="s">
        <v>7145</v>
      </c>
      <c r="H4855" s="161">
        <v>0</v>
      </c>
      <c r="I4855" s="161" t="s">
        <v>7146</v>
      </c>
    </row>
    <row r="4856" spans="1:9">
      <c r="A4856" s="113">
        <v>100790526</v>
      </c>
      <c r="B4856" s="113" t="s">
        <v>7116</v>
      </c>
      <c r="C4856" s="113">
        <v>4104051</v>
      </c>
      <c r="D4856" s="113" t="s">
        <v>7139</v>
      </c>
      <c r="E4856" s="113" t="s">
        <v>1620</v>
      </c>
      <c r="F4856" s="113" t="s">
        <v>7139</v>
      </c>
      <c r="G4856" s="113" t="s">
        <v>7145</v>
      </c>
      <c r="H4856" s="161">
        <v>0</v>
      </c>
      <c r="I4856" s="161" t="s">
        <v>7146</v>
      </c>
    </row>
    <row r="4857" spans="1:9">
      <c r="A4857" s="113">
        <v>100790527</v>
      </c>
      <c r="B4857" s="113" t="s">
        <v>7116</v>
      </c>
      <c r="C4857" s="113">
        <v>4104052</v>
      </c>
      <c r="D4857" s="113" t="s">
        <v>7139</v>
      </c>
      <c r="E4857" s="113" t="s">
        <v>1620</v>
      </c>
      <c r="F4857" s="113" t="s">
        <v>7139</v>
      </c>
      <c r="G4857" s="113" t="s">
        <v>7145</v>
      </c>
      <c r="H4857" s="161">
        <v>0</v>
      </c>
      <c r="I4857" s="161" t="s">
        <v>7146</v>
      </c>
    </row>
    <row r="4858" spans="1:9">
      <c r="A4858" s="113">
        <v>100790529</v>
      </c>
      <c r="B4858" s="113" t="s">
        <v>7116</v>
      </c>
      <c r="C4858" s="113">
        <v>4104054</v>
      </c>
      <c r="D4858" s="113" t="s">
        <v>7139</v>
      </c>
      <c r="E4858" s="113" t="s">
        <v>1620</v>
      </c>
      <c r="F4858" s="113" t="s">
        <v>7139</v>
      </c>
      <c r="G4858" s="113" t="s">
        <v>7145</v>
      </c>
      <c r="H4858" s="161">
        <v>0</v>
      </c>
      <c r="I4858" s="161" t="s">
        <v>7146</v>
      </c>
    </row>
    <row r="4859" spans="1:9">
      <c r="A4859" s="113">
        <v>100790530</v>
      </c>
      <c r="B4859" s="113" t="s">
        <v>7116</v>
      </c>
      <c r="C4859" s="113">
        <v>4104056</v>
      </c>
      <c r="D4859" s="113" t="s">
        <v>7139</v>
      </c>
      <c r="E4859" s="113" t="s">
        <v>1620</v>
      </c>
      <c r="F4859" s="113" t="s">
        <v>7139</v>
      </c>
      <c r="G4859" s="113" t="s">
        <v>7145</v>
      </c>
      <c r="H4859" s="161">
        <v>0</v>
      </c>
      <c r="I4859" s="161" t="s">
        <v>7146</v>
      </c>
    </row>
    <row r="4860" spans="1:9">
      <c r="A4860" s="113">
        <v>100790532</v>
      </c>
      <c r="B4860" s="113" t="s">
        <v>7116</v>
      </c>
      <c r="C4860" s="113">
        <v>4104059</v>
      </c>
      <c r="D4860" s="113" t="s">
        <v>7139</v>
      </c>
      <c r="E4860" s="113" t="s">
        <v>1620</v>
      </c>
      <c r="F4860" s="113" t="s">
        <v>7139</v>
      </c>
      <c r="G4860" s="113" t="s">
        <v>7145</v>
      </c>
      <c r="H4860" s="161">
        <v>0</v>
      </c>
      <c r="I4860" s="161" t="s">
        <v>7146</v>
      </c>
    </row>
    <row r="4861" spans="1:9">
      <c r="A4861" s="113">
        <v>100790534</v>
      </c>
      <c r="B4861" s="113" t="s">
        <v>7116</v>
      </c>
      <c r="C4861" s="113">
        <v>4104061</v>
      </c>
      <c r="D4861" s="113" t="s">
        <v>7139</v>
      </c>
      <c r="E4861" s="113" t="s">
        <v>1620</v>
      </c>
      <c r="F4861" s="113" t="s">
        <v>7139</v>
      </c>
      <c r="G4861" s="113" t="s">
        <v>7145</v>
      </c>
      <c r="H4861" s="161">
        <v>0</v>
      </c>
      <c r="I4861" s="161" t="s">
        <v>7146</v>
      </c>
    </row>
    <row r="4862" spans="1:9">
      <c r="A4862" s="113">
        <v>100790536</v>
      </c>
      <c r="B4862" s="113" t="s">
        <v>7116</v>
      </c>
      <c r="C4862" s="113">
        <v>4104065</v>
      </c>
      <c r="D4862" s="113" t="s">
        <v>7139</v>
      </c>
      <c r="E4862" s="113" t="s">
        <v>1620</v>
      </c>
      <c r="F4862" s="113" t="s">
        <v>7139</v>
      </c>
      <c r="G4862" s="113" t="s">
        <v>7145</v>
      </c>
      <c r="H4862" s="161">
        <v>0</v>
      </c>
      <c r="I4862" s="161" t="s">
        <v>7146</v>
      </c>
    </row>
    <row r="4863" spans="1:9">
      <c r="A4863" s="113">
        <v>100790537</v>
      </c>
      <c r="B4863" s="113" t="s">
        <v>7116</v>
      </c>
      <c r="C4863" s="113">
        <v>4104066</v>
      </c>
      <c r="D4863" s="113" t="s">
        <v>7139</v>
      </c>
      <c r="E4863" s="113" t="s">
        <v>1620</v>
      </c>
      <c r="F4863" s="113" t="s">
        <v>7139</v>
      </c>
      <c r="G4863" s="113" t="s">
        <v>7145</v>
      </c>
      <c r="H4863" s="161">
        <v>0</v>
      </c>
      <c r="I4863" s="161" t="s">
        <v>7146</v>
      </c>
    </row>
    <row r="4864" spans="1:9">
      <c r="A4864" s="113">
        <v>100790538</v>
      </c>
      <c r="B4864" s="113" t="s">
        <v>7116</v>
      </c>
      <c r="C4864" s="113">
        <v>4104067</v>
      </c>
      <c r="D4864" s="113" t="s">
        <v>7139</v>
      </c>
      <c r="E4864" s="113" t="s">
        <v>1620</v>
      </c>
      <c r="F4864" s="113" t="s">
        <v>7139</v>
      </c>
      <c r="G4864" s="113" t="s">
        <v>7145</v>
      </c>
      <c r="H4864" s="161">
        <v>0</v>
      </c>
      <c r="I4864" s="161" t="s">
        <v>7146</v>
      </c>
    </row>
    <row r="4865" spans="1:9">
      <c r="A4865" s="113">
        <v>100790539</v>
      </c>
      <c r="B4865" s="113" t="s">
        <v>7116</v>
      </c>
      <c r="C4865" s="113">
        <v>4104068</v>
      </c>
      <c r="D4865" s="113" t="s">
        <v>7139</v>
      </c>
      <c r="E4865" s="113" t="s">
        <v>1620</v>
      </c>
      <c r="F4865" s="113" t="s">
        <v>7139</v>
      </c>
      <c r="G4865" s="113" t="s">
        <v>7145</v>
      </c>
      <c r="H4865" s="161">
        <v>0</v>
      </c>
      <c r="I4865" s="161" t="s">
        <v>7146</v>
      </c>
    </row>
    <row r="4866" spans="1:9">
      <c r="A4866" s="113">
        <v>100790540</v>
      </c>
      <c r="B4866" s="113" t="s">
        <v>7116</v>
      </c>
      <c r="C4866" s="113">
        <v>4104069</v>
      </c>
      <c r="D4866" s="113" t="s">
        <v>7139</v>
      </c>
      <c r="E4866" s="113" t="s">
        <v>1620</v>
      </c>
      <c r="F4866" s="113" t="s">
        <v>7139</v>
      </c>
      <c r="G4866" s="113" t="s">
        <v>7145</v>
      </c>
      <c r="H4866" s="161">
        <v>0</v>
      </c>
      <c r="I4866" s="161" t="s">
        <v>7146</v>
      </c>
    </row>
    <row r="4867" spans="1:9">
      <c r="A4867" s="113">
        <v>100790542</v>
      </c>
      <c r="B4867" s="113" t="s">
        <v>7116</v>
      </c>
      <c r="C4867" s="113">
        <v>4104071</v>
      </c>
      <c r="D4867" s="113" t="s">
        <v>7139</v>
      </c>
      <c r="E4867" s="113" t="s">
        <v>1620</v>
      </c>
      <c r="F4867" s="113" t="s">
        <v>7139</v>
      </c>
      <c r="G4867" s="113" t="s">
        <v>7145</v>
      </c>
      <c r="H4867" s="161">
        <v>0</v>
      </c>
      <c r="I4867" s="161" t="s">
        <v>7146</v>
      </c>
    </row>
    <row r="4868" spans="1:9">
      <c r="A4868" s="113">
        <v>100790545</v>
      </c>
      <c r="B4868" s="113" t="s">
        <v>7116</v>
      </c>
      <c r="C4868" s="113">
        <v>4104078</v>
      </c>
      <c r="D4868" s="113" t="s">
        <v>7139</v>
      </c>
      <c r="E4868" s="113" t="s">
        <v>1620</v>
      </c>
      <c r="F4868" s="113" t="s">
        <v>7139</v>
      </c>
      <c r="G4868" s="113" t="s">
        <v>7145</v>
      </c>
      <c r="H4868" s="161">
        <v>0</v>
      </c>
      <c r="I4868" s="161" t="s">
        <v>7146</v>
      </c>
    </row>
    <row r="4869" spans="1:9">
      <c r="A4869" s="113">
        <v>100790546</v>
      </c>
      <c r="B4869" s="113" t="s">
        <v>7116</v>
      </c>
      <c r="C4869" s="113">
        <v>4104093</v>
      </c>
      <c r="D4869" s="113" t="s">
        <v>7139</v>
      </c>
      <c r="E4869" s="113" t="s">
        <v>1620</v>
      </c>
      <c r="F4869" s="113" t="s">
        <v>7139</v>
      </c>
      <c r="G4869" s="113" t="s">
        <v>7145</v>
      </c>
      <c r="H4869" s="161">
        <v>0</v>
      </c>
      <c r="I4869" s="161" t="s">
        <v>7146</v>
      </c>
    </row>
    <row r="4870" spans="1:9">
      <c r="A4870" s="113">
        <v>100790547</v>
      </c>
      <c r="B4870" s="113" t="s">
        <v>7116</v>
      </c>
      <c r="C4870" s="113">
        <v>4104097</v>
      </c>
      <c r="D4870" s="113" t="s">
        <v>7139</v>
      </c>
      <c r="E4870" s="113" t="s">
        <v>1620</v>
      </c>
      <c r="F4870" s="113" t="s">
        <v>7139</v>
      </c>
      <c r="G4870" s="113" t="s">
        <v>7145</v>
      </c>
      <c r="H4870" s="161">
        <v>0</v>
      </c>
      <c r="I4870" s="161" t="s">
        <v>7146</v>
      </c>
    </row>
    <row r="4871" spans="1:9">
      <c r="A4871" s="113">
        <v>100790548</v>
      </c>
      <c r="B4871" s="113" t="s">
        <v>7116</v>
      </c>
      <c r="C4871" s="113">
        <v>4104098</v>
      </c>
      <c r="D4871" s="113" t="s">
        <v>7139</v>
      </c>
      <c r="E4871" s="113" t="s">
        <v>1620</v>
      </c>
      <c r="F4871" s="113" t="s">
        <v>7139</v>
      </c>
      <c r="G4871" s="113" t="s">
        <v>7145</v>
      </c>
      <c r="H4871" s="161">
        <v>0</v>
      </c>
      <c r="I4871" s="161" t="s">
        <v>7146</v>
      </c>
    </row>
    <row r="4872" spans="1:9">
      <c r="A4872" s="113">
        <v>100790549</v>
      </c>
      <c r="B4872" s="113" t="s">
        <v>7116</v>
      </c>
      <c r="C4872" s="113">
        <v>4104115</v>
      </c>
      <c r="D4872" s="113" t="s">
        <v>7139</v>
      </c>
      <c r="E4872" s="113" t="s">
        <v>1620</v>
      </c>
      <c r="F4872" s="113" t="s">
        <v>7139</v>
      </c>
      <c r="G4872" s="113" t="s">
        <v>7145</v>
      </c>
      <c r="H4872" s="161">
        <v>0</v>
      </c>
      <c r="I4872" s="161" t="s">
        <v>7146</v>
      </c>
    </row>
    <row r="4873" spans="1:9">
      <c r="A4873" s="113">
        <v>100790550</v>
      </c>
      <c r="B4873" s="113" t="s">
        <v>7116</v>
      </c>
      <c r="C4873" s="113">
        <v>4104116</v>
      </c>
      <c r="D4873" s="113" t="s">
        <v>7139</v>
      </c>
      <c r="E4873" s="113" t="s">
        <v>1620</v>
      </c>
      <c r="F4873" s="113" t="s">
        <v>7139</v>
      </c>
      <c r="G4873" s="113" t="s">
        <v>7145</v>
      </c>
      <c r="H4873" s="161">
        <v>0</v>
      </c>
      <c r="I4873" s="161" t="s">
        <v>7146</v>
      </c>
    </row>
    <row r="4874" spans="1:9">
      <c r="A4874" s="113">
        <v>100790551</v>
      </c>
      <c r="B4874" s="113" t="s">
        <v>7116</v>
      </c>
      <c r="C4874" s="113">
        <v>4104139</v>
      </c>
      <c r="D4874" s="113" t="s">
        <v>7139</v>
      </c>
      <c r="E4874" s="113" t="s">
        <v>1620</v>
      </c>
      <c r="F4874" s="113" t="s">
        <v>7139</v>
      </c>
      <c r="G4874" s="113" t="s">
        <v>7145</v>
      </c>
      <c r="H4874" s="161">
        <v>0</v>
      </c>
      <c r="I4874" s="161" t="s">
        <v>7146</v>
      </c>
    </row>
    <row r="4875" spans="1:9">
      <c r="A4875" s="113">
        <v>100790552</v>
      </c>
      <c r="B4875" s="113" t="s">
        <v>7116</v>
      </c>
      <c r="C4875" s="113">
        <v>4104153</v>
      </c>
      <c r="D4875" s="113" t="s">
        <v>7139</v>
      </c>
      <c r="E4875" s="113" t="s">
        <v>1620</v>
      </c>
      <c r="F4875" s="113" t="s">
        <v>7139</v>
      </c>
      <c r="G4875" s="113" t="s">
        <v>7145</v>
      </c>
      <c r="H4875" s="161">
        <v>0</v>
      </c>
      <c r="I4875" s="161" t="s">
        <v>7146</v>
      </c>
    </row>
    <row r="4876" spans="1:9">
      <c r="A4876" s="113">
        <v>100790553</v>
      </c>
      <c r="B4876" s="113" t="s">
        <v>7116</v>
      </c>
      <c r="C4876" s="113">
        <v>4104154</v>
      </c>
      <c r="D4876" s="113" t="s">
        <v>7139</v>
      </c>
      <c r="E4876" s="113" t="s">
        <v>1620</v>
      </c>
      <c r="F4876" s="113" t="s">
        <v>7139</v>
      </c>
      <c r="G4876" s="113" t="s">
        <v>7145</v>
      </c>
      <c r="H4876" s="161">
        <v>0</v>
      </c>
      <c r="I4876" s="161" t="s">
        <v>7146</v>
      </c>
    </row>
    <row r="4877" spans="1:9">
      <c r="A4877" s="113">
        <v>100790555</v>
      </c>
      <c r="B4877" s="113" t="s">
        <v>7116</v>
      </c>
      <c r="C4877" s="113">
        <v>4104158</v>
      </c>
      <c r="D4877" s="113" t="s">
        <v>7139</v>
      </c>
      <c r="E4877" s="113" t="s">
        <v>1620</v>
      </c>
      <c r="F4877" s="113" t="s">
        <v>7139</v>
      </c>
      <c r="G4877" s="113" t="s">
        <v>7145</v>
      </c>
      <c r="H4877" s="161">
        <v>0</v>
      </c>
      <c r="I4877" s="161" t="s">
        <v>7146</v>
      </c>
    </row>
    <row r="4878" spans="1:9">
      <c r="A4878" s="113">
        <v>100790556</v>
      </c>
      <c r="B4878" s="113" t="s">
        <v>7116</v>
      </c>
      <c r="C4878" s="113">
        <v>4104159</v>
      </c>
      <c r="D4878" s="113" t="s">
        <v>7139</v>
      </c>
      <c r="E4878" s="113" t="s">
        <v>1620</v>
      </c>
      <c r="F4878" s="113" t="s">
        <v>7139</v>
      </c>
      <c r="G4878" s="113" t="s">
        <v>7145</v>
      </c>
      <c r="H4878" s="161">
        <v>0</v>
      </c>
      <c r="I4878" s="161" t="s">
        <v>7146</v>
      </c>
    </row>
    <row r="4879" spans="1:9">
      <c r="A4879" s="113">
        <v>100790559</v>
      </c>
      <c r="B4879" s="113" t="s">
        <v>7116</v>
      </c>
      <c r="C4879" s="113">
        <v>4201003</v>
      </c>
      <c r="D4879" s="113" t="s">
        <v>7139</v>
      </c>
      <c r="E4879" s="113" t="s">
        <v>1620</v>
      </c>
      <c r="F4879" s="113" t="s">
        <v>7139</v>
      </c>
      <c r="G4879" s="113" t="s">
        <v>7145</v>
      </c>
      <c r="H4879" s="161">
        <v>0</v>
      </c>
      <c r="I4879" s="161" t="s">
        <v>7146</v>
      </c>
    </row>
    <row r="4880" spans="1:9">
      <c r="A4880" s="113">
        <v>100790560</v>
      </c>
      <c r="B4880" s="113" t="s">
        <v>7116</v>
      </c>
      <c r="C4880" s="113">
        <v>4201004</v>
      </c>
      <c r="D4880" s="113" t="s">
        <v>7139</v>
      </c>
      <c r="E4880" s="113" t="s">
        <v>1620</v>
      </c>
      <c r="F4880" s="113" t="s">
        <v>7139</v>
      </c>
      <c r="G4880" s="113" t="s">
        <v>7145</v>
      </c>
      <c r="H4880" s="161">
        <v>0</v>
      </c>
      <c r="I4880" s="161" t="s">
        <v>7146</v>
      </c>
    </row>
    <row r="4881" spans="1:9">
      <c r="A4881" s="113">
        <v>100790561</v>
      </c>
      <c r="B4881" s="113" t="s">
        <v>7116</v>
      </c>
      <c r="C4881" s="113">
        <v>4201005</v>
      </c>
      <c r="D4881" s="113" t="s">
        <v>7139</v>
      </c>
      <c r="E4881" s="113" t="s">
        <v>1620</v>
      </c>
      <c r="F4881" s="113" t="s">
        <v>7139</v>
      </c>
      <c r="G4881" s="113" t="s">
        <v>7145</v>
      </c>
      <c r="H4881" s="161">
        <v>0</v>
      </c>
      <c r="I4881" s="161" t="s">
        <v>7146</v>
      </c>
    </row>
    <row r="4882" spans="1:9">
      <c r="A4882" s="113">
        <v>100790563</v>
      </c>
      <c r="B4882" s="113" t="s">
        <v>7116</v>
      </c>
      <c r="C4882" s="113">
        <v>4201008</v>
      </c>
      <c r="D4882" s="113" t="s">
        <v>7139</v>
      </c>
      <c r="E4882" s="113" t="s">
        <v>1620</v>
      </c>
      <c r="F4882" s="113" t="s">
        <v>7139</v>
      </c>
      <c r="G4882" s="113" t="s">
        <v>7145</v>
      </c>
      <c r="H4882" s="161">
        <v>0</v>
      </c>
      <c r="I4882" s="161" t="s">
        <v>7146</v>
      </c>
    </row>
    <row r="4883" spans="1:9">
      <c r="A4883" s="113">
        <v>100790565</v>
      </c>
      <c r="B4883" s="113" t="s">
        <v>7116</v>
      </c>
      <c r="C4883" s="113">
        <v>4201012</v>
      </c>
      <c r="D4883" s="113" t="s">
        <v>7139</v>
      </c>
      <c r="E4883" s="113" t="s">
        <v>1620</v>
      </c>
      <c r="F4883" s="113" t="s">
        <v>7139</v>
      </c>
      <c r="G4883" s="113" t="s">
        <v>7145</v>
      </c>
      <c r="H4883" s="161">
        <v>0</v>
      </c>
      <c r="I4883" s="161" t="s">
        <v>7146</v>
      </c>
    </row>
    <row r="4884" spans="1:9">
      <c r="A4884" s="113">
        <v>100790567</v>
      </c>
      <c r="B4884" s="113" t="s">
        <v>7116</v>
      </c>
      <c r="C4884" s="113">
        <v>4201014</v>
      </c>
      <c r="D4884" s="113" t="s">
        <v>7139</v>
      </c>
      <c r="E4884" s="113" t="s">
        <v>1620</v>
      </c>
      <c r="F4884" s="113" t="s">
        <v>7139</v>
      </c>
      <c r="G4884" s="113" t="s">
        <v>7145</v>
      </c>
      <c r="H4884" s="161">
        <v>0</v>
      </c>
      <c r="I4884" s="161" t="s">
        <v>7146</v>
      </c>
    </row>
    <row r="4885" spans="1:9">
      <c r="A4885" s="113">
        <v>100790569</v>
      </c>
      <c r="B4885" s="113" t="s">
        <v>7116</v>
      </c>
      <c r="C4885" s="113">
        <v>4201017</v>
      </c>
      <c r="D4885" s="113" t="s">
        <v>7139</v>
      </c>
      <c r="E4885" s="113" t="s">
        <v>1620</v>
      </c>
      <c r="F4885" s="113" t="s">
        <v>7139</v>
      </c>
      <c r="G4885" s="113" t="s">
        <v>7145</v>
      </c>
      <c r="H4885" s="161">
        <v>0</v>
      </c>
      <c r="I4885" s="161" t="s">
        <v>7146</v>
      </c>
    </row>
    <row r="4886" spans="1:9">
      <c r="A4886" s="113">
        <v>100790571</v>
      </c>
      <c r="B4886" s="113" t="s">
        <v>7116</v>
      </c>
      <c r="C4886" s="113">
        <v>4990002</v>
      </c>
      <c r="D4886" s="113" t="s">
        <v>7139</v>
      </c>
      <c r="E4886" s="113" t="s">
        <v>1620</v>
      </c>
      <c r="F4886" s="113" t="s">
        <v>7139</v>
      </c>
      <c r="G4886" s="113" t="s">
        <v>7145</v>
      </c>
      <c r="H4886" s="161">
        <v>0</v>
      </c>
      <c r="I4886" s="161" t="s">
        <v>7146</v>
      </c>
    </row>
    <row r="4887" spans="1:9">
      <c r="A4887" s="113">
        <v>100790575</v>
      </c>
      <c r="B4887" s="113" t="s">
        <v>7116</v>
      </c>
      <c r="C4887" s="113">
        <v>4990012</v>
      </c>
      <c r="D4887" s="113" t="s">
        <v>7139</v>
      </c>
      <c r="E4887" s="113" t="s">
        <v>1620</v>
      </c>
      <c r="F4887" s="113" t="s">
        <v>7139</v>
      </c>
      <c r="G4887" s="113" t="s">
        <v>7145</v>
      </c>
      <c r="H4887" s="161">
        <v>0</v>
      </c>
      <c r="I4887" s="161" t="s">
        <v>7146</v>
      </c>
    </row>
    <row r="4888" spans="1:9">
      <c r="A4888" s="113">
        <v>100790576</v>
      </c>
      <c r="B4888" s="113" t="s">
        <v>7116</v>
      </c>
      <c r="C4888" s="113">
        <v>4990014</v>
      </c>
      <c r="D4888" s="113" t="s">
        <v>7139</v>
      </c>
      <c r="E4888" s="113" t="s">
        <v>1620</v>
      </c>
      <c r="F4888" s="113" t="s">
        <v>7139</v>
      </c>
      <c r="G4888" s="113" t="s">
        <v>7145</v>
      </c>
      <c r="H4888" s="161">
        <v>0</v>
      </c>
      <c r="I4888" s="161" t="s">
        <v>7146</v>
      </c>
    </row>
    <row r="4889" spans="1:9">
      <c r="A4889" s="113">
        <v>100790577</v>
      </c>
      <c r="B4889" s="113" t="s">
        <v>7116</v>
      </c>
      <c r="C4889" s="113">
        <v>4990016</v>
      </c>
      <c r="D4889" s="113" t="s">
        <v>7139</v>
      </c>
      <c r="E4889" s="113" t="s">
        <v>1620</v>
      </c>
      <c r="F4889" s="113" t="s">
        <v>7139</v>
      </c>
      <c r="G4889" s="113" t="s">
        <v>7145</v>
      </c>
      <c r="H4889" s="161">
        <v>0</v>
      </c>
      <c r="I4889" s="161" t="s">
        <v>7146</v>
      </c>
    </row>
    <row r="4890" spans="1:9">
      <c r="A4890" s="113">
        <v>100790578</v>
      </c>
      <c r="B4890" s="113" t="s">
        <v>7116</v>
      </c>
      <c r="C4890" s="113">
        <v>4990017</v>
      </c>
      <c r="D4890" s="113" t="s">
        <v>7139</v>
      </c>
      <c r="E4890" s="113" t="s">
        <v>1620</v>
      </c>
      <c r="F4890" s="113" t="s">
        <v>7139</v>
      </c>
      <c r="G4890" s="113" t="s">
        <v>7145</v>
      </c>
      <c r="H4890" s="161">
        <v>0</v>
      </c>
      <c r="I4890" s="161" t="s">
        <v>7146</v>
      </c>
    </row>
    <row r="4891" spans="1:9">
      <c r="A4891" s="113">
        <v>100790579</v>
      </c>
      <c r="B4891" s="113" t="s">
        <v>7116</v>
      </c>
      <c r="C4891" s="113">
        <v>4990018</v>
      </c>
      <c r="D4891" s="113" t="s">
        <v>7139</v>
      </c>
      <c r="E4891" s="113" t="s">
        <v>1620</v>
      </c>
      <c r="F4891" s="113" t="s">
        <v>7139</v>
      </c>
      <c r="G4891" s="113" t="s">
        <v>7145</v>
      </c>
      <c r="H4891" s="161">
        <v>0</v>
      </c>
      <c r="I4891" s="161" t="s">
        <v>7146</v>
      </c>
    </row>
    <row r="4892" spans="1:9">
      <c r="A4892" s="113">
        <v>100790581</v>
      </c>
      <c r="B4892" s="113" t="s">
        <v>7116</v>
      </c>
      <c r="C4892" s="113">
        <v>4990020</v>
      </c>
      <c r="D4892" s="113" t="s">
        <v>7139</v>
      </c>
      <c r="E4892" s="113" t="s">
        <v>1620</v>
      </c>
      <c r="F4892" s="113" t="s">
        <v>7139</v>
      </c>
      <c r="G4892" s="113" t="s">
        <v>7145</v>
      </c>
      <c r="H4892" s="161">
        <v>0</v>
      </c>
      <c r="I4892" s="161" t="s">
        <v>7146</v>
      </c>
    </row>
    <row r="4893" spans="1:9">
      <c r="A4893" s="113">
        <v>100790584</v>
      </c>
      <c r="B4893" s="113" t="s">
        <v>7116</v>
      </c>
      <c r="C4893" s="113">
        <v>4990023</v>
      </c>
      <c r="D4893" s="113" t="s">
        <v>7139</v>
      </c>
      <c r="E4893" s="113" t="s">
        <v>1620</v>
      </c>
      <c r="F4893" s="113" t="s">
        <v>7139</v>
      </c>
      <c r="G4893" s="113" t="s">
        <v>7145</v>
      </c>
      <c r="H4893" s="161">
        <v>0</v>
      </c>
      <c r="I4893" s="161" t="s">
        <v>7146</v>
      </c>
    </row>
    <row r="4894" spans="1:9">
      <c r="A4894" s="113">
        <v>100790588</v>
      </c>
      <c r="B4894" s="113" t="s">
        <v>7116</v>
      </c>
      <c r="C4894" s="113">
        <v>4990030</v>
      </c>
      <c r="D4894" s="113" t="s">
        <v>7139</v>
      </c>
      <c r="E4894" s="113" t="s">
        <v>1620</v>
      </c>
      <c r="F4894" s="113" t="s">
        <v>7139</v>
      </c>
      <c r="G4894" s="113" t="s">
        <v>7145</v>
      </c>
      <c r="H4894" s="161">
        <v>0</v>
      </c>
      <c r="I4894" s="161" t="s">
        <v>7146</v>
      </c>
    </row>
    <row r="4895" spans="1:9">
      <c r="A4895" s="113">
        <v>100790589</v>
      </c>
      <c r="B4895" s="113" t="s">
        <v>7116</v>
      </c>
      <c r="C4895" s="113">
        <v>4990031</v>
      </c>
      <c r="D4895" s="113" t="s">
        <v>7139</v>
      </c>
      <c r="E4895" s="113" t="s">
        <v>1620</v>
      </c>
      <c r="F4895" s="113" t="s">
        <v>7139</v>
      </c>
      <c r="G4895" s="113" t="s">
        <v>7145</v>
      </c>
      <c r="H4895" s="161">
        <v>0</v>
      </c>
      <c r="I4895" s="161" t="s">
        <v>7146</v>
      </c>
    </row>
    <row r="4896" spans="1:9">
      <c r="A4896" s="113">
        <v>100790590</v>
      </c>
      <c r="B4896" s="113" t="s">
        <v>7116</v>
      </c>
      <c r="C4896" s="113">
        <v>4990032</v>
      </c>
      <c r="D4896" s="113" t="s">
        <v>7139</v>
      </c>
      <c r="E4896" s="113" t="s">
        <v>1620</v>
      </c>
      <c r="F4896" s="113" t="s">
        <v>7139</v>
      </c>
      <c r="G4896" s="113" t="s">
        <v>7145</v>
      </c>
      <c r="H4896" s="161">
        <v>0</v>
      </c>
      <c r="I4896" s="161" t="s">
        <v>7146</v>
      </c>
    </row>
    <row r="4897" spans="1:9">
      <c r="A4897" s="113">
        <v>100790592</v>
      </c>
      <c r="B4897" s="113" t="s">
        <v>7116</v>
      </c>
      <c r="C4897" s="113">
        <v>4990036</v>
      </c>
      <c r="D4897" s="113" t="s">
        <v>7139</v>
      </c>
      <c r="E4897" s="113" t="s">
        <v>1620</v>
      </c>
      <c r="F4897" s="113" t="s">
        <v>7139</v>
      </c>
      <c r="G4897" s="113" t="s">
        <v>7145</v>
      </c>
      <c r="H4897" s="161">
        <v>0</v>
      </c>
      <c r="I4897" s="161" t="s">
        <v>7146</v>
      </c>
    </row>
    <row r="4898" spans="1:9">
      <c r="A4898" s="113">
        <v>100790593</v>
      </c>
      <c r="B4898" s="113" t="s">
        <v>7116</v>
      </c>
      <c r="C4898" s="113">
        <v>4990038</v>
      </c>
      <c r="D4898" s="113" t="s">
        <v>7139</v>
      </c>
      <c r="E4898" s="113" t="s">
        <v>1620</v>
      </c>
      <c r="F4898" s="113" t="s">
        <v>7139</v>
      </c>
      <c r="G4898" s="113" t="s">
        <v>7145</v>
      </c>
      <c r="H4898" s="161">
        <v>0</v>
      </c>
      <c r="I4898" s="161" t="s">
        <v>7146</v>
      </c>
    </row>
    <row r="4899" spans="1:9">
      <c r="A4899" s="113">
        <v>100790598</v>
      </c>
      <c r="B4899" s="113" t="s">
        <v>7116</v>
      </c>
      <c r="C4899" s="113">
        <v>4990051</v>
      </c>
      <c r="D4899" s="113" t="s">
        <v>7139</v>
      </c>
      <c r="E4899" s="113" t="s">
        <v>1620</v>
      </c>
      <c r="F4899" s="113" t="s">
        <v>7139</v>
      </c>
      <c r="G4899" s="113" t="s">
        <v>7145</v>
      </c>
      <c r="H4899" s="161">
        <v>0</v>
      </c>
      <c r="I4899" s="161" t="s">
        <v>7146</v>
      </c>
    </row>
    <row r="4900" spans="1:9">
      <c r="A4900" s="113">
        <v>100790599</v>
      </c>
      <c r="B4900" s="113" t="s">
        <v>7116</v>
      </c>
      <c r="C4900" s="113">
        <v>4990052</v>
      </c>
      <c r="D4900" s="113" t="s">
        <v>7139</v>
      </c>
      <c r="E4900" s="113" t="s">
        <v>1620</v>
      </c>
      <c r="F4900" s="113" t="s">
        <v>7139</v>
      </c>
      <c r="G4900" s="113" t="s">
        <v>7145</v>
      </c>
      <c r="H4900" s="161">
        <v>0</v>
      </c>
      <c r="I4900" s="161" t="s">
        <v>7146</v>
      </c>
    </row>
    <row r="4901" spans="1:9">
      <c r="A4901" s="113">
        <v>100790600</v>
      </c>
      <c r="B4901" s="113" t="s">
        <v>7116</v>
      </c>
      <c r="C4901" s="113">
        <v>4990053</v>
      </c>
      <c r="D4901" s="113" t="s">
        <v>7139</v>
      </c>
      <c r="E4901" s="113" t="s">
        <v>1620</v>
      </c>
      <c r="F4901" s="113" t="s">
        <v>7139</v>
      </c>
      <c r="G4901" s="113" t="s">
        <v>7145</v>
      </c>
      <c r="H4901" s="161">
        <v>0</v>
      </c>
      <c r="I4901" s="161" t="s">
        <v>7146</v>
      </c>
    </row>
    <row r="4902" spans="1:9">
      <c r="A4902" s="113">
        <v>100790603</v>
      </c>
      <c r="B4902" s="113" t="s">
        <v>7116</v>
      </c>
      <c r="C4902" s="113">
        <v>4990068</v>
      </c>
      <c r="D4902" s="113" t="s">
        <v>7139</v>
      </c>
      <c r="E4902" s="113" t="s">
        <v>1620</v>
      </c>
      <c r="F4902" s="113" t="s">
        <v>7139</v>
      </c>
      <c r="G4902" s="113" t="s">
        <v>7145</v>
      </c>
      <c r="H4902" s="161">
        <v>0</v>
      </c>
      <c r="I4902" s="161" t="s">
        <v>7146</v>
      </c>
    </row>
    <row r="4903" spans="1:9">
      <c r="A4903" s="113">
        <v>100790605</v>
      </c>
      <c r="B4903" s="113" t="s">
        <v>7116</v>
      </c>
      <c r="C4903" s="113">
        <v>4990074</v>
      </c>
      <c r="D4903" s="113" t="s">
        <v>7139</v>
      </c>
      <c r="E4903" s="113" t="s">
        <v>1620</v>
      </c>
      <c r="F4903" s="113" t="s">
        <v>7139</v>
      </c>
      <c r="G4903" s="113" t="s">
        <v>7145</v>
      </c>
      <c r="H4903" s="161">
        <v>0</v>
      </c>
      <c r="I4903" s="161" t="s">
        <v>7146</v>
      </c>
    </row>
    <row r="4904" spans="1:9">
      <c r="A4904" s="113">
        <v>100790611</v>
      </c>
      <c r="B4904" s="113" t="s">
        <v>7116</v>
      </c>
      <c r="C4904" s="113">
        <v>4990103</v>
      </c>
      <c r="D4904" s="113" t="s">
        <v>7139</v>
      </c>
      <c r="E4904" s="113" t="s">
        <v>1620</v>
      </c>
      <c r="F4904" s="113" t="s">
        <v>7139</v>
      </c>
      <c r="G4904" s="113" t="s">
        <v>7145</v>
      </c>
      <c r="H4904" s="161">
        <v>0</v>
      </c>
      <c r="I4904" s="161" t="s">
        <v>7146</v>
      </c>
    </row>
    <row r="4905" spans="1:9">
      <c r="A4905" s="113">
        <v>100790614</v>
      </c>
      <c r="B4905" s="113" t="s">
        <v>7116</v>
      </c>
      <c r="C4905" s="113">
        <v>4990111</v>
      </c>
      <c r="D4905" s="113" t="s">
        <v>7139</v>
      </c>
      <c r="E4905" s="113" t="s">
        <v>1620</v>
      </c>
      <c r="F4905" s="113" t="s">
        <v>7139</v>
      </c>
      <c r="G4905" s="113" t="s">
        <v>7145</v>
      </c>
      <c r="H4905" s="161">
        <v>0</v>
      </c>
      <c r="I4905" s="161" t="s">
        <v>7146</v>
      </c>
    </row>
    <row r="4906" spans="1:9">
      <c r="A4906" s="113">
        <v>100790615</v>
      </c>
      <c r="B4906" s="113" t="s">
        <v>7116</v>
      </c>
      <c r="C4906" s="113">
        <v>4990112</v>
      </c>
      <c r="D4906" s="113" t="s">
        <v>7139</v>
      </c>
      <c r="E4906" s="113" t="s">
        <v>1620</v>
      </c>
      <c r="F4906" s="113" t="s">
        <v>7139</v>
      </c>
      <c r="G4906" s="113" t="s">
        <v>7145</v>
      </c>
      <c r="H4906" s="161">
        <v>0</v>
      </c>
      <c r="I4906" s="161" t="s">
        <v>7146</v>
      </c>
    </row>
    <row r="4907" spans="1:9">
      <c r="A4907" s="113">
        <v>100790618</v>
      </c>
      <c r="B4907" s="113" t="s">
        <v>7116</v>
      </c>
      <c r="C4907" s="113">
        <v>4990123</v>
      </c>
      <c r="D4907" s="113" t="s">
        <v>7139</v>
      </c>
      <c r="E4907" s="113" t="s">
        <v>1620</v>
      </c>
      <c r="F4907" s="113" t="s">
        <v>7139</v>
      </c>
      <c r="G4907" s="113" t="s">
        <v>7145</v>
      </c>
      <c r="H4907" s="161">
        <v>0</v>
      </c>
      <c r="I4907" s="161" t="s">
        <v>7146</v>
      </c>
    </row>
    <row r="4908" spans="1:9">
      <c r="A4908" s="113">
        <v>100790619</v>
      </c>
      <c r="B4908" s="113" t="s">
        <v>7116</v>
      </c>
      <c r="C4908" s="113">
        <v>4990125</v>
      </c>
      <c r="D4908" s="113" t="s">
        <v>7139</v>
      </c>
      <c r="E4908" s="113" t="s">
        <v>1620</v>
      </c>
      <c r="F4908" s="113" t="s">
        <v>7139</v>
      </c>
      <c r="G4908" s="113" t="s">
        <v>7145</v>
      </c>
      <c r="H4908" s="161">
        <v>0</v>
      </c>
      <c r="I4908" s="161" t="s">
        <v>7146</v>
      </c>
    </row>
    <row r="4909" spans="1:9">
      <c r="A4909" s="113">
        <v>100790621</v>
      </c>
      <c r="B4909" s="113" t="s">
        <v>7116</v>
      </c>
      <c r="C4909" s="113">
        <v>4990134</v>
      </c>
      <c r="D4909" s="113" t="s">
        <v>7139</v>
      </c>
      <c r="E4909" s="113" t="s">
        <v>1620</v>
      </c>
      <c r="F4909" s="113" t="s">
        <v>7139</v>
      </c>
      <c r="G4909" s="113" t="s">
        <v>7145</v>
      </c>
      <c r="H4909" s="161">
        <v>0</v>
      </c>
      <c r="I4909" s="161" t="s">
        <v>7146</v>
      </c>
    </row>
    <row r="4910" spans="1:9">
      <c r="A4910" s="113">
        <v>100790625</v>
      </c>
      <c r="B4910" s="113" t="s">
        <v>7116</v>
      </c>
      <c r="C4910" s="113">
        <v>4990149</v>
      </c>
      <c r="D4910" s="113" t="s">
        <v>7139</v>
      </c>
      <c r="E4910" s="113" t="s">
        <v>1620</v>
      </c>
      <c r="F4910" s="113" t="s">
        <v>7139</v>
      </c>
      <c r="G4910" s="113" t="s">
        <v>7145</v>
      </c>
      <c r="H4910" s="161">
        <v>0</v>
      </c>
      <c r="I4910" s="161" t="s">
        <v>7146</v>
      </c>
    </row>
    <row r="4911" spans="1:9">
      <c r="A4911" s="113">
        <v>100790635</v>
      </c>
      <c r="B4911" s="113" t="s">
        <v>7116</v>
      </c>
      <c r="C4911" s="113">
        <v>4990167</v>
      </c>
      <c r="D4911" s="113" t="s">
        <v>7139</v>
      </c>
      <c r="E4911" s="113" t="s">
        <v>1620</v>
      </c>
      <c r="F4911" s="113" t="s">
        <v>7139</v>
      </c>
      <c r="G4911" s="113" t="s">
        <v>7145</v>
      </c>
      <c r="H4911" s="161">
        <v>0</v>
      </c>
      <c r="I4911" s="161" t="s">
        <v>7146</v>
      </c>
    </row>
    <row r="4912" spans="1:9">
      <c r="A4912" s="113">
        <v>100790636</v>
      </c>
      <c r="B4912" s="113" t="s">
        <v>7116</v>
      </c>
      <c r="C4912" s="113">
        <v>4990168</v>
      </c>
      <c r="D4912" s="113" t="s">
        <v>7139</v>
      </c>
      <c r="E4912" s="113" t="s">
        <v>1620</v>
      </c>
      <c r="F4912" s="113" t="s">
        <v>7139</v>
      </c>
      <c r="G4912" s="113" t="s">
        <v>7145</v>
      </c>
      <c r="H4912" s="161">
        <v>0</v>
      </c>
      <c r="I4912" s="161" t="s">
        <v>7146</v>
      </c>
    </row>
    <row r="4913" spans="1:9">
      <c r="A4913" s="113">
        <v>100790637</v>
      </c>
      <c r="B4913" s="113" t="s">
        <v>7116</v>
      </c>
      <c r="C4913" s="113">
        <v>4990169</v>
      </c>
      <c r="D4913" s="113" t="s">
        <v>7139</v>
      </c>
      <c r="E4913" s="113" t="s">
        <v>1620</v>
      </c>
      <c r="F4913" s="113" t="s">
        <v>7139</v>
      </c>
      <c r="G4913" s="113" t="s">
        <v>7145</v>
      </c>
      <c r="H4913" s="161">
        <v>0</v>
      </c>
      <c r="I4913" s="161" t="s">
        <v>7146</v>
      </c>
    </row>
    <row r="4914" spans="1:9">
      <c r="A4914" s="113">
        <v>100790638</v>
      </c>
      <c r="B4914" s="113" t="s">
        <v>7116</v>
      </c>
      <c r="C4914" s="113">
        <v>4990170</v>
      </c>
      <c r="D4914" s="113" t="s">
        <v>7139</v>
      </c>
      <c r="E4914" s="113" t="s">
        <v>1620</v>
      </c>
      <c r="F4914" s="113" t="s">
        <v>7139</v>
      </c>
      <c r="G4914" s="113" t="s">
        <v>7145</v>
      </c>
      <c r="H4914" s="161">
        <v>0</v>
      </c>
      <c r="I4914" s="161" t="s">
        <v>7146</v>
      </c>
    </row>
    <row r="4915" spans="1:9">
      <c r="A4915" s="113">
        <v>100790639</v>
      </c>
      <c r="B4915" s="113" t="s">
        <v>7116</v>
      </c>
      <c r="C4915" s="113">
        <v>4990175</v>
      </c>
      <c r="D4915" s="113" t="s">
        <v>7139</v>
      </c>
      <c r="E4915" s="113" t="s">
        <v>1620</v>
      </c>
      <c r="F4915" s="113" t="s">
        <v>7139</v>
      </c>
      <c r="G4915" s="113" t="s">
        <v>7145</v>
      </c>
      <c r="H4915" s="161">
        <v>0</v>
      </c>
      <c r="I4915" s="161" t="s">
        <v>7146</v>
      </c>
    </row>
    <row r="4916" spans="1:9">
      <c r="A4916" s="113">
        <v>100790640</v>
      </c>
      <c r="B4916" s="113" t="s">
        <v>7116</v>
      </c>
      <c r="C4916" s="113">
        <v>4990177</v>
      </c>
      <c r="D4916" s="113" t="s">
        <v>7139</v>
      </c>
      <c r="E4916" s="113" t="s">
        <v>1620</v>
      </c>
      <c r="F4916" s="113" t="s">
        <v>7139</v>
      </c>
      <c r="G4916" s="113" t="s">
        <v>7145</v>
      </c>
      <c r="H4916" s="161">
        <v>0</v>
      </c>
      <c r="I4916" s="161" t="s">
        <v>7146</v>
      </c>
    </row>
    <row r="4917" spans="1:9">
      <c r="A4917" s="113">
        <v>100790642</v>
      </c>
      <c r="B4917" s="113" t="s">
        <v>7116</v>
      </c>
      <c r="C4917" s="113">
        <v>4990181</v>
      </c>
      <c r="D4917" s="113" t="s">
        <v>7139</v>
      </c>
      <c r="E4917" s="113" t="s">
        <v>1620</v>
      </c>
      <c r="F4917" s="113" t="s">
        <v>7139</v>
      </c>
      <c r="G4917" s="113" t="s">
        <v>7145</v>
      </c>
      <c r="H4917" s="161">
        <v>0</v>
      </c>
      <c r="I4917" s="161" t="s">
        <v>7146</v>
      </c>
    </row>
    <row r="4918" spans="1:9">
      <c r="A4918" s="113">
        <v>100790643</v>
      </c>
      <c r="B4918" s="113" t="s">
        <v>7116</v>
      </c>
      <c r="C4918" s="113">
        <v>4990182</v>
      </c>
      <c r="D4918" s="113" t="s">
        <v>7139</v>
      </c>
      <c r="E4918" s="113" t="s">
        <v>1620</v>
      </c>
      <c r="F4918" s="113" t="s">
        <v>7139</v>
      </c>
      <c r="G4918" s="113" t="s">
        <v>7145</v>
      </c>
      <c r="H4918" s="161">
        <v>0</v>
      </c>
      <c r="I4918" s="161" t="s">
        <v>7146</v>
      </c>
    </row>
    <row r="4919" spans="1:9">
      <c r="A4919" s="113">
        <v>100790646</v>
      </c>
      <c r="B4919" s="113" t="s">
        <v>7116</v>
      </c>
      <c r="C4919" s="113">
        <v>4990187</v>
      </c>
      <c r="D4919" s="113" t="s">
        <v>7139</v>
      </c>
      <c r="E4919" s="113" t="s">
        <v>1620</v>
      </c>
      <c r="F4919" s="113" t="s">
        <v>7139</v>
      </c>
      <c r="G4919" s="113" t="s">
        <v>7145</v>
      </c>
      <c r="H4919" s="161">
        <v>0</v>
      </c>
      <c r="I4919" s="161" t="s">
        <v>7146</v>
      </c>
    </row>
    <row r="4920" spans="1:9">
      <c r="A4920" s="113">
        <v>100790647</v>
      </c>
      <c r="B4920" s="113" t="s">
        <v>7116</v>
      </c>
      <c r="C4920" s="113">
        <v>4990188</v>
      </c>
      <c r="D4920" s="113" t="s">
        <v>7139</v>
      </c>
      <c r="E4920" s="113" t="s">
        <v>1620</v>
      </c>
      <c r="F4920" s="113" t="s">
        <v>7139</v>
      </c>
      <c r="G4920" s="113" t="s">
        <v>7145</v>
      </c>
      <c r="H4920" s="161">
        <v>0</v>
      </c>
      <c r="I4920" s="161" t="s">
        <v>7146</v>
      </c>
    </row>
    <row r="4921" spans="1:9">
      <c r="A4921" s="113">
        <v>100790648</v>
      </c>
      <c r="B4921" s="113" t="s">
        <v>7116</v>
      </c>
      <c r="C4921" s="113">
        <v>4990189</v>
      </c>
      <c r="D4921" s="113" t="s">
        <v>7139</v>
      </c>
      <c r="E4921" s="113" t="s">
        <v>1620</v>
      </c>
      <c r="F4921" s="113" t="s">
        <v>7139</v>
      </c>
      <c r="G4921" s="113" t="s">
        <v>7145</v>
      </c>
      <c r="H4921" s="161">
        <v>0</v>
      </c>
      <c r="I4921" s="161" t="s">
        <v>7146</v>
      </c>
    </row>
    <row r="4922" spans="1:9">
      <c r="A4922" s="113">
        <v>100790650</v>
      </c>
      <c r="B4922" s="113" t="s">
        <v>7116</v>
      </c>
      <c r="C4922" s="113">
        <v>4990192</v>
      </c>
      <c r="D4922" s="113" t="s">
        <v>7139</v>
      </c>
      <c r="E4922" s="113" t="s">
        <v>1620</v>
      </c>
      <c r="F4922" s="113" t="s">
        <v>7139</v>
      </c>
      <c r="G4922" s="113" t="s">
        <v>7145</v>
      </c>
      <c r="H4922" s="161">
        <v>0</v>
      </c>
      <c r="I4922" s="161" t="s">
        <v>7146</v>
      </c>
    </row>
    <row r="4923" spans="1:9">
      <c r="A4923" s="113">
        <v>100790651</v>
      </c>
      <c r="B4923" s="113" t="s">
        <v>7116</v>
      </c>
      <c r="C4923" s="113">
        <v>4990195</v>
      </c>
      <c r="D4923" s="113" t="s">
        <v>7139</v>
      </c>
      <c r="E4923" s="113" t="s">
        <v>1620</v>
      </c>
      <c r="F4923" s="113" t="s">
        <v>7139</v>
      </c>
      <c r="G4923" s="113" t="s">
        <v>7145</v>
      </c>
      <c r="H4923" s="161">
        <v>0</v>
      </c>
      <c r="I4923" s="161" t="s">
        <v>7146</v>
      </c>
    </row>
    <row r="4924" spans="1:9">
      <c r="A4924" s="113">
        <v>100790652</v>
      </c>
      <c r="B4924" s="113" t="s">
        <v>7116</v>
      </c>
      <c r="C4924" s="113">
        <v>4990197</v>
      </c>
      <c r="D4924" s="113" t="s">
        <v>7139</v>
      </c>
      <c r="E4924" s="113" t="s">
        <v>1620</v>
      </c>
      <c r="F4924" s="113" t="s">
        <v>7139</v>
      </c>
      <c r="G4924" s="113" t="s">
        <v>7145</v>
      </c>
      <c r="H4924" s="161">
        <v>0</v>
      </c>
      <c r="I4924" s="161" t="s">
        <v>7146</v>
      </c>
    </row>
    <row r="4925" spans="1:9">
      <c r="A4925" s="113">
        <v>100790654</v>
      </c>
      <c r="B4925" s="113" t="s">
        <v>7116</v>
      </c>
      <c r="C4925" s="113">
        <v>4990202</v>
      </c>
      <c r="D4925" s="113" t="s">
        <v>7139</v>
      </c>
      <c r="E4925" s="113" t="s">
        <v>1620</v>
      </c>
      <c r="F4925" s="113" t="s">
        <v>7139</v>
      </c>
      <c r="G4925" s="113" t="s">
        <v>7145</v>
      </c>
      <c r="H4925" s="161">
        <v>0</v>
      </c>
      <c r="I4925" s="161" t="s">
        <v>7146</v>
      </c>
    </row>
    <row r="4926" spans="1:9">
      <c r="A4926" s="113">
        <v>100790655</v>
      </c>
      <c r="B4926" s="113" t="s">
        <v>7116</v>
      </c>
      <c r="C4926" s="113">
        <v>4990203</v>
      </c>
      <c r="D4926" s="113" t="s">
        <v>7139</v>
      </c>
      <c r="E4926" s="113" t="s">
        <v>1620</v>
      </c>
      <c r="F4926" s="113" t="s">
        <v>7139</v>
      </c>
      <c r="G4926" s="113" t="s">
        <v>7145</v>
      </c>
      <c r="H4926" s="161">
        <v>0</v>
      </c>
      <c r="I4926" s="161" t="s">
        <v>7146</v>
      </c>
    </row>
    <row r="4927" spans="1:9">
      <c r="A4927" s="113">
        <v>100790656</v>
      </c>
      <c r="B4927" s="113" t="s">
        <v>7116</v>
      </c>
      <c r="C4927" s="113">
        <v>4990204</v>
      </c>
      <c r="D4927" s="113" t="s">
        <v>7139</v>
      </c>
      <c r="E4927" s="113" t="s">
        <v>1620</v>
      </c>
      <c r="F4927" s="113" t="s">
        <v>7139</v>
      </c>
      <c r="G4927" s="113" t="s">
        <v>7145</v>
      </c>
      <c r="H4927" s="161">
        <v>0</v>
      </c>
      <c r="I4927" s="161" t="s">
        <v>7146</v>
      </c>
    </row>
    <row r="4928" spans="1:9">
      <c r="A4928" s="113">
        <v>100790657</v>
      </c>
      <c r="B4928" s="113" t="s">
        <v>7116</v>
      </c>
      <c r="C4928" s="113">
        <v>4990205</v>
      </c>
      <c r="D4928" s="113" t="s">
        <v>7139</v>
      </c>
      <c r="E4928" s="113" t="s">
        <v>1620</v>
      </c>
      <c r="F4928" s="113" t="s">
        <v>7139</v>
      </c>
      <c r="G4928" s="113" t="s">
        <v>7145</v>
      </c>
      <c r="H4928" s="161">
        <v>0</v>
      </c>
      <c r="I4928" s="161" t="s">
        <v>7146</v>
      </c>
    </row>
    <row r="4929" spans="1:9">
      <c r="A4929" s="113">
        <v>100790658</v>
      </c>
      <c r="B4929" s="113" t="s">
        <v>7116</v>
      </c>
      <c r="C4929" s="113">
        <v>4990206</v>
      </c>
      <c r="D4929" s="113" t="s">
        <v>7139</v>
      </c>
      <c r="E4929" s="113" t="s">
        <v>1620</v>
      </c>
      <c r="F4929" s="113" t="s">
        <v>7139</v>
      </c>
      <c r="G4929" s="113" t="s">
        <v>7145</v>
      </c>
      <c r="H4929" s="161">
        <v>0</v>
      </c>
      <c r="I4929" s="161" t="s">
        <v>7146</v>
      </c>
    </row>
    <row r="4930" spans="1:9">
      <c r="A4930" s="113">
        <v>100790659</v>
      </c>
      <c r="B4930" s="113" t="s">
        <v>7116</v>
      </c>
      <c r="C4930" s="113">
        <v>4990207</v>
      </c>
      <c r="D4930" s="113" t="s">
        <v>7139</v>
      </c>
      <c r="E4930" s="113" t="s">
        <v>1620</v>
      </c>
      <c r="F4930" s="113" t="s">
        <v>7139</v>
      </c>
      <c r="G4930" s="113" t="s">
        <v>7145</v>
      </c>
      <c r="H4930" s="161">
        <v>0</v>
      </c>
      <c r="I4930" s="161" t="s">
        <v>7146</v>
      </c>
    </row>
    <row r="4931" spans="1:9">
      <c r="A4931" s="113">
        <v>100790660</v>
      </c>
      <c r="B4931" s="113" t="s">
        <v>7116</v>
      </c>
      <c r="C4931" s="113">
        <v>4990209</v>
      </c>
      <c r="D4931" s="113" t="s">
        <v>7139</v>
      </c>
      <c r="E4931" s="113" t="s">
        <v>1620</v>
      </c>
      <c r="F4931" s="113" t="s">
        <v>7139</v>
      </c>
      <c r="G4931" s="113" t="s">
        <v>7145</v>
      </c>
      <c r="H4931" s="161">
        <v>0</v>
      </c>
      <c r="I4931" s="161" t="s">
        <v>7146</v>
      </c>
    </row>
    <row r="4932" spans="1:9">
      <c r="A4932" s="113">
        <v>100790661</v>
      </c>
      <c r="B4932" s="113" t="s">
        <v>7116</v>
      </c>
      <c r="C4932" s="113">
        <v>4990210</v>
      </c>
      <c r="D4932" s="113" t="s">
        <v>7139</v>
      </c>
      <c r="E4932" s="113" t="s">
        <v>1620</v>
      </c>
      <c r="F4932" s="113" t="s">
        <v>7139</v>
      </c>
      <c r="G4932" s="113" t="s">
        <v>7145</v>
      </c>
      <c r="H4932" s="161">
        <v>0</v>
      </c>
      <c r="I4932" s="161" t="s">
        <v>7146</v>
      </c>
    </row>
    <row r="4933" spans="1:9">
      <c r="A4933" s="113">
        <v>100790662</v>
      </c>
      <c r="B4933" s="113" t="s">
        <v>7116</v>
      </c>
      <c r="C4933" s="113">
        <v>4990211</v>
      </c>
      <c r="D4933" s="113" t="s">
        <v>7139</v>
      </c>
      <c r="E4933" s="113" t="s">
        <v>1620</v>
      </c>
      <c r="F4933" s="113" t="s">
        <v>7139</v>
      </c>
      <c r="G4933" s="113" t="s">
        <v>7145</v>
      </c>
      <c r="H4933" s="161">
        <v>0</v>
      </c>
      <c r="I4933" s="161" t="s">
        <v>7146</v>
      </c>
    </row>
    <row r="4934" spans="1:9">
      <c r="A4934" s="113">
        <v>100790663</v>
      </c>
      <c r="B4934" s="113" t="s">
        <v>7116</v>
      </c>
      <c r="C4934" s="113">
        <v>4990212</v>
      </c>
      <c r="D4934" s="113" t="s">
        <v>7139</v>
      </c>
      <c r="E4934" s="113" t="s">
        <v>1620</v>
      </c>
      <c r="F4934" s="113" t="s">
        <v>7139</v>
      </c>
      <c r="G4934" s="113" t="s">
        <v>7145</v>
      </c>
      <c r="H4934" s="161">
        <v>0</v>
      </c>
      <c r="I4934" s="161" t="s">
        <v>7146</v>
      </c>
    </row>
    <row r="4935" spans="1:9">
      <c r="A4935" s="113">
        <v>100790664</v>
      </c>
      <c r="B4935" s="113" t="s">
        <v>7116</v>
      </c>
      <c r="C4935" s="113">
        <v>4990215</v>
      </c>
      <c r="D4935" s="113" t="s">
        <v>7139</v>
      </c>
      <c r="E4935" s="113" t="s">
        <v>1620</v>
      </c>
      <c r="F4935" s="113" t="s">
        <v>7139</v>
      </c>
      <c r="G4935" s="113" t="s">
        <v>7145</v>
      </c>
      <c r="H4935" s="161">
        <v>0</v>
      </c>
      <c r="I4935" s="161" t="s">
        <v>7146</v>
      </c>
    </row>
    <row r="4936" spans="1:9">
      <c r="A4936" s="113">
        <v>100790665</v>
      </c>
      <c r="B4936" s="113" t="s">
        <v>7116</v>
      </c>
      <c r="C4936" s="113">
        <v>4990219</v>
      </c>
      <c r="D4936" s="113" t="s">
        <v>7139</v>
      </c>
      <c r="E4936" s="113" t="s">
        <v>1620</v>
      </c>
      <c r="F4936" s="113" t="s">
        <v>7139</v>
      </c>
      <c r="G4936" s="113" t="s">
        <v>7145</v>
      </c>
      <c r="H4936" s="161">
        <v>0</v>
      </c>
      <c r="I4936" s="161" t="s">
        <v>7146</v>
      </c>
    </row>
    <row r="4937" spans="1:9">
      <c r="A4937" s="113">
        <v>100790667</v>
      </c>
      <c r="B4937" s="113" t="s">
        <v>7116</v>
      </c>
      <c r="C4937" s="113">
        <v>4990225</v>
      </c>
      <c r="D4937" s="113" t="s">
        <v>7139</v>
      </c>
      <c r="E4937" s="113" t="s">
        <v>1620</v>
      </c>
      <c r="F4937" s="113" t="s">
        <v>7139</v>
      </c>
      <c r="G4937" s="113" t="s">
        <v>7145</v>
      </c>
      <c r="H4937" s="161">
        <v>0</v>
      </c>
      <c r="I4937" s="161" t="s">
        <v>7146</v>
      </c>
    </row>
    <row r="4938" spans="1:9">
      <c r="A4938" s="113">
        <v>100790669</v>
      </c>
      <c r="B4938" s="113" t="s">
        <v>7116</v>
      </c>
      <c r="C4938" s="113">
        <v>4990241</v>
      </c>
      <c r="D4938" s="113" t="s">
        <v>7139</v>
      </c>
      <c r="E4938" s="113" t="s">
        <v>1620</v>
      </c>
      <c r="F4938" s="113" t="s">
        <v>7139</v>
      </c>
      <c r="G4938" s="113" t="s">
        <v>7145</v>
      </c>
      <c r="H4938" s="161">
        <v>0</v>
      </c>
      <c r="I4938" s="161" t="s">
        <v>7146</v>
      </c>
    </row>
    <row r="4939" spans="1:9">
      <c r="A4939" s="113">
        <v>100790671</v>
      </c>
      <c r="B4939" s="113" t="s">
        <v>7116</v>
      </c>
      <c r="C4939" s="113">
        <v>6001019</v>
      </c>
      <c r="D4939" s="113" t="s">
        <v>7139</v>
      </c>
      <c r="E4939" s="113" t="s">
        <v>1620</v>
      </c>
      <c r="F4939" s="113" t="s">
        <v>7139</v>
      </c>
      <c r="G4939" s="113" t="s">
        <v>7145</v>
      </c>
      <c r="H4939" s="161">
        <v>0</v>
      </c>
      <c r="I4939" s="161" t="s">
        <v>7146</v>
      </c>
    </row>
    <row r="4940" spans="1:9">
      <c r="A4940" s="113">
        <v>100790672</v>
      </c>
      <c r="B4940" s="113" t="s">
        <v>7116</v>
      </c>
      <c r="C4940" s="113">
        <v>6001034</v>
      </c>
      <c r="D4940" s="113" t="s">
        <v>7139</v>
      </c>
      <c r="E4940" s="113" t="s">
        <v>1620</v>
      </c>
      <c r="F4940" s="113" t="s">
        <v>7139</v>
      </c>
      <c r="G4940" s="113" t="s">
        <v>7145</v>
      </c>
      <c r="H4940" s="161">
        <v>0</v>
      </c>
      <c r="I4940" s="161" t="s">
        <v>7146</v>
      </c>
    </row>
    <row r="4941" spans="1:9">
      <c r="A4941" s="113">
        <v>100790673</v>
      </c>
      <c r="B4941" s="113" t="s">
        <v>7116</v>
      </c>
      <c r="C4941" s="113">
        <v>6003016</v>
      </c>
      <c r="D4941" s="113" t="s">
        <v>7139</v>
      </c>
      <c r="E4941" s="113" t="s">
        <v>1620</v>
      </c>
      <c r="F4941" s="113" t="s">
        <v>7139</v>
      </c>
      <c r="G4941" s="115" t="s">
        <v>7145</v>
      </c>
      <c r="H4941" s="161">
        <v>0</v>
      </c>
      <c r="I4941" s="161" t="s">
        <v>7146</v>
      </c>
    </row>
    <row r="4942" spans="1:9">
      <c r="A4942" s="113">
        <v>100790674</v>
      </c>
      <c r="B4942" s="113" t="s">
        <v>7116</v>
      </c>
      <c r="C4942" s="113">
        <v>6003039</v>
      </c>
      <c r="D4942" s="113" t="s">
        <v>7139</v>
      </c>
      <c r="E4942" s="113" t="s">
        <v>1620</v>
      </c>
      <c r="F4942" s="113" t="s">
        <v>7139</v>
      </c>
      <c r="G4942" s="115" t="s">
        <v>7145</v>
      </c>
      <c r="H4942" s="161">
        <v>0</v>
      </c>
      <c r="I4942" s="161" t="s">
        <v>7146</v>
      </c>
    </row>
    <row r="4943" spans="1:9">
      <c r="A4943" s="113">
        <v>100790675</v>
      </c>
      <c r="B4943" s="113" t="s">
        <v>7116</v>
      </c>
      <c r="C4943" s="113">
        <v>6003040</v>
      </c>
      <c r="D4943" s="113" t="s">
        <v>7139</v>
      </c>
      <c r="E4943" s="113" t="s">
        <v>1620</v>
      </c>
      <c r="F4943" s="113" t="s">
        <v>7139</v>
      </c>
      <c r="G4943" s="115" t="s">
        <v>7145</v>
      </c>
      <c r="H4943" s="161">
        <v>0</v>
      </c>
      <c r="I4943" s="161" t="s">
        <v>7146</v>
      </c>
    </row>
    <row r="4944" spans="1:9">
      <c r="A4944" s="113">
        <v>100790676</v>
      </c>
      <c r="B4944" s="113" t="s">
        <v>7116</v>
      </c>
      <c r="C4944" s="113">
        <v>6011010</v>
      </c>
      <c r="D4944" s="113" t="s">
        <v>7139</v>
      </c>
      <c r="E4944" s="113" t="s">
        <v>1620</v>
      </c>
      <c r="F4944" s="113" t="s">
        <v>7139</v>
      </c>
      <c r="G4944" s="115" t="s">
        <v>7145</v>
      </c>
      <c r="H4944" s="161">
        <v>0</v>
      </c>
      <c r="I4944" s="161" t="s">
        <v>7146</v>
      </c>
    </row>
    <row r="4945" spans="1:9">
      <c r="A4945" s="113">
        <v>100790677</v>
      </c>
      <c r="B4945" s="113" t="s">
        <v>7116</v>
      </c>
      <c r="C4945" s="113">
        <v>6011011</v>
      </c>
      <c r="D4945" s="113" t="s">
        <v>7139</v>
      </c>
      <c r="E4945" s="113" t="s">
        <v>1620</v>
      </c>
      <c r="F4945" s="113" t="s">
        <v>7139</v>
      </c>
      <c r="G4945" s="115" t="s">
        <v>7145</v>
      </c>
      <c r="H4945" s="161">
        <v>0</v>
      </c>
      <c r="I4945" s="161" t="s">
        <v>7146</v>
      </c>
    </row>
    <row r="4946" spans="1:9">
      <c r="A4946" s="113">
        <v>100790678</v>
      </c>
      <c r="B4946" s="113" t="s">
        <v>7116</v>
      </c>
      <c r="C4946" s="113">
        <v>6011012</v>
      </c>
      <c r="D4946" s="113" t="s">
        <v>7139</v>
      </c>
      <c r="E4946" s="113" t="s">
        <v>1620</v>
      </c>
      <c r="F4946" s="113" t="s">
        <v>7139</v>
      </c>
      <c r="G4946" s="115" t="s">
        <v>7145</v>
      </c>
      <c r="H4946" s="161">
        <v>0</v>
      </c>
      <c r="I4946" s="161" t="s">
        <v>7146</v>
      </c>
    </row>
    <row r="4947" spans="1:9">
      <c r="A4947" s="113">
        <v>100790679</v>
      </c>
      <c r="B4947" s="113" t="s">
        <v>7116</v>
      </c>
      <c r="C4947" s="113">
        <v>6014016</v>
      </c>
      <c r="D4947" s="113" t="s">
        <v>7139</v>
      </c>
      <c r="E4947" s="113" t="s">
        <v>1620</v>
      </c>
      <c r="F4947" s="113" t="s">
        <v>7139</v>
      </c>
      <c r="G4947" s="115" t="s">
        <v>7145</v>
      </c>
      <c r="H4947" s="161">
        <v>0</v>
      </c>
      <c r="I4947" s="161" t="s">
        <v>7146</v>
      </c>
    </row>
    <row r="4948" spans="1:9">
      <c r="A4948" s="113">
        <v>100790680</v>
      </c>
      <c r="B4948" s="113" t="s">
        <v>7116</v>
      </c>
      <c r="C4948" s="113">
        <v>6014022</v>
      </c>
      <c r="D4948" s="113" t="s">
        <v>7139</v>
      </c>
      <c r="E4948" s="113" t="s">
        <v>1620</v>
      </c>
      <c r="F4948" s="113" t="s">
        <v>7139</v>
      </c>
      <c r="G4948" s="113" t="s">
        <v>7145</v>
      </c>
      <c r="H4948" s="161">
        <v>0</v>
      </c>
      <c r="I4948" s="161" t="s">
        <v>7146</v>
      </c>
    </row>
    <row r="4949" spans="1:9">
      <c r="A4949" s="113">
        <v>100790682</v>
      </c>
      <c r="B4949" s="113" t="s">
        <v>7116</v>
      </c>
      <c r="C4949" s="113">
        <v>6020000</v>
      </c>
      <c r="D4949" s="113" t="s">
        <v>7139</v>
      </c>
      <c r="E4949" s="113" t="s">
        <v>1620</v>
      </c>
      <c r="F4949" s="113" t="s">
        <v>7139</v>
      </c>
      <c r="G4949" s="115" t="s">
        <v>7145</v>
      </c>
      <c r="H4949" s="161">
        <v>0</v>
      </c>
      <c r="I4949" s="161" t="s">
        <v>7146</v>
      </c>
    </row>
    <row r="4950" spans="1:9">
      <c r="A4950" s="113">
        <v>100790683</v>
      </c>
      <c r="B4950" s="113" t="s">
        <v>7116</v>
      </c>
      <c r="C4950" s="113">
        <v>6020001</v>
      </c>
      <c r="D4950" s="113" t="s">
        <v>7139</v>
      </c>
      <c r="E4950" s="113" t="s">
        <v>1620</v>
      </c>
      <c r="F4950" s="113" t="s">
        <v>7139</v>
      </c>
      <c r="G4950" s="113" t="s">
        <v>7145</v>
      </c>
      <c r="H4950" s="161">
        <v>0</v>
      </c>
      <c r="I4950" s="161" t="s">
        <v>7146</v>
      </c>
    </row>
    <row r="4951" spans="1:9">
      <c r="A4951" s="113">
        <v>100790684</v>
      </c>
      <c r="B4951" s="113" t="s">
        <v>7116</v>
      </c>
      <c r="C4951" s="113">
        <v>6020003</v>
      </c>
      <c r="D4951" s="113" t="s">
        <v>7139</v>
      </c>
      <c r="E4951" s="113" t="s">
        <v>1620</v>
      </c>
      <c r="F4951" s="113" t="s">
        <v>7139</v>
      </c>
      <c r="G4951" s="115" t="s">
        <v>7145</v>
      </c>
      <c r="H4951" s="161">
        <v>0</v>
      </c>
      <c r="I4951" s="161" t="s">
        <v>7146</v>
      </c>
    </row>
    <row r="4952" spans="1:9">
      <c r="A4952" s="113">
        <v>100790685</v>
      </c>
      <c r="B4952" s="113" t="s">
        <v>7116</v>
      </c>
      <c r="C4952" s="113">
        <v>6031010</v>
      </c>
      <c r="D4952" s="113" t="s">
        <v>7139</v>
      </c>
      <c r="E4952" s="113" t="s">
        <v>1620</v>
      </c>
      <c r="F4952" s="113" t="s">
        <v>7139</v>
      </c>
      <c r="G4952" s="113" t="s">
        <v>7145</v>
      </c>
      <c r="H4952" s="161">
        <v>0</v>
      </c>
      <c r="I4952" s="161" t="s">
        <v>7146</v>
      </c>
    </row>
    <row r="4953" spans="1:9">
      <c r="A4953" s="113">
        <v>100790686</v>
      </c>
      <c r="B4953" s="113" t="s">
        <v>7116</v>
      </c>
      <c r="C4953" s="113">
        <v>6031011</v>
      </c>
      <c r="D4953" s="113" t="s">
        <v>7139</v>
      </c>
      <c r="E4953" s="113" t="s">
        <v>1620</v>
      </c>
      <c r="F4953" s="113" t="s">
        <v>7139</v>
      </c>
      <c r="G4953" s="113" t="s">
        <v>7145</v>
      </c>
      <c r="H4953" s="161">
        <v>0</v>
      </c>
      <c r="I4953" s="161" t="s">
        <v>7146</v>
      </c>
    </row>
    <row r="4954" spans="1:9">
      <c r="A4954" s="113">
        <v>100790689</v>
      </c>
      <c r="B4954" s="113" t="s">
        <v>7116</v>
      </c>
      <c r="C4954" s="113">
        <v>6033010</v>
      </c>
      <c r="D4954" s="113" t="s">
        <v>7139</v>
      </c>
      <c r="E4954" s="113" t="s">
        <v>1620</v>
      </c>
      <c r="F4954" s="113" t="s">
        <v>7139</v>
      </c>
      <c r="G4954" s="113" t="s">
        <v>7145</v>
      </c>
      <c r="H4954" s="161">
        <v>0</v>
      </c>
      <c r="I4954" s="161" t="s">
        <v>7146</v>
      </c>
    </row>
    <row r="4955" spans="1:9">
      <c r="A4955" s="113">
        <v>100790690</v>
      </c>
      <c r="B4955" s="113" t="s">
        <v>7116</v>
      </c>
      <c r="C4955" s="113">
        <v>6033011</v>
      </c>
      <c r="D4955" s="113" t="s">
        <v>7139</v>
      </c>
      <c r="E4955" s="113" t="s">
        <v>1620</v>
      </c>
      <c r="F4955" s="113" t="s">
        <v>7139</v>
      </c>
      <c r="G4955" s="113" t="s">
        <v>7145</v>
      </c>
      <c r="H4955" s="161">
        <v>0</v>
      </c>
      <c r="I4955" s="161" t="s">
        <v>7146</v>
      </c>
    </row>
    <row r="4956" spans="1:9">
      <c r="A4956" s="113">
        <v>100790691</v>
      </c>
      <c r="B4956" s="113" t="s">
        <v>7116</v>
      </c>
      <c r="C4956" s="113">
        <v>6033013</v>
      </c>
      <c r="D4956" s="113" t="s">
        <v>7139</v>
      </c>
      <c r="E4956" s="113" t="s">
        <v>1620</v>
      </c>
      <c r="F4956" s="113" t="s">
        <v>7139</v>
      </c>
      <c r="G4956" s="113" t="s">
        <v>7145</v>
      </c>
      <c r="H4956" s="161">
        <v>0</v>
      </c>
      <c r="I4956" s="161" t="s">
        <v>7146</v>
      </c>
    </row>
    <row r="4957" spans="1:9">
      <c r="A4957" s="113">
        <v>100790692</v>
      </c>
      <c r="B4957" s="113" t="s">
        <v>7116</v>
      </c>
      <c r="C4957" s="113">
        <v>6034003</v>
      </c>
      <c r="D4957" s="113" t="s">
        <v>7139</v>
      </c>
      <c r="E4957" s="113" t="s">
        <v>1620</v>
      </c>
      <c r="F4957" s="113" t="s">
        <v>7139</v>
      </c>
      <c r="G4957" s="113" t="s">
        <v>7145</v>
      </c>
      <c r="H4957" s="161">
        <v>0</v>
      </c>
      <c r="I4957" s="161" t="s">
        <v>7146</v>
      </c>
    </row>
    <row r="4958" spans="1:9">
      <c r="A4958" s="113">
        <v>100790693</v>
      </c>
      <c r="B4958" s="113" t="s">
        <v>7116</v>
      </c>
      <c r="C4958" s="113">
        <v>6034004</v>
      </c>
      <c r="D4958" s="113" t="s">
        <v>7139</v>
      </c>
      <c r="E4958" s="113" t="s">
        <v>1620</v>
      </c>
      <c r="F4958" s="113" t="s">
        <v>7139</v>
      </c>
      <c r="G4958" s="113" t="s">
        <v>7145</v>
      </c>
      <c r="H4958" s="161">
        <v>0</v>
      </c>
      <c r="I4958" s="161" t="s">
        <v>7146</v>
      </c>
    </row>
    <row r="4959" spans="1:9">
      <c r="A4959" s="113">
        <v>100790694</v>
      </c>
      <c r="B4959" s="113" t="s">
        <v>7116</v>
      </c>
      <c r="C4959" s="113">
        <v>6034006</v>
      </c>
      <c r="D4959" s="113" t="s">
        <v>7139</v>
      </c>
      <c r="E4959" s="113" t="s">
        <v>1620</v>
      </c>
      <c r="F4959" s="113" t="s">
        <v>7139</v>
      </c>
      <c r="G4959" s="113" t="s">
        <v>7145</v>
      </c>
      <c r="H4959" s="161">
        <v>0</v>
      </c>
      <c r="I4959" s="161" t="s">
        <v>7146</v>
      </c>
    </row>
    <row r="4960" spans="1:9">
      <c r="A4960" s="113">
        <v>100790695</v>
      </c>
      <c r="B4960" s="113" t="s">
        <v>7116</v>
      </c>
      <c r="C4960" s="113">
        <v>6034008</v>
      </c>
      <c r="D4960" s="113" t="s">
        <v>7139</v>
      </c>
      <c r="E4960" s="113" t="s">
        <v>1620</v>
      </c>
      <c r="F4960" s="113" t="s">
        <v>7139</v>
      </c>
      <c r="G4960" s="113" t="s">
        <v>7145</v>
      </c>
      <c r="H4960" s="161">
        <v>0</v>
      </c>
      <c r="I4960" s="161" t="s">
        <v>7146</v>
      </c>
    </row>
    <row r="4961" spans="1:9">
      <c r="A4961" s="113">
        <v>100790696</v>
      </c>
      <c r="B4961" s="113" t="s">
        <v>7116</v>
      </c>
      <c r="C4961" s="113">
        <v>6041001</v>
      </c>
      <c r="D4961" s="113" t="s">
        <v>7139</v>
      </c>
      <c r="E4961" s="113" t="s">
        <v>1620</v>
      </c>
      <c r="F4961" s="113" t="s">
        <v>7139</v>
      </c>
      <c r="G4961" s="115" t="s">
        <v>7145</v>
      </c>
      <c r="H4961" s="161">
        <v>0</v>
      </c>
      <c r="I4961" s="161" t="s">
        <v>7146</v>
      </c>
    </row>
    <row r="4962" spans="1:9">
      <c r="A4962" s="113">
        <v>100790697</v>
      </c>
      <c r="B4962" s="113" t="s">
        <v>7116</v>
      </c>
      <c r="C4962" s="113">
        <v>6043003</v>
      </c>
      <c r="D4962" s="113" t="s">
        <v>7139</v>
      </c>
      <c r="E4962" s="113" t="s">
        <v>1620</v>
      </c>
      <c r="F4962" s="113" t="s">
        <v>7139</v>
      </c>
      <c r="G4962" s="113" t="s">
        <v>7145</v>
      </c>
      <c r="H4962" s="161">
        <v>0</v>
      </c>
      <c r="I4962" s="161" t="s">
        <v>7146</v>
      </c>
    </row>
    <row r="4963" spans="1:9">
      <c r="A4963" s="113">
        <v>100790698</v>
      </c>
      <c r="B4963" s="113" t="s">
        <v>7116</v>
      </c>
      <c r="C4963" s="113">
        <v>6043005</v>
      </c>
      <c r="D4963" s="113" t="s">
        <v>7139</v>
      </c>
      <c r="E4963" s="113" t="s">
        <v>1620</v>
      </c>
      <c r="F4963" s="113" t="s">
        <v>7139</v>
      </c>
      <c r="G4963" s="113" t="s">
        <v>7145</v>
      </c>
      <c r="H4963" s="161">
        <v>0</v>
      </c>
      <c r="I4963" s="161" t="s">
        <v>7146</v>
      </c>
    </row>
    <row r="4964" spans="1:9">
      <c r="A4964" s="113">
        <v>100790699</v>
      </c>
      <c r="B4964" s="113" t="s">
        <v>7116</v>
      </c>
      <c r="C4964" s="113">
        <v>6044002</v>
      </c>
      <c r="D4964" s="113" t="s">
        <v>7139</v>
      </c>
      <c r="E4964" s="113" t="s">
        <v>1620</v>
      </c>
      <c r="F4964" s="113" t="s">
        <v>7139</v>
      </c>
      <c r="G4964" s="113" t="s">
        <v>7145</v>
      </c>
      <c r="H4964" s="161">
        <v>0</v>
      </c>
      <c r="I4964" s="161" t="s">
        <v>7146</v>
      </c>
    </row>
    <row r="4965" spans="1:9">
      <c r="A4965" s="113">
        <v>100790700</v>
      </c>
      <c r="B4965" s="113" t="s">
        <v>7116</v>
      </c>
      <c r="C4965" s="113">
        <v>6044008</v>
      </c>
      <c r="D4965" s="113" t="s">
        <v>7139</v>
      </c>
      <c r="E4965" s="113" t="s">
        <v>1620</v>
      </c>
      <c r="F4965" s="113" t="s">
        <v>7139</v>
      </c>
      <c r="G4965" s="113" t="s">
        <v>7145</v>
      </c>
      <c r="H4965" s="161">
        <v>0</v>
      </c>
      <c r="I4965" s="161" t="s">
        <v>7146</v>
      </c>
    </row>
    <row r="4966" spans="1:9">
      <c r="A4966" s="113">
        <v>100790701</v>
      </c>
      <c r="B4966" s="113" t="s">
        <v>7116</v>
      </c>
      <c r="C4966" s="113">
        <v>6044021</v>
      </c>
      <c r="D4966" s="113" t="s">
        <v>7139</v>
      </c>
      <c r="E4966" s="113" t="s">
        <v>1620</v>
      </c>
      <c r="F4966" s="113" t="s">
        <v>7139</v>
      </c>
      <c r="G4966" s="113" t="s">
        <v>7145</v>
      </c>
      <c r="H4966" s="161">
        <v>0</v>
      </c>
      <c r="I4966" s="161" t="s">
        <v>7146</v>
      </c>
    </row>
    <row r="4967" spans="1:9">
      <c r="A4967" s="113">
        <v>100790702</v>
      </c>
      <c r="B4967" s="113" t="s">
        <v>7116</v>
      </c>
      <c r="C4967" s="113">
        <v>6044041</v>
      </c>
      <c r="D4967" s="113" t="s">
        <v>7139</v>
      </c>
      <c r="E4967" s="113" t="s">
        <v>1620</v>
      </c>
      <c r="F4967" s="113" t="s">
        <v>7139</v>
      </c>
      <c r="G4967" s="113" t="s">
        <v>7145</v>
      </c>
      <c r="H4967" s="161">
        <v>0</v>
      </c>
      <c r="I4967" s="161" t="s">
        <v>7146</v>
      </c>
    </row>
    <row r="4968" spans="1:9">
      <c r="A4968" s="113">
        <v>100790703</v>
      </c>
      <c r="B4968" s="113" t="s">
        <v>7116</v>
      </c>
      <c r="C4968" s="113">
        <v>6044084</v>
      </c>
      <c r="D4968" s="113" t="s">
        <v>7139</v>
      </c>
      <c r="E4968" s="113" t="s">
        <v>1620</v>
      </c>
      <c r="F4968" s="113" t="s">
        <v>7139</v>
      </c>
      <c r="G4968" s="113" t="s">
        <v>7145</v>
      </c>
      <c r="H4968" s="161">
        <v>0</v>
      </c>
      <c r="I4968" s="161" t="s">
        <v>7146</v>
      </c>
    </row>
    <row r="4969" spans="1:9">
      <c r="A4969" s="113">
        <v>100790704</v>
      </c>
      <c r="B4969" s="113" t="s">
        <v>7116</v>
      </c>
      <c r="C4969" s="113">
        <v>6044097</v>
      </c>
      <c r="D4969" s="113" t="s">
        <v>7139</v>
      </c>
      <c r="E4969" s="113" t="s">
        <v>1620</v>
      </c>
      <c r="F4969" s="113" t="s">
        <v>7139</v>
      </c>
      <c r="G4969" s="113" t="s">
        <v>7145</v>
      </c>
      <c r="H4969" s="161">
        <v>0</v>
      </c>
      <c r="I4969" s="161" t="s">
        <v>7146</v>
      </c>
    </row>
    <row r="4970" spans="1:9">
      <c r="A4970" s="113">
        <v>100790706</v>
      </c>
      <c r="B4970" s="113" t="s">
        <v>7116</v>
      </c>
      <c r="C4970" s="113">
        <v>6045020</v>
      </c>
      <c r="D4970" s="113" t="s">
        <v>7139</v>
      </c>
      <c r="E4970" s="113" t="s">
        <v>1620</v>
      </c>
      <c r="F4970" s="113" t="s">
        <v>7139</v>
      </c>
      <c r="G4970" s="113" t="s">
        <v>7145</v>
      </c>
      <c r="H4970" s="161">
        <v>0</v>
      </c>
      <c r="I4970" s="161" t="s">
        <v>7146</v>
      </c>
    </row>
    <row r="4971" spans="1:9">
      <c r="A4971" s="113">
        <v>100790707</v>
      </c>
      <c r="B4971" s="113" t="s">
        <v>7116</v>
      </c>
      <c r="C4971" s="113">
        <v>6050010</v>
      </c>
      <c r="D4971" s="113" t="s">
        <v>7139</v>
      </c>
      <c r="E4971" s="113" t="s">
        <v>1620</v>
      </c>
      <c r="F4971" s="113" t="s">
        <v>7139</v>
      </c>
      <c r="G4971" s="113" t="s">
        <v>7145</v>
      </c>
      <c r="H4971" s="161">
        <v>0</v>
      </c>
      <c r="I4971" s="161" t="s">
        <v>7146</v>
      </c>
    </row>
    <row r="4972" spans="1:9">
      <c r="A4972" s="113">
        <v>100790708</v>
      </c>
      <c r="B4972" s="113" t="s">
        <v>7116</v>
      </c>
      <c r="C4972" s="113">
        <v>6050011</v>
      </c>
      <c r="D4972" s="113" t="s">
        <v>7139</v>
      </c>
      <c r="E4972" s="113" t="s">
        <v>1620</v>
      </c>
      <c r="F4972" s="113" t="s">
        <v>7139</v>
      </c>
      <c r="G4972" s="113" t="s">
        <v>7145</v>
      </c>
      <c r="H4972" s="161">
        <v>0</v>
      </c>
      <c r="I4972" s="161" t="s">
        <v>7146</v>
      </c>
    </row>
    <row r="4973" spans="1:9">
      <c r="A4973" s="113">
        <v>100790711</v>
      </c>
      <c r="B4973" s="113" t="s">
        <v>7116</v>
      </c>
      <c r="C4973" s="113">
        <v>6050038</v>
      </c>
      <c r="D4973" s="113" t="s">
        <v>7139</v>
      </c>
      <c r="E4973" s="113" t="s">
        <v>1620</v>
      </c>
      <c r="F4973" s="113" t="s">
        <v>7139</v>
      </c>
      <c r="G4973" s="115" t="s">
        <v>7145</v>
      </c>
      <c r="H4973" s="161">
        <v>0</v>
      </c>
      <c r="I4973" s="161" t="s">
        <v>7146</v>
      </c>
    </row>
    <row r="4974" spans="1:9">
      <c r="A4974" s="113">
        <v>100790714</v>
      </c>
      <c r="B4974" s="113" t="s">
        <v>7116</v>
      </c>
      <c r="C4974" s="113">
        <v>6050042</v>
      </c>
      <c r="D4974" s="113" t="s">
        <v>7139</v>
      </c>
      <c r="E4974" s="113" t="s">
        <v>1620</v>
      </c>
      <c r="F4974" s="113" t="s">
        <v>7139</v>
      </c>
      <c r="G4974" s="115" t="s">
        <v>7145</v>
      </c>
      <c r="H4974" s="161">
        <v>0</v>
      </c>
      <c r="I4974" s="161" t="s">
        <v>7146</v>
      </c>
    </row>
    <row r="4975" spans="1:9">
      <c r="A4975" s="113">
        <v>100790716</v>
      </c>
      <c r="B4975" s="113" t="s">
        <v>7116</v>
      </c>
      <c r="C4975" s="113">
        <v>6050067</v>
      </c>
      <c r="D4975" s="113" t="s">
        <v>7139</v>
      </c>
      <c r="E4975" s="113" t="s">
        <v>1620</v>
      </c>
      <c r="F4975" s="113" t="s">
        <v>7139</v>
      </c>
      <c r="G4975" s="115" t="s">
        <v>7145</v>
      </c>
      <c r="H4975" s="161">
        <v>0</v>
      </c>
      <c r="I4975" s="161" t="s">
        <v>7146</v>
      </c>
    </row>
    <row r="4976" spans="1:9">
      <c r="A4976" s="113">
        <v>100790717</v>
      </c>
      <c r="B4976" s="113" t="s">
        <v>7116</v>
      </c>
      <c r="C4976" s="113">
        <v>6050069</v>
      </c>
      <c r="D4976" s="113" t="s">
        <v>7139</v>
      </c>
      <c r="E4976" s="113" t="s">
        <v>1620</v>
      </c>
      <c r="F4976" s="113" t="s">
        <v>7139</v>
      </c>
      <c r="G4976" s="113" t="s">
        <v>7145</v>
      </c>
      <c r="H4976" s="161">
        <v>0</v>
      </c>
      <c r="I4976" s="161" t="s">
        <v>7146</v>
      </c>
    </row>
    <row r="4977" spans="1:9">
      <c r="A4977" s="113">
        <v>100790719</v>
      </c>
      <c r="B4977" s="113" t="s">
        <v>7116</v>
      </c>
      <c r="C4977" s="113">
        <v>6050072</v>
      </c>
      <c r="D4977" s="113" t="s">
        <v>7139</v>
      </c>
      <c r="E4977" s="113" t="s">
        <v>1620</v>
      </c>
      <c r="F4977" s="113" t="s">
        <v>7139</v>
      </c>
      <c r="G4977" s="113" t="s">
        <v>7145</v>
      </c>
      <c r="H4977" s="161">
        <v>0</v>
      </c>
      <c r="I4977" s="161" t="s">
        <v>7146</v>
      </c>
    </row>
    <row r="4978" spans="1:9">
      <c r="A4978" s="113">
        <v>100790720</v>
      </c>
      <c r="B4978" s="113" t="s">
        <v>7116</v>
      </c>
      <c r="C4978" s="113">
        <v>6050109</v>
      </c>
      <c r="D4978" s="113" t="s">
        <v>7139</v>
      </c>
      <c r="E4978" s="113" t="s">
        <v>1620</v>
      </c>
      <c r="F4978" s="113" t="s">
        <v>7139</v>
      </c>
      <c r="G4978" s="113" t="s">
        <v>7145</v>
      </c>
      <c r="H4978" s="161">
        <v>0</v>
      </c>
      <c r="I4978" s="161" t="s">
        <v>7146</v>
      </c>
    </row>
    <row r="4979" spans="1:9">
      <c r="A4979" s="113">
        <v>100790723</v>
      </c>
      <c r="B4979" s="113" t="s">
        <v>7116</v>
      </c>
      <c r="C4979" s="113">
        <v>6050118</v>
      </c>
      <c r="D4979" s="113" t="s">
        <v>7139</v>
      </c>
      <c r="E4979" s="113" t="s">
        <v>1620</v>
      </c>
      <c r="F4979" s="113" t="s">
        <v>7139</v>
      </c>
      <c r="G4979" s="113" t="s">
        <v>7145</v>
      </c>
      <c r="H4979" s="161">
        <v>0</v>
      </c>
      <c r="I4979" s="161" t="s">
        <v>7146</v>
      </c>
    </row>
    <row r="4980" spans="1:9">
      <c r="A4980" s="113">
        <v>100790724</v>
      </c>
      <c r="B4980" s="113" t="s">
        <v>7116</v>
      </c>
      <c r="C4980" s="113">
        <v>6050121</v>
      </c>
      <c r="D4980" s="113" t="s">
        <v>7139</v>
      </c>
      <c r="E4980" s="113" t="s">
        <v>1620</v>
      </c>
      <c r="F4980" s="113" t="s">
        <v>7139</v>
      </c>
      <c r="G4980" s="113" t="s">
        <v>7145</v>
      </c>
      <c r="H4980" s="161">
        <v>0</v>
      </c>
      <c r="I4980" s="161" t="s">
        <v>7146</v>
      </c>
    </row>
    <row r="4981" spans="1:9">
      <c r="A4981" s="113">
        <v>100790728</v>
      </c>
      <c r="B4981" s="113" t="s">
        <v>7116</v>
      </c>
      <c r="C4981" s="113">
        <v>6051011</v>
      </c>
      <c r="D4981" s="113" t="s">
        <v>7139</v>
      </c>
      <c r="E4981" s="113" t="s">
        <v>1620</v>
      </c>
      <c r="F4981" s="113" t="s">
        <v>7139</v>
      </c>
      <c r="G4981" s="113" t="s">
        <v>7145</v>
      </c>
      <c r="H4981" s="161">
        <v>0</v>
      </c>
      <c r="I4981" s="161" t="s">
        <v>7146</v>
      </c>
    </row>
    <row r="4982" spans="1:9">
      <c r="A4982" s="113">
        <v>100790729</v>
      </c>
      <c r="B4982" s="113" t="s">
        <v>7116</v>
      </c>
      <c r="C4982" s="113">
        <v>6051021</v>
      </c>
      <c r="D4982" s="113" t="s">
        <v>7139</v>
      </c>
      <c r="E4982" s="113" t="s">
        <v>1620</v>
      </c>
      <c r="F4982" s="113" t="s">
        <v>7139</v>
      </c>
      <c r="G4982" s="113" t="s">
        <v>7145</v>
      </c>
      <c r="H4982" s="161">
        <v>0</v>
      </c>
      <c r="I4982" s="161" t="s">
        <v>7146</v>
      </c>
    </row>
    <row r="4983" spans="1:9">
      <c r="A4983" s="113">
        <v>100790731</v>
      </c>
      <c r="B4983" s="113" t="s">
        <v>7116</v>
      </c>
      <c r="C4983" s="113">
        <v>6051036</v>
      </c>
      <c r="D4983" s="113" t="s">
        <v>7139</v>
      </c>
      <c r="E4983" s="113" t="s">
        <v>1620</v>
      </c>
      <c r="F4983" s="113" t="s">
        <v>7139</v>
      </c>
      <c r="G4983" s="113" t="s">
        <v>7145</v>
      </c>
      <c r="H4983" s="161">
        <v>0</v>
      </c>
      <c r="I4983" s="161" t="s">
        <v>7146</v>
      </c>
    </row>
    <row r="4984" spans="1:9">
      <c r="A4984" s="113">
        <v>100790735</v>
      </c>
      <c r="B4984" s="113" t="s">
        <v>7116</v>
      </c>
      <c r="C4984" s="113">
        <v>6052014</v>
      </c>
      <c r="D4984" s="113" t="s">
        <v>7139</v>
      </c>
      <c r="E4984" s="113" t="s">
        <v>1620</v>
      </c>
      <c r="F4984" s="113" t="s">
        <v>7139</v>
      </c>
      <c r="G4984" s="113" t="s">
        <v>7145</v>
      </c>
      <c r="H4984" s="161">
        <v>0</v>
      </c>
      <c r="I4984" s="161" t="s">
        <v>7146</v>
      </c>
    </row>
    <row r="4985" spans="1:9">
      <c r="A4985" s="113">
        <v>100790737</v>
      </c>
      <c r="B4985" s="113" t="s">
        <v>7116</v>
      </c>
      <c r="C4985" s="113">
        <v>6054017</v>
      </c>
      <c r="D4985" s="113" t="s">
        <v>7139</v>
      </c>
      <c r="E4985" s="113" t="s">
        <v>1620</v>
      </c>
      <c r="F4985" s="113" t="s">
        <v>7139</v>
      </c>
      <c r="G4985" s="115" t="s">
        <v>7145</v>
      </c>
      <c r="H4985" s="161">
        <v>0</v>
      </c>
      <c r="I4985" s="161" t="s">
        <v>7146</v>
      </c>
    </row>
    <row r="4986" spans="1:9">
      <c r="A4986" s="113">
        <v>100790740</v>
      </c>
      <c r="B4986" s="113" t="s">
        <v>7116</v>
      </c>
      <c r="C4986" s="113">
        <v>6055004</v>
      </c>
      <c r="D4986" s="113" t="s">
        <v>7139</v>
      </c>
      <c r="E4986" s="113" t="s">
        <v>1620</v>
      </c>
      <c r="F4986" s="113" t="s">
        <v>7139</v>
      </c>
      <c r="G4986" s="113" t="s">
        <v>7145</v>
      </c>
      <c r="H4986" s="161">
        <v>0</v>
      </c>
      <c r="I4986" s="161" t="s">
        <v>7146</v>
      </c>
    </row>
    <row r="4987" spans="1:9">
      <c r="A4987" s="113">
        <v>100790743</v>
      </c>
      <c r="B4987" s="113" t="s">
        <v>7116</v>
      </c>
      <c r="C4987" s="113">
        <v>6056005</v>
      </c>
      <c r="D4987" s="113" t="s">
        <v>7139</v>
      </c>
      <c r="E4987" s="113" t="s">
        <v>1620</v>
      </c>
      <c r="F4987" s="113" t="s">
        <v>7139</v>
      </c>
      <c r="G4987" s="113" t="s">
        <v>7145</v>
      </c>
      <c r="H4987" s="161">
        <v>0</v>
      </c>
      <c r="I4987" s="161" t="s">
        <v>7146</v>
      </c>
    </row>
    <row r="4988" spans="1:9">
      <c r="A4988" s="113">
        <v>100790744</v>
      </c>
      <c r="B4988" s="113" t="s">
        <v>7116</v>
      </c>
      <c r="C4988" s="113">
        <v>6060032</v>
      </c>
      <c r="D4988" s="113" t="s">
        <v>7139</v>
      </c>
      <c r="E4988" s="113" t="s">
        <v>1620</v>
      </c>
      <c r="F4988" s="113" t="s">
        <v>7139</v>
      </c>
      <c r="G4988" s="115" t="s">
        <v>7145</v>
      </c>
      <c r="H4988" s="161">
        <v>0</v>
      </c>
      <c r="I4988" s="161" t="s">
        <v>7146</v>
      </c>
    </row>
    <row r="4989" spans="1:9">
      <c r="A4989" s="113">
        <v>100790746</v>
      </c>
      <c r="B4989" s="113" t="s">
        <v>7116</v>
      </c>
      <c r="C4989" s="113">
        <v>6062007</v>
      </c>
      <c r="D4989" s="113" t="s">
        <v>7139</v>
      </c>
      <c r="E4989" s="113" t="s">
        <v>1620</v>
      </c>
      <c r="F4989" s="113" t="s">
        <v>7139</v>
      </c>
      <c r="G4989" s="115" t="s">
        <v>7145</v>
      </c>
      <c r="H4989" s="161">
        <v>0</v>
      </c>
      <c r="I4989" s="161" t="s">
        <v>7146</v>
      </c>
    </row>
    <row r="4990" spans="1:9">
      <c r="A4990" s="113">
        <v>100790747</v>
      </c>
      <c r="B4990" s="113" t="s">
        <v>7116</v>
      </c>
      <c r="C4990" s="113">
        <v>6062008</v>
      </c>
      <c r="D4990" s="113" t="s">
        <v>7139</v>
      </c>
      <c r="E4990" s="113" t="s">
        <v>1620</v>
      </c>
      <c r="F4990" s="113" t="s">
        <v>7139</v>
      </c>
      <c r="G4990" s="115" t="s">
        <v>7145</v>
      </c>
      <c r="H4990" s="161">
        <v>0</v>
      </c>
      <c r="I4990" s="161" t="s">
        <v>7146</v>
      </c>
    </row>
    <row r="4991" spans="1:9">
      <c r="A4991" s="113">
        <v>100790748</v>
      </c>
      <c r="B4991" s="113" t="s">
        <v>7116</v>
      </c>
      <c r="C4991" s="113">
        <v>6062010</v>
      </c>
      <c r="D4991" s="113" t="s">
        <v>7139</v>
      </c>
      <c r="E4991" s="113" t="s">
        <v>1620</v>
      </c>
      <c r="F4991" s="113" t="s">
        <v>7139</v>
      </c>
      <c r="G4991" s="113" t="s">
        <v>7145</v>
      </c>
      <c r="H4991" s="161">
        <v>0</v>
      </c>
      <c r="I4991" s="161" t="s">
        <v>7146</v>
      </c>
    </row>
    <row r="4992" spans="1:9">
      <c r="A4992" s="113">
        <v>100790749</v>
      </c>
      <c r="B4992" s="113" t="s">
        <v>7116</v>
      </c>
      <c r="C4992" s="113">
        <v>6062017</v>
      </c>
      <c r="D4992" s="113" t="s">
        <v>7139</v>
      </c>
      <c r="E4992" s="113" t="s">
        <v>1620</v>
      </c>
      <c r="F4992" s="113" t="s">
        <v>7139</v>
      </c>
      <c r="G4992" s="113" t="s">
        <v>7145</v>
      </c>
      <c r="H4992" s="161">
        <v>0</v>
      </c>
      <c r="I4992" s="161" t="s">
        <v>7146</v>
      </c>
    </row>
    <row r="4993" spans="1:9">
      <c r="A4993" s="113">
        <v>100790751</v>
      </c>
      <c r="B4993" s="113" t="s">
        <v>7116</v>
      </c>
      <c r="C4993" s="113">
        <v>6062019</v>
      </c>
      <c r="D4993" s="113" t="s">
        <v>7139</v>
      </c>
      <c r="E4993" s="113" t="s">
        <v>1620</v>
      </c>
      <c r="F4993" s="113" t="s">
        <v>7139</v>
      </c>
      <c r="G4993" s="113" t="s">
        <v>7145</v>
      </c>
      <c r="H4993" s="161">
        <v>0</v>
      </c>
      <c r="I4993" s="161" t="s">
        <v>7146</v>
      </c>
    </row>
    <row r="4994" spans="1:9">
      <c r="A4994" s="113">
        <v>100790752</v>
      </c>
      <c r="B4994" s="113" t="s">
        <v>7116</v>
      </c>
      <c r="C4994" s="113">
        <v>6062022</v>
      </c>
      <c r="D4994" s="113" t="s">
        <v>7139</v>
      </c>
      <c r="E4994" s="113" t="s">
        <v>1620</v>
      </c>
      <c r="F4994" s="113" t="s">
        <v>7139</v>
      </c>
      <c r="G4994" s="115" t="s">
        <v>7145</v>
      </c>
      <c r="H4994" s="161">
        <v>0</v>
      </c>
      <c r="I4994" s="161" t="s">
        <v>7146</v>
      </c>
    </row>
    <row r="4995" spans="1:9">
      <c r="A4995" s="113">
        <v>100790754</v>
      </c>
      <c r="B4995" s="113" t="s">
        <v>7116</v>
      </c>
      <c r="C4995" s="113">
        <v>6064014</v>
      </c>
      <c r="D4995" s="113" t="s">
        <v>7139</v>
      </c>
      <c r="E4995" s="113" t="s">
        <v>1620</v>
      </c>
      <c r="F4995" s="113" t="s">
        <v>7139</v>
      </c>
      <c r="G4995" s="113" t="s">
        <v>7145</v>
      </c>
      <c r="H4995" s="161">
        <v>0</v>
      </c>
      <c r="I4995" s="161" t="s">
        <v>7146</v>
      </c>
    </row>
    <row r="4996" spans="1:9">
      <c r="A4996" s="113">
        <v>100790755</v>
      </c>
      <c r="B4996" s="113" t="s">
        <v>7116</v>
      </c>
      <c r="C4996" s="113">
        <v>6064015</v>
      </c>
      <c r="D4996" s="113" t="s">
        <v>7139</v>
      </c>
      <c r="E4996" s="113" t="s">
        <v>1620</v>
      </c>
      <c r="F4996" s="113" t="s">
        <v>7139</v>
      </c>
      <c r="G4996" s="115" t="s">
        <v>7145</v>
      </c>
      <c r="H4996" s="161">
        <v>0</v>
      </c>
      <c r="I4996" s="161" t="s">
        <v>7146</v>
      </c>
    </row>
    <row r="4997" spans="1:9">
      <c r="A4997" s="113">
        <v>100790756</v>
      </c>
      <c r="B4997" s="113" t="s">
        <v>7116</v>
      </c>
      <c r="C4997" s="113">
        <v>6070001</v>
      </c>
      <c r="D4997" s="113" t="s">
        <v>7139</v>
      </c>
      <c r="E4997" s="113" t="s">
        <v>1620</v>
      </c>
      <c r="F4997" s="113" t="s">
        <v>7139</v>
      </c>
      <c r="G4997" s="113" t="s">
        <v>7145</v>
      </c>
      <c r="H4997" s="161">
        <v>0</v>
      </c>
      <c r="I4997" s="161" t="s">
        <v>7146</v>
      </c>
    </row>
    <row r="4998" spans="1:9">
      <c r="A4998" s="113">
        <v>100790760</v>
      </c>
      <c r="B4998" s="113" t="s">
        <v>7116</v>
      </c>
      <c r="C4998" s="113">
        <v>6070010</v>
      </c>
      <c r="D4998" s="113" t="s">
        <v>7139</v>
      </c>
      <c r="E4998" s="113" t="s">
        <v>1620</v>
      </c>
      <c r="F4998" s="113" t="s">
        <v>7139</v>
      </c>
      <c r="G4998" s="113" t="s">
        <v>7145</v>
      </c>
      <c r="H4998" s="161">
        <v>0</v>
      </c>
      <c r="I4998" s="161" t="s">
        <v>7146</v>
      </c>
    </row>
    <row r="4999" spans="1:9">
      <c r="A4999" s="113">
        <v>100790761</v>
      </c>
      <c r="B4999" s="113" t="s">
        <v>7116</v>
      </c>
      <c r="C4999" s="113">
        <v>6070014</v>
      </c>
      <c r="D4999" s="113" t="s">
        <v>7139</v>
      </c>
      <c r="E4999" s="113" t="s">
        <v>1620</v>
      </c>
      <c r="F4999" s="113" t="s">
        <v>7139</v>
      </c>
      <c r="G4999" s="113" t="s">
        <v>7145</v>
      </c>
      <c r="H4999" s="161">
        <v>0</v>
      </c>
      <c r="I4999" s="161" t="s">
        <v>7146</v>
      </c>
    </row>
    <row r="5000" spans="1:9">
      <c r="A5000" s="113">
        <v>100790762</v>
      </c>
      <c r="B5000" s="113" t="s">
        <v>7116</v>
      </c>
      <c r="C5000" s="113">
        <v>6070015</v>
      </c>
      <c r="D5000" s="113" t="s">
        <v>7139</v>
      </c>
      <c r="E5000" s="113" t="s">
        <v>1620</v>
      </c>
      <c r="F5000" s="113" t="s">
        <v>7139</v>
      </c>
      <c r="G5000" s="113" t="s">
        <v>7145</v>
      </c>
      <c r="H5000" s="161">
        <v>0</v>
      </c>
      <c r="I5000" s="161" t="s">
        <v>7146</v>
      </c>
    </row>
    <row r="5001" spans="1:9">
      <c r="A5001" s="113">
        <v>100790763</v>
      </c>
      <c r="B5001" s="113" t="s">
        <v>7116</v>
      </c>
      <c r="C5001" s="113">
        <v>6072004</v>
      </c>
      <c r="D5001" s="113" t="s">
        <v>7139</v>
      </c>
      <c r="E5001" s="113" t="s">
        <v>1620</v>
      </c>
      <c r="F5001" s="113" t="s">
        <v>7139</v>
      </c>
      <c r="G5001" s="115" t="s">
        <v>7145</v>
      </c>
      <c r="H5001" s="161">
        <v>0</v>
      </c>
      <c r="I5001" s="161" t="s">
        <v>7146</v>
      </c>
    </row>
    <row r="5002" spans="1:9">
      <c r="A5002" s="113">
        <v>100790766</v>
      </c>
      <c r="B5002" s="113" t="s">
        <v>7116</v>
      </c>
      <c r="C5002" s="113">
        <v>6081018</v>
      </c>
      <c r="D5002" s="113" t="s">
        <v>7139</v>
      </c>
      <c r="E5002" s="113" t="s">
        <v>1620</v>
      </c>
      <c r="F5002" s="113" t="s">
        <v>7139</v>
      </c>
      <c r="G5002" s="113" t="s">
        <v>7145</v>
      </c>
      <c r="H5002" s="161">
        <v>0</v>
      </c>
      <c r="I5002" s="161" t="s">
        <v>7146</v>
      </c>
    </row>
    <row r="5003" spans="1:9">
      <c r="A5003" s="113">
        <v>100790768</v>
      </c>
      <c r="B5003" s="113" t="s">
        <v>7116</v>
      </c>
      <c r="C5003" s="113">
        <v>6086014</v>
      </c>
      <c r="D5003" s="113" t="s">
        <v>7139</v>
      </c>
      <c r="E5003" s="113" t="s">
        <v>1620</v>
      </c>
      <c r="F5003" s="113" t="s">
        <v>7139</v>
      </c>
      <c r="G5003" s="115" t="s">
        <v>7145</v>
      </c>
      <c r="H5003" s="161">
        <v>0</v>
      </c>
      <c r="I5003" s="161" t="s">
        <v>7146</v>
      </c>
    </row>
    <row r="5004" spans="1:9">
      <c r="A5004" s="113">
        <v>100790769</v>
      </c>
      <c r="B5004" s="113" t="s">
        <v>7116</v>
      </c>
      <c r="C5004" s="113">
        <v>6087003</v>
      </c>
      <c r="D5004" s="113" t="s">
        <v>7139</v>
      </c>
      <c r="E5004" s="113" t="s">
        <v>1620</v>
      </c>
      <c r="F5004" s="113" t="s">
        <v>7139</v>
      </c>
      <c r="G5004" s="115" t="s">
        <v>7145</v>
      </c>
      <c r="H5004" s="161">
        <v>0</v>
      </c>
      <c r="I5004" s="161" t="s">
        <v>7146</v>
      </c>
    </row>
    <row r="5005" spans="1:9">
      <c r="A5005" s="113">
        <v>100790771</v>
      </c>
      <c r="B5005" s="113" t="s">
        <v>7116</v>
      </c>
      <c r="C5005" s="113">
        <v>6088006</v>
      </c>
      <c r="D5005" s="113" t="s">
        <v>7139</v>
      </c>
      <c r="E5005" s="113" t="s">
        <v>1620</v>
      </c>
      <c r="F5005" s="113" t="s">
        <v>7139</v>
      </c>
      <c r="G5005" s="115" t="s">
        <v>7145</v>
      </c>
      <c r="H5005" s="161">
        <v>0</v>
      </c>
      <c r="I5005" s="161" t="s">
        <v>7146</v>
      </c>
    </row>
    <row r="5006" spans="1:9">
      <c r="A5006" s="113">
        <v>100790772</v>
      </c>
      <c r="B5006" s="113" t="s">
        <v>7116</v>
      </c>
      <c r="C5006" s="113">
        <v>6990006</v>
      </c>
      <c r="D5006" s="113" t="s">
        <v>7139</v>
      </c>
      <c r="E5006" s="113" t="s">
        <v>1620</v>
      </c>
      <c r="F5006" s="113" t="s">
        <v>7139</v>
      </c>
      <c r="G5006" s="115" t="s">
        <v>7145</v>
      </c>
      <c r="H5006" s="161">
        <v>0</v>
      </c>
      <c r="I5006" s="161" t="s">
        <v>7146</v>
      </c>
    </row>
    <row r="5007" spans="1:9">
      <c r="A5007" s="113">
        <v>100790775</v>
      </c>
      <c r="B5007" s="113" t="s">
        <v>7116</v>
      </c>
      <c r="C5007" s="113">
        <v>6990014</v>
      </c>
      <c r="D5007" s="113" t="s">
        <v>7139</v>
      </c>
      <c r="E5007" s="113" t="s">
        <v>1620</v>
      </c>
      <c r="F5007" s="113" t="s">
        <v>7139</v>
      </c>
      <c r="G5007" s="115" t="s">
        <v>7145</v>
      </c>
      <c r="H5007" s="161">
        <v>0</v>
      </c>
      <c r="I5007" s="161" t="s">
        <v>7146</v>
      </c>
    </row>
    <row r="5008" spans="1:9">
      <c r="A5008" s="113">
        <v>100790776</v>
      </c>
      <c r="B5008" s="113" t="s">
        <v>7116</v>
      </c>
      <c r="C5008" s="113">
        <v>6990015</v>
      </c>
      <c r="D5008" s="113" t="s">
        <v>7139</v>
      </c>
      <c r="E5008" s="113" t="s">
        <v>1620</v>
      </c>
      <c r="F5008" s="113" t="s">
        <v>7139</v>
      </c>
      <c r="G5008" s="115" t="s">
        <v>7145</v>
      </c>
      <c r="H5008" s="161">
        <v>0</v>
      </c>
      <c r="I5008" s="161" t="s">
        <v>7146</v>
      </c>
    </row>
    <row r="5009" spans="1:9">
      <c r="A5009" s="113">
        <v>100790777</v>
      </c>
      <c r="B5009" s="113" t="s">
        <v>7116</v>
      </c>
      <c r="C5009" s="113">
        <v>6990018</v>
      </c>
      <c r="D5009" s="113" t="s">
        <v>7139</v>
      </c>
      <c r="E5009" s="113" t="s">
        <v>1620</v>
      </c>
      <c r="F5009" s="113" t="s">
        <v>7139</v>
      </c>
      <c r="G5009" s="115" t="s">
        <v>7145</v>
      </c>
      <c r="H5009" s="161">
        <v>0</v>
      </c>
      <c r="I5009" s="161" t="s">
        <v>7146</v>
      </c>
    </row>
    <row r="5010" spans="1:9">
      <c r="A5010" s="113">
        <v>100790778</v>
      </c>
      <c r="B5010" s="113" t="s">
        <v>7116</v>
      </c>
      <c r="C5010" s="113">
        <v>6990023</v>
      </c>
      <c r="D5010" s="113" t="s">
        <v>7139</v>
      </c>
      <c r="E5010" s="113" t="s">
        <v>1620</v>
      </c>
      <c r="F5010" s="113" t="s">
        <v>7139</v>
      </c>
      <c r="G5010" s="115" t="s">
        <v>7145</v>
      </c>
      <c r="H5010" s="161">
        <v>0</v>
      </c>
      <c r="I5010" s="161" t="s">
        <v>7146</v>
      </c>
    </row>
    <row r="5011" spans="1:9">
      <c r="A5011" s="113">
        <v>100790779</v>
      </c>
      <c r="B5011" s="113" t="s">
        <v>7116</v>
      </c>
      <c r="C5011" s="113">
        <v>6990027</v>
      </c>
      <c r="D5011" s="113" t="s">
        <v>7139</v>
      </c>
      <c r="E5011" s="113" t="s">
        <v>1620</v>
      </c>
      <c r="F5011" s="113" t="s">
        <v>7139</v>
      </c>
      <c r="G5011" s="115" t="s">
        <v>7145</v>
      </c>
      <c r="H5011" s="161">
        <v>0</v>
      </c>
      <c r="I5011" s="161" t="s">
        <v>7146</v>
      </c>
    </row>
    <row r="5012" spans="1:9">
      <c r="A5012" s="113">
        <v>100790780</v>
      </c>
      <c r="B5012" s="113" t="s">
        <v>7116</v>
      </c>
      <c r="C5012" s="113">
        <v>6990030</v>
      </c>
      <c r="D5012" s="113" t="s">
        <v>7139</v>
      </c>
      <c r="E5012" s="113" t="s">
        <v>1620</v>
      </c>
      <c r="F5012" s="113" t="s">
        <v>7139</v>
      </c>
      <c r="G5012" s="115" t="s">
        <v>7145</v>
      </c>
      <c r="H5012" s="161">
        <v>0</v>
      </c>
      <c r="I5012" s="161" t="s">
        <v>7146</v>
      </c>
    </row>
    <row r="5013" spans="1:9">
      <c r="A5013" s="113">
        <v>100790783</v>
      </c>
      <c r="B5013" s="113" t="s">
        <v>7116</v>
      </c>
      <c r="C5013" s="113">
        <v>6990036</v>
      </c>
      <c r="D5013" s="113" t="s">
        <v>7139</v>
      </c>
      <c r="E5013" s="113" t="s">
        <v>1620</v>
      </c>
      <c r="F5013" s="113" t="s">
        <v>7139</v>
      </c>
      <c r="G5013" s="115" t="s">
        <v>7145</v>
      </c>
      <c r="H5013" s="161">
        <v>0</v>
      </c>
      <c r="I5013" s="161" t="s">
        <v>7146</v>
      </c>
    </row>
    <row r="5014" spans="1:9">
      <c r="A5014" s="113">
        <v>100790784</v>
      </c>
      <c r="B5014" s="113" t="s">
        <v>7116</v>
      </c>
      <c r="C5014" s="113">
        <v>6990038</v>
      </c>
      <c r="D5014" s="113" t="s">
        <v>7139</v>
      </c>
      <c r="E5014" s="113" t="s">
        <v>1620</v>
      </c>
      <c r="F5014" s="113" t="s">
        <v>7139</v>
      </c>
      <c r="G5014" s="115" t="s">
        <v>7145</v>
      </c>
      <c r="H5014" s="161">
        <v>0</v>
      </c>
      <c r="I5014" s="161" t="s">
        <v>7146</v>
      </c>
    </row>
    <row r="5015" spans="1:9">
      <c r="A5015" s="113">
        <v>100790785</v>
      </c>
      <c r="B5015" s="113" t="s">
        <v>7116</v>
      </c>
      <c r="C5015" s="113">
        <v>6990039</v>
      </c>
      <c r="D5015" s="113" t="s">
        <v>7139</v>
      </c>
      <c r="E5015" s="113" t="s">
        <v>1620</v>
      </c>
      <c r="F5015" s="113" t="s">
        <v>7139</v>
      </c>
      <c r="G5015" s="115" t="s">
        <v>7145</v>
      </c>
      <c r="H5015" s="161">
        <v>0</v>
      </c>
      <c r="I5015" s="161" t="s">
        <v>7146</v>
      </c>
    </row>
    <row r="5016" spans="1:9">
      <c r="A5016" s="113">
        <v>100790786</v>
      </c>
      <c r="B5016" s="113" t="s">
        <v>7116</v>
      </c>
      <c r="C5016" s="113">
        <v>6990044</v>
      </c>
      <c r="D5016" s="113" t="s">
        <v>7139</v>
      </c>
      <c r="E5016" s="113" t="s">
        <v>1620</v>
      </c>
      <c r="F5016" s="113" t="s">
        <v>7139</v>
      </c>
      <c r="G5016" s="115" t="s">
        <v>7145</v>
      </c>
      <c r="H5016" s="161">
        <v>0</v>
      </c>
      <c r="I5016" s="161" t="s">
        <v>7146</v>
      </c>
    </row>
    <row r="5017" spans="1:9">
      <c r="A5017" s="113">
        <v>100790787</v>
      </c>
      <c r="B5017" s="113" t="s">
        <v>7116</v>
      </c>
      <c r="C5017" s="113">
        <v>6990045</v>
      </c>
      <c r="D5017" s="113" t="s">
        <v>7139</v>
      </c>
      <c r="E5017" s="113" t="s">
        <v>1620</v>
      </c>
      <c r="F5017" s="113" t="s">
        <v>7139</v>
      </c>
      <c r="G5017" s="113" t="s">
        <v>7145</v>
      </c>
      <c r="H5017" s="161">
        <v>0</v>
      </c>
      <c r="I5017" s="161" t="s">
        <v>7146</v>
      </c>
    </row>
    <row r="5018" spans="1:9">
      <c r="A5018" s="113">
        <v>100790788</v>
      </c>
      <c r="B5018" s="113" t="s">
        <v>7116</v>
      </c>
      <c r="C5018" s="113">
        <v>6990046</v>
      </c>
      <c r="D5018" s="113" t="s">
        <v>7139</v>
      </c>
      <c r="E5018" s="113" t="s">
        <v>1620</v>
      </c>
      <c r="F5018" s="113" t="s">
        <v>7139</v>
      </c>
      <c r="G5018" s="115" t="s">
        <v>7145</v>
      </c>
      <c r="H5018" s="161">
        <v>0</v>
      </c>
      <c r="I5018" s="161" t="s">
        <v>7146</v>
      </c>
    </row>
    <row r="5019" spans="1:9">
      <c r="A5019" s="113">
        <v>100790789</v>
      </c>
      <c r="B5019" s="113" t="s">
        <v>7116</v>
      </c>
      <c r="C5019" s="113">
        <v>6990047</v>
      </c>
      <c r="D5019" s="113" t="s">
        <v>7139</v>
      </c>
      <c r="E5019" s="113" t="s">
        <v>1620</v>
      </c>
      <c r="F5019" s="113" t="s">
        <v>7139</v>
      </c>
      <c r="G5019" s="113" t="s">
        <v>7145</v>
      </c>
      <c r="H5019" s="161">
        <v>0</v>
      </c>
      <c r="I5019" s="161" t="s">
        <v>7146</v>
      </c>
    </row>
    <row r="5020" spans="1:9">
      <c r="A5020" s="113">
        <v>100790790</v>
      </c>
      <c r="B5020" s="113" t="s">
        <v>7116</v>
      </c>
      <c r="C5020" s="113">
        <v>6990048</v>
      </c>
      <c r="D5020" s="113" t="s">
        <v>7139</v>
      </c>
      <c r="E5020" s="113" t="s">
        <v>1620</v>
      </c>
      <c r="F5020" s="113" t="s">
        <v>7139</v>
      </c>
      <c r="G5020" s="113" t="s">
        <v>7145</v>
      </c>
      <c r="H5020" s="161">
        <v>0</v>
      </c>
      <c r="I5020" s="161" t="s">
        <v>7146</v>
      </c>
    </row>
    <row r="5021" spans="1:9">
      <c r="A5021" s="113">
        <v>100790791</v>
      </c>
      <c r="B5021" s="113" t="s">
        <v>7116</v>
      </c>
      <c r="C5021" s="113">
        <v>6990049</v>
      </c>
      <c r="D5021" s="113" t="s">
        <v>7139</v>
      </c>
      <c r="E5021" s="113" t="s">
        <v>1620</v>
      </c>
      <c r="F5021" s="113" t="s">
        <v>7139</v>
      </c>
      <c r="G5021" s="113" t="s">
        <v>7145</v>
      </c>
      <c r="H5021" s="161">
        <v>0</v>
      </c>
      <c r="I5021" s="161" t="s">
        <v>7146</v>
      </c>
    </row>
    <row r="5022" spans="1:9">
      <c r="A5022" s="113">
        <v>100790792</v>
      </c>
      <c r="B5022" s="113" t="s">
        <v>7116</v>
      </c>
      <c r="C5022" s="113">
        <v>6990050</v>
      </c>
      <c r="D5022" s="113" t="s">
        <v>7139</v>
      </c>
      <c r="E5022" s="113" t="s">
        <v>1620</v>
      </c>
      <c r="F5022" s="113" t="s">
        <v>7139</v>
      </c>
      <c r="G5022" s="113" t="s">
        <v>7145</v>
      </c>
      <c r="H5022" s="161">
        <v>0</v>
      </c>
      <c r="I5022" s="161" t="s">
        <v>7146</v>
      </c>
    </row>
    <row r="5023" spans="1:9">
      <c r="A5023" s="113">
        <v>100790793</v>
      </c>
      <c r="B5023" s="113" t="s">
        <v>7116</v>
      </c>
      <c r="C5023" s="113">
        <v>6990051</v>
      </c>
      <c r="D5023" s="113" t="s">
        <v>7139</v>
      </c>
      <c r="E5023" s="113" t="s">
        <v>1620</v>
      </c>
      <c r="F5023" s="113" t="s">
        <v>7139</v>
      </c>
      <c r="G5023" s="113" t="s">
        <v>7145</v>
      </c>
      <c r="H5023" s="161">
        <v>0</v>
      </c>
      <c r="I5023" s="161" t="s">
        <v>7146</v>
      </c>
    </row>
    <row r="5024" spans="1:9">
      <c r="A5024" s="113">
        <v>100790794</v>
      </c>
      <c r="B5024" s="113" t="s">
        <v>7116</v>
      </c>
      <c r="C5024" s="113">
        <v>6990052</v>
      </c>
      <c r="D5024" s="113" t="s">
        <v>7139</v>
      </c>
      <c r="E5024" s="113" t="s">
        <v>1620</v>
      </c>
      <c r="F5024" s="113" t="s">
        <v>7139</v>
      </c>
      <c r="G5024" s="113" t="s">
        <v>7145</v>
      </c>
      <c r="H5024" s="161">
        <v>0</v>
      </c>
      <c r="I5024" s="161" t="s">
        <v>7146</v>
      </c>
    </row>
    <row r="5025" spans="1:9">
      <c r="A5025" s="113">
        <v>100790795</v>
      </c>
      <c r="B5025" s="113" t="s">
        <v>7116</v>
      </c>
      <c r="C5025" s="113">
        <v>6990053</v>
      </c>
      <c r="D5025" s="113" t="s">
        <v>7139</v>
      </c>
      <c r="E5025" s="113" t="s">
        <v>1620</v>
      </c>
      <c r="F5025" s="113" t="s">
        <v>7139</v>
      </c>
      <c r="G5025" s="113" t="s">
        <v>7145</v>
      </c>
      <c r="H5025" s="161">
        <v>0</v>
      </c>
      <c r="I5025" s="161" t="s">
        <v>7146</v>
      </c>
    </row>
    <row r="5026" spans="1:9">
      <c r="A5026" s="113">
        <v>100790796</v>
      </c>
      <c r="B5026" s="113" t="s">
        <v>7116</v>
      </c>
      <c r="C5026" s="113">
        <v>6990054</v>
      </c>
      <c r="D5026" s="113" t="s">
        <v>7139</v>
      </c>
      <c r="E5026" s="113" t="s">
        <v>1620</v>
      </c>
      <c r="F5026" s="113" t="s">
        <v>7139</v>
      </c>
      <c r="G5026" s="113" t="s">
        <v>7145</v>
      </c>
      <c r="H5026" s="161">
        <v>0</v>
      </c>
      <c r="I5026" s="161" t="s">
        <v>7146</v>
      </c>
    </row>
    <row r="5027" spans="1:9">
      <c r="A5027" s="113">
        <v>100790797</v>
      </c>
      <c r="B5027" s="113" t="s">
        <v>7116</v>
      </c>
      <c r="C5027" s="113">
        <v>6990055</v>
      </c>
      <c r="D5027" s="113" t="s">
        <v>7139</v>
      </c>
      <c r="E5027" s="113" t="s">
        <v>1620</v>
      </c>
      <c r="F5027" s="113" t="s">
        <v>7139</v>
      </c>
      <c r="G5027" s="113" t="s">
        <v>7145</v>
      </c>
      <c r="H5027" s="161">
        <v>0</v>
      </c>
      <c r="I5027" s="161" t="s">
        <v>7146</v>
      </c>
    </row>
    <row r="5028" spans="1:9">
      <c r="A5028" s="113">
        <v>100790798</v>
      </c>
      <c r="B5028" s="113" t="s">
        <v>7116</v>
      </c>
      <c r="C5028" s="113">
        <v>6990056</v>
      </c>
      <c r="D5028" s="113" t="s">
        <v>7139</v>
      </c>
      <c r="E5028" s="113" t="s">
        <v>1620</v>
      </c>
      <c r="F5028" s="113" t="s">
        <v>7139</v>
      </c>
      <c r="G5028" s="113" t="s">
        <v>7145</v>
      </c>
      <c r="H5028" s="161">
        <v>0</v>
      </c>
      <c r="I5028" s="161" t="s">
        <v>7146</v>
      </c>
    </row>
    <row r="5029" spans="1:9">
      <c r="A5029" s="113">
        <v>100790799</v>
      </c>
      <c r="B5029" s="113" t="s">
        <v>7116</v>
      </c>
      <c r="C5029" s="113">
        <v>6990057</v>
      </c>
      <c r="D5029" s="113" t="s">
        <v>7139</v>
      </c>
      <c r="E5029" s="113" t="s">
        <v>1620</v>
      </c>
      <c r="F5029" s="113" t="s">
        <v>7139</v>
      </c>
      <c r="G5029" s="113" t="s">
        <v>7145</v>
      </c>
      <c r="H5029" s="161">
        <v>0</v>
      </c>
      <c r="I5029" s="161" t="s">
        <v>7146</v>
      </c>
    </row>
    <row r="5030" spans="1:9">
      <c r="A5030" s="113">
        <v>100790800</v>
      </c>
      <c r="B5030" s="113" t="s">
        <v>7116</v>
      </c>
      <c r="C5030" s="113">
        <v>6990058</v>
      </c>
      <c r="D5030" s="113" t="s">
        <v>7139</v>
      </c>
      <c r="E5030" s="113" t="s">
        <v>1620</v>
      </c>
      <c r="F5030" s="113" t="s">
        <v>7139</v>
      </c>
      <c r="G5030" s="113" t="s">
        <v>7145</v>
      </c>
      <c r="H5030" s="161">
        <v>0</v>
      </c>
      <c r="I5030" s="161" t="s">
        <v>7146</v>
      </c>
    </row>
    <row r="5031" spans="1:9">
      <c r="A5031" s="113">
        <v>100790801</v>
      </c>
      <c r="B5031" s="113" t="s">
        <v>7116</v>
      </c>
      <c r="C5031" s="113">
        <v>6990059</v>
      </c>
      <c r="D5031" s="113" t="s">
        <v>7139</v>
      </c>
      <c r="E5031" s="113" t="s">
        <v>1620</v>
      </c>
      <c r="F5031" s="113" t="s">
        <v>7139</v>
      </c>
      <c r="G5031" s="113" t="s">
        <v>7145</v>
      </c>
      <c r="H5031" s="161">
        <v>0</v>
      </c>
      <c r="I5031" s="161" t="s">
        <v>7146</v>
      </c>
    </row>
    <row r="5032" spans="1:9">
      <c r="A5032" s="113">
        <v>100790802</v>
      </c>
      <c r="B5032" s="113" t="s">
        <v>7116</v>
      </c>
      <c r="C5032" s="113">
        <v>6990060</v>
      </c>
      <c r="D5032" s="113" t="s">
        <v>7139</v>
      </c>
      <c r="E5032" s="113" t="s">
        <v>1620</v>
      </c>
      <c r="F5032" s="113" t="s">
        <v>7139</v>
      </c>
      <c r="G5032" s="113" t="s">
        <v>7145</v>
      </c>
      <c r="H5032" s="161">
        <v>0</v>
      </c>
      <c r="I5032" s="161" t="s">
        <v>7146</v>
      </c>
    </row>
    <row r="5033" spans="1:9">
      <c r="A5033" s="113">
        <v>100790803</v>
      </c>
      <c r="B5033" s="113" t="s">
        <v>7116</v>
      </c>
      <c r="C5033" s="113">
        <v>6990061</v>
      </c>
      <c r="D5033" s="113" t="s">
        <v>7139</v>
      </c>
      <c r="E5033" s="113" t="s">
        <v>1620</v>
      </c>
      <c r="F5033" s="113" t="s">
        <v>7139</v>
      </c>
      <c r="G5033" s="113" t="s">
        <v>7145</v>
      </c>
      <c r="H5033" s="161">
        <v>0</v>
      </c>
      <c r="I5033" s="161" t="s">
        <v>7146</v>
      </c>
    </row>
    <row r="5034" spans="1:9">
      <c r="A5034" s="113">
        <v>100790804</v>
      </c>
      <c r="B5034" s="113" t="s">
        <v>7116</v>
      </c>
      <c r="C5034" s="113">
        <v>6990062</v>
      </c>
      <c r="D5034" s="113" t="s">
        <v>7139</v>
      </c>
      <c r="E5034" s="113" t="s">
        <v>1620</v>
      </c>
      <c r="F5034" s="113" t="s">
        <v>7139</v>
      </c>
      <c r="G5034" s="113" t="s">
        <v>7145</v>
      </c>
      <c r="H5034" s="161">
        <v>0</v>
      </c>
      <c r="I5034" s="161" t="s">
        <v>7146</v>
      </c>
    </row>
    <row r="5035" spans="1:9">
      <c r="A5035" s="113">
        <v>100790805</v>
      </c>
      <c r="B5035" s="113" t="s">
        <v>7116</v>
      </c>
      <c r="C5035" s="113">
        <v>6990063</v>
      </c>
      <c r="D5035" s="113" t="s">
        <v>7139</v>
      </c>
      <c r="E5035" s="113" t="s">
        <v>1620</v>
      </c>
      <c r="F5035" s="113" t="s">
        <v>7139</v>
      </c>
      <c r="G5035" s="113" t="s">
        <v>7145</v>
      </c>
      <c r="H5035" s="161">
        <v>0</v>
      </c>
      <c r="I5035" s="161" t="s">
        <v>7146</v>
      </c>
    </row>
    <row r="5036" spans="1:9">
      <c r="A5036" s="113">
        <v>100790806</v>
      </c>
      <c r="B5036" s="113" t="s">
        <v>7116</v>
      </c>
      <c r="C5036" s="113">
        <v>6990064</v>
      </c>
      <c r="D5036" s="113" t="s">
        <v>7139</v>
      </c>
      <c r="E5036" s="113" t="s">
        <v>1620</v>
      </c>
      <c r="F5036" s="113" t="s">
        <v>7139</v>
      </c>
      <c r="G5036" s="113" t="s">
        <v>7145</v>
      </c>
      <c r="H5036" s="161">
        <v>0</v>
      </c>
      <c r="I5036" s="161" t="s">
        <v>7146</v>
      </c>
    </row>
    <row r="5037" spans="1:9">
      <c r="A5037" s="113">
        <v>100790807</v>
      </c>
      <c r="B5037" s="113" t="s">
        <v>7116</v>
      </c>
      <c r="C5037" s="113">
        <v>6990065</v>
      </c>
      <c r="D5037" s="113" t="s">
        <v>7139</v>
      </c>
      <c r="E5037" s="113" t="s">
        <v>1620</v>
      </c>
      <c r="F5037" s="113" t="s">
        <v>7139</v>
      </c>
      <c r="G5037" s="113" t="s">
        <v>7145</v>
      </c>
      <c r="H5037" s="161">
        <v>0</v>
      </c>
      <c r="I5037" s="161" t="s">
        <v>7146</v>
      </c>
    </row>
    <row r="5038" spans="1:9">
      <c r="A5038" s="113">
        <v>100790808</v>
      </c>
      <c r="B5038" s="113" t="s">
        <v>7116</v>
      </c>
      <c r="C5038" s="113">
        <v>6990066</v>
      </c>
      <c r="D5038" s="113" t="s">
        <v>7139</v>
      </c>
      <c r="E5038" s="113" t="s">
        <v>1620</v>
      </c>
      <c r="F5038" s="113" t="s">
        <v>7139</v>
      </c>
      <c r="G5038" s="113" t="s">
        <v>7145</v>
      </c>
      <c r="H5038" s="161">
        <v>0</v>
      </c>
      <c r="I5038" s="161" t="s">
        <v>7146</v>
      </c>
    </row>
    <row r="5039" spans="1:9">
      <c r="A5039" s="113">
        <v>100790809</v>
      </c>
      <c r="B5039" s="113" t="s">
        <v>7116</v>
      </c>
      <c r="C5039" s="113">
        <v>6990067</v>
      </c>
      <c r="D5039" s="113" t="s">
        <v>7139</v>
      </c>
      <c r="E5039" s="113" t="s">
        <v>1620</v>
      </c>
      <c r="F5039" s="113" t="s">
        <v>7139</v>
      </c>
      <c r="G5039" s="113" t="s">
        <v>7145</v>
      </c>
      <c r="H5039" s="161">
        <v>0</v>
      </c>
      <c r="I5039" s="161" t="s">
        <v>7146</v>
      </c>
    </row>
    <row r="5040" spans="1:9">
      <c r="A5040" s="113">
        <v>100790810</v>
      </c>
      <c r="B5040" s="113" t="s">
        <v>7116</v>
      </c>
      <c r="C5040" s="113">
        <v>6990068</v>
      </c>
      <c r="D5040" s="113" t="s">
        <v>7139</v>
      </c>
      <c r="E5040" s="113" t="s">
        <v>1620</v>
      </c>
      <c r="F5040" s="113" t="s">
        <v>7139</v>
      </c>
      <c r="G5040" s="113" t="s">
        <v>7145</v>
      </c>
      <c r="H5040" s="161">
        <v>0</v>
      </c>
      <c r="I5040" s="161" t="s">
        <v>7146</v>
      </c>
    </row>
    <row r="5041" spans="1:9">
      <c r="A5041" s="113">
        <v>100790811</v>
      </c>
      <c r="B5041" s="113" t="s">
        <v>7116</v>
      </c>
      <c r="C5041" s="113">
        <v>6990069</v>
      </c>
      <c r="D5041" s="113" t="s">
        <v>7139</v>
      </c>
      <c r="E5041" s="113" t="s">
        <v>1620</v>
      </c>
      <c r="F5041" s="113" t="s">
        <v>7139</v>
      </c>
      <c r="G5041" s="113" t="s">
        <v>7145</v>
      </c>
      <c r="H5041" s="161">
        <v>0</v>
      </c>
      <c r="I5041" s="161" t="s">
        <v>7146</v>
      </c>
    </row>
    <row r="5042" spans="1:9">
      <c r="A5042" s="113">
        <v>100790812</v>
      </c>
      <c r="B5042" s="113" t="s">
        <v>7116</v>
      </c>
      <c r="C5042" s="113">
        <v>6990070</v>
      </c>
      <c r="D5042" s="113" t="s">
        <v>7139</v>
      </c>
      <c r="E5042" s="113" t="s">
        <v>1620</v>
      </c>
      <c r="F5042" s="113" t="s">
        <v>7139</v>
      </c>
      <c r="G5042" s="113" t="s">
        <v>7145</v>
      </c>
      <c r="H5042" s="161">
        <v>0</v>
      </c>
      <c r="I5042" s="161" t="s">
        <v>7146</v>
      </c>
    </row>
    <row r="5043" spans="1:9">
      <c r="A5043" s="113">
        <v>100790813</v>
      </c>
      <c r="B5043" s="113" t="s">
        <v>7116</v>
      </c>
      <c r="C5043" s="113">
        <v>6990071</v>
      </c>
      <c r="D5043" s="113" t="s">
        <v>7139</v>
      </c>
      <c r="E5043" s="113" t="s">
        <v>1620</v>
      </c>
      <c r="F5043" s="113" t="s">
        <v>7139</v>
      </c>
      <c r="G5043" s="113" t="s">
        <v>7145</v>
      </c>
      <c r="H5043" s="161">
        <v>0</v>
      </c>
      <c r="I5043" s="161" t="s">
        <v>7146</v>
      </c>
    </row>
    <row r="5044" spans="1:9">
      <c r="A5044" s="113">
        <v>100790814</v>
      </c>
      <c r="B5044" s="113" t="s">
        <v>7116</v>
      </c>
      <c r="C5044" s="113">
        <v>6990072</v>
      </c>
      <c r="D5044" s="113" t="s">
        <v>7139</v>
      </c>
      <c r="E5044" s="113" t="s">
        <v>1620</v>
      </c>
      <c r="F5044" s="113" t="s">
        <v>7139</v>
      </c>
      <c r="G5044" s="113" t="s">
        <v>7145</v>
      </c>
      <c r="H5044" s="161">
        <v>0</v>
      </c>
      <c r="I5044" s="161" t="s">
        <v>7146</v>
      </c>
    </row>
    <row r="5045" spans="1:9">
      <c r="A5045" s="113">
        <v>100790815</v>
      </c>
      <c r="B5045" s="113" t="s">
        <v>7116</v>
      </c>
      <c r="C5045" s="113">
        <v>6990073</v>
      </c>
      <c r="D5045" s="113" t="s">
        <v>7139</v>
      </c>
      <c r="E5045" s="113" t="s">
        <v>1620</v>
      </c>
      <c r="F5045" s="113" t="s">
        <v>7139</v>
      </c>
      <c r="G5045" s="113" t="s">
        <v>7145</v>
      </c>
      <c r="H5045" s="161">
        <v>0</v>
      </c>
      <c r="I5045" s="161" t="s">
        <v>7146</v>
      </c>
    </row>
    <row r="5046" spans="1:9">
      <c r="A5046" s="113">
        <v>100790816</v>
      </c>
      <c r="B5046" s="113" t="s">
        <v>7116</v>
      </c>
      <c r="C5046" s="113">
        <v>6990074</v>
      </c>
      <c r="D5046" s="113" t="s">
        <v>7139</v>
      </c>
      <c r="E5046" s="113" t="s">
        <v>1620</v>
      </c>
      <c r="F5046" s="113" t="s">
        <v>7139</v>
      </c>
      <c r="G5046" s="113" t="s">
        <v>7145</v>
      </c>
      <c r="H5046" s="161">
        <v>0</v>
      </c>
      <c r="I5046" s="161" t="s">
        <v>7146</v>
      </c>
    </row>
    <row r="5047" spans="1:9">
      <c r="A5047" s="113">
        <v>100790817</v>
      </c>
      <c r="B5047" s="113" t="s">
        <v>7116</v>
      </c>
      <c r="C5047" s="113">
        <v>6990075</v>
      </c>
      <c r="D5047" s="113" t="s">
        <v>7139</v>
      </c>
      <c r="E5047" s="113" t="s">
        <v>1620</v>
      </c>
      <c r="F5047" s="113" t="s">
        <v>7139</v>
      </c>
      <c r="G5047" s="113" t="s">
        <v>7145</v>
      </c>
      <c r="H5047" s="161">
        <v>0</v>
      </c>
      <c r="I5047" s="161" t="s">
        <v>7146</v>
      </c>
    </row>
    <row r="5048" spans="1:9">
      <c r="A5048" s="113">
        <v>100790818</v>
      </c>
      <c r="B5048" s="113" t="s">
        <v>7116</v>
      </c>
      <c r="C5048" s="113">
        <v>6990076</v>
      </c>
      <c r="D5048" s="113" t="s">
        <v>7139</v>
      </c>
      <c r="E5048" s="113" t="s">
        <v>1620</v>
      </c>
      <c r="F5048" s="113" t="s">
        <v>7139</v>
      </c>
      <c r="G5048" s="113" t="s">
        <v>7145</v>
      </c>
      <c r="H5048" s="161">
        <v>0</v>
      </c>
      <c r="I5048" s="161" t="s">
        <v>7146</v>
      </c>
    </row>
    <row r="5049" spans="1:9">
      <c r="A5049" s="113">
        <v>100790819</v>
      </c>
      <c r="B5049" s="113" t="s">
        <v>7116</v>
      </c>
      <c r="C5049" s="113">
        <v>6990077</v>
      </c>
      <c r="D5049" s="113" t="s">
        <v>7139</v>
      </c>
      <c r="E5049" s="113" t="s">
        <v>1620</v>
      </c>
      <c r="F5049" s="113" t="s">
        <v>7139</v>
      </c>
      <c r="G5049" s="113" t="s">
        <v>7145</v>
      </c>
      <c r="H5049" s="161">
        <v>0</v>
      </c>
      <c r="I5049" s="161" t="s">
        <v>7146</v>
      </c>
    </row>
    <row r="5050" spans="1:9">
      <c r="A5050" s="113">
        <v>100790820</v>
      </c>
      <c r="B5050" s="113" t="s">
        <v>7116</v>
      </c>
      <c r="C5050" s="113">
        <v>6990078</v>
      </c>
      <c r="D5050" s="113" t="s">
        <v>7139</v>
      </c>
      <c r="E5050" s="113" t="s">
        <v>1620</v>
      </c>
      <c r="F5050" s="113" t="s">
        <v>7139</v>
      </c>
      <c r="G5050" s="113" t="s">
        <v>7145</v>
      </c>
      <c r="H5050" s="161">
        <v>0</v>
      </c>
      <c r="I5050" s="161" t="s">
        <v>7146</v>
      </c>
    </row>
    <row r="5051" spans="1:9">
      <c r="A5051" s="113">
        <v>100790822</v>
      </c>
      <c r="B5051" s="113" t="s">
        <v>7116</v>
      </c>
      <c r="C5051" s="113">
        <v>6990080</v>
      </c>
      <c r="D5051" s="113" t="s">
        <v>7139</v>
      </c>
      <c r="E5051" s="113" t="s">
        <v>1620</v>
      </c>
      <c r="F5051" s="113" t="s">
        <v>7139</v>
      </c>
      <c r="G5051" s="113" t="s">
        <v>7145</v>
      </c>
      <c r="H5051" s="161">
        <v>0</v>
      </c>
      <c r="I5051" s="161" t="s">
        <v>7146</v>
      </c>
    </row>
    <row r="5052" spans="1:9">
      <c r="A5052" s="113">
        <v>100790823</v>
      </c>
      <c r="B5052" s="113" t="s">
        <v>7116</v>
      </c>
      <c r="C5052" s="113">
        <v>6990081</v>
      </c>
      <c r="D5052" s="113" t="s">
        <v>7139</v>
      </c>
      <c r="E5052" s="113" t="s">
        <v>1620</v>
      </c>
      <c r="F5052" s="113" t="s">
        <v>7139</v>
      </c>
      <c r="G5052" s="113" t="s">
        <v>7145</v>
      </c>
      <c r="H5052" s="161">
        <v>0</v>
      </c>
      <c r="I5052" s="161" t="s">
        <v>7146</v>
      </c>
    </row>
    <row r="5053" spans="1:9">
      <c r="A5053" s="113">
        <v>100790824</v>
      </c>
      <c r="B5053" s="113" t="s">
        <v>7116</v>
      </c>
      <c r="C5053" s="113">
        <v>6990082</v>
      </c>
      <c r="D5053" s="113" t="s">
        <v>7139</v>
      </c>
      <c r="E5053" s="113" t="s">
        <v>1620</v>
      </c>
      <c r="F5053" s="113" t="s">
        <v>7139</v>
      </c>
      <c r="G5053" s="113" t="s">
        <v>7145</v>
      </c>
      <c r="H5053" s="161">
        <v>0</v>
      </c>
      <c r="I5053" s="161" t="s">
        <v>7146</v>
      </c>
    </row>
    <row r="5054" spans="1:9">
      <c r="A5054" s="113">
        <v>100790825</v>
      </c>
      <c r="B5054" s="113" t="s">
        <v>7116</v>
      </c>
      <c r="C5054" s="113">
        <v>6990083</v>
      </c>
      <c r="D5054" s="113" t="s">
        <v>7139</v>
      </c>
      <c r="E5054" s="113" t="s">
        <v>1620</v>
      </c>
      <c r="F5054" s="113" t="s">
        <v>7139</v>
      </c>
      <c r="G5054" s="113" t="s">
        <v>7145</v>
      </c>
      <c r="H5054" s="161">
        <v>0</v>
      </c>
      <c r="I5054" s="161" t="s">
        <v>7146</v>
      </c>
    </row>
    <row r="5055" spans="1:9">
      <c r="A5055" s="113">
        <v>100790826</v>
      </c>
      <c r="B5055" s="113" t="s">
        <v>7116</v>
      </c>
      <c r="C5055" s="113">
        <v>6990084</v>
      </c>
      <c r="D5055" s="113" t="s">
        <v>7139</v>
      </c>
      <c r="E5055" s="113" t="s">
        <v>1620</v>
      </c>
      <c r="F5055" s="113" t="s">
        <v>7139</v>
      </c>
      <c r="G5055" s="113" t="s">
        <v>7145</v>
      </c>
      <c r="H5055" s="161">
        <v>0</v>
      </c>
      <c r="I5055" s="161" t="s">
        <v>7146</v>
      </c>
    </row>
    <row r="5056" spans="1:9">
      <c r="A5056" s="113">
        <v>100790827</v>
      </c>
      <c r="B5056" s="113" t="s">
        <v>7116</v>
      </c>
      <c r="C5056" s="113">
        <v>6990085</v>
      </c>
      <c r="D5056" s="113" t="s">
        <v>7139</v>
      </c>
      <c r="E5056" s="113" t="s">
        <v>1620</v>
      </c>
      <c r="F5056" s="113" t="s">
        <v>7139</v>
      </c>
      <c r="G5056" s="113" t="s">
        <v>7145</v>
      </c>
      <c r="H5056" s="161">
        <v>0</v>
      </c>
      <c r="I5056" s="161" t="s">
        <v>7146</v>
      </c>
    </row>
    <row r="5057" spans="1:9">
      <c r="A5057" s="113">
        <v>100790828</v>
      </c>
      <c r="B5057" s="113" t="s">
        <v>7116</v>
      </c>
      <c r="C5057" s="113">
        <v>6990086</v>
      </c>
      <c r="D5057" s="113" t="s">
        <v>7139</v>
      </c>
      <c r="E5057" s="113" t="s">
        <v>1620</v>
      </c>
      <c r="F5057" s="113" t="s">
        <v>7139</v>
      </c>
      <c r="G5057" s="113" t="s">
        <v>7145</v>
      </c>
      <c r="H5057" s="161">
        <v>0</v>
      </c>
      <c r="I5057" s="161" t="s">
        <v>7146</v>
      </c>
    </row>
    <row r="5058" spans="1:9">
      <c r="A5058" s="113">
        <v>100790829</v>
      </c>
      <c r="B5058" s="113" t="s">
        <v>7116</v>
      </c>
      <c r="C5058" s="113">
        <v>6990087</v>
      </c>
      <c r="D5058" s="113" t="s">
        <v>7139</v>
      </c>
      <c r="E5058" s="113" t="s">
        <v>1620</v>
      </c>
      <c r="F5058" s="113" t="s">
        <v>7139</v>
      </c>
      <c r="G5058" s="113" t="s">
        <v>7145</v>
      </c>
      <c r="H5058" s="161">
        <v>0</v>
      </c>
      <c r="I5058" s="161" t="s">
        <v>7146</v>
      </c>
    </row>
    <row r="5059" spans="1:9">
      <c r="A5059" s="113">
        <v>100790830</v>
      </c>
      <c r="B5059" s="113" t="s">
        <v>7116</v>
      </c>
      <c r="C5059" s="113">
        <v>6990088</v>
      </c>
      <c r="D5059" s="113" t="s">
        <v>7139</v>
      </c>
      <c r="E5059" s="113" t="s">
        <v>1620</v>
      </c>
      <c r="F5059" s="113" t="s">
        <v>7139</v>
      </c>
      <c r="G5059" s="113" t="s">
        <v>7145</v>
      </c>
      <c r="H5059" s="161">
        <v>0</v>
      </c>
      <c r="I5059" s="161" t="s">
        <v>7146</v>
      </c>
    </row>
    <row r="5060" spans="1:9">
      <c r="A5060" s="113">
        <v>100790831</v>
      </c>
      <c r="B5060" s="113" t="s">
        <v>7116</v>
      </c>
      <c r="C5060" s="113">
        <v>6990089</v>
      </c>
      <c r="D5060" s="113" t="s">
        <v>7139</v>
      </c>
      <c r="E5060" s="113" t="s">
        <v>1620</v>
      </c>
      <c r="F5060" s="113" t="s">
        <v>7139</v>
      </c>
      <c r="G5060" s="113" t="s">
        <v>7145</v>
      </c>
      <c r="H5060" s="161">
        <v>0</v>
      </c>
      <c r="I5060" s="161" t="s">
        <v>7146</v>
      </c>
    </row>
    <row r="5061" spans="1:9">
      <c r="A5061" s="113">
        <v>100790832</v>
      </c>
      <c r="B5061" s="113" t="s">
        <v>7116</v>
      </c>
      <c r="C5061" s="113">
        <v>6990090</v>
      </c>
      <c r="D5061" s="113" t="s">
        <v>7139</v>
      </c>
      <c r="E5061" s="113" t="s">
        <v>1620</v>
      </c>
      <c r="F5061" s="113" t="s">
        <v>7139</v>
      </c>
      <c r="G5061" s="113" t="s">
        <v>7145</v>
      </c>
      <c r="H5061" s="161">
        <v>0</v>
      </c>
      <c r="I5061" s="161" t="s">
        <v>7146</v>
      </c>
    </row>
    <row r="5062" spans="1:9">
      <c r="A5062" s="113">
        <v>100790833</v>
      </c>
      <c r="B5062" s="113" t="s">
        <v>7116</v>
      </c>
      <c r="C5062" s="113">
        <v>6990091</v>
      </c>
      <c r="D5062" s="113" t="s">
        <v>7139</v>
      </c>
      <c r="E5062" s="113" t="s">
        <v>1620</v>
      </c>
      <c r="F5062" s="113" t="s">
        <v>7139</v>
      </c>
      <c r="G5062" s="113" t="s">
        <v>7145</v>
      </c>
      <c r="H5062" s="161">
        <v>0</v>
      </c>
      <c r="I5062" s="161" t="s">
        <v>7146</v>
      </c>
    </row>
    <row r="5063" spans="1:9">
      <c r="A5063" s="113">
        <v>100790834</v>
      </c>
      <c r="B5063" s="113" t="s">
        <v>7116</v>
      </c>
      <c r="C5063" s="113">
        <v>6990092</v>
      </c>
      <c r="D5063" s="113" t="s">
        <v>7139</v>
      </c>
      <c r="E5063" s="113" t="s">
        <v>1620</v>
      </c>
      <c r="F5063" s="113" t="s">
        <v>7139</v>
      </c>
      <c r="G5063" s="113" t="s">
        <v>7145</v>
      </c>
      <c r="H5063" s="161">
        <v>0</v>
      </c>
      <c r="I5063" s="161" t="s">
        <v>7146</v>
      </c>
    </row>
    <row r="5064" spans="1:9">
      <c r="A5064" s="113">
        <v>100790835</v>
      </c>
      <c r="B5064" s="113" t="s">
        <v>7116</v>
      </c>
      <c r="C5064" s="113">
        <v>6990093</v>
      </c>
      <c r="D5064" s="113" t="s">
        <v>7139</v>
      </c>
      <c r="E5064" s="113" t="s">
        <v>1620</v>
      </c>
      <c r="F5064" s="113" t="s">
        <v>7139</v>
      </c>
      <c r="G5064" s="113" t="s">
        <v>7145</v>
      </c>
      <c r="H5064" s="161">
        <v>0</v>
      </c>
      <c r="I5064" s="161" t="s">
        <v>7146</v>
      </c>
    </row>
    <row r="5065" spans="1:9">
      <c r="A5065" s="113">
        <v>100790836</v>
      </c>
      <c r="B5065" s="113" t="s">
        <v>7116</v>
      </c>
      <c r="C5065" s="113">
        <v>6990094</v>
      </c>
      <c r="D5065" s="113" t="s">
        <v>7139</v>
      </c>
      <c r="E5065" s="113" t="s">
        <v>1620</v>
      </c>
      <c r="F5065" s="113" t="s">
        <v>7139</v>
      </c>
      <c r="G5065" s="113" t="s">
        <v>7145</v>
      </c>
      <c r="H5065" s="161">
        <v>0</v>
      </c>
      <c r="I5065" s="161" t="s">
        <v>7146</v>
      </c>
    </row>
    <row r="5066" spans="1:9">
      <c r="A5066" s="113">
        <v>100790837</v>
      </c>
      <c r="B5066" s="113" t="s">
        <v>7116</v>
      </c>
      <c r="C5066" s="113">
        <v>6990095</v>
      </c>
      <c r="D5066" s="113" t="s">
        <v>7139</v>
      </c>
      <c r="E5066" s="113" t="s">
        <v>1620</v>
      </c>
      <c r="F5066" s="113" t="s">
        <v>7139</v>
      </c>
      <c r="G5066" s="113" t="s">
        <v>7145</v>
      </c>
      <c r="H5066" s="161">
        <v>0</v>
      </c>
      <c r="I5066" s="161" t="s">
        <v>7146</v>
      </c>
    </row>
    <row r="5067" spans="1:9">
      <c r="A5067" s="113">
        <v>100790838</v>
      </c>
      <c r="B5067" s="113" t="s">
        <v>7116</v>
      </c>
      <c r="C5067" s="113">
        <v>6990096</v>
      </c>
      <c r="D5067" s="113" t="s">
        <v>7139</v>
      </c>
      <c r="E5067" s="113" t="s">
        <v>1620</v>
      </c>
      <c r="F5067" s="113" t="s">
        <v>7139</v>
      </c>
      <c r="G5067" s="113" t="s">
        <v>7145</v>
      </c>
      <c r="H5067" s="161">
        <v>0</v>
      </c>
      <c r="I5067" s="161" t="s">
        <v>7146</v>
      </c>
    </row>
    <row r="5068" spans="1:9">
      <c r="A5068" s="113">
        <v>100790839</v>
      </c>
      <c r="B5068" s="113" t="s">
        <v>7116</v>
      </c>
      <c r="C5068" s="113">
        <v>6990097</v>
      </c>
      <c r="D5068" s="113" t="s">
        <v>7139</v>
      </c>
      <c r="E5068" s="113" t="s">
        <v>1620</v>
      </c>
      <c r="F5068" s="113" t="s">
        <v>7139</v>
      </c>
      <c r="G5068" s="113" t="s">
        <v>7145</v>
      </c>
      <c r="H5068" s="161">
        <v>0</v>
      </c>
      <c r="I5068" s="161" t="s">
        <v>7146</v>
      </c>
    </row>
    <row r="5069" spans="1:9">
      <c r="A5069" s="113">
        <v>100790840</v>
      </c>
      <c r="B5069" s="113" t="s">
        <v>7116</v>
      </c>
      <c r="C5069" s="113">
        <v>6990098</v>
      </c>
      <c r="D5069" s="113" t="s">
        <v>7139</v>
      </c>
      <c r="E5069" s="113" t="s">
        <v>1620</v>
      </c>
      <c r="F5069" s="113" t="s">
        <v>7139</v>
      </c>
      <c r="G5069" s="113" t="s">
        <v>7145</v>
      </c>
      <c r="H5069" s="161">
        <v>0</v>
      </c>
      <c r="I5069" s="161" t="s">
        <v>7146</v>
      </c>
    </row>
    <row r="5070" spans="1:9">
      <c r="A5070" s="113">
        <v>100790841</v>
      </c>
      <c r="B5070" s="113" t="s">
        <v>7116</v>
      </c>
      <c r="C5070" s="113">
        <v>6990099</v>
      </c>
      <c r="D5070" s="113" t="s">
        <v>7139</v>
      </c>
      <c r="E5070" s="113" t="s">
        <v>1620</v>
      </c>
      <c r="F5070" s="113" t="s">
        <v>7139</v>
      </c>
      <c r="G5070" s="113" t="s">
        <v>7145</v>
      </c>
      <c r="H5070" s="161">
        <v>0</v>
      </c>
      <c r="I5070" s="161" t="s">
        <v>7146</v>
      </c>
    </row>
    <row r="5071" spans="1:9">
      <c r="A5071" s="113">
        <v>100790842</v>
      </c>
      <c r="B5071" s="113" t="s">
        <v>7116</v>
      </c>
      <c r="C5071" s="113">
        <v>6990100</v>
      </c>
      <c r="D5071" s="113" t="s">
        <v>7139</v>
      </c>
      <c r="E5071" s="113" t="s">
        <v>1620</v>
      </c>
      <c r="F5071" s="113" t="s">
        <v>7139</v>
      </c>
      <c r="G5071" s="113" t="s">
        <v>7145</v>
      </c>
      <c r="H5071" s="161">
        <v>0</v>
      </c>
      <c r="I5071" s="161" t="s">
        <v>7146</v>
      </c>
    </row>
    <row r="5072" spans="1:9">
      <c r="A5072" s="113">
        <v>100790843</v>
      </c>
      <c r="B5072" s="113" t="s">
        <v>7116</v>
      </c>
      <c r="C5072" s="113">
        <v>6990101</v>
      </c>
      <c r="D5072" s="113" t="s">
        <v>7139</v>
      </c>
      <c r="E5072" s="113" t="s">
        <v>1620</v>
      </c>
      <c r="F5072" s="113" t="s">
        <v>7139</v>
      </c>
      <c r="G5072" s="113" t="s">
        <v>7145</v>
      </c>
      <c r="H5072" s="161">
        <v>0</v>
      </c>
      <c r="I5072" s="161" t="s">
        <v>7146</v>
      </c>
    </row>
    <row r="5073" spans="1:9">
      <c r="A5073" s="113">
        <v>100790844</v>
      </c>
      <c r="B5073" s="113" t="s">
        <v>7116</v>
      </c>
      <c r="C5073" s="113">
        <v>6990102</v>
      </c>
      <c r="D5073" s="113" t="s">
        <v>7139</v>
      </c>
      <c r="E5073" s="113" t="s">
        <v>1620</v>
      </c>
      <c r="F5073" s="113" t="s">
        <v>7139</v>
      </c>
      <c r="G5073" s="113" t="s">
        <v>7145</v>
      </c>
      <c r="H5073" s="161">
        <v>0</v>
      </c>
      <c r="I5073" s="161" t="s">
        <v>7146</v>
      </c>
    </row>
    <row r="5074" spans="1:9">
      <c r="A5074" s="113">
        <v>100790845</v>
      </c>
      <c r="B5074" s="113" t="s">
        <v>7116</v>
      </c>
      <c r="C5074" s="113">
        <v>6990103</v>
      </c>
      <c r="D5074" s="113" t="s">
        <v>7139</v>
      </c>
      <c r="E5074" s="113" t="s">
        <v>1620</v>
      </c>
      <c r="F5074" s="113" t="s">
        <v>7139</v>
      </c>
      <c r="G5074" s="113" t="s">
        <v>7145</v>
      </c>
      <c r="H5074" s="161">
        <v>0</v>
      </c>
      <c r="I5074" s="161" t="s">
        <v>7146</v>
      </c>
    </row>
    <row r="5075" spans="1:9">
      <c r="A5075" s="113">
        <v>100790846</v>
      </c>
      <c r="B5075" s="113" t="s">
        <v>7116</v>
      </c>
      <c r="C5075" s="113">
        <v>6990104</v>
      </c>
      <c r="D5075" s="113" t="s">
        <v>7139</v>
      </c>
      <c r="E5075" s="113" t="s">
        <v>1620</v>
      </c>
      <c r="F5075" s="113" t="s">
        <v>7139</v>
      </c>
      <c r="G5075" s="113" t="s">
        <v>7145</v>
      </c>
      <c r="H5075" s="161">
        <v>0</v>
      </c>
      <c r="I5075" s="161" t="s">
        <v>7146</v>
      </c>
    </row>
    <row r="5076" spans="1:9">
      <c r="A5076" s="113">
        <v>100790847</v>
      </c>
      <c r="B5076" s="113" t="s">
        <v>7116</v>
      </c>
      <c r="C5076" s="113">
        <v>6990105</v>
      </c>
      <c r="D5076" s="113" t="s">
        <v>7139</v>
      </c>
      <c r="E5076" s="113" t="s">
        <v>1620</v>
      </c>
      <c r="F5076" s="113" t="s">
        <v>7139</v>
      </c>
      <c r="G5076" s="113" t="s">
        <v>7145</v>
      </c>
      <c r="H5076" s="161">
        <v>0</v>
      </c>
      <c r="I5076" s="161" t="s">
        <v>7146</v>
      </c>
    </row>
    <row r="5077" spans="1:9">
      <c r="A5077" s="113">
        <v>100790848</v>
      </c>
      <c r="B5077" s="113" t="s">
        <v>7116</v>
      </c>
      <c r="C5077" s="113">
        <v>6990106</v>
      </c>
      <c r="D5077" s="113" t="s">
        <v>7139</v>
      </c>
      <c r="E5077" s="113" t="s">
        <v>1620</v>
      </c>
      <c r="F5077" s="113" t="s">
        <v>7139</v>
      </c>
      <c r="G5077" s="113" t="s">
        <v>7145</v>
      </c>
      <c r="H5077" s="161">
        <v>0</v>
      </c>
      <c r="I5077" s="161" t="s">
        <v>7146</v>
      </c>
    </row>
    <row r="5078" spans="1:9">
      <c r="A5078" s="113">
        <v>100790849</v>
      </c>
      <c r="B5078" s="113" t="s">
        <v>7116</v>
      </c>
      <c r="C5078" s="113">
        <v>6990107</v>
      </c>
      <c r="D5078" s="113" t="s">
        <v>7139</v>
      </c>
      <c r="E5078" s="113" t="s">
        <v>1620</v>
      </c>
      <c r="F5078" s="113" t="s">
        <v>7139</v>
      </c>
      <c r="G5078" s="113" t="s">
        <v>7145</v>
      </c>
      <c r="H5078" s="161">
        <v>0</v>
      </c>
      <c r="I5078" s="161" t="s">
        <v>7146</v>
      </c>
    </row>
    <row r="5079" spans="1:9">
      <c r="A5079" s="113">
        <v>100790850</v>
      </c>
      <c r="B5079" s="113" t="s">
        <v>7116</v>
      </c>
      <c r="C5079" s="113">
        <v>6990108</v>
      </c>
      <c r="D5079" s="113" t="s">
        <v>7139</v>
      </c>
      <c r="E5079" s="113" t="s">
        <v>1620</v>
      </c>
      <c r="F5079" s="113" t="s">
        <v>7139</v>
      </c>
      <c r="G5079" s="113" t="s">
        <v>7145</v>
      </c>
      <c r="H5079" s="161">
        <v>0</v>
      </c>
      <c r="I5079" s="161" t="s">
        <v>7146</v>
      </c>
    </row>
    <row r="5080" spans="1:9">
      <c r="A5080" s="113">
        <v>100790851</v>
      </c>
      <c r="B5080" s="113" t="s">
        <v>7116</v>
      </c>
      <c r="C5080" s="113">
        <v>6990109</v>
      </c>
      <c r="D5080" s="113" t="s">
        <v>7139</v>
      </c>
      <c r="E5080" s="113" t="s">
        <v>1620</v>
      </c>
      <c r="F5080" s="113" t="s">
        <v>7139</v>
      </c>
      <c r="G5080" s="113" t="s">
        <v>7145</v>
      </c>
      <c r="H5080" s="161">
        <v>0</v>
      </c>
      <c r="I5080" s="161" t="s">
        <v>7146</v>
      </c>
    </row>
    <row r="5081" spans="1:9">
      <c r="A5081" s="113">
        <v>100790852</v>
      </c>
      <c r="B5081" s="113" t="s">
        <v>7116</v>
      </c>
      <c r="C5081" s="113">
        <v>6990110</v>
      </c>
      <c r="D5081" s="113" t="s">
        <v>7139</v>
      </c>
      <c r="E5081" s="113" t="s">
        <v>1620</v>
      </c>
      <c r="F5081" s="113" t="s">
        <v>7139</v>
      </c>
      <c r="G5081" s="113" t="s">
        <v>7145</v>
      </c>
      <c r="H5081" s="161">
        <v>0</v>
      </c>
      <c r="I5081" s="161" t="s">
        <v>7146</v>
      </c>
    </row>
    <row r="5082" spans="1:9">
      <c r="A5082" s="113">
        <v>100790853</v>
      </c>
      <c r="B5082" s="113" t="s">
        <v>7116</v>
      </c>
      <c r="C5082" s="113">
        <v>6990111</v>
      </c>
      <c r="D5082" s="113" t="s">
        <v>7139</v>
      </c>
      <c r="E5082" s="113" t="s">
        <v>1620</v>
      </c>
      <c r="F5082" s="113" t="s">
        <v>7139</v>
      </c>
      <c r="G5082" s="113" t="s">
        <v>7145</v>
      </c>
      <c r="H5082" s="161">
        <v>0</v>
      </c>
      <c r="I5082" s="161" t="s">
        <v>7146</v>
      </c>
    </row>
    <row r="5083" spans="1:9">
      <c r="A5083" s="113">
        <v>100790854</v>
      </c>
      <c r="B5083" s="113" t="s">
        <v>7116</v>
      </c>
      <c r="C5083" s="113">
        <v>6990112</v>
      </c>
      <c r="D5083" s="113" t="s">
        <v>7139</v>
      </c>
      <c r="E5083" s="113" t="s">
        <v>1620</v>
      </c>
      <c r="F5083" s="113" t="s">
        <v>7139</v>
      </c>
      <c r="G5083" s="113" t="s">
        <v>7145</v>
      </c>
      <c r="H5083" s="161">
        <v>0</v>
      </c>
      <c r="I5083" s="161" t="s">
        <v>7146</v>
      </c>
    </row>
    <row r="5084" spans="1:9">
      <c r="A5084" s="113">
        <v>100790855</v>
      </c>
      <c r="B5084" s="113" t="s">
        <v>7116</v>
      </c>
      <c r="C5084" s="113">
        <v>6990113</v>
      </c>
      <c r="D5084" s="113" t="s">
        <v>7139</v>
      </c>
      <c r="E5084" s="113" t="s">
        <v>1620</v>
      </c>
      <c r="F5084" s="113" t="s">
        <v>7139</v>
      </c>
      <c r="G5084" s="113" t="s">
        <v>7145</v>
      </c>
      <c r="H5084" s="161">
        <v>0</v>
      </c>
      <c r="I5084" s="161" t="s">
        <v>7146</v>
      </c>
    </row>
    <row r="5085" spans="1:9">
      <c r="A5085" s="113">
        <v>100790856</v>
      </c>
      <c r="B5085" s="113" t="s">
        <v>7116</v>
      </c>
      <c r="C5085" s="113">
        <v>6990114</v>
      </c>
      <c r="D5085" s="113" t="s">
        <v>7139</v>
      </c>
      <c r="E5085" s="113" t="s">
        <v>1620</v>
      </c>
      <c r="F5085" s="113" t="s">
        <v>7139</v>
      </c>
      <c r="G5085" s="113" t="s">
        <v>7145</v>
      </c>
      <c r="H5085" s="161">
        <v>0</v>
      </c>
      <c r="I5085" s="161" t="s">
        <v>7146</v>
      </c>
    </row>
    <row r="5086" spans="1:9">
      <c r="A5086" s="113">
        <v>100790857</v>
      </c>
      <c r="B5086" s="113" t="s">
        <v>7116</v>
      </c>
      <c r="C5086" s="113">
        <v>6990115</v>
      </c>
      <c r="D5086" s="113" t="s">
        <v>7139</v>
      </c>
      <c r="E5086" s="113" t="s">
        <v>1620</v>
      </c>
      <c r="F5086" s="113" t="s">
        <v>7139</v>
      </c>
      <c r="G5086" s="113" t="s">
        <v>7145</v>
      </c>
      <c r="H5086" s="161">
        <v>0</v>
      </c>
      <c r="I5086" s="161" t="s">
        <v>7146</v>
      </c>
    </row>
    <row r="5087" spans="1:9">
      <c r="A5087" s="113">
        <v>100790858</v>
      </c>
      <c r="B5087" s="113" t="s">
        <v>7116</v>
      </c>
      <c r="C5087" s="113">
        <v>6990116</v>
      </c>
      <c r="D5087" s="113" t="s">
        <v>7139</v>
      </c>
      <c r="E5087" s="113" t="s">
        <v>1620</v>
      </c>
      <c r="F5087" s="113" t="s">
        <v>7139</v>
      </c>
      <c r="G5087" s="113" t="s">
        <v>7145</v>
      </c>
      <c r="H5087" s="161">
        <v>0</v>
      </c>
      <c r="I5087" s="161" t="s">
        <v>7146</v>
      </c>
    </row>
    <row r="5088" spans="1:9">
      <c r="A5088" s="113">
        <v>100790859</v>
      </c>
      <c r="B5088" s="113" t="s">
        <v>7116</v>
      </c>
      <c r="C5088" s="113">
        <v>6990117</v>
      </c>
      <c r="D5088" s="113" t="s">
        <v>7139</v>
      </c>
      <c r="E5088" s="113" t="s">
        <v>1620</v>
      </c>
      <c r="F5088" s="113" t="s">
        <v>7139</v>
      </c>
      <c r="G5088" s="113" t="s">
        <v>7145</v>
      </c>
      <c r="H5088" s="161">
        <v>0</v>
      </c>
      <c r="I5088" s="161" t="s">
        <v>7146</v>
      </c>
    </row>
    <row r="5089" spans="1:9">
      <c r="A5089" s="113">
        <v>100790860</v>
      </c>
      <c r="B5089" s="113" t="s">
        <v>7116</v>
      </c>
      <c r="C5089" s="113">
        <v>6990118</v>
      </c>
      <c r="D5089" s="113" t="s">
        <v>7139</v>
      </c>
      <c r="E5089" s="113" t="s">
        <v>1620</v>
      </c>
      <c r="F5089" s="113" t="s">
        <v>7139</v>
      </c>
      <c r="G5089" s="113" t="s">
        <v>7145</v>
      </c>
      <c r="H5089" s="161">
        <v>0</v>
      </c>
      <c r="I5089" s="161" t="s">
        <v>7146</v>
      </c>
    </row>
    <row r="5090" spans="1:9">
      <c r="A5090" s="113">
        <v>100790861</v>
      </c>
      <c r="B5090" s="113" t="s">
        <v>7116</v>
      </c>
      <c r="C5090" s="113">
        <v>6990119</v>
      </c>
      <c r="D5090" s="113" t="s">
        <v>7139</v>
      </c>
      <c r="E5090" s="113" t="s">
        <v>1620</v>
      </c>
      <c r="F5090" s="113" t="s">
        <v>7139</v>
      </c>
      <c r="G5090" s="113" t="s">
        <v>7145</v>
      </c>
      <c r="H5090" s="161">
        <v>0</v>
      </c>
      <c r="I5090" s="161" t="s">
        <v>7146</v>
      </c>
    </row>
    <row r="5091" spans="1:9">
      <c r="A5091" s="113">
        <v>100790862</v>
      </c>
      <c r="B5091" s="113" t="s">
        <v>7116</v>
      </c>
      <c r="C5091" s="113">
        <v>6990120</v>
      </c>
      <c r="D5091" s="113" t="s">
        <v>7139</v>
      </c>
      <c r="E5091" s="113" t="s">
        <v>1620</v>
      </c>
      <c r="F5091" s="113" t="s">
        <v>7139</v>
      </c>
      <c r="G5091" s="113" t="s">
        <v>7145</v>
      </c>
      <c r="H5091" s="161">
        <v>0</v>
      </c>
      <c r="I5091" s="161" t="s">
        <v>7146</v>
      </c>
    </row>
    <row r="5092" spans="1:9">
      <c r="A5092" s="113">
        <v>100790863</v>
      </c>
      <c r="B5092" s="113" t="s">
        <v>7116</v>
      </c>
      <c r="C5092" s="113">
        <v>6990121</v>
      </c>
      <c r="D5092" s="113" t="s">
        <v>7139</v>
      </c>
      <c r="E5092" s="113" t="s">
        <v>1620</v>
      </c>
      <c r="F5092" s="113" t="s">
        <v>7139</v>
      </c>
      <c r="G5092" s="113" t="s">
        <v>7145</v>
      </c>
      <c r="H5092" s="161">
        <v>0</v>
      </c>
      <c r="I5092" s="161" t="s">
        <v>7146</v>
      </c>
    </row>
    <row r="5093" spans="1:9">
      <c r="A5093" s="113">
        <v>100790864</v>
      </c>
      <c r="B5093" s="113" t="s">
        <v>7116</v>
      </c>
      <c r="C5093" s="113">
        <v>6990122</v>
      </c>
      <c r="D5093" s="113" t="s">
        <v>7139</v>
      </c>
      <c r="E5093" s="113" t="s">
        <v>1620</v>
      </c>
      <c r="F5093" s="113" t="s">
        <v>7139</v>
      </c>
      <c r="G5093" s="113" t="s">
        <v>7145</v>
      </c>
      <c r="H5093" s="161">
        <v>0</v>
      </c>
      <c r="I5093" s="161" t="s">
        <v>7146</v>
      </c>
    </row>
    <row r="5094" spans="1:9">
      <c r="A5094" s="113">
        <v>100790865</v>
      </c>
      <c r="B5094" s="113" t="s">
        <v>7116</v>
      </c>
      <c r="C5094" s="113">
        <v>6990123</v>
      </c>
      <c r="D5094" s="113" t="s">
        <v>7139</v>
      </c>
      <c r="E5094" s="113" t="s">
        <v>1620</v>
      </c>
      <c r="F5094" s="113" t="s">
        <v>7139</v>
      </c>
      <c r="G5094" s="113" t="s">
        <v>7145</v>
      </c>
      <c r="H5094" s="161">
        <v>0</v>
      </c>
      <c r="I5094" s="161" t="s">
        <v>7146</v>
      </c>
    </row>
    <row r="5095" spans="1:9">
      <c r="A5095" s="113">
        <v>100790866</v>
      </c>
      <c r="B5095" s="113" t="s">
        <v>7116</v>
      </c>
      <c r="C5095" s="113">
        <v>6990124</v>
      </c>
      <c r="D5095" s="113" t="s">
        <v>7139</v>
      </c>
      <c r="E5095" s="113" t="s">
        <v>1620</v>
      </c>
      <c r="F5095" s="113" t="s">
        <v>7139</v>
      </c>
      <c r="G5095" s="113" t="s">
        <v>7145</v>
      </c>
      <c r="H5095" s="161">
        <v>0</v>
      </c>
      <c r="I5095" s="161" t="s">
        <v>7146</v>
      </c>
    </row>
    <row r="5096" spans="1:9">
      <c r="A5096" s="113">
        <v>100790867</v>
      </c>
      <c r="B5096" s="113" t="s">
        <v>7116</v>
      </c>
      <c r="C5096" s="113">
        <v>6990125</v>
      </c>
      <c r="D5096" s="113" t="s">
        <v>7139</v>
      </c>
      <c r="E5096" s="113" t="s">
        <v>1620</v>
      </c>
      <c r="F5096" s="113" t="s">
        <v>7139</v>
      </c>
      <c r="G5096" s="113" t="s">
        <v>7145</v>
      </c>
      <c r="H5096" s="161">
        <v>0</v>
      </c>
      <c r="I5096" s="161" t="s">
        <v>7146</v>
      </c>
    </row>
    <row r="5097" spans="1:9">
      <c r="A5097" s="113">
        <v>100790868</v>
      </c>
      <c r="B5097" s="113" t="s">
        <v>7116</v>
      </c>
      <c r="C5097" s="113">
        <v>6990126</v>
      </c>
      <c r="D5097" s="113" t="s">
        <v>7139</v>
      </c>
      <c r="E5097" s="113" t="s">
        <v>1620</v>
      </c>
      <c r="F5097" s="113" t="s">
        <v>7139</v>
      </c>
      <c r="G5097" s="113" t="s">
        <v>7145</v>
      </c>
      <c r="H5097" s="161">
        <v>0</v>
      </c>
      <c r="I5097" s="161" t="s">
        <v>7146</v>
      </c>
    </row>
    <row r="5098" spans="1:9">
      <c r="A5098" s="113">
        <v>100790869</v>
      </c>
      <c r="B5098" s="113" t="s">
        <v>7116</v>
      </c>
      <c r="C5098" s="113">
        <v>6990127</v>
      </c>
      <c r="D5098" s="113" t="s">
        <v>7139</v>
      </c>
      <c r="E5098" s="113" t="s">
        <v>1620</v>
      </c>
      <c r="F5098" s="113" t="s">
        <v>7139</v>
      </c>
      <c r="G5098" s="113" t="s">
        <v>7145</v>
      </c>
      <c r="H5098" s="161">
        <v>0</v>
      </c>
      <c r="I5098" s="161" t="s">
        <v>7146</v>
      </c>
    </row>
    <row r="5099" spans="1:9">
      <c r="A5099" s="113">
        <v>100790870</v>
      </c>
      <c r="B5099" s="113" t="s">
        <v>7116</v>
      </c>
      <c r="C5099" s="113">
        <v>6990128</v>
      </c>
      <c r="D5099" s="113" t="s">
        <v>7139</v>
      </c>
      <c r="E5099" s="113" t="s">
        <v>1620</v>
      </c>
      <c r="F5099" s="113" t="s">
        <v>7139</v>
      </c>
      <c r="G5099" s="113" t="s">
        <v>7145</v>
      </c>
      <c r="H5099" s="161">
        <v>0</v>
      </c>
      <c r="I5099" s="161" t="s">
        <v>7146</v>
      </c>
    </row>
    <row r="5100" spans="1:9">
      <c r="A5100" s="113">
        <v>100790871</v>
      </c>
      <c r="B5100" s="113" t="s">
        <v>7116</v>
      </c>
      <c r="C5100" s="113">
        <v>6990129</v>
      </c>
      <c r="D5100" s="113" t="s">
        <v>7139</v>
      </c>
      <c r="E5100" s="113" t="s">
        <v>1620</v>
      </c>
      <c r="F5100" s="113" t="s">
        <v>7139</v>
      </c>
      <c r="G5100" s="113" t="s">
        <v>7145</v>
      </c>
      <c r="H5100" s="161">
        <v>0</v>
      </c>
      <c r="I5100" s="161" t="s">
        <v>7146</v>
      </c>
    </row>
    <row r="5101" spans="1:9">
      <c r="A5101" s="113">
        <v>100790872</v>
      </c>
      <c r="B5101" s="113" t="s">
        <v>7116</v>
      </c>
      <c r="C5101" s="113">
        <v>6990130</v>
      </c>
      <c r="D5101" s="113" t="s">
        <v>7139</v>
      </c>
      <c r="E5101" s="113" t="s">
        <v>1620</v>
      </c>
      <c r="F5101" s="113" t="s">
        <v>7139</v>
      </c>
      <c r="G5101" s="113" t="s">
        <v>7145</v>
      </c>
      <c r="H5101" s="161">
        <v>0</v>
      </c>
      <c r="I5101" s="161" t="s">
        <v>7146</v>
      </c>
    </row>
    <row r="5102" spans="1:9">
      <c r="A5102" s="113">
        <v>100790873</v>
      </c>
      <c r="B5102" s="113" t="s">
        <v>7116</v>
      </c>
      <c r="C5102" s="113">
        <v>6990131</v>
      </c>
      <c r="D5102" s="113" t="s">
        <v>7139</v>
      </c>
      <c r="E5102" s="113" t="s">
        <v>1620</v>
      </c>
      <c r="F5102" s="113" t="s">
        <v>7139</v>
      </c>
      <c r="G5102" s="113" t="s">
        <v>7145</v>
      </c>
      <c r="H5102" s="161">
        <v>0</v>
      </c>
      <c r="I5102" s="161" t="s">
        <v>7146</v>
      </c>
    </row>
    <row r="5103" spans="1:9">
      <c r="A5103" s="113">
        <v>100790874</v>
      </c>
      <c r="B5103" s="113" t="s">
        <v>7116</v>
      </c>
      <c r="C5103" s="113">
        <v>6990132</v>
      </c>
      <c r="D5103" s="113" t="s">
        <v>7139</v>
      </c>
      <c r="E5103" s="113" t="s">
        <v>1620</v>
      </c>
      <c r="F5103" s="113" t="s">
        <v>7139</v>
      </c>
      <c r="G5103" s="113" t="s">
        <v>7145</v>
      </c>
      <c r="H5103" s="161">
        <v>0</v>
      </c>
      <c r="I5103" s="161" t="s">
        <v>7146</v>
      </c>
    </row>
    <row r="5104" spans="1:9">
      <c r="A5104" s="113">
        <v>100790875</v>
      </c>
      <c r="B5104" s="113" t="s">
        <v>7116</v>
      </c>
      <c r="C5104" s="113">
        <v>6990133</v>
      </c>
      <c r="D5104" s="113" t="s">
        <v>7139</v>
      </c>
      <c r="E5104" s="113" t="s">
        <v>1620</v>
      </c>
      <c r="F5104" s="113" t="s">
        <v>7139</v>
      </c>
      <c r="G5104" s="115" t="s">
        <v>7145</v>
      </c>
      <c r="H5104" s="161">
        <v>0</v>
      </c>
      <c r="I5104" s="161" t="s">
        <v>7146</v>
      </c>
    </row>
    <row r="5105" spans="1:9">
      <c r="A5105" s="113">
        <v>100790876</v>
      </c>
      <c r="B5105" s="113" t="s">
        <v>7116</v>
      </c>
      <c r="C5105" s="113">
        <v>6990134</v>
      </c>
      <c r="D5105" s="113" t="s">
        <v>7139</v>
      </c>
      <c r="E5105" s="113" t="s">
        <v>1620</v>
      </c>
      <c r="F5105" s="113" t="s">
        <v>7139</v>
      </c>
      <c r="G5105" s="113" t="s">
        <v>7145</v>
      </c>
      <c r="H5105" s="161">
        <v>0</v>
      </c>
      <c r="I5105" s="161" t="s">
        <v>7146</v>
      </c>
    </row>
    <row r="5106" spans="1:9">
      <c r="A5106" s="113">
        <v>100790877</v>
      </c>
      <c r="B5106" s="113" t="s">
        <v>7116</v>
      </c>
      <c r="C5106" s="113">
        <v>6990135</v>
      </c>
      <c r="D5106" s="113" t="s">
        <v>7139</v>
      </c>
      <c r="E5106" s="113" t="s">
        <v>1620</v>
      </c>
      <c r="F5106" s="113" t="s">
        <v>7139</v>
      </c>
      <c r="G5106" s="113" t="s">
        <v>7145</v>
      </c>
      <c r="H5106" s="161">
        <v>0</v>
      </c>
      <c r="I5106" s="161" t="s">
        <v>7146</v>
      </c>
    </row>
    <row r="5107" spans="1:9">
      <c r="A5107" s="113">
        <v>100790878</v>
      </c>
      <c r="B5107" s="113" t="s">
        <v>7116</v>
      </c>
      <c r="C5107" s="113">
        <v>6990139</v>
      </c>
      <c r="D5107" s="113" t="s">
        <v>7139</v>
      </c>
      <c r="E5107" s="113" t="s">
        <v>1620</v>
      </c>
      <c r="F5107" s="113" t="s">
        <v>7139</v>
      </c>
      <c r="G5107" s="113" t="s">
        <v>7145</v>
      </c>
      <c r="H5107" s="161">
        <v>0</v>
      </c>
      <c r="I5107" s="161" t="s">
        <v>7146</v>
      </c>
    </row>
    <row r="5108" spans="1:9">
      <c r="A5108" s="113">
        <v>100790879</v>
      </c>
      <c r="B5108" s="113" t="s">
        <v>7116</v>
      </c>
      <c r="C5108" s="113">
        <v>6990140</v>
      </c>
      <c r="D5108" s="113" t="s">
        <v>7139</v>
      </c>
      <c r="E5108" s="113" t="s">
        <v>1620</v>
      </c>
      <c r="F5108" s="113" t="s">
        <v>7139</v>
      </c>
      <c r="G5108" s="113" t="s">
        <v>7145</v>
      </c>
      <c r="H5108" s="161">
        <v>0</v>
      </c>
      <c r="I5108" s="161" t="s">
        <v>7146</v>
      </c>
    </row>
    <row r="5109" spans="1:9">
      <c r="A5109" s="113">
        <v>100790880</v>
      </c>
      <c r="B5109" s="113" t="s">
        <v>7116</v>
      </c>
      <c r="C5109" s="113">
        <v>6990142</v>
      </c>
      <c r="D5109" s="113" t="s">
        <v>7139</v>
      </c>
      <c r="E5109" s="113" t="s">
        <v>1620</v>
      </c>
      <c r="F5109" s="113" t="s">
        <v>7139</v>
      </c>
      <c r="G5109" s="113" t="s">
        <v>7145</v>
      </c>
      <c r="H5109" s="161">
        <v>0</v>
      </c>
      <c r="I5109" s="161" t="s">
        <v>7146</v>
      </c>
    </row>
    <row r="5110" spans="1:9">
      <c r="A5110" s="113">
        <v>100790881</v>
      </c>
      <c r="B5110" s="113" t="s">
        <v>7116</v>
      </c>
      <c r="C5110" s="113">
        <v>6990144</v>
      </c>
      <c r="D5110" s="113" t="s">
        <v>7139</v>
      </c>
      <c r="E5110" s="113" t="s">
        <v>1620</v>
      </c>
      <c r="F5110" s="113" t="s">
        <v>7139</v>
      </c>
      <c r="G5110" s="113" t="s">
        <v>7145</v>
      </c>
      <c r="H5110" s="161">
        <v>0</v>
      </c>
      <c r="I5110" s="161" t="s">
        <v>7146</v>
      </c>
    </row>
    <row r="5111" spans="1:9">
      <c r="A5111" s="113">
        <v>100790882</v>
      </c>
      <c r="B5111" s="113" t="s">
        <v>7116</v>
      </c>
      <c r="C5111" s="113">
        <v>6990145</v>
      </c>
      <c r="D5111" s="113" t="s">
        <v>7139</v>
      </c>
      <c r="E5111" s="113" t="s">
        <v>1620</v>
      </c>
      <c r="F5111" s="113" t="s">
        <v>7139</v>
      </c>
      <c r="G5111" s="113" t="s">
        <v>7145</v>
      </c>
      <c r="H5111" s="161">
        <v>0</v>
      </c>
      <c r="I5111" s="161" t="s">
        <v>7146</v>
      </c>
    </row>
    <row r="5112" spans="1:9">
      <c r="A5112" s="113">
        <v>100790883</v>
      </c>
      <c r="B5112" s="113" t="s">
        <v>7116</v>
      </c>
      <c r="C5112" s="113">
        <v>6990146</v>
      </c>
      <c r="D5112" s="113" t="s">
        <v>7139</v>
      </c>
      <c r="E5112" s="113" t="s">
        <v>1620</v>
      </c>
      <c r="F5112" s="113" t="s">
        <v>7139</v>
      </c>
      <c r="G5112" s="115" t="s">
        <v>7145</v>
      </c>
      <c r="H5112" s="161">
        <v>0</v>
      </c>
      <c r="I5112" s="161" t="s">
        <v>7146</v>
      </c>
    </row>
    <row r="5113" spans="1:9">
      <c r="A5113" s="113">
        <v>100790884</v>
      </c>
      <c r="B5113" s="113" t="s">
        <v>7116</v>
      </c>
      <c r="C5113" s="113">
        <v>6990147</v>
      </c>
      <c r="D5113" s="113" t="s">
        <v>7139</v>
      </c>
      <c r="E5113" s="113" t="s">
        <v>1620</v>
      </c>
      <c r="F5113" s="113" t="s">
        <v>7139</v>
      </c>
      <c r="G5113" s="115" t="s">
        <v>7145</v>
      </c>
      <c r="H5113" s="161">
        <v>0</v>
      </c>
      <c r="I5113" s="161" t="s">
        <v>7146</v>
      </c>
    </row>
    <row r="5114" spans="1:9">
      <c r="A5114" s="113">
        <v>100790885</v>
      </c>
      <c r="B5114" s="113" t="s">
        <v>7116</v>
      </c>
      <c r="C5114" s="113">
        <v>6990148</v>
      </c>
      <c r="D5114" s="113" t="s">
        <v>7139</v>
      </c>
      <c r="E5114" s="113" t="s">
        <v>1620</v>
      </c>
      <c r="F5114" s="113" t="s">
        <v>7139</v>
      </c>
      <c r="G5114" s="113" t="s">
        <v>7145</v>
      </c>
      <c r="H5114" s="161">
        <v>0</v>
      </c>
      <c r="I5114" s="161" t="s">
        <v>7146</v>
      </c>
    </row>
    <row r="5115" spans="1:9">
      <c r="A5115" s="113">
        <v>100790886</v>
      </c>
      <c r="B5115" s="113" t="s">
        <v>7116</v>
      </c>
      <c r="C5115" s="113">
        <v>6990150</v>
      </c>
      <c r="D5115" s="113" t="s">
        <v>7139</v>
      </c>
      <c r="E5115" s="113" t="s">
        <v>1620</v>
      </c>
      <c r="F5115" s="113" t="s">
        <v>7139</v>
      </c>
      <c r="G5115" s="113" t="s">
        <v>7145</v>
      </c>
      <c r="H5115" s="161">
        <v>0</v>
      </c>
      <c r="I5115" s="161" t="s">
        <v>7146</v>
      </c>
    </row>
    <row r="5116" spans="1:9">
      <c r="A5116" s="113">
        <v>100790887</v>
      </c>
      <c r="B5116" s="113" t="s">
        <v>7116</v>
      </c>
      <c r="C5116" s="113">
        <v>6990151</v>
      </c>
      <c r="D5116" s="113" t="s">
        <v>7139</v>
      </c>
      <c r="E5116" s="113" t="s">
        <v>1620</v>
      </c>
      <c r="F5116" s="113" t="s">
        <v>7139</v>
      </c>
      <c r="G5116" s="113" t="s">
        <v>7145</v>
      </c>
      <c r="H5116" s="161">
        <v>0</v>
      </c>
      <c r="I5116" s="161" t="s">
        <v>7146</v>
      </c>
    </row>
    <row r="5117" spans="1:9">
      <c r="A5117" s="113">
        <v>100790888</v>
      </c>
      <c r="B5117" s="113" t="s">
        <v>7116</v>
      </c>
      <c r="C5117" s="113">
        <v>6990152</v>
      </c>
      <c r="D5117" s="113" t="s">
        <v>7139</v>
      </c>
      <c r="E5117" s="113" t="s">
        <v>1620</v>
      </c>
      <c r="F5117" s="113" t="s">
        <v>7139</v>
      </c>
      <c r="G5117" s="115" t="s">
        <v>7145</v>
      </c>
      <c r="H5117" s="161">
        <v>0</v>
      </c>
      <c r="I5117" s="161" t="s">
        <v>7146</v>
      </c>
    </row>
    <row r="5118" spans="1:9">
      <c r="A5118" s="113">
        <v>100790889</v>
      </c>
      <c r="B5118" s="113" t="s">
        <v>7116</v>
      </c>
      <c r="C5118" s="113">
        <v>6990156</v>
      </c>
      <c r="D5118" s="113" t="s">
        <v>7139</v>
      </c>
      <c r="E5118" s="113" t="s">
        <v>1620</v>
      </c>
      <c r="F5118" s="113" t="s">
        <v>7139</v>
      </c>
      <c r="G5118" s="113" t="s">
        <v>7145</v>
      </c>
      <c r="H5118" s="161">
        <v>0</v>
      </c>
      <c r="I5118" s="161" t="s">
        <v>7146</v>
      </c>
    </row>
    <row r="5119" spans="1:9">
      <c r="A5119" s="113">
        <v>100790890</v>
      </c>
      <c r="B5119" s="113" t="s">
        <v>7116</v>
      </c>
      <c r="C5119" s="113">
        <v>6990158</v>
      </c>
      <c r="D5119" s="113" t="s">
        <v>7139</v>
      </c>
      <c r="E5119" s="113" t="s">
        <v>1620</v>
      </c>
      <c r="F5119" s="113" t="s">
        <v>7139</v>
      </c>
      <c r="G5119" s="115" t="s">
        <v>7145</v>
      </c>
      <c r="H5119" s="161">
        <v>0</v>
      </c>
      <c r="I5119" s="161" t="s">
        <v>7146</v>
      </c>
    </row>
    <row r="5120" spans="1:9">
      <c r="A5120" s="113">
        <v>100790891</v>
      </c>
      <c r="B5120" s="113" t="s">
        <v>7116</v>
      </c>
      <c r="C5120" s="113">
        <v>6990159</v>
      </c>
      <c r="D5120" s="113" t="s">
        <v>7139</v>
      </c>
      <c r="E5120" s="113" t="s">
        <v>1620</v>
      </c>
      <c r="F5120" s="113" t="s">
        <v>7139</v>
      </c>
      <c r="G5120" s="115" t="s">
        <v>7145</v>
      </c>
      <c r="H5120" s="161">
        <v>0</v>
      </c>
      <c r="I5120" s="161" t="s">
        <v>7146</v>
      </c>
    </row>
    <row r="5121" spans="1:9">
      <c r="A5121" s="113">
        <v>100790892</v>
      </c>
      <c r="B5121" s="113" t="s">
        <v>7116</v>
      </c>
      <c r="C5121" s="113">
        <v>6990160</v>
      </c>
      <c r="D5121" s="113" t="s">
        <v>7139</v>
      </c>
      <c r="E5121" s="113" t="s">
        <v>1620</v>
      </c>
      <c r="F5121" s="113" t="s">
        <v>7139</v>
      </c>
      <c r="G5121" s="113" t="s">
        <v>7145</v>
      </c>
      <c r="H5121" s="161">
        <v>0</v>
      </c>
      <c r="I5121" s="161" t="s">
        <v>7146</v>
      </c>
    </row>
    <row r="5122" spans="1:9">
      <c r="A5122" s="113">
        <v>100790893</v>
      </c>
      <c r="B5122" s="113" t="s">
        <v>7116</v>
      </c>
      <c r="C5122" s="113">
        <v>6990162</v>
      </c>
      <c r="D5122" s="113" t="s">
        <v>7139</v>
      </c>
      <c r="E5122" s="113" t="s">
        <v>1620</v>
      </c>
      <c r="F5122" s="113" t="s">
        <v>7139</v>
      </c>
      <c r="G5122" s="113" t="s">
        <v>7145</v>
      </c>
      <c r="H5122" s="161">
        <v>0</v>
      </c>
      <c r="I5122" s="161" t="s">
        <v>7146</v>
      </c>
    </row>
    <row r="5123" spans="1:9">
      <c r="A5123" s="113">
        <v>100790894</v>
      </c>
      <c r="B5123" s="113" t="s">
        <v>7116</v>
      </c>
      <c r="C5123" s="113">
        <v>6990164</v>
      </c>
      <c r="D5123" s="113" t="s">
        <v>7139</v>
      </c>
      <c r="E5123" s="113" t="s">
        <v>1620</v>
      </c>
      <c r="F5123" s="113" t="s">
        <v>7139</v>
      </c>
      <c r="G5123" s="113" t="s">
        <v>7145</v>
      </c>
      <c r="H5123" s="161">
        <v>0</v>
      </c>
      <c r="I5123" s="161" t="s">
        <v>7146</v>
      </c>
    </row>
    <row r="5124" spans="1:9">
      <c r="A5124" s="113">
        <v>100790895</v>
      </c>
      <c r="B5124" s="113" t="s">
        <v>7116</v>
      </c>
      <c r="C5124" s="113">
        <v>6990165</v>
      </c>
      <c r="D5124" s="113" t="s">
        <v>7139</v>
      </c>
      <c r="E5124" s="113" t="s">
        <v>1620</v>
      </c>
      <c r="F5124" s="113" t="s">
        <v>7139</v>
      </c>
      <c r="G5124" s="113" t="s">
        <v>7145</v>
      </c>
      <c r="H5124" s="161">
        <v>0</v>
      </c>
      <c r="I5124" s="161" t="s">
        <v>7146</v>
      </c>
    </row>
    <row r="5125" spans="1:9">
      <c r="A5125" s="113">
        <v>100790896</v>
      </c>
      <c r="B5125" s="113" t="s">
        <v>7116</v>
      </c>
      <c r="C5125" s="113">
        <v>6990166</v>
      </c>
      <c r="D5125" s="113" t="s">
        <v>7139</v>
      </c>
      <c r="E5125" s="113" t="s">
        <v>1620</v>
      </c>
      <c r="F5125" s="113" t="s">
        <v>7139</v>
      </c>
      <c r="G5125" s="113" t="s">
        <v>7145</v>
      </c>
      <c r="H5125" s="161">
        <v>0</v>
      </c>
      <c r="I5125" s="161" t="s">
        <v>7146</v>
      </c>
    </row>
    <row r="5126" spans="1:9">
      <c r="A5126" s="113">
        <v>100790897</v>
      </c>
      <c r="B5126" s="113" t="s">
        <v>7116</v>
      </c>
      <c r="C5126" s="113">
        <v>6990167</v>
      </c>
      <c r="D5126" s="113" t="s">
        <v>7139</v>
      </c>
      <c r="E5126" s="113" t="s">
        <v>1620</v>
      </c>
      <c r="F5126" s="113" t="s">
        <v>7139</v>
      </c>
      <c r="G5126" s="113" t="s">
        <v>7145</v>
      </c>
      <c r="H5126" s="161">
        <v>0</v>
      </c>
      <c r="I5126" s="161" t="s">
        <v>7146</v>
      </c>
    </row>
    <row r="5127" spans="1:9">
      <c r="A5127" s="113">
        <v>100790898</v>
      </c>
      <c r="B5127" s="113" t="s">
        <v>7116</v>
      </c>
      <c r="C5127" s="113">
        <v>6990168</v>
      </c>
      <c r="D5127" s="113" t="s">
        <v>7139</v>
      </c>
      <c r="E5127" s="113" t="s">
        <v>1620</v>
      </c>
      <c r="F5127" s="113" t="s">
        <v>7139</v>
      </c>
      <c r="G5127" s="113" t="s">
        <v>7145</v>
      </c>
      <c r="H5127" s="161">
        <v>0</v>
      </c>
      <c r="I5127" s="161" t="s">
        <v>7146</v>
      </c>
    </row>
    <row r="5128" spans="1:9">
      <c r="A5128" s="113">
        <v>100790899</v>
      </c>
      <c r="B5128" s="113" t="s">
        <v>7116</v>
      </c>
      <c r="C5128" s="113">
        <v>6990169</v>
      </c>
      <c r="D5128" s="113" t="s">
        <v>7139</v>
      </c>
      <c r="E5128" s="113" t="s">
        <v>1620</v>
      </c>
      <c r="F5128" s="113" t="s">
        <v>7139</v>
      </c>
      <c r="G5128" s="113" t="s">
        <v>7145</v>
      </c>
      <c r="H5128" s="161">
        <v>0</v>
      </c>
      <c r="I5128" s="161" t="s">
        <v>7146</v>
      </c>
    </row>
    <row r="5129" spans="1:9">
      <c r="A5129" s="113">
        <v>100790900</v>
      </c>
      <c r="B5129" s="113" t="s">
        <v>7116</v>
      </c>
      <c r="C5129" s="113">
        <v>6990170</v>
      </c>
      <c r="D5129" s="113" t="s">
        <v>7139</v>
      </c>
      <c r="E5129" s="113" t="s">
        <v>1620</v>
      </c>
      <c r="F5129" s="113" t="s">
        <v>7139</v>
      </c>
      <c r="G5129" s="113" t="s">
        <v>7145</v>
      </c>
      <c r="H5129" s="161">
        <v>0</v>
      </c>
      <c r="I5129" s="161" t="s">
        <v>7146</v>
      </c>
    </row>
    <row r="5130" spans="1:9">
      <c r="A5130" s="113">
        <v>100790901</v>
      </c>
      <c r="B5130" s="113" t="s">
        <v>7116</v>
      </c>
      <c r="C5130" s="113">
        <v>6990175</v>
      </c>
      <c r="D5130" s="113" t="s">
        <v>7139</v>
      </c>
      <c r="E5130" s="113" t="s">
        <v>1620</v>
      </c>
      <c r="F5130" s="113" t="s">
        <v>7139</v>
      </c>
      <c r="G5130" s="113" t="s">
        <v>7145</v>
      </c>
      <c r="H5130" s="161">
        <v>0</v>
      </c>
      <c r="I5130" s="161" t="s">
        <v>7146</v>
      </c>
    </row>
    <row r="5131" spans="1:9">
      <c r="A5131" s="113">
        <v>100790902</v>
      </c>
      <c r="B5131" s="113" t="s">
        <v>7116</v>
      </c>
      <c r="C5131" s="113">
        <v>6990178</v>
      </c>
      <c r="D5131" s="113" t="s">
        <v>7139</v>
      </c>
      <c r="E5131" s="113" t="s">
        <v>1620</v>
      </c>
      <c r="F5131" s="113" t="s">
        <v>7139</v>
      </c>
      <c r="G5131" s="115" t="s">
        <v>7145</v>
      </c>
      <c r="H5131" s="161">
        <v>0</v>
      </c>
      <c r="I5131" s="161" t="s">
        <v>7146</v>
      </c>
    </row>
    <row r="5132" spans="1:9">
      <c r="A5132" s="113">
        <v>100790903</v>
      </c>
      <c r="B5132" s="113" t="s">
        <v>7116</v>
      </c>
      <c r="C5132" s="113">
        <v>6990181</v>
      </c>
      <c r="D5132" s="113" t="s">
        <v>7139</v>
      </c>
      <c r="E5132" s="113" t="s">
        <v>1620</v>
      </c>
      <c r="F5132" s="113" t="s">
        <v>7139</v>
      </c>
      <c r="G5132" s="115" t="s">
        <v>7145</v>
      </c>
      <c r="H5132" s="161">
        <v>0</v>
      </c>
      <c r="I5132" s="161" t="s">
        <v>7146</v>
      </c>
    </row>
    <row r="5133" spans="1:9">
      <c r="A5133" s="113">
        <v>100790904</v>
      </c>
      <c r="B5133" s="113" t="s">
        <v>7116</v>
      </c>
      <c r="C5133" s="113">
        <v>6990183</v>
      </c>
      <c r="D5133" s="113" t="s">
        <v>7139</v>
      </c>
      <c r="E5133" s="113" t="s">
        <v>1620</v>
      </c>
      <c r="F5133" s="113" t="s">
        <v>7139</v>
      </c>
      <c r="G5133" s="115" t="s">
        <v>7145</v>
      </c>
      <c r="H5133" s="161">
        <v>0</v>
      </c>
      <c r="I5133" s="161" t="s">
        <v>7146</v>
      </c>
    </row>
    <row r="5134" spans="1:9">
      <c r="A5134" s="113">
        <v>100790905</v>
      </c>
      <c r="B5134" s="113" t="s">
        <v>7116</v>
      </c>
      <c r="C5134" s="113">
        <v>6990186</v>
      </c>
      <c r="D5134" s="113" t="s">
        <v>7139</v>
      </c>
      <c r="E5134" s="113" t="s">
        <v>1620</v>
      </c>
      <c r="F5134" s="113" t="s">
        <v>7139</v>
      </c>
      <c r="G5134" s="115" t="s">
        <v>7145</v>
      </c>
      <c r="H5134" s="161">
        <v>0</v>
      </c>
      <c r="I5134" s="161" t="s">
        <v>7146</v>
      </c>
    </row>
    <row r="5135" spans="1:9">
      <c r="A5135" s="113">
        <v>100790906</v>
      </c>
      <c r="B5135" s="113" t="s">
        <v>7116</v>
      </c>
      <c r="C5135" s="113">
        <v>6990189</v>
      </c>
      <c r="D5135" s="113" t="s">
        <v>7139</v>
      </c>
      <c r="E5135" s="113" t="s">
        <v>1620</v>
      </c>
      <c r="F5135" s="113" t="s">
        <v>7139</v>
      </c>
      <c r="G5135" s="115" t="s">
        <v>7145</v>
      </c>
      <c r="H5135" s="161">
        <v>0</v>
      </c>
      <c r="I5135" s="161" t="s">
        <v>7146</v>
      </c>
    </row>
    <row r="5136" spans="1:9">
      <c r="A5136" s="113">
        <v>100790907</v>
      </c>
      <c r="B5136" s="113" t="s">
        <v>7116</v>
      </c>
      <c r="C5136" s="113">
        <v>6990190</v>
      </c>
      <c r="D5136" s="113" t="s">
        <v>7139</v>
      </c>
      <c r="E5136" s="113" t="s">
        <v>1620</v>
      </c>
      <c r="F5136" s="113" t="s">
        <v>7139</v>
      </c>
      <c r="G5136" s="115" t="s">
        <v>7145</v>
      </c>
      <c r="H5136" s="161">
        <v>0</v>
      </c>
      <c r="I5136" s="161" t="s">
        <v>7146</v>
      </c>
    </row>
    <row r="5137" spans="1:9">
      <c r="A5137" s="113">
        <v>100790908</v>
      </c>
      <c r="B5137" s="113" t="s">
        <v>7116</v>
      </c>
      <c r="C5137" s="113">
        <v>6990191</v>
      </c>
      <c r="D5137" s="113" t="s">
        <v>7139</v>
      </c>
      <c r="E5137" s="113" t="s">
        <v>1620</v>
      </c>
      <c r="F5137" s="113" t="s">
        <v>7139</v>
      </c>
      <c r="G5137" s="115" t="s">
        <v>7145</v>
      </c>
      <c r="H5137" s="161">
        <v>0</v>
      </c>
      <c r="I5137" s="161" t="s">
        <v>7146</v>
      </c>
    </row>
    <row r="5138" spans="1:9">
      <c r="A5138" s="113">
        <v>100790909</v>
      </c>
      <c r="B5138" s="113" t="s">
        <v>7116</v>
      </c>
      <c r="C5138" s="113">
        <v>6990192</v>
      </c>
      <c r="D5138" s="113" t="s">
        <v>7139</v>
      </c>
      <c r="E5138" s="113" t="s">
        <v>1620</v>
      </c>
      <c r="F5138" s="113" t="s">
        <v>7139</v>
      </c>
      <c r="G5138" s="115" t="s">
        <v>7145</v>
      </c>
      <c r="H5138" s="161">
        <v>0</v>
      </c>
      <c r="I5138" s="161" t="s">
        <v>7146</v>
      </c>
    </row>
    <row r="5139" spans="1:9">
      <c r="A5139" s="113">
        <v>100790910</v>
      </c>
      <c r="B5139" s="113" t="s">
        <v>7116</v>
      </c>
      <c r="C5139" s="113">
        <v>6990193</v>
      </c>
      <c r="D5139" s="113" t="s">
        <v>7139</v>
      </c>
      <c r="E5139" s="113" t="s">
        <v>1620</v>
      </c>
      <c r="F5139" s="113" t="s">
        <v>7139</v>
      </c>
      <c r="G5139" s="115" t="s">
        <v>7145</v>
      </c>
      <c r="H5139" s="161">
        <v>0</v>
      </c>
      <c r="I5139" s="161" t="s">
        <v>7146</v>
      </c>
    </row>
    <row r="5140" spans="1:9">
      <c r="A5140" s="113">
        <v>100790911</v>
      </c>
      <c r="B5140" s="113" t="s">
        <v>7116</v>
      </c>
      <c r="C5140" s="113">
        <v>6990194</v>
      </c>
      <c r="D5140" s="113" t="s">
        <v>7139</v>
      </c>
      <c r="E5140" s="113" t="s">
        <v>1620</v>
      </c>
      <c r="F5140" s="113" t="s">
        <v>7139</v>
      </c>
      <c r="G5140" s="113" t="s">
        <v>7145</v>
      </c>
      <c r="H5140" s="161">
        <v>0</v>
      </c>
      <c r="I5140" s="161" t="s">
        <v>7146</v>
      </c>
    </row>
    <row r="5141" spans="1:9">
      <c r="A5141" s="113">
        <v>100790912</v>
      </c>
      <c r="B5141" s="113" t="s">
        <v>7116</v>
      </c>
      <c r="C5141" s="113">
        <v>6990195</v>
      </c>
      <c r="D5141" s="113" t="s">
        <v>7139</v>
      </c>
      <c r="E5141" s="113" t="s">
        <v>1620</v>
      </c>
      <c r="F5141" s="113" t="s">
        <v>7139</v>
      </c>
      <c r="G5141" s="113" t="s">
        <v>7145</v>
      </c>
      <c r="H5141" s="161">
        <v>0</v>
      </c>
      <c r="I5141" s="161" t="s">
        <v>7146</v>
      </c>
    </row>
    <row r="5142" spans="1:9">
      <c r="A5142" s="113">
        <v>100790913</v>
      </c>
      <c r="B5142" s="113" t="s">
        <v>7116</v>
      </c>
      <c r="C5142" s="113">
        <v>6990196</v>
      </c>
      <c r="D5142" s="113" t="s">
        <v>7139</v>
      </c>
      <c r="E5142" s="113" t="s">
        <v>1620</v>
      </c>
      <c r="F5142" s="113" t="s">
        <v>7139</v>
      </c>
      <c r="G5142" s="113" t="s">
        <v>7145</v>
      </c>
      <c r="H5142" s="161">
        <v>0</v>
      </c>
      <c r="I5142" s="161" t="s">
        <v>7146</v>
      </c>
    </row>
    <row r="5143" spans="1:9">
      <c r="A5143" s="113">
        <v>100790914</v>
      </c>
      <c r="B5143" s="113" t="s">
        <v>7116</v>
      </c>
      <c r="C5143" s="113">
        <v>6990198</v>
      </c>
      <c r="D5143" s="113" t="s">
        <v>7139</v>
      </c>
      <c r="E5143" s="113" t="s">
        <v>1620</v>
      </c>
      <c r="F5143" s="113" t="s">
        <v>7139</v>
      </c>
      <c r="G5143" s="113" t="s">
        <v>7145</v>
      </c>
      <c r="H5143" s="161">
        <v>0</v>
      </c>
      <c r="I5143" s="161" t="s">
        <v>7146</v>
      </c>
    </row>
    <row r="5144" spans="1:9">
      <c r="A5144" s="113">
        <v>100790915</v>
      </c>
      <c r="B5144" s="113" t="s">
        <v>7116</v>
      </c>
      <c r="C5144" s="113">
        <v>6990199</v>
      </c>
      <c r="D5144" s="113" t="s">
        <v>7139</v>
      </c>
      <c r="E5144" s="113" t="s">
        <v>1620</v>
      </c>
      <c r="F5144" s="113" t="s">
        <v>7139</v>
      </c>
      <c r="G5144" s="113" t="s">
        <v>7145</v>
      </c>
      <c r="H5144" s="161">
        <v>0</v>
      </c>
      <c r="I5144" s="161" t="s">
        <v>7146</v>
      </c>
    </row>
    <row r="5145" spans="1:9">
      <c r="A5145" s="113">
        <v>100790916</v>
      </c>
      <c r="B5145" s="113" t="s">
        <v>7116</v>
      </c>
      <c r="C5145" s="113">
        <v>6990200</v>
      </c>
      <c r="D5145" s="113" t="s">
        <v>7139</v>
      </c>
      <c r="E5145" s="113" t="s">
        <v>1620</v>
      </c>
      <c r="F5145" s="113" t="s">
        <v>7139</v>
      </c>
      <c r="G5145" s="113" t="s">
        <v>7145</v>
      </c>
      <c r="H5145" s="161">
        <v>0</v>
      </c>
      <c r="I5145" s="161" t="s">
        <v>7146</v>
      </c>
    </row>
    <row r="5146" spans="1:9">
      <c r="A5146" s="113">
        <v>100790918</v>
      </c>
      <c r="B5146" s="113" t="s">
        <v>7116</v>
      </c>
      <c r="C5146" s="113">
        <v>6990202</v>
      </c>
      <c r="D5146" s="113" t="s">
        <v>7139</v>
      </c>
      <c r="E5146" s="113" t="s">
        <v>1620</v>
      </c>
      <c r="F5146" s="113" t="s">
        <v>7139</v>
      </c>
      <c r="G5146" s="113" t="s">
        <v>7145</v>
      </c>
      <c r="H5146" s="161">
        <v>0</v>
      </c>
      <c r="I5146" s="161" t="s">
        <v>7146</v>
      </c>
    </row>
    <row r="5147" spans="1:9">
      <c r="A5147" s="113">
        <v>100790919</v>
      </c>
      <c r="B5147" s="113" t="s">
        <v>7116</v>
      </c>
      <c r="C5147" s="113">
        <v>6990203</v>
      </c>
      <c r="D5147" s="113" t="s">
        <v>7139</v>
      </c>
      <c r="E5147" s="113" t="s">
        <v>1620</v>
      </c>
      <c r="F5147" s="113" t="s">
        <v>7139</v>
      </c>
      <c r="G5147" s="113" t="s">
        <v>7145</v>
      </c>
      <c r="H5147" s="161">
        <v>0</v>
      </c>
      <c r="I5147" s="161" t="s">
        <v>7146</v>
      </c>
    </row>
    <row r="5148" spans="1:9">
      <c r="A5148" s="113">
        <v>100790920</v>
      </c>
      <c r="B5148" s="113" t="s">
        <v>7116</v>
      </c>
      <c r="C5148" s="113">
        <v>6990204</v>
      </c>
      <c r="D5148" s="113" t="s">
        <v>7139</v>
      </c>
      <c r="E5148" s="113" t="s">
        <v>1620</v>
      </c>
      <c r="F5148" s="113" t="s">
        <v>7139</v>
      </c>
      <c r="G5148" s="113" t="s">
        <v>7145</v>
      </c>
      <c r="H5148" s="161">
        <v>0</v>
      </c>
      <c r="I5148" s="161" t="s">
        <v>7146</v>
      </c>
    </row>
    <row r="5149" spans="1:9">
      <c r="A5149" s="113">
        <v>100790921</v>
      </c>
      <c r="B5149" s="113" t="s">
        <v>7116</v>
      </c>
      <c r="C5149" s="113">
        <v>6990205</v>
      </c>
      <c r="D5149" s="113" t="s">
        <v>7139</v>
      </c>
      <c r="E5149" s="113" t="s">
        <v>1620</v>
      </c>
      <c r="F5149" s="113" t="s">
        <v>7139</v>
      </c>
      <c r="G5149" s="113" t="s">
        <v>7145</v>
      </c>
      <c r="H5149" s="161">
        <v>0</v>
      </c>
      <c r="I5149" s="161" t="s">
        <v>7146</v>
      </c>
    </row>
    <row r="5150" spans="1:9">
      <c r="A5150" s="113">
        <v>100790922</v>
      </c>
      <c r="B5150" s="113" t="s">
        <v>7116</v>
      </c>
      <c r="C5150" s="113">
        <v>6990208</v>
      </c>
      <c r="D5150" s="113" t="s">
        <v>7139</v>
      </c>
      <c r="E5150" s="113" t="s">
        <v>1620</v>
      </c>
      <c r="F5150" s="113" t="s">
        <v>7139</v>
      </c>
      <c r="G5150" s="113" t="s">
        <v>7145</v>
      </c>
      <c r="H5150" s="161">
        <v>0</v>
      </c>
      <c r="I5150" s="161" t="s">
        <v>7146</v>
      </c>
    </row>
    <row r="5151" spans="1:9">
      <c r="A5151" s="113">
        <v>100790923</v>
      </c>
      <c r="B5151" s="113" t="s">
        <v>7116</v>
      </c>
      <c r="C5151" s="113">
        <v>6990209</v>
      </c>
      <c r="D5151" s="113" t="s">
        <v>7139</v>
      </c>
      <c r="E5151" s="113" t="s">
        <v>1620</v>
      </c>
      <c r="F5151" s="113" t="s">
        <v>7139</v>
      </c>
      <c r="G5151" s="113" t="s">
        <v>7145</v>
      </c>
      <c r="H5151" s="161">
        <v>0</v>
      </c>
      <c r="I5151" s="161" t="s">
        <v>7146</v>
      </c>
    </row>
    <row r="5152" spans="1:9">
      <c r="A5152" s="113">
        <v>100790924</v>
      </c>
      <c r="B5152" s="113" t="s">
        <v>7116</v>
      </c>
      <c r="C5152" s="113">
        <v>6990210</v>
      </c>
      <c r="D5152" s="113" t="s">
        <v>7139</v>
      </c>
      <c r="E5152" s="113" t="s">
        <v>1620</v>
      </c>
      <c r="F5152" s="113" t="s">
        <v>7139</v>
      </c>
      <c r="G5152" s="113" t="s">
        <v>7145</v>
      </c>
      <c r="H5152" s="161">
        <v>0</v>
      </c>
      <c r="I5152" s="161" t="s">
        <v>7146</v>
      </c>
    </row>
    <row r="5153" spans="1:9">
      <c r="A5153" s="113">
        <v>100790925</v>
      </c>
      <c r="B5153" s="113" t="s">
        <v>7116</v>
      </c>
      <c r="C5153" s="113">
        <v>6990211</v>
      </c>
      <c r="D5153" s="113" t="s">
        <v>7139</v>
      </c>
      <c r="E5153" s="113" t="s">
        <v>1620</v>
      </c>
      <c r="F5153" s="113" t="s">
        <v>7139</v>
      </c>
      <c r="G5153" s="113" t="s">
        <v>7145</v>
      </c>
      <c r="H5153" s="161">
        <v>0</v>
      </c>
      <c r="I5153" s="161" t="s">
        <v>7146</v>
      </c>
    </row>
    <row r="5154" spans="1:9">
      <c r="A5154" s="113">
        <v>100790926</v>
      </c>
      <c r="B5154" s="113" t="s">
        <v>7116</v>
      </c>
      <c r="C5154" s="113">
        <v>6990212</v>
      </c>
      <c r="D5154" s="113" t="s">
        <v>7139</v>
      </c>
      <c r="E5154" s="113" t="s">
        <v>1620</v>
      </c>
      <c r="F5154" s="113" t="s">
        <v>7139</v>
      </c>
      <c r="G5154" s="113" t="s">
        <v>7145</v>
      </c>
      <c r="H5154" s="161">
        <v>0</v>
      </c>
      <c r="I5154" s="161" t="s">
        <v>7146</v>
      </c>
    </row>
    <row r="5155" spans="1:9">
      <c r="A5155" s="113">
        <v>100790927</v>
      </c>
      <c r="B5155" s="113" t="s">
        <v>7116</v>
      </c>
      <c r="C5155" s="113">
        <v>6990213</v>
      </c>
      <c r="D5155" s="113" t="s">
        <v>7139</v>
      </c>
      <c r="E5155" s="113" t="s">
        <v>1620</v>
      </c>
      <c r="F5155" s="113" t="s">
        <v>7139</v>
      </c>
      <c r="G5155" s="113" t="s">
        <v>7145</v>
      </c>
      <c r="H5155" s="161">
        <v>0</v>
      </c>
      <c r="I5155" s="161" t="s">
        <v>7146</v>
      </c>
    </row>
    <row r="5156" spans="1:9">
      <c r="A5156" s="113">
        <v>100790928</v>
      </c>
      <c r="B5156" s="113" t="s">
        <v>7116</v>
      </c>
      <c r="C5156" s="113">
        <v>6990214</v>
      </c>
      <c r="D5156" s="113" t="s">
        <v>7139</v>
      </c>
      <c r="E5156" s="113" t="s">
        <v>1620</v>
      </c>
      <c r="F5156" s="113" t="s">
        <v>7139</v>
      </c>
      <c r="G5156" s="113" t="s">
        <v>7145</v>
      </c>
      <c r="H5156" s="161">
        <v>0</v>
      </c>
      <c r="I5156" s="161" t="s">
        <v>7146</v>
      </c>
    </row>
    <row r="5157" spans="1:9">
      <c r="A5157" s="113">
        <v>100790930</v>
      </c>
      <c r="B5157" s="113" t="s">
        <v>7116</v>
      </c>
      <c r="C5157" s="113">
        <v>6990216</v>
      </c>
      <c r="D5157" s="113" t="s">
        <v>7139</v>
      </c>
      <c r="E5157" s="113" t="s">
        <v>1620</v>
      </c>
      <c r="F5157" s="113" t="s">
        <v>7139</v>
      </c>
      <c r="G5157" s="113" t="s">
        <v>7145</v>
      </c>
      <c r="H5157" s="161">
        <v>0</v>
      </c>
      <c r="I5157" s="161" t="s">
        <v>7146</v>
      </c>
    </row>
    <row r="5158" spans="1:9">
      <c r="A5158" s="113">
        <v>100790931</v>
      </c>
      <c r="B5158" s="113" t="s">
        <v>7116</v>
      </c>
      <c r="C5158" s="113">
        <v>6990217</v>
      </c>
      <c r="D5158" s="113" t="s">
        <v>7139</v>
      </c>
      <c r="E5158" s="113" t="s">
        <v>1620</v>
      </c>
      <c r="F5158" s="113" t="s">
        <v>7139</v>
      </c>
      <c r="G5158" s="113" t="s">
        <v>7145</v>
      </c>
      <c r="H5158" s="161">
        <v>0</v>
      </c>
      <c r="I5158" s="161" t="s">
        <v>7146</v>
      </c>
    </row>
    <row r="5159" spans="1:9">
      <c r="A5159" s="113">
        <v>100790932</v>
      </c>
      <c r="B5159" s="113" t="s">
        <v>7116</v>
      </c>
      <c r="C5159" s="113">
        <v>6990218</v>
      </c>
      <c r="D5159" s="113" t="s">
        <v>7139</v>
      </c>
      <c r="E5159" s="113" t="s">
        <v>1620</v>
      </c>
      <c r="F5159" s="113" t="s">
        <v>7139</v>
      </c>
      <c r="G5159" s="113" t="s">
        <v>7145</v>
      </c>
      <c r="H5159" s="161">
        <v>0</v>
      </c>
      <c r="I5159" s="161" t="s">
        <v>7146</v>
      </c>
    </row>
    <row r="5160" spans="1:9">
      <c r="A5160" s="113">
        <v>100790933</v>
      </c>
      <c r="B5160" s="113" t="s">
        <v>7116</v>
      </c>
      <c r="C5160" s="113">
        <v>6990219</v>
      </c>
      <c r="D5160" s="113" t="s">
        <v>7139</v>
      </c>
      <c r="E5160" s="113" t="s">
        <v>1620</v>
      </c>
      <c r="F5160" s="113" t="s">
        <v>7139</v>
      </c>
      <c r="G5160" s="113" t="s">
        <v>7145</v>
      </c>
      <c r="H5160" s="161">
        <v>0</v>
      </c>
      <c r="I5160" s="161" t="s">
        <v>7146</v>
      </c>
    </row>
    <row r="5161" spans="1:9">
      <c r="A5161" s="113">
        <v>100790934</v>
      </c>
      <c r="B5161" s="113" t="s">
        <v>7116</v>
      </c>
      <c r="C5161" s="113">
        <v>6990226</v>
      </c>
      <c r="D5161" s="113" t="s">
        <v>7139</v>
      </c>
      <c r="E5161" s="113" t="s">
        <v>1620</v>
      </c>
      <c r="F5161" s="113" t="s">
        <v>7139</v>
      </c>
      <c r="G5161" s="113" t="s">
        <v>7145</v>
      </c>
      <c r="H5161" s="161">
        <v>0</v>
      </c>
      <c r="I5161" s="161" t="s">
        <v>7146</v>
      </c>
    </row>
    <row r="5162" spans="1:9">
      <c r="A5162" s="113">
        <v>100790935</v>
      </c>
      <c r="B5162" s="113" t="s">
        <v>7116</v>
      </c>
      <c r="C5162" s="113">
        <v>6990227</v>
      </c>
      <c r="D5162" s="113" t="s">
        <v>7139</v>
      </c>
      <c r="E5162" s="113" t="s">
        <v>1620</v>
      </c>
      <c r="F5162" s="113" t="s">
        <v>7139</v>
      </c>
      <c r="G5162" s="113" t="s">
        <v>7145</v>
      </c>
      <c r="H5162" s="161">
        <v>0</v>
      </c>
      <c r="I5162" s="161" t="s">
        <v>7146</v>
      </c>
    </row>
    <row r="5163" spans="1:9">
      <c r="A5163" s="113">
        <v>100790936</v>
      </c>
      <c r="B5163" s="113" t="s">
        <v>7116</v>
      </c>
      <c r="C5163" s="113">
        <v>6990229</v>
      </c>
      <c r="D5163" s="113" t="s">
        <v>7139</v>
      </c>
      <c r="E5163" s="113" t="s">
        <v>1620</v>
      </c>
      <c r="F5163" s="113" t="s">
        <v>7139</v>
      </c>
      <c r="G5163" s="113" t="s">
        <v>7145</v>
      </c>
      <c r="H5163" s="161">
        <v>0</v>
      </c>
      <c r="I5163" s="161" t="s">
        <v>7146</v>
      </c>
    </row>
    <row r="5164" spans="1:9">
      <c r="A5164" s="113">
        <v>100790937</v>
      </c>
      <c r="B5164" s="113" t="s">
        <v>7116</v>
      </c>
      <c r="C5164" s="113">
        <v>6990230</v>
      </c>
      <c r="D5164" s="113" t="s">
        <v>7139</v>
      </c>
      <c r="E5164" s="113" t="s">
        <v>1620</v>
      </c>
      <c r="F5164" s="113" t="s">
        <v>7139</v>
      </c>
      <c r="G5164" s="113" t="s">
        <v>7145</v>
      </c>
      <c r="H5164" s="161">
        <v>0</v>
      </c>
      <c r="I5164" s="161" t="s">
        <v>7146</v>
      </c>
    </row>
    <row r="5165" spans="1:9">
      <c r="A5165" s="113">
        <v>100790938</v>
      </c>
      <c r="B5165" s="113" t="s">
        <v>7116</v>
      </c>
      <c r="C5165" s="113">
        <v>6990231</v>
      </c>
      <c r="D5165" s="113" t="s">
        <v>7139</v>
      </c>
      <c r="E5165" s="113" t="s">
        <v>1620</v>
      </c>
      <c r="F5165" s="113" t="s">
        <v>7139</v>
      </c>
      <c r="G5165" s="113" t="s">
        <v>7145</v>
      </c>
      <c r="H5165" s="161">
        <v>0</v>
      </c>
      <c r="I5165" s="161" t="s">
        <v>7146</v>
      </c>
    </row>
    <row r="5166" spans="1:9">
      <c r="A5166" s="113">
        <v>100790939</v>
      </c>
      <c r="B5166" s="113" t="s">
        <v>7116</v>
      </c>
      <c r="C5166" s="113">
        <v>6990232</v>
      </c>
      <c r="D5166" s="113" t="s">
        <v>7139</v>
      </c>
      <c r="E5166" s="113" t="s">
        <v>1620</v>
      </c>
      <c r="F5166" s="113" t="s">
        <v>7139</v>
      </c>
      <c r="G5166" s="113" t="s">
        <v>7145</v>
      </c>
      <c r="H5166" s="161">
        <v>0</v>
      </c>
      <c r="I5166" s="161" t="s">
        <v>7146</v>
      </c>
    </row>
    <row r="5167" spans="1:9">
      <c r="A5167" s="113">
        <v>100790940</v>
      </c>
      <c r="B5167" s="113" t="s">
        <v>7116</v>
      </c>
      <c r="C5167" s="113">
        <v>6990233</v>
      </c>
      <c r="D5167" s="113" t="s">
        <v>7139</v>
      </c>
      <c r="E5167" s="113" t="s">
        <v>1620</v>
      </c>
      <c r="F5167" s="113" t="s">
        <v>7139</v>
      </c>
      <c r="G5167" s="113" t="s">
        <v>7145</v>
      </c>
      <c r="H5167" s="161">
        <v>0</v>
      </c>
      <c r="I5167" s="161" t="s">
        <v>7146</v>
      </c>
    </row>
    <row r="5168" spans="1:9">
      <c r="A5168" s="113">
        <v>100790941</v>
      </c>
      <c r="B5168" s="113" t="s">
        <v>7116</v>
      </c>
      <c r="C5168" s="113">
        <v>6990234</v>
      </c>
      <c r="D5168" s="113" t="s">
        <v>7139</v>
      </c>
      <c r="E5168" s="113" t="s">
        <v>1620</v>
      </c>
      <c r="F5168" s="113" t="s">
        <v>7139</v>
      </c>
      <c r="G5168" s="113" t="s">
        <v>7145</v>
      </c>
      <c r="H5168" s="161">
        <v>0</v>
      </c>
      <c r="I5168" s="161" t="s">
        <v>7146</v>
      </c>
    </row>
    <row r="5169" spans="1:9">
      <c r="A5169" s="113">
        <v>100790942</v>
      </c>
      <c r="B5169" s="113" t="s">
        <v>7116</v>
      </c>
      <c r="C5169" s="113">
        <v>6990235</v>
      </c>
      <c r="D5169" s="113" t="s">
        <v>7139</v>
      </c>
      <c r="E5169" s="113" t="s">
        <v>1620</v>
      </c>
      <c r="F5169" s="113" t="s">
        <v>7139</v>
      </c>
      <c r="G5169" s="113" t="s">
        <v>7145</v>
      </c>
      <c r="H5169" s="161">
        <v>0</v>
      </c>
      <c r="I5169" s="161" t="s">
        <v>7146</v>
      </c>
    </row>
    <row r="5170" spans="1:9">
      <c r="A5170" s="113">
        <v>100790943</v>
      </c>
      <c r="B5170" s="113" t="s">
        <v>7116</v>
      </c>
      <c r="C5170" s="113">
        <v>6990236</v>
      </c>
      <c r="D5170" s="113" t="s">
        <v>7139</v>
      </c>
      <c r="E5170" s="113" t="s">
        <v>1620</v>
      </c>
      <c r="F5170" s="113" t="s">
        <v>7139</v>
      </c>
      <c r="G5170" s="113" t="s">
        <v>7145</v>
      </c>
      <c r="H5170" s="161">
        <v>0</v>
      </c>
      <c r="I5170" s="161" t="s">
        <v>7146</v>
      </c>
    </row>
    <row r="5171" spans="1:9">
      <c r="A5171" s="113">
        <v>100790944</v>
      </c>
      <c r="B5171" s="113" t="s">
        <v>7116</v>
      </c>
      <c r="C5171" s="113">
        <v>6990237</v>
      </c>
      <c r="D5171" s="113" t="s">
        <v>7139</v>
      </c>
      <c r="E5171" s="113" t="s">
        <v>1620</v>
      </c>
      <c r="F5171" s="113" t="s">
        <v>7139</v>
      </c>
      <c r="G5171" s="113" t="s">
        <v>7145</v>
      </c>
      <c r="H5171" s="161">
        <v>0</v>
      </c>
      <c r="I5171" s="161" t="s">
        <v>7146</v>
      </c>
    </row>
    <row r="5172" spans="1:9">
      <c r="A5172" s="113">
        <v>100790945</v>
      </c>
      <c r="B5172" s="113" t="s">
        <v>7116</v>
      </c>
      <c r="C5172" s="113">
        <v>6990238</v>
      </c>
      <c r="D5172" s="113" t="s">
        <v>7139</v>
      </c>
      <c r="E5172" s="113" t="s">
        <v>1620</v>
      </c>
      <c r="F5172" s="113" t="s">
        <v>7139</v>
      </c>
      <c r="G5172" s="113" t="s">
        <v>7145</v>
      </c>
      <c r="H5172" s="161">
        <v>0</v>
      </c>
      <c r="I5172" s="161" t="s">
        <v>7146</v>
      </c>
    </row>
    <row r="5173" spans="1:9">
      <c r="A5173" s="113">
        <v>100790946</v>
      </c>
      <c r="B5173" s="113" t="s">
        <v>7116</v>
      </c>
      <c r="C5173" s="113">
        <v>6990239</v>
      </c>
      <c r="D5173" s="113" t="s">
        <v>7139</v>
      </c>
      <c r="E5173" s="113" t="s">
        <v>1620</v>
      </c>
      <c r="F5173" s="113" t="s">
        <v>7139</v>
      </c>
      <c r="G5173" s="113" t="s">
        <v>7145</v>
      </c>
      <c r="H5173" s="161">
        <v>0</v>
      </c>
      <c r="I5173" s="161" t="s">
        <v>7146</v>
      </c>
    </row>
    <row r="5174" spans="1:9">
      <c r="A5174" s="113">
        <v>100790947</v>
      </c>
      <c r="B5174" s="113" t="s">
        <v>7116</v>
      </c>
      <c r="C5174" s="113">
        <v>6990240</v>
      </c>
      <c r="D5174" s="113" t="s">
        <v>7139</v>
      </c>
      <c r="E5174" s="113" t="s">
        <v>1620</v>
      </c>
      <c r="F5174" s="113" t="s">
        <v>7139</v>
      </c>
      <c r="G5174" s="113" t="s">
        <v>7145</v>
      </c>
      <c r="H5174" s="161">
        <v>0</v>
      </c>
      <c r="I5174" s="161" t="s">
        <v>7146</v>
      </c>
    </row>
    <row r="5175" spans="1:9">
      <c r="A5175" s="113">
        <v>100790948</v>
      </c>
      <c r="B5175" s="113" t="s">
        <v>7116</v>
      </c>
      <c r="C5175" s="113">
        <v>6990241</v>
      </c>
      <c r="D5175" s="113" t="s">
        <v>7139</v>
      </c>
      <c r="E5175" s="113" t="s">
        <v>1620</v>
      </c>
      <c r="F5175" s="113" t="s">
        <v>7139</v>
      </c>
      <c r="G5175" s="113" t="s">
        <v>7145</v>
      </c>
      <c r="H5175" s="161">
        <v>0</v>
      </c>
      <c r="I5175" s="161" t="s">
        <v>7146</v>
      </c>
    </row>
    <row r="5176" spans="1:9">
      <c r="A5176" s="113">
        <v>100790949</v>
      </c>
      <c r="B5176" s="113" t="s">
        <v>7116</v>
      </c>
      <c r="C5176" s="113">
        <v>6990247</v>
      </c>
      <c r="D5176" s="113" t="s">
        <v>7139</v>
      </c>
      <c r="E5176" s="113" t="s">
        <v>1620</v>
      </c>
      <c r="F5176" s="113" t="s">
        <v>7139</v>
      </c>
      <c r="G5176" s="113" t="s">
        <v>7145</v>
      </c>
      <c r="H5176" s="161">
        <v>0</v>
      </c>
      <c r="I5176" s="161" t="s">
        <v>7146</v>
      </c>
    </row>
    <row r="5177" spans="1:9">
      <c r="A5177" s="113">
        <v>100790950</v>
      </c>
      <c r="B5177" s="113" t="s">
        <v>7116</v>
      </c>
      <c r="C5177" s="113">
        <v>6990248</v>
      </c>
      <c r="D5177" s="113" t="s">
        <v>7139</v>
      </c>
      <c r="E5177" s="113" t="s">
        <v>1620</v>
      </c>
      <c r="F5177" s="113" t="s">
        <v>7139</v>
      </c>
      <c r="G5177" s="113" t="s">
        <v>7145</v>
      </c>
      <c r="H5177" s="161">
        <v>0</v>
      </c>
      <c r="I5177" s="161" t="s">
        <v>7146</v>
      </c>
    </row>
    <row r="5178" spans="1:9">
      <c r="A5178" s="113">
        <v>100790951</v>
      </c>
      <c r="B5178" s="113" t="s">
        <v>7116</v>
      </c>
      <c r="C5178" s="113">
        <v>6990249</v>
      </c>
      <c r="D5178" s="113" t="s">
        <v>7139</v>
      </c>
      <c r="E5178" s="113" t="s">
        <v>1620</v>
      </c>
      <c r="F5178" s="113" t="s">
        <v>7139</v>
      </c>
      <c r="G5178" s="113" t="s">
        <v>7145</v>
      </c>
      <c r="H5178" s="161">
        <v>0</v>
      </c>
      <c r="I5178" s="161" t="s">
        <v>7146</v>
      </c>
    </row>
    <row r="5179" spans="1:9">
      <c r="A5179" s="113">
        <v>100790952</v>
      </c>
      <c r="B5179" s="113" t="s">
        <v>7116</v>
      </c>
      <c r="C5179" s="113">
        <v>6990250</v>
      </c>
      <c r="D5179" s="113" t="s">
        <v>7139</v>
      </c>
      <c r="E5179" s="113" t="s">
        <v>1620</v>
      </c>
      <c r="F5179" s="113" t="s">
        <v>7139</v>
      </c>
      <c r="G5179" s="113" t="s">
        <v>7145</v>
      </c>
      <c r="H5179" s="161">
        <v>0</v>
      </c>
      <c r="I5179" s="161" t="s">
        <v>7146</v>
      </c>
    </row>
    <row r="5180" spans="1:9">
      <c r="A5180" s="113">
        <v>100790953</v>
      </c>
      <c r="B5180" s="113" t="s">
        <v>7116</v>
      </c>
      <c r="C5180" s="113">
        <v>6990251</v>
      </c>
      <c r="D5180" s="113" t="s">
        <v>7139</v>
      </c>
      <c r="E5180" s="113" t="s">
        <v>1620</v>
      </c>
      <c r="F5180" s="113" t="s">
        <v>7139</v>
      </c>
      <c r="G5180" s="113" t="s">
        <v>7145</v>
      </c>
      <c r="H5180" s="161">
        <v>0</v>
      </c>
      <c r="I5180" s="161" t="s">
        <v>7146</v>
      </c>
    </row>
    <row r="5181" spans="1:9">
      <c r="A5181" s="113">
        <v>100790954</v>
      </c>
      <c r="B5181" s="113" t="s">
        <v>7116</v>
      </c>
      <c r="C5181" s="113">
        <v>6990252</v>
      </c>
      <c r="D5181" s="113" t="s">
        <v>7139</v>
      </c>
      <c r="E5181" s="113" t="s">
        <v>1620</v>
      </c>
      <c r="F5181" s="113" t="s">
        <v>7139</v>
      </c>
      <c r="G5181" s="113" t="s">
        <v>7145</v>
      </c>
      <c r="H5181" s="161">
        <v>0</v>
      </c>
      <c r="I5181" s="161" t="s">
        <v>7146</v>
      </c>
    </row>
    <row r="5182" spans="1:9">
      <c r="A5182" s="113">
        <v>100790955</v>
      </c>
      <c r="B5182" s="113" t="s">
        <v>7116</v>
      </c>
      <c r="C5182" s="113">
        <v>6990253</v>
      </c>
      <c r="D5182" s="113" t="s">
        <v>7139</v>
      </c>
      <c r="E5182" s="113" t="s">
        <v>1620</v>
      </c>
      <c r="F5182" s="113" t="s">
        <v>7139</v>
      </c>
      <c r="G5182" s="113" t="s">
        <v>7145</v>
      </c>
      <c r="H5182" s="161">
        <v>0</v>
      </c>
      <c r="I5182" s="161" t="s">
        <v>7146</v>
      </c>
    </row>
    <row r="5183" spans="1:9">
      <c r="A5183" s="113">
        <v>100790956</v>
      </c>
      <c r="B5183" s="113" t="s">
        <v>7116</v>
      </c>
      <c r="C5183" s="113">
        <v>6990255</v>
      </c>
      <c r="D5183" s="113" t="s">
        <v>7139</v>
      </c>
      <c r="E5183" s="113" t="s">
        <v>1620</v>
      </c>
      <c r="F5183" s="113" t="s">
        <v>7139</v>
      </c>
      <c r="G5183" s="113" t="s">
        <v>7145</v>
      </c>
      <c r="H5183" s="161">
        <v>0</v>
      </c>
      <c r="I5183" s="161" t="s">
        <v>7146</v>
      </c>
    </row>
    <row r="5184" spans="1:9">
      <c r="A5184" s="113">
        <v>100790957</v>
      </c>
      <c r="B5184" s="113" t="s">
        <v>7116</v>
      </c>
      <c r="C5184" s="113">
        <v>6990256</v>
      </c>
      <c r="D5184" s="113" t="s">
        <v>7139</v>
      </c>
      <c r="E5184" s="113" t="s">
        <v>1620</v>
      </c>
      <c r="F5184" s="113" t="s">
        <v>7139</v>
      </c>
      <c r="G5184" s="113" t="s">
        <v>7145</v>
      </c>
      <c r="H5184" s="161">
        <v>0</v>
      </c>
      <c r="I5184" s="161" t="s">
        <v>7146</v>
      </c>
    </row>
    <row r="5185" spans="1:9">
      <c r="A5185" s="113">
        <v>100790958</v>
      </c>
      <c r="B5185" s="113" t="s">
        <v>7116</v>
      </c>
      <c r="C5185" s="113">
        <v>6990257</v>
      </c>
      <c r="D5185" s="113" t="s">
        <v>7139</v>
      </c>
      <c r="E5185" s="113" t="s">
        <v>1620</v>
      </c>
      <c r="F5185" s="113" t="s">
        <v>7139</v>
      </c>
      <c r="G5185" s="113" t="s">
        <v>7145</v>
      </c>
      <c r="H5185" s="161">
        <v>0</v>
      </c>
      <c r="I5185" s="161" t="s">
        <v>7146</v>
      </c>
    </row>
    <row r="5186" spans="1:9">
      <c r="A5186" s="113">
        <v>100790959</v>
      </c>
      <c r="B5186" s="113" t="s">
        <v>7116</v>
      </c>
      <c r="C5186" s="113">
        <v>6990258</v>
      </c>
      <c r="D5186" s="113" t="s">
        <v>7139</v>
      </c>
      <c r="E5186" s="113" t="s">
        <v>1620</v>
      </c>
      <c r="F5186" s="113" t="s">
        <v>7139</v>
      </c>
      <c r="G5186" s="113" t="s">
        <v>7145</v>
      </c>
      <c r="H5186" s="161">
        <v>0</v>
      </c>
      <c r="I5186" s="161" t="s">
        <v>7146</v>
      </c>
    </row>
    <row r="5187" spans="1:9">
      <c r="A5187" s="113">
        <v>100790960</v>
      </c>
      <c r="B5187" s="113" t="s">
        <v>7116</v>
      </c>
      <c r="C5187" s="113">
        <v>6990263</v>
      </c>
      <c r="D5187" s="113" t="s">
        <v>7139</v>
      </c>
      <c r="E5187" s="113" t="s">
        <v>1620</v>
      </c>
      <c r="F5187" s="113" t="s">
        <v>7139</v>
      </c>
      <c r="G5187" s="113" t="s">
        <v>7145</v>
      </c>
      <c r="H5187" s="161">
        <v>0</v>
      </c>
      <c r="I5187" s="161" t="s">
        <v>7146</v>
      </c>
    </row>
    <row r="5188" spans="1:9">
      <c r="A5188" s="113">
        <v>100790961</v>
      </c>
      <c r="B5188" s="113" t="s">
        <v>7116</v>
      </c>
      <c r="C5188" s="113">
        <v>6990270</v>
      </c>
      <c r="D5188" s="113" t="s">
        <v>7139</v>
      </c>
      <c r="E5188" s="113" t="s">
        <v>1620</v>
      </c>
      <c r="F5188" s="113" t="s">
        <v>7139</v>
      </c>
      <c r="G5188" s="113" t="s">
        <v>7145</v>
      </c>
      <c r="H5188" s="161">
        <v>0</v>
      </c>
      <c r="I5188" s="161" t="s">
        <v>7146</v>
      </c>
    </row>
    <row r="5189" spans="1:9">
      <c r="A5189" s="113">
        <v>100790962</v>
      </c>
      <c r="B5189" s="113" t="s">
        <v>7116</v>
      </c>
      <c r="C5189" s="113">
        <v>6990271</v>
      </c>
      <c r="D5189" s="113" t="s">
        <v>7139</v>
      </c>
      <c r="E5189" s="113" t="s">
        <v>1620</v>
      </c>
      <c r="F5189" s="113" t="s">
        <v>7139</v>
      </c>
      <c r="G5189" s="113" t="s">
        <v>7145</v>
      </c>
      <c r="H5189" s="161">
        <v>0</v>
      </c>
      <c r="I5189" s="161" t="s">
        <v>7146</v>
      </c>
    </row>
    <row r="5190" spans="1:9">
      <c r="A5190" s="113">
        <v>100790963</v>
      </c>
      <c r="B5190" s="113" t="s">
        <v>7116</v>
      </c>
      <c r="C5190" s="113">
        <v>6990272</v>
      </c>
      <c r="D5190" s="113" t="s">
        <v>7139</v>
      </c>
      <c r="E5190" s="113" t="s">
        <v>1620</v>
      </c>
      <c r="F5190" s="113" t="s">
        <v>7139</v>
      </c>
      <c r="G5190" s="113" t="s">
        <v>7145</v>
      </c>
      <c r="H5190" s="161">
        <v>0</v>
      </c>
      <c r="I5190" s="161" t="s">
        <v>7146</v>
      </c>
    </row>
    <row r="5191" spans="1:9">
      <c r="A5191" s="113">
        <v>100790964</v>
      </c>
      <c r="B5191" s="113" t="s">
        <v>7116</v>
      </c>
      <c r="C5191" s="113">
        <v>6990274</v>
      </c>
      <c r="D5191" s="113" t="s">
        <v>7139</v>
      </c>
      <c r="E5191" s="113" t="s">
        <v>1620</v>
      </c>
      <c r="F5191" s="113" t="s">
        <v>7139</v>
      </c>
      <c r="G5191" s="113" t="s">
        <v>7145</v>
      </c>
      <c r="H5191" s="161">
        <v>0</v>
      </c>
      <c r="I5191" s="161" t="s">
        <v>7146</v>
      </c>
    </row>
    <row r="5192" spans="1:9">
      <c r="A5192" s="113">
        <v>100790965</v>
      </c>
      <c r="B5192" s="113" t="s">
        <v>7116</v>
      </c>
      <c r="C5192" s="113">
        <v>6990275</v>
      </c>
      <c r="D5192" s="113" t="s">
        <v>7139</v>
      </c>
      <c r="E5192" s="113" t="s">
        <v>1620</v>
      </c>
      <c r="F5192" s="113" t="s">
        <v>7139</v>
      </c>
      <c r="G5192" s="113" t="s">
        <v>7145</v>
      </c>
      <c r="H5192" s="161">
        <v>0</v>
      </c>
      <c r="I5192" s="161" t="s">
        <v>7146</v>
      </c>
    </row>
    <row r="5193" spans="1:9">
      <c r="A5193" s="113">
        <v>100790966</v>
      </c>
      <c r="B5193" s="113" t="s">
        <v>7116</v>
      </c>
      <c r="C5193" s="113">
        <v>6990276</v>
      </c>
      <c r="D5193" s="113" t="s">
        <v>7139</v>
      </c>
      <c r="E5193" s="113" t="s">
        <v>1620</v>
      </c>
      <c r="F5193" s="113" t="s">
        <v>7139</v>
      </c>
      <c r="G5193" s="113" t="s">
        <v>7145</v>
      </c>
      <c r="H5193" s="161">
        <v>0</v>
      </c>
      <c r="I5193" s="161" t="s">
        <v>7146</v>
      </c>
    </row>
    <row r="5194" spans="1:9">
      <c r="A5194" s="113">
        <v>100790967</v>
      </c>
      <c r="B5194" s="113" t="s">
        <v>7116</v>
      </c>
      <c r="C5194" s="113">
        <v>6990277</v>
      </c>
      <c r="D5194" s="113" t="s">
        <v>7139</v>
      </c>
      <c r="E5194" s="113" t="s">
        <v>1620</v>
      </c>
      <c r="F5194" s="113" t="s">
        <v>7139</v>
      </c>
      <c r="G5194" s="113" t="s">
        <v>7145</v>
      </c>
      <c r="H5194" s="161">
        <v>0</v>
      </c>
      <c r="I5194" s="161" t="s">
        <v>7146</v>
      </c>
    </row>
    <row r="5195" spans="1:9">
      <c r="A5195" s="113">
        <v>100790968</v>
      </c>
      <c r="B5195" s="113" t="s">
        <v>7116</v>
      </c>
      <c r="C5195" s="113">
        <v>6990278</v>
      </c>
      <c r="D5195" s="113" t="s">
        <v>7139</v>
      </c>
      <c r="E5195" s="113" t="s">
        <v>1620</v>
      </c>
      <c r="F5195" s="113" t="s">
        <v>7139</v>
      </c>
      <c r="G5195" s="113" t="s">
        <v>7145</v>
      </c>
      <c r="H5195" s="161">
        <v>0</v>
      </c>
      <c r="I5195" s="161" t="s">
        <v>7146</v>
      </c>
    </row>
    <row r="5196" spans="1:9">
      <c r="A5196" s="113">
        <v>100790969</v>
      </c>
      <c r="B5196" s="113" t="s">
        <v>7116</v>
      </c>
      <c r="C5196" s="113">
        <v>6990279</v>
      </c>
      <c r="D5196" s="113" t="s">
        <v>7139</v>
      </c>
      <c r="E5196" s="113" t="s">
        <v>1620</v>
      </c>
      <c r="F5196" s="113" t="s">
        <v>7139</v>
      </c>
      <c r="G5196" s="113" t="s">
        <v>7145</v>
      </c>
      <c r="H5196" s="161">
        <v>0</v>
      </c>
      <c r="I5196" s="161" t="s">
        <v>7146</v>
      </c>
    </row>
    <row r="5197" spans="1:9">
      <c r="A5197" s="113">
        <v>100790970</v>
      </c>
      <c r="B5197" s="113" t="s">
        <v>7116</v>
      </c>
      <c r="C5197" s="113">
        <v>6990282</v>
      </c>
      <c r="D5197" s="113" t="s">
        <v>7139</v>
      </c>
      <c r="E5197" s="113" t="s">
        <v>1620</v>
      </c>
      <c r="F5197" s="113" t="s">
        <v>7139</v>
      </c>
      <c r="G5197" s="113" t="s">
        <v>7145</v>
      </c>
      <c r="H5197" s="161">
        <v>0</v>
      </c>
      <c r="I5197" s="161" t="s">
        <v>7146</v>
      </c>
    </row>
    <row r="5198" spans="1:9">
      <c r="A5198" s="113">
        <v>100790971</v>
      </c>
      <c r="B5198" s="113" t="s">
        <v>7116</v>
      </c>
      <c r="C5198" s="113">
        <v>6990283</v>
      </c>
      <c r="D5198" s="113" t="s">
        <v>7139</v>
      </c>
      <c r="E5198" s="113" t="s">
        <v>1620</v>
      </c>
      <c r="F5198" s="113" t="s">
        <v>7139</v>
      </c>
      <c r="G5198" s="113" t="s">
        <v>7145</v>
      </c>
      <c r="H5198" s="161">
        <v>0</v>
      </c>
      <c r="I5198" s="161" t="s">
        <v>7146</v>
      </c>
    </row>
    <row r="5199" spans="1:9">
      <c r="A5199" s="113">
        <v>100790972</v>
      </c>
      <c r="B5199" s="113" t="s">
        <v>7116</v>
      </c>
      <c r="C5199" s="113">
        <v>6990284</v>
      </c>
      <c r="D5199" s="113" t="s">
        <v>7139</v>
      </c>
      <c r="E5199" s="113" t="s">
        <v>1620</v>
      </c>
      <c r="F5199" s="113" t="s">
        <v>7139</v>
      </c>
      <c r="G5199" s="113" t="s">
        <v>7145</v>
      </c>
      <c r="H5199" s="161">
        <v>0</v>
      </c>
      <c r="I5199" s="161" t="s">
        <v>7146</v>
      </c>
    </row>
    <row r="5200" spans="1:9">
      <c r="A5200" s="113">
        <v>100790973</v>
      </c>
      <c r="B5200" s="113" t="s">
        <v>7116</v>
      </c>
      <c r="C5200" s="113">
        <v>6990285</v>
      </c>
      <c r="D5200" s="113" t="s">
        <v>7139</v>
      </c>
      <c r="E5200" s="113" t="s">
        <v>1620</v>
      </c>
      <c r="F5200" s="113" t="s">
        <v>7139</v>
      </c>
      <c r="G5200" s="113" t="s">
        <v>7145</v>
      </c>
      <c r="H5200" s="161">
        <v>0</v>
      </c>
      <c r="I5200" s="161" t="s">
        <v>7146</v>
      </c>
    </row>
    <row r="5201" spans="1:9">
      <c r="A5201" s="113">
        <v>100790974</v>
      </c>
      <c r="B5201" s="113" t="s">
        <v>7116</v>
      </c>
      <c r="C5201" s="113">
        <v>6990286</v>
      </c>
      <c r="D5201" s="113" t="s">
        <v>7139</v>
      </c>
      <c r="E5201" s="113" t="s">
        <v>1620</v>
      </c>
      <c r="F5201" s="113" t="s">
        <v>7139</v>
      </c>
      <c r="G5201" s="113" t="s">
        <v>7145</v>
      </c>
      <c r="H5201" s="161">
        <v>0</v>
      </c>
      <c r="I5201" s="161" t="s">
        <v>7146</v>
      </c>
    </row>
    <row r="5202" spans="1:9">
      <c r="A5202" s="113">
        <v>100790976</v>
      </c>
      <c r="B5202" s="113" t="s">
        <v>7116</v>
      </c>
      <c r="C5202" s="113">
        <v>6990288</v>
      </c>
      <c r="D5202" s="113" t="s">
        <v>7139</v>
      </c>
      <c r="E5202" s="113" t="s">
        <v>1620</v>
      </c>
      <c r="F5202" s="113" t="s">
        <v>7139</v>
      </c>
      <c r="G5202" s="113" t="s">
        <v>7145</v>
      </c>
      <c r="H5202" s="161">
        <v>0</v>
      </c>
      <c r="I5202" s="161" t="s">
        <v>7146</v>
      </c>
    </row>
    <row r="5203" spans="1:9">
      <c r="A5203" s="113">
        <v>100790977</v>
      </c>
      <c r="B5203" s="113" t="s">
        <v>7116</v>
      </c>
      <c r="C5203" s="113">
        <v>6990292</v>
      </c>
      <c r="D5203" s="113" t="s">
        <v>7139</v>
      </c>
      <c r="E5203" s="113" t="s">
        <v>1620</v>
      </c>
      <c r="F5203" s="113" t="s">
        <v>7139</v>
      </c>
      <c r="G5203" s="113" t="s">
        <v>7145</v>
      </c>
      <c r="H5203" s="161">
        <v>0</v>
      </c>
      <c r="I5203" s="161" t="s">
        <v>7146</v>
      </c>
    </row>
    <row r="5204" spans="1:9">
      <c r="A5204" s="113">
        <v>100790979</v>
      </c>
      <c r="B5204" s="113" t="s">
        <v>7116</v>
      </c>
      <c r="C5204" s="113">
        <v>6990294</v>
      </c>
      <c r="D5204" s="113" t="s">
        <v>7139</v>
      </c>
      <c r="E5204" s="113" t="s">
        <v>1620</v>
      </c>
      <c r="F5204" s="113" t="s">
        <v>7139</v>
      </c>
      <c r="G5204" s="113" t="s">
        <v>7145</v>
      </c>
      <c r="H5204" s="161">
        <v>0</v>
      </c>
      <c r="I5204" s="161" t="s">
        <v>7146</v>
      </c>
    </row>
    <row r="5205" spans="1:9">
      <c r="A5205" s="113">
        <v>100790980</v>
      </c>
      <c r="B5205" s="113" t="s">
        <v>7116</v>
      </c>
      <c r="C5205" s="113">
        <v>6990295</v>
      </c>
      <c r="D5205" s="113" t="s">
        <v>7139</v>
      </c>
      <c r="E5205" s="113" t="s">
        <v>1620</v>
      </c>
      <c r="F5205" s="113" t="s">
        <v>7139</v>
      </c>
      <c r="G5205" s="113" t="s">
        <v>7145</v>
      </c>
      <c r="H5205" s="161">
        <v>0</v>
      </c>
      <c r="I5205" s="161" t="s">
        <v>7146</v>
      </c>
    </row>
    <row r="5206" spans="1:9">
      <c r="A5206" s="113">
        <v>100790981</v>
      </c>
      <c r="B5206" s="113" t="s">
        <v>7116</v>
      </c>
      <c r="C5206" s="113">
        <v>6990296</v>
      </c>
      <c r="D5206" s="113" t="s">
        <v>7139</v>
      </c>
      <c r="E5206" s="113" t="s">
        <v>1620</v>
      </c>
      <c r="F5206" s="113" t="s">
        <v>7139</v>
      </c>
      <c r="G5206" s="113" t="s">
        <v>7145</v>
      </c>
      <c r="H5206" s="161">
        <v>0</v>
      </c>
      <c r="I5206" s="161" t="s">
        <v>7146</v>
      </c>
    </row>
    <row r="5207" spans="1:9">
      <c r="A5207" s="113">
        <v>100790982</v>
      </c>
      <c r="B5207" s="113" t="s">
        <v>7116</v>
      </c>
      <c r="C5207" s="113">
        <v>6990297</v>
      </c>
      <c r="D5207" s="113" t="s">
        <v>7139</v>
      </c>
      <c r="E5207" s="113" t="s">
        <v>1620</v>
      </c>
      <c r="F5207" s="113" t="s">
        <v>7139</v>
      </c>
      <c r="G5207" s="113" t="s">
        <v>7145</v>
      </c>
      <c r="H5207" s="161">
        <v>0</v>
      </c>
      <c r="I5207" s="161" t="s">
        <v>7146</v>
      </c>
    </row>
    <row r="5208" spans="1:9">
      <c r="A5208" s="113">
        <v>100790983</v>
      </c>
      <c r="B5208" s="113" t="s">
        <v>7116</v>
      </c>
      <c r="C5208" s="113">
        <v>6990298</v>
      </c>
      <c r="D5208" s="113" t="s">
        <v>7139</v>
      </c>
      <c r="E5208" s="113" t="s">
        <v>1620</v>
      </c>
      <c r="F5208" s="113" t="s">
        <v>7139</v>
      </c>
      <c r="G5208" s="113" t="s">
        <v>7145</v>
      </c>
      <c r="H5208" s="161">
        <v>0</v>
      </c>
      <c r="I5208" s="161" t="s">
        <v>7146</v>
      </c>
    </row>
    <row r="5209" spans="1:9">
      <c r="A5209" s="113">
        <v>100790984</v>
      </c>
      <c r="B5209" s="113" t="s">
        <v>7116</v>
      </c>
      <c r="C5209" s="113">
        <v>6990299</v>
      </c>
      <c r="D5209" s="113" t="s">
        <v>7139</v>
      </c>
      <c r="E5209" s="113" t="s">
        <v>1620</v>
      </c>
      <c r="F5209" s="113" t="s">
        <v>7139</v>
      </c>
      <c r="G5209" s="113" t="s">
        <v>7145</v>
      </c>
      <c r="H5209" s="161">
        <v>0</v>
      </c>
      <c r="I5209" s="161" t="s">
        <v>7146</v>
      </c>
    </row>
    <row r="5210" spans="1:9">
      <c r="A5210" s="113">
        <v>100790986</v>
      </c>
      <c r="B5210" s="113" t="s">
        <v>7116</v>
      </c>
      <c r="C5210" s="113">
        <v>6990301</v>
      </c>
      <c r="D5210" s="113" t="s">
        <v>7139</v>
      </c>
      <c r="E5210" s="113" t="s">
        <v>1620</v>
      </c>
      <c r="F5210" s="113" t="s">
        <v>7139</v>
      </c>
      <c r="G5210" s="113" t="s">
        <v>7145</v>
      </c>
      <c r="H5210" s="161">
        <v>0</v>
      </c>
      <c r="I5210" s="161" t="s">
        <v>7146</v>
      </c>
    </row>
    <row r="5211" spans="1:9">
      <c r="A5211" s="113">
        <v>100790987</v>
      </c>
      <c r="B5211" s="113" t="s">
        <v>7116</v>
      </c>
      <c r="C5211" s="113">
        <v>6990304</v>
      </c>
      <c r="D5211" s="113" t="s">
        <v>7139</v>
      </c>
      <c r="E5211" s="113" t="s">
        <v>1620</v>
      </c>
      <c r="F5211" s="113" t="s">
        <v>7139</v>
      </c>
      <c r="G5211" s="113" t="s">
        <v>7145</v>
      </c>
      <c r="H5211" s="161">
        <v>0</v>
      </c>
      <c r="I5211" s="161" t="s">
        <v>7146</v>
      </c>
    </row>
    <row r="5212" spans="1:9">
      <c r="A5212" s="113">
        <v>100790988</v>
      </c>
      <c r="B5212" s="113" t="s">
        <v>7116</v>
      </c>
      <c r="C5212" s="113">
        <v>6990305</v>
      </c>
      <c r="D5212" s="113" t="s">
        <v>7139</v>
      </c>
      <c r="E5212" s="113" t="s">
        <v>1620</v>
      </c>
      <c r="F5212" s="113" t="s">
        <v>7139</v>
      </c>
      <c r="G5212" s="113" t="s">
        <v>7145</v>
      </c>
      <c r="H5212" s="161">
        <v>0</v>
      </c>
      <c r="I5212" s="161" t="s">
        <v>7146</v>
      </c>
    </row>
    <row r="5213" spans="1:9">
      <c r="A5213" s="113">
        <v>100790989</v>
      </c>
      <c r="B5213" s="113" t="s">
        <v>7116</v>
      </c>
      <c r="C5213" s="113">
        <v>6990306</v>
      </c>
      <c r="D5213" s="113" t="s">
        <v>7139</v>
      </c>
      <c r="E5213" s="113" t="s">
        <v>1620</v>
      </c>
      <c r="F5213" s="113" t="s">
        <v>7139</v>
      </c>
      <c r="G5213" s="113" t="s">
        <v>7145</v>
      </c>
      <c r="H5213" s="161">
        <v>0</v>
      </c>
      <c r="I5213" s="161" t="s">
        <v>7146</v>
      </c>
    </row>
    <row r="5214" spans="1:9">
      <c r="A5214" s="113">
        <v>100790990</v>
      </c>
      <c r="B5214" s="113" t="s">
        <v>7116</v>
      </c>
      <c r="C5214" s="113">
        <v>6990307</v>
      </c>
      <c r="D5214" s="113" t="s">
        <v>7139</v>
      </c>
      <c r="E5214" s="113" t="s">
        <v>1620</v>
      </c>
      <c r="F5214" s="113" t="s">
        <v>7139</v>
      </c>
      <c r="G5214" s="113" t="s">
        <v>7145</v>
      </c>
      <c r="H5214" s="161">
        <v>0</v>
      </c>
      <c r="I5214" s="161" t="s">
        <v>7146</v>
      </c>
    </row>
    <row r="5215" spans="1:9">
      <c r="A5215" s="113">
        <v>100790991</v>
      </c>
      <c r="B5215" s="113" t="s">
        <v>7116</v>
      </c>
      <c r="C5215" s="113">
        <v>6990308</v>
      </c>
      <c r="D5215" s="113" t="s">
        <v>7139</v>
      </c>
      <c r="E5215" s="113" t="s">
        <v>1620</v>
      </c>
      <c r="F5215" s="113" t="s">
        <v>7139</v>
      </c>
      <c r="G5215" s="113" t="s">
        <v>7145</v>
      </c>
      <c r="H5215" s="161">
        <v>0</v>
      </c>
      <c r="I5215" s="161" t="s">
        <v>7146</v>
      </c>
    </row>
    <row r="5216" spans="1:9">
      <c r="A5216" s="113">
        <v>100790992</v>
      </c>
      <c r="B5216" s="113" t="s">
        <v>7116</v>
      </c>
      <c r="C5216" s="113">
        <v>6990309</v>
      </c>
      <c r="D5216" s="113" t="s">
        <v>7139</v>
      </c>
      <c r="E5216" s="113" t="s">
        <v>1620</v>
      </c>
      <c r="F5216" s="113" t="s">
        <v>7139</v>
      </c>
      <c r="G5216" s="113" t="s">
        <v>7145</v>
      </c>
      <c r="H5216" s="161">
        <v>0</v>
      </c>
      <c r="I5216" s="161" t="s">
        <v>7146</v>
      </c>
    </row>
    <row r="5217" spans="1:9">
      <c r="A5217" s="113">
        <v>100790993</v>
      </c>
      <c r="B5217" s="113" t="s">
        <v>7116</v>
      </c>
      <c r="C5217" s="113">
        <v>6990310</v>
      </c>
      <c r="D5217" s="113" t="s">
        <v>7139</v>
      </c>
      <c r="E5217" s="113" t="s">
        <v>1620</v>
      </c>
      <c r="F5217" s="113" t="s">
        <v>7139</v>
      </c>
      <c r="G5217" s="113" t="s">
        <v>7145</v>
      </c>
      <c r="H5217" s="161">
        <v>0</v>
      </c>
      <c r="I5217" s="161" t="s">
        <v>7146</v>
      </c>
    </row>
    <row r="5218" spans="1:9">
      <c r="A5218" s="113">
        <v>100790994</v>
      </c>
      <c r="B5218" s="113" t="s">
        <v>7116</v>
      </c>
      <c r="C5218" s="113">
        <v>6990311</v>
      </c>
      <c r="D5218" s="113" t="s">
        <v>7139</v>
      </c>
      <c r="E5218" s="113" t="s">
        <v>1620</v>
      </c>
      <c r="F5218" s="113" t="s">
        <v>7139</v>
      </c>
      <c r="G5218" s="113" t="s">
        <v>7145</v>
      </c>
      <c r="H5218" s="161">
        <v>0</v>
      </c>
      <c r="I5218" s="161" t="s">
        <v>7146</v>
      </c>
    </row>
    <row r="5219" spans="1:9">
      <c r="A5219" s="113">
        <v>100790995</v>
      </c>
      <c r="B5219" s="113" t="s">
        <v>7116</v>
      </c>
      <c r="C5219" s="113">
        <v>6990313</v>
      </c>
      <c r="D5219" s="113" t="s">
        <v>7139</v>
      </c>
      <c r="E5219" s="113" t="s">
        <v>1620</v>
      </c>
      <c r="F5219" s="113" t="s">
        <v>7139</v>
      </c>
      <c r="G5219" s="113" t="s">
        <v>7145</v>
      </c>
      <c r="H5219" s="161">
        <v>0</v>
      </c>
      <c r="I5219" s="161" t="s">
        <v>7146</v>
      </c>
    </row>
    <row r="5220" spans="1:9">
      <c r="A5220" s="113">
        <v>100790996</v>
      </c>
      <c r="B5220" s="113" t="s">
        <v>7116</v>
      </c>
      <c r="C5220" s="113">
        <v>6990314</v>
      </c>
      <c r="D5220" s="113" t="s">
        <v>7139</v>
      </c>
      <c r="E5220" s="113" t="s">
        <v>1620</v>
      </c>
      <c r="F5220" s="113" t="s">
        <v>7139</v>
      </c>
      <c r="G5220" s="113" t="s">
        <v>7145</v>
      </c>
      <c r="H5220" s="161">
        <v>0</v>
      </c>
      <c r="I5220" s="161" t="s">
        <v>7146</v>
      </c>
    </row>
    <row r="5221" spans="1:9">
      <c r="A5221" s="113">
        <v>100790997</v>
      </c>
      <c r="B5221" s="113" t="s">
        <v>7116</v>
      </c>
      <c r="C5221" s="113">
        <v>6990315</v>
      </c>
      <c r="D5221" s="113" t="s">
        <v>7139</v>
      </c>
      <c r="E5221" s="113" t="s">
        <v>1620</v>
      </c>
      <c r="F5221" s="113" t="s">
        <v>7139</v>
      </c>
      <c r="G5221" s="113" t="s">
        <v>7145</v>
      </c>
      <c r="H5221" s="161">
        <v>0</v>
      </c>
      <c r="I5221" s="161" t="s">
        <v>7146</v>
      </c>
    </row>
    <row r="5222" spans="1:9">
      <c r="A5222" s="113">
        <v>100790998</v>
      </c>
      <c r="B5222" s="113" t="s">
        <v>7116</v>
      </c>
      <c r="C5222" s="113">
        <v>6990316</v>
      </c>
      <c r="D5222" s="113" t="s">
        <v>7139</v>
      </c>
      <c r="E5222" s="113" t="s">
        <v>1620</v>
      </c>
      <c r="F5222" s="113" t="s">
        <v>7139</v>
      </c>
      <c r="G5222" s="113" t="s">
        <v>7145</v>
      </c>
      <c r="H5222" s="161">
        <v>0</v>
      </c>
      <c r="I5222" s="161" t="s">
        <v>7146</v>
      </c>
    </row>
    <row r="5223" spans="1:9">
      <c r="A5223" s="113">
        <v>100790999</v>
      </c>
      <c r="B5223" s="113" t="s">
        <v>7116</v>
      </c>
      <c r="C5223" s="113">
        <v>6990317</v>
      </c>
      <c r="D5223" s="113" t="s">
        <v>7139</v>
      </c>
      <c r="E5223" s="113" t="s">
        <v>1620</v>
      </c>
      <c r="F5223" s="113" t="s">
        <v>7139</v>
      </c>
      <c r="G5223" s="113" t="s">
        <v>7145</v>
      </c>
      <c r="H5223" s="161">
        <v>0</v>
      </c>
      <c r="I5223" s="161" t="s">
        <v>7146</v>
      </c>
    </row>
    <row r="5224" spans="1:9">
      <c r="A5224" s="113">
        <v>100791000</v>
      </c>
      <c r="B5224" s="113" t="s">
        <v>7116</v>
      </c>
      <c r="C5224" s="113">
        <v>6990318</v>
      </c>
      <c r="D5224" s="113" t="s">
        <v>7139</v>
      </c>
      <c r="E5224" s="113" t="s">
        <v>1620</v>
      </c>
      <c r="F5224" s="113" t="s">
        <v>7139</v>
      </c>
      <c r="G5224" s="113" t="s">
        <v>7145</v>
      </c>
      <c r="H5224" s="161">
        <v>0</v>
      </c>
      <c r="I5224" s="161" t="s">
        <v>7146</v>
      </c>
    </row>
    <row r="5225" spans="1:9">
      <c r="A5225" s="113">
        <v>100791001</v>
      </c>
      <c r="B5225" s="113" t="s">
        <v>7116</v>
      </c>
      <c r="C5225" s="113">
        <v>6990319</v>
      </c>
      <c r="D5225" s="113" t="s">
        <v>7139</v>
      </c>
      <c r="E5225" s="113" t="s">
        <v>1620</v>
      </c>
      <c r="F5225" s="113" t="s">
        <v>7139</v>
      </c>
      <c r="G5225" s="113" t="s">
        <v>7145</v>
      </c>
      <c r="H5225" s="161">
        <v>0</v>
      </c>
      <c r="I5225" s="161" t="s">
        <v>7146</v>
      </c>
    </row>
    <row r="5226" spans="1:9">
      <c r="A5226" s="113">
        <v>100791002</v>
      </c>
      <c r="B5226" s="113" t="s">
        <v>7116</v>
      </c>
      <c r="C5226" s="113">
        <v>6990320</v>
      </c>
      <c r="D5226" s="113" t="s">
        <v>7139</v>
      </c>
      <c r="E5226" s="113" t="s">
        <v>1620</v>
      </c>
      <c r="F5226" s="113" t="s">
        <v>7139</v>
      </c>
      <c r="G5226" s="113" t="s">
        <v>7145</v>
      </c>
      <c r="H5226" s="161">
        <v>0</v>
      </c>
      <c r="I5226" s="161" t="s">
        <v>7146</v>
      </c>
    </row>
    <row r="5227" spans="1:9">
      <c r="A5227" s="113">
        <v>100791003</v>
      </c>
      <c r="B5227" s="113" t="s">
        <v>7116</v>
      </c>
      <c r="C5227" s="113">
        <v>6990321</v>
      </c>
      <c r="D5227" s="113" t="s">
        <v>7139</v>
      </c>
      <c r="E5227" s="113" t="s">
        <v>1620</v>
      </c>
      <c r="F5227" s="113" t="s">
        <v>7139</v>
      </c>
      <c r="G5227" s="113" t="s">
        <v>7145</v>
      </c>
      <c r="H5227" s="161">
        <v>0</v>
      </c>
      <c r="I5227" s="161" t="s">
        <v>7146</v>
      </c>
    </row>
    <row r="5228" spans="1:9">
      <c r="A5228" s="113">
        <v>100791004</v>
      </c>
      <c r="B5228" s="113" t="s">
        <v>7116</v>
      </c>
      <c r="C5228" s="113">
        <v>6990322</v>
      </c>
      <c r="D5228" s="113" t="s">
        <v>7139</v>
      </c>
      <c r="E5228" s="113" t="s">
        <v>1620</v>
      </c>
      <c r="F5228" s="113" t="s">
        <v>7139</v>
      </c>
      <c r="G5228" s="113" t="s">
        <v>7145</v>
      </c>
      <c r="H5228" s="161">
        <v>0</v>
      </c>
      <c r="I5228" s="161" t="s">
        <v>7146</v>
      </c>
    </row>
    <row r="5229" spans="1:9">
      <c r="A5229" s="113">
        <v>100791005</v>
      </c>
      <c r="B5229" s="113" t="s">
        <v>7116</v>
      </c>
      <c r="C5229" s="113">
        <v>6990323</v>
      </c>
      <c r="D5229" s="113" t="s">
        <v>7139</v>
      </c>
      <c r="E5229" s="113" t="s">
        <v>1620</v>
      </c>
      <c r="F5229" s="113" t="s">
        <v>7139</v>
      </c>
      <c r="G5229" s="113" t="s">
        <v>7145</v>
      </c>
      <c r="H5229" s="161">
        <v>0</v>
      </c>
      <c r="I5229" s="161" t="s">
        <v>7146</v>
      </c>
    </row>
    <row r="5230" spans="1:9">
      <c r="A5230" s="113">
        <v>100791006</v>
      </c>
      <c r="B5230" s="113" t="s">
        <v>7116</v>
      </c>
      <c r="C5230" s="113">
        <v>6990324</v>
      </c>
      <c r="D5230" s="113" t="s">
        <v>7139</v>
      </c>
      <c r="E5230" s="113" t="s">
        <v>1620</v>
      </c>
      <c r="F5230" s="113" t="s">
        <v>7139</v>
      </c>
      <c r="G5230" s="113" t="s">
        <v>7145</v>
      </c>
      <c r="H5230" s="161">
        <v>0</v>
      </c>
      <c r="I5230" s="161" t="s">
        <v>7146</v>
      </c>
    </row>
    <row r="5231" spans="1:9">
      <c r="A5231" s="113">
        <v>100791007</v>
      </c>
      <c r="B5231" s="113" t="s">
        <v>7116</v>
      </c>
      <c r="C5231" s="113">
        <v>6990325</v>
      </c>
      <c r="D5231" s="113" t="s">
        <v>7139</v>
      </c>
      <c r="E5231" s="113" t="s">
        <v>1620</v>
      </c>
      <c r="F5231" s="113" t="s">
        <v>7139</v>
      </c>
      <c r="G5231" s="113" t="s">
        <v>7145</v>
      </c>
      <c r="H5231" s="161">
        <v>0</v>
      </c>
      <c r="I5231" s="161" t="s">
        <v>7146</v>
      </c>
    </row>
    <row r="5232" spans="1:9">
      <c r="A5232" s="113">
        <v>100791008</v>
      </c>
      <c r="B5232" s="113" t="s">
        <v>7116</v>
      </c>
      <c r="C5232" s="113">
        <v>6990326</v>
      </c>
      <c r="D5232" s="113" t="s">
        <v>7139</v>
      </c>
      <c r="E5232" s="113" t="s">
        <v>1620</v>
      </c>
      <c r="F5232" s="113" t="s">
        <v>7139</v>
      </c>
      <c r="G5232" s="113" t="s">
        <v>7145</v>
      </c>
      <c r="H5232" s="161">
        <v>0</v>
      </c>
      <c r="I5232" s="161" t="s">
        <v>7146</v>
      </c>
    </row>
    <row r="5233" spans="1:9">
      <c r="A5233" s="113">
        <v>100791009</v>
      </c>
      <c r="B5233" s="113" t="s">
        <v>7116</v>
      </c>
      <c r="C5233" s="113">
        <v>6990327</v>
      </c>
      <c r="D5233" s="113" t="s">
        <v>7139</v>
      </c>
      <c r="E5233" s="113" t="s">
        <v>1620</v>
      </c>
      <c r="F5233" s="113" t="s">
        <v>7139</v>
      </c>
      <c r="G5233" s="113" t="s">
        <v>7145</v>
      </c>
      <c r="H5233" s="161">
        <v>0</v>
      </c>
      <c r="I5233" s="161" t="s">
        <v>7146</v>
      </c>
    </row>
    <row r="5234" spans="1:9">
      <c r="A5234" s="113">
        <v>100791010</v>
      </c>
      <c r="B5234" s="113" t="s">
        <v>7116</v>
      </c>
      <c r="C5234" s="113">
        <v>6990329</v>
      </c>
      <c r="D5234" s="113" t="s">
        <v>7139</v>
      </c>
      <c r="E5234" s="113" t="s">
        <v>1620</v>
      </c>
      <c r="F5234" s="113" t="s">
        <v>7139</v>
      </c>
      <c r="G5234" s="113" t="s">
        <v>7145</v>
      </c>
      <c r="H5234" s="161">
        <v>0</v>
      </c>
      <c r="I5234" s="161" t="s">
        <v>7146</v>
      </c>
    </row>
    <row r="5235" spans="1:9">
      <c r="A5235" s="113">
        <v>100791011</v>
      </c>
      <c r="B5235" s="113" t="s">
        <v>7116</v>
      </c>
      <c r="C5235" s="113">
        <v>6990330</v>
      </c>
      <c r="D5235" s="113" t="s">
        <v>7139</v>
      </c>
      <c r="E5235" s="113" t="s">
        <v>1620</v>
      </c>
      <c r="F5235" s="113" t="s">
        <v>7139</v>
      </c>
      <c r="G5235" s="113" t="s">
        <v>7145</v>
      </c>
      <c r="H5235" s="161">
        <v>0</v>
      </c>
      <c r="I5235" s="161" t="s">
        <v>7146</v>
      </c>
    </row>
    <row r="5236" spans="1:9">
      <c r="A5236" s="113">
        <v>100791012</v>
      </c>
      <c r="B5236" s="113" t="s">
        <v>7116</v>
      </c>
      <c r="C5236" s="113">
        <v>6990331</v>
      </c>
      <c r="D5236" s="113" t="s">
        <v>7139</v>
      </c>
      <c r="E5236" s="113" t="s">
        <v>1620</v>
      </c>
      <c r="F5236" s="113" t="s">
        <v>7139</v>
      </c>
      <c r="G5236" s="113" t="s">
        <v>7145</v>
      </c>
      <c r="H5236" s="161">
        <v>0</v>
      </c>
      <c r="I5236" s="161" t="s">
        <v>7146</v>
      </c>
    </row>
    <row r="5237" spans="1:9">
      <c r="A5237" s="113">
        <v>100791013</v>
      </c>
      <c r="B5237" s="113" t="s">
        <v>7116</v>
      </c>
      <c r="C5237" s="113">
        <v>6990332</v>
      </c>
      <c r="D5237" s="113" t="s">
        <v>7139</v>
      </c>
      <c r="E5237" s="113" t="s">
        <v>1620</v>
      </c>
      <c r="F5237" s="113" t="s">
        <v>7139</v>
      </c>
      <c r="G5237" s="113" t="s">
        <v>7145</v>
      </c>
      <c r="H5237" s="161">
        <v>0</v>
      </c>
      <c r="I5237" s="161" t="s">
        <v>7146</v>
      </c>
    </row>
    <row r="5238" spans="1:9">
      <c r="A5238" s="113">
        <v>100791014</v>
      </c>
      <c r="B5238" s="113" t="s">
        <v>7116</v>
      </c>
      <c r="C5238" s="113">
        <v>6990333</v>
      </c>
      <c r="D5238" s="113" t="s">
        <v>7139</v>
      </c>
      <c r="E5238" s="113" t="s">
        <v>1620</v>
      </c>
      <c r="F5238" s="113" t="s">
        <v>7139</v>
      </c>
      <c r="G5238" s="113" t="s">
        <v>7145</v>
      </c>
      <c r="H5238" s="161">
        <v>0</v>
      </c>
      <c r="I5238" s="161" t="s">
        <v>7146</v>
      </c>
    </row>
    <row r="5239" spans="1:9">
      <c r="A5239" s="113">
        <v>100791015</v>
      </c>
      <c r="B5239" s="113" t="s">
        <v>7116</v>
      </c>
      <c r="C5239" s="113">
        <v>6990334</v>
      </c>
      <c r="D5239" s="113" t="s">
        <v>7139</v>
      </c>
      <c r="E5239" s="113" t="s">
        <v>1620</v>
      </c>
      <c r="F5239" s="113" t="s">
        <v>7139</v>
      </c>
      <c r="G5239" s="113" t="s">
        <v>7145</v>
      </c>
      <c r="H5239" s="161">
        <v>0</v>
      </c>
      <c r="I5239" s="161" t="s">
        <v>7146</v>
      </c>
    </row>
    <row r="5240" spans="1:9">
      <c r="A5240" s="113">
        <v>100791016</v>
      </c>
      <c r="B5240" s="113" t="s">
        <v>7116</v>
      </c>
      <c r="C5240" s="113">
        <v>6990335</v>
      </c>
      <c r="D5240" s="113" t="s">
        <v>7139</v>
      </c>
      <c r="E5240" s="113" t="s">
        <v>1620</v>
      </c>
      <c r="F5240" s="113" t="s">
        <v>7139</v>
      </c>
      <c r="G5240" s="113" t="s">
        <v>7145</v>
      </c>
      <c r="H5240" s="161">
        <v>0</v>
      </c>
      <c r="I5240" s="161" t="s">
        <v>7146</v>
      </c>
    </row>
    <row r="5241" spans="1:9">
      <c r="A5241" s="113">
        <v>100791017</v>
      </c>
      <c r="B5241" s="113" t="s">
        <v>7116</v>
      </c>
      <c r="C5241" s="113">
        <v>6990336</v>
      </c>
      <c r="D5241" s="113" t="s">
        <v>7139</v>
      </c>
      <c r="E5241" s="113" t="s">
        <v>1620</v>
      </c>
      <c r="F5241" s="113" t="s">
        <v>7139</v>
      </c>
      <c r="G5241" s="113" t="s">
        <v>7145</v>
      </c>
      <c r="H5241" s="161">
        <v>0</v>
      </c>
      <c r="I5241" s="161" t="s">
        <v>7146</v>
      </c>
    </row>
    <row r="5242" spans="1:9">
      <c r="A5242" s="113">
        <v>100791018</v>
      </c>
      <c r="B5242" s="113" t="s">
        <v>7116</v>
      </c>
      <c r="C5242" s="113">
        <v>6990337</v>
      </c>
      <c r="D5242" s="113" t="s">
        <v>7139</v>
      </c>
      <c r="E5242" s="113" t="s">
        <v>1620</v>
      </c>
      <c r="F5242" s="113" t="s">
        <v>7139</v>
      </c>
      <c r="G5242" s="113" t="s">
        <v>7145</v>
      </c>
      <c r="H5242" s="161">
        <v>0</v>
      </c>
      <c r="I5242" s="161" t="s">
        <v>7146</v>
      </c>
    </row>
    <row r="5243" spans="1:9">
      <c r="A5243" s="113">
        <v>100791019</v>
      </c>
      <c r="B5243" s="113" t="s">
        <v>7116</v>
      </c>
      <c r="C5243" s="113">
        <v>6990338</v>
      </c>
      <c r="D5243" s="113" t="s">
        <v>7139</v>
      </c>
      <c r="E5243" s="113" t="s">
        <v>1620</v>
      </c>
      <c r="F5243" s="113" t="s">
        <v>7139</v>
      </c>
      <c r="G5243" s="113" t="s">
        <v>7145</v>
      </c>
      <c r="H5243" s="161">
        <v>0</v>
      </c>
      <c r="I5243" s="161" t="s">
        <v>7146</v>
      </c>
    </row>
    <row r="5244" spans="1:9">
      <c r="A5244" s="113">
        <v>100791020</v>
      </c>
      <c r="B5244" s="113" t="s">
        <v>7116</v>
      </c>
      <c r="C5244" s="113">
        <v>6990339</v>
      </c>
      <c r="D5244" s="113" t="s">
        <v>7139</v>
      </c>
      <c r="E5244" s="113" t="s">
        <v>1620</v>
      </c>
      <c r="F5244" s="113" t="s">
        <v>7139</v>
      </c>
      <c r="G5244" s="113" t="s">
        <v>7145</v>
      </c>
      <c r="H5244" s="161">
        <v>0</v>
      </c>
      <c r="I5244" s="161" t="s">
        <v>7146</v>
      </c>
    </row>
    <row r="5245" spans="1:9">
      <c r="A5245" s="113">
        <v>100791021</v>
      </c>
      <c r="B5245" s="113" t="s">
        <v>7116</v>
      </c>
      <c r="C5245" s="113">
        <v>6990340</v>
      </c>
      <c r="D5245" s="113" t="s">
        <v>7139</v>
      </c>
      <c r="E5245" s="113" t="s">
        <v>1620</v>
      </c>
      <c r="F5245" s="113" t="s">
        <v>7139</v>
      </c>
      <c r="G5245" s="113" t="s">
        <v>7145</v>
      </c>
      <c r="H5245" s="161">
        <v>0</v>
      </c>
      <c r="I5245" s="161" t="s">
        <v>7146</v>
      </c>
    </row>
    <row r="5246" spans="1:9">
      <c r="A5246" s="113">
        <v>100791022</v>
      </c>
      <c r="B5246" s="113" t="s">
        <v>7116</v>
      </c>
      <c r="C5246" s="113">
        <v>6990341</v>
      </c>
      <c r="D5246" s="113" t="s">
        <v>7139</v>
      </c>
      <c r="E5246" s="113" t="s">
        <v>1620</v>
      </c>
      <c r="F5246" s="113" t="s">
        <v>7139</v>
      </c>
      <c r="G5246" s="113" t="s">
        <v>7145</v>
      </c>
      <c r="H5246" s="161">
        <v>0</v>
      </c>
      <c r="I5246" s="161" t="s">
        <v>7146</v>
      </c>
    </row>
    <row r="5247" spans="1:9">
      <c r="A5247" s="113">
        <v>100791023</v>
      </c>
      <c r="B5247" s="113" t="s">
        <v>7116</v>
      </c>
      <c r="C5247" s="113">
        <v>6990342</v>
      </c>
      <c r="D5247" s="113" t="s">
        <v>7139</v>
      </c>
      <c r="E5247" s="113" t="s">
        <v>1620</v>
      </c>
      <c r="F5247" s="113" t="s">
        <v>7139</v>
      </c>
      <c r="G5247" s="113" t="s">
        <v>7145</v>
      </c>
      <c r="H5247" s="161">
        <v>0</v>
      </c>
      <c r="I5247" s="161" t="s">
        <v>7146</v>
      </c>
    </row>
    <row r="5248" spans="1:9">
      <c r="A5248" s="113">
        <v>100791024</v>
      </c>
      <c r="B5248" s="113" t="s">
        <v>7116</v>
      </c>
      <c r="C5248" s="113">
        <v>6990343</v>
      </c>
      <c r="D5248" s="113" t="s">
        <v>7139</v>
      </c>
      <c r="E5248" s="113" t="s">
        <v>1620</v>
      </c>
      <c r="F5248" s="113" t="s">
        <v>7139</v>
      </c>
      <c r="G5248" s="113" t="s">
        <v>7145</v>
      </c>
      <c r="H5248" s="161">
        <v>0</v>
      </c>
      <c r="I5248" s="161" t="s">
        <v>7146</v>
      </c>
    </row>
    <row r="5249" spans="1:9">
      <c r="A5249" s="113">
        <v>100791025</v>
      </c>
      <c r="B5249" s="113" t="s">
        <v>7116</v>
      </c>
      <c r="C5249" s="113">
        <v>6990344</v>
      </c>
      <c r="D5249" s="113" t="s">
        <v>7139</v>
      </c>
      <c r="E5249" s="113" t="s">
        <v>1620</v>
      </c>
      <c r="F5249" s="113" t="s">
        <v>7139</v>
      </c>
      <c r="G5249" s="113" t="s">
        <v>7145</v>
      </c>
      <c r="H5249" s="161">
        <v>0</v>
      </c>
      <c r="I5249" s="161" t="s">
        <v>7146</v>
      </c>
    </row>
    <row r="5250" spans="1:9">
      <c r="A5250" s="113">
        <v>100791026</v>
      </c>
      <c r="B5250" s="113" t="s">
        <v>7116</v>
      </c>
      <c r="C5250" s="113">
        <v>6990347</v>
      </c>
      <c r="D5250" s="113" t="s">
        <v>7139</v>
      </c>
      <c r="E5250" s="113" t="s">
        <v>1620</v>
      </c>
      <c r="F5250" s="113" t="s">
        <v>7139</v>
      </c>
      <c r="G5250" s="113" t="s">
        <v>7145</v>
      </c>
      <c r="H5250" s="161">
        <v>0</v>
      </c>
      <c r="I5250" s="161" t="s">
        <v>7146</v>
      </c>
    </row>
    <row r="5251" spans="1:9">
      <c r="A5251" s="113">
        <v>100791027</v>
      </c>
      <c r="B5251" s="113" t="s">
        <v>7116</v>
      </c>
      <c r="C5251" s="113">
        <v>6990351</v>
      </c>
      <c r="D5251" s="113" t="s">
        <v>7139</v>
      </c>
      <c r="E5251" s="113" t="s">
        <v>1620</v>
      </c>
      <c r="F5251" s="113" t="s">
        <v>7139</v>
      </c>
      <c r="G5251" s="113" t="s">
        <v>7145</v>
      </c>
      <c r="H5251" s="161">
        <v>0</v>
      </c>
      <c r="I5251" s="161" t="s">
        <v>7146</v>
      </c>
    </row>
    <row r="5252" spans="1:9">
      <c r="A5252" s="113">
        <v>100791028</v>
      </c>
      <c r="B5252" s="113" t="s">
        <v>7116</v>
      </c>
      <c r="C5252" s="113">
        <v>6990352</v>
      </c>
      <c r="D5252" s="113" t="s">
        <v>7139</v>
      </c>
      <c r="E5252" s="113" t="s">
        <v>1620</v>
      </c>
      <c r="F5252" s="113" t="s">
        <v>7139</v>
      </c>
      <c r="G5252" s="113" t="s">
        <v>7145</v>
      </c>
      <c r="H5252" s="161">
        <v>0</v>
      </c>
      <c r="I5252" s="161" t="s">
        <v>7146</v>
      </c>
    </row>
    <row r="5253" spans="1:9">
      <c r="A5253" s="113">
        <v>100791029</v>
      </c>
      <c r="B5253" s="113" t="s">
        <v>7116</v>
      </c>
      <c r="C5253" s="113">
        <v>6990353</v>
      </c>
      <c r="D5253" s="113" t="s">
        <v>7139</v>
      </c>
      <c r="E5253" s="113" t="s">
        <v>1620</v>
      </c>
      <c r="F5253" s="113" t="s">
        <v>7139</v>
      </c>
      <c r="G5253" s="113" t="s">
        <v>7145</v>
      </c>
      <c r="H5253" s="161">
        <v>0</v>
      </c>
      <c r="I5253" s="161" t="s">
        <v>7146</v>
      </c>
    </row>
    <row r="5254" spans="1:9">
      <c r="A5254" s="113">
        <v>100791030</v>
      </c>
      <c r="B5254" s="113" t="s">
        <v>7116</v>
      </c>
      <c r="C5254" s="113">
        <v>6990355</v>
      </c>
      <c r="D5254" s="113" t="s">
        <v>7139</v>
      </c>
      <c r="E5254" s="113" t="s">
        <v>1620</v>
      </c>
      <c r="F5254" s="113" t="s">
        <v>7139</v>
      </c>
      <c r="G5254" s="113" t="s">
        <v>7145</v>
      </c>
      <c r="H5254" s="161">
        <v>0</v>
      </c>
      <c r="I5254" s="161" t="s">
        <v>7146</v>
      </c>
    </row>
    <row r="5255" spans="1:9">
      <c r="A5255" s="113">
        <v>100791031</v>
      </c>
      <c r="B5255" s="113" t="s">
        <v>7116</v>
      </c>
      <c r="C5255" s="113">
        <v>6990356</v>
      </c>
      <c r="D5255" s="113" t="s">
        <v>7139</v>
      </c>
      <c r="E5255" s="113" t="s">
        <v>1620</v>
      </c>
      <c r="F5255" s="113" t="s">
        <v>7139</v>
      </c>
      <c r="G5255" s="113" t="s">
        <v>7145</v>
      </c>
      <c r="H5255" s="161">
        <v>0</v>
      </c>
      <c r="I5255" s="161" t="s">
        <v>7146</v>
      </c>
    </row>
    <row r="5256" spans="1:9">
      <c r="A5256" s="113">
        <v>100791032</v>
      </c>
      <c r="B5256" s="113" t="s">
        <v>7116</v>
      </c>
      <c r="C5256" s="113">
        <v>6990364</v>
      </c>
      <c r="D5256" s="113" t="s">
        <v>7139</v>
      </c>
      <c r="E5256" s="113" t="s">
        <v>1620</v>
      </c>
      <c r="F5256" s="113" t="s">
        <v>7139</v>
      </c>
      <c r="G5256" s="113" t="s">
        <v>7145</v>
      </c>
      <c r="H5256" s="161">
        <v>0</v>
      </c>
      <c r="I5256" s="161" t="s">
        <v>7146</v>
      </c>
    </row>
    <row r="5257" spans="1:9">
      <c r="A5257" s="113">
        <v>100791033</v>
      </c>
      <c r="B5257" s="113" t="s">
        <v>7116</v>
      </c>
      <c r="C5257" s="113">
        <v>6990365</v>
      </c>
      <c r="D5257" s="113" t="s">
        <v>7139</v>
      </c>
      <c r="E5257" s="113" t="s">
        <v>1620</v>
      </c>
      <c r="F5257" s="113" t="s">
        <v>7139</v>
      </c>
      <c r="G5257" s="113" t="s">
        <v>7145</v>
      </c>
      <c r="H5257" s="161">
        <v>0</v>
      </c>
      <c r="I5257" s="161" t="s">
        <v>7146</v>
      </c>
    </row>
    <row r="5258" spans="1:9">
      <c r="A5258" s="113">
        <v>100791034</v>
      </c>
      <c r="B5258" s="113" t="s">
        <v>7116</v>
      </c>
      <c r="C5258" s="113">
        <v>6990366</v>
      </c>
      <c r="D5258" s="113" t="s">
        <v>7139</v>
      </c>
      <c r="E5258" s="113" t="s">
        <v>1620</v>
      </c>
      <c r="F5258" s="113" t="s">
        <v>7139</v>
      </c>
      <c r="G5258" s="113" t="s">
        <v>7145</v>
      </c>
      <c r="H5258" s="161">
        <v>0</v>
      </c>
      <c r="I5258" s="161" t="s">
        <v>7146</v>
      </c>
    </row>
    <row r="5259" spans="1:9">
      <c r="A5259" s="113">
        <v>100791035</v>
      </c>
      <c r="B5259" s="113" t="s">
        <v>7116</v>
      </c>
      <c r="C5259" s="113">
        <v>6990369</v>
      </c>
      <c r="D5259" s="113" t="s">
        <v>7139</v>
      </c>
      <c r="E5259" s="113" t="s">
        <v>1620</v>
      </c>
      <c r="F5259" s="113" t="s">
        <v>7139</v>
      </c>
      <c r="G5259" s="113" t="s">
        <v>7145</v>
      </c>
      <c r="H5259" s="161">
        <v>0</v>
      </c>
      <c r="I5259" s="161" t="s">
        <v>7146</v>
      </c>
    </row>
    <row r="5260" spans="1:9">
      <c r="A5260" s="113">
        <v>100791036</v>
      </c>
      <c r="B5260" s="113" t="s">
        <v>7116</v>
      </c>
      <c r="C5260" s="113">
        <v>6990370</v>
      </c>
      <c r="D5260" s="113" t="s">
        <v>7139</v>
      </c>
      <c r="E5260" s="113" t="s">
        <v>1620</v>
      </c>
      <c r="F5260" s="113" t="s">
        <v>7139</v>
      </c>
      <c r="G5260" s="113" t="s">
        <v>7145</v>
      </c>
      <c r="H5260" s="161">
        <v>0</v>
      </c>
      <c r="I5260" s="161" t="s">
        <v>7146</v>
      </c>
    </row>
    <row r="5261" spans="1:9">
      <c r="A5261" s="113">
        <v>100791037</v>
      </c>
      <c r="B5261" s="113" t="s">
        <v>7116</v>
      </c>
      <c r="C5261" s="113">
        <v>6990372</v>
      </c>
      <c r="D5261" s="113" t="s">
        <v>7139</v>
      </c>
      <c r="E5261" s="113" t="s">
        <v>1620</v>
      </c>
      <c r="F5261" s="113" t="s">
        <v>7139</v>
      </c>
      <c r="G5261" s="113" t="s">
        <v>7145</v>
      </c>
      <c r="H5261" s="161">
        <v>0</v>
      </c>
      <c r="I5261" s="161" t="s">
        <v>7146</v>
      </c>
    </row>
    <row r="5262" spans="1:9">
      <c r="A5262" s="113">
        <v>100791038</v>
      </c>
      <c r="B5262" s="113" t="s">
        <v>7116</v>
      </c>
      <c r="C5262" s="113">
        <v>6990373</v>
      </c>
      <c r="D5262" s="113" t="s">
        <v>7139</v>
      </c>
      <c r="E5262" s="113" t="s">
        <v>1620</v>
      </c>
      <c r="F5262" s="113" t="s">
        <v>7139</v>
      </c>
      <c r="G5262" s="113" t="s">
        <v>7145</v>
      </c>
      <c r="H5262" s="161">
        <v>0</v>
      </c>
      <c r="I5262" s="161" t="s">
        <v>7146</v>
      </c>
    </row>
    <row r="5263" spans="1:9">
      <c r="A5263" s="113">
        <v>100791039</v>
      </c>
      <c r="B5263" s="113" t="s">
        <v>7116</v>
      </c>
      <c r="C5263" s="113">
        <v>6990374</v>
      </c>
      <c r="D5263" s="113" t="s">
        <v>7139</v>
      </c>
      <c r="E5263" s="113" t="s">
        <v>1620</v>
      </c>
      <c r="F5263" s="113" t="s">
        <v>7139</v>
      </c>
      <c r="G5263" s="113" t="s">
        <v>7145</v>
      </c>
      <c r="H5263" s="161">
        <v>0</v>
      </c>
      <c r="I5263" s="161" t="s">
        <v>7146</v>
      </c>
    </row>
    <row r="5264" spans="1:9">
      <c r="A5264" s="113">
        <v>100791040</v>
      </c>
      <c r="B5264" s="113" t="s">
        <v>7116</v>
      </c>
      <c r="C5264" s="113">
        <v>6990375</v>
      </c>
      <c r="D5264" s="113" t="s">
        <v>7139</v>
      </c>
      <c r="E5264" s="113" t="s">
        <v>1620</v>
      </c>
      <c r="F5264" s="113" t="s">
        <v>7139</v>
      </c>
      <c r="G5264" s="113" t="s">
        <v>7145</v>
      </c>
      <c r="H5264" s="161">
        <v>0</v>
      </c>
      <c r="I5264" s="161" t="s">
        <v>7146</v>
      </c>
    </row>
    <row r="5265" spans="1:9">
      <c r="A5265" s="113">
        <v>100791041</v>
      </c>
      <c r="B5265" s="113" t="s">
        <v>7116</v>
      </c>
      <c r="C5265" s="113">
        <v>6990376</v>
      </c>
      <c r="D5265" s="113" t="s">
        <v>7139</v>
      </c>
      <c r="E5265" s="113" t="s">
        <v>1620</v>
      </c>
      <c r="F5265" s="113" t="s">
        <v>7139</v>
      </c>
      <c r="G5265" s="113" t="s">
        <v>7145</v>
      </c>
      <c r="H5265" s="161">
        <v>0</v>
      </c>
      <c r="I5265" s="161" t="s">
        <v>7146</v>
      </c>
    </row>
    <row r="5266" spans="1:9">
      <c r="A5266" s="113">
        <v>100791042</v>
      </c>
      <c r="B5266" s="113" t="s">
        <v>7116</v>
      </c>
      <c r="C5266" s="113">
        <v>6990377</v>
      </c>
      <c r="D5266" s="113" t="s">
        <v>7139</v>
      </c>
      <c r="E5266" s="113" t="s">
        <v>1620</v>
      </c>
      <c r="F5266" s="113" t="s">
        <v>7139</v>
      </c>
      <c r="G5266" s="113" t="s">
        <v>7145</v>
      </c>
      <c r="H5266" s="161">
        <v>0</v>
      </c>
      <c r="I5266" s="161" t="s">
        <v>7146</v>
      </c>
    </row>
    <row r="5267" spans="1:9">
      <c r="A5267" s="113">
        <v>100791043</v>
      </c>
      <c r="B5267" s="113" t="s">
        <v>7116</v>
      </c>
      <c r="C5267" s="113">
        <v>6990379</v>
      </c>
      <c r="D5267" s="113" t="s">
        <v>7139</v>
      </c>
      <c r="E5267" s="113" t="s">
        <v>1620</v>
      </c>
      <c r="F5267" s="113" t="s">
        <v>7139</v>
      </c>
      <c r="G5267" s="113" t="s">
        <v>7145</v>
      </c>
      <c r="H5267" s="161">
        <v>0</v>
      </c>
      <c r="I5267" s="161" t="s">
        <v>7146</v>
      </c>
    </row>
    <row r="5268" spans="1:9">
      <c r="A5268" s="113">
        <v>100791044</v>
      </c>
      <c r="B5268" s="113" t="s">
        <v>7116</v>
      </c>
      <c r="C5268" s="113">
        <v>6990380</v>
      </c>
      <c r="D5268" s="113" t="s">
        <v>7139</v>
      </c>
      <c r="E5268" s="113" t="s">
        <v>1620</v>
      </c>
      <c r="F5268" s="113" t="s">
        <v>7139</v>
      </c>
      <c r="G5268" s="113" t="s">
        <v>7145</v>
      </c>
      <c r="H5268" s="161">
        <v>0</v>
      </c>
      <c r="I5268" s="161" t="s">
        <v>7146</v>
      </c>
    </row>
    <row r="5269" spans="1:9">
      <c r="A5269" s="113">
        <v>100791045</v>
      </c>
      <c r="B5269" s="113" t="s">
        <v>7116</v>
      </c>
      <c r="C5269" s="113">
        <v>6990381</v>
      </c>
      <c r="D5269" s="113" t="s">
        <v>7139</v>
      </c>
      <c r="E5269" s="113" t="s">
        <v>1620</v>
      </c>
      <c r="F5269" s="113" t="s">
        <v>7139</v>
      </c>
      <c r="G5269" s="113" t="s">
        <v>7145</v>
      </c>
      <c r="H5269" s="161">
        <v>0</v>
      </c>
      <c r="I5269" s="161" t="s">
        <v>7146</v>
      </c>
    </row>
    <row r="5270" spans="1:9">
      <c r="A5270" s="113">
        <v>100791046</v>
      </c>
      <c r="B5270" s="113" t="s">
        <v>7116</v>
      </c>
      <c r="C5270" s="113">
        <v>6990382</v>
      </c>
      <c r="D5270" s="113" t="s">
        <v>7139</v>
      </c>
      <c r="E5270" s="113" t="s">
        <v>1620</v>
      </c>
      <c r="F5270" s="113" t="s">
        <v>7139</v>
      </c>
      <c r="G5270" s="113" t="s">
        <v>7145</v>
      </c>
      <c r="H5270" s="161">
        <v>0</v>
      </c>
      <c r="I5270" s="161" t="s">
        <v>7146</v>
      </c>
    </row>
    <row r="5271" spans="1:9">
      <c r="A5271" s="113">
        <v>100791047</v>
      </c>
      <c r="B5271" s="113" t="s">
        <v>7116</v>
      </c>
      <c r="C5271" s="113">
        <v>6990383</v>
      </c>
      <c r="D5271" s="113" t="s">
        <v>7139</v>
      </c>
      <c r="E5271" s="113" t="s">
        <v>1620</v>
      </c>
      <c r="F5271" s="113" t="s">
        <v>7139</v>
      </c>
      <c r="G5271" s="113" t="s">
        <v>7145</v>
      </c>
      <c r="H5271" s="161">
        <v>0</v>
      </c>
      <c r="I5271" s="161" t="s">
        <v>7146</v>
      </c>
    </row>
    <row r="5272" spans="1:9">
      <c r="A5272" s="113">
        <v>100791048</v>
      </c>
      <c r="B5272" s="113" t="s">
        <v>7116</v>
      </c>
      <c r="C5272" s="113">
        <v>6990384</v>
      </c>
      <c r="D5272" s="113" t="s">
        <v>7139</v>
      </c>
      <c r="E5272" s="113" t="s">
        <v>1620</v>
      </c>
      <c r="F5272" s="113" t="s">
        <v>7139</v>
      </c>
      <c r="G5272" s="115" t="s">
        <v>7145</v>
      </c>
      <c r="H5272" s="161">
        <v>0</v>
      </c>
      <c r="I5272" s="161" t="s">
        <v>7146</v>
      </c>
    </row>
    <row r="5273" spans="1:9">
      <c r="A5273" s="113">
        <v>100791049</v>
      </c>
      <c r="B5273" s="113" t="s">
        <v>7116</v>
      </c>
      <c r="C5273" s="113">
        <v>6990385</v>
      </c>
      <c r="D5273" s="113" t="s">
        <v>7139</v>
      </c>
      <c r="E5273" s="113" t="s">
        <v>1620</v>
      </c>
      <c r="F5273" s="113" t="s">
        <v>7139</v>
      </c>
      <c r="G5273" s="115" t="s">
        <v>7145</v>
      </c>
      <c r="H5273" s="161">
        <v>0</v>
      </c>
      <c r="I5273" s="161" t="s">
        <v>7146</v>
      </c>
    </row>
    <row r="5274" spans="1:9">
      <c r="A5274" s="113">
        <v>100791050</v>
      </c>
      <c r="B5274" s="113" t="s">
        <v>7116</v>
      </c>
      <c r="C5274" s="113">
        <v>6990386</v>
      </c>
      <c r="D5274" s="113" t="s">
        <v>7139</v>
      </c>
      <c r="E5274" s="113" t="s">
        <v>1620</v>
      </c>
      <c r="F5274" s="113" t="s">
        <v>7139</v>
      </c>
      <c r="G5274" s="115" t="s">
        <v>7145</v>
      </c>
      <c r="H5274" s="161">
        <v>0</v>
      </c>
      <c r="I5274" s="161" t="s">
        <v>7146</v>
      </c>
    </row>
    <row r="5275" spans="1:9">
      <c r="A5275" s="113">
        <v>100791051</v>
      </c>
      <c r="B5275" s="113" t="s">
        <v>7116</v>
      </c>
      <c r="C5275" s="113">
        <v>6990387</v>
      </c>
      <c r="D5275" s="113" t="s">
        <v>7139</v>
      </c>
      <c r="E5275" s="113" t="s">
        <v>1620</v>
      </c>
      <c r="F5275" s="113" t="s">
        <v>7139</v>
      </c>
      <c r="G5275" s="115" t="s">
        <v>7145</v>
      </c>
      <c r="H5275" s="161">
        <v>0</v>
      </c>
      <c r="I5275" s="161" t="s">
        <v>7146</v>
      </c>
    </row>
    <row r="5276" spans="1:9">
      <c r="A5276" s="113">
        <v>100791052</v>
      </c>
      <c r="B5276" s="113" t="s">
        <v>7116</v>
      </c>
      <c r="C5276" s="113">
        <v>6990389</v>
      </c>
      <c r="D5276" s="113" t="s">
        <v>7139</v>
      </c>
      <c r="E5276" s="113" t="s">
        <v>1620</v>
      </c>
      <c r="F5276" s="113" t="s">
        <v>7139</v>
      </c>
      <c r="G5276" s="113" t="s">
        <v>7145</v>
      </c>
      <c r="H5276" s="161">
        <v>0</v>
      </c>
      <c r="I5276" s="161" t="s">
        <v>7146</v>
      </c>
    </row>
    <row r="5277" spans="1:9">
      <c r="A5277" s="113">
        <v>100791053</v>
      </c>
      <c r="B5277" s="113" t="s">
        <v>7116</v>
      </c>
      <c r="C5277" s="113">
        <v>6990390</v>
      </c>
      <c r="D5277" s="113" t="s">
        <v>7139</v>
      </c>
      <c r="E5277" s="113" t="s">
        <v>1620</v>
      </c>
      <c r="F5277" s="113" t="s">
        <v>7139</v>
      </c>
      <c r="G5277" s="113" t="s">
        <v>7145</v>
      </c>
      <c r="H5277" s="161">
        <v>0</v>
      </c>
      <c r="I5277" s="161" t="s">
        <v>7146</v>
      </c>
    </row>
    <row r="5278" spans="1:9">
      <c r="A5278" s="113">
        <v>100791054</v>
      </c>
      <c r="B5278" s="113" t="s">
        <v>7116</v>
      </c>
      <c r="C5278" s="113">
        <v>6990391</v>
      </c>
      <c r="D5278" s="113" t="s">
        <v>7139</v>
      </c>
      <c r="E5278" s="113" t="s">
        <v>1620</v>
      </c>
      <c r="F5278" s="113" t="s">
        <v>7139</v>
      </c>
      <c r="G5278" s="113" t="s">
        <v>7145</v>
      </c>
      <c r="H5278" s="161">
        <v>0</v>
      </c>
      <c r="I5278" s="161" t="s">
        <v>7146</v>
      </c>
    </row>
    <row r="5279" spans="1:9">
      <c r="A5279" s="113">
        <v>100791055</v>
      </c>
      <c r="B5279" s="113" t="s">
        <v>7116</v>
      </c>
      <c r="C5279" s="113">
        <v>6990392</v>
      </c>
      <c r="D5279" s="113" t="s">
        <v>7139</v>
      </c>
      <c r="E5279" s="113" t="s">
        <v>1620</v>
      </c>
      <c r="F5279" s="113" t="s">
        <v>7139</v>
      </c>
      <c r="G5279" s="113" t="s">
        <v>7145</v>
      </c>
      <c r="H5279" s="161">
        <v>0</v>
      </c>
      <c r="I5279" s="161" t="s">
        <v>7146</v>
      </c>
    </row>
    <row r="5280" spans="1:9">
      <c r="A5280" s="113">
        <v>100791056</v>
      </c>
      <c r="B5280" s="113" t="s">
        <v>7116</v>
      </c>
      <c r="C5280" s="113">
        <v>6990394</v>
      </c>
      <c r="D5280" s="113" t="s">
        <v>7139</v>
      </c>
      <c r="E5280" s="113" t="s">
        <v>1620</v>
      </c>
      <c r="F5280" s="113" t="s">
        <v>7139</v>
      </c>
      <c r="G5280" s="115" t="s">
        <v>7145</v>
      </c>
      <c r="H5280" s="161">
        <v>0</v>
      </c>
      <c r="I5280" s="161" t="s">
        <v>7146</v>
      </c>
    </row>
    <row r="5281" spans="1:9">
      <c r="A5281" s="113">
        <v>100791057</v>
      </c>
      <c r="B5281" s="113" t="s">
        <v>7116</v>
      </c>
      <c r="C5281" s="113">
        <v>6990395</v>
      </c>
      <c r="D5281" s="113" t="s">
        <v>7139</v>
      </c>
      <c r="E5281" s="113" t="s">
        <v>1620</v>
      </c>
      <c r="F5281" s="113" t="s">
        <v>7139</v>
      </c>
      <c r="G5281" s="115" t="s">
        <v>7145</v>
      </c>
      <c r="H5281" s="161">
        <v>0</v>
      </c>
      <c r="I5281" s="161" t="s">
        <v>7146</v>
      </c>
    </row>
    <row r="5282" spans="1:9">
      <c r="A5282" s="113">
        <v>100791058</v>
      </c>
      <c r="B5282" s="113" t="s">
        <v>7116</v>
      </c>
      <c r="C5282" s="113">
        <v>6990396</v>
      </c>
      <c r="D5282" s="113" t="s">
        <v>7139</v>
      </c>
      <c r="E5282" s="113" t="s">
        <v>1620</v>
      </c>
      <c r="F5282" s="113" t="s">
        <v>7139</v>
      </c>
      <c r="G5282" s="115" t="s">
        <v>7145</v>
      </c>
      <c r="H5282" s="161">
        <v>0</v>
      </c>
      <c r="I5282" s="161" t="s">
        <v>7146</v>
      </c>
    </row>
    <row r="5283" spans="1:9">
      <c r="A5283" s="113">
        <v>100791059</v>
      </c>
      <c r="B5283" s="113" t="s">
        <v>7116</v>
      </c>
      <c r="C5283" s="113">
        <v>6990397</v>
      </c>
      <c r="D5283" s="113" t="s">
        <v>7139</v>
      </c>
      <c r="E5283" s="113" t="s">
        <v>1620</v>
      </c>
      <c r="F5283" s="113" t="s">
        <v>7139</v>
      </c>
      <c r="G5283" s="113" t="s">
        <v>7145</v>
      </c>
      <c r="H5283" s="161">
        <v>0</v>
      </c>
      <c r="I5283" s="161" t="s">
        <v>7146</v>
      </c>
    </row>
    <row r="5284" spans="1:9">
      <c r="A5284" s="113">
        <v>100791060</v>
      </c>
      <c r="B5284" s="113" t="s">
        <v>7116</v>
      </c>
      <c r="C5284" s="113">
        <v>6990398</v>
      </c>
      <c r="D5284" s="113" t="s">
        <v>7139</v>
      </c>
      <c r="E5284" s="113" t="s">
        <v>1620</v>
      </c>
      <c r="F5284" s="113" t="s">
        <v>7139</v>
      </c>
      <c r="G5284" s="115" t="s">
        <v>7145</v>
      </c>
      <c r="H5284" s="161">
        <v>0</v>
      </c>
      <c r="I5284" s="161" t="s">
        <v>7146</v>
      </c>
    </row>
    <row r="5285" spans="1:9">
      <c r="A5285" s="113">
        <v>100791061</v>
      </c>
      <c r="B5285" s="113" t="s">
        <v>7116</v>
      </c>
      <c r="C5285" s="113">
        <v>6990399</v>
      </c>
      <c r="D5285" s="113" t="s">
        <v>7139</v>
      </c>
      <c r="E5285" s="113" t="s">
        <v>1620</v>
      </c>
      <c r="F5285" s="113" t="s">
        <v>7139</v>
      </c>
      <c r="G5285" s="113" t="s">
        <v>7145</v>
      </c>
      <c r="H5285" s="161">
        <v>0</v>
      </c>
      <c r="I5285" s="161" t="s">
        <v>7146</v>
      </c>
    </row>
    <row r="5286" spans="1:9">
      <c r="A5286" s="113">
        <v>100791062</v>
      </c>
      <c r="B5286" s="113" t="s">
        <v>7116</v>
      </c>
      <c r="C5286" s="113">
        <v>6990400</v>
      </c>
      <c r="D5286" s="113" t="s">
        <v>7139</v>
      </c>
      <c r="E5286" s="113" t="s">
        <v>1620</v>
      </c>
      <c r="F5286" s="113" t="s">
        <v>7139</v>
      </c>
      <c r="G5286" s="115" t="s">
        <v>7145</v>
      </c>
      <c r="H5286" s="161">
        <v>0</v>
      </c>
      <c r="I5286" s="161" t="s">
        <v>7146</v>
      </c>
    </row>
    <row r="5287" spans="1:9">
      <c r="A5287" s="113">
        <v>100791063</v>
      </c>
      <c r="B5287" s="113" t="s">
        <v>7116</v>
      </c>
      <c r="C5287" s="113">
        <v>6990401</v>
      </c>
      <c r="D5287" s="113" t="s">
        <v>7139</v>
      </c>
      <c r="E5287" s="113" t="s">
        <v>1620</v>
      </c>
      <c r="F5287" s="113" t="s">
        <v>7139</v>
      </c>
      <c r="G5287" s="115" t="s">
        <v>7145</v>
      </c>
      <c r="H5287" s="161">
        <v>0</v>
      </c>
      <c r="I5287" s="161" t="s">
        <v>7146</v>
      </c>
    </row>
    <row r="5288" spans="1:9">
      <c r="A5288" s="113">
        <v>100791064</v>
      </c>
      <c r="B5288" s="113" t="s">
        <v>7116</v>
      </c>
      <c r="C5288" s="113">
        <v>6990402</v>
      </c>
      <c r="D5288" s="113" t="s">
        <v>7139</v>
      </c>
      <c r="E5288" s="113" t="s">
        <v>1620</v>
      </c>
      <c r="F5288" s="113" t="s">
        <v>7139</v>
      </c>
      <c r="G5288" s="115" t="s">
        <v>7145</v>
      </c>
      <c r="H5288" s="161">
        <v>0</v>
      </c>
      <c r="I5288" s="161" t="s">
        <v>7146</v>
      </c>
    </row>
    <row r="5289" spans="1:9">
      <c r="A5289" s="113">
        <v>100791065</v>
      </c>
      <c r="B5289" s="113" t="s">
        <v>7116</v>
      </c>
      <c r="C5289" s="113">
        <v>6990403</v>
      </c>
      <c r="D5289" s="113" t="s">
        <v>7139</v>
      </c>
      <c r="E5289" s="113" t="s">
        <v>1620</v>
      </c>
      <c r="F5289" s="113" t="s">
        <v>7139</v>
      </c>
      <c r="G5289" s="115" t="s">
        <v>7145</v>
      </c>
      <c r="H5289" s="161">
        <v>0</v>
      </c>
      <c r="I5289" s="161" t="s">
        <v>7146</v>
      </c>
    </row>
    <row r="5290" spans="1:9">
      <c r="A5290" s="113">
        <v>100791066</v>
      </c>
      <c r="B5290" s="113" t="s">
        <v>7116</v>
      </c>
      <c r="C5290" s="113">
        <v>6990404</v>
      </c>
      <c r="D5290" s="113" t="s">
        <v>7139</v>
      </c>
      <c r="E5290" s="113" t="s">
        <v>1620</v>
      </c>
      <c r="F5290" s="113" t="s">
        <v>7139</v>
      </c>
      <c r="G5290" s="115" t="s">
        <v>7145</v>
      </c>
      <c r="H5290" s="161">
        <v>0</v>
      </c>
      <c r="I5290" s="161" t="s">
        <v>7146</v>
      </c>
    </row>
    <row r="5291" spans="1:9">
      <c r="A5291" s="113">
        <v>100791067</v>
      </c>
      <c r="B5291" s="113" t="s">
        <v>7116</v>
      </c>
      <c r="C5291" s="113">
        <v>6990405</v>
      </c>
      <c r="D5291" s="113" t="s">
        <v>7139</v>
      </c>
      <c r="E5291" s="113" t="s">
        <v>1620</v>
      </c>
      <c r="F5291" s="113" t="s">
        <v>7139</v>
      </c>
      <c r="G5291" s="115" t="s">
        <v>7145</v>
      </c>
      <c r="H5291" s="161">
        <v>0</v>
      </c>
      <c r="I5291" s="161" t="s">
        <v>7146</v>
      </c>
    </row>
    <row r="5292" spans="1:9">
      <c r="A5292" s="113">
        <v>100791068</v>
      </c>
      <c r="B5292" s="113" t="s">
        <v>7116</v>
      </c>
      <c r="C5292" s="113">
        <v>6990406</v>
      </c>
      <c r="D5292" s="113" t="s">
        <v>7139</v>
      </c>
      <c r="E5292" s="113" t="s">
        <v>1620</v>
      </c>
      <c r="F5292" s="113" t="s">
        <v>7139</v>
      </c>
      <c r="G5292" s="113" t="s">
        <v>7145</v>
      </c>
      <c r="H5292" s="161">
        <v>0</v>
      </c>
      <c r="I5292" s="161" t="s">
        <v>7146</v>
      </c>
    </row>
    <row r="5293" spans="1:9">
      <c r="A5293" s="113">
        <v>100791069</v>
      </c>
      <c r="B5293" s="113" t="s">
        <v>7116</v>
      </c>
      <c r="C5293" s="113">
        <v>6990407</v>
      </c>
      <c r="D5293" s="113" t="s">
        <v>7139</v>
      </c>
      <c r="E5293" s="113" t="s">
        <v>1620</v>
      </c>
      <c r="F5293" s="113" t="s">
        <v>7139</v>
      </c>
      <c r="G5293" s="115" t="s">
        <v>7145</v>
      </c>
      <c r="H5293" s="161">
        <v>0</v>
      </c>
      <c r="I5293" s="161" t="s">
        <v>7146</v>
      </c>
    </row>
    <row r="5294" spans="1:9">
      <c r="A5294" s="113">
        <v>100791070</v>
      </c>
      <c r="B5294" s="113" t="s">
        <v>7116</v>
      </c>
      <c r="C5294" s="113">
        <v>6990408</v>
      </c>
      <c r="D5294" s="113" t="s">
        <v>7139</v>
      </c>
      <c r="E5294" s="113" t="s">
        <v>1620</v>
      </c>
      <c r="F5294" s="113" t="s">
        <v>7139</v>
      </c>
      <c r="G5294" s="113" t="s">
        <v>7145</v>
      </c>
      <c r="H5294" s="161">
        <v>0</v>
      </c>
      <c r="I5294" s="161" t="s">
        <v>7146</v>
      </c>
    </row>
    <row r="5295" spans="1:9">
      <c r="A5295" s="113">
        <v>100791071</v>
      </c>
      <c r="B5295" s="113" t="s">
        <v>7116</v>
      </c>
      <c r="C5295" s="113">
        <v>6990410</v>
      </c>
      <c r="D5295" s="113" t="s">
        <v>7139</v>
      </c>
      <c r="E5295" s="113" t="s">
        <v>1620</v>
      </c>
      <c r="F5295" s="113" t="s">
        <v>7139</v>
      </c>
      <c r="G5295" s="115" t="s">
        <v>7145</v>
      </c>
      <c r="H5295" s="161">
        <v>0</v>
      </c>
      <c r="I5295" s="161" t="s">
        <v>7146</v>
      </c>
    </row>
    <row r="5296" spans="1:9">
      <c r="A5296" s="113">
        <v>100791072</v>
      </c>
      <c r="B5296" s="113" t="s">
        <v>7116</v>
      </c>
      <c r="C5296" s="113">
        <v>6990411</v>
      </c>
      <c r="D5296" s="113" t="s">
        <v>7139</v>
      </c>
      <c r="E5296" s="113" t="s">
        <v>1620</v>
      </c>
      <c r="F5296" s="113" t="s">
        <v>7139</v>
      </c>
      <c r="G5296" s="113" t="s">
        <v>7145</v>
      </c>
      <c r="H5296" s="161">
        <v>0</v>
      </c>
      <c r="I5296" s="161" t="s">
        <v>7146</v>
      </c>
    </row>
    <row r="5297" spans="1:9">
      <c r="A5297" s="113">
        <v>100791073</v>
      </c>
      <c r="B5297" s="113" t="s">
        <v>7116</v>
      </c>
      <c r="C5297" s="113">
        <v>6990412</v>
      </c>
      <c r="D5297" s="113" t="s">
        <v>7139</v>
      </c>
      <c r="E5297" s="113" t="s">
        <v>1620</v>
      </c>
      <c r="F5297" s="113" t="s">
        <v>7139</v>
      </c>
      <c r="G5297" s="115" t="s">
        <v>7145</v>
      </c>
      <c r="H5297" s="161">
        <v>0</v>
      </c>
      <c r="I5297" s="161" t="s">
        <v>7146</v>
      </c>
    </row>
    <row r="5298" spans="1:9">
      <c r="A5298" s="113">
        <v>100791074</v>
      </c>
      <c r="B5298" s="113" t="s">
        <v>7116</v>
      </c>
      <c r="C5298" s="113">
        <v>6990413</v>
      </c>
      <c r="D5298" s="113" t="s">
        <v>7139</v>
      </c>
      <c r="E5298" s="113" t="s">
        <v>1620</v>
      </c>
      <c r="F5298" s="113" t="s">
        <v>7139</v>
      </c>
      <c r="G5298" s="113" t="s">
        <v>7145</v>
      </c>
      <c r="H5298" s="161">
        <v>0</v>
      </c>
      <c r="I5298" s="161" t="s">
        <v>7146</v>
      </c>
    </row>
    <row r="5299" spans="1:9">
      <c r="A5299" s="113">
        <v>100791075</v>
      </c>
      <c r="B5299" s="113" t="s">
        <v>7116</v>
      </c>
      <c r="C5299" s="113">
        <v>6990414</v>
      </c>
      <c r="D5299" s="113" t="s">
        <v>7139</v>
      </c>
      <c r="E5299" s="113" t="s">
        <v>1620</v>
      </c>
      <c r="F5299" s="113" t="s">
        <v>7139</v>
      </c>
      <c r="G5299" s="113" t="s">
        <v>7145</v>
      </c>
      <c r="H5299" s="161">
        <v>0</v>
      </c>
      <c r="I5299" s="161" t="s">
        <v>7146</v>
      </c>
    </row>
    <row r="5300" spans="1:9">
      <c r="A5300" s="113">
        <v>100791076</v>
      </c>
      <c r="B5300" s="113" t="s">
        <v>7116</v>
      </c>
      <c r="C5300" s="113">
        <v>6990415</v>
      </c>
      <c r="D5300" s="113" t="s">
        <v>7139</v>
      </c>
      <c r="E5300" s="113" t="s">
        <v>1620</v>
      </c>
      <c r="F5300" s="113" t="s">
        <v>7139</v>
      </c>
      <c r="G5300" s="113" t="s">
        <v>7145</v>
      </c>
      <c r="H5300" s="161">
        <v>0</v>
      </c>
      <c r="I5300" s="161" t="s">
        <v>7146</v>
      </c>
    </row>
    <row r="5301" spans="1:9">
      <c r="A5301" s="113">
        <v>100791077</v>
      </c>
      <c r="B5301" s="113" t="s">
        <v>7116</v>
      </c>
      <c r="C5301" s="113">
        <v>6990416</v>
      </c>
      <c r="D5301" s="113" t="s">
        <v>7139</v>
      </c>
      <c r="E5301" s="113" t="s">
        <v>1620</v>
      </c>
      <c r="F5301" s="113" t="s">
        <v>7139</v>
      </c>
      <c r="G5301" s="113" t="s">
        <v>7145</v>
      </c>
      <c r="H5301" s="161">
        <v>0</v>
      </c>
      <c r="I5301" s="161" t="s">
        <v>7146</v>
      </c>
    </row>
    <row r="5302" spans="1:9">
      <c r="A5302" s="113">
        <v>100791078</v>
      </c>
      <c r="B5302" s="113" t="s">
        <v>7116</v>
      </c>
      <c r="C5302" s="113">
        <v>6990417</v>
      </c>
      <c r="D5302" s="113" t="s">
        <v>7139</v>
      </c>
      <c r="E5302" s="113" t="s">
        <v>1620</v>
      </c>
      <c r="F5302" s="113" t="s">
        <v>7139</v>
      </c>
      <c r="G5302" s="113" t="s">
        <v>7145</v>
      </c>
      <c r="H5302" s="161">
        <v>0</v>
      </c>
      <c r="I5302" s="161" t="s">
        <v>7146</v>
      </c>
    </row>
    <row r="5303" spans="1:9">
      <c r="A5303" s="113">
        <v>100791079</v>
      </c>
      <c r="B5303" s="113" t="s">
        <v>7116</v>
      </c>
      <c r="C5303" s="113">
        <v>6990418</v>
      </c>
      <c r="D5303" s="113" t="s">
        <v>7139</v>
      </c>
      <c r="E5303" s="113" t="s">
        <v>1620</v>
      </c>
      <c r="F5303" s="113" t="s">
        <v>7139</v>
      </c>
      <c r="G5303" s="113" t="s">
        <v>7145</v>
      </c>
      <c r="H5303" s="161">
        <v>0</v>
      </c>
      <c r="I5303" s="161" t="s">
        <v>7146</v>
      </c>
    </row>
    <row r="5304" spans="1:9">
      <c r="A5304" s="113">
        <v>100791080</v>
      </c>
      <c r="B5304" s="113" t="s">
        <v>7116</v>
      </c>
      <c r="C5304" s="113">
        <v>6990419</v>
      </c>
      <c r="D5304" s="113" t="s">
        <v>7139</v>
      </c>
      <c r="E5304" s="113" t="s">
        <v>1620</v>
      </c>
      <c r="F5304" s="113" t="s">
        <v>7139</v>
      </c>
      <c r="G5304" s="113" t="s">
        <v>7145</v>
      </c>
      <c r="H5304" s="161">
        <v>0</v>
      </c>
      <c r="I5304" s="161" t="s">
        <v>7146</v>
      </c>
    </row>
    <row r="5305" spans="1:9">
      <c r="A5305" s="113">
        <v>100791081</v>
      </c>
      <c r="B5305" s="113" t="s">
        <v>7116</v>
      </c>
      <c r="C5305" s="113">
        <v>6990420</v>
      </c>
      <c r="D5305" s="113" t="s">
        <v>7139</v>
      </c>
      <c r="E5305" s="113" t="s">
        <v>1620</v>
      </c>
      <c r="F5305" s="113" t="s">
        <v>7139</v>
      </c>
      <c r="G5305" s="113" t="s">
        <v>7145</v>
      </c>
      <c r="H5305" s="161">
        <v>0</v>
      </c>
      <c r="I5305" s="161" t="s">
        <v>7146</v>
      </c>
    </row>
    <row r="5306" spans="1:9">
      <c r="A5306" s="113">
        <v>100791082</v>
      </c>
      <c r="B5306" s="113" t="s">
        <v>7116</v>
      </c>
      <c r="C5306" s="113">
        <v>6990421</v>
      </c>
      <c r="D5306" s="113" t="s">
        <v>7139</v>
      </c>
      <c r="E5306" s="113" t="s">
        <v>1620</v>
      </c>
      <c r="F5306" s="113" t="s">
        <v>7139</v>
      </c>
      <c r="G5306" s="113" t="s">
        <v>7145</v>
      </c>
      <c r="H5306" s="161">
        <v>0</v>
      </c>
      <c r="I5306" s="161" t="s">
        <v>7146</v>
      </c>
    </row>
    <row r="5307" spans="1:9">
      <c r="A5307" s="113">
        <v>100791083</v>
      </c>
      <c r="B5307" s="113" t="s">
        <v>7116</v>
      </c>
      <c r="C5307" s="113">
        <v>6990422</v>
      </c>
      <c r="D5307" s="113" t="s">
        <v>7139</v>
      </c>
      <c r="E5307" s="113" t="s">
        <v>1620</v>
      </c>
      <c r="F5307" s="113" t="s">
        <v>7139</v>
      </c>
      <c r="G5307" s="113" t="s">
        <v>7145</v>
      </c>
      <c r="H5307" s="161">
        <v>0</v>
      </c>
      <c r="I5307" s="161" t="s">
        <v>7146</v>
      </c>
    </row>
    <row r="5308" spans="1:9">
      <c r="A5308" s="113">
        <v>100791084</v>
      </c>
      <c r="B5308" s="113" t="s">
        <v>7116</v>
      </c>
      <c r="C5308" s="113">
        <v>6990423</v>
      </c>
      <c r="D5308" s="113" t="s">
        <v>7139</v>
      </c>
      <c r="E5308" s="113" t="s">
        <v>1620</v>
      </c>
      <c r="F5308" s="113" t="s">
        <v>7139</v>
      </c>
      <c r="G5308" s="113" t="s">
        <v>7145</v>
      </c>
      <c r="H5308" s="161">
        <v>0</v>
      </c>
      <c r="I5308" s="161" t="s">
        <v>7146</v>
      </c>
    </row>
    <row r="5309" spans="1:9">
      <c r="A5309" s="113">
        <v>100791085</v>
      </c>
      <c r="B5309" s="113" t="s">
        <v>7116</v>
      </c>
      <c r="C5309" s="113">
        <v>6990424</v>
      </c>
      <c r="D5309" s="113" t="s">
        <v>7139</v>
      </c>
      <c r="E5309" s="113" t="s">
        <v>1620</v>
      </c>
      <c r="F5309" s="113" t="s">
        <v>7139</v>
      </c>
      <c r="G5309" s="113" t="s">
        <v>7145</v>
      </c>
      <c r="H5309" s="161">
        <v>0</v>
      </c>
      <c r="I5309" s="161" t="s">
        <v>7146</v>
      </c>
    </row>
    <row r="5310" spans="1:9">
      <c r="A5310" s="113">
        <v>100791086</v>
      </c>
      <c r="B5310" s="113" t="s">
        <v>7116</v>
      </c>
      <c r="C5310" s="113">
        <v>6990425</v>
      </c>
      <c r="D5310" s="113" t="s">
        <v>7139</v>
      </c>
      <c r="E5310" s="113" t="s">
        <v>1620</v>
      </c>
      <c r="F5310" s="113" t="s">
        <v>7139</v>
      </c>
      <c r="G5310" s="113" t="s">
        <v>7145</v>
      </c>
      <c r="H5310" s="161">
        <v>0</v>
      </c>
      <c r="I5310" s="161" t="s">
        <v>7146</v>
      </c>
    </row>
    <row r="5311" spans="1:9">
      <c r="A5311" s="113">
        <v>100791087</v>
      </c>
      <c r="B5311" s="113" t="s">
        <v>7116</v>
      </c>
      <c r="C5311" s="113">
        <v>6990426</v>
      </c>
      <c r="D5311" s="113" t="s">
        <v>7139</v>
      </c>
      <c r="E5311" s="113" t="s">
        <v>1620</v>
      </c>
      <c r="F5311" s="113" t="s">
        <v>7139</v>
      </c>
      <c r="G5311" s="113" t="s">
        <v>7145</v>
      </c>
      <c r="H5311" s="161">
        <v>0</v>
      </c>
      <c r="I5311" s="161" t="s">
        <v>7146</v>
      </c>
    </row>
    <row r="5312" spans="1:9">
      <c r="A5312" s="113">
        <v>100791088</v>
      </c>
      <c r="B5312" s="113" t="s">
        <v>7116</v>
      </c>
      <c r="C5312" s="113">
        <v>6990427</v>
      </c>
      <c r="D5312" s="113" t="s">
        <v>7139</v>
      </c>
      <c r="E5312" s="113" t="s">
        <v>1620</v>
      </c>
      <c r="F5312" s="113" t="s">
        <v>7139</v>
      </c>
      <c r="G5312" s="115" t="s">
        <v>7145</v>
      </c>
      <c r="H5312" s="161">
        <v>0</v>
      </c>
      <c r="I5312" s="161" t="s">
        <v>7146</v>
      </c>
    </row>
    <row r="5313" spans="1:9">
      <c r="A5313" s="113">
        <v>100791090</v>
      </c>
      <c r="B5313" s="113" t="s">
        <v>7116</v>
      </c>
      <c r="C5313" s="113">
        <v>6990432</v>
      </c>
      <c r="D5313" s="113" t="s">
        <v>7139</v>
      </c>
      <c r="E5313" s="113" t="s">
        <v>1620</v>
      </c>
      <c r="F5313" s="113" t="s">
        <v>7139</v>
      </c>
      <c r="G5313" s="115" t="s">
        <v>7145</v>
      </c>
      <c r="H5313" s="161">
        <v>0</v>
      </c>
      <c r="I5313" s="161" t="s">
        <v>7146</v>
      </c>
    </row>
    <row r="5314" spans="1:9">
      <c r="A5314" s="113">
        <v>100791091</v>
      </c>
      <c r="B5314" s="113" t="s">
        <v>7116</v>
      </c>
      <c r="C5314" s="113">
        <v>6990438</v>
      </c>
      <c r="D5314" s="113" t="s">
        <v>7139</v>
      </c>
      <c r="E5314" s="113" t="s">
        <v>1620</v>
      </c>
      <c r="F5314" s="113" t="s">
        <v>7139</v>
      </c>
      <c r="G5314" s="115" t="s">
        <v>7145</v>
      </c>
      <c r="H5314" s="161">
        <v>0</v>
      </c>
      <c r="I5314" s="161" t="s">
        <v>7146</v>
      </c>
    </row>
    <row r="5315" spans="1:9">
      <c r="A5315" s="113">
        <v>100791092</v>
      </c>
      <c r="B5315" s="113" t="s">
        <v>7116</v>
      </c>
      <c r="C5315" s="113">
        <v>6990439</v>
      </c>
      <c r="D5315" s="113" t="s">
        <v>7139</v>
      </c>
      <c r="E5315" s="113" t="s">
        <v>1620</v>
      </c>
      <c r="F5315" s="113" t="s">
        <v>7139</v>
      </c>
      <c r="G5315" s="113" t="s">
        <v>7145</v>
      </c>
      <c r="H5315" s="161">
        <v>0</v>
      </c>
      <c r="I5315" s="161" t="s">
        <v>7146</v>
      </c>
    </row>
    <row r="5316" spans="1:9">
      <c r="A5316" s="113">
        <v>100791093</v>
      </c>
      <c r="B5316" s="113" t="s">
        <v>7116</v>
      </c>
      <c r="C5316" s="113">
        <v>6990440</v>
      </c>
      <c r="D5316" s="113" t="s">
        <v>7139</v>
      </c>
      <c r="E5316" s="113" t="s">
        <v>1620</v>
      </c>
      <c r="F5316" s="113" t="s">
        <v>7139</v>
      </c>
      <c r="G5316" s="113" t="s">
        <v>7145</v>
      </c>
      <c r="H5316" s="161">
        <v>0</v>
      </c>
      <c r="I5316" s="161" t="s">
        <v>7146</v>
      </c>
    </row>
    <row r="5317" spans="1:9">
      <c r="A5317" s="113">
        <v>100791094</v>
      </c>
      <c r="B5317" s="113" t="s">
        <v>7116</v>
      </c>
      <c r="C5317" s="113">
        <v>6990441</v>
      </c>
      <c r="D5317" s="113" t="s">
        <v>7139</v>
      </c>
      <c r="E5317" s="113" t="s">
        <v>1620</v>
      </c>
      <c r="F5317" s="113" t="s">
        <v>7139</v>
      </c>
      <c r="G5317" s="113" t="s">
        <v>7145</v>
      </c>
      <c r="H5317" s="161">
        <v>0</v>
      </c>
      <c r="I5317" s="161" t="s">
        <v>7146</v>
      </c>
    </row>
    <row r="5318" spans="1:9">
      <c r="A5318" s="113">
        <v>100791095</v>
      </c>
      <c r="B5318" s="113" t="s">
        <v>7116</v>
      </c>
      <c r="C5318" s="113">
        <v>6990442</v>
      </c>
      <c r="D5318" s="113" t="s">
        <v>7139</v>
      </c>
      <c r="E5318" s="113" t="s">
        <v>1620</v>
      </c>
      <c r="F5318" s="113" t="s">
        <v>7139</v>
      </c>
      <c r="G5318" s="113" t="s">
        <v>7145</v>
      </c>
      <c r="H5318" s="161">
        <v>0</v>
      </c>
      <c r="I5318" s="161" t="s">
        <v>7146</v>
      </c>
    </row>
    <row r="5319" spans="1:9">
      <c r="A5319" s="113">
        <v>100791096</v>
      </c>
      <c r="B5319" s="113" t="s">
        <v>7116</v>
      </c>
      <c r="C5319" s="113">
        <v>6990443</v>
      </c>
      <c r="D5319" s="113" t="s">
        <v>7139</v>
      </c>
      <c r="E5319" s="113" t="s">
        <v>1620</v>
      </c>
      <c r="F5319" s="113" t="s">
        <v>7139</v>
      </c>
      <c r="G5319" s="113" t="s">
        <v>7145</v>
      </c>
      <c r="H5319" s="161">
        <v>0</v>
      </c>
      <c r="I5319" s="161" t="s">
        <v>7146</v>
      </c>
    </row>
    <row r="5320" spans="1:9">
      <c r="A5320" s="113">
        <v>100791097</v>
      </c>
      <c r="B5320" s="113" t="s">
        <v>7116</v>
      </c>
      <c r="C5320" s="113">
        <v>6990444</v>
      </c>
      <c r="D5320" s="113" t="s">
        <v>7139</v>
      </c>
      <c r="E5320" s="113" t="s">
        <v>1620</v>
      </c>
      <c r="F5320" s="113" t="s">
        <v>7139</v>
      </c>
      <c r="G5320" s="113" t="s">
        <v>7145</v>
      </c>
      <c r="H5320" s="161">
        <v>0</v>
      </c>
      <c r="I5320" s="161" t="s">
        <v>7146</v>
      </c>
    </row>
    <row r="5321" spans="1:9">
      <c r="A5321" s="113">
        <v>100791098</v>
      </c>
      <c r="B5321" s="113" t="s">
        <v>7116</v>
      </c>
      <c r="C5321" s="113">
        <v>6990445</v>
      </c>
      <c r="D5321" s="113" t="s">
        <v>7139</v>
      </c>
      <c r="E5321" s="113" t="s">
        <v>1620</v>
      </c>
      <c r="F5321" s="113" t="s">
        <v>7139</v>
      </c>
      <c r="G5321" s="113" t="s">
        <v>7145</v>
      </c>
      <c r="H5321" s="161">
        <v>0</v>
      </c>
      <c r="I5321" s="161" t="s">
        <v>7146</v>
      </c>
    </row>
    <row r="5322" spans="1:9">
      <c r="A5322" s="113">
        <v>100791099</v>
      </c>
      <c r="B5322" s="113" t="s">
        <v>7116</v>
      </c>
      <c r="C5322" s="113">
        <v>6990469</v>
      </c>
      <c r="D5322" s="113" t="s">
        <v>7139</v>
      </c>
      <c r="E5322" s="113" t="s">
        <v>1620</v>
      </c>
      <c r="F5322" s="113" t="s">
        <v>7139</v>
      </c>
      <c r="G5322" s="113" t="s">
        <v>7145</v>
      </c>
      <c r="H5322" s="161">
        <v>0</v>
      </c>
      <c r="I5322" s="161" t="s">
        <v>7146</v>
      </c>
    </row>
    <row r="5323" spans="1:9">
      <c r="A5323" s="113">
        <v>100791102</v>
      </c>
      <c r="B5323" s="113" t="s">
        <v>7116</v>
      </c>
      <c r="C5323" s="113">
        <v>6990495</v>
      </c>
      <c r="D5323" s="113" t="s">
        <v>7139</v>
      </c>
      <c r="E5323" s="113" t="s">
        <v>1620</v>
      </c>
      <c r="F5323" s="113" t="s">
        <v>7139</v>
      </c>
      <c r="G5323" s="113" t="s">
        <v>7145</v>
      </c>
      <c r="H5323" s="161">
        <v>0</v>
      </c>
      <c r="I5323" s="161" t="s">
        <v>7146</v>
      </c>
    </row>
    <row r="5324" spans="1:9">
      <c r="A5324" s="113">
        <v>100791104</v>
      </c>
      <c r="B5324" s="113" t="s">
        <v>7116</v>
      </c>
      <c r="C5324" s="113">
        <v>6990513</v>
      </c>
      <c r="D5324" s="113" t="s">
        <v>7139</v>
      </c>
      <c r="E5324" s="113" t="s">
        <v>1620</v>
      </c>
      <c r="F5324" s="113" t="s">
        <v>7139</v>
      </c>
      <c r="G5324" s="113" t="s">
        <v>7145</v>
      </c>
      <c r="H5324" s="161">
        <v>0</v>
      </c>
      <c r="I5324" s="161" t="s">
        <v>7146</v>
      </c>
    </row>
    <row r="5325" spans="1:9">
      <c r="A5325" s="113">
        <v>100791111</v>
      </c>
      <c r="B5325" s="113" t="s">
        <v>7116</v>
      </c>
      <c r="C5325" s="113">
        <v>6990528</v>
      </c>
      <c r="D5325" s="113" t="s">
        <v>7139</v>
      </c>
      <c r="E5325" s="113" t="s">
        <v>1620</v>
      </c>
      <c r="F5325" s="113" t="s">
        <v>7139</v>
      </c>
      <c r="G5325" s="113" t="s">
        <v>7145</v>
      </c>
      <c r="H5325" s="161">
        <v>0</v>
      </c>
      <c r="I5325" s="161" t="s">
        <v>7146</v>
      </c>
    </row>
    <row r="5326" spans="1:9">
      <c r="A5326" s="113">
        <v>100791112</v>
      </c>
      <c r="B5326" s="113" t="s">
        <v>7116</v>
      </c>
      <c r="C5326" s="113">
        <v>6990547</v>
      </c>
      <c r="D5326" s="113" t="s">
        <v>7139</v>
      </c>
      <c r="E5326" s="113" t="s">
        <v>1620</v>
      </c>
      <c r="F5326" s="113" t="s">
        <v>7139</v>
      </c>
      <c r="G5326" s="113" t="s">
        <v>7145</v>
      </c>
      <c r="H5326" s="161">
        <v>0</v>
      </c>
      <c r="I5326" s="161" t="s">
        <v>7146</v>
      </c>
    </row>
    <row r="5327" spans="1:9">
      <c r="A5327" s="113">
        <v>100791114</v>
      </c>
      <c r="B5327" s="113" t="s">
        <v>7116</v>
      </c>
      <c r="C5327" s="113">
        <v>6990551</v>
      </c>
      <c r="D5327" s="113" t="s">
        <v>7139</v>
      </c>
      <c r="E5327" s="113" t="s">
        <v>1620</v>
      </c>
      <c r="F5327" s="113" t="s">
        <v>7139</v>
      </c>
      <c r="G5327" s="115" t="s">
        <v>7145</v>
      </c>
      <c r="H5327" s="161">
        <v>0</v>
      </c>
      <c r="I5327" s="161" t="s">
        <v>7146</v>
      </c>
    </row>
    <row r="5328" spans="1:9">
      <c r="A5328" s="113">
        <v>100791120</v>
      </c>
      <c r="B5328" s="113" t="s">
        <v>7116</v>
      </c>
      <c r="C5328" s="113">
        <v>6990578</v>
      </c>
      <c r="D5328" s="113" t="s">
        <v>7139</v>
      </c>
      <c r="E5328" s="113" t="s">
        <v>1620</v>
      </c>
      <c r="F5328" s="113" t="s">
        <v>7139</v>
      </c>
      <c r="G5328" s="113" t="s">
        <v>7145</v>
      </c>
      <c r="H5328" s="161">
        <v>0</v>
      </c>
      <c r="I5328" s="161" t="s">
        <v>7146</v>
      </c>
    </row>
    <row r="5329" spans="1:9">
      <c r="A5329" s="113">
        <v>100791121</v>
      </c>
      <c r="B5329" s="113" t="s">
        <v>7116</v>
      </c>
      <c r="C5329" s="113">
        <v>6990586</v>
      </c>
      <c r="D5329" s="113" t="s">
        <v>7139</v>
      </c>
      <c r="E5329" s="113" t="s">
        <v>1620</v>
      </c>
      <c r="F5329" s="113" t="s">
        <v>7139</v>
      </c>
      <c r="G5329" s="113" t="s">
        <v>7145</v>
      </c>
      <c r="H5329" s="161">
        <v>0</v>
      </c>
      <c r="I5329" s="161" t="s">
        <v>7146</v>
      </c>
    </row>
    <row r="5330" spans="1:9">
      <c r="A5330" s="113">
        <v>100791124</v>
      </c>
      <c r="B5330" s="113" t="s">
        <v>7116</v>
      </c>
      <c r="C5330" s="113">
        <v>6990593</v>
      </c>
      <c r="D5330" s="113" t="s">
        <v>7139</v>
      </c>
      <c r="E5330" s="113" t="s">
        <v>1620</v>
      </c>
      <c r="F5330" s="113" t="s">
        <v>7139</v>
      </c>
      <c r="G5330" s="115" t="s">
        <v>7145</v>
      </c>
      <c r="H5330" s="161">
        <v>0</v>
      </c>
      <c r="I5330" s="161" t="s">
        <v>7146</v>
      </c>
    </row>
    <row r="5331" spans="1:9">
      <c r="A5331" s="113">
        <v>100791126</v>
      </c>
      <c r="B5331" s="113" t="s">
        <v>7116</v>
      </c>
      <c r="C5331" s="113">
        <v>6990601</v>
      </c>
      <c r="D5331" s="113" t="s">
        <v>7139</v>
      </c>
      <c r="E5331" s="113" t="s">
        <v>1620</v>
      </c>
      <c r="F5331" s="113" t="s">
        <v>7139</v>
      </c>
      <c r="G5331" s="113" t="s">
        <v>7145</v>
      </c>
      <c r="H5331" s="161">
        <v>0</v>
      </c>
      <c r="I5331" s="161" t="s">
        <v>7146</v>
      </c>
    </row>
    <row r="5332" spans="1:9">
      <c r="A5332" s="113">
        <v>100791127</v>
      </c>
      <c r="B5332" s="113" t="s">
        <v>7116</v>
      </c>
      <c r="C5332" s="113">
        <v>6990602</v>
      </c>
      <c r="D5332" s="113" t="s">
        <v>7139</v>
      </c>
      <c r="E5332" s="113" t="s">
        <v>1620</v>
      </c>
      <c r="F5332" s="113" t="s">
        <v>7139</v>
      </c>
      <c r="G5332" s="113" t="s">
        <v>7145</v>
      </c>
      <c r="H5332" s="161">
        <v>0</v>
      </c>
      <c r="I5332" s="161" t="s">
        <v>7146</v>
      </c>
    </row>
    <row r="5333" spans="1:9">
      <c r="A5333" s="113">
        <v>100791128</v>
      </c>
      <c r="B5333" s="113" t="s">
        <v>7116</v>
      </c>
      <c r="C5333" s="113">
        <v>6990603</v>
      </c>
      <c r="D5333" s="113" t="s">
        <v>7139</v>
      </c>
      <c r="E5333" s="113" t="s">
        <v>1620</v>
      </c>
      <c r="F5333" s="113" t="s">
        <v>7139</v>
      </c>
      <c r="G5333" s="115" t="s">
        <v>7145</v>
      </c>
      <c r="H5333" s="161">
        <v>0</v>
      </c>
      <c r="I5333" s="161" t="s">
        <v>7146</v>
      </c>
    </row>
    <row r="5334" spans="1:9">
      <c r="A5334" s="113">
        <v>100791129</v>
      </c>
      <c r="B5334" s="113" t="s">
        <v>7116</v>
      </c>
      <c r="C5334" s="113">
        <v>6990604</v>
      </c>
      <c r="D5334" s="113" t="s">
        <v>7139</v>
      </c>
      <c r="E5334" s="113" t="s">
        <v>1620</v>
      </c>
      <c r="F5334" s="113" t="s">
        <v>7139</v>
      </c>
      <c r="G5334" s="113" t="s">
        <v>7145</v>
      </c>
      <c r="H5334" s="161">
        <v>0</v>
      </c>
      <c r="I5334" s="161" t="s">
        <v>7146</v>
      </c>
    </row>
    <row r="5335" spans="1:9">
      <c r="A5335" s="113">
        <v>100791130</v>
      </c>
      <c r="B5335" s="113" t="s">
        <v>7116</v>
      </c>
      <c r="C5335" s="113">
        <v>6990605</v>
      </c>
      <c r="D5335" s="113" t="s">
        <v>7139</v>
      </c>
      <c r="E5335" s="113" t="s">
        <v>1620</v>
      </c>
      <c r="F5335" s="113" t="s">
        <v>7139</v>
      </c>
      <c r="G5335" s="115" t="s">
        <v>7145</v>
      </c>
      <c r="H5335" s="161">
        <v>0</v>
      </c>
      <c r="I5335" s="161" t="s">
        <v>7146</v>
      </c>
    </row>
    <row r="5336" spans="1:9">
      <c r="A5336" s="113">
        <v>100791138</v>
      </c>
      <c r="B5336" s="113" t="s">
        <v>7116</v>
      </c>
      <c r="C5336" s="113">
        <v>6990629</v>
      </c>
      <c r="D5336" s="113" t="s">
        <v>7139</v>
      </c>
      <c r="E5336" s="113" t="s">
        <v>1620</v>
      </c>
      <c r="F5336" s="113" t="s">
        <v>7139</v>
      </c>
      <c r="G5336" s="113" t="s">
        <v>7145</v>
      </c>
      <c r="H5336" s="161">
        <v>0</v>
      </c>
      <c r="I5336" s="161" t="s">
        <v>7146</v>
      </c>
    </row>
    <row r="5337" spans="1:9">
      <c r="A5337" s="113">
        <v>100791140</v>
      </c>
      <c r="B5337" s="113" t="s">
        <v>7116</v>
      </c>
      <c r="C5337" s="113">
        <v>6990636</v>
      </c>
      <c r="D5337" s="113" t="s">
        <v>7139</v>
      </c>
      <c r="E5337" s="113" t="s">
        <v>1620</v>
      </c>
      <c r="F5337" s="113" t="s">
        <v>7139</v>
      </c>
      <c r="G5337" s="113" t="s">
        <v>7145</v>
      </c>
      <c r="H5337" s="161">
        <v>0</v>
      </c>
      <c r="I5337" s="161" t="s">
        <v>7146</v>
      </c>
    </row>
    <row r="5338" spans="1:9">
      <c r="A5338" s="113">
        <v>100791141</v>
      </c>
      <c r="B5338" s="113" t="s">
        <v>7116</v>
      </c>
      <c r="C5338" s="113">
        <v>6990637</v>
      </c>
      <c r="D5338" s="113" t="s">
        <v>7139</v>
      </c>
      <c r="E5338" s="113" t="s">
        <v>1620</v>
      </c>
      <c r="F5338" s="113" t="s">
        <v>7139</v>
      </c>
      <c r="G5338" s="115" t="s">
        <v>7145</v>
      </c>
      <c r="H5338" s="161">
        <v>0</v>
      </c>
      <c r="I5338" s="161" t="s">
        <v>7146</v>
      </c>
    </row>
    <row r="5339" spans="1:9">
      <c r="A5339" s="113">
        <v>100791142</v>
      </c>
      <c r="B5339" s="113" t="s">
        <v>7116</v>
      </c>
      <c r="C5339" s="113">
        <v>6990638</v>
      </c>
      <c r="D5339" s="113" t="s">
        <v>7139</v>
      </c>
      <c r="E5339" s="113" t="s">
        <v>1620</v>
      </c>
      <c r="F5339" s="113" t="s">
        <v>7139</v>
      </c>
      <c r="G5339" s="115" t="s">
        <v>7145</v>
      </c>
      <c r="H5339" s="161">
        <v>0</v>
      </c>
      <c r="I5339" s="161" t="s">
        <v>7146</v>
      </c>
    </row>
    <row r="5340" spans="1:9">
      <c r="A5340" s="113">
        <v>100791143</v>
      </c>
      <c r="B5340" s="113" t="s">
        <v>7116</v>
      </c>
      <c r="C5340" s="113">
        <v>6990639</v>
      </c>
      <c r="D5340" s="113" t="s">
        <v>7139</v>
      </c>
      <c r="E5340" s="113" t="s">
        <v>1620</v>
      </c>
      <c r="F5340" s="113" t="s">
        <v>7139</v>
      </c>
      <c r="G5340" s="113" t="s">
        <v>7145</v>
      </c>
      <c r="H5340" s="161">
        <v>0</v>
      </c>
      <c r="I5340" s="161" t="s">
        <v>7146</v>
      </c>
    </row>
    <row r="5341" spans="1:9">
      <c r="A5341" s="113">
        <v>100791144</v>
      </c>
      <c r="B5341" s="113" t="s">
        <v>7116</v>
      </c>
      <c r="C5341" s="113">
        <v>6990642</v>
      </c>
      <c r="D5341" s="113" t="s">
        <v>7139</v>
      </c>
      <c r="E5341" s="113" t="s">
        <v>1620</v>
      </c>
      <c r="F5341" s="113" t="s">
        <v>7139</v>
      </c>
      <c r="G5341" s="113" t="s">
        <v>7145</v>
      </c>
      <c r="H5341" s="161">
        <v>0</v>
      </c>
      <c r="I5341" s="161" t="s">
        <v>7146</v>
      </c>
    </row>
    <row r="5342" spans="1:9">
      <c r="A5342" s="113">
        <v>100791145</v>
      </c>
      <c r="B5342" s="113" t="s">
        <v>7116</v>
      </c>
      <c r="C5342" s="113">
        <v>6990652</v>
      </c>
      <c r="D5342" s="113" t="s">
        <v>7139</v>
      </c>
      <c r="E5342" s="113" t="s">
        <v>1620</v>
      </c>
      <c r="F5342" s="113" t="s">
        <v>7139</v>
      </c>
      <c r="G5342" s="113" t="s">
        <v>7145</v>
      </c>
      <c r="H5342" s="161">
        <v>0</v>
      </c>
      <c r="I5342" s="161" t="s">
        <v>7146</v>
      </c>
    </row>
    <row r="5343" spans="1:9">
      <c r="A5343" s="113">
        <v>100791146</v>
      </c>
      <c r="B5343" s="113" t="s">
        <v>7116</v>
      </c>
      <c r="C5343" s="113">
        <v>6990653</v>
      </c>
      <c r="D5343" s="113" t="s">
        <v>7139</v>
      </c>
      <c r="E5343" s="113" t="s">
        <v>1620</v>
      </c>
      <c r="F5343" s="113" t="s">
        <v>7139</v>
      </c>
      <c r="G5343" s="113" t="s">
        <v>7145</v>
      </c>
      <c r="H5343" s="161">
        <v>0</v>
      </c>
      <c r="I5343" s="161" t="s">
        <v>7146</v>
      </c>
    </row>
    <row r="5344" spans="1:9">
      <c r="A5344" s="113">
        <v>100791148</v>
      </c>
      <c r="B5344" s="113" t="s">
        <v>7116</v>
      </c>
      <c r="C5344" s="113">
        <v>6990657</v>
      </c>
      <c r="D5344" s="113" t="s">
        <v>7139</v>
      </c>
      <c r="E5344" s="113" t="s">
        <v>1620</v>
      </c>
      <c r="F5344" s="113" t="s">
        <v>7139</v>
      </c>
      <c r="G5344" s="115" t="s">
        <v>7145</v>
      </c>
      <c r="H5344" s="161">
        <v>0</v>
      </c>
      <c r="I5344" s="161" t="s">
        <v>7146</v>
      </c>
    </row>
    <row r="5345" spans="1:9">
      <c r="A5345" s="113">
        <v>100791150</v>
      </c>
      <c r="B5345" s="113" t="s">
        <v>7116</v>
      </c>
      <c r="C5345" s="113">
        <v>6990661</v>
      </c>
      <c r="D5345" s="113" t="s">
        <v>7139</v>
      </c>
      <c r="E5345" s="113" t="s">
        <v>1620</v>
      </c>
      <c r="F5345" s="113" t="s">
        <v>7139</v>
      </c>
      <c r="G5345" s="115" t="s">
        <v>7145</v>
      </c>
      <c r="H5345" s="161">
        <v>0</v>
      </c>
      <c r="I5345" s="161" t="s">
        <v>7146</v>
      </c>
    </row>
    <row r="5346" spans="1:9">
      <c r="A5346" s="113">
        <v>100791152</v>
      </c>
      <c r="B5346" s="113" t="s">
        <v>7116</v>
      </c>
      <c r="C5346" s="113">
        <v>6990665</v>
      </c>
      <c r="D5346" s="113" t="s">
        <v>7139</v>
      </c>
      <c r="E5346" s="113" t="s">
        <v>1620</v>
      </c>
      <c r="F5346" s="113" t="s">
        <v>7139</v>
      </c>
      <c r="G5346" s="115" t="s">
        <v>7145</v>
      </c>
      <c r="H5346" s="161">
        <v>0</v>
      </c>
      <c r="I5346" s="161" t="s">
        <v>7146</v>
      </c>
    </row>
    <row r="5347" spans="1:9">
      <c r="A5347" s="113">
        <v>100791155</v>
      </c>
      <c r="B5347" s="113" t="s">
        <v>7116</v>
      </c>
      <c r="C5347" s="113">
        <v>6990668</v>
      </c>
      <c r="D5347" s="113" t="s">
        <v>7139</v>
      </c>
      <c r="E5347" s="113" t="s">
        <v>1620</v>
      </c>
      <c r="F5347" s="113" t="s">
        <v>7139</v>
      </c>
      <c r="G5347" s="115" t="s">
        <v>7145</v>
      </c>
      <c r="H5347" s="161">
        <v>0</v>
      </c>
      <c r="I5347" s="161" t="s">
        <v>7146</v>
      </c>
    </row>
    <row r="5348" spans="1:9">
      <c r="A5348" s="113">
        <v>100791157</v>
      </c>
      <c r="B5348" s="113" t="s">
        <v>7116</v>
      </c>
      <c r="C5348" s="113">
        <v>6990670</v>
      </c>
      <c r="D5348" s="113" t="s">
        <v>7139</v>
      </c>
      <c r="E5348" s="113" t="s">
        <v>1620</v>
      </c>
      <c r="F5348" s="113" t="s">
        <v>7139</v>
      </c>
      <c r="G5348" s="113" t="s">
        <v>7145</v>
      </c>
      <c r="H5348" s="161">
        <v>0</v>
      </c>
      <c r="I5348" s="161" t="s">
        <v>7146</v>
      </c>
    </row>
    <row r="5349" spans="1:9">
      <c r="A5349" s="113">
        <v>100791158</v>
      </c>
      <c r="B5349" s="113" t="s">
        <v>7116</v>
      </c>
      <c r="C5349" s="113">
        <v>6990671</v>
      </c>
      <c r="D5349" s="113" t="s">
        <v>7139</v>
      </c>
      <c r="E5349" s="113" t="s">
        <v>1620</v>
      </c>
      <c r="F5349" s="113" t="s">
        <v>7139</v>
      </c>
      <c r="G5349" s="113" t="s">
        <v>7145</v>
      </c>
      <c r="H5349" s="161">
        <v>0</v>
      </c>
      <c r="I5349" s="161" t="s">
        <v>7146</v>
      </c>
    </row>
    <row r="5350" spans="1:9">
      <c r="A5350" s="113">
        <v>100791159</v>
      </c>
      <c r="B5350" s="113" t="s">
        <v>7116</v>
      </c>
      <c r="C5350" s="113">
        <v>6990673</v>
      </c>
      <c r="D5350" s="113" t="s">
        <v>7139</v>
      </c>
      <c r="E5350" s="113" t="s">
        <v>1620</v>
      </c>
      <c r="F5350" s="113" t="s">
        <v>7139</v>
      </c>
      <c r="G5350" s="113" t="s">
        <v>7145</v>
      </c>
      <c r="H5350" s="161">
        <v>0</v>
      </c>
      <c r="I5350" s="161" t="s">
        <v>7146</v>
      </c>
    </row>
    <row r="5351" spans="1:9">
      <c r="A5351" s="113">
        <v>100791165</v>
      </c>
      <c r="B5351" s="113" t="s">
        <v>7116</v>
      </c>
      <c r="C5351" s="113">
        <v>6990698</v>
      </c>
      <c r="D5351" s="113" t="s">
        <v>7139</v>
      </c>
      <c r="E5351" s="113" t="s">
        <v>1620</v>
      </c>
      <c r="F5351" s="113" t="s">
        <v>7139</v>
      </c>
      <c r="G5351" s="113" t="s">
        <v>7145</v>
      </c>
      <c r="H5351" s="161">
        <v>0</v>
      </c>
      <c r="I5351" s="161" t="s">
        <v>7146</v>
      </c>
    </row>
    <row r="5352" spans="1:9">
      <c r="A5352" s="113">
        <v>100791168</v>
      </c>
      <c r="B5352" s="113" t="s">
        <v>7116</v>
      </c>
      <c r="C5352" s="113">
        <v>6990718</v>
      </c>
      <c r="D5352" s="113" t="s">
        <v>7139</v>
      </c>
      <c r="E5352" s="113" t="s">
        <v>1620</v>
      </c>
      <c r="F5352" s="113" t="s">
        <v>7139</v>
      </c>
      <c r="G5352" s="113" t="s">
        <v>7145</v>
      </c>
      <c r="H5352" s="161">
        <v>0</v>
      </c>
      <c r="I5352" s="161" t="s">
        <v>7146</v>
      </c>
    </row>
    <row r="5353" spans="1:9">
      <c r="A5353" s="113">
        <v>100791171</v>
      </c>
      <c r="B5353" s="113" t="s">
        <v>7116</v>
      </c>
      <c r="C5353" s="113">
        <v>6990732</v>
      </c>
      <c r="D5353" s="113" t="s">
        <v>7139</v>
      </c>
      <c r="E5353" s="113" t="s">
        <v>1620</v>
      </c>
      <c r="F5353" s="113" t="s">
        <v>7139</v>
      </c>
      <c r="G5353" s="113" t="s">
        <v>7145</v>
      </c>
      <c r="H5353" s="161">
        <v>0</v>
      </c>
      <c r="I5353" s="161" t="s">
        <v>7146</v>
      </c>
    </row>
    <row r="5354" spans="1:9">
      <c r="A5354" s="113">
        <v>100791176</v>
      </c>
      <c r="B5354" s="113" t="s">
        <v>7116</v>
      </c>
      <c r="C5354" s="113">
        <v>6990748</v>
      </c>
      <c r="D5354" s="113" t="s">
        <v>7139</v>
      </c>
      <c r="E5354" s="113" t="s">
        <v>1620</v>
      </c>
      <c r="F5354" s="113" t="s">
        <v>7139</v>
      </c>
      <c r="G5354" s="113" t="s">
        <v>7145</v>
      </c>
      <c r="H5354" s="161">
        <v>0</v>
      </c>
      <c r="I5354" s="161" t="s">
        <v>7146</v>
      </c>
    </row>
    <row r="5355" spans="1:9">
      <c r="A5355" s="113">
        <v>100791178</v>
      </c>
      <c r="B5355" s="113" t="s">
        <v>7116</v>
      </c>
      <c r="C5355" s="113">
        <v>6990752</v>
      </c>
      <c r="D5355" s="113" t="s">
        <v>7139</v>
      </c>
      <c r="E5355" s="113" t="s">
        <v>1620</v>
      </c>
      <c r="F5355" s="113" t="s">
        <v>7139</v>
      </c>
      <c r="G5355" s="113" t="s">
        <v>7145</v>
      </c>
      <c r="H5355" s="161">
        <v>0</v>
      </c>
      <c r="I5355" s="161" t="s">
        <v>7146</v>
      </c>
    </row>
    <row r="5356" spans="1:9">
      <c r="A5356" s="113">
        <v>100791179</v>
      </c>
      <c r="B5356" s="113" t="s">
        <v>7116</v>
      </c>
      <c r="C5356" s="113">
        <v>6990753</v>
      </c>
      <c r="D5356" s="113" t="s">
        <v>7139</v>
      </c>
      <c r="E5356" s="113" t="s">
        <v>1620</v>
      </c>
      <c r="F5356" s="113" t="s">
        <v>7139</v>
      </c>
      <c r="G5356" s="113" t="s">
        <v>7145</v>
      </c>
      <c r="H5356" s="161">
        <v>0</v>
      </c>
      <c r="I5356" s="161" t="s">
        <v>7146</v>
      </c>
    </row>
    <row r="5357" spans="1:9">
      <c r="A5357" s="113">
        <v>100791183</v>
      </c>
      <c r="B5357" s="113" t="s">
        <v>7116</v>
      </c>
      <c r="C5357" s="113">
        <v>6990761</v>
      </c>
      <c r="D5357" s="113" t="s">
        <v>7139</v>
      </c>
      <c r="E5357" s="113" t="s">
        <v>1620</v>
      </c>
      <c r="F5357" s="113" t="s">
        <v>7139</v>
      </c>
      <c r="G5357" s="113" t="s">
        <v>7145</v>
      </c>
      <c r="H5357" s="161">
        <v>0</v>
      </c>
      <c r="I5357" s="161" t="s">
        <v>7146</v>
      </c>
    </row>
    <row r="5358" spans="1:9">
      <c r="A5358" s="113">
        <v>100791193</v>
      </c>
      <c r="B5358" s="113" t="s">
        <v>7116</v>
      </c>
      <c r="C5358" s="113">
        <v>6990786</v>
      </c>
      <c r="D5358" s="113" t="s">
        <v>7139</v>
      </c>
      <c r="E5358" s="113" t="s">
        <v>1620</v>
      </c>
      <c r="F5358" s="113" t="s">
        <v>7139</v>
      </c>
      <c r="G5358" s="113" t="s">
        <v>7145</v>
      </c>
      <c r="H5358" s="161">
        <v>0</v>
      </c>
      <c r="I5358" s="161" t="s">
        <v>7146</v>
      </c>
    </row>
    <row r="5359" spans="1:9">
      <c r="A5359" s="113">
        <v>100791194</v>
      </c>
      <c r="B5359" s="113" t="s">
        <v>7116</v>
      </c>
      <c r="C5359" s="113">
        <v>6990787</v>
      </c>
      <c r="D5359" s="113" t="s">
        <v>7139</v>
      </c>
      <c r="E5359" s="113" t="s">
        <v>1620</v>
      </c>
      <c r="F5359" s="113" t="s">
        <v>7139</v>
      </c>
      <c r="G5359" s="113" t="s">
        <v>7145</v>
      </c>
      <c r="H5359" s="161">
        <v>0</v>
      </c>
      <c r="I5359" s="161" t="s">
        <v>7146</v>
      </c>
    </row>
    <row r="5360" spans="1:9">
      <c r="A5360" s="113">
        <v>100791195</v>
      </c>
      <c r="B5360" s="113" t="s">
        <v>7116</v>
      </c>
      <c r="C5360" s="113">
        <v>6990788</v>
      </c>
      <c r="D5360" s="113" t="s">
        <v>7139</v>
      </c>
      <c r="E5360" s="113" t="s">
        <v>1620</v>
      </c>
      <c r="F5360" s="113" t="s">
        <v>7139</v>
      </c>
      <c r="G5360" s="113" t="s">
        <v>7145</v>
      </c>
      <c r="H5360" s="161">
        <v>0</v>
      </c>
      <c r="I5360" s="161" t="s">
        <v>7146</v>
      </c>
    </row>
    <row r="5361" spans="1:9">
      <c r="A5361" s="113">
        <v>100791197</v>
      </c>
      <c r="B5361" s="113" t="s">
        <v>7116</v>
      </c>
      <c r="C5361" s="113">
        <v>6990790</v>
      </c>
      <c r="D5361" s="113" t="s">
        <v>7139</v>
      </c>
      <c r="E5361" s="113" t="s">
        <v>1620</v>
      </c>
      <c r="F5361" s="113" t="s">
        <v>7139</v>
      </c>
      <c r="G5361" s="113" t="s">
        <v>7145</v>
      </c>
      <c r="H5361" s="161">
        <v>0</v>
      </c>
      <c r="I5361" s="161" t="s">
        <v>7146</v>
      </c>
    </row>
    <row r="5362" spans="1:9">
      <c r="A5362" s="113">
        <v>100791200</v>
      </c>
      <c r="B5362" s="113" t="s">
        <v>7116</v>
      </c>
      <c r="C5362" s="113">
        <v>6990806</v>
      </c>
      <c r="D5362" s="113" t="s">
        <v>7139</v>
      </c>
      <c r="E5362" s="113" t="s">
        <v>1620</v>
      </c>
      <c r="F5362" s="113" t="s">
        <v>7139</v>
      </c>
      <c r="G5362" s="113" t="s">
        <v>7145</v>
      </c>
      <c r="H5362" s="161">
        <v>0</v>
      </c>
      <c r="I5362" s="161" t="s">
        <v>7146</v>
      </c>
    </row>
    <row r="5363" spans="1:9">
      <c r="A5363" s="113">
        <v>100791202</v>
      </c>
      <c r="B5363" s="113" t="s">
        <v>7116</v>
      </c>
      <c r="C5363" s="113">
        <v>6990811</v>
      </c>
      <c r="D5363" s="113" t="s">
        <v>7139</v>
      </c>
      <c r="E5363" s="113" t="s">
        <v>1620</v>
      </c>
      <c r="F5363" s="113" t="s">
        <v>7139</v>
      </c>
      <c r="G5363" s="113" t="s">
        <v>7145</v>
      </c>
      <c r="H5363" s="161">
        <v>0</v>
      </c>
      <c r="I5363" s="161" t="s">
        <v>7146</v>
      </c>
    </row>
    <row r="5364" spans="1:9">
      <c r="A5364" s="113">
        <v>100791203</v>
      </c>
      <c r="B5364" s="113" t="s">
        <v>7116</v>
      </c>
      <c r="C5364" s="113">
        <v>6990812</v>
      </c>
      <c r="D5364" s="113" t="s">
        <v>7139</v>
      </c>
      <c r="E5364" s="113" t="s">
        <v>1620</v>
      </c>
      <c r="F5364" s="113" t="s">
        <v>7139</v>
      </c>
      <c r="G5364" s="113" t="s">
        <v>7145</v>
      </c>
      <c r="H5364" s="161">
        <v>0</v>
      </c>
      <c r="I5364" s="161" t="s">
        <v>7146</v>
      </c>
    </row>
    <row r="5365" spans="1:9">
      <c r="A5365" s="113">
        <v>100791206</v>
      </c>
      <c r="B5365" s="113" t="s">
        <v>7116</v>
      </c>
      <c r="C5365" s="113">
        <v>6990821</v>
      </c>
      <c r="D5365" s="113" t="s">
        <v>7139</v>
      </c>
      <c r="E5365" s="113" t="s">
        <v>1620</v>
      </c>
      <c r="F5365" s="113" t="s">
        <v>7139</v>
      </c>
      <c r="G5365" s="113" t="s">
        <v>7145</v>
      </c>
      <c r="H5365" s="161">
        <v>0</v>
      </c>
      <c r="I5365" s="161" t="s">
        <v>7146</v>
      </c>
    </row>
    <row r="5366" spans="1:9">
      <c r="A5366" s="113">
        <v>100791207</v>
      </c>
      <c r="B5366" s="113" t="s">
        <v>7116</v>
      </c>
      <c r="C5366" s="113">
        <v>6990822</v>
      </c>
      <c r="D5366" s="113" t="s">
        <v>7139</v>
      </c>
      <c r="E5366" s="113" t="s">
        <v>1620</v>
      </c>
      <c r="F5366" s="113" t="s">
        <v>7139</v>
      </c>
      <c r="G5366" s="113" t="s">
        <v>7145</v>
      </c>
      <c r="H5366" s="161">
        <v>0</v>
      </c>
      <c r="I5366" s="161" t="s">
        <v>7146</v>
      </c>
    </row>
    <row r="5367" spans="1:9">
      <c r="A5367" s="113">
        <v>100791210</v>
      </c>
      <c r="B5367" s="113" t="s">
        <v>7116</v>
      </c>
      <c r="C5367" s="113">
        <v>6990849</v>
      </c>
      <c r="D5367" s="113" t="s">
        <v>7139</v>
      </c>
      <c r="E5367" s="113" t="s">
        <v>1620</v>
      </c>
      <c r="F5367" s="113" t="s">
        <v>7139</v>
      </c>
      <c r="G5367" s="115" t="s">
        <v>7145</v>
      </c>
      <c r="H5367" s="161">
        <v>0</v>
      </c>
      <c r="I5367" s="161" t="s">
        <v>7146</v>
      </c>
    </row>
    <row r="5368" spans="1:9">
      <c r="A5368" s="113">
        <v>100791211</v>
      </c>
      <c r="B5368" s="113" t="s">
        <v>7116</v>
      </c>
      <c r="C5368" s="113">
        <v>6990851</v>
      </c>
      <c r="D5368" s="113" t="s">
        <v>7139</v>
      </c>
      <c r="E5368" s="113" t="s">
        <v>1620</v>
      </c>
      <c r="F5368" s="113" t="s">
        <v>7139</v>
      </c>
      <c r="G5368" s="115" t="s">
        <v>7145</v>
      </c>
      <c r="H5368" s="161">
        <v>0</v>
      </c>
      <c r="I5368" s="161" t="s">
        <v>7146</v>
      </c>
    </row>
    <row r="5369" spans="1:9">
      <c r="A5369" s="113">
        <v>100791218</v>
      </c>
      <c r="B5369" s="113" t="s">
        <v>7116</v>
      </c>
      <c r="C5369" s="113">
        <v>6990865</v>
      </c>
      <c r="D5369" s="113" t="s">
        <v>7139</v>
      </c>
      <c r="E5369" s="113" t="s">
        <v>1620</v>
      </c>
      <c r="F5369" s="113" t="s">
        <v>7139</v>
      </c>
      <c r="G5369" s="115" t="s">
        <v>7145</v>
      </c>
      <c r="H5369" s="161">
        <v>0</v>
      </c>
      <c r="I5369" s="161" t="s">
        <v>7146</v>
      </c>
    </row>
    <row r="5370" spans="1:9">
      <c r="A5370" s="113">
        <v>100791222</v>
      </c>
      <c r="B5370" s="113" t="s">
        <v>7116</v>
      </c>
      <c r="C5370" s="113">
        <v>6990869</v>
      </c>
      <c r="D5370" s="113" t="s">
        <v>7139</v>
      </c>
      <c r="E5370" s="113" t="s">
        <v>1620</v>
      </c>
      <c r="F5370" s="113" t="s">
        <v>7139</v>
      </c>
      <c r="G5370" s="115" t="s">
        <v>7145</v>
      </c>
      <c r="H5370" s="161">
        <v>0</v>
      </c>
      <c r="I5370" s="161" t="s">
        <v>7146</v>
      </c>
    </row>
    <row r="5371" spans="1:9">
      <c r="A5371" s="113">
        <v>100791223</v>
      </c>
      <c r="B5371" s="113" t="s">
        <v>7116</v>
      </c>
      <c r="C5371" s="113">
        <v>6990870</v>
      </c>
      <c r="D5371" s="113" t="s">
        <v>7139</v>
      </c>
      <c r="E5371" s="113" t="s">
        <v>1620</v>
      </c>
      <c r="F5371" s="113" t="s">
        <v>7139</v>
      </c>
      <c r="G5371" s="115" t="s">
        <v>7145</v>
      </c>
      <c r="H5371" s="161">
        <v>0</v>
      </c>
      <c r="I5371" s="161" t="s">
        <v>7146</v>
      </c>
    </row>
    <row r="5372" spans="1:9">
      <c r="A5372" s="113">
        <v>100791225</v>
      </c>
      <c r="B5372" s="113" t="s">
        <v>7116</v>
      </c>
      <c r="C5372" s="113">
        <v>6990874</v>
      </c>
      <c r="D5372" s="113" t="s">
        <v>7139</v>
      </c>
      <c r="E5372" s="113" t="s">
        <v>1620</v>
      </c>
      <c r="F5372" s="113" t="s">
        <v>7139</v>
      </c>
      <c r="G5372" s="115" t="s">
        <v>7145</v>
      </c>
      <c r="H5372" s="161">
        <v>0</v>
      </c>
      <c r="I5372" s="161" t="s">
        <v>7146</v>
      </c>
    </row>
    <row r="5373" spans="1:9">
      <c r="A5373" s="113">
        <v>100791226</v>
      </c>
      <c r="B5373" s="113" t="s">
        <v>7116</v>
      </c>
      <c r="C5373" s="113">
        <v>6990875</v>
      </c>
      <c r="D5373" s="113" t="s">
        <v>7139</v>
      </c>
      <c r="E5373" s="113" t="s">
        <v>1620</v>
      </c>
      <c r="F5373" s="113" t="s">
        <v>7139</v>
      </c>
      <c r="G5373" s="113" t="s">
        <v>7145</v>
      </c>
      <c r="H5373" s="161">
        <v>0</v>
      </c>
      <c r="I5373" s="161" t="s">
        <v>7146</v>
      </c>
    </row>
    <row r="5374" spans="1:9">
      <c r="A5374" s="113">
        <v>100791228</v>
      </c>
      <c r="B5374" s="113" t="s">
        <v>7116</v>
      </c>
      <c r="C5374" s="113">
        <v>6990877</v>
      </c>
      <c r="D5374" s="113" t="s">
        <v>7139</v>
      </c>
      <c r="E5374" s="113" t="s">
        <v>1620</v>
      </c>
      <c r="F5374" s="113" t="s">
        <v>7139</v>
      </c>
      <c r="G5374" s="115" t="s">
        <v>7145</v>
      </c>
      <c r="H5374" s="161">
        <v>0</v>
      </c>
      <c r="I5374" s="161" t="s">
        <v>7146</v>
      </c>
    </row>
    <row r="5375" spans="1:9">
      <c r="A5375" s="113">
        <v>100791229</v>
      </c>
      <c r="B5375" s="113" t="s">
        <v>7116</v>
      </c>
      <c r="C5375" s="113">
        <v>6990878</v>
      </c>
      <c r="D5375" s="113" t="s">
        <v>7139</v>
      </c>
      <c r="E5375" s="113" t="s">
        <v>1620</v>
      </c>
      <c r="F5375" s="113" t="s">
        <v>7139</v>
      </c>
      <c r="G5375" s="115" t="s">
        <v>7145</v>
      </c>
      <c r="H5375" s="161">
        <v>0</v>
      </c>
      <c r="I5375" s="161" t="s">
        <v>7146</v>
      </c>
    </row>
    <row r="5376" spans="1:9">
      <c r="A5376" s="113">
        <v>100791230</v>
      </c>
      <c r="B5376" s="113" t="s">
        <v>7116</v>
      </c>
      <c r="C5376" s="113">
        <v>6990879</v>
      </c>
      <c r="D5376" s="113" t="s">
        <v>7139</v>
      </c>
      <c r="E5376" s="113" t="s">
        <v>1620</v>
      </c>
      <c r="F5376" s="113" t="s">
        <v>7139</v>
      </c>
      <c r="G5376" s="113" t="s">
        <v>7145</v>
      </c>
      <c r="H5376" s="161">
        <v>0</v>
      </c>
      <c r="I5376" s="161" t="s">
        <v>7146</v>
      </c>
    </row>
    <row r="5377" spans="1:9">
      <c r="A5377" s="113">
        <v>100791232</v>
      </c>
      <c r="B5377" s="113" t="s">
        <v>7116</v>
      </c>
      <c r="C5377" s="113">
        <v>6990881</v>
      </c>
      <c r="D5377" s="113" t="s">
        <v>7139</v>
      </c>
      <c r="E5377" s="113" t="s">
        <v>1620</v>
      </c>
      <c r="F5377" s="113" t="s">
        <v>7139</v>
      </c>
      <c r="G5377" s="113" t="s">
        <v>7145</v>
      </c>
      <c r="H5377" s="161">
        <v>0</v>
      </c>
      <c r="I5377" s="161" t="s">
        <v>7146</v>
      </c>
    </row>
    <row r="5378" spans="1:9">
      <c r="A5378" s="113">
        <v>100791233</v>
      </c>
      <c r="B5378" s="113" t="s">
        <v>7116</v>
      </c>
      <c r="C5378" s="113">
        <v>6990882</v>
      </c>
      <c r="D5378" s="113" t="s">
        <v>7139</v>
      </c>
      <c r="E5378" s="113" t="s">
        <v>1620</v>
      </c>
      <c r="F5378" s="113" t="s">
        <v>7139</v>
      </c>
      <c r="G5378" s="113" t="s">
        <v>7145</v>
      </c>
      <c r="H5378" s="161">
        <v>0</v>
      </c>
      <c r="I5378" s="161" t="s">
        <v>7146</v>
      </c>
    </row>
    <row r="5379" spans="1:9">
      <c r="A5379" s="113">
        <v>100791234</v>
      </c>
      <c r="B5379" s="113" t="s">
        <v>7116</v>
      </c>
      <c r="C5379" s="113">
        <v>6990883</v>
      </c>
      <c r="D5379" s="113" t="s">
        <v>7139</v>
      </c>
      <c r="E5379" s="113" t="s">
        <v>1620</v>
      </c>
      <c r="F5379" s="113" t="s">
        <v>7139</v>
      </c>
      <c r="G5379" s="113" t="s">
        <v>7145</v>
      </c>
      <c r="H5379" s="161">
        <v>0</v>
      </c>
      <c r="I5379" s="161" t="s">
        <v>7146</v>
      </c>
    </row>
    <row r="5380" spans="1:9">
      <c r="A5380" s="113">
        <v>100791237</v>
      </c>
      <c r="B5380" s="113" t="s">
        <v>7116</v>
      </c>
      <c r="C5380" s="113">
        <v>6990886</v>
      </c>
      <c r="D5380" s="113" t="s">
        <v>7139</v>
      </c>
      <c r="E5380" s="113" t="s">
        <v>1620</v>
      </c>
      <c r="F5380" s="113" t="s">
        <v>7139</v>
      </c>
      <c r="G5380" s="113" t="s">
        <v>7145</v>
      </c>
      <c r="H5380" s="161">
        <v>0</v>
      </c>
      <c r="I5380" s="161" t="s">
        <v>7146</v>
      </c>
    </row>
    <row r="5381" spans="1:9">
      <c r="A5381" s="113">
        <v>100791239</v>
      </c>
      <c r="B5381" s="113" t="s">
        <v>7116</v>
      </c>
      <c r="C5381" s="113">
        <v>6990895</v>
      </c>
      <c r="D5381" s="113" t="s">
        <v>7139</v>
      </c>
      <c r="E5381" s="113" t="s">
        <v>1620</v>
      </c>
      <c r="F5381" s="113" t="s">
        <v>7139</v>
      </c>
      <c r="G5381" s="113" t="s">
        <v>7145</v>
      </c>
      <c r="H5381" s="161">
        <v>0</v>
      </c>
      <c r="I5381" s="161" t="s">
        <v>7146</v>
      </c>
    </row>
    <row r="5382" spans="1:9">
      <c r="A5382" s="113">
        <v>100791242</v>
      </c>
      <c r="B5382" s="113" t="s">
        <v>7116</v>
      </c>
      <c r="C5382" s="113">
        <v>6990926</v>
      </c>
      <c r="D5382" s="113" t="s">
        <v>7139</v>
      </c>
      <c r="E5382" s="113" t="s">
        <v>1620</v>
      </c>
      <c r="F5382" s="113" t="s">
        <v>7139</v>
      </c>
      <c r="G5382" s="113" t="s">
        <v>7145</v>
      </c>
      <c r="H5382" s="161">
        <v>0</v>
      </c>
      <c r="I5382" s="161" t="s">
        <v>7146</v>
      </c>
    </row>
    <row r="5383" spans="1:9">
      <c r="A5383" s="113">
        <v>100791243</v>
      </c>
      <c r="B5383" s="113" t="s">
        <v>7116</v>
      </c>
      <c r="C5383" s="113">
        <v>6990927</v>
      </c>
      <c r="D5383" s="113" t="s">
        <v>7139</v>
      </c>
      <c r="E5383" s="113" t="s">
        <v>1620</v>
      </c>
      <c r="F5383" s="113" t="s">
        <v>7139</v>
      </c>
      <c r="G5383" s="115" t="s">
        <v>7145</v>
      </c>
      <c r="H5383" s="161">
        <v>0</v>
      </c>
      <c r="I5383" s="161" t="s">
        <v>7146</v>
      </c>
    </row>
    <row r="5384" spans="1:9">
      <c r="A5384" s="113">
        <v>100791248</v>
      </c>
      <c r="B5384" s="113" t="s">
        <v>7116</v>
      </c>
      <c r="C5384" s="113">
        <v>6991001</v>
      </c>
      <c r="D5384" s="113" t="s">
        <v>7139</v>
      </c>
      <c r="E5384" s="113" t="s">
        <v>1620</v>
      </c>
      <c r="F5384" s="113" t="s">
        <v>7139</v>
      </c>
      <c r="G5384" s="113" t="s">
        <v>7145</v>
      </c>
      <c r="H5384" s="161">
        <v>0</v>
      </c>
      <c r="I5384" s="161" t="s">
        <v>7146</v>
      </c>
    </row>
    <row r="5385" spans="1:9">
      <c r="A5385" s="113">
        <v>100791249</v>
      </c>
      <c r="B5385" s="113" t="s">
        <v>7116</v>
      </c>
      <c r="C5385" s="113">
        <v>6991002</v>
      </c>
      <c r="D5385" s="113" t="s">
        <v>7139</v>
      </c>
      <c r="E5385" s="113" t="s">
        <v>1620</v>
      </c>
      <c r="F5385" s="113" t="s">
        <v>7139</v>
      </c>
      <c r="G5385" s="115" t="s">
        <v>7145</v>
      </c>
      <c r="H5385" s="161">
        <v>0</v>
      </c>
      <c r="I5385" s="161" t="s">
        <v>7146</v>
      </c>
    </row>
    <row r="5386" spans="1:9">
      <c r="A5386" s="113">
        <v>100791251</v>
      </c>
      <c r="B5386" s="113" t="s">
        <v>7116</v>
      </c>
      <c r="C5386" s="113">
        <v>6991039</v>
      </c>
      <c r="D5386" s="113" t="s">
        <v>7139</v>
      </c>
      <c r="E5386" s="113" t="s">
        <v>1620</v>
      </c>
      <c r="F5386" s="113" t="s">
        <v>7139</v>
      </c>
      <c r="G5386" s="115" t="s">
        <v>7145</v>
      </c>
      <c r="H5386" s="161">
        <v>0</v>
      </c>
      <c r="I5386" s="161" t="s">
        <v>7146</v>
      </c>
    </row>
    <row r="5387" spans="1:9">
      <c r="A5387" s="113">
        <v>100791252</v>
      </c>
      <c r="B5387" s="113" t="s">
        <v>7116</v>
      </c>
      <c r="C5387" s="113">
        <v>6991089</v>
      </c>
      <c r="D5387" s="113" t="s">
        <v>7139</v>
      </c>
      <c r="E5387" s="113" t="s">
        <v>1620</v>
      </c>
      <c r="F5387" s="113" t="s">
        <v>7139</v>
      </c>
      <c r="G5387" s="113" t="s">
        <v>7145</v>
      </c>
      <c r="H5387" s="161">
        <v>0</v>
      </c>
      <c r="I5387" s="161" t="s">
        <v>7146</v>
      </c>
    </row>
    <row r="5388" spans="1:9">
      <c r="A5388" s="113">
        <v>100791253</v>
      </c>
      <c r="B5388" s="113" t="s">
        <v>7116</v>
      </c>
      <c r="C5388" s="113">
        <v>6991090</v>
      </c>
      <c r="D5388" s="113" t="s">
        <v>7139</v>
      </c>
      <c r="E5388" s="113" t="s">
        <v>1620</v>
      </c>
      <c r="F5388" s="113" t="s">
        <v>7139</v>
      </c>
      <c r="G5388" s="113" t="s">
        <v>7145</v>
      </c>
      <c r="H5388" s="161">
        <v>0</v>
      </c>
      <c r="I5388" s="161" t="s">
        <v>7146</v>
      </c>
    </row>
    <row r="5389" spans="1:9">
      <c r="A5389" s="113">
        <v>100791257</v>
      </c>
      <c r="B5389" s="113" t="s">
        <v>7116</v>
      </c>
      <c r="C5389" s="113">
        <v>6991114</v>
      </c>
      <c r="D5389" s="113" t="s">
        <v>7139</v>
      </c>
      <c r="E5389" s="113" t="s">
        <v>1620</v>
      </c>
      <c r="F5389" s="113" t="s">
        <v>7139</v>
      </c>
      <c r="G5389" s="113" t="s">
        <v>7145</v>
      </c>
      <c r="H5389" s="161">
        <v>0</v>
      </c>
      <c r="I5389" s="161" t="s">
        <v>7146</v>
      </c>
    </row>
    <row r="5390" spans="1:9">
      <c r="A5390" s="113">
        <v>100791261</v>
      </c>
      <c r="B5390" s="113" t="s">
        <v>7116</v>
      </c>
      <c r="C5390" s="113">
        <v>6991124</v>
      </c>
      <c r="D5390" s="113" t="s">
        <v>7139</v>
      </c>
      <c r="E5390" s="113" t="s">
        <v>1620</v>
      </c>
      <c r="F5390" s="113" t="s">
        <v>7139</v>
      </c>
      <c r="G5390" s="113" t="s">
        <v>7145</v>
      </c>
      <c r="H5390" s="161">
        <v>0</v>
      </c>
      <c r="I5390" s="161" t="s">
        <v>7146</v>
      </c>
    </row>
    <row r="5391" spans="1:9">
      <c r="A5391" s="113">
        <v>100791265</v>
      </c>
      <c r="B5391" s="113" t="s">
        <v>7116</v>
      </c>
      <c r="C5391" s="113">
        <v>6991144</v>
      </c>
      <c r="D5391" s="113" t="s">
        <v>7139</v>
      </c>
      <c r="E5391" s="113" t="s">
        <v>1620</v>
      </c>
      <c r="F5391" s="113" t="s">
        <v>7139</v>
      </c>
      <c r="G5391" s="113" t="s">
        <v>7145</v>
      </c>
      <c r="H5391" s="161">
        <v>0</v>
      </c>
      <c r="I5391" s="161" t="s">
        <v>7146</v>
      </c>
    </row>
    <row r="5392" spans="1:9">
      <c r="A5392" s="113">
        <v>100791266</v>
      </c>
      <c r="B5392" s="113" t="s">
        <v>7116</v>
      </c>
      <c r="C5392" s="113">
        <v>6991145</v>
      </c>
      <c r="D5392" s="113" t="s">
        <v>7139</v>
      </c>
      <c r="E5392" s="113" t="s">
        <v>1620</v>
      </c>
      <c r="F5392" s="113" t="s">
        <v>7139</v>
      </c>
      <c r="G5392" s="113" t="s">
        <v>7145</v>
      </c>
      <c r="H5392" s="161">
        <v>0</v>
      </c>
      <c r="I5392" s="161" t="s">
        <v>7146</v>
      </c>
    </row>
    <row r="5393" spans="1:9">
      <c r="A5393" s="113">
        <v>100791267</v>
      </c>
      <c r="B5393" s="113" t="s">
        <v>7116</v>
      </c>
      <c r="C5393" s="113">
        <v>6991168</v>
      </c>
      <c r="D5393" s="113" t="s">
        <v>7139</v>
      </c>
      <c r="E5393" s="113" t="s">
        <v>1620</v>
      </c>
      <c r="F5393" s="113" t="s">
        <v>7139</v>
      </c>
      <c r="G5393" s="113" t="s">
        <v>7145</v>
      </c>
      <c r="H5393" s="161">
        <v>0</v>
      </c>
      <c r="I5393" s="161" t="s">
        <v>7146</v>
      </c>
    </row>
    <row r="5394" spans="1:9">
      <c r="A5394" s="113">
        <v>100791268</v>
      </c>
      <c r="B5394" s="113" t="s">
        <v>7116</v>
      </c>
      <c r="C5394" s="113">
        <v>6991169</v>
      </c>
      <c r="D5394" s="113" t="s">
        <v>7139</v>
      </c>
      <c r="E5394" s="113" t="s">
        <v>1620</v>
      </c>
      <c r="F5394" s="113" t="s">
        <v>7139</v>
      </c>
      <c r="G5394" s="113" t="s">
        <v>7145</v>
      </c>
      <c r="H5394" s="161">
        <v>0</v>
      </c>
      <c r="I5394" s="161" t="s">
        <v>7146</v>
      </c>
    </row>
    <row r="5395" spans="1:9">
      <c r="A5395" s="113">
        <v>100791272</v>
      </c>
      <c r="B5395" s="113" t="s">
        <v>7116</v>
      </c>
      <c r="C5395" s="113">
        <v>6991201</v>
      </c>
      <c r="D5395" s="113" t="s">
        <v>7139</v>
      </c>
      <c r="E5395" s="113" t="s">
        <v>1620</v>
      </c>
      <c r="F5395" s="113" t="s">
        <v>7139</v>
      </c>
      <c r="G5395" s="113" t="s">
        <v>7145</v>
      </c>
      <c r="H5395" s="161">
        <v>0</v>
      </c>
      <c r="I5395" s="161" t="s">
        <v>7146</v>
      </c>
    </row>
    <row r="5396" spans="1:9">
      <c r="A5396" s="113">
        <v>100791273</v>
      </c>
      <c r="B5396" s="113" t="s">
        <v>7116</v>
      </c>
      <c r="C5396" s="113">
        <v>6991271</v>
      </c>
      <c r="D5396" s="113" t="s">
        <v>7139</v>
      </c>
      <c r="E5396" s="113" t="s">
        <v>1620</v>
      </c>
      <c r="F5396" s="113" t="s">
        <v>7139</v>
      </c>
      <c r="G5396" s="113" t="s">
        <v>7145</v>
      </c>
      <c r="H5396" s="161">
        <v>0</v>
      </c>
      <c r="I5396" s="161" t="s">
        <v>7146</v>
      </c>
    </row>
    <row r="5397" spans="1:9">
      <c r="A5397" s="113">
        <v>100791274</v>
      </c>
      <c r="B5397" s="113" t="s">
        <v>7116</v>
      </c>
      <c r="C5397" s="113">
        <v>6991272</v>
      </c>
      <c r="D5397" s="113" t="s">
        <v>7139</v>
      </c>
      <c r="E5397" s="113" t="s">
        <v>1620</v>
      </c>
      <c r="F5397" s="113" t="s">
        <v>7139</v>
      </c>
      <c r="G5397" s="113" t="s">
        <v>7145</v>
      </c>
      <c r="H5397" s="161">
        <v>0</v>
      </c>
      <c r="I5397" s="161" t="s">
        <v>7146</v>
      </c>
    </row>
    <row r="5398" spans="1:9">
      <c r="A5398" s="113">
        <v>100791282</v>
      </c>
      <c r="B5398" s="113" t="s">
        <v>7116</v>
      </c>
      <c r="C5398" s="113">
        <v>6991449</v>
      </c>
      <c r="D5398" s="113" t="s">
        <v>7139</v>
      </c>
      <c r="E5398" s="113" t="s">
        <v>1620</v>
      </c>
      <c r="F5398" s="113" t="s">
        <v>7139</v>
      </c>
      <c r="G5398" s="113" t="s">
        <v>7145</v>
      </c>
      <c r="H5398" s="161">
        <v>0</v>
      </c>
      <c r="I5398" s="161" t="s">
        <v>7146</v>
      </c>
    </row>
    <row r="5399" spans="1:9">
      <c r="A5399" s="113">
        <v>100791294</v>
      </c>
      <c r="B5399" s="113" t="s">
        <v>7116</v>
      </c>
      <c r="C5399" s="113">
        <v>7011020</v>
      </c>
      <c r="D5399" s="113" t="s">
        <v>7139</v>
      </c>
      <c r="E5399" s="113" t="s">
        <v>1620</v>
      </c>
      <c r="F5399" s="113" t="s">
        <v>7139</v>
      </c>
      <c r="G5399" s="113" t="s">
        <v>7145</v>
      </c>
      <c r="H5399" s="161">
        <v>0</v>
      </c>
      <c r="I5399" s="161" t="s">
        <v>7146</v>
      </c>
    </row>
    <row r="5400" spans="1:9">
      <c r="A5400" s="113">
        <v>100791329</v>
      </c>
      <c r="B5400" s="113" t="s">
        <v>7116</v>
      </c>
      <c r="C5400" s="113">
        <v>7013112</v>
      </c>
      <c r="D5400" s="113" t="s">
        <v>7139</v>
      </c>
      <c r="E5400" s="113" t="s">
        <v>1620</v>
      </c>
      <c r="F5400" s="113" t="s">
        <v>7139</v>
      </c>
      <c r="G5400" s="113" t="s">
        <v>7145</v>
      </c>
      <c r="H5400" s="161">
        <v>0</v>
      </c>
      <c r="I5400" s="161" t="s">
        <v>7146</v>
      </c>
    </row>
    <row r="5401" spans="1:9">
      <c r="A5401" s="113">
        <v>100791336</v>
      </c>
      <c r="B5401" s="113" t="s">
        <v>7116</v>
      </c>
      <c r="C5401" s="113">
        <v>7015006</v>
      </c>
      <c r="D5401" s="113" t="s">
        <v>7139</v>
      </c>
      <c r="E5401" s="113" t="s">
        <v>1620</v>
      </c>
      <c r="F5401" s="113" t="s">
        <v>7139</v>
      </c>
      <c r="G5401" s="113" t="s">
        <v>7145</v>
      </c>
      <c r="H5401" s="161">
        <v>0</v>
      </c>
      <c r="I5401" s="161" t="s">
        <v>7146</v>
      </c>
    </row>
    <row r="5402" spans="1:9">
      <c r="A5402" s="113">
        <v>100791341</v>
      </c>
      <c r="B5402" s="113" t="s">
        <v>7116</v>
      </c>
      <c r="C5402" s="113">
        <v>7016011</v>
      </c>
      <c r="D5402" s="113" t="s">
        <v>7139</v>
      </c>
      <c r="E5402" s="113" t="s">
        <v>1620</v>
      </c>
      <c r="F5402" s="113" t="s">
        <v>7139</v>
      </c>
      <c r="G5402" s="113" t="s">
        <v>7145</v>
      </c>
      <c r="H5402" s="161">
        <v>0</v>
      </c>
      <c r="I5402" s="161" t="s">
        <v>7146</v>
      </c>
    </row>
    <row r="5403" spans="1:9">
      <c r="A5403" s="113">
        <v>100791351</v>
      </c>
      <c r="B5403" s="113" t="s">
        <v>7116</v>
      </c>
      <c r="C5403" s="113">
        <v>7016041</v>
      </c>
      <c r="D5403" s="113" t="s">
        <v>7139</v>
      </c>
      <c r="E5403" s="113" t="s">
        <v>1620</v>
      </c>
      <c r="F5403" s="113" t="s">
        <v>7139</v>
      </c>
      <c r="G5403" s="115" t="s">
        <v>7145</v>
      </c>
      <c r="H5403" s="161">
        <v>0</v>
      </c>
      <c r="I5403" s="161" t="s">
        <v>7146</v>
      </c>
    </row>
    <row r="5404" spans="1:9">
      <c r="A5404" s="113">
        <v>100791352</v>
      </c>
      <c r="B5404" s="113" t="s">
        <v>7116</v>
      </c>
      <c r="C5404" s="113">
        <v>7016043</v>
      </c>
      <c r="D5404" s="113" t="s">
        <v>7139</v>
      </c>
      <c r="E5404" s="113" t="s">
        <v>1620</v>
      </c>
      <c r="F5404" s="113" t="s">
        <v>7139</v>
      </c>
      <c r="G5404" s="115" t="s">
        <v>7145</v>
      </c>
      <c r="H5404" s="161">
        <v>0</v>
      </c>
      <c r="I5404" s="161" t="s">
        <v>7146</v>
      </c>
    </row>
    <row r="5405" spans="1:9">
      <c r="A5405" s="113">
        <v>100791354</v>
      </c>
      <c r="B5405" s="113" t="s">
        <v>7116</v>
      </c>
      <c r="C5405" s="113">
        <v>7016124</v>
      </c>
      <c r="D5405" s="113" t="s">
        <v>7139</v>
      </c>
      <c r="E5405" s="113" t="s">
        <v>1620</v>
      </c>
      <c r="F5405" s="113" t="s">
        <v>7139</v>
      </c>
      <c r="G5405" s="115" t="s">
        <v>7145</v>
      </c>
      <c r="H5405" s="161">
        <v>0</v>
      </c>
      <c r="I5405" s="161" t="s">
        <v>7146</v>
      </c>
    </row>
    <row r="5406" spans="1:9">
      <c r="A5406" s="113">
        <v>100791355</v>
      </c>
      <c r="B5406" s="113" t="s">
        <v>7116</v>
      </c>
      <c r="C5406" s="113">
        <v>7016166</v>
      </c>
      <c r="D5406" s="113" t="s">
        <v>7139</v>
      </c>
      <c r="E5406" s="113" t="s">
        <v>1620</v>
      </c>
      <c r="F5406" s="113" t="s">
        <v>7139</v>
      </c>
      <c r="G5406" s="115" t="s">
        <v>7145</v>
      </c>
      <c r="H5406" s="161">
        <v>0</v>
      </c>
      <c r="I5406" s="161" t="s">
        <v>7146</v>
      </c>
    </row>
    <row r="5407" spans="1:9">
      <c r="A5407" s="113">
        <v>100791356</v>
      </c>
      <c r="B5407" s="113" t="s">
        <v>7116</v>
      </c>
      <c r="C5407" s="113">
        <v>7016168</v>
      </c>
      <c r="D5407" s="113" t="s">
        <v>7139</v>
      </c>
      <c r="E5407" s="113" t="s">
        <v>1620</v>
      </c>
      <c r="F5407" s="113" t="s">
        <v>7139</v>
      </c>
      <c r="G5407" s="115" t="s">
        <v>7145</v>
      </c>
      <c r="H5407" s="161">
        <v>0</v>
      </c>
      <c r="I5407" s="161" t="s">
        <v>7146</v>
      </c>
    </row>
    <row r="5408" spans="1:9">
      <c r="A5408" s="113">
        <v>100791357</v>
      </c>
      <c r="B5408" s="113" t="s">
        <v>7116</v>
      </c>
      <c r="C5408" s="113">
        <v>7016176</v>
      </c>
      <c r="D5408" s="113" t="s">
        <v>7139</v>
      </c>
      <c r="E5408" s="113" t="s">
        <v>1620</v>
      </c>
      <c r="F5408" s="113" t="s">
        <v>7139</v>
      </c>
      <c r="G5408" s="115" t="s">
        <v>7145</v>
      </c>
      <c r="H5408" s="161">
        <v>0</v>
      </c>
      <c r="I5408" s="161" t="s">
        <v>7146</v>
      </c>
    </row>
    <row r="5409" spans="1:9">
      <c r="A5409" s="113">
        <v>100791358</v>
      </c>
      <c r="B5409" s="113" t="s">
        <v>7116</v>
      </c>
      <c r="C5409" s="113">
        <v>7017012</v>
      </c>
      <c r="D5409" s="113" t="s">
        <v>7139</v>
      </c>
      <c r="E5409" s="113" t="s">
        <v>1620</v>
      </c>
      <c r="F5409" s="113" t="s">
        <v>7139</v>
      </c>
      <c r="G5409" s="113" t="s">
        <v>7145</v>
      </c>
      <c r="H5409" s="161">
        <v>0</v>
      </c>
      <c r="I5409" s="161" t="s">
        <v>7146</v>
      </c>
    </row>
    <row r="5410" spans="1:9">
      <c r="A5410" s="113">
        <v>100791359</v>
      </c>
      <c r="B5410" s="113" t="s">
        <v>7116</v>
      </c>
      <c r="C5410" s="113">
        <v>7017019</v>
      </c>
      <c r="D5410" s="113" t="s">
        <v>7139</v>
      </c>
      <c r="E5410" s="113" t="s">
        <v>1620</v>
      </c>
      <c r="F5410" s="113" t="s">
        <v>7139</v>
      </c>
      <c r="G5410" s="113" t="s">
        <v>7145</v>
      </c>
      <c r="H5410" s="161">
        <v>0</v>
      </c>
      <c r="I5410" s="161" t="s">
        <v>7146</v>
      </c>
    </row>
    <row r="5411" spans="1:9">
      <c r="A5411" s="113">
        <v>100791360</v>
      </c>
      <c r="B5411" s="113" t="s">
        <v>7116</v>
      </c>
      <c r="C5411" s="113">
        <v>7017020</v>
      </c>
      <c r="D5411" s="113" t="s">
        <v>7139</v>
      </c>
      <c r="E5411" s="113" t="s">
        <v>1620</v>
      </c>
      <c r="F5411" s="113" t="s">
        <v>7139</v>
      </c>
      <c r="G5411" s="113" t="s">
        <v>7145</v>
      </c>
      <c r="H5411" s="161">
        <v>0</v>
      </c>
      <c r="I5411" s="161" t="s">
        <v>7146</v>
      </c>
    </row>
    <row r="5412" spans="1:9">
      <c r="A5412" s="113">
        <v>100791361</v>
      </c>
      <c r="B5412" s="113" t="s">
        <v>7116</v>
      </c>
      <c r="C5412" s="113">
        <v>7017055</v>
      </c>
      <c r="D5412" s="113" t="s">
        <v>7139</v>
      </c>
      <c r="E5412" s="113" t="s">
        <v>1620</v>
      </c>
      <c r="F5412" s="113" t="s">
        <v>7139</v>
      </c>
      <c r="G5412" s="113" t="s">
        <v>7145</v>
      </c>
      <c r="H5412" s="161">
        <v>0</v>
      </c>
      <c r="I5412" s="161" t="s">
        <v>7146</v>
      </c>
    </row>
    <row r="5413" spans="1:9">
      <c r="A5413" s="113">
        <v>100791362</v>
      </c>
      <c r="B5413" s="113" t="s">
        <v>7116</v>
      </c>
      <c r="C5413" s="113">
        <v>7017056</v>
      </c>
      <c r="D5413" s="113" t="s">
        <v>7139</v>
      </c>
      <c r="E5413" s="113" t="s">
        <v>1620</v>
      </c>
      <c r="F5413" s="113" t="s">
        <v>7139</v>
      </c>
      <c r="G5413" s="113" t="s">
        <v>7145</v>
      </c>
      <c r="H5413" s="161">
        <v>0</v>
      </c>
      <c r="I5413" s="161" t="s">
        <v>7146</v>
      </c>
    </row>
    <row r="5414" spans="1:9">
      <c r="A5414" s="113">
        <v>100791364</v>
      </c>
      <c r="B5414" s="113" t="s">
        <v>7116</v>
      </c>
      <c r="C5414" s="113">
        <v>7017060</v>
      </c>
      <c r="D5414" s="113" t="s">
        <v>7139</v>
      </c>
      <c r="E5414" s="113" t="s">
        <v>1620</v>
      </c>
      <c r="F5414" s="113" t="s">
        <v>7139</v>
      </c>
      <c r="G5414" s="113" t="s">
        <v>7145</v>
      </c>
      <c r="H5414" s="161">
        <v>0</v>
      </c>
      <c r="I5414" s="161" t="s">
        <v>7146</v>
      </c>
    </row>
    <row r="5415" spans="1:9">
      <c r="A5415" s="113">
        <v>100791369</v>
      </c>
      <c r="B5415" s="113" t="s">
        <v>7116</v>
      </c>
      <c r="C5415" s="113">
        <v>7018081</v>
      </c>
      <c r="D5415" s="113" t="s">
        <v>7139</v>
      </c>
      <c r="E5415" s="113" t="s">
        <v>1620</v>
      </c>
      <c r="F5415" s="113" t="s">
        <v>7139</v>
      </c>
      <c r="G5415" s="113" t="s">
        <v>7145</v>
      </c>
      <c r="H5415" s="161">
        <v>0</v>
      </c>
      <c r="I5415" s="161" t="s">
        <v>7146</v>
      </c>
    </row>
    <row r="5416" spans="1:9">
      <c r="A5416" s="113">
        <v>100791370</v>
      </c>
      <c r="B5416" s="113" t="s">
        <v>7116</v>
      </c>
      <c r="C5416" s="113">
        <v>7018084</v>
      </c>
      <c r="D5416" s="113" t="s">
        <v>7139</v>
      </c>
      <c r="E5416" s="113" t="s">
        <v>1620</v>
      </c>
      <c r="F5416" s="113" t="s">
        <v>7139</v>
      </c>
      <c r="G5416" s="113" t="s">
        <v>7145</v>
      </c>
      <c r="H5416" s="161">
        <v>0</v>
      </c>
      <c r="I5416" s="161" t="s">
        <v>7146</v>
      </c>
    </row>
    <row r="5417" spans="1:9">
      <c r="A5417" s="113">
        <v>100791372</v>
      </c>
      <c r="B5417" s="113" t="s">
        <v>7116</v>
      </c>
      <c r="C5417" s="113">
        <v>7018099</v>
      </c>
      <c r="D5417" s="113" t="s">
        <v>7139</v>
      </c>
      <c r="E5417" s="113" t="s">
        <v>1620</v>
      </c>
      <c r="F5417" s="113" t="s">
        <v>7139</v>
      </c>
      <c r="G5417" s="115" t="s">
        <v>7145</v>
      </c>
      <c r="H5417" s="161">
        <v>0</v>
      </c>
      <c r="I5417" s="161" t="s">
        <v>7146</v>
      </c>
    </row>
    <row r="5418" spans="1:9">
      <c r="A5418" s="113">
        <v>100791374</v>
      </c>
      <c r="B5418" s="113" t="s">
        <v>7116</v>
      </c>
      <c r="C5418" s="113">
        <v>7020003</v>
      </c>
      <c r="D5418" s="113" t="s">
        <v>7139</v>
      </c>
      <c r="E5418" s="113" t="s">
        <v>1620</v>
      </c>
      <c r="F5418" s="113" t="s">
        <v>7139</v>
      </c>
      <c r="G5418" s="113" t="s">
        <v>7145</v>
      </c>
      <c r="H5418" s="161">
        <v>0</v>
      </c>
      <c r="I5418" s="161" t="s">
        <v>7146</v>
      </c>
    </row>
    <row r="5419" spans="1:9">
      <c r="A5419" s="113">
        <v>100791377</v>
      </c>
      <c r="B5419" s="113" t="s">
        <v>7116</v>
      </c>
      <c r="C5419" s="113">
        <v>7020049</v>
      </c>
      <c r="D5419" s="113" t="s">
        <v>7139</v>
      </c>
      <c r="E5419" s="113" t="s">
        <v>1620</v>
      </c>
      <c r="F5419" s="113" t="s">
        <v>7139</v>
      </c>
      <c r="G5419" s="113" t="s">
        <v>7145</v>
      </c>
      <c r="H5419" s="161">
        <v>0</v>
      </c>
      <c r="I5419" s="161" t="s">
        <v>7146</v>
      </c>
    </row>
    <row r="5420" spans="1:9">
      <c r="A5420" s="113">
        <v>100791378</v>
      </c>
      <c r="B5420" s="113" t="s">
        <v>7116</v>
      </c>
      <c r="C5420" s="113">
        <v>7020147</v>
      </c>
      <c r="D5420" s="113" t="s">
        <v>7139</v>
      </c>
      <c r="E5420" s="113" t="s">
        <v>1620</v>
      </c>
      <c r="F5420" s="113" t="s">
        <v>7139</v>
      </c>
      <c r="G5420" s="113" t="s">
        <v>7145</v>
      </c>
      <c r="H5420" s="161">
        <v>0</v>
      </c>
      <c r="I5420" s="161" t="s">
        <v>7146</v>
      </c>
    </row>
    <row r="5421" spans="1:9">
      <c r="A5421" s="113">
        <v>100791379</v>
      </c>
      <c r="B5421" s="113" t="s">
        <v>7116</v>
      </c>
      <c r="C5421" s="113">
        <v>7020148</v>
      </c>
      <c r="D5421" s="113" t="s">
        <v>7139</v>
      </c>
      <c r="E5421" s="113" t="s">
        <v>1620</v>
      </c>
      <c r="F5421" s="113" t="s">
        <v>7139</v>
      </c>
      <c r="G5421" s="113" t="s">
        <v>7145</v>
      </c>
      <c r="H5421" s="161">
        <v>0</v>
      </c>
      <c r="I5421" s="161" t="s">
        <v>7146</v>
      </c>
    </row>
    <row r="5422" spans="1:9">
      <c r="A5422" s="113">
        <v>100791388</v>
      </c>
      <c r="B5422" s="113" t="s">
        <v>7116</v>
      </c>
      <c r="C5422" s="113">
        <v>7020210</v>
      </c>
      <c r="D5422" s="113" t="s">
        <v>7139</v>
      </c>
      <c r="E5422" s="113" t="s">
        <v>1620</v>
      </c>
      <c r="F5422" s="113" t="s">
        <v>7139</v>
      </c>
      <c r="G5422" s="115" t="s">
        <v>7145</v>
      </c>
      <c r="H5422" s="161">
        <v>0</v>
      </c>
      <c r="I5422" s="161" t="s">
        <v>7146</v>
      </c>
    </row>
    <row r="5423" spans="1:9">
      <c r="A5423" s="113">
        <v>100791392</v>
      </c>
      <c r="B5423" s="113" t="s">
        <v>7116</v>
      </c>
      <c r="C5423" s="113">
        <v>7030031</v>
      </c>
      <c r="D5423" s="113" t="s">
        <v>7139</v>
      </c>
      <c r="E5423" s="113" t="s">
        <v>1620</v>
      </c>
      <c r="F5423" s="113" t="s">
        <v>7139</v>
      </c>
      <c r="G5423" s="113" t="s">
        <v>7145</v>
      </c>
      <c r="H5423" s="161">
        <v>0</v>
      </c>
      <c r="I5423" s="161" t="s">
        <v>7146</v>
      </c>
    </row>
    <row r="5424" spans="1:9">
      <c r="A5424" s="113">
        <v>100791393</v>
      </c>
      <c r="B5424" s="113" t="s">
        <v>7116</v>
      </c>
      <c r="C5424" s="113">
        <v>7030035</v>
      </c>
      <c r="D5424" s="113" t="s">
        <v>7139</v>
      </c>
      <c r="E5424" s="113" t="s">
        <v>1620</v>
      </c>
      <c r="F5424" s="113" t="s">
        <v>7139</v>
      </c>
      <c r="G5424" s="115" t="s">
        <v>7145</v>
      </c>
      <c r="H5424" s="161">
        <v>0</v>
      </c>
      <c r="I5424" s="161" t="s">
        <v>7146</v>
      </c>
    </row>
    <row r="5425" spans="1:9">
      <c r="A5425" s="113">
        <v>100791394</v>
      </c>
      <c r="B5425" s="113" t="s">
        <v>7116</v>
      </c>
      <c r="C5425" s="113">
        <v>7030037</v>
      </c>
      <c r="D5425" s="113" t="s">
        <v>7139</v>
      </c>
      <c r="E5425" s="113" t="s">
        <v>1620</v>
      </c>
      <c r="F5425" s="113" t="s">
        <v>7139</v>
      </c>
      <c r="G5425" s="115" t="s">
        <v>7145</v>
      </c>
      <c r="H5425" s="161">
        <v>0</v>
      </c>
      <c r="I5425" s="161" t="s">
        <v>7146</v>
      </c>
    </row>
    <row r="5426" spans="1:9">
      <c r="A5426" s="113">
        <v>100791397</v>
      </c>
      <c r="B5426" s="113" t="s">
        <v>7116</v>
      </c>
      <c r="C5426" s="113">
        <v>7032013</v>
      </c>
      <c r="D5426" s="113" t="s">
        <v>7139</v>
      </c>
      <c r="E5426" s="113" t="s">
        <v>1620</v>
      </c>
      <c r="F5426" s="113" t="s">
        <v>7139</v>
      </c>
      <c r="G5426" s="115" t="s">
        <v>7145</v>
      </c>
      <c r="H5426" s="161">
        <v>0</v>
      </c>
      <c r="I5426" s="161" t="s">
        <v>7146</v>
      </c>
    </row>
    <row r="5427" spans="1:9">
      <c r="A5427" s="113">
        <v>100791404</v>
      </c>
      <c r="B5427" s="113" t="s">
        <v>7116</v>
      </c>
      <c r="C5427" s="113">
        <v>7036025</v>
      </c>
      <c r="D5427" s="113" t="s">
        <v>7139</v>
      </c>
      <c r="E5427" s="113" t="s">
        <v>1620</v>
      </c>
      <c r="F5427" s="113" t="s">
        <v>7139</v>
      </c>
      <c r="G5427" s="115" t="s">
        <v>7145</v>
      </c>
      <c r="H5427" s="161">
        <v>0</v>
      </c>
      <c r="I5427" s="161" t="s">
        <v>7146</v>
      </c>
    </row>
    <row r="5428" spans="1:9">
      <c r="A5428" s="113">
        <v>100791406</v>
      </c>
      <c r="B5428" s="113" t="s">
        <v>7116</v>
      </c>
      <c r="C5428" s="113">
        <v>7040020</v>
      </c>
      <c r="D5428" s="113" t="s">
        <v>7139</v>
      </c>
      <c r="E5428" s="113" t="s">
        <v>1620</v>
      </c>
      <c r="F5428" s="113" t="s">
        <v>7139</v>
      </c>
      <c r="G5428" s="115" t="s">
        <v>7145</v>
      </c>
      <c r="H5428" s="161">
        <v>0</v>
      </c>
      <c r="I5428" s="161" t="s">
        <v>7146</v>
      </c>
    </row>
    <row r="5429" spans="1:9">
      <c r="A5429" s="113">
        <v>100791439</v>
      </c>
      <c r="B5429" s="113" t="s">
        <v>7116</v>
      </c>
      <c r="C5429" s="113">
        <v>7061029</v>
      </c>
      <c r="D5429" s="113" t="s">
        <v>7139</v>
      </c>
      <c r="E5429" s="113" t="s">
        <v>1620</v>
      </c>
      <c r="F5429" s="113" t="s">
        <v>7139</v>
      </c>
      <c r="G5429" s="115" t="s">
        <v>7145</v>
      </c>
      <c r="H5429" s="161">
        <v>0</v>
      </c>
      <c r="I5429" s="161" t="s">
        <v>7146</v>
      </c>
    </row>
    <row r="5430" spans="1:9">
      <c r="A5430" s="113">
        <v>100791440</v>
      </c>
      <c r="B5430" s="113" t="s">
        <v>7116</v>
      </c>
      <c r="C5430" s="113">
        <v>7062001</v>
      </c>
      <c r="D5430" s="113" t="s">
        <v>7139</v>
      </c>
      <c r="E5430" s="113" t="s">
        <v>1620</v>
      </c>
      <c r="F5430" s="113" t="s">
        <v>7139</v>
      </c>
      <c r="G5430" s="115" t="s">
        <v>7145</v>
      </c>
      <c r="H5430" s="161">
        <v>0</v>
      </c>
      <c r="I5430" s="161" t="s">
        <v>7146</v>
      </c>
    </row>
    <row r="5431" spans="1:9">
      <c r="A5431" s="113">
        <v>100791443</v>
      </c>
      <c r="B5431" s="113" t="s">
        <v>7116</v>
      </c>
      <c r="C5431" s="113">
        <v>7062029</v>
      </c>
      <c r="D5431" s="113" t="s">
        <v>7139</v>
      </c>
      <c r="E5431" s="113" t="s">
        <v>1620</v>
      </c>
      <c r="F5431" s="113" t="s">
        <v>7139</v>
      </c>
      <c r="G5431" s="115" t="s">
        <v>7145</v>
      </c>
      <c r="H5431" s="161">
        <v>0</v>
      </c>
      <c r="I5431" s="161" t="s">
        <v>7146</v>
      </c>
    </row>
    <row r="5432" spans="1:9">
      <c r="A5432" s="113">
        <v>100791445</v>
      </c>
      <c r="B5432" s="113" t="s">
        <v>7116</v>
      </c>
      <c r="C5432" s="113">
        <v>7062075</v>
      </c>
      <c r="D5432" s="113" t="s">
        <v>7139</v>
      </c>
      <c r="E5432" s="113" t="s">
        <v>1620</v>
      </c>
      <c r="F5432" s="113" t="s">
        <v>7139</v>
      </c>
      <c r="G5432" s="113" t="s">
        <v>7145</v>
      </c>
      <c r="H5432" s="161">
        <v>0</v>
      </c>
      <c r="I5432" s="161" t="s">
        <v>7146</v>
      </c>
    </row>
    <row r="5433" spans="1:9">
      <c r="A5433" s="113">
        <v>100791450</v>
      </c>
      <c r="B5433" s="113" t="s">
        <v>7116</v>
      </c>
      <c r="C5433" s="113">
        <v>7062090</v>
      </c>
      <c r="D5433" s="113" t="s">
        <v>7139</v>
      </c>
      <c r="E5433" s="113" t="s">
        <v>1620</v>
      </c>
      <c r="F5433" s="113" t="s">
        <v>7139</v>
      </c>
      <c r="G5433" s="113" t="s">
        <v>7145</v>
      </c>
      <c r="H5433" s="161">
        <v>0</v>
      </c>
      <c r="I5433" s="161" t="s">
        <v>7146</v>
      </c>
    </row>
    <row r="5434" spans="1:9">
      <c r="A5434" s="113">
        <v>100791452</v>
      </c>
      <c r="B5434" s="113" t="s">
        <v>7116</v>
      </c>
      <c r="C5434" s="113">
        <v>7062092</v>
      </c>
      <c r="D5434" s="113" t="s">
        <v>7139</v>
      </c>
      <c r="E5434" s="113" t="s">
        <v>1620</v>
      </c>
      <c r="F5434" s="113" t="s">
        <v>7139</v>
      </c>
      <c r="G5434" s="115" t="s">
        <v>7145</v>
      </c>
      <c r="H5434" s="161">
        <v>0</v>
      </c>
      <c r="I5434" s="161" t="s">
        <v>7146</v>
      </c>
    </row>
    <row r="5435" spans="1:9">
      <c r="A5435" s="113">
        <v>100791454</v>
      </c>
      <c r="B5435" s="113" t="s">
        <v>7116</v>
      </c>
      <c r="C5435" s="113">
        <v>7062099</v>
      </c>
      <c r="D5435" s="113" t="s">
        <v>7139</v>
      </c>
      <c r="E5435" s="113" t="s">
        <v>1620</v>
      </c>
      <c r="F5435" s="113" t="s">
        <v>7139</v>
      </c>
      <c r="G5435" s="115" t="s">
        <v>7145</v>
      </c>
      <c r="H5435" s="161">
        <v>0</v>
      </c>
      <c r="I5435" s="161" t="s">
        <v>7146</v>
      </c>
    </row>
    <row r="5436" spans="1:9">
      <c r="A5436" s="113">
        <v>100791455</v>
      </c>
      <c r="B5436" s="113" t="s">
        <v>7116</v>
      </c>
      <c r="C5436" s="113">
        <v>7062100</v>
      </c>
      <c r="D5436" s="113" t="s">
        <v>7139</v>
      </c>
      <c r="E5436" s="113" t="s">
        <v>1620</v>
      </c>
      <c r="F5436" s="113" t="s">
        <v>7139</v>
      </c>
      <c r="G5436" s="113" t="s">
        <v>7145</v>
      </c>
      <c r="H5436" s="161">
        <v>0</v>
      </c>
      <c r="I5436" s="161" t="s">
        <v>7146</v>
      </c>
    </row>
    <row r="5437" spans="1:9">
      <c r="A5437" s="113">
        <v>100791456</v>
      </c>
      <c r="B5437" s="113" t="s">
        <v>7116</v>
      </c>
      <c r="C5437" s="113">
        <v>7062101</v>
      </c>
      <c r="D5437" s="113" t="s">
        <v>7139</v>
      </c>
      <c r="E5437" s="113" t="s">
        <v>1620</v>
      </c>
      <c r="F5437" s="113" t="s">
        <v>7139</v>
      </c>
      <c r="G5437" s="115" t="s">
        <v>7145</v>
      </c>
      <c r="H5437" s="161">
        <v>0</v>
      </c>
      <c r="I5437" s="161" t="s">
        <v>7146</v>
      </c>
    </row>
    <row r="5438" spans="1:9">
      <c r="A5438" s="113">
        <v>100791457</v>
      </c>
      <c r="B5438" s="113" t="s">
        <v>7116</v>
      </c>
      <c r="C5438" s="113">
        <v>7062102</v>
      </c>
      <c r="D5438" s="113" t="s">
        <v>7139</v>
      </c>
      <c r="E5438" s="113" t="s">
        <v>1620</v>
      </c>
      <c r="F5438" s="113" t="s">
        <v>7139</v>
      </c>
      <c r="G5438" s="113" t="s">
        <v>7145</v>
      </c>
      <c r="H5438" s="161">
        <v>0</v>
      </c>
      <c r="I5438" s="161" t="s">
        <v>7146</v>
      </c>
    </row>
    <row r="5439" spans="1:9">
      <c r="A5439" s="113">
        <v>100791458</v>
      </c>
      <c r="B5439" s="113" t="s">
        <v>7116</v>
      </c>
      <c r="C5439" s="113">
        <v>7062109</v>
      </c>
      <c r="D5439" s="113" t="s">
        <v>7139</v>
      </c>
      <c r="E5439" s="113" t="s">
        <v>1620</v>
      </c>
      <c r="F5439" s="113" t="s">
        <v>7139</v>
      </c>
      <c r="G5439" s="115" t="s">
        <v>7145</v>
      </c>
      <c r="H5439" s="161">
        <v>0</v>
      </c>
      <c r="I5439" s="161" t="s">
        <v>7146</v>
      </c>
    </row>
    <row r="5440" spans="1:9">
      <c r="A5440" s="113">
        <v>100791459</v>
      </c>
      <c r="B5440" s="113" t="s">
        <v>7116</v>
      </c>
      <c r="C5440" s="113">
        <v>7062116</v>
      </c>
      <c r="D5440" s="113" t="s">
        <v>7139</v>
      </c>
      <c r="E5440" s="113" t="s">
        <v>1620</v>
      </c>
      <c r="F5440" s="113" t="s">
        <v>7139</v>
      </c>
      <c r="G5440" s="115" t="s">
        <v>7145</v>
      </c>
      <c r="H5440" s="161">
        <v>0</v>
      </c>
      <c r="I5440" s="161" t="s">
        <v>7146</v>
      </c>
    </row>
    <row r="5441" spans="1:9">
      <c r="A5441" s="113">
        <v>100791460</v>
      </c>
      <c r="B5441" s="113" t="s">
        <v>7116</v>
      </c>
      <c r="C5441" s="113">
        <v>7062117</v>
      </c>
      <c r="D5441" s="113" t="s">
        <v>7139</v>
      </c>
      <c r="E5441" s="113" t="s">
        <v>1620</v>
      </c>
      <c r="F5441" s="113" t="s">
        <v>7139</v>
      </c>
      <c r="G5441" s="113" t="s">
        <v>7145</v>
      </c>
      <c r="H5441" s="161">
        <v>0</v>
      </c>
      <c r="I5441" s="161" t="s">
        <v>7146</v>
      </c>
    </row>
    <row r="5442" spans="1:9">
      <c r="A5442" s="113">
        <v>100791463</v>
      </c>
      <c r="B5442" s="113" t="s">
        <v>7116</v>
      </c>
      <c r="C5442" s="113">
        <v>7062126</v>
      </c>
      <c r="D5442" s="113" t="s">
        <v>7139</v>
      </c>
      <c r="E5442" s="113" t="s">
        <v>1620</v>
      </c>
      <c r="F5442" s="113" t="s">
        <v>7139</v>
      </c>
      <c r="G5442" s="113" t="s">
        <v>7145</v>
      </c>
      <c r="H5442" s="161">
        <v>0</v>
      </c>
      <c r="I5442" s="161" t="s">
        <v>7146</v>
      </c>
    </row>
    <row r="5443" spans="1:9">
      <c r="A5443" s="113">
        <v>100791464</v>
      </c>
      <c r="B5443" s="113" t="s">
        <v>7116</v>
      </c>
      <c r="C5443" s="113">
        <v>7062127</v>
      </c>
      <c r="D5443" s="113" t="s">
        <v>7139</v>
      </c>
      <c r="E5443" s="113" t="s">
        <v>1620</v>
      </c>
      <c r="F5443" s="113" t="s">
        <v>7139</v>
      </c>
      <c r="G5443" s="115" t="s">
        <v>7145</v>
      </c>
      <c r="H5443" s="161">
        <v>0</v>
      </c>
      <c r="I5443" s="161" t="s">
        <v>7146</v>
      </c>
    </row>
    <row r="5444" spans="1:9">
      <c r="A5444" s="113">
        <v>100791467</v>
      </c>
      <c r="B5444" s="113" t="s">
        <v>7116</v>
      </c>
      <c r="C5444" s="113">
        <v>7062150</v>
      </c>
      <c r="D5444" s="113" t="s">
        <v>7139</v>
      </c>
      <c r="E5444" s="113" t="s">
        <v>1620</v>
      </c>
      <c r="F5444" s="113" t="s">
        <v>7139</v>
      </c>
      <c r="G5444" s="115" t="s">
        <v>7145</v>
      </c>
      <c r="H5444" s="161">
        <v>0</v>
      </c>
      <c r="I5444" s="161" t="s">
        <v>7146</v>
      </c>
    </row>
    <row r="5445" spans="1:9">
      <c r="A5445" s="113">
        <v>100791468</v>
      </c>
      <c r="B5445" s="113" t="s">
        <v>7116</v>
      </c>
      <c r="C5445" s="113">
        <v>7062152</v>
      </c>
      <c r="D5445" s="113" t="s">
        <v>7139</v>
      </c>
      <c r="E5445" s="113" t="s">
        <v>1620</v>
      </c>
      <c r="F5445" s="113" t="s">
        <v>7139</v>
      </c>
      <c r="G5445" s="115" t="s">
        <v>7145</v>
      </c>
      <c r="H5445" s="161">
        <v>0</v>
      </c>
      <c r="I5445" s="161" t="s">
        <v>7146</v>
      </c>
    </row>
    <row r="5446" spans="1:9">
      <c r="A5446" s="113">
        <v>100791473</v>
      </c>
      <c r="B5446" s="113" t="s">
        <v>7116</v>
      </c>
      <c r="C5446" s="113">
        <v>7062158</v>
      </c>
      <c r="D5446" s="113" t="s">
        <v>7139</v>
      </c>
      <c r="E5446" s="113" t="s">
        <v>1620</v>
      </c>
      <c r="F5446" s="113" t="s">
        <v>7139</v>
      </c>
      <c r="G5446" s="113" t="s">
        <v>7145</v>
      </c>
      <c r="H5446" s="161">
        <v>0</v>
      </c>
      <c r="I5446" s="161" t="s">
        <v>7146</v>
      </c>
    </row>
    <row r="5447" spans="1:9">
      <c r="A5447" s="113">
        <v>100791474</v>
      </c>
      <c r="B5447" s="113" t="s">
        <v>7116</v>
      </c>
      <c r="C5447" s="113">
        <v>7062160</v>
      </c>
      <c r="D5447" s="113" t="s">
        <v>7139</v>
      </c>
      <c r="E5447" s="113" t="s">
        <v>1620</v>
      </c>
      <c r="F5447" s="113" t="s">
        <v>7139</v>
      </c>
      <c r="G5447" s="115" t="s">
        <v>7145</v>
      </c>
      <c r="H5447" s="161">
        <v>0</v>
      </c>
      <c r="I5447" s="161" t="s">
        <v>7146</v>
      </c>
    </row>
    <row r="5448" spans="1:9">
      <c r="A5448" s="113">
        <v>100791475</v>
      </c>
      <c r="B5448" s="113" t="s">
        <v>7116</v>
      </c>
      <c r="C5448" s="113">
        <v>7062161</v>
      </c>
      <c r="D5448" s="113" t="s">
        <v>7139</v>
      </c>
      <c r="E5448" s="113" t="s">
        <v>1620</v>
      </c>
      <c r="F5448" s="113" t="s">
        <v>7139</v>
      </c>
      <c r="G5448" s="115" t="s">
        <v>7145</v>
      </c>
      <c r="H5448" s="161">
        <v>0</v>
      </c>
      <c r="I5448" s="161" t="s">
        <v>7146</v>
      </c>
    </row>
    <row r="5449" spans="1:9">
      <c r="A5449" s="113">
        <v>100791476</v>
      </c>
      <c r="B5449" s="113" t="s">
        <v>7116</v>
      </c>
      <c r="C5449" s="113">
        <v>7062162</v>
      </c>
      <c r="D5449" s="113" t="s">
        <v>7139</v>
      </c>
      <c r="E5449" s="113" t="s">
        <v>1620</v>
      </c>
      <c r="F5449" s="113" t="s">
        <v>7139</v>
      </c>
      <c r="G5449" s="115" t="s">
        <v>7145</v>
      </c>
      <c r="H5449" s="161">
        <v>0</v>
      </c>
      <c r="I5449" s="161" t="s">
        <v>7146</v>
      </c>
    </row>
    <row r="5450" spans="1:9">
      <c r="A5450" s="113">
        <v>100791482</v>
      </c>
      <c r="B5450" s="113" t="s">
        <v>7116</v>
      </c>
      <c r="C5450" s="113">
        <v>7062180</v>
      </c>
      <c r="D5450" s="113" t="s">
        <v>7139</v>
      </c>
      <c r="E5450" s="113" t="s">
        <v>1620</v>
      </c>
      <c r="F5450" s="113" t="s">
        <v>7139</v>
      </c>
      <c r="G5450" s="113" t="s">
        <v>7145</v>
      </c>
      <c r="H5450" s="161">
        <v>0</v>
      </c>
      <c r="I5450" s="161" t="s">
        <v>7146</v>
      </c>
    </row>
    <row r="5451" spans="1:9">
      <c r="A5451" s="113">
        <v>100791483</v>
      </c>
      <c r="B5451" s="113" t="s">
        <v>7116</v>
      </c>
      <c r="C5451" s="113">
        <v>7062182</v>
      </c>
      <c r="D5451" s="113" t="s">
        <v>7139</v>
      </c>
      <c r="E5451" s="113" t="s">
        <v>1620</v>
      </c>
      <c r="F5451" s="113" t="s">
        <v>7139</v>
      </c>
      <c r="G5451" s="113" t="s">
        <v>7145</v>
      </c>
      <c r="H5451" s="161">
        <v>0</v>
      </c>
      <c r="I5451" s="161" t="s">
        <v>7146</v>
      </c>
    </row>
    <row r="5452" spans="1:9">
      <c r="A5452" s="113">
        <v>100791484</v>
      </c>
      <c r="B5452" s="113" t="s">
        <v>7116</v>
      </c>
      <c r="C5452" s="113">
        <v>7062183</v>
      </c>
      <c r="D5452" s="113" t="s">
        <v>7139</v>
      </c>
      <c r="E5452" s="113" t="s">
        <v>1620</v>
      </c>
      <c r="F5452" s="113" t="s">
        <v>7139</v>
      </c>
      <c r="G5452" s="113" t="s">
        <v>7145</v>
      </c>
      <c r="H5452" s="161">
        <v>0</v>
      </c>
      <c r="I5452" s="161" t="s">
        <v>7146</v>
      </c>
    </row>
    <row r="5453" spans="1:9">
      <c r="A5453" s="113">
        <v>100791485</v>
      </c>
      <c r="B5453" s="113" t="s">
        <v>7116</v>
      </c>
      <c r="C5453" s="113">
        <v>7062184</v>
      </c>
      <c r="D5453" s="113" t="s">
        <v>7139</v>
      </c>
      <c r="E5453" s="113" t="s">
        <v>1620</v>
      </c>
      <c r="F5453" s="113" t="s">
        <v>7139</v>
      </c>
      <c r="G5453" s="113" t="s">
        <v>7145</v>
      </c>
      <c r="H5453" s="161">
        <v>0</v>
      </c>
      <c r="I5453" s="161" t="s">
        <v>7146</v>
      </c>
    </row>
    <row r="5454" spans="1:9">
      <c r="A5454" s="113">
        <v>100791486</v>
      </c>
      <c r="B5454" s="113" t="s">
        <v>7116</v>
      </c>
      <c r="C5454" s="113">
        <v>7062185</v>
      </c>
      <c r="D5454" s="113" t="s">
        <v>7139</v>
      </c>
      <c r="E5454" s="113" t="s">
        <v>1620</v>
      </c>
      <c r="F5454" s="113" t="s">
        <v>7139</v>
      </c>
      <c r="G5454" s="113" t="s">
        <v>7145</v>
      </c>
      <c r="H5454" s="161">
        <v>0</v>
      </c>
      <c r="I5454" s="161" t="s">
        <v>7146</v>
      </c>
    </row>
    <row r="5455" spans="1:9">
      <c r="A5455" s="113">
        <v>100791487</v>
      </c>
      <c r="B5455" s="113" t="s">
        <v>7116</v>
      </c>
      <c r="C5455" s="113">
        <v>7062186</v>
      </c>
      <c r="D5455" s="113" t="s">
        <v>7139</v>
      </c>
      <c r="E5455" s="113" t="s">
        <v>1620</v>
      </c>
      <c r="F5455" s="113" t="s">
        <v>7139</v>
      </c>
      <c r="G5455" s="113" t="s">
        <v>7145</v>
      </c>
      <c r="H5455" s="161">
        <v>0</v>
      </c>
      <c r="I5455" s="161" t="s">
        <v>7146</v>
      </c>
    </row>
    <row r="5456" spans="1:9">
      <c r="A5456" s="113">
        <v>100791488</v>
      </c>
      <c r="B5456" s="113" t="s">
        <v>7116</v>
      </c>
      <c r="C5456" s="113">
        <v>7062187</v>
      </c>
      <c r="D5456" s="113" t="s">
        <v>7139</v>
      </c>
      <c r="E5456" s="113" t="s">
        <v>1620</v>
      </c>
      <c r="F5456" s="113" t="s">
        <v>7139</v>
      </c>
      <c r="G5456" s="113" t="s">
        <v>7145</v>
      </c>
      <c r="H5456" s="161">
        <v>0</v>
      </c>
      <c r="I5456" s="161" t="s">
        <v>7146</v>
      </c>
    </row>
    <row r="5457" spans="1:9">
      <c r="A5457" s="113">
        <v>100791489</v>
      </c>
      <c r="B5457" s="113" t="s">
        <v>7116</v>
      </c>
      <c r="C5457" s="113">
        <v>7062188</v>
      </c>
      <c r="D5457" s="113" t="s">
        <v>7139</v>
      </c>
      <c r="E5457" s="113" t="s">
        <v>1620</v>
      </c>
      <c r="F5457" s="113" t="s">
        <v>7139</v>
      </c>
      <c r="G5457" s="113" t="s">
        <v>7145</v>
      </c>
      <c r="H5457" s="161">
        <v>0</v>
      </c>
      <c r="I5457" s="161" t="s">
        <v>7146</v>
      </c>
    </row>
    <row r="5458" spans="1:9">
      <c r="A5458" s="113">
        <v>100791490</v>
      </c>
      <c r="B5458" s="113" t="s">
        <v>7116</v>
      </c>
      <c r="C5458" s="113">
        <v>7062190</v>
      </c>
      <c r="D5458" s="113" t="s">
        <v>7139</v>
      </c>
      <c r="E5458" s="113" t="s">
        <v>1620</v>
      </c>
      <c r="F5458" s="113" t="s">
        <v>7139</v>
      </c>
      <c r="G5458" s="113" t="s">
        <v>7145</v>
      </c>
      <c r="H5458" s="161">
        <v>0</v>
      </c>
      <c r="I5458" s="161" t="s">
        <v>7146</v>
      </c>
    </row>
    <row r="5459" spans="1:9">
      <c r="A5459" s="113">
        <v>100791491</v>
      </c>
      <c r="B5459" s="113" t="s">
        <v>7116</v>
      </c>
      <c r="C5459" s="113">
        <v>7062193</v>
      </c>
      <c r="D5459" s="113" t="s">
        <v>7139</v>
      </c>
      <c r="E5459" s="113" t="s">
        <v>1620</v>
      </c>
      <c r="F5459" s="113" t="s">
        <v>7139</v>
      </c>
      <c r="G5459" s="113" t="s">
        <v>7145</v>
      </c>
      <c r="H5459" s="161">
        <v>0</v>
      </c>
      <c r="I5459" s="161" t="s">
        <v>7146</v>
      </c>
    </row>
    <row r="5460" spans="1:9">
      <c r="A5460" s="113">
        <v>100791492</v>
      </c>
      <c r="B5460" s="113" t="s">
        <v>7116</v>
      </c>
      <c r="C5460" s="113">
        <v>7062194</v>
      </c>
      <c r="D5460" s="113" t="s">
        <v>7139</v>
      </c>
      <c r="E5460" s="113" t="s">
        <v>1620</v>
      </c>
      <c r="F5460" s="113" t="s">
        <v>7139</v>
      </c>
      <c r="G5460" s="113" t="s">
        <v>7145</v>
      </c>
      <c r="H5460" s="161">
        <v>0</v>
      </c>
      <c r="I5460" s="161" t="s">
        <v>7146</v>
      </c>
    </row>
    <row r="5461" spans="1:9">
      <c r="A5461" s="113">
        <v>100791493</v>
      </c>
      <c r="B5461" s="113" t="s">
        <v>7116</v>
      </c>
      <c r="C5461" s="113">
        <v>7062196</v>
      </c>
      <c r="D5461" s="113" t="s">
        <v>7139</v>
      </c>
      <c r="E5461" s="113" t="s">
        <v>1620</v>
      </c>
      <c r="F5461" s="113" t="s">
        <v>7139</v>
      </c>
      <c r="G5461" s="113" t="s">
        <v>7145</v>
      </c>
      <c r="H5461" s="161">
        <v>0</v>
      </c>
      <c r="I5461" s="161" t="s">
        <v>7146</v>
      </c>
    </row>
    <row r="5462" spans="1:9">
      <c r="A5462" s="113">
        <v>100791494</v>
      </c>
      <c r="B5462" s="113" t="s">
        <v>7116</v>
      </c>
      <c r="C5462" s="113">
        <v>7062211</v>
      </c>
      <c r="D5462" s="113" t="s">
        <v>7139</v>
      </c>
      <c r="E5462" s="113" t="s">
        <v>1620</v>
      </c>
      <c r="F5462" s="113" t="s">
        <v>7139</v>
      </c>
      <c r="G5462" s="113" t="s">
        <v>7145</v>
      </c>
      <c r="H5462" s="161">
        <v>0</v>
      </c>
      <c r="I5462" s="161" t="s">
        <v>7146</v>
      </c>
    </row>
    <row r="5463" spans="1:9">
      <c r="A5463" s="113">
        <v>100791495</v>
      </c>
      <c r="B5463" s="113" t="s">
        <v>7116</v>
      </c>
      <c r="C5463" s="113">
        <v>7062214</v>
      </c>
      <c r="D5463" s="113" t="s">
        <v>7139</v>
      </c>
      <c r="E5463" s="113" t="s">
        <v>1620</v>
      </c>
      <c r="F5463" s="113" t="s">
        <v>7139</v>
      </c>
      <c r="G5463" s="113" t="s">
        <v>7145</v>
      </c>
      <c r="H5463" s="161">
        <v>0</v>
      </c>
      <c r="I5463" s="161" t="s">
        <v>7146</v>
      </c>
    </row>
    <row r="5464" spans="1:9">
      <c r="A5464" s="113">
        <v>100791496</v>
      </c>
      <c r="B5464" s="113" t="s">
        <v>7116</v>
      </c>
      <c r="C5464" s="113">
        <v>7062216</v>
      </c>
      <c r="D5464" s="113" t="s">
        <v>7139</v>
      </c>
      <c r="E5464" s="113" t="s">
        <v>1620</v>
      </c>
      <c r="F5464" s="113" t="s">
        <v>7139</v>
      </c>
      <c r="G5464" s="113" t="s">
        <v>7145</v>
      </c>
      <c r="H5464" s="161">
        <v>0</v>
      </c>
      <c r="I5464" s="161" t="s">
        <v>7146</v>
      </c>
    </row>
    <row r="5465" spans="1:9">
      <c r="A5465" s="113">
        <v>100791497</v>
      </c>
      <c r="B5465" s="113" t="s">
        <v>7116</v>
      </c>
      <c r="C5465" s="113">
        <v>7062220</v>
      </c>
      <c r="D5465" s="113" t="s">
        <v>7139</v>
      </c>
      <c r="E5465" s="113" t="s">
        <v>1620</v>
      </c>
      <c r="F5465" s="113" t="s">
        <v>7139</v>
      </c>
      <c r="G5465" s="113" t="s">
        <v>7145</v>
      </c>
      <c r="H5465" s="161">
        <v>0</v>
      </c>
      <c r="I5465" s="161" t="s">
        <v>7146</v>
      </c>
    </row>
    <row r="5466" spans="1:9">
      <c r="A5466" s="113">
        <v>100791500</v>
      </c>
      <c r="B5466" s="113" t="s">
        <v>7116</v>
      </c>
      <c r="C5466" s="113">
        <v>7062505</v>
      </c>
      <c r="D5466" s="113" t="s">
        <v>7139</v>
      </c>
      <c r="E5466" s="113" t="s">
        <v>1620</v>
      </c>
      <c r="F5466" s="113" t="s">
        <v>7139</v>
      </c>
      <c r="G5466" s="113" t="s">
        <v>7145</v>
      </c>
      <c r="H5466" s="161">
        <v>0</v>
      </c>
      <c r="I5466" s="161" t="s">
        <v>7146</v>
      </c>
    </row>
    <row r="5467" spans="1:9">
      <c r="A5467" s="113">
        <v>100791512</v>
      </c>
      <c r="B5467" s="113" t="s">
        <v>7116</v>
      </c>
      <c r="C5467" s="113">
        <v>7071026</v>
      </c>
      <c r="D5467" s="113" t="s">
        <v>7139</v>
      </c>
      <c r="E5467" s="113" t="s">
        <v>1620</v>
      </c>
      <c r="F5467" s="113" t="s">
        <v>7139</v>
      </c>
      <c r="G5467" s="113" t="s">
        <v>7145</v>
      </c>
      <c r="H5467" s="161">
        <v>0</v>
      </c>
      <c r="I5467" s="161" t="s">
        <v>7146</v>
      </c>
    </row>
    <row r="5468" spans="1:9">
      <c r="A5468" s="113">
        <v>100791521</v>
      </c>
      <c r="B5468" s="113" t="s">
        <v>7116</v>
      </c>
      <c r="C5468" s="113">
        <v>7074097</v>
      </c>
      <c r="D5468" s="113" t="s">
        <v>7139</v>
      </c>
      <c r="E5468" s="113" t="s">
        <v>1620</v>
      </c>
      <c r="F5468" s="113" t="s">
        <v>7139</v>
      </c>
      <c r="G5468" s="113" t="s">
        <v>7145</v>
      </c>
      <c r="H5468" s="161">
        <v>0</v>
      </c>
      <c r="I5468" s="161" t="s">
        <v>7146</v>
      </c>
    </row>
    <row r="5469" spans="1:9">
      <c r="A5469" s="113">
        <v>100791524</v>
      </c>
      <c r="B5469" s="113" t="s">
        <v>7116</v>
      </c>
      <c r="C5469" s="113">
        <v>7090023</v>
      </c>
      <c r="D5469" s="113" t="s">
        <v>7139</v>
      </c>
      <c r="E5469" s="113" t="s">
        <v>1620</v>
      </c>
      <c r="F5469" s="113" t="s">
        <v>7139</v>
      </c>
      <c r="G5469" s="113" t="s">
        <v>7145</v>
      </c>
      <c r="H5469" s="161">
        <v>0</v>
      </c>
      <c r="I5469" s="161" t="s">
        <v>7146</v>
      </c>
    </row>
    <row r="5470" spans="1:9">
      <c r="A5470" s="113">
        <v>100791525</v>
      </c>
      <c r="B5470" s="113" t="s">
        <v>7116</v>
      </c>
      <c r="C5470" s="113">
        <v>7090059</v>
      </c>
      <c r="D5470" s="113" t="s">
        <v>7139</v>
      </c>
      <c r="E5470" s="113" t="s">
        <v>1620</v>
      </c>
      <c r="F5470" s="113" t="s">
        <v>7139</v>
      </c>
      <c r="G5470" s="113" t="s">
        <v>7145</v>
      </c>
      <c r="H5470" s="161">
        <v>0</v>
      </c>
      <c r="I5470" s="161" t="s">
        <v>7146</v>
      </c>
    </row>
    <row r="5471" spans="1:9">
      <c r="A5471" s="113">
        <v>100791540</v>
      </c>
      <c r="B5471" s="113" t="s">
        <v>7116</v>
      </c>
      <c r="C5471" s="113">
        <v>7990010</v>
      </c>
      <c r="D5471" s="113" t="s">
        <v>7139</v>
      </c>
      <c r="E5471" s="113" t="s">
        <v>1620</v>
      </c>
      <c r="F5471" s="113" t="s">
        <v>7139</v>
      </c>
      <c r="G5471" s="113" t="s">
        <v>7145</v>
      </c>
      <c r="H5471" s="161">
        <v>0</v>
      </c>
      <c r="I5471" s="161" t="s">
        <v>7146</v>
      </c>
    </row>
    <row r="5472" spans="1:9">
      <c r="A5472" s="113">
        <v>100791543</v>
      </c>
      <c r="B5472" s="113" t="s">
        <v>7116</v>
      </c>
      <c r="C5472" s="113">
        <v>7990013</v>
      </c>
      <c r="D5472" s="113" t="s">
        <v>7139</v>
      </c>
      <c r="E5472" s="113" t="s">
        <v>1620</v>
      </c>
      <c r="F5472" s="113" t="s">
        <v>7139</v>
      </c>
      <c r="G5472" s="113" t="s">
        <v>7145</v>
      </c>
      <c r="H5472" s="161">
        <v>0</v>
      </c>
      <c r="I5472" s="161" t="s">
        <v>7146</v>
      </c>
    </row>
    <row r="5473" spans="1:9">
      <c r="A5473" s="113">
        <v>100791546</v>
      </c>
      <c r="B5473" s="113" t="s">
        <v>7116</v>
      </c>
      <c r="C5473" s="113">
        <v>7990020</v>
      </c>
      <c r="D5473" s="113" t="s">
        <v>7139</v>
      </c>
      <c r="E5473" s="113" t="s">
        <v>1620</v>
      </c>
      <c r="F5473" s="113" t="s">
        <v>7139</v>
      </c>
      <c r="G5473" s="113" t="s">
        <v>7145</v>
      </c>
      <c r="H5473" s="161">
        <v>0</v>
      </c>
      <c r="I5473" s="161" t="s">
        <v>7146</v>
      </c>
    </row>
    <row r="5474" spans="1:9">
      <c r="A5474" s="113">
        <v>100791547</v>
      </c>
      <c r="B5474" s="113" t="s">
        <v>7116</v>
      </c>
      <c r="C5474" s="113">
        <v>7990021</v>
      </c>
      <c r="D5474" s="113" t="s">
        <v>7139</v>
      </c>
      <c r="E5474" s="113" t="s">
        <v>1620</v>
      </c>
      <c r="F5474" s="113" t="s">
        <v>7139</v>
      </c>
      <c r="G5474" s="113" t="s">
        <v>7145</v>
      </c>
      <c r="H5474" s="161">
        <v>0</v>
      </c>
      <c r="I5474" s="161" t="s">
        <v>7146</v>
      </c>
    </row>
    <row r="5475" spans="1:9">
      <c r="A5475" s="113">
        <v>100791549</v>
      </c>
      <c r="B5475" s="113" t="s">
        <v>7116</v>
      </c>
      <c r="C5475" s="113">
        <v>7990023</v>
      </c>
      <c r="D5475" s="113" t="s">
        <v>7139</v>
      </c>
      <c r="E5475" s="113" t="s">
        <v>1620</v>
      </c>
      <c r="F5475" s="113" t="s">
        <v>7139</v>
      </c>
      <c r="G5475" s="113" t="s">
        <v>7145</v>
      </c>
      <c r="H5475" s="161">
        <v>0</v>
      </c>
      <c r="I5475" s="161" t="s">
        <v>7146</v>
      </c>
    </row>
    <row r="5476" spans="1:9">
      <c r="A5476" s="113">
        <v>100791550</v>
      </c>
      <c r="B5476" s="113" t="s">
        <v>7116</v>
      </c>
      <c r="C5476" s="113">
        <v>7990024</v>
      </c>
      <c r="D5476" s="113" t="s">
        <v>7139</v>
      </c>
      <c r="E5476" s="113" t="s">
        <v>1620</v>
      </c>
      <c r="F5476" s="113" t="s">
        <v>7139</v>
      </c>
      <c r="G5476" s="113" t="s">
        <v>7145</v>
      </c>
      <c r="H5476" s="161">
        <v>0</v>
      </c>
      <c r="I5476" s="161" t="s">
        <v>7146</v>
      </c>
    </row>
    <row r="5477" spans="1:9">
      <c r="A5477" s="113">
        <v>100791551</v>
      </c>
      <c r="B5477" s="113" t="s">
        <v>7116</v>
      </c>
      <c r="C5477" s="113">
        <v>7990025</v>
      </c>
      <c r="D5477" s="113" t="s">
        <v>7139</v>
      </c>
      <c r="E5477" s="113" t="s">
        <v>1620</v>
      </c>
      <c r="F5477" s="113" t="s">
        <v>7139</v>
      </c>
      <c r="G5477" s="113" t="s">
        <v>7145</v>
      </c>
      <c r="H5477" s="161">
        <v>0</v>
      </c>
      <c r="I5477" s="161" t="s">
        <v>7146</v>
      </c>
    </row>
    <row r="5478" spans="1:9">
      <c r="A5478" s="113">
        <v>100791553</v>
      </c>
      <c r="B5478" s="113" t="s">
        <v>7116</v>
      </c>
      <c r="C5478" s="113">
        <v>7990028</v>
      </c>
      <c r="D5478" s="113" t="s">
        <v>7139</v>
      </c>
      <c r="E5478" s="113" t="s">
        <v>1620</v>
      </c>
      <c r="F5478" s="113" t="s">
        <v>7139</v>
      </c>
      <c r="G5478" s="113" t="s">
        <v>7145</v>
      </c>
      <c r="H5478" s="161">
        <v>0</v>
      </c>
      <c r="I5478" s="161" t="s">
        <v>7146</v>
      </c>
    </row>
    <row r="5479" spans="1:9">
      <c r="A5479" s="113">
        <v>100791554</v>
      </c>
      <c r="B5479" s="113" t="s">
        <v>7116</v>
      </c>
      <c r="C5479" s="113">
        <v>7990029</v>
      </c>
      <c r="D5479" s="113" t="s">
        <v>7139</v>
      </c>
      <c r="E5479" s="113" t="s">
        <v>1620</v>
      </c>
      <c r="F5479" s="113" t="s">
        <v>7139</v>
      </c>
      <c r="G5479" s="113" t="s">
        <v>7145</v>
      </c>
      <c r="H5479" s="161">
        <v>0</v>
      </c>
      <c r="I5479" s="161" t="s">
        <v>7146</v>
      </c>
    </row>
    <row r="5480" spans="1:9">
      <c r="A5480" s="113">
        <v>100791555</v>
      </c>
      <c r="B5480" s="113" t="s">
        <v>7116</v>
      </c>
      <c r="C5480" s="113">
        <v>7990032</v>
      </c>
      <c r="D5480" s="113" t="s">
        <v>7139</v>
      </c>
      <c r="E5480" s="113" t="s">
        <v>1620</v>
      </c>
      <c r="F5480" s="113" t="s">
        <v>7139</v>
      </c>
      <c r="G5480" s="113" t="s">
        <v>7145</v>
      </c>
      <c r="H5480" s="161">
        <v>0</v>
      </c>
      <c r="I5480" s="161" t="s">
        <v>7146</v>
      </c>
    </row>
    <row r="5481" spans="1:9">
      <c r="A5481" s="113">
        <v>100791556</v>
      </c>
      <c r="B5481" s="113" t="s">
        <v>7116</v>
      </c>
      <c r="C5481" s="113">
        <v>7990033</v>
      </c>
      <c r="D5481" s="113" t="s">
        <v>7139</v>
      </c>
      <c r="E5481" s="113" t="s">
        <v>1620</v>
      </c>
      <c r="F5481" s="113" t="s">
        <v>7139</v>
      </c>
      <c r="G5481" s="113" t="s">
        <v>7145</v>
      </c>
      <c r="H5481" s="161">
        <v>0</v>
      </c>
      <c r="I5481" s="161" t="s">
        <v>7146</v>
      </c>
    </row>
    <row r="5482" spans="1:9">
      <c r="A5482" s="113">
        <v>100791561</v>
      </c>
      <c r="B5482" s="113" t="s">
        <v>7116</v>
      </c>
      <c r="C5482" s="113">
        <v>7990041</v>
      </c>
      <c r="D5482" s="113" t="s">
        <v>7139</v>
      </c>
      <c r="E5482" s="113" t="s">
        <v>1620</v>
      </c>
      <c r="F5482" s="113" t="s">
        <v>7139</v>
      </c>
      <c r="G5482" s="113" t="s">
        <v>7145</v>
      </c>
      <c r="H5482" s="161">
        <v>0</v>
      </c>
      <c r="I5482" s="161" t="s">
        <v>7146</v>
      </c>
    </row>
    <row r="5483" spans="1:9">
      <c r="A5483" s="113">
        <v>100791562</v>
      </c>
      <c r="B5483" s="113" t="s">
        <v>7116</v>
      </c>
      <c r="C5483" s="113">
        <v>7990043</v>
      </c>
      <c r="D5483" s="113" t="s">
        <v>7139</v>
      </c>
      <c r="E5483" s="113" t="s">
        <v>1620</v>
      </c>
      <c r="F5483" s="113" t="s">
        <v>7139</v>
      </c>
      <c r="G5483" s="113" t="s">
        <v>7145</v>
      </c>
      <c r="H5483" s="161">
        <v>0</v>
      </c>
      <c r="I5483" s="161" t="s">
        <v>7146</v>
      </c>
    </row>
    <row r="5484" spans="1:9">
      <c r="A5484" s="113">
        <v>100791563</v>
      </c>
      <c r="B5484" s="113" t="s">
        <v>7116</v>
      </c>
      <c r="C5484" s="113">
        <v>7990044</v>
      </c>
      <c r="D5484" s="113" t="s">
        <v>7139</v>
      </c>
      <c r="E5484" s="113" t="s">
        <v>1620</v>
      </c>
      <c r="F5484" s="113" t="s">
        <v>7139</v>
      </c>
      <c r="G5484" s="113" t="s">
        <v>7145</v>
      </c>
      <c r="H5484" s="161">
        <v>0</v>
      </c>
      <c r="I5484" s="161" t="s">
        <v>7146</v>
      </c>
    </row>
    <row r="5485" spans="1:9">
      <c r="A5485" s="113">
        <v>100791564</v>
      </c>
      <c r="B5485" s="113" t="s">
        <v>7116</v>
      </c>
      <c r="C5485" s="113">
        <v>7990045</v>
      </c>
      <c r="D5485" s="113" t="s">
        <v>7139</v>
      </c>
      <c r="E5485" s="113" t="s">
        <v>1620</v>
      </c>
      <c r="F5485" s="113" t="s">
        <v>7139</v>
      </c>
      <c r="G5485" s="113" t="s">
        <v>7145</v>
      </c>
      <c r="H5485" s="161">
        <v>0</v>
      </c>
      <c r="I5485" s="161" t="s">
        <v>7146</v>
      </c>
    </row>
    <row r="5486" spans="1:9">
      <c r="A5486" s="113">
        <v>100791565</v>
      </c>
      <c r="B5486" s="113" t="s">
        <v>7116</v>
      </c>
      <c r="C5486" s="113">
        <v>7990048</v>
      </c>
      <c r="D5486" s="113" t="s">
        <v>7139</v>
      </c>
      <c r="E5486" s="113" t="s">
        <v>1620</v>
      </c>
      <c r="F5486" s="113" t="s">
        <v>7139</v>
      </c>
      <c r="G5486" s="113" t="s">
        <v>7145</v>
      </c>
      <c r="H5486" s="161">
        <v>0</v>
      </c>
      <c r="I5486" s="161" t="s">
        <v>7146</v>
      </c>
    </row>
    <row r="5487" spans="1:9">
      <c r="A5487" s="113">
        <v>100791566</v>
      </c>
      <c r="B5487" s="113" t="s">
        <v>7116</v>
      </c>
      <c r="C5487" s="113">
        <v>7990054</v>
      </c>
      <c r="D5487" s="113" t="s">
        <v>7139</v>
      </c>
      <c r="E5487" s="113" t="s">
        <v>1620</v>
      </c>
      <c r="F5487" s="113" t="s">
        <v>7139</v>
      </c>
      <c r="G5487" s="113" t="s">
        <v>7145</v>
      </c>
      <c r="H5487" s="161">
        <v>0</v>
      </c>
      <c r="I5487" s="161" t="s">
        <v>7146</v>
      </c>
    </row>
    <row r="5488" spans="1:9">
      <c r="A5488" s="113">
        <v>100791571</v>
      </c>
      <c r="B5488" s="113" t="s">
        <v>7116</v>
      </c>
      <c r="C5488" s="113">
        <v>7990077</v>
      </c>
      <c r="D5488" s="113" t="s">
        <v>7139</v>
      </c>
      <c r="E5488" s="113" t="s">
        <v>1620</v>
      </c>
      <c r="F5488" s="113" t="s">
        <v>7139</v>
      </c>
      <c r="G5488" s="113" t="s">
        <v>7145</v>
      </c>
      <c r="H5488" s="161">
        <v>0</v>
      </c>
      <c r="I5488" s="161" t="s">
        <v>7146</v>
      </c>
    </row>
    <row r="5489" spans="1:9">
      <c r="A5489" s="113">
        <v>100791572</v>
      </c>
      <c r="B5489" s="113" t="s">
        <v>7116</v>
      </c>
      <c r="C5489" s="113">
        <v>7990083</v>
      </c>
      <c r="D5489" s="113" t="s">
        <v>7139</v>
      </c>
      <c r="E5489" s="113" t="s">
        <v>1620</v>
      </c>
      <c r="F5489" s="113" t="s">
        <v>7139</v>
      </c>
      <c r="G5489" s="113" t="s">
        <v>7145</v>
      </c>
      <c r="H5489" s="161">
        <v>0</v>
      </c>
      <c r="I5489" s="161" t="s">
        <v>7146</v>
      </c>
    </row>
    <row r="5490" spans="1:9">
      <c r="A5490" s="113">
        <v>100791573</v>
      </c>
      <c r="B5490" s="113" t="s">
        <v>7116</v>
      </c>
      <c r="C5490" s="113">
        <v>7990084</v>
      </c>
      <c r="D5490" s="113" t="s">
        <v>7139</v>
      </c>
      <c r="E5490" s="113" t="s">
        <v>1620</v>
      </c>
      <c r="F5490" s="113" t="s">
        <v>7139</v>
      </c>
      <c r="G5490" s="113" t="s">
        <v>7145</v>
      </c>
      <c r="H5490" s="161">
        <v>0</v>
      </c>
      <c r="I5490" s="161" t="s">
        <v>7146</v>
      </c>
    </row>
    <row r="5491" spans="1:9">
      <c r="A5491" s="113">
        <v>100791574</v>
      </c>
      <c r="B5491" s="113" t="s">
        <v>7116</v>
      </c>
      <c r="C5491" s="113">
        <v>7990087</v>
      </c>
      <c r="D5491" s="113" t="s">
        <v>7139</v>
      </c>
      <c r="E5491" s="113" t="s">
        <v>1620</v>
      </c>
      <c r="F5491" s="113" t="s">
        <v>7139</v>
      </c>
      <c r="G5491" s="113" t="s">
        <v>7145</v>
      </c>
      <c r="H5491" s="161">
        <v>0</v>
      </c>
      <c r="I5491" s="161" t="s">
        <v>7146</v>
      </c>
    </row>
    <row r="5492" spans="1:9">
      <c r="A5492" s="113">
        <v>100791575</v>
      </c>
      <c r="B5492" s="113" t="s">
        <v>7116</v>
      </c>
      <c r="C5492" s="113">
        <v>7990088</v>
      </c>
      <c r="D5492" s="113" t="s">
        <v>7139</v>
      </c>
      <c r="E5492" s="113" t="s">
        <v>1620</v>
      </c>
      <c r="F5492" s="113" t="s">
        <v>7139</v>
      </c>
      <c r="G5492" s="113" t="s">
        <v>7145</v>
      </c>
      <c r="H5492" s="161">
        <v>0</v>
      </c>
      <c r="I5492" s="161" t="s">
        <v>7146</v>
      </c>
    </row>
    <row r="5493" spans="1:9">
      <c r="A5493" s="113">
        <v>100791576</v>
      </c>
      <c r="B5493" s="113" t="s">
        <v>7116</v>
      </c>
      <c r="C5493" s="113">
        <v>7990089</v>
      </c>
      <c r="D5493" s="113" t="s">
        <v>7139</v>
      </c>
      <c r="E5493" s="113" t="s">
        <v>1620</v>
      </c>
      <c r="F5493" s="113" t="s">
        <v>7139</v>
      </c>
      <c r="G5493" s="113" t="s">
        <v>7145</v>
      </c>
      <c r="H5493" s="161">
        <v>0</v>
      </c>
      <c r="I5493" s="161" t="s">
        <v>7146</v>
      </c>
    </row>
    <row r="5494" spans="1:9">
      <c r="A5494" s="113">
        <v>100791578</v>
      </c>
      <c r="B5494" s="113" t="s">
        <v>7116</v>
      </c>
      <c r="C5494" s="113">
        <v>7990091</v>
      </c>
      <c r="D5494" s="113" t="s">
        <v>7139</v>
      </c>
      <c r="E5494" s="113" t="s">
        <v>1620</v>
      </c>
      <c r="F5494" s="113" t="s">
        <v>7139</v>
      </c>
      <c r="G5494" s="113" t="s">
        <v>7145</v>
      </c>
      <c r="H5494" s="161">
        <v>0</v>
      </c>
      <c r="I5494" s="161" t="s">
        <v>7146</v>
      </c>
    </row>
    <row r="5495" spans="1:9">
      <c r="A5495" s="113">
        <v>100791579</v>
      </c>
      <c r="B5495" s="113" t="s">
        <v>7116</v>
      </c>
      <c r="C5495" s="113">
        <v>7990092</v>
      </c>
      <c r="D5495" s="113" t="s">
        <v>7139</v>
      </c>
      <c r="E5495" s="113" t="s">
        <v>1620</v>
      </c>
      <c r="F5495" s="113" t="s">
        <v>7139</v>
      </c>
      <c r="G5495" s="113" t="s">
        <v>7145</v>
      </c>
      <c r="H5495" s="161">
        <v>0</v>
      </c>
      <c r="I5495" s="161" t="s">
        <v>7146</v>
      </c>
    </row>
    <row r="5496" spans="1:9">
      <c r="A5496" s="113">
        <v>100791580</v>
      </c>
      <c r="B5496" s="113" t="s">
        <v>7116</v>
      </c>
      <c r="C5496" s="113">
        <v>7990093</v>
      </c>
      <c r="D5496" s="113" t="s">
        <v>7139</v>
      </c>
      <c r="E5496" s="113" t="s">
        <v>1620</v>
      </c>
      <c r="F5496" s="113" t="s">
        <v>7139</v>
      </c>
      <c r="G5496" s="113" t="s">
        <v>7145</v>
      </c>
      <c r="H5496" s="161">
        <v>0</v>
      </c>
      <c r="I5496" s="161" t="s">
        <v>7146</v>
      </c>
    </row>
    <row r="5497" spans="1:9">
      <c r="A5497" s="113">
        <v>100791581</v>
      </c>
      <c r="B5497" s="113" t="s">
        <v>7116</v>
      </c>
      <c r="C5497" s="113">
        <v>7990094</v>
      </c>
      <c r="D5497" s="113" t="s">
        <v>7139</v>
      </c>
      <c r="E5497" s="113" t="s">
        <v>1620</v>
      </c>
      <c r="F5497" s="113" t="s">
        <v>7139</v>
      </c>
      <c r="G5497" s="113" t="s">
        <v>7145</v>
      </c>
      <c r="H5497" s="161">
        <v>0</v>
      </c>
      <c r="I5497" s="161" t="s">
        <v>7146</v>
      </c>
    </row>
    <row r="5498" spans="1:9">
      <c r="A5498" s="113">
        <v>100791582</v>
      </c>
      <c r="B5498" s="113" t="s">
        <v>7116</v>
      </c>
      <c r="C5498" s="113">
        <v>7990095</v>
      </c>
      <c r="D5498" s="113" t="s">
        <v>7139</v>
      </c>
      <c r="E5498" s="113" t="s">
        <v>1620</v>
      </c>
      <c r="F5498" s="113" t="s">
        <v>7139</v>
      </c>
      <c r="G5498" s="113" t="s">
        <v>7145</v>
      </c>
      <c r="H5498" s="161">
        <v>0</v>
      </c>
      <c r="I5498" s="161" t="s">
        <v>7146</v>
      </c>
    </row>
    <row r="5499" spans="1:9">
      <c r="A5499" s="113">
        <v>100791583</v>
      </c>
      <c r="B5499" s="113" t="s">
        <v>7116</v>
      </c>
      <c r="C5499" s="113">
        <v>7990097</v>
      </c>
      <c r="D5499" s="113" t="s">
        <v>7139</v>
      </c>
      <c r="E5499" s="113" t="s">
        <v>1620</v>
      </c>
      <c r="F5499" s="113" t="s">
        <v>7139</v>
      </c>
      <c r="G5499" s="113" t="s">
        <v>7145</v>
      </c>
      <c r="H5499" s="161">
        <v>0</v>
      </c>
      <c r="I5499" s="161" t="s">
        <v>7146</v>
      </c>
    </row>
    <row r="5500" spans="1:9">
      <c r="A5500" s="113">
        <v>100791584</v>
      </c>
      <c r="B5500" s="113" t="s">
        <v>7116</v>
      </c>
      <c r="C5500" s="113">
        <v>7990098</v>
      </c>
      <c r="D5500" s="113" t="s">
        <v>7139</v>
      </c>
      <c r="E5500" s="113" t="s">
        <v>1620</v>
      </c>
      <c r="F5500" s="113" t="s">
        <v>7139</v>
      </c>
      <c r="G5500" s="113" t="s">
        <v>7145</v>
      </c>
      <c r="H5500" s="161">
        <v>0</v>
      </c>
      <c r="I5500" s="161" t="s">
        <v>7146</v>
      </c>
    </row>
    <row r="5501" spans="1:9">
      <c r="A5501" s="113">
        <v>100791588</v>
      </c>
      <c r="B5501" s="113" t="s">
        <v>7116</v>
      </c>
      <c r="C5501" s="113">
        <v>7990115</v>
      </c>
      <c r="D5501" s="113" t="s">
        <v>7139</v>
      </c>
      <c r="E5501" s="113" t="s">
        <v>1620</v>
      </c>
      <c r="F5501" s="113" t="s">
        <v>7139</v>
      </c>
      <c r="G5501" s="113" t="s">
        <v>7145</v>
      </c>
      <c r="H5501" s="161">
        <v>0</v>
      </c>
      <c r="I5501" s="161" t="s">
        <v>7146</v>
      </c>
    </row>
    <row r="5502" spans="1:9">
      <c r="A5502" s="113">
        <v>100791589</v>
      </c>
      <c r="B5502" s="113" t="s">
        <v>7116</v>
      </c>
      <c r="C5502" s="113">
        <v>7990117</v>
      </c>
      <c r="D5502" s="113" t="s">
        <v>7139</v>
      </c>
      <c r="E5502" s="113" t="s">
        <v>1620</v>
      </c>
      <c r="F5502" s="113" t="s">
        <v>7139</v>
      </c>
      <c r="G5502" s="113" t="s">
        <v>7145</v>
      </c>
      <c r="H5502" s="161">
        <v>0</v>
      </c>
      <c r="I5502" s="161" t="s">
        <v>7146</v>
      </c>
    </row>
    <row r="5503" spans="1:9">
      <c r="A5503" s="113">
        <v>100791590</v>
      </c>
      <c r="B5503" s="113" t="s">
        <v>7116</v>
      </c>
      <c r="C5503" s="113">
        <v>7990120</v>
      </c>
      <c r="D5503" s="113" t="s">
        <v>7139</v>
      </c>
      <c r="E5503" s="113" t="s">
        <v>1620</v>
      </c>
      <c r="F5503" s="113" t="s">
        <v>7139</v>
      </c>
      <c r="G5503" s="113" t="s">
        <v>7145</v>
      </c>
      <c r="H5503" s="161">
        <v>0</v>
      </c>
      <c r="I5503" s="161" t="s">
        <v>7146</v>
      </c>
    </row>
    <row r="5504" spans="1:9">
      <c r="A5504" s="113">
        <v>100791593</v>
      </c>
      <c r="B5504" s="113" t="s">
        <v>7116</v>
      </c>
      <c r="C5504" s="113">
        <v>7990130</v>
      </c>
      <c r="D5504" s="113" t="s">
        <v>7139</v>
      </c>
      <c r="E5504" s="113" t="s">
        <v>1620</v>
      </c>
      <c r="F5504" s="113" t="s">
        <v>7139</v>
      </c>
      <c r="G5504" s="113" t="s">
        <v>7145</v>
      </c>
      <c r="H5504" s="161">
        <v>0</v>
      </c>
      <c r="I5504" s="161" t="s">
        <v>7146</v>
      </c>
    </row>
    <row r="5505" spans="1:9">
      <c r="A5505" s="113">
        <v>100791595</v>
      </c>
      <c r="B5505" s="113" t="s">
        <v>7116</v>
      </c>
      <c r="C5505" s="113">
        <v>7990132</v>
      </c>
      <c r="D5505" s="113" t="s">
        <v>7139</v>
      </c>
      <c r="E5505" s="113" t="s">
        <v>1620</v>
      </c>
      <c r="F5505" s="113" t="s">
        <v>7139</v>
      </c>
      <c r="G5505" s="113" t="s">
        <v>7145</v>
      </c>
      <c r="H5505" s="161">
        <v>0</v>
      </c>
      <c r="I5505" s="161" t="s">
        <v>7146</v>
      </c>
    </row>
    <row r="5506" spans="1:9">
      <c r="A5506" s="113">
        <v>100791597</v>
      </c>
      <c r="B5506" s="113" t="s">
        <v>7116</v>
      </c>
      <c r="C5506" s="113">
        <v>7990136</v>
      </c>
      <c r="D5506" s="113" t="s">
        <v>7139</v>
      </c>
      <c r="E5506" s="113" t="s">
        <v>1620</v>
      </c>
      <c r="F5506" s="113" t="s">
        <v>7139</v>
      </c>
      <c r="G5506" s="113" t="s">
        <v>7145</v>
      </c>
      <c r="H5506" s="161">
        <v>0</v>
      </c>
      <c r="I5506" s="161" t="s">
        <v>7146</v>
      </c>
    </row>
    <row r="5507" spans="1:9">
      <c r="A5507" s="113">
        <v>100791598</v>
      </c>
      <c r="B5507" s="113" t="s">
        <v>7116</v>
      </c>
      <c r="C5507" s="113">
        <v>7990139</v>
      </c>
      <c r="D5507" s="113" t="s">
        <v>7139</v>
      </c>
      <c r="E5507" s="113" t="s">
        <v>1620</v>
      </c>
      <c r="F5507" s="113" t="s">
        <v>7139</v>
      </c>
      <c r="G5507" s="113" t="s">
        <v>7145</v>
      </c>
      <c r="H5507" s="161">
        <v>0</v>
      </c>
      <c r="I5507" s="161" t="s">
        <v>7146</v>
      </c>
    </row>
    <row r="5508" spans="1:9">
      <c r="A5508" s="113">
        <v>100791600</v>
      </c>
      <c r="B5508" s="113" t="s">
        <v>7116</v>
      </c>
      <c r="C5508" s="113">
        <v>7990142</v>
      </c>
      <c r="D5508" s="113" t="s">
        <v>7139</v>
      </c>
      <c r="E5508" s="113" t="s">
        <v>1620</v>
      </c>
      <c r="F5508" s="113" t="s">
        <v>7139</v>
      </c>
      <c r="G5508" s="113" t="s">
        <v>7145</v>
      </c>
      <c r="H5508" s="161">
        <v>0</v>
      </c>
      <c r="I5508" s="161" t="s">
        <v>7146</v>
      </c>
    </row>
    <row r="5509" spans="1:9">
      <c r="A5509" s="113">
        <v>100791603</v>
      </c>
      <c r="B5509" s="113" t="s">
        <v>7116</v>
      </c>
      <c r="C5509" s="113">
        <v>7990145</v>
      </c>
      <c r="D5509" s="113" t="s">
        <v>7139</v>
      </c>
      <c r="E5509" s="113" t="s">
        <v>1620</v>
      </c>
      <c r="F5509" s="113" t="s">
        <v>7139</v>
      </c>
      <c r="G5509" s="113" t="s">
        <v>7145</v>
      </c>
      <c r="H5509" s="161">
        <v>0</v>
      </c>
      <c r="I5509" s="161" t="s">
        <v>7146</v>
      </c>
    </row>
    <row r="5510" spans="1:9">
      <c r="A5510" s="113">
        <v>100791605</v>
      </c>
      <c r="B5510" s="113" t="s">
        <v>7116</v>
      </c>
      <c r="C5510" s="113">
        <v>7990148</v>
      </c>
      <c r="D5510" s="113" t="s">
        <v>7139</v>
      </c>
      <c r="E5510" s="113" t="s">
        <v>1620</v>
      </c>
      <c r="F5510" s="113" t="s">
        <v>7139</v>
      </c>
      <c r="G5510" s="113" t="s">
        <v>7145</v>
      </c>
      <c r="H5510" s="161">
        <v>0</v>
      </c>
      <c r="I5510" s="161" t="s">
        <v>7146</v>
      </c>
    </row>
    <row r="5511" spans="1:9">
      <c r="A5511" s="113">
        <v>100791606</v>
      </c>
      <c r="B5511" s="113" t="s">
        <v>7116</v>
      </c>
      <c r="C5511" s="113">
        <v>7990155</v>
      </c>
      <c r="D5511" s="113" t="s">
        <v>7139</v>
      </c>
      <c r="E5511" s="113" t="s">
        <v>1620</v>
      </c>
      <c r="F5511" s="113" t="s">
        <v>7139</v>
      </c>
      <c r="G5511" s="113" t="s">
        <v>7145</v>
      </c>
      <c r="H5511" s="161">
        <v>0</v>
      </c>
      <c r="I5511" s="161" t="s">
        <v>7146</v>
      </c>
    </row>
    <row r="5512" spans="1:9">
      <c r="A5512" s="113">
        <v>100791607</v>
      </c>
      <c r="B5512" s="113" t="s">
        <v>7116</v>
      </c>
      <c r="C5512" s="113">
        <v>7990160</v>
      </c>
      <c r="D5512" s="113" t="s">
        <v>7139</v>
      </c>
      <c r="E5512" s="113" t="s">
        <v>1620</v>
      </c>
      <c r="F5512" s="113" t="s">
        <v>7139</v>
      </c>
      <c r="G5512" s="113" t="s">
        <v>7145</v>
      </c>
      <c r="H5512" s="161">
        <v>0</v>
      </c>
      <c r="I5512" s="161" t="s">
        <v>7146</v>
      </c>
    </row>
    <row r="5513" spans="1:9">
      <c r="A5513" s="113">
        <v>100791609</v>
      </c>
      <c r="B5513" s="113" t="s">
        <v>7116</v>
      </c>
      <c r="C5513" s="113">
        <v>7990167</v>
      </c>
      <c r="D5513" s="113" t="s">
        <v>7139</v>
      </c>
      <c r="E5513" s="113" t="s">
        <v>1620</v>
      </c>
      <c r="F5513" s="113" t="s">
        <v>7139</v>
      </c>
      <c r="G5513" s="113" t="s">
        <v>7145</v>
      </c>
      <c r="H5513" s="161">
        <v>0</v>
      </c>
      <c r="I5513" s="161" t="s">
        <v>7146</v>
      </c>
    </row>
    <row r="5514" spans="1:9">
      <c r="A5514" s="113">
        <v>100791610</v>
      </c>
      <c r="B5514" s="113" t="s">
        <v>7116</v>
      </c>
      <c r="C5514" s="113">
        <v>7990168</v>
      </c>
      <c r="D5514" s="113" t="s">
        <v>7139</v>
      </c>
      <c r="E5514" s="113" t="s">
        <v>1620</v>
      </c>
      <c r="F5514" s="113" t="s">
        <v>7139</v>
      </c>
      <c r="G5514" s="113" t="s">
        <v>7145</v>
      </c>
      <c r="H5514" s="161">
        <v>0</v>
      </c>
      <c r="I5514" s="161" t="s">
        <v>7146</v>
      </c>
    </row>
    <row r="5515" spans="1:9">
      <c r="A5515" s="113">
        <v>100791611</v>
      </c>
      <c r="B5515" s="113" t="s">
        <v>7116</v>
      </c>
      <c r="C5515" s="113">
        <v>7990171</v>
      </c>
      <c r="D5515" s="113" t="s">
        <v>7139</v>
      </c>
      <c r="E5515" s="113" t="s">
        <v>1620</v>
      </c>
      <c r="F5515" s="113" t="s">
        <v>7139</v>
      </c>
      <c r="G5515" s="113" t="s">
        <v>7145</v>
      </c>
      <c r="H5515" s="161">
        <v>0</v>
      </c>
      <c r="I5515" s="161" t="s">
        <v>7146</v>
      </c>
    </row>
    <row r="5516" spans="1:9">
      <c r="A5516" s="113">
        <v>100791612</v>
      </c>
      <c r="B5516" s="113" t="s">
        <v>7116</v>
      </c>
      <c r="C5516" s="113">
        <v>7990174</v>
      </c>
      <c r="D5516" s="113" t="s">
        <v>7139</v>
      </c>
      <c r="E5516" s="113" t="s">
        <v>1620</v>
      </c>
      <c r="F5516" s="113" t="s">
        <v>7139</v>
      </c>
      <c r="G5516" s="113" t="s">
        <v>7145</v>
      </c>
      <c r="H5516" s="161">
        <v>0</v>
      </c>
      <c r="I5516" s="161" t="s">
        <v>7146</v>
      </c>
    </row>
    <row r="5517" spans="1:9">
      <c r="A5517" s="113">
        <v>100791613</v>
      </c>
      <c r="B5517" s="113" t="s">
        <v>7116</v>
      </c>
      <c r="C5517" s="113">
        <v>7990175</v>
      </c>
      <c r="D5517" s="113" t="s">
        <v>7139</v>
      </c>
      <c r="E5517" s="113" t="s">
        <v>1620</v>
      </c>
      <c r="F5517" s="113" t="s">
        <v>7139</v>
      </c>
      <c r="G5517" s="113" t="s">
        <v>7145</v>
      </c>
      <c r="H5517" s="161">
        <v>0</v>
      </c>
      <c r="I5517" s="161" t="s">
        <v>7146</v>
      </c>
    </row>
    <row r="5518" spans="1:9">
      <c r="A5518" s="113">
        <v>100791614</v>
      </c>
      <c r="B5518" s="113" t="s">
        <v>7116</v>
      </c>
      <c r="C5518" s="113">
        <v>7990179</v>
      </c>
      <c r="D5518" s="113" t="s">
        <v>7139</v>
      </c>
      <c r="E5518" s="113" t="s">
        <v>1620</v>
      </c>
      <c r="F5518" s="113" t="s">
        <v>7139</v>
      </c>
      <c r="G5518" s="113" t="s">
        <v>7145</v>
      </c>
      <c r="H5518" s="161">
        <v>0</v>
      </c>
      <c r="I5518" s="161" t="s">
        <v>7146</v>
      </c>
    </row>
    <row r="5519" spans="1:9">
      <c r="A5519" s="113">
        <v>100791615</v>
      </c>
      <c r="B5519" s="113" t="s">
        <v>7116</v>
      </c>
      <c r="C5519" s="113">
        <v>7990180</v>
      </c>
      <c r="D5519" s="113" t="s">
        <v>7139</v>
      </c>
      <c r="E5519" s="113" t="s">
        <v>1620</v>
      </c>
      <c r="F5519" s="113" t="s">
        <v>7139</v>
      </c>
      <c r="G5519" s="113" t="s">
        <v>7145</v>
      </c>
      <c r="H5519" s="161">
        <v>0</v>
      </c>
      <c r="I5519" s="161" t="s">
        <v>7146</v>
      </c>
    </row>
    <row r="5520" spans="1:9">
      <c r="A5520" s="113">
        <v>100791616</v>
      </c>
      <c r="B5520" s="113" t="s">
        <v>7116</v>
      </c>
      <c r="C5520" s="113">
        <v>7990181</v>
      </c>
      <c r="D5520" s="113" t="s">
        <v>7139</v>
      </c>
      <c r="E5520" s="113" t="s">
        <v>1620</v>
      </c>
      <c r="F5520" s="113" t="s">
        <v>7139</v>
      </c>
      <c r="G5520" s="113" t="s">
        <v>7145</v>
      </c>
      <c r="H5520" s="161">
        <v>0</v>
      </c>
      <c r="I5520" s="161" t="s">
        <v>7146</v>
      </c>
    </row>
    <row r="5521" spans="1:9">
      <c r="A5521" s="113">
        <v>100791617</v>
      </c>
      <c r="B5521" s="113" t="s">
        <v>7116</v>
      </c>
      <c r="C5521" s="113">
        <v>7990182</v>
      </c>
      <c r="D5521" s="113" t="s">
        <v>7139</v>
      </c>
      <c r="E5521" s="113" t="s">
        <v>1620</v>
      </c>
      <c r="F5521" s="113" t="s">
        <v>7139</v>
      </c>
      <c r="G5521" s="113" t="s">
        <v>7145</v>
      </c>
      <c r="H5521" s="161">
        <v>0</v>
      </c>
      <c r="I5521" s="161" t="s">
        <v>7146</v>
      </c>
    </row>
    <row r="5522" spans="1:9">
      <c r="A5522" s="113">
        <v>100791618</v>
      </c>
      <c r="B5522" s="113" t="s">
        <v>7116</v>
      </c>
      <c r="C5522" s="113">
        <v>7990183</v>
      </c>
      <c r="D5522" s="113" t="s">
        <v>7139</v>
      </c>
      <c r="E5522" s="113" t="s">
        <v>1620</v>
      </c>
      <c r="F5522" s="113" t="s">
        <v>7139</v>
      </c>
      <c r="G5522" s="113" t="s">
        <v>7145</v>
      </c>
      <c r="H5522" s="161">
        <v>0</v>
      </c>
      <c r="I5522" s="161" t="s">
        <v>7146</v>
      </c>
    </row>
    <row r="5523" spans="1:9">
      <c r="A5523" s="113">
        <v>100791619</v>
      </c>
      <c r="B5523" s="113" t="s">
        <v>7116</v>
      </c>
      <c r="C5523" s="113">
        <v>7990184</v>
      </c>
      <c r="D5523" s="113" t="s">
        <v>7139</v>
      </c>
      <c r="E5523" s="113" t="s">
        <v>1620</v>
      </c>
      <c r="F5523" s="113" t="s">
        <v>7139</v>
      </c>
      <c r="G5523" s="113" t="s">
        <v>7145</v>
      </c>
      <c r="H5523" s="161">
        <v>0</v>
      </c>
      <c r="I5523" s="161" t="s">
        <v>7146</v>
      </c>
    </row>
    <row r="5524" spans="1:9">
      <c r="A5524" s="113">
        <v>100791620</v>
      </c>
      <c r="B5524" s="113" t="s">
        <v>7116</v>
      </c>
      <c r="C5524" s="113">
        <v>7990185</v>
      </c>
      <c r="D5524" s="113" t="s">
        <v>7139</v>
      </c>
      <c r="E5524" s="113" t="s">
        <v>1620</v>
      </c>
      <c r="F5524" s="113" t="s">
        <v>7139</v>
      </c>
      <c r="G5524" s="113" t="s">
        <v>7145</v>
      </c>
      <c r="H5524" s="161">
        <v>0</v>
      </c>
      <c r="I5524" s="161" t="s">
        <v>7146</v>
      </c>
    </row>
    <row r="5525" spans="1:9">
      <c r="A5525" s="113">
        <v>100791621</v>
      </c>
      <c r="B5525" s="113" t="s">
        <v>7116</v>
      </c>
      <c r="C5525" s="113">
        <v>7990186</v>
      </c>
      <c r="D5525" s="113" t="s">
        <v>7139</v>
      </c>
      <c r="E5525" s="113" t="s">
        <v>1620</v>
      </c>
      <c r="F5525" s="113" t="s">
        <v>7139</v>
      </c>
      <c r="G5525" s="113" t="s">
        <v>7145</v>
      </c>
      <c r="H5525" s="161">
        <v>0</v>
      </c>
      <c r="I5525" s="161" t="s">
        <v>7146</v>
      </c>
    </row>
    <row r="5526" spans="1:9">
      <c r="A5526" s="113">
        <v>100791622</v>
      </c>
      <c r="B5526" s="113" t="s">
        <v>7116</v>
      </c>
      <c r="C5526" s="113">
        <v>7990187</v>
      </c>
      <c r="D5526" s="113" t="s">
        <v>7139</v>
      </c>
      <c r="E5526" s="113" t="s">
        <v>1620</v>
      </c>
      <c r="F5526" s="113" t="s">
        <v>7139</v>
      </c>
      <c r="G5526" s="113" t="s">
        <v>7145</v>
      </c>
      <c r="H5526" s="161">
        <v>0</v>
      </c>
      <c r="I5526" s="161" t="s">
        <v>7146</v>
      </c>
    </row>
    <row r="5527" spans="1:9">
      <c r="A5527" s="113">
        <v>100791623</v>
      </c>
      <c r="B5527" s="113" t="s">
        <v>7116</v>
      </c>
      <c r="C5527" s="113">
        <v>7990188</v>
      </c>
      <c r="D5527" s="113" t="s">
        <v>7139</v>
      </c>
      <c r="E5527" s="113" t="s">
        <v>1620</v>
      </c>
      <c r="F5527" s="113" t="s">
        <v>7139</v>
      </c>
      <c r="G5527" s="113" t="s">
        <v>7145</v>
      </c>
      <c r="H5527" s="161">
        <v>0</v>
      </c>
      <c r="I5527" s="161" t="s">
        <v>7146</v>
      </c>
    </row>
    <row r="5528" spans="1:9">
      <c r="A5528" s="113">
        <v>100791624</v>
      </c>
      <c r="B5528" s="113" t="s">
        <v>7116</v>
      </c>
      <c r="C5528" s="113">
        <v>7990189</v>
      </c>
      <c r="D5528" s="113" t="s">
        <v>7139</v>
      </c>
      <c r="E5528" s="113" t="s">
        <v>1620</v>
      </c>
      <c r="F5528" s="113" t="s">
        <v>7139</v>
      </c>
      <c r="G5528" s="113" t="s">
        <v>7145</v>
      </c>
      <c r="H5528" s="161">
        <v>0</v>
      </c>
      <c r="I5528" s="161" t="s">
        <v>7146</v>
      </c>
    </row>
    <row r="5529" spans="1:9">
      <c r="A5529" s="113">
        <v>100791625</v>
      </c>
      <c r="B5529" s="113" t="s">
        <v>7116</v>
      </c>
      <c r="C5529" s="113">
        <v>7990190</v>
      </c>
      <c r="D5529" s="113" t="s">
        <v>7139</v>
      </c>
      <c r="E5529" s="113" t="s">
        <v>1620</v>
      </c>
      <c r="F5529" s="113" t="s">
        <v>7139</v>
      </c>
      <c r="G5529" s="113" t="s">
        <v>7145</v>
      </c>
      <c r="H5529" s="161">
        <v>0</v>
      </c>
      <c r="I5529" s="161" t="s">
        <v>7146</v>
      </c>
    </row>
    <row r="5530" spans="1:9">
      <c r="A5530" s="113">
        <v>100791626</v>
      </c>
      <c r="B5530" s="113" t="s">
        <v>7116</v>
      </c>
      <c r="C5530" s="113">
        <v>7990192</v>
      </c>
      <c r="D5530" s="113" t="s">
        <v>7139</v>
      </c>
      <c r="E5530" s="113" t="s">
        <v>1620</v>
      </c>
      <c r="F5530" s="113" t="s">
        <v>7139</v>
      </c>
      <c r="G5530" s="113" t="s">
        <v>7145</v>
      </c>
      <c r="H5530" s="161">
        <v>0</v>
      </c>
      <c r="I5530" s="161" t="s">
        <v>7146</v>
      </c>
    </row>
    <row r="5531" spans="1:9">
      <c r="A5531" s="113">
        <v>100791627</v>
      </c>
      <c r="B5531" s="113" t="s">
        <v>7116</v>
      </c>
      <c r="C5531" s="113">
        <v>7990194</v>
      </c>
      <c r="D5531" s="113" t="s">
        <v>7139</v>
      </c>
      <c r="E5531" s="113" t="s">
        <v>1620</v>
      </c>
      <c r="F5531" s="113" t="s">
        <v>7139</v>
      </c>
      <c r="G5531" s="113" t="s">
        <v>7145</v>
      </c>
      <c r="H5531" s="161">
        <v>0</v>
      </c>
      <c r="I5531" s="161" t="s">
        <v>7146</v>
      </c>
    </row>
    <row r="5532" spans="1:9">
      <c r="A5532" s="113">
        <v>100791628</v>
      </c>
      <c r="B5532" s="113" t="s">
        <v>7116</v>
      </c>
      <c r="C5532" s="113">
        <v>7990195</v>
      </c>
      <c r="D5532" s="113" t="s">
        <v>7139</v>
      </c>
      <c r="E5532" s="113" t="s">
        <v>1620</v>
      </c>
      <c r="F5532" s="113" t="s">
        <v>7139</v>
      </c>
      <c r="G5532" s="113" t="s">
        <v>7145</v>
      </c>
      <c r="H5532" s="161">
        <v>0</v>
      </c>
      <c r="I5532" s="161" t="s">
        <v>7146</v>
      </c>
    </row>
    <row r="5533" spans="1:9">
      <c r="A5533" s="113">
        <v>100791629</v>
      </c>
      <c r="B5533" s="113" t="s">
        <v>7116</v>
      </c>
      <c r="C5533" s="113">
        <v>7990196</v>
      </c>
      <c r="D5533" s="113" t="s">
        <v>7139</v>
      </c>
      <c r="E5533" s="113" t="s">
        <v>1620</v>
      </c>
      <c r="F5533" s="113" t="s">
        <v>7139</v>
      </c>
      <c r="G5533" s="113" t="s">
        <v>7145</v>
      </c>
      <c r="H5533" s="161">
        <v>0</v>
      </c>
      <c r="I5533" s="161" t="s">
        <v>7146</v>
      </c>
    </row>
    <row r="5534" spans="1:9">
      <c r="A5534" s="113">
        <v>100791630</v>
      </c>
      <c r="B5534" s="113" t="s">
        <v>7116</v>
      </c>
      <c r="C5534" s="113">
        <v>7990197</v>
      </c>
      <c r="D5534" s="113" t="s">
        <v>7139</v>
      </c>
      <c r="E5534" s="113" t="s">
        <v>1620</v>
      </c>
      <c r="F5534" s="113" t="s">
        <v>7139</v>
      </c>
      <c r="G5534" s="113" t="s">
        <v>7145</v>
      </c>
      <c r="H5534" s="161">
        <v>0</v>
      </c>
      <c r="I5534" s="161" t="s">
        <v>7146</v>
      </c>
    </row>
    <row r="5535" spans="1:9">
      <c r="A5535" s="113">
        <v>100791631</v>
      </c>
      <c r="B5535" s="113" t="s">
        <v>7116</v>
      </c>
      <c r="C5535" s="113">
        <v>7990198</v>
      </c>
      <c r="D5535" s="113" t="s">
        <v>7139</v>
      </c>
      <c r="E5535" s="113" t="s">
        <v>1620</v>
      </c>
      <c r="F5535" s="113" t="s">
        <v>7139</v>
      </c>
      <c r="G5535" s="113" t="s">
        <v>7145</v>
      </c>
      <c r="H5535" s="161">
        <v>0</v>
      </c>
      <c r="I5535" s="161" t="s">
        <v>7146</v>
      </c>
    </row>
    <row r="5536" spans="1:9">
      <c r="A5536" s="113">
        <v>100791632</v>
      </c>
      <c r="B5536" s="113" t="s">
        <v>7116</v>
      </c>
      <c r="C5536" s="113">
        <v>7990201</v>
      </c>
      <c r="D5536" s="113" t="s">
        <v>7139</v>
      </c>
      <c r="E5536" s="113" t="s">
        <v>1620</v>
      </c>
      <c r="F5536" s="113" t="s">
        <v>7139</v>
      </c>
      <c r="G5536" s="113" t="s">
        <v>7145</v>
      </c>
      <c r="H5536" s="161">
        <v>0</v>
      </c>
      <c r="I5536" s="161" t="s">
        <v>7146</v>
      </c>
    </row>
    <row r="5537" spans="1:9">
      <c r="A5537" s="113">
        <v>100791634</v>
      </c>
      <c r="B5537" s="113" t="s">
        <v>7116</v>
      </c>
      <c r="C5537" s="113">
        <v>7990203</v>
      </c>
      <c r="D5537" s="113" t="s">
        <v>7139</v>
      </c>
      <c r="E5537" s="113" t="s">
        <v>1620</v>
      </c>
      <c r="F5537" s="113" t="s">
        <v>7139</v>
      </c>
      <c r="G5537" s="113" t="s">
        <v>7145</v>
      </c>
      <c r="H5537" s="161">
        <v>0</v>
      </c>
      <c r="I5537" s="161" t="s">
        <v>7146</v>
      </c>
    </row>
    <row r="5538" spans="1:9">
      <c r="A5538" s="113">
        <v>100791636</v>
      </c>
      <c r="B5538" s="113" t="s">
        <v>7116</v>
      </c>
      <c r="C5538" s="113">
        <v>7990206</v>
      </c>
      <c r="D5538" s="113" t="s">
        <v>7139</v>
      </c>
      <c r="E5538" s="113" t="s">
        <v>1620</v>
      </c>
      <c r="F5538" s="113" t="s">
        <v>7139</v>
      </c>
      <c r="G5538" s="113" t="s">
        <v>7145</v>
      </c>
      <c r="H5538" s="161">
        <v>0</v>
      </c>
      <c r="I5538" s="161" t="s">
        <v>7146</v>
      </c>
    </row>
    <row r="5539" spans="1:9">
      <c r="A5539" s="113">
        <v>100791638</v>
      </c>
      <c r="B5539" s="113" t="s">
        <v>7116</v>
      </c>
      <c r="C5539" s="113">
        <v>7990209</v>
      </c>
      <c r="D5539" s="113" t="s">
        <v>7139</v>
      </c>
      <c r="E5539" s="113" t="s">
        <v>1620</v>
      </c>
      <c r="F5539" s="113" t="s">
        <v>7139</v>
      </c>
      <c r="G5539" s="113" t="s">
        <v>7145</v>
      </c>
      <c r="H5539" s="161">
        <v>0</v>
      </c>
      <c r="I5539" s="161" t="s">
        <v>7146</v>
      </c>
    </row>
    <row r="5540" spans="1:9">
      <c r="A5540" s="113">
        <v>100791639</v>
      </c>
      <c r="B5540" s="113" t="s">
        <v>7116</v>
      </c>
      <c r="C5540" s="113">
        <v>7990210</v>
      </c>
      <c r="D5540" s="113" t="s">
        <v>7139</v>
      </c>
      <c r="E5540" s="113" t="s">
        <v>1620</v>
      </c>
      <c r="F5540" s="113" t="s">
        <v>7139</v>
      </c>
      <c r="G5540" s="113" t="s">
        <v>7145</v>
      </c>
      <c r="H5540" s="161">
        <v>0</v>
      </c>
      <c r="I5540" s="161" t="s">
        <v>7146</v>
      </c>
    </row>
    <row r="5541" spans="1:9">
      <c r="A5541" s="113">
        <v>100791640</v>
      </c>
      <c r="B5541" s="113" t="s">
        <v>7116</v>
      </c>
      <c r="C5541" s="113">
        <v>7990211</v>
      </c>
      <c r="D5541" s="113" t="s">
        <v>7139</v>
      </c>
      <c r="E5541" s="113" t="s">
        <v>1620</v>
      </c>
      <c r="F5541" s="113" t="s">
        <v>7139</v>
      </c>
      <c r="G5541" s="113" t="s">
        <v>7145</v>
      </c>
      <c r="H5541" s="161">
        <v>0</v>
      </c>
      <c r="I5541" s="161" t="s">
        <v>7146</v>
      </c>
    </row>
    <row r="5542" spans="1:9">
      <c r="A5542" s="113">
        <v>100791641</v>
      </c>
      <c r="B5542" s="113" t="s">
        <v>7116</v>
      </c>
      <c r="C5542" s="113">
        <v>7990212</v>
      </c>
      <c r="D5542" s="113" t="s">
        <v>7139</v>
      </c>
      <c r="E5542" s="113" t="s">
        <v>1620</v>
      </c>
      <c r="F5542" s="113" t="s">
        <v>7139</v>
      </c>
      <c r="G5542" s="113" t="s">
        <v>7145</v>
      </c>
      <c r="H5542" s="161">
        <v>0</v>
      </c>
      <c r="I5542" s="161" t="s">
        <v>7146</v>
      </c>
    </row>
    <row r="5543" spans="1:9">
      <c r="A5543" s="113">
        <v>100791643</v>
      </c>
      <c r="B5543" s="113" t="s">
        <v>7116</v>
      </c>
      <c r="C5543" s="113">
        <v>7990216</v>
      </c>
      <c r="D5543" s="113" t="s">
        <v>7139</v>
      </c>
      <c r="E5543" s="113" t="s">
        <v>1620</v>
      </c>
      <c r="F5543" s="113" t="s">
        <v>7139</v>
      </c>
      <c r="G5543" s="113" t="s">
        <v>7145</v>
      </c>
      <c r="H5543" s="161">
        <v>0</v>
      </c>
      <c r="I5543" s="161" t="s">
        <v>7146</v>
      </c>
    </row>
    <row r="5544" spans="1:9">
      <c r="A5544" s="113">
        <v>100791644</v>
      </c>
      <c r="B5544" s="113" t="s">
        <v>7116</v>
      </c>
      <c r="C5544" s="113">
        <v>7990217</v>
      </c>
      <c r="D5544" s="113" t="s">
        <v>7139</v>
      </c>
      <c r="E5544" s="113" t="s">
        <v>1620</v>
      </c>
      <c r="F5544" s="113" t="s">
        <v>7139</v>
      </c>
      <c r="G5544" s="113" t="s">
        <v>7145</v>
      </c>
      <c r="H5544" s="161">
        <v>0</v>
      </c>
      <c r="I5544" s="161" t="s">
        <v>7146</v>
      </c>
    </row>
    <row r="5545" spans="1:9">
      <c r="A5545" s="113">
        <v>100791645</v>
      </c>
      <c r="B5545" s="113" t="s">
        <v>7116</v>
      </c>
      <c r="C5545" s="113">
        <v>7990218</v>
      </c>
      <c r="D5545" s="113" t="s">
        <v>7139</v>
      </c>
      <c r="E5545" s="113" t="s">
        <v>1620</v>
      </c>
      <c r="F5545" s="113" t="s">
        <v>7139</v>
      </c>
      <c r="G5545" s="113" t="s">
        <v>7145</v>
      </c>
      <c r="H5545" s="161">
        <v>0</v>
      </c>
      <c r="I5545" s="161" t="s">
        <v>7146</v>
      </c>
    </row>
    <row r="5546" spans="1:9">
      <c r="A5546" s="113">
        <v>100791646</v>
      </c>
      <c r="B5546" s="113" t="s">
        <v>7116</v>
      </c>
      <c r="C5546" s="113">
        <v>7990220</v>
      </c>
      <c r="D5546" s="113" t="s">
        <v>7139</v>
      </c>
      <c r="E5546" s="113" t="s">
        <v>1620</v>
      </c>
      <c r="F5546" s="113" t="s">
        <v>7139</v>
      </c>
      <c r="G5546" s="113" t="s">
        <v>7145</v>
      </c>
      <c r="H5546" s="161">
        <v>0</v>
      </c>
      <c r="I5546" s="161" t="s">
        <v>7146</v>
      </c>
    </row>
    <row r="5547" spans="1:9">
      <c r="A5547" s="113">
        <v>100791647</v>
      </c>
      <c r="B5547" s="113" t="s">
        <v>7116</v>
      </c>
      <c r="C5547" s="113">
        <v>7990223</v>
      </c>
      <c r="D5547" s="113" t="s">
        <v>7139</v>
      </c>
      <c r="E5547" s="113" t="s">
        <v>1620</v>
      </c>
      <c r="F5547" s="113" t="s">
        <v>7139</v>
      </c>
      <c r="G5547" s="113" t="s">
        <v>7145</v>
      </c>
      <c r="H5547" s="161">
        <v>0</v>
      </c>
      <c r="I5547" s="161" t="s">
        <v>7146</v>
      </c>
    </row>
    <row r="5548" spans="1:9">
      <c r="A5548" s="113">
        <v>100791648</v>
      </c>
      <c r="B5548" s="113" t="s">
        <v>7116</v>
      </c>
      <c r="C5548" s="113">
        <v>7990224</v>
      </c>
      <c r="D5548" s="113" t="s">
        <v>7139</v>
      </c>
      <c r="E5548" s="113" t="s">
        <v>1620</v>
      </c>
      <c r="F5548" s="113" t="s">
        <v>7139</v>
      </c>
      <c r="G5548" s="113" t="s">
        <v>7145</v>
      </c>
      <c r="H5548" s="161">
        <v>0</v>
      </c>
      <c r="I5548" s="161" t="s">
        <v>7146</v>
      </c>
    </row>
    <row r="5549" spans="1:9">
      <c r="A5549" s="113">
        <v>100791649</v>
      </c>
      <c r="B5549" s="113" t="s">
        <v>7116</v>
      </c>
      <c r="C5549" s="113">
        <v>7990225</v>
      </c>
      <c r="D5549" s="113" t="s">
        <v>7139</v>
      </c>
      <c r="E5549" s="113" t="s">
        <v>1620</v>
      </c>
      <c r="F5549" s="113" t="s">
        <v>7139</v>
      </c>
      <c r="G5549" s="113" t="s">
        <v>7145</v>
      </c>
      <c r="H5549" s="161">
        <v>0</v>
      </c>
      <c r="I5549" s="161" t="s">
        <v>7146</v>
      </c>
    </row>
    <row r="5550" spans="1:9">
      <c r="A5550" s="113">
        <v>100791650</v>
      </c>
      <c r="B5550" s="113" t="s">
        <v>7116</v>
      </c>
      <c r="C5550" s="113">
        <v>7990226</v>
      </c>
      <c r="D5550" s="113" t="s">
        <v>7139</v>
      </c>
      <c r="E5550" s="113" t="s">
        <v>1620</v>
      </c>
      <c r="F5550" s="113" t="s">
        <v>7139</v>
      </c>
      <c r="G5550" s="113" t="s">
        <v>7145</v>
      </c>
      <c r="H5550" s="161">
        <v>0</v>
      </c>
      <c r="I5550" s="161" t="s">
        <v>7146</v>
      </c>
    </row>
    <row r="5551" spans="1:9">
      <c r="A5551" s="113">
        <v>100791651</v>
      </c>
      <c r="B5551" s="113" t="s">
        <v>7116</v>
      </c>
      <c r="C5551" s="113">
        <v>7990230</v>
      </c>
      <c r="D5551" s="113" t="s">
        <v>7139</v>
      </c>
      <c r="E5551" s="113" t="s">
        <v>1620</v>
      </c>
      <c r="F5551" s="113" t="s">
        <v>7139</v>
      </c>
      <c r="G5551" s="113" t="s">
        <v>7145</v>
      </c>
      <c r="H5551" s="161">
        <v>0</v>
      </c>
      <c r="I5551" s="161" t="s">
        <v>7146</v>
      </c>
    </row>
    <row r="5552" spans="1:9">
      <c r="A5552" s="113">
        <v>100791653</v>
      </c>
      <c r="B5552" s="113" t="s">
        <v>7116</v>
      </c>
      <c r="C5552" s="113">
        <v>7990241</v>
      </c>
      <c r="D5552" s="113" t="s">
        <v>7139</v>
      </c>
      <c r="E5552" s="113" t="s">
        <v>1620</v>
      </c>
      <c r="F5552" s="113" t="s">
        <v>7139</v>
      </c>
      <c r="G5552" s="113" t="s">
        <v>7145</v>
      </c>
      <c r="H5552" s="161">
        <v>0</v>
      </c>
      <c r="I5552" s="161" t="s">
        <v>7146</v>
      </c>
    </row>
    <row r="5553" spans="1:9">
      <c r="A5553" s="113">
        <v>100791655</v>
      </c>
      <c r="B5553" s="113" t="s">
        <v>7116</v>
      </c>
      <c r="C5553" s="113">
        <v>7990244</v>
      </c>
      <c r="D5553" s="113" t="s">
        <v>7139</v>
      </c>
      <c r="E5553" s="113" t="s">
        <v>1620</v>
      </c>
      <c r="F5553" s="113" t="s">
        <v>7139</v>
      </c>
      <c r="G5553" s="113" t="s">
        <v>7145</v>
      </c>
      <c r="H5553" s="161">
        <v>0</v>
      </c>
      <c r="I5553" s="161" t="s">
        <v>7146</v>
      </c>
    </row>
    <row r="5554" spans="1:9">
      <c r="A5554" s="113">
        <v>100791657</v>
      </c>
      <c r="B5554" s="113" t="s">
        <v>7116</v>
      </c>
      <c r="C5554" s="113">
        <v>7990248</v>
      </c>
      <c r="D5554" s="113" t="s">
        <v>7139</v>
      </c>
      <c r="E5554" s="113" t="s">
        <v>1620</v>
      </c>
      <c r="F5554" s="113" t="s">
        <v>7139</v>
      </c>
      <c r="G5554" s="113" t="s">
        <v>7145</v>
      </c>
      <c r="H5554" s="161">
        <v>0</v>
      </c>
      <c r="I5554" s="161" t="s">
        <v>7146</v>
      </c>
    </row>
    <row r="5555" spans="1:9">
      <c r="A5555" s="113">
        <v>100791658</v>
      </c>
      <c r="B5555" s="113" t="s">
        <v>7116</v>
      </c>
      <c r="C5555" s="113">
        <v>7990259</v>
      </c>
      <c r="D5555" s="113" t="s">
        <v>7139</v>
      </c>
      <c r="E5555" s="113" t="s">
        <v>1620</v>
      </c>
      <c r="F5555" s="113" t="s">
        <v>7139</v>
      </c>
      <c r="G5555" s="113" t="s">
        <v>7145</v>
      </c>
      <c r="H5555" s="161">
        <v>0</v>
      </c>
      <c r="I5555" s="161" t="s">
        <v>7146</v>
      </c>
    </row>
    <row r="5556" spans="1:9">
      <c r="A5556" s="113">
        <v>100791659</v>
      </c>
      <c r="B5556" s="113" t="s">
        <v>7116</v>
      </c>
      <c r="C5556" s="113">
        <v>7990260</v>
      </c>
      <c r="D5556" s="113" t="s">
        <v>7139</v>
      </c>
      <c r="E5556" s="113" t="s">
        <v>1620</v>
      </c>
      <c r="F5556" s="113" t="s">
        <v>7139</v>
      </c>
      <c r="G5556" s="113" t="s">
        <v>7145</v>
      </c>
      <c r="H5556" s="161">
        <v>0</v>
      </c>
      <c r="I5556" s="161" t="s">
        <v>7146</v>
      </c>
    </row>
    <row r="5557" spans="1:9">
      <c r="A5557" s="113">
        <v>100791661</v>
      </c>
      <c r="B5557" s="113" t="s">
        <v>7116</v>
      </c>
      <c r="C5557" s="113">
        <v>7990265</v>
      </c>
      <c r="D5557" s="113" t="s">
        <v>7139</v>
      </c>
      <c r="E5557" s="113" t="s">
        <v>1620</v>
      </c>
      <c r="F5557" s="113" t="s">
        <v>7139</v>
      </c>
      <c r="G5557" s="113" t="s">
        <v>7145</v>
      </c>
      <c r="H5557" s="161">
        <v>0</v>
      </c>
      <c r="I5557" s="161" t="s">
        <v>7146</v>
      </c>
    </row>
    <row r="5558" spans="1:9">
      <c r="A5558" s="113">
        <v>100791662</v>
      </c>
      <c r="B5558" s="113" t="s">
        <v>7116</v>
      </c>
      <c r="C5558" s="113">
        <v>7990266</v>
      </c>
      <c r="D5558" s="113" t="s">
        <v>7139</v>
      </c>
      <c r="E5558" s="113" t="s">
        <v>1620</v>
      </c>
      <c r="F5558" s="113" t="s">
        <v>7139</v>
      </c>
      <c r="G5558" s="113" t="s">
        <v>7145</v>
      </c>
      <c r="H5558" s="161">
        <v>0</v>
      </c>
      <c r="I5558" s="161" t="s">
        <v>7146</v>
      </c>
    </row>
    <row r="5559" spans="1:9">
      <c r="A5559" s="113">
        <v>100791663</v>
      </c>
      <c r="B5559" s="113" t="s">
        <v>7116</v>
      </c>
      <c r="C5559" s="113">
        <v>7990267</v>
      </c>
      <c r="D5559" s="113" t="s">
        <v>7139</v>
      </c>
      <c r="E5559" s="113" t="s">
        <v>1620</v>
      </c>
      <c r="F5559" s="113" t="s">
        <v>7139</v>
      </c>
      <c r="G5559" s="113" t="s">
        <v>7145</v>
      </c>
      <c r="H5559" s="161">
        <v>0</v>
      </c>
      <c r="I5559" s="161" t="s">
        <v>7146</v>
      </c>
    </row>
    <row r="5560" spans="1:9">
      <c r="A5560" s="113">
        <v>100791664</v>
      </c>
      <c r="B5560" s="113" t="s">
        <v>7116</v>
      </c>
      <c r="C5560" s="113">
        <v>7990270</v>
      </c>
      <c r="D5560" s="113" t="s">
        <v>7139</v>
      </c>
      <c r="E5560" s="113" t="s">
        <v>1620</v>
      </c>
      <c r="F5560" s="113" t="s">
        <v>7139</v>
      </c>
      <c r="G5560" s="113" t="s">
        <v>7145</v>
      </c>
      <c r="H5560" s="161">
        <v>0</v>
      </c>
      <c r="I5560" s="161" t="s">
        <v>7146</v>
      </c>
    </row>
    <row r="5561" spans="1:9">
      <c r="A5561" s="113">
        <v>100791665</v>
      </c>
      <c r="B5561" s="113" t="s">
        <v>7116</v>
      </c>
      <c r="C5561" s="113">
        <v>7990271</v>
      </c>
      <c r="D5561" s="113" t="s">
        <v>7139</v>
      </c>
      <c r="E5561" s="113" t="s">
        <v>1620</v>
      </c>
      <c r="F5561" s="113" t="s">
        <v>7139</v>
      </c>
      <c r="G5561" s="113" t="s">
        <v>7145</v>
      </c>
      <c r="H5561" s="161">
        <v>0</v>
      </c>
      <c r="I5561" s="161" t="s">
        <v>7146</v>
      </c>
    </row>
    <row r="5562" spans="1:9">
      <c r="A5562" s="113">
        <v>100791666</v>
      </c>
      <c r="B5562" s="113" t="s">
        <v>7116</v>
      </c>
      <c r="C5562" s="113">
        <v>7990272</v>
      </c>
      <c r="D5562" s="113" t="s">
        <v>7139</v>
      </c>
      <c r="E5562" s="113" t="s">
        <v>1620</v>
      </c>
      <c r="F5562" s="113" t="s">
        <v>7139</v>
      </c>
      <c r="G5562" s="113" t="s">
        <v>7145</v>
      </c>
      <c r="H5562" s="161">
        <v>0</v>
      </c>
      <c r="I5562" s="161" t="s">
        <v>7146</v>
      </c>
    </row>
    <row r="5563" spans="1:9">
      <c r="A5563" s="113">
        <v>100791667</v>
      </c>
      <c r="B5563" s="113" t="s">
        <v>7116</v>
      </c>
      <c r="C5563" s="113">
        <v>7990278</v>
      </c>
      <c r="D5563" s="113" t="s">
        <v>7139</v>
      </c>
      <c r="E5563" s="113" t="s">
        <v>1620</v>
      </c>
      <c r="F5563" s="113" t="s">
        <v>7139</v>
      </c>
      <c r="G5563" s="113" t="s">
        <v>7145</v>
      </c>
      <c r="H5563" s="161">
        <v>0</v>
      </c>
      <c r="I5563" s="161" t="s">
        <v>7146</v>
      </c>
    </row>
    <row r="5564" spans="1:9">
      <c r="A5564" s="113">
        <v>100791668</v>
      </c>
      <c r="B5564" s="113" t="s">
        <v>7116</v>
      </c>
      <c r="C5564" s="113">
        <v>7990283</v>
      </c>
      <c r="D5564" s="113" t="s">
        <v>7139</v>
      </c>
      <c r="E5564" s="113" t="s">
        <v>1620</v>
      </c>
      <c r="F5564" s="113" t="s">
        <v>7139</v>
      </c>
      <c r="G5564" s="113" t="s">
        <v>7145</v>
      </c>
      <c r="H5564" s="161">
        <v>0</v>
      </c>
      <c r="I5564" s="161" t="s">
        <v>7146</v>
      </c>
    </row>
    <row r="5565" spans="1:9">
      <c r="A5565" s="113">
        <v>100791669</v>
      </c>
      <c r="B5565" s="113" t="s">
        <v>7116</v>
      </c>
      <c r="C5565" s="113">
        <v>7990284</v>
      </c>
      <c r="D5565" s="113" t="s">
        <v>7139</v>
      </c>
      <c r="E5565" s="113" t="s">
        <v>1620</v>
      </c>
      <c r="F5565" s="113" t="s">
        <v>7139</v>
      </c>
      <c r="G5565" s="113" t="s">
        <v>7145</v>
      </c>
      <c r="H5565" s="161">
        <v>0</v>
      </c>
      <c r="I5565" s="161" t="s">
        <v>7146</v>
      </c>
    </row>
    <row r="5566" spans="1:9">
      <c r="A5566" s="113">
        <v>100791670</v>
      </c>
      <c r="B5566" s="113" t="s">
        <v>7116</v>
      </c>
      <c r="C5566" s="113">
        <v>7990286</v>
      </c>
      <c r="D5566" s="113" t="s">
        <v>7139</v>
      </c>
      <c r="E5566" s="113" t="s">
        <v>1620</v>
      </c>
      <c r="F5566" s="113" t="s">
        <v>7139</v>
      </c>
      <c r="G5566" s="113" t="s">
        <v>7145</v>
      </c>
      <c r="H5566" s="161">
        <v>0</v>
      </c>
      <c r="I5566" s="161" t="s">
        <v>7146</v>
      </c>
    </row>
    <row r="5567" spans="1:9">
      <c r="A5567" s="113">
        <v>100791671</v>
      </c>
      <c r="B5567" s="113" t="s">
        <v>7116</v>
      </c>
      <c r="C5567" s="113">
        <v>7990290</v>
      </c>
      <c r="D5567" s="113" t="s">
        <v>7139</v>
      </c>
      <c r="E5567" s="113" t="s">
        <v>1620</v>
      </c>
      <c r="F5567" s="113" t="s">
        <v>7139</v>
      </c>
      <c r="G5567" s="113" t="s">
        <v>7145</v>
      </c>
      <c r="H5567" s="161">
        <v>0</v>
      </c>
      <c r="I5567" s="161" t="s">
        <v>7146</v>
      </c>
    </row>
    <row r="5568" spans="1:9">
      <c r="A5568" s="113">
        <v>100791672</v>
      </c>
      <c r="B5568" s="113" t="s">
        <v>7116</v>
      </c>
      <c r="C5568" s="113">
        <v>7990305</v>
      </c>
      <c r="D5568" s="113" t="s">
        <v>7139</v>
      </c>
      <c r="E5568" s="113" t="s">
        <v>1620</v>
      </c>
      <c r="F5568" s="113" t="s">
        <v>7139</v>
      </c>
      <c r="G5568" s="113" t="s">
        <v>7145</v>
      </c>
      <c r="H5568" s="161">
        <v>0</v>
      </c>
      <c r="I5568" s="161" t="s">
        <v>7146</v>
      </c>
    </row>
    <row r="5569" spans="1:9">
      <c r="A5569" s="113">
        <v>100791673</v>
      </c>
      <c r="B5569" s="113" t="s">
        <v>7116</v>
      </c>
      <c r="C5569" s="113">
        <v>7990315</v>
      </c>
      <c r="D5569" s="113" t="s">
        <v>7139</v>
      </c>
      <c r="E5569" s="113" t="s">
        <v>1620</v>
      </c>
      <c r="F5569" s="113" t="s">
        <v>7139</v>
      </c>
      <c r="G5569" s="113" t="s">
        <v>7145</v>
      </c>
      <c r="H5569" s="161">
        <v>0</v>
      </c>
      <c r="I5569" s="161" t="s">
        <v>7146</v>
      </c>
    </row>
    <row r="5570" spans="1:9">
      <c r="A5570" s="113">
        <v>100791674</v>
      </c>
      <c r="B5570" s="113" t="s">
        <v>7116</v>
      </c>
      <c r="C5570" s="113">
        <v>7990316</v>
      </c>
      <c r="D5570" s="113" t="s">
        <v>7139</v>
      </c>
      <c r="E5570" s="113" t="s">
        <v>1620</v>
      </c>
      <c r="F5570" s="113" t="s">
        <v>7139</v>
      </c>
      <c r="G5570" s="113" t="s">
        <v>7145</v>
      </c>
      <c r="H5570" s="161">
        <v>0</v>
      </c>
      <c r="I5570" s="161" t="s">
        <v>7146</v>
      </c>
    </row>
    <row r="5571" spans="1:9">
      <c r="A5571" s="113">
        <v>100791675</v>
      </c>
      <c r="B5571" s="113" t="s">
        <v>7116</v>
      </c>
      <c r="C5571" s="113">
        <v>7990320</v>
      </c>
      <c r="D5571" s="113" t="s">
        <v>7139</v>
      </c>
      <c r="E5571" s="113" t="s">
        <v>1620</v>
      </c>
      <c r="F5571" s="113" t="s">
        <v>7139</v>
      </c>
      <c r="G5571" s="113" t="s">
        <v>7145</v>
      </c>
      <c r="H5571" s="161">
        <v>0</v>
      </c>
      <c r="I5571" s="161" t="s">
        <v>7146</v>
      </c>
    </row>
    <row r="5572" spans="1:9">
      <c r="A5572" s="113">
        <v>100791676</v>
      </c>
      <c r="B5572" s="113" t="s">
        <v>7116</v>
      </c>
      <c r="C5572" s="113">
        <v>7990327</v>
      </c>
      <c r="D5572" s="113" t="s">
        <v>7139</v>
      </c>
      <c r="E5572" s="113" t="s">
        <v>1620</v>
      </c>
      <c r="F5572" s="113" t="s">
        <v>7139</v>
      </c>
      <c r="G5572" s="113" t="s">
        <v>7145</v>
      </c>
      <c r="H5572" s="161">
        <v>0</v>
      </c>
      <c r="I5572" s="161" t="s">
        <v>7146</v>
      </c>
    </row>
    <row r="5573" spans="1:9">
      <c r="A5573" s="113">
        <v>100791677</v>
      </c>
      <c r="B5573" s="113" t="s">
        <v>7116</v>
      </c>
      <c r="C5573" s="113">
        <v>7990336</v>
      </c>
      <c r="D5573" s="113" t="s">
        <v>7139</v>
      </c>
      <c r="E5573" s="113" t="s">
        <v>1620</v>
      </c>
      <c r="F5573" s="113" t="s">
        <v>7139</v>
      </c>
      <c r="G5573" s="113" t="s">
        <v>7145</v>
      </c>
      <c r="H5573" s="161">
        <v>0</v>
      </c>
      <c r="I5573" s="161" t="s">
        <v>7146</v>
      </c>
    </row>
    <row r="5574" spans="1:9">
      <c r="A5574" s="113">
        <v>100791678</v>
      </c>
      <c r="B5574" s="113" t="s">
        <v>7116</v>
      </c>
      <c r="C5574" s="113">
        <v>7990337</v>
      </c>
      <c r="D5574" s="113" t="s">
        <v>7139</v>
      </c>
      <c r="E5574" s="113" t="s">
        <v>1620</v>
      </c>
      <c r="F5574" s="113" t="s">
        <v>7139</v>
      </c>
      <c r="G5574" s="113" t="s">
        <v>7145</v>
      </c>
      <c r="H5574" s="161">
        <v>0</v>
      </c>
      <c r="I5574" s="161" t="s">
        <v>7146</v>
      </c>
    </row>
    <row r="5575" spans="1:9">
      <c r="A5575" s="113">
        <v>100791679</v>
      </c>
      <c r="B5575" s="113" t="s">
        <v>7116</v>
      </c>
      <c r="C5575" s="113">
        <v>7990345</v>
      </c>
      <c r="D5575" s="113" t="s">
        <v>7139</v>
      </c>
      <c r="E5575" s="113" t="s">
        <v>1620</v>
      </c>
      <c r="F5575" s="113" t="s">
        <v>7139</v>
      </c>
      <c r="G5575" s="113" t="s">
        <v>7145</v>
      </c>
      <c r="H5575" s="161">
        <v>0</v>
      </c>
      <c r="I5575" s="161" t="s">
        <v>7146</v>
      </c>
    </row>
    <row r="5576" spans="1:9">
      <c r="A5576" s="113">
        <v>100791680</v>
      </c>
      <c r="B5576" s="113" t="s">
        <v>7116</v>
      </c>
      <c r="C5576" s="113">
        <v>7990346</v>
      </c>
      <c r="D5576" s="113" t="s">
        <v>7139</v>
      </c>
      <c r="E5576" s="113" t="s">
        <v>1620</v>
      </c>
      <c r="F5576" s="113" t="s">
        <v>7139</v>
      </c>
      <c r="G5576" s="113" t="s">
        <v>7145</v>
      </c>
      <c r="H5576" s="161">
        <v>0</v>
      </c>
      <c r="I5576" s="161" t="s">
        <v>7146</v>
      </c>
    </row>
    <row r="5577" spans="1:9">
      <c r="A5577" s="113">
        <v>100791681</v>
      </c>
      <c r="B5577" s="113" t="s">
        <v>7116</v>
      </c>
      <c r="C5577" s="113">
        <v>7990350</v>
      </c>
      <c r="D5577" s="113" t="s">
        <v>7139</v>
      </c>
      <c r="E5577" s="113" t="s">
        <v>1620</v>
      </c>
      <c r="F5577" s="113" t="s">
        <v>7139</v>
      </c>
      <c r="G5577" s="113" t="s">
        <v>7145</v>
      </c>
      <c r="H5577" s="161">
        <v>0</v>
      </c>
      <c r="I5577" s="161" t="s">
        <v>7146</v>
      </c>
    </row>
    <row r="5578" spans="1:9">
      <c r="A5578" s="113">
        <v>100791682</v>
      </c>
      <c r="B5578" s="113" t="s">
        <v>7116</v>
      </c>
      <c r="C5578" s="113">
        <v>7990352</v>
      </c>
      <c r="D5578" s="113" t="s">
        <v>7139</v>
      </c>
      <c r="E5578" s="113" t="s">
        <v>1620</v>
      </c>
      <c r="F5578" s="113" t="s">
        <v>7139</v>
      </c>
      <c r="G5578" s="113" t="s">
        <v>7145</v>
      </c>
      <c r="H5578" s="161">
        <v>0</v>
      </c>
      <c r="I5578" s="161" t="s">
        <v>7146</v>
      </c>
    </row>
    <row r="5579" spans="1:9">
      <c r="A5579" s="113">
        <v>100791683</v>
      </c>
      <c r="B5579" s="113" t="s">
        <v>7116</v>
      </c>
      <c r="C5579" s="113">
        <v>7990353</v>
      </c>
      <c r="D5579" s="113" t="s">
        <v>7139</v>
      </c>
      <c r="E5579" s="113" t="s">
        <v>1620</v>
      </c>
      <c r="F5579" s="113" t="s">
        <v>7139</v>
      </c>
      <c r="G5579" s="113" t="s">
        <v>7145</v>
      </c>
      <c r="H5579" s="161">
        <v>0</v>
      </c>
      <c r="I5579" s="161" t="s">
        <v>7146</v>
      </c>
    </row>
    <row r="5580" spans="1:9">
      <c r="A5580" s="113">
        <v>100791684</v>
      </c>
      <c r="B5580" s="113" t="s">
        <v>7116</v>
      </c>
      <c r="C5580" s="113">
        <v>7990354</v>
      </c>
      <c r="D5580" s="113" t="s">
        <v>7139</v>
      </c>
      <c r="E5580" s="113" t="s">
        <v>1620</v>
      </c>
      <c r="F5580" s="113" t="s">
        <v>7139</v>
      </c>
      <c r="G5580" s="113" t="s">
        <v>7145</v>
      </c>
      <c r="H5580" s="161">
        <v>0</v>
      </c>
      <c r="I5580" s="161" t="s">
        <v>7146</v>
      </c>
    </row>
    <row r="5581" spans="1:9">
      <c r="A5581" s="113">
        <v>100791685</v>
      </c>
      <c r="B5581" s="113" t="s">
        <v>7116</v>
      </c>
      <c r="C5581" s="113">
        <v>7990359</v>
      </c>
      <c r="D5581" s="113" t="s">
        <v>7139</v>
      </c>
      <c r="E5581" s="113" t="s">
        <v>1620</v>
      </c>
      <c r="F5581" s="113" t="s">
        <v>7139</v>
      </c>
      <c r="G5581" s="113" t="s">
        <v>7145</v>
      </c>
      <c r="H5581" s="161">
        <v>0</v>
      </c>
      <c r="I5581" s="161" t="s">
        <v>7146</v>
      </c>
    </row>
    <row r="5582" spans="1:9">
      <c r="A5582" s="113">
        <v>100791686</v>
      </c>
      <c r="B5582" s="113" t="s">
        <v>7116</v>
      </c>
      <c r="C5582" s="113">
        <v>7990360</v>
      </c>
      <c r="D5582" s="113" t="s">
        <v>7139</v>
      </c>
      <c r="E5582" s="113" t="s">
        <v>1620</v>
      </c>
      <c r="F5582" s="113" t="s">
        <v>7139</v>
      </c>
      <c r="G5582" s="113" t="s">
        <v>7145</v>
      </c>
      <c r="H5582" s="161">
        <v>0</v>
      </c>
      <c r="I5582" s="161" t="s">
        <v>7146</v>
      </c>
    </row>
    <row r="5583" spans="1:9">
      <c r="A5583" s="113">
        <v>100791687</v>
      </c>
      <c r="B5583" s="113" t="s">
        <v>7116</v>
      </c>
      <c r="C5583" s="113">
        <v>7990363</v>
      </c>
      <c r="D5583" s="113" t="s">
        <v>7139</v>
      </c>
      <c r="E5583" s="113" t="s">
        <v>1620</v>
      </c>
      <c r="F5583" s="113" t="s">
        <v>7139</v>
      </c>
      <c r="G5583" s="113" t="s">
        <v>7145</v>
      </c>
      <c r="H5583" s="161">
        <v>0</v>
      </c>
      <c r="I5583" s="161" t="s">
        <v>7146</v>
      </c>
    </row>
    <row r="5584" spans="1:9">
      <c r="A5584" s="113">
        <v>100791688</v>
      </c>
      <c r="B5584" s="113" t="s">
        <v>7116</v>
      </c>
      <c r="C5584" s="113">
        <v>7990367</v>
      </c>
      <c r="D5584" s="113" t="s">
        <v>7139</v>
      </c>
      <c r="E5584" s="113" t="s">
        <v>1620</v>
      </c>
      <c r="F5584" s="113" t="s">
        <v>7139</v>
      </c>
      <c r="G5584" s="113" t="s">
        <v>7145</v>
      </c>
      <c r="H5584" s="161">
        <v>0</v>
      </c>
      <c r="I5584" s="161" t="s">
        <v>7146</v>
      </c>
    </row>
    <row r="5585" spans="1:9">
      <c r="A5585" s="113">
        <v>100791689</v>
      </c>
      <c r="B5585" s="113" t="s">
        <v>7116</v>
      </c>
      <c r="C5585" s="113">
        <v>7990368</v>
      </c>
      <c r="D5585" s="113" t="s">
        <v>7139</v>
      </c>
      <c r="E5585" s="113" t="s">
        <v>1620</v>
      </c>
      <c r="F5585" s="113" t="s">
        <v>7139</v>
      </c>
      <c r="G5585" s="113" t="s">
        <v>7145</v>
      </c>
      <c r="H5585" s="161">
        <v>0</v>
      </c>
      <c r="I5585" s="161" t="s">
        <v>7146</v>
      </c>
    </row>
    <row r="5586" spans="1:9">
      <c r="A5586" s="113">
        <v>100791690</v>
      </c>
      <c r="B5586" s="113" t="s">
        <v>7116</v>
      </c>
      <c r="C5586" s="113">
        <v>7990369</v>
      </c>
      <c r="D5586" s="113" t="s">
        <v>7139</v>
      </c>
      <c r="E5586" s="113" t="s">
        <v>1620</v>
      </c>
      <c r="F5586" s="113" t="s">
        <v>7139</v>
      </c>
      <c r="G5586" s="113" t="s">
        <v>7145</v>
      </c>
      <c r="H5586" s="161">
        <v>0</v>
      </c>
      <c r="I5586" s="161" t="s">
        <v>7146</v>
      </c>
    </row>
    <row r="5587" spans="1:9">
      <c r="A5587" s="113">
        <v>100791691</v>
      </c>
      <c r="B5587" s="113" t="s">
        <v>7116</v>
      </c>
      <c r="C5587" s="113">
        <v>7990372</v>
      </c>
      <c r="D5587" s="113" t="s">
        <v>7139</v>
      </c>
      <c r="E5587" s="113" t="s">
        <v>1620</v>
      </c>
      <c r="F5587" s="113" t="s">
        <v>7139</v>
      </c>
      <c r="G5587" s="113" t="s">
        <v>7145</v>
      </c>
      <c r="H5587" s="161">
        <v>0</v>
      </c>
      <c r="I5587" s="161" t="s">
        <v>7146</v>
      </c>
    </row>
    <row r="5588" spans="1:9">
      <c r="A5588" s="113">
        <v>100791692</v>
      </c>
      <c r="B5588" s="113" t="s">
        <v>7116</v>
      </c>
      <c r="C5588" s="113">
        <v>7990374</v>
      </c>
      <c r="D5588" s="113" t="s">
        <v>7139</v>
      </c>
      <c r="E5588" s="113" t="s">
        <v>1620</v>
      </c>
      <c r="F5588" s="113" t="s">
        <v>7139</v>
      </c>
      <c r="G5588" s="113" t="s">
        <v>7145</v>
      </c>
      <c r="H5588" s="161">
        <v>0</v>
      </c>
      <c r="I5588" s="161" t="s">
        <v>7146</v>
      </c>
    </row>
    <row r="5589" spans="1:9">
      <c r="A5589" s="113">
        <v>100791693</v>
      </c>
      <c r="B5589" s="113" t="s">
        <v>7116</v>
      </c>
      <c r="C5589" s="113">
        <v>7990375</v>
      </c>
      <c r="D5589" s="113" t="s">
        <v>7139</v>
      </c>
      <c r="E5589" s="113" t="s">
        <v>1620</v>
      </c>
      <c r="F5589" s="113" t="s">
        <v>7139</v>
      </c>
      <c r="G5589" s="113" t="s">
        <v>7145</v>
      </c>
      <c r="H5589" s="161">
        <v>0</v>
      </c>
      <c r="I5589" s="161" t="s">
        <v>7146</v>
      </c>
    </row>
    <row r="5590" spans="1:9">
      <c r="A5590" s="113">
        <v>100791694</v>
      </c>
      <c r="B5590" s="113" t="s">
        <v>7116</v>
      </c>
      <c r="C5590" s="113">
        <v>7990376</v>
      </c>
      <c r="D5590" s="113" t="s">
        <v>7139</v>
      </c>
      <c r="E5590" s="113" t="s">
        <v>1620</v>
      </c>
      <c r="F5590" s="113" t="s">
        <v>7139</v>
      </c>
      <c r="G5590" s="113" t="s">
        <v>7145</v>
      </c>
      <c r="H5590" s="161">
        <v>0</v>
      </c>
      <c r="I5590" s="161" t="s">
        <v>7146</v>
      </c>
    </row>
    <row r="5591" spans="1:9">
      <c r="A5591" s="113">
        <v>100791695</v>
      </c>
      <c r="B5591" s="113" t="s">
        <v>7116</v>
      </c>
      <c r="C5591" s="113">
        <v>7990378</v>
      </c>
      <c r="D5591" s="113" t="s">
        <v>7139</v>
      </c>
      <c r="E5591" s="113" t="s">
        <v>1620</v>
      </c>
      <c r="F5591" s="113" t="s">
        <v>7139</v>
      </c>
      <c r="G5591" s="113" t="s">
        <v>7145</v>
      </c>
      <c r="H5591" s="161">
        <v>0</v>
      </c>
      <c r="I5591" s="161" t="s">
        <v>7146</v>
      </c>
    </row>
    <row r="5592" spans="1:9">
      <c r="A5592" s="113">
        <v>100791696</v>
      </c>
      <c r="B5592" s="113" t="s">
        <v>7116</v>
      </c>
      <c r="C5592" s="113">
        <v>7990381</v>
      </c>
      <c r="D5592" s="113" t="s">
        <v>7139</v>
      </c>
      <c r="E5592" s="113" t="s">
        <v>1620</v>
      </c>
      <c r="F5592" s="113" t="s">
        <v>7139</v>
      </c>
      <c r="G5592" s="113" t="s">
        <v>7145</v>
      </c>
      <c r="H5592" s="161">
        <v>0</v>
      </c>
      <c r="I5592" s="161" t="s">
        <v>7146</v>
      </c>
    </row>
    <row r="5593" spans="1:9">
      <c r="A5593" s="113">
        <v>100791697</v>
      </c>
      <c r="B5593" s="113" t="s">
        <v>7116</v>
      </c>
      <c r="C5593" s="113">
        <v>7990398</v>
      </c>
      <c r="D5593" s="113" t="s">
        <v>7139</v>
      </c>
      <c r="E5593" s="113" t="s">
        <v>1620</v>
      </c>
      <c r="F5593" s="113" t="s">
        <v>7139</v>
      </c>
      <c r="G5593" s="113" t="s">
        <v>7145</v>
      </c>
      <c r="H5593" s="161">
        <v>0</v>
      </c>
      <c r="I5593" s="161" t="s">
        <v>7146</v>
      </c>
    </row>
    <row r="5594" spans="1:9">
      <c r="A5594" s="113">
        <v>100791698</v>
      </c>
      <c r="B5594" s="113" t="s">
        <v>7116</v>
      </c>
      <c r="C5594" s="113">
        <v>7990400</v>
      </c>
      <c r="D5594" s="113" t="s">
        <v>7139</v>
      </c>
      <c r="E5594" s="113" t="s">
        <v>1620</v>
      </c>
      <c r="F5594" s="113" t="s">
        <v>7139</v>
      </c>
      <c r="G5594" s="113" t="s">
        <v>7145</v>
      </c>
      <c r="H5594" s="161">
        <v>0</v>
      </c>
      <c r="I5594" s="161" t="s">
        <v>7146</v>
      </c>
    </row>
    <row r="5595" spans="1:9">
      <c r="A5595" s="113">
        <v>100791699</v>
      </c>
      <c r="B5595" s="113" t="s">
        <v>7116</v>
      </c>
      <c r="C5595" s="113">
        <v>7990401</v>
      </c>
      <c r="D5595" s="113" t="s">
        <v>7139</v>
      </c>
      <c r="E5595" s="113" t="s">
        <v>1620</v>
      </c>
      <c r="F5595" s="113" t="s">
        <v>7139</v>
      </c>
      <c r="G5595" s="113" t="s">
        <v>7145</v>
      </c>
      <c r="H5595" s="161">
        <v>0</v>
      </c>
      <c r="I5595" s="161" t="s">
        <v>7146</v>
      </c>
    </row>
    <row r="5596" spans="1:9">
      <c r="A5596" s="113">
        <v>100791700</v>
      </c>
      <c r="B5596" s="113" t="s">
        <v>7116</v>
      </c>
      <c r="C5596" s="113">
        <v>7990412</v>
      </c>
      <c r="D5596" s="113" t="s">
        <v>7139</v>
      </c>
      <c r="E5596" s="113" t="s">
        <v>1620</v>
      </c>
      <c r="F5596" s="113" t="s">
        <v>7139</v>
      </c>
      <c r="G5596" s="113" t="s">
        <v>7145</v>
      </c>
      <c r="H5596" s="161">
        <v>0</v>
      </c>
      <c r="I5596" s="161" t="s">
        <v>7146</v>
      </c>
    </row>
    <row r="5597" spans="1:9">
      <c r="A5597" s="113">
        <v>100791701</v>
      </c>
      <c r="B5597" s="113" t="s">
        <v>7116</v>
      </c>
      <c r="C5597" s="113">
        <v>7990427</v>
      </c>
      <c r="D5597" s="113" t="s">
        <v>7139</v>
      </c>
      <c r="E5597" s="113" t="s">
        <v>1620</v>
      </c>
      <c r="F5597" s="113" t="s">
        <v>7139</v>
      </c>
      <c r="G5597" s="113" t="s">
        <v>7145</v>
      </c>
      <c r="H5597" s="161">
        <v>0</v>
      </c>
      <c r="I5597" s="161" t="s">
        <v>7146</v>
      </c>
    </row>
    <row r="5598" spans="1:9">
      <c r="A5598" s="113">
        <v>100791702</v>
      </c>
      <c r="B5598" s="113" t="s">
        <v>7116</v>
      </c>
      <c r="C5598" s="113">
        <v>7990434</v>
      </c>
      <c r="D5598" s="113" t="s">
        <v>7139</v>
      </c>
      <c r="E5598" s="113" t="s">
        <v>1620</v>
      </c>
      <c r="F5598" s="113" t="s">
        <v>7139</v>
      </c>
      <c r="G5598" s="113" t="s">
        <v>7145</v>
      </c>
      <c r="H5598" s="161">
        <v>0</v>
      </c>
      <c r="I5598" s="161" t="s">
        <v>7146</v>
      </c>
    </row>
    <row r="5599" spans="1:9">
      <c r="A5599" s="113">
        <v>100791703</v>
      </c>
      <c r="B5599" s="113" t="s">
        <v>7116</v>
      </c>
      <c r="C5599" s="113">
        <v>7990435</v>
      </c>
      <c r="D5599" s="113" t="s">
        <v>7139</v>
      </c>
      <c r="E5599" s="113" t="s">
        <v>1620</v>
      </c>
      <c r="F5599" s="113" t="s">
        <v>7139</v>
      </c>
      <c r="G5599" s="113" t="s">
        <v>7145</v>
      </c>
      <c r="H5599" s="161">
        <v>0</v>
      </c>
      <c r="I5599" s="161" t="s">
        <v>7146</v>
      </c>
    </row>
    <row r="5600" spans="1:9">
      <c r="A5600" s="113">
        <v>100791704</v>
      </c>
      <c r="B5600" s="113" t="s">
        <v>7116</v>
      </c>
      <c r="C5600" s="113">
        <v>7990437</v>
      </c>
      <c r="D5600" s="113" t="s">
        <v>7139</v>
      </c>
      <c r="E5600" s="113" t="s">
        <v>1620</v>
      </c>
      <c r="F5600" s="113" t="s">
        <v>7139</v>
      </c>
      <c r="G5600" s="113" t="s">
        <v>7145</v>
      </c>
      <c r="H5600" s="161">
        <v>0</v>
      </c>
      <c r="I5600" s="161" t="s">
        <v>7146</v>
      </c>
    </row>
    <row r="5601" spans="1:9">
      <c r="A5601" s="113">
        <v>100791705</v>
      </c>
      <c r="B5601" s="113" t="s">
        <v>7116</v>
      </c>
      <c r="C5601" s="113">
        <v>7990439</v>
      </c>
      <c r="D5601" s="113" t="s">
        <v>7139</v>
      </c>
      <c r="E5601" s="113" t="s">
        <v>1620</v>
      </c>
      <c r="F5601" s="113" t="s">
        <v>7139</v>
      </c>
      <c r="G5601" s="113" t="s">
        <v>7145</v>
      </c>
      <c r="H5601" s="161">
        <v>0</v>
      </c>
      <c r="I5601" s="161" t="s">
        <v>7146</v>
      </c>
    </row>
    <row r="5602" spans="1:9">
      <c r="A5602" s="113">
        <v>100791706</v>
      </c>
      <c r="B5602" s="113" t="s">
        <v>7116</v>
      </c>
      <c r="C5602" s="113">
        <v>7990443</v>
      </c>
      <c r="D5602" s="113" t="s">
        <v>7139</v>
      </c>
      <c r="E5602" s="113" t="s">
        <v>1620</v>
      </c>
      <c r="F5602" s="113" t="s">
        <v>7139</v>
      </c>
      <c r="G5602" s="113" t="s">
        <v>7145</v>
      </c>
      <c r="H5602" s="161">
        <v>0</v>
      </c>
      <c r="I5602" s="161" t="s">
        <v>7146</v>
      </c>
    </row>
    <row r="5603" spans="1:9">
      <c r="A5603" s="113">
        <v>100791707</v>
      </c>
      <c r="B5603" s="113" t="s">
        <v>7116</v>
      </c>
      <c r="C5603" s="113">
        <v>7990444</v>
      </c>
      <c r="D5603" s="113" t="s">
        <v>7139</v>
      </c>
      <c r="E5603" s="113" t="s">
        <v>1620</v>
      </c>
      <c r="F5603" s="113" t="s">
        <v>7139</v>
      </c>
      <c r="G5603" s="113" t="s">
        <v>7145</v>
      </c>
      <c r="H5603" s="161">
        <v>0</v>
      </c>
      <c r="I5603" s="161" t="s">
        <v>7146</v>
      </c>
    </row>
    <row r="5604" spans="1:9">
      <c r="A5604" s="113">
        <v>100791708</v>
      </c>
      <c r="B5604" s="113" t="s">
        <v>7116</v>
      </c>
      <c r="C5604" s="113">
        <v>7990447</v>
      </c>
      <c r="D5604" s="113" t="s">
        <v>7139</v>
      </c>
      <c r="E5604" s="113" t="s">
        <v>1620</v>
      </c>
      <c r="F5604" s="113" t="s">
        <v>7139</v>
      </c>
      <c r="G5604" s="113" t="s">
        <v>7145</v>
      </c>
      <c r="H5604" s="161">
        <v>0</v>
      </c>
      <c r="I5604" s="161" t="s">
        <v>7146</v>
      </c>
    </row>
    <row r="5605" spans="1:9">
      <c r="A5605" s="113">
        <v>100791709</v>
      </c>
      <c r="B5605" s="113" t="s">
        <v>7116</v>
      </c>
      <c r="C5605" s="113">
        <v>7990448</v>
      </c>
      <c r="D5605" s="113" t="s">
        <v>7139</v>
      </c>
      <c r="E5605" s="113" t="s">
        <v>1620</v>
      </c>
      <c r="F5605" s="113" t="s">
        <v>7139</v>
      </c>
      <c r="G5605" s="113" t="s">
        <v>7145</v>
      </c>
      <c r="H5605" s="161">
        <v>0</v>
      </c>
      <c r="I5605" s="161" t="s">
        <v>7146</v>
      </c>
    </row>
    <row r="5606" spans="1:9">
      <c r="A5606" s="113">
        <v>100791710</v>
      </c>
      <c r="B5606" s="113" t="s">
        <v>7116</v>
      </c>
      <c r="C5606" s="113">
        <v>7990449</v>
      </c>
      <c r="D5606" s="113" t="s">
        <v>7139</v>
      </c>
      <c r="E5606" s="113" t="s">
        <v>1620</v>
      </c>
      <c r="F5606" s="113" t="s">
        <v>7139</v>
      </c>
      <c r="G5606" s="113" t="s">
        <v>7145</v>
      </c>
      <c r="H5606" s="161">
        <v>0</v>
      </c>
      <c r="I5606" s="161" t="s">
        <v>7146</v>
      </c>
    </row>
    <row r="5607" spans="1:9">
      <c r="A5607" s="113">
        <v>100791711</v>
      </c>
      <c r="B5607" s="113" t="s">
        <v>7116</v>
      </c>
      <c r="C5607" s="113">
        <v>7990450</v>
      </c>
      <c r="D5607" s="113" t="s">
        <v>7139</v>
      </c>
      <c r="E5607" s="113" t="s">
        <v>1620</v>
      </c>
      <c r="F5607" s="113" t="s">
        <v>7139</v>
      </c>
      <c r="G5607" s="113" t="s">
        <v>7145</v>
      </c>
      <c r="H5607" s="161">
        <v>0</v>
      </c>
      <c r="I5607" s="161" t="s">
        <v>7146</v>
      </c>
    </row>
    <row r="5608" spans="1:9">
      <c r="A5608" s="113">
        <v>100791712</v>
      </c>
      <c r="B5608" s="113" t="s">
        <v>7116</v>
      </c>
      <c r="C5608" s="113">
        <v>7990451</v>
      </c>
      <c r="D5608" s="113" t="s">
        <v>7139</v>
      </c>
      <c r="E5608" s="113" t="s">
        <v>1620</v>
      </c>
      <c r="F5608" s="113" t="s">
        <v>7139</v>
      </c>
      <c r="G5608" s="113" t="s">
        <v>7145</v>
      </c>
      <c r="H5608" s="161">
        <v>0</v>
      </c>
      <c r="I5608" s="161" t="s">
        <v>7146</v>
      </c>
    </row>
    <row r="5609" spans="1:9">
      <c r="A5609" s="113">
        <v>100791713</v>
      </c>
      <c r="B5609" s="113" t="s">
        <v>7116</v>
      </c>
      <c r="C5609" s="113">
        <v>7990453</v>
      </c>
      <c r="D5609" s="113" t="s">
        <v>7139</v>
      </c>
      <c r="E5609" s="113" t="s">
        <v>1620</v>
      </c>
      <c r="F5609" s="113" t="s">
        <v>7139</v>
      </c>
      <c r="G5609" s="113" t="s">
        <v>7145</v>
      </c>
      <c r="H5609" s="161">
        <v>0</v>
      </c>
      <c r="I5609" s="161" t="s">
        <v>7146</v>
      </c>
    </row>
    <row r="5610" spans="1:9">
      <c r="A5610" s="113">
        <v>100791714</v>
      </c>
      <c r="B5610" s="113" t="s">
        <v>7116</v>
      </c>
      <c r="C5610" s="113">
        <v>7990457</v>
      </c>
      <c r="D5610" s="113" t="s">
        <v>7139</v>
      </c>
      <c r="E5610" s="113" t="s">
        <v>1620</v>
      </c>
      <c r="F5610" s="113" t="s">
        <v>7139</v>
      </c>
      <c r="G5610" s="113" t="s">
        <v>7145</v>
      </c>
      <c r="H5610" s="161">
        <v>0</v>
      </c>
      <c r="I5610" s="161" t="s">
        <v>7146</v>
      </c>
    </row>
    <row r="5611" spans="1:9">
      <c r="A5611" s="113">
        <v>100791715</v>
      </c>
      <c r="B5611" s="113" t="s">
        <v>7116</v>
      </c>
      <c r="C5611" s="113">
        <v>7990459</v>
      </c>
      <c r="D5611" s="113" t="s">
        <v>7139</v>
      </c>
      <c r="E5611" s="113" t="s">
        <v>1620</v>
      </c>
      <c r="F5611" s="113" t="s">
        <v>7139</v>
      </c>
      <c r="G5611" s="113" t="s">
        <v>7145</v>
      </c>
      <c r="H5611" s="161">
        <v>0</v>
      </c>
      <c r="I5611" s="161" t="s">
        <v>7146</v>
      </c>
    </row>
    <row r="5612" spans="1:9">
      <c r="A5612" s="113">
        <v>100791716</v>
      </c>
      <c r="B5612" s="113" t="s">
        <v>7116</v>
      </c>
      <c r="C5612" s="113">
        <v>7990460</v>
      </c>
      <c r="D5612" s="113" t="s">
        <v>7139</v>
      </c>
      <c r="E5612" s="113" t="s">
        <v>1620</v>
      </c>
      <c r="F5612" s="113" t="s">
        <v>7139</v>
      </c>
      <c r="G5612" s="113" t="s">
        <v>7145</v>
      </c>
      <c r="H5612" s="161">
        <v>0</v>
      </c>
      <c r="I5612" s="161" t="s">
        <v>7146</v>
      </c>
    </row>
    <row r="5613" spans="1:9">
      <c r="A5613" s="113">
        <v>100791717</v>
      </c>
      <c r="B5613" s="113" t="s">
        <v>7116</v>
      </c>
      <c r="C5613" s="113">
        <v>7990468</v>
      </c>
      <c r="D5613" s="113" t="s">
        <v>7139</v>
      </c>
      <c r="E5613" s="113" t="s">
        <v>1620</v>
      </c>
      <c r="F5613" s="113" t="s">
        <v>7139</v>
      </c>
      <c r="G5613" s="113" t="s">
        <v>7145</v>
      </c>
      <c r="H5613" s="161">
        <v>0</v>
      </c>
      <c r="I5613" s="161" t="s">
        <v>7146</v>
      </c>
    </row>
    <row r="5614" spans="1:9">
      <c r="A5614" s="113">
        <v>100791718</v>
      </c>
      <c r="B5614" s="113" t="s">
        <v>7116</v>
      </c>
      <c r="C5614" s="113">
        <v>7990471</v>
      </c>
      <c r="D5614" s="113" t="s">
        <v>7139</v>
      </c>
      <c r="E5614" s="113" t="s">
        <v>1620</v>
      </c>
      <c r="F5614" s="113" t="s">
        <v>7139</v>
      </c>
      <c r="G5614" s="113" t="s">
        <v>7145</v>
      </c>
      <c r="H5614" s="161">
        <v>0</v>
      </c>
      <c r="I5614" s="161" t="s">
        <v>7146</v>
      </c>
    </row>
    <row r="5615" spans="1:9">
      <c r="A5615" s="113">
        <v>100791719</v>
      </c>
      <c r="B5615" s="113" t="s">
        <v>7116</v>
      </c>
      <c r="C5615" s="113">
        <v>7990476</v>
      </c>
      <c r="D5615" s="113" t="s">
        <v>7139</v>
      </c>
      <c r="E5615" s="113" t="s">
        <v>1620</v>
      </c>
      <c r="F5615" s="113" t="s">
        <v>7139</v>
      </c>
      <c r="G5615" s="113" t="s">
        <v>7145</v>
      </c>
      <c r="H5615" s="161">
        <v>0</v>
      </c>
      <c r="I5615" s="161" t="s">
        <v>7146</v>
      </c>
    </row>
    <row r="5616" spans="1:9">
      <c r="A5616" s="113">
        <v>100791720</v>
      </c>
      <c r="B5616" s="113" t="s">
        <v>7116</v>
      </c>
      <c r="C5616" s="113">
        <v>7990479</v>
      </c>
      <c r="D5616" s="113" t="s">
        <v>7139</v>
      </c>
      <c r="E5616" s="113" t="s">
        <v>1620</v>
      </c>
      <c r="F5616" s="113" t="s">
        <v>7139</v>
      </c>
      <c r="G5616" s="113" t="s">
        <v>7145</v>
      </c>
      <c r="H5616" s="161">
        <v>0</v>
      </c>
      <c r="I5616" s="161" t="s">
        <v>7146</v>
      </c>
    </row>
    <row r="5617" spans="1:9">
      <c r="A5617" s="113">
        <v>100791721</v>
      </c>
      <c r="B5617" s="113" t="s">
        <v>7116</v>
      </c>
      <c r="C5617" s="113">
        <v>7990482</v>
      </c>
      <c r="D5617" s="113" t="s">
        <v>7139</v>
      </c>
      <c r="E5617" s="113" t="s">
        <v>1620</v>
      </c>
      <c r="F5617" s="113" t="s">
        <v>7139</v>
      </c>
      <c r="G5617" s="113" t="s">
        <v>7145</v>
      </c>
      <c r="H5617" s="161">
        <v>0</v>
      </c>
      <c r="I5617" s="161" t="s">
        <v>7146</v>
      </c>
    </row>
    <row r="5618" spans="1:9">
      <c r="A5618" s="113">
        <v>100791722</v>
      </c>
      <c r="B5618" s="113" t="s">
        <v>7116</v>
      </c>
      <c r="C5618" s="113">
        <v>7990484</v>
      </c>
      <c r="D5618" s="113" t="s">
        <v>7139</v>
      </c>
      <c r="E5618" s="113" t="s">
        <v>1620</v>
      </c>
      <c r="F5618" s="113" t="s">
        <v>7139</v>
      </c>
      <c r="G5618" s="113" t="s">
        <v>7145</v>
      </c>
      <c r="H5618" s="161">
        <v>0</v>
      </c>
      <c r="I5618" s="161" t="s">
        <v>7146</v>
      </c>
    </row>
    <row r="5619" spans="1:9">
      <c r="A5619" s="113">
        <v>100791723</v>
      </c>
      <c r="B5619" s="113" t="s">
        <v>7116</v>
      </c>
      <c r="C5619" s="113">
        <v>7990489</v>
      </c>
      <c r="D5619" s="113" t="s">
        <v>7139</v>
      </c>
      <c r="E5619" s="113" t="s">
        <v>1620</v>
      </c>
      <c r="F5619" s="113" t="s">
        <v>7139</v>
      </c>
      <c r="G5619" s="113" t="s">
        <v>7145</v>
      </c>
      <c r="H5619" s="161">
        <v>0</v>
      </c>
      <c r="I5619" s="161" t="s">
        <v>7146</v>
      </c>
    </row>
    <row r="5620" spans="1:9">
      <c r="A5620" s="113">
        <v>100791724</v>
      </c>
      <c r="B5620" s="113" t="s">
        <v>7116</v>
      </c>
      <c r="C5620" s="113">
        <v>7990490</v>
      </c>
      <c r="D5620" s="113" t="s">
        <v>7139</v>
      </c>
      <c r="E5620" s="113" t="s">
        <v>1620</v>
      </c>
      <c r="F5620" s="113" t="s">
        <v>7139</v>
      </c>
      <c r="G5620" s="113" t="s">
        <v>7145</v>
      </c>
      <c r="H5620" s="161">
        <v>0</v>
      </c>
      <c r="I5620" s="161" t="s">
        <v>7146</v>
      </c>
    </row>
    <row r="5621" spans="1:9">
      <c r="A5621" s="113">
        <v>100791725</v>
      </c>
      <c r="B5621" s="113" t="s">
        <v>7116</v>
      </c>
      <c r="C5621" s="113">
        <v>7990495</v>
      </c>
      <c r="D5621" s="113" t="s">
        <v>7139</v>
      </c>
      <c r="E5621" s="113" t="s">
        <v>1620</v>
      </c>
      <c r="F5621" s="113" t="s">
        <v>7139</v>
      </c>
      <c r="G5621" s="113" t="s">
        <v>7145</v>
      </c>
      <c r="H5621" s="161">
        <v>0</v>
      </c>
      <c r="I5621" s="161" t="s">
        <v>7146</v>
      </c>
    </row>
    <row r="5622" spans="1:9">
      <c r="A5622" s="113">
        <v>100791726</v>
      </c>
      <c r="B5622" s="113" t="s">
        <v>7116</v>
      </c>
      <c r="C5622" s="113">
        <v>7990499</v>
      </c>
      <c r="D5622" s="113" t="s">
        <v>7139</v>
      </c>
      <c r="E5622" s="113" t="s">
        <v>1620</v>
      </c>
      <c r="F5622" s="113" t="s">
        <v>7139</v>
      </c>
      <c r="G5622" s="113" t="s">
        <v>7145</v>
      </c>
      <c r="H5622" s="161">
        <v>0</v>
      </c>
      <c r="I5622" s="161" t="s">
        <v>7146</v>
      </c>
    </row>
    <row r="5623" spans="1:9">
      <c r="A5623" s="113">
        <v>100791727</v>
      </c>
      <c r="B5623" s="113" t="s">
        <v>7116</v>
      </c>
      <c r="C5623" s="113">
        <v>7990500</v>
      </c>
      <c r="D5623" s="113" t="s">
        <v>7139</v>
      </c>
      <c r="E5623" s="113" t="s">
        <v>1620</v>
      </c>
      <c r="F5623" s="113" t="s">
        <v>7139</v>
      </c>
      <c r="G5623" s="113" t="s">
        <v>7145</v>
      </c>
      <c r="H5623" s="161">
        <v>0</v>
      </c>
      <c r="I5623" s="161" t="s">
        <v>7146</v>
      </c>
    </row>
    <row r="5624" spans="1:9">
      <c r="A5624" s="113">
        <v>100791728</v>
      </c>
      <c r="B5624" s="113" t="s">
        <v>7116</v>
      </c>
      <c r="C5624" s="113">
        <v>7990502</v>
      </c>
      <c r="D5624" s="113" t="s">
        <v>7139</v>
      </c>
      <c r="E5624" s="113" t="s">
        <v>1620</v>
      </c>
      <c r="F5624" s="113" t="s">
        <v>7139</v>
      </c>
      <c r="G5624" s="113" t="s">
        <v>7145</v>
      </c>
      <c r="H5624" s="161">
        <v>0</v>
      </c>
      <c r="I5624" s="161" t="s">
        <v>7146</v>
      </c>
    </row>
    <row r="5625" spans="1:9">
      <c r="A5625" s="113">
        <v>100791729</v>
      </c>
      <c r="B5625" s="113" t="s">
        <v>7116</v>
      </c>
      <c r="C5625" s="113">
        <v>7990504</v>
      </c>
      <c r="D5625" s="113" t="s">
        <v>7139</v>
      </c>
      <c r="E5625" s="113" t="s">
        <v>1620</v>
      </c>
      <c r="F5625" s="113" t="s">
        <v>7139</v>
      </c>
      <c r="G5625" s="113" t="s">
        <v>7145</v>
      </c>
      <c r="H5625" s="161">
        <v>0</v>
      </c>
      <c r="I5625" s="161" t="s">
        <v>7146</v>
      </c>
    </row>
    <row r="5626" spans="1:9">
      <c r="A5626" s="113">
        <v>100791730</v>
      </c>
      <c r="B5626" s="113" t="s">
        <v>7116</v>
      </c>
      <c r="C5626" s="113">
        <v>7990506</v>
      </c>
      <c r="D5626" s="113" t="s">
        <v>7139</v>
      </c>
      <c r="E5626" s="113" t="s">
        <v>1620</v>
      </c>
      <c r="F5626" s="113" t="s">
        <v>7139</v>
      </c>
      <c r="G5626" s="113" t="s">
        <v>7145</v>
      </c>
      <c r="H5626" s="161">
        <v>0</v>
      </c>
      <c r="I5626" s="161" t="s">
        <v>7146</v>
      </c>
    </row>
    <row r="5627" spans="1:9">
      <c r="A5627" s="113">
        <v>100791731</v>
      </c>
      <c r="B5627" s="113" t="s">
        <v>7116</v>
      </c>
      <c r="C5627" s="113">
        <v>7990509</v>
      </c>
      <c r="D5627" s="113" t="s">
        <v>7139</v>
      </c>
      <c r="E5627" s="113" t="s">
        <v>1620</v>
      </c>
      <c r="F5627" s="113" t="s">
        <v>7139</v>
      </c>
      <c r="G5627" s="113" t="s">
        <v>7145</v>
      </c>
      <c r="H5627" s="161">
        <v>0</v>
      </c>
      <c r="I5627" s="161" t="s">
        <v>7146</v>
      </c>
    </row>
    <row r="5628" spans="1:9">
      <c r="A5628" s="113">
        <v>100791732</v>
      </c>
      <c r="B5628" s="113" t="s">
        <v>7116</v>
      </c>
      <c r="C5628" s="113">
        <v>7990512</v>
      </c>
      <c r="D5628" s="113" t="s">
        <v>7139</v>
      </c>
      <c r="E5628" s="113" t="s">
        <v>1620</v>
      </c>
      <c r="F5628" s="113" t="s">
        <v>7139</v>
      </c>
      <c r="G5628" s="113" t="s">
        <v>7145</v>
      </c>
      <c r="H5628" s="161">
        <v>0</v>
      </c>
      <c r="I5628" s="161" t="s">
        <v>7146</v>
      </c>
    </row>
    <row r="5629" spans="1:9">
      <c r="A5629" s="113">
        <v>100791733</v>
      </c>
      <c r="B5629" s="113" t="s">
        <v>7116</v>
      </c>
      <c r="C5629" s="113">
        <v>7990514</v>
      </c>
      <c r="D5629" s="113" t="s">
        <v>7139</v>
      </c>
      <c r="E5629" s="113" t="s">
        <v>1620</v>
      </c>
      <c r="F5629" s="113" t="s">
        <v>7139</v>
      </c>
      <c r="G5629" s="113" t="s">
        <v>7145</v>
      </c>
      <c r="H5629" s="161">
        <v>0</v>
      </c>
      <c r="I5629" s="161" t="s">
        <v>7146</v>
      </c>
    </row>
    <row r="5630" spans="1:9">
      <c r="A5630" s="113">
        <v>100791734</v>
      </c>
      <c r="B5630" s="113" t="s">
        <v>7116</v>
      </c>
      <c r="C5630" s="113">
        <v>7990515</v>
      </c>
      <c r="D5630" s="113" t="s">
        <v>7139</v>
      </c>
      <c r="E5630" s="113" t="s">
        <v>1620</v>
      </c>
      <c r="F5630" s="113" t="s">
        <v>7139</v>
      </c>
      <c r="G5630" s="113" t="s">
        <v>7145</v>
      </c>
      <c r="H5630" s="161">
        <v>0</v>
      </c>
      <c r="I5630" s="161" t="s">
        <v>7146</v>
      </c>
    </row>
    <row r="5631" spans="1:9">
      <c r="A5631" s="113">
        <v>100791735</v>
      </c>
      <c r="B5631" s="113" t="s">
        <v>7116</v>
      </c>
      <c r="C5631" s="113">
        <v>7990518</v>
      </c>
      <c r="D5631" s="113" t="s">
        <v>7139</v>
      </c>
      <c r="E5631" s="113" t="s">
        <v>1620</v>
      </c>
      <c r="F5631" s="113" t="s">
        <v>7139</v>
      </c>
      <c r="G5631" s="113" t="s">
        <v>7145</v>
      </c>
      <c r="H5631" s="161">
        <v>0</v>
      </c>
      <c r="I5631" s="161" t="s">
        <v>7146</v>
      </c>
    </row>
    <row r="5632" spans="1:9">
      <c r="A5632" s="113">
        <v>100791736</v>
      </c>
      <c r="B5632" s="113" t="s">
        <v>7116</v>
      </c>
      <c r="C5632" s="113">
        <v>7990519</v>
      </c>
      <c r="D5632" s="113" t="s">
        <v>7139</v>
      </c>
      <c r="E5632" s="113" t="s">
        <v>1620</v>
      </c>
      <c r="F5632" s="113" t="s">
        <v>7139</v>
      </c>
      <c r="G5632" s="113" t="s">
        <v>7145</v>
      </c>
      <c r="H5632" s="161">
        <v>0</v>
      </c>
      <c r="I5632" s="161" t="s">
        <v>7146</v>
      </c>
    </row>
    <row r="5633" spans="1:9">
      <c r="A5633" s="113">
        <v>100791737</v>
      </c>
      <c r="B5633" s="113" t="s">
        <v>7116</v>
      </c>
      <c r="C5633" s="113">
        <v>7990521</v>
      </c>
      <c r="D5633" s="113" t="s">
        <v>7139</v>
      </c>
      <c r="E5633" s="113" t="s">
        <v>1620</v>
      </c>
      <c r="F5633" s="113" t="s">
        <v>7139</v>
      </c>
      <c r="G5633" s="113" t="s">
        <v>7145</v>
      </c>
      <c r="H5633" s="161">
        <v>0</v>
      </c>
      <c r="I5633" s="161" t="s">
        <v>7146</v>
      </c>
    </row>
    <row r="5634" spans="1:9">
      <c r="A5634" s="113">
        <v>100791738</v>
      </c>
      <c r="B5634" s="113" t="s">
        <v>7116</v>
      </c>
      <c r="C5634" s="113">
        <v>7990536</v>
      </c>
      <c r="D5634" s="113" t="s">
        <v>7139</v>
      </c>
      <c r="E5634" s="113" t="s">
        <v>1620</v>
      </c>
      <c r="F5634" s="113" t="s">
        <v>7139</v>
      </c>
      <c r="G5634" s="113" t="s">
        <v>7145</v>
      </c>
      <c r="H5634" s="161">
        <v>0</v>
      </c>
      <c r="I5634" s="161" t="s">
        <v>7146</v>
      </c>
    </row>
    <row r="5635" spans="1:9">
      <c r="A5635" s="113">
        <v>100791739</v>
      </c>
      <c r="B5635" s="113" t="s">
        <v>7116</v>
      </c>
      <c r="C5635" s="113">
        <v>7990540</v>
      </c>
      <c r="D5635" s="113" t="s">
        <v>7139</v>
      </c>
      <c r="E5635" s="113" t="s">
        <v>1620</v>
      </c>
      <c r="F5635" s="113" t="s">
        <v>7139</v>
      </c>
      <c r="G5635" s="113" t="s">
        <v>7145</v>
      </c>
      <c r="H5635" s="161">
        <v>0</v>
      </c>
      <c r="I5635" s="161" t="s">
        <v>7146</v>
      </c>
    </row>
    <row r="5636" spans="1:9">
      <c r="A5636" s="113">
        <v>100791740</v>
      </c>
      <c r="B5636" s="113" t="s">
        <v>7116</v>
      </c>
      <c r="C5636" s="113">
        <v>7990543</v>
      </c>
      <c r="D5636" s="113" t="s">
        <v>7139</v>
      </c>
      <c r="E5636" s="113" t="s">
        <v>1620</v>
      </c>
      <c r="F5636" s="113" t="s">
        <v>7139</v>
      </c>
      <c r="G5636" s="113" t="s">
        <v>7145</v>
      </c>
      <c r="H5636" s="161">
        <v>0</v>
      </c>
      <c r="I5636" s="161" t="s">
        <v>7146</v>
      </c>
    </row>
    <row r="5637" spans="1:9">
      <c r="A5637" s="113">
        <v>100791741</v>
      </c>
      <c r="B5637" s="113" t="s">
        <v>7116</v>
      </c>
      <c r="C5637" s="113">
        <v>7990545</v>
      </c>
      <c r="D5637" s="113" t="s">
        <v>7139</v>
      </c>
      <c r="E5637" s="113" t="s">
        <v>1620</v>
      </c>
      <c r="F5637" s="113" t="s">
        <v>7139</v>
      </c>
      <c r="G5637" s="113" t="s">
        <v>7145</v>
      </c>
      <c r="H5637" s="161">
        <v>0</v>
      </c>
      <c r="I5637" s="161" t="s">
        <v>7146</v>
      </c>
    </row>
    <row r="5638" spans="1:9">
      <c r="A5638" s="113">
        <v>100791742</v>
      </c>
      <c r="B5638" s="113" t="s">
        <v>7116</v>
      </c>
      <c r="C5638" s="113">
        <v>7990547</v>
      </c>
      <c r="D5638" s="113" t="s">
        <v>7139</v>
      </c>
      <c r="E5638" s="113" t="s">
        <v>1620</v>
      </c>
      <c r="F5638" s="113" t="s">
        <v>7139</v>
      </c>
      <c r="G5638" s="113" t="s">
        <v>7145</v>
      </c>
      <c r="H5638" s="161">
        <v>0</v>
      </c>
      <c r="I5638" s="161" t="s">
        <v>7146</v>
      </c>
    </row>
    <row r="5639" spans="1:9">
      <c r="A5639" s="113">
        <v>100791743</v>
      </c>
      <c r="B5639" s="113" t="s">
        <v>7116</v>
      </c>
      <c r="C5639" s="113">
        <v>7990548</v>
      </c>
      <c r="D5639" s="113" t="s">
        <v>7139</v>
      </c>
      <c r="E5639" s="113" t="s">
        <v>1620</v>
      </c>
      <c r="F5639" s="113" t="s">
        <v>7139</v>
      </c>
      <c r="G5639" s="113" t="s">
        <v>7145</v>
      </c>
      <c r="H5639" s="161">
        <v>0</v>
      </c>
      <c r="I5639" s="161" t="s">
        <v>7146</v>
      </c>
    </row>
    <row r="5640" spans="1:9">
      <c r="A5640" s="113">
        <v>100791744</v>
      </c>
      <c r="B5640" s="113" t="s">
        <v>7116</v>
      </c>
      <c r="C5640" s="113">
        <v>7990549</v>
      </c>
      <c r="D5640" s="113" t="s">
        <v>7139</v>
      </c>
      <c r="E5640" s="113" t="s">
        <v>1620</v>
      </c>
      <c r="F5640" s="113" t="s">
        <v>7139</v>
      </c>
      <c r="G5640" s="113" t="s">
        <v>7145</v>
      </c>
      <c r="H5640" s="161">
        <v>0</v>
      </c>
      <c r="I5640" s="161" t="s">
        <v>7146</v>
      </c>
    </row>
    <row r="5641" spans="1:9">
      <c r="A5641" s="113">
        <v>100791745</v>
      </c>
      <c r="B5641" s="113" t="s">
        <v>7116</v>
      </c>
      <c r="C5641" s="113">
        <v>7990550</v>
      </c>
      <c r="D5641" s="113" t="s">
        <v>7139</v>
      </c>
      <c r="E5641" s="113" t="s">
        <v>1620</v>
      </c>
      <c r="F5641" s="113" t="s">
        <v>7139</v>
      </c>
      <c r="G5641" s="113" t="s">
        <v>7145</v>
      </c>
      <c r="H5641" s="161">
        <v>0</v>
      </c>
      <c r="I5641" s="161" t="s">
        <v>7146</v>
      </c>
    </row>
    <row r="5642" spans="1:9">
      <c r="A5642" s="113">
        <v>100791746</v>
      </c>
      <c r="B5642" s="113" t="s">
        <v>7116</v>
      </c>
      <c r="C5642" s="113">
        <v>7990555</v>
      </c>
      <c r="D5642" s="113" t="s">
        <v>7139</v>
      </c>
      <c r="E5642" s="113" t="s">
        <v>1620</v>
      </c>
      <c r="F5642" s="113" t="s">
        <v>7139</v>
      </c>
      <c r="G5642" s="113" t="s">
        <v>7145</v>
      </c>
      <c r="H5642" s="161">
        <v>0</v>
      </c>
      <c r="I5642" s="161" t="s">
        <v>7146</v>
      </c>
    </row>
    <row r="5643" spans="1:9">
      <c r="A5643" s="113">
        <v>100791747</v>
      </c>
      <c r="B5643" s="113" t="s">
        <v>7116</v>
      </c>
      <c r="C5643" s="113">
        <v>7990566</v>
      </c>
      <c r="D5643" s="113" t="s">
        <v>7139</v>
      </c>
      <c r="E5643" s="113" t="s">
        <v>1620</v>
      </c>
      <c r="F5643" s="113" t="s">
        <v>7139</v>
      </c>
      <c r="G5643" s="113" t="s">
        <v>7145</v>
      </c>
      <c r="H5643" s="161">
        <v>0</v>
      </c>
      <c r="I5643" s="161" t="s">
        <v>7146</v>
      </c>
    </row>
    <row r="5644" spans="1:9">
      <c r="A5644" s="113">
        <v>100791748</v>
      </c>
      <c r="B5644" s="113" t="s">
        <v>7116</v>
      </c>
      <c r="C5644" s="113">
        <v>7990581</v>
      </c>
      <c r="D5644" s="113" t="s">
        <v>7139</v>
      </c>
      <c r="E5644" s="113" t="s">
        <v>1620</v>
      </c>
      <c r="F5644" s="113" t="s">
        <v>7139</v>
      </c>
      <c r="G5644" s="113" t="s">
        <v>7145</v>
      </c>
      <c r="H5644" s="161">
        <v>0</v>
      </c>
      <c r="I5644" s="161" t="s">
        <v>7146</v>
      </c>
    </row>
    <row r="5645" spans="1:9">
      <c r="A5645" s="113">
        <v>100791749</v>
      </c>
      <c r="B5645" s="113" t="s">
        <v>7116</v>
      </c>
      <c r="C5645" s="113">
        <v>7990584</v>
      </c>
      <c r="D5645" s="113" t="s">
        <v>7139</v>
      </c>
      <c r="E5645" s="113" t="s">
        <v>1620</v>
      </c>
      <c r="F5645" s="113" t="s">
        <v>7139</v>
      </c>
      <c r="G5645" s="113" t="s">
        <v>7145</v>
      </c>
      <c r="H5645" s="161">
        <v>0</v>
      </c>
      <c r="I5645" s="161" t="s">
        <v>7146</v>
      </c>
    </row>
    <row r="5646" spans="1:9">
      <c r="A5646" s="113">
        <v>100791750</v>
      </c>
      <c r="B5646" s="113" t="s">
        <v>7116</v>
      </c>
      <c r="C5646" s="113">
        <v>7990588</v>
      </c>
      <c r="D5646" s="113" t="s">
        <v>7139</v>
      </c>
      <c r="E5646" s="113" t="s">
        <v>1620</v>
      </c>
      <c r="F5646" s="113" t="s">
        <v>7139</v>
      </c>
      <c r="G5646" s="113" t="s">
        <v>7145</v>
      </c>
      <c r="H5646" s="161">
        <v>0</v>
      </c>
      <c r="I5646" s="161" t="s">
        <v>7146</v>
      </c>
    </row>
    <row r="5647" spans="1:9">
      <c r="A5647" s="113">
        <v>100791751</v>
      </c>
      <c r="B5647" s="113" t="s">
        <v>7116</v>
      </c>
      <c r="C5647" s="113">
        <v>7990591</v>
      </c>
      <c r="D5647" s="113" t="s">
        <v>7139</v>
      </c>
      <c r="E5647" s="113" t="s">
        <v>1620</v>
      </c>
      <c r="F5647" s="113" t="s">
        <v>7139</v>
      </c>
      <c r="G5647" s="113" t="s">
        <v>7145</v>
      </c>
      <c r="H5647" s="161">
        <v>0</v>
      </c>
      <c r="I5647" s="161" t="s">
        <v>7146</v>
      </c>
    </row>
    <row r="5648" spans="1:9">
      <c r="A5648" s="113">
        <v>100791752</v>
      </c>
      <c r="B5648" s="113" t="s">
        <v>7116</v>
      </c>
      <c r="C5648" s="113">
        <v>7990592</v>
      </c>
      <c r="D5648" s="113" t="s">
        <v>7139</v>
      </c>
      <c r="E5648" s="113" t="s">
        <v>1620</v>
      </c>
      <c r="F5648" s="113" t="s">
        <v>7139</v>
      </c>
      <c r="G5648" s="113" t="s">
        <v>7145</v>
      </c>
      <c r="H5648" s="161">
        <v>0</v>
      </c>
      <c r="I5648" s="161" t="s">
        <v>7146</v>
      </c>
    </row>
    <row r="5649" spans="1:9">
      <c r="A5649" s="113">
        <v>100791753</v>
      </c>
      <c r="B5649" s="113" t="s">
        <v>7116</v>
      </c>
      <c r="C5649" s="113">
        <v>7990603</v>
      </c>
      <c r="D5649" s="113" t="s">
        <v>7139</v>
      </c>
      <c r="E5649" s="113" t="s">
        <v>1620</v>
      </c>
      <c r="F5649" s="113" t="s">
        <v>7139</v>
      </c>
      <c r="G5649" s="113" t="s">
        <v>7145</v>
      </c>
      <c r="H5649" s="161">
        <v>0</v>
      </c>
      <c r="I5649" s="161" t="s">
        <v>7146</v>
      </c>
    </row>
    <row r="5650" spans="1:9">
      <c r="A5650" s="113">
        <v>100791754</v>
      </c>
      <c r="B5650" s="113" t="s">
        <v>7116</v>
      </c>
      <c r="C5650" s="113">
        <v>7990605</v>
      </c>
      <c r="D5650" s="113" t="s">
        <v>7139</v>
      </c>
      <c r="E5650" s="113" t="s">
        <v>1620</v>
      </c>
      <c r="F5650" s="113" t="s">
        <v>7139</v>
      </c>
      <c r="G5650" s="113" t="s">
        <v>7145</v>
      </c>
      <c r="H5650" s="161">
        <v>0</v>
      </c>
      <c r="I5650" s="161" t="s">
        <v>7146</v>
      </c>
    </row>
    <row r="5651" spans="1:9">
      <c r="A5651" s="113">
        <v>100791755</v>
      </c>
      <c r="B5651" s="113" t="s">
        <v>7116</v>
      </c>
      <c r="C5651" s="113">
        <v>7990606</v>
      </c>
      <c r="D5651" s="113" t="s">
        <v>7139</v>
      </c>
      <c r="E5651" s="113" t="s">
        <v>1620</v>
      </c>
      <c r="F5651" s="113" t="s">
        <v>7139</v>
      </c>
      <c r="G5651" s="113" t="s">
        <v>7145</v>
      </c>
      <c r="H5651" s="161">
        <v>0</v>
      </c>
      <c r="I5651" s="161" t="s">
        <v>7146</v>
      </c>
    </row>
    <row r="5652" spans="1:9">
      <c r="A5652" s="113">
        <v>100791756</v>
      </c>
      <c r="B5652" s="113" t="s">
        <v>7116</v>
      </c>
      <c r="C5652" s="113">
        <v>7990615</v>
      </c>
      <c r="D5652" s="113" t="s">
        <v>7139</v>
      </c>
      <c r="E5652" s="113" t="s">
        <v>1620</v>
      </c>
      <c r="F5652" s="113" t="s">
        <v>7139</v>
      </c>
      <c r="G5652" s="113" t="s">
        <v>7145</v>
      </c>
      <c r="H5652" s="161">
        <v>0</v>
      </c>
      <c r="I5652" s="161" t="s">
        <v>7146</v>
      </c>
    </row>
    <row r="5653" spans="1:9">
      <c r="A5653" s="113">
        <v>100791757</v>
      </c>
      <c r="B5653" s="113" t="s">
        <v>7116</v>
      </c>
      <c r="C5653" s="113">
        <v>7990620</v>
      </c>
      <c r="D5653" s="113" t="s">
        <v>7139</v>
      </c>
      <c r="E5653" s="113" t="s">
        <v>1620</v>
      </c>
      <c r="F5653" s="113" t="s">
        <v>7139</v>
      </c>
      <c r="G5653" s="113" t="s">
        <v>7145</v>
      </c>
      <c r="H5653" s="161">
        <v>0</v>
      </c>
      <c r="I5653" s="161" t="s">
        <v>7146</v>
      </c>
    </row>
    <row r="5654" spans="1:9">
      <c r="A5654" s="113">
        <v>100791758</v>
      </c>
      <c r="B5654" s="113" t="s">
        <v>7116</v>
      </c>
      <c r="C5654" s="113">
        <v>7990631</v>
      </c>
      <c r="D5654" s="113" t="s">
        <v>7139</v>
      </c>
      <c r="E5654" s="113" t="s">
        <v>1620</v>
      </c>
      <c r="F5654" s="113" t="s">
        <v>7139</v>
      </c>
      <c r="G5654" s="113" t="s">
        <v>7145</v>
      </c>
      <c r="H5654" s="161">
        <v>0</v>
      </c>
      <c r="I5654" s="161" t="s">
        <v>7146</v>
      </c>
    </row>
    <row r="5655" spans="1:9">
      <c r="A5655" s="113">
        <v>100791759</v>
      </c>
      <c r="B5655" s="113" t="s">
        <v>7116</v>
      </c>
      <c r="C5655" s="113">
        <v>7990632</v>
      </c>
      <c r="D5655" s="113" t="s">
        <v>7139</v>
      </c>
      <c r="E5655" s="113" t="s">
        <v>1620</v>
      </c>
      <c r="F5655" s="113" t="s">
        <v>7139</v>
      </c>
      <c r="G5655" s="113" t="s">
        <v>7145</v>
      </c>
      <c r="H5655" s="161">
        <v>0</v>
      </c>
      <c r="I5655" s="161" t="s">
        <v>7146</v>
      </c>
    </row>
    <row r="5656" spans="1:9">
      <c r="A5656" s="113">
        <v>100791760</v>
      </c>
      <c r="B5656" s="113" t="s">
        <v>7116</v>
      </c>
      <c r="C5656" s="113">
        <v>7990633</v>
      </c>
      <c r="D5656" s="113" t="s">
        <v>7139</v>
      </c>
      <c r="E5656" s="113" t="s">
        <v>1620</v>
      </c>
      <c r="F5656" s="113" t="s">
        <v>7139</v>
      </c>
      <c r="G5656" s="113" t="s">
        <v>7145</v>
      </c>
      <c r="H5656" s="161">
        <v>0</v>
      </c>
      <c r="I5656" s="161" t="s">
        <v>7146</v>
      </c>
    </row>
    <row r="5657" spans="1:9">
      <c r="A5657" s="113">
        <v>100791761</v>
      </c>
      <c r="B5657" s="113" t="s">
        <v>7116</v>
      </c>
      <c r="C5657" s="113">
        <v>7990634</v>
      </c>
      <c r="D5657" s="113" t="s">
        <v>7139</v>
      </c>
      <c r="E5657" s="113" t="s">
        <v>1620</v>
      </c>
      <c r="F5657" s="113" t="s">
        <v>7139</v>
      </c>
      <c r="G5657" s="113" t="s">
        <v>7145</v>
      </c>
      <c r="H5657" s="161">
        <v>0</v>
      </c>
      <c r="I5657" s="161" t="s">
        <v>7146</v>
      </c>
    </row>
    <row r="5658" spans="1:9">
      <c r="A5658" s="113">
        <v>100791762</v>
      </c>
      <c r="B5658" s="113" t="s">
        <v>7116</v>
      </c>
      <c r="C5658" s="113">
        <v>7990640</v>
      </c>
      <c r="D5658" s="113" t="s">
        <v>7139</v>
      </c>
      <c r="E5658" s="113" t="s">
        <v>1620</v>
      </c>
      <c r="F5658" s="113" t="s">
        <v>7139</v>
      </c>
      <c r="G5658" s="113" t="s">
        <v>7145</v>
      </c>
      <c r="H5658" s="161">
        <v>0</v>
      </c>
      <c r="I5658" s="161" t="s">
        <v>7146</v>
      </c>
    </row>
    <row r="5659" spans="1:9">
      <c r="A5659" s="113">
        <v>100791763</v>
      </c>
      <c r="B5659" s="113" t="s">
        <v>7116</v>
      </c>
      <c r="C5659" s="113">
        <v>7990641</v>
      </c>
      <c r="D5659" s="113" t="s">
        <v>7139</v>
      </c>
      <c r="E5659" s="113" t="s">
        <v>1620</v>
      </c>
      <c r="F5659" s="113" t="s">
        <v>7139</v>
      </c>
      <c r="G5659" s="113" t="s">
        <v>7145</v>
      </c>
      <c r="H5659" s="161">
        <v>0</v>
      </c>
      <c r="I5659" s="161" t="s">
        <v>7146</v>
      </c>
    </row>
    <row r="5660" spans="1:9">
      <c r="A5660" s="113">
        <v>100791764</v>
      </c>
      <c r="B5660" s="113" t="s">
        <v>7116</v>
      </c>
      <c r="C5660" s="113">
        <v>7990647</v>
      </c>
      <c r="D5660" s="113" t="s">
        <v>7139</v>
      </c>
      <c r="E5660" s="113" t="s">
        <v>1620</v>
      </c>
      <c r="F5660" s="113" t="s">
        <v>7139</v>
      </c>
      <c r="G5660" s="113" t="s">
        <v>7145</v>
      </c>
      <c r="H5660" s="161">
        <v>0</v>
      </c>
      <c r="I5660" s="161" t="s">
        <v>7146</v>
      </c>
    </row>
    <row r="5661" spans="1:9">
      <c r="A5661" s="113">
        <v>100791765</v>
      </c>
      <c r="B5661" s="113" t="s">
        <v>7116</v>
      </c>
      <c r="C5661" s="113">
        <v>7990648</v>
      </c>
      <c r="D5661" s="113" t="s">
        <v>7139</v>
      </c>
      <c r="E5661" s="113" t="s">
        <v>1620</v>
      </c>
      <c r="F5661" s="113" t="s">
        <v>7139</v>
      </c>
      <c r="G5661" s="113" t="s">
        <v>7145</v>
      </c>
      <c r="H5661" s="161">
        <v>0</v>
      </c>
      <c r="I5661" s="161" t="s">
        <v>7146</v>
      </c>
    </row>
    <row r="5662" spans="1:9">
      <c r="A5662" s="113">
        <v>100791766</v>
      </c>
      <c r="B5662" s="113" t="s">
        <v>7116</v>
      </c>
      <c r="C5662" s="113">
        <v>7990649</v>
      </c>
      <c r="D5662" s="113" t="s">
        <v>7139</v>
      </c>
      <c r="E5662" s="113" t="s">
        <v>1620</v>
      </c>
      <c r="F5662" s="113" t="s">
        <v>7139</v>
      </c>
      <c r="G5662" s="113" t="s">
        <v>7145</v>
      </c>
      <c r="H5662" s="161">
        <v>0</v>
      </c>
      <c r="I5662" s="161" t="s">
        <v>7146</v>
      </c>
    </row>
    <row r="5663" spans="1:9">
      <c r="A5663" s="113">
        <v>100791767</v>
      </c>
      <c r="B5663" s="113" t="s">
        <v>7116</v>
      </c>
      <c r="C5663" s="113">
        <v>7990651</v>
      </c>
      <c r="D5663" s="113" t="s">
        <v>7139</v>
      </c>
      <c r="E5663" s="113" t="s">
        <v>1620</v>
      </c>
      <c r="F5663" s="113" t="s">
        <v>7139</v>
      </c>
      <c r="G5663" s="113" t="s">
        <v>7145</v>
      </c>
      <c r="H5663" s="161">
        <v>0</v>
      </c>
      <c r="I5663" s="161" t="s">
        <v>7146</v>
      </c>
    </row>
    <row r="5664" spans="1:9">
      <c r="A5664" s="113">
        <v>100791768</v>
      </c>
      <c r="B5664" s="113" t="s">
        <v>7116</v>
      </c>
      <c r="C5664" s="113">
        <v>7990658</v>
      </c>
      <c r="D5664" s="113" t="s">
        <v>7139</v>
      </c>
      <c r="E5664" s="113" t="s">
        <v>1620</v>
      </c>
      <c r="F5664" s="113" t="s">
        <v>7139</v>
      </c>
      <c r="G5664" s="113" t="s">
        <v>7145</v>
      </c>
      <c r="H5664" s="161">
        <v>0</v>
      </c>
      <c r="I5664" s="161" t="s">
        <v>7146</v>
      </c>
    </row>
    <row r="5665" spans="1:9">
      <c r="A5665" s="113">
        <v>100791769</v>
      </c>
      <c r="B5665" s="113" t="s">
        <v>7116</v>
      </c>
      <c r="C5665" s="113">
        <v>7990675</v>
      </c>
      <c r="D5665" s="113" t="s">
        <v>7139</v>
      </c>
      <c r="E5665" s="113" t="s">
        <v>1620</v>
      </c>
      <c r="F5665" s="113" t="s">
        <v>7139</v>
      </c>
      <c r="G5665" s="113" t="s">
        <v>7145</v>
      </c>
      <c r="H5665" s="161">
        <v>0</v>
      </c>
      <c r="I5665" s="161" t="s">
        <v>7146</v>
      </c>
    </row>
    <row r="5666" spans="1:9">
      <c r="A5666" s="113">
        <v>100791770</v>
      </c>
      <c r="B5666" s="113" t="s">
        <v>7116</v>
      </c>
      <c r="C5666" s="113">
        <v>7990685</v>
      </c>
      <c r="D5666" s="113" t="s">
        <v>7139</v>
      </c>
      <c r="E5666" s="113" t="s">
        <v>1620</v>
      </c>
      <c r="F5666" s="113" t="s">
        <v>7139</v>
      </c>
      <c r="G5666" s="113" t="s">
        <v>7145</v>
      </c>
      <c r="H5666" s="161">
        <v>0</v>
      </c>
      <c r="I5666" s="161" t="s">
        <v>7146</v>
      </c>
    </row>
    <row r="5667" spans="1:9">
      <c r="A5667" s="113">
        <v>100791771</v>
      </c>
      <c r="B5667" s="113" t="s">
        <v>7116</v>
      </c>
      <c r="C5667" s="113">
        <v>7990686</v>
      </c>
      <c r="D5667" s="113" t="s">
        <v>7139</v>
      </c>
      <c r="E5667" s="113" t="s">
        <v>1620</v>
      </c>
      <c r="F5667" s="113" t="s">
        <v>7139</v>
      </c>
      <c r="G5667" s="113" t="s">
        <v>7145</v>
      </c>
      <c r="H5667" s="161">
        <v>0</v>
      </c>
      <c r="I5667" s="161" t="s">
        <v>7146</v>
      </c>
    </row>
    <row r="5668" spans="1:9">
      <c r="A5668" s="113">
        <v>100791772</v>
      </c>
      <c r="B5668" s="113" t="s">
        <v>7116</v>
      </c>
      <c r="C5668" s="113">
        <v>7990687</v>
      </c>
      <c r="D5668" s="113" t="s">
        <v>7139</v>
      </c>
      <c r="E5668" s="113" t="s">
        <v>1620</v>
      </c>
      <c r="F5668" s="113" t="s">
        <v>7139</v>
      </c>
      <c r="G5668" s="113" t="s">
        <v>7145</v>
      </c>
      <c r="H5668" s="161">
        <v>0</v>
      </c>
      <c r="I5668" s="161" t="s">
        <v>7146</v>
      </c>
    </row>
    <row r="5669" spans="1:9">
      <c r="A5669" s="113">
        <v>100791773</v>
      </c>
      <c r="B5669" s="113" t="s">
        <v>7116</v>
      </c>
      <c r="C5669" s="113">
        <v>7990689</v>
      </c>
      <c r="D5669" s="113" t="s">
        <v>7139</v>
      </c>
      <c r="E5669" s="113" t="s">
        <v>1620</v>
      </c>
      <c r="F5669" s="113" t="s">
        <v>7139</v>
      </c>
      <c r="G5669" s="113" t="s">
        <v>7145</v>
      </c>
      <c r="H5669" s="161">
        <v>0</v>
      </c>
      <c r="I5669" s="161" t="s">
        <v>7146</v>
      </c>
    </row>
    <row r="5670" spans="1:9">
      <c r="A5670" s="113">
        <v>100791774</v>
      </c>
      <c r="B5670" s="113" t="s">
        <v>7116</v>
      </c>
      <c r="C5670" s="113">
        <v>7990692</v>
      </c>
      <c r="D5670" s="113" t="s">
        <v>7139</v>
      </c>
      <c r="E5670" s="113" t="s">
        <v>1620</v>
      </c>
      <c r="F5670" s="113" t="s">
        <v>7139</v>
      </c>
      <c r="G5670" s="113" t="s">
        <v>7145</v>
      </c>
      <c r="H5670" s="161">
        <v>0</v>
      </c>
      <c r="I5670" s="161" t="s">
        <v>7146</v>
      </c>
    </row>
    <row r="5671" spans="1:9">
      <c r="A5671" s="113">
        <v>100791775</v>
      </c>
      <c r="B5671" s="113" t="s">
        <v>7116</v>
      </c>
      <c r="C5671" s="113">
        <v>7990695</v>
      </c>
      <c r="D5671" s="113" t="s">
        <v>7139</v>
      </c>
      <c r="E5671" s="113" t="s">
        <v>1620</v>
      </c>
      <c r="F5671" s="113" t="s">
        <v>7139</v>
      </c>
      <c r="G5671" s="113" t="s">
        <v>7145</v>
      </c>
      <c r="H5671" s="161">
        <v>0</v>
      </c>
      <c r="I5671" s="161" t="s">
        <v>7146</v>
      </c>
    </row>
    <row r="5672" spans="1:9">
      <c r="A5672" s="113">
        <v>100791776</v>
      </c>
      <c r="B5672" s="113" t="s">
        <v>7116</v>
      </c>
      <c r="C5672" s="113">
        <v>7990705</v>
      </c>
      <c r="D5672" s="113" t="s">
        <v>7139</v>
      </c>
      <c r="E5672" s="113" t="s">
        <v>1620</v>
      </c>
      <c r="F5672" s="113" t="s">
        <v>7139</v>
      </c>
      <c r="G5672" s="113" t="s">
        <v>7145</v>
      </c>
      <c r="H5672" s="161">
        <v>0</v>
      </c>
      <c r="I5672" s="161" t="s">
        <v>7146</v>
      </c>
    </row>
    <row r="5673" spans="1:9">
      <c r="A5673" s="113">
        <v>100791777</v>
      </c>
      <c r="B5673" s="113" t="s">
        <v>7116</v>
      </c>
      <c r="C5673" s="113">
        <v>7990709</v>
      </c>
      <c r="D5673" s="113" t="s">
        <v>7139</v>
      </c>
      <c r="E5673" s="113" t="s">
        <v>1620</v>
      </c>
      <c r="F5673" s="113" t="s">
        <v>7139</v>
      </c>
      <c r="G5673" s="113" t="s">
        <v>7145</v>
      </c>
      <c r="H5673" s="161">
        <v>0</v>
      </c>
      <c r="I5673" s="161" t="s">
        <v>7146</v>
      </c>
    </row>
    <row r="5674" spans="1:9">
      <c r="A5674" s="113">
        <v>100791778</v>
      </c>
      <c r="B5674" s="113" t="s">
        <v>7116</v>
      </c>
      <c r="C5674" s="113">
        <v>7990715</v>
      </c>
      <c r="D5674" s="113" t="s">
        <v>7139</v>
      </c>
      <c r="E5674" s="113" t="s">
        <v>1620</v>
      </c>
      <c r="F5674" s="113" t="s">
        <v>7139</v>
      </c>
      <c r="G5674" s="113" t="s">
        <v>7145</v>
      </c>
      <c r="H5674" s="161">
        <v>0</v>
      </c>
      <c r="I5674" s="161" t="s">
        <v>7146</v>
      </c>
    </row>
    <row r="5675" spans="1:9">
      <c r="A5675" s="113">
        <v>100791779</v>
      </c>
      <c r="B5675" s="113" t="s">
        <v>7116</v>
      </c>
      <c r="C5675" s="113">
        <v>7990716</v>
      </c>
      <c r="D5675" s="113" t="s">
        <v>7139</v>
      </c>
      <c r="E5675" s="113" t="s">
        <v>1620</v>
      </c>
      <c r="F5675" s="113" t="s">
        <v>7139</v>
      </c>
      <c r="G5675" s="113" t="s">
        <v>7145</v>
      </c>
      <c r="H5675" s="161">
        <v>0</v>
      </c>
      <c r="I5675" s="161" t="s">
        <v>7146</v>
      </c>
    </row>
    <row r="5676" spans="1:9">
      <c r="A5676" s="113">
        <v>100791780</v>
      </c>
      <c r="B5676" s="113" t="s">
        <v>7116</v>
      </c>
      <c r="C5676" s="113">
        <v>7990718</v>
      </c>
      <c r="D5676" s="113" t="s">
        <v>7139</v>
      </c>
      <c r="E5676" s="113" t="s">
        <v>1620</v>
      </c>
      <c r="F5676" s="113" t="s">
        <v>7139</v>
      </c>
      <c r="G5676" s="113" t="s">
        <v>7145</v>
      </c>
      <c r="H5676" s="161">
        <v>0</v>
      </c>
      <c r="I5676" s="161" t="s">
        <v>7146</v>
      </c>
    </row>
    <row r="5677" spans="1:9">
      <c r="A5677" s="113">
        <v>100791781</v>
      </c>
      <c r="B5677" s="113" t="s">
        <v>7116</v>
      </c>
      <c r="C5677" s="113">
        <v>7990720</v>
      </c>
      <c r="D5677" s="113" t="s">
        <v>7139</v>
      </c>
      <c r="E5677" s="113" t="s">
        <v>1620</v>
      </c>
      <c r="F5677" s="113" t="s">
        <v>7139</v>
      </c>
      <c r="G5677" s="113" t="s">
        <v>7145</v>
      </c>
      <c r="H5677" s="161">
        <v>0</v>
      </c>
      <c r="I5677" s="161" t="s">
        <v>7146</v>
      </c>
    </row>
    <row r="5678" spans="1:9">
      <c r="A5678" s="113">
        <v>100791782</v>
      </c>
      <c r="B5678" s="113" t="s">
        <v>7116</v>
      </c>
      <c r="C5678" s="113">
        <v>7990725</v>
      </c>
      <c r="D5678" s="113" t="s">
        <v>7139</v>
      </c>
      <c r="E5678" s="113" t="s">
        <v>1620</v>
      </c>
      <c r="F5678" s="113" t="s">
        <v>7139</v>
      </c>
      <c r="G5678" s="113" t="s">
        <v>7145</v>
      </c>
      <c r="H5678" s="161">
        <v>0</v>
      </c>
      <c r="I5678" s="161" t="s">
        <v>7146</v>
      </c>
    </row>
    <row r="5679" spans="1:9">
      <c r="A5679" s="113">
        <v>100791783</v>
      </c>
      <c r="B5679" s="113" t="s">
        <v>7116</v>
      </c>
      <c r="C5679" s="113">
        <v>7990736</v>
      </c>
      <c r="D5679" s="113" t="s">
        <v>7139</v>
      </c>
      <c r="E5679" s="113" t="s">
        <v>1620</v>
      </c>
      <c r="F5679" s="113" t="s">
        <v>7139</v>
      </c>
      <c r="G5679" s="113" t="s">
        <v>7145</v>
      </c>
      <c r="H5679" s="161">
        <v>0</v>
      </c>
      <c r="I5679" s="161" t="s">
        <v>7146</v>
      </c>
    </row>
    <row r="5680" spans="1:9">
      <c r="A5680" s="113">
        <v>100791784</v>
      </c>
      <c r="B5680" s="113" t="s">
        <v>7116</v>
      </c>
      <c r="C5680" s="113">
        <v>7990741</v>
      </c>
      <c r="D5680" s="113" t="s">
        <v>7139</v>
      </c>
      <c r="E5680" s="113" t="s">
        <v>1620</v>
      </c>
      <c r="F5680" s="113" t="s">
        <v>7139</v>
      </c>
      <c r="G5680" s="113" t="s">
        <v>7145</v>
      </c>
      <c r="H5680" s="161">
        <v>0</v>
      </c>
      <c r="I5680" s="161" t="s">
        <v>7146</v>
      </c>
    </row>
    <row r="5681" spans="1:9">
      <c r="A5681" s="113">
        <v>100791785</v>
      </c>
      <c r="B5681" s="113" t="s">
        <v>7116</v>
      </c>
      <c r="C5681" s="113">
        <v>7990742</v>
      </c>
      <c r="D5681" s="113" t="s">
        <v>7139</v>
      </c>
      <c r="E5681" s="113" t="s">
        <v>1620</v>
      </c>
      <c r="F5681" s="113" t="s">
        <v>7139</v>
      </c>
      <c r="G5681" s="113" t="s">
        <v>7145</v>
      </c>
      <c r="H5681" s="161">
        <v>0</v>
      </c>
      <c r="I5681" s="161" t="s">
        <v>7146</v>
      </c>
    </row>
    <row r="5682" spans="1:9">
      <c r="A5682" s="113">
        <v>100791786</v>
      </c>
      <c r="B5682" s="113" t="s">
        <v>7116</v>
      </c>
      <c r="C5682" s="113">
        <v>7990743</v>
      </c>
      <c r="D5682" s="113" t="s">
        <v>7139</v>
      </c>
      <c r="E5682" s="113" t="s">
        <v>1620</v>
      </c>
      <c r="F5682" s="113" t="s">
        <v>7139</v>
      </c>
      <c r="G5682" s="113" t="s">
        <v>7145</v>
      </c>
      <c r="H5682" s="161">
        <v>0</v>
      </c>
      <c r="I5682" s="161" t="s">
        <v>7146</v>
      </c>
    </row>
    <row r="5683" spans="1:9">
      <c r="A5683" s="113">
        <v>100791787</v>
      </c>
      <c r="B5683" s="113" t="s">
        <v>7116</v>
      </c>
      <c r="C5683" s="113">
        <v>7990744</v>
      </c>
      <c r="D5683" s="113" t="s">
        <v>7139</v>
      </c>
      <c r="E5683" s="113" t="s">
        <v>1620</v>
      </c>
      <c r="F5683" s="113" t="s">
        <v>7139</v>
      </c>
      <c r="G5683" s="113" t="s">
        <v>7145</v>
      </c>
      <c r="H5683" s="161">
        <v>0</v>
      </c>
      <c r="I5683" s="161" t="s">
        <v>7146</v>
      </c>
    </row>
    <row r="5684" spans="1:9">
      <c r="A5684" s="113">
        <v>100791788</v>
      </c>
      <c r="B5684" s="113" t="s">
        <v>7116</v>
      </c>
      <c r="C5684" s="113">
        <v>7990745</v>
      </c>
      <c r="D5684" s="113" t="s">
        <v>7139</v>
      </c>
      <c r="E5684" s="113" t="s">
        <v>1620</v>
      </c>
      <c r="F5684" s="113" t="s">
        <v>7139</v>
      </c>
      <c r="G5684" s="113" t="s">
        <v>7145</v>
      </c>
      <c r="H5684" s="161">
        <v>0</v>
      </c>
      <c r="I5684" s="161" t="s">
        <v>7146</v>
      </c>
    </row>
    <row r="5685" spans="1:9">
      <c r="A5685" s="113">
        <v>100791789</v>
      </c>
      <c r="B5685" s="113" t="s">
        <v>7116</v>
      </c>
      <c r="C5685" s="113">
        <v>7990769</v>
      </c>
      <c r="D5685" s="113" t="s">
        <v>7139</v>
      </c>
      <c r="E5685" s="113" t="s">
        <v>1620</v>
      </c>
      <c r="F5685" s="113" t="s">
        <v>7139</v>
      </c>
      <c r="G5685" s="113" t="s">
        <v>7145</v>
      </c>
      <c r="H5685" s="161">
        <v>0</v>
      </c>
      <c r="I5685" s="161" t="s">
        <v>7146</v>
      </c>
    </row>
    <row r="5686" spans="1:9">
      <c r="A5686" s="113">
        <v>100791790</v>
      </c>
      <c r="B5686" s="113" t="s">
        <v>7116</v>
      </c>
      <c r="C5686" s="113">
        <v>7990771</v>
      </c>
      <c r="D5686" s="113" t="s">
        <v>7139</v>
      </c>
      <c r="E5686" s="113" t="s">
        <v>1620</v>
      </c>
      <c r="F5686" s="113" t="s">
        <v>7139</v>
      </c>
      <c r="G5686" s="113" t="s">
        <v>7145</v>
      </c>
      <c r="H5686" s="161">
        <v>0</v>
      </c>
      <c r="I5686" s="161" t="s">
        <v>7146</v>
      </c>
    </row>
    <row r="5687" spans="1:9">
      <c r="A5687" s="113">
        <v>100791791</v>
      </c>
      <c r="B5687" s="113" t="s">
        <v>7116</v>
      </c>
      <c r="C5687" s="113">
        <v>7990774</v>
      </c>
      <c r="D5687" s="113" t="s">
        <v>7139</v>
      </c>
      <c r="E5687" s="113" t="s">
        <v>1620</v>
      </c>
      <c r="F5687" s="113" t="s">
        <v>7139</v>
      </c>
      <c r="G5687" s="113" t="s">
        <v>7145</v>
      </c>
      <c r="H5687" s="161">
        <v>0</v>
      </c>
      <c r="I5687" s="161" t="s">
        <v>7146</v>
      </c>
    </row>
    <row r="5688" spans="1:9">
      <c r="A5688" s="113">
        <v>100791792</v>
      </c>
      <c r="B5688" s="113" t="s">
        <v>7116</v>
      </c>
      <c r="C5688" s="113">
        <v>7990775</v>
      </c>
      <c r="D5688" s="113" t="s">
        <v>7139</v>
      </c>
      <c r="E5688" s="113" t="s">
        <v>1620</v>
      </c>
      <c r="F5688" s="113" t="s">
        <v>7139</v>
      </c>
      <c r="G5688" s="113" t="s">
        <v>7145</v>
      </c>
      <c r="H5688" s="161">
        <v>0</v>
      </c>
      <c r="I5688" s="161" t="s">
        <v>7146</v>
      </c>
    </row>
    <row r="5689" spans="1:9">
      <c r="A5689" s="113">
        <v>100791793</v>
      </c>
      <c r="B5689" s="113" t="s">
        <v>7116</v>
      </c>
      <c r="C5689" s="113">
        <v>7990778</v>
      </c>
      <c r="D5689" s="113" t="s">
        <v>7139</v>
      </c>
      <c r="E5689" s="113" t="s">
        <v>1620</v>
      </c>
      <c r="F5689" s="113" t="s">
        <v>7139</v>
      </c>
      <c r="G5689" s="113" t="s">
        <v>7145</v>
      </c>
      <c r="H5689" s="161">
        <v>0</v>
      </c>
      <c r="I5689" s="161" t="s">
        <v>7146</v>
      </c>
    </row>
    <row r="5690" spans="1:9">
      <c r="A5690" s="113">
        <v>100791794</v>
      </c>
      <c r="B5690" s="113" t="s">
        <v>7116</v>
      </c>
      <c r="C5690" s="113">
        <v>7990786</v>
      </c>
      <c r="D5690" s="113" t="s">
        <v>7139</v>
      </c>
      <c r="E5690" s="113" t="s">
        <v>1620</v>
      </c>
      <c r="F5690" s="113" t="s">
        <v>7139</v>
      </c>
      <c r="G5690" s="113" t="s">
        <v>7145</v>
      </c>
      <c r="H5690" s="161">
        <v>0</v>
      </c>
      <c r="I5690" s="161" t="s">
        <v>7146</v>
      </c>
    </row>
    <row r="5691" spans="1:9">
      <c r="A5691" s="113">
        <v>100791795</v>
      </c>
      <c r="B5691" s="113" t="s">
        <v>7116</v>
      </c>
      <c r="C5691" s="113">
        <v>7990802</v>
      </c>
      <c r="D5691" s="113" t="s">
        <v>7139</v>
      </c>
      <c r="E5691" s="113" t="s">
        <v>1620</v>
      </c>
      <c r="F5691" s="113" t="s">
        <v>7139</v>
      </c>
      <c r="G5691" s="113" t="s">
        <v>7145</v>
      </c>
      <c r="H5691" s="161">
        <v>0</v>
      </c>
      <c r="I5691" s="161" t="s">
        <v>7146</v>
      </c>
    </row>
    <row r="5692" spans="1:9">
      <c r="A5692" s="113">
        <v>100791796</v>
      </c>
      <c r="B5692" s="113" t="s">
        <v>7116</v>
      </c>
      <c r="C5692" s="113">
        <v>7990813</v>
      </c>
      <c r="D5692" s="113" t="s">
        <v>7139</v>
      </c>
      <c r="E5692" s="113" t="s">
        <v>1620</v>
      </c>
      <c r="F5692" s="113" t="s">
        <v>7139</v>
      </c>
      <c r="G5692" s="113" t="s">
        <v>7145</v>
      </c>
      <c r="H5692" s="161">
        <v>0</v>
      </c>
      <c r="I5692" s="161" t="s">
        <v>7146</v>
      </c>
    </row>
    <row r="5693" spans="1:9">
      <c r="A5693" s="113">
        <v>100791797</v>
      </c>
      <c r="B5693" s="113" t="s">
        <v>7116</v>
      </c>
      <c r="C5693" s="113">
        <v>7990814</v>
      </c>
      <c r="D5693" s="113" t="s">
        <v>7139</v>
      </c>
      <c r="E5693" s="113" t="s">
        <v>1620</v>
      </c>
      <c r="F5693" s="113" t="s">
        <v>7139</v>
      </c>
      <c r="G5693" s="113" t="s">
        <v>7145</v>
      </c>
      <c r="H5693" s="161">
        <v>0</v>
      </c>
      <c r="I5693" s="161" t="s">
        <v>7146</v>
      </c>
    </row>
    <row r="5694" spans="1:9">
      <c r="A5694" s="113">
        <v>100791798</v>
      </c>
      <c r="B5694" s="113" t="s">
        <v>7116</v>
      </c>
      <c r="C5694" s="113">
        <v>7990816</v>
      </c>
      <c r="D5694" s="113" t="s">
        <v>7139</v>
      </c>
      <c r="E5694" s="113" t="s">
        <v>1620</v>
      </c>
      <c r="F5694" s="113" t="s">
        <v>7139</v>
      </c>
      <c r="G5694" s="113" t="s">
        <v>7145</v>
      </c>
      <c r="H5694" s="161">
        <v>0</v>
      </c>
      <c r="I5694" s="161" t="s">
        <v>7146</v>
      </c>
    </row>
    <row r="5695" spans="1:9">
      <c r="A5695" s="113">
        <v>100791799</v>
      </c>
      <c r="B5695" s="113" t="s">
        <v>7116</v>
      </c>
      <c r="C5695" s="113">
        <v>7990817</v>
      </c>
      <c r="D5695" s="113" t="s">
        <v>7139</v>
      </c>
      <c r="E5695" s="113" t="s">
        <v>1620</v>
      </c>
      <c r="F5695" s="113" t="s">
        <v>7139</v>
      </c>
      <c r="G5695" s="113" t="s">
        <v>7145</v>
      </c>
      <c r="H5695" s="161">
        <v>0</v>
      </c>
      <c r="I5695" s="161" t="s">
        <v>7146</v>
      </c>
    </row>
    <row r="5696" spans="1:9">
      <c r="A5696" s="113">
        <v>100791800</v>
      </c>
      <c r="B5696" s="113" t="s">
        <v>7116</v>
      </c>
      <c r="C5696" s="113">
        <v>7990820</v>
      </c>
      <c r="D5696" s="113" t="s">
        <v>7139</v>
      </c>
      <c r="E5696" s="113" t="s">
        <v>1620</v>
      </c>
      <c r="F5696" s="113" t="s">
        <v>7139</v>
      </c>
      <c r="G5696" s="113" t="s">
        <v>7145</v>
      </c>
      <c r="H5696" s="161">
        <v>0</v>
      </c>
      <c r="I5696" s="161" t="s">
        <v>7146</v>
      </c>
    </row>
    <row r="5697" spans="1:9">
      <c r="A5697" s="113">
        <v>100791801</v>
      </c>
      <c r="B5697" s="113" t="s">
        <v>7116</v>
      </c>
      <c r="C5697" s="113">
        <v>7990823</v>
      </c>
      <c r="D5697" s="113" t="s">
        <v>7139</v>
      </c>
      <c r="E5697" s="113" t="s">
        <v>1620</v>
      </c>
      <c r="F5697" s="113" t="s">
        <v>7139</v>
      </c>
      <c r="G5697" s="113" t="s">
        <v>7145</v>
      </c>
      <c r="H5697" s="161">
        <v>0</v>
      </c>
      <c r="I5697" s="161" t="s">
        <v>7146</v>
      </c>
    </row>
    <row r="5698" spans="1:9">
      <c r="A5698" s="113">
        <v>100791802</v>
      </c>
      <c r="B5698" s="113" t="s">
        <v>7116</v>
      </c>
      <c r="C5698" s="113">
        <v>7990824</v>
      </c>
      <c r="D5698" s="113" t="s">
        <v>7139</v>
      </c>
      <c r="E5698" s="113" t="s">
        <v>1620</v>
      </c>
      <c r="F5698" s="113" t="s">
        <v>7139</v>
      </c>
      <c r="G5698" s="113" t="s">
        <v>7145</v>
      </c>
      <c r="H5698" s="161">
        <v>0</v>
      </c>
      <c r="I5698" s="161" t="s">
        <v>7146</v>
      </c>
    </row>
    <row r="5699" spans="1:9">
      <c r="A5699" s="113">
        <v>100791803</v>
      </c>
      <c r="B5699" s="113" t="s">
        <v>7116</v>
      </c>
      <c r="C5699" s="113">
        <v>7990825</v>
      </c>
      <c r="D5699" s="113" t="s">
        <v>7139</v>
      </c>
      <c r="E5699" s="113" t="s">
        <v>1620</v>
      </c>
      <c r="F5699" s="113" t="s">
        <v>7139</v>
      </c>
      <c r="G5699" s="113" t="s">
        <v>7145</v>
      </c>
      <c r="H5699" s="161">
        <v>0</v>
      </c>
      <c r="I5699" s="161" t="s">
        <v>7146</v>
      </c>
    </row>
    <row r="5700" spans="1:9">
      <c r="A5700" s="113">
        <v>100791804</v>
      </c>
      <c r="B5700" s="113" t="s">
        <v>7116</v>
      </c>
      <c r="C5700" s="113">
        <v>7990827</v>
      </c>
      <c r="D5700" s="113" t="s">
        <v>7139</v>
      </c>
      <c r="E5700" s="113" t="s">
        <v>1620</v>
      </c>
      <c r="F5700" s="113" t="s">
        <v>7139</v>
      </c>
      <c r="G5700" s="113" t="s">
        <v>7145</v>
      </c>
      <c r="H5700" s="161">
        <v>0</v>
      </c>
      <c r="I5700" s="161" t="s">
        <v>7146</v>
      </c>
    </row>
    <row r="5701" spans="1:9">
      <c r="A5701" s="113">
        <v>100791806</v>
      </c>
      <c r="B5701" s="113" t="s">
        <v>7116</v>
      </c>
      <c r="C5701" s="113">
        <v>7990829</v>
      </c>
      <c r="D5701" s="113" t="s">
        <v>7139</v>
      </c>
      <c r="E5701" s="113" t="s">
        <v>1620</v>
      </c>
      <c r="F5701" s="113" t="s">
        <v>7139</v>
      </c>
      <c r="G5701" s="113" t="s">
        <v>7145</v>
      </c>
      <c r="H5701" s="161">
        <v>0</v>
      </c>
      <c r="I5701" s="161" t="s">
        <v>7146</v>
      </c>
    </row>
    <row r="5702" spans="1:9">
      <c r="A5702" s="113">
        <v>100791807</v>
      </c>
      <c r="B5702" s="113" t="s">
        <v>7116</v>
      </c>
      <c r="C5702" s="113">
        <v>7990830</v>
      </c>
      <c r="D5702" s="113" t="s">
        <v>7139</v>
      </c>
      <c r="E5702" s="113" t="s">
        <v>1620</v>
      </c>
      <c r="F5702" s="113" t="s">
        <v>7139</v>
      </c>
      <c r="G5702" s="113" t="s">
        <v>7145</v>
      </c>
      <c r="H5702" s="161">
        <v>0</v>
      </c>
      <c r="I5702" s="161" t="s">
        <v>7146</v>
      </c>
    </row>
    <row r="5703" spans="1:9">
      <c r="A5703" s="113">
        <v>100791808</v>
      </c>
      <c r="B5703" s="113" t="s">
        <v>7116</v>
      </c>
      <c r="C5703" s="113">
        <v>7990832</v>
      </c>
      <c r="D5703" s="113" t="s">
        <v>7139</v>
      </c>
      <c r="E5703" s="113" t="s">
        <v>1620</v>
      </c>
      <c r="F5703" s="113" t="s">
        <v>7139</v>
      </c>
      <c r="G5703" s="113" t="s">
        <v>7145</v>
      </c>
      <c r="H5703" s="161">
        <v>0</v>
      </c>
      <c r="I5703" s="161" t="s">
        <v>7146</v>
      </c>
    </row>
    <row r="5704" spans="1:9">
      <c r="A5704" s="113">
        <v>100791809</v>
      </c>
      <c r="B5704" s="113" t="s">
        <v>7116</v>
      </c>
      <c r="C5704" s="113">
        <v>7990833</v>
      </c>
      <c r="D5704" s="113" t="s">
        <v>7139</v>
      </c>
      <c r="E5704" s="113" t="s">
        <v>1620</v>
      </c>
      <c r="F5704" s="113" t="s">
        <v>7139</v>
      </c>
      <c r="G5704" s="113" t="s">
        <v>7145</v>
      </c>
      <c r="H5704" s="161">
        <v>0</v>
      </c>
      <c r="I5704" s="161" t="s">
        <v>7146</v>
      </c>
    </row>
    <row r="5705" spans="1:9">
      <c r="A5705" s="113">
        <v>100791810</v>
      </c>
      <c r="B5705" s="113" t="s">
        <v>7116</v>
      </c>
      <c r="C5705" s="113">
        <v>7990834</v>
      </c>
      <c r="D5705" s="113" t="s">
        <v>7139</v>
      </c>
      <c r="E5705" s="113" t="s">
        <v>1620</v>
      </c>
      <c r="F5705" s="113" t="s">
        <v>7139</v>
      </c>
      <c r="G5705" s="113" t="s">
        <v>7145</v>
      </c>
      <c r="H5705" s="161">
        <v>0</v>
      </c>
      <c r="I5705" s="161" t="s">
        <v>7146</v>
      </c>
    </row>
    <row r="5706" spans="1:9">
      <c r="A5706" s="113">
        <v>100791811</v>
      </c>
      <c r="B5706" s="113" t="s">
        <v>7116</v>
      </c>
      <c r="C5706" s="113">
        <v>7990838</v>
      </c>
      <c r="D5706" s="113" t="s">
        <v>7139</v>
      </c>
      <c r="E5706" s="113" t="s">
        <v>1620</v>
      </c>
      <c r="F5706" s="113" t="s">
        <v>7139</v>
      </c>
      <c r="G5706" s="113" t="s">
        <v>7145</v>
      </c>
      <c r="H5706" s="161">
        <v>0</v>
      </c>
      <c r="I5706" s="161" t="s">
        <v>7146</v>
      </c>
    </row>
    <row r="5707" spans="1:9">
      <c r="A5707" s="113">
        <v>100791813</v>
      </c>
      <c r="B5707" s="113" t="s">
        <v>7116</v>
      </c>
      <c r="C5707" s="113">
        <v>7990843</v>
      </c>
      <c r="D5707" s="113" t="s">
        <v>7139</v>
      </c>
      <c r="E5707" s="113" t="s">
        <v>1620</v>
      </c>
      <c r="F5707" s="113" t="s">
        <v>7139</v>
      </c>
      <c r="G5707" s="113" t="s">
        <v>7145</v>
      </c>
      <c r="H5707" s="161">
        <v>0</v>
      </c>
      <c r="I5707" s="161" t="s">
        <v>7146</v>
      </c>
    </row>
    <row r="5708" spans="1:9">
      <c r="A5708" s="113">
        <v>100791814</v>
      </c>
      <c r="B5708" s="113" t="s">
        <v>7116</v>
      </c>
      <c r="C5708" s="113">
        <v>7990844</v>
      </c>
      <c r="D5708" s="113" t="s">
        <v>7139</v>
      </c>
      <c r="E5708" s="113" t="s">
        <v>1620</v>
      </c>
      <c r="F5708" s="113" t="s">
        <v>7139</v>
      </c>
      <c r="G5708" s="113" t="s">
        <v>7145</v>
      </c>
      <c r="H5708" s="161">
        <v>0</v>
      </c>
      <c r="I5708" s="161" t="s">
        <v>7146</v>
      </c>
    </row>
    <row r="5709" spans="1:9">
      <c r="A5709" s="113">
        <v>100791815</v>
      </c>
      <c r="B5709" s="113" t="s">
        <v>7116</v>
      </c>
      <c r="C5709" s="113">
        <v>7990853</v>
      </c>
      <c r="D5709" s="113" t="s">
        <v>7139</v>
      </c>
      <c r="E5709" s="113" t="s">
        <v>1620</v>
      </c>
      <c r="F5709" s="113" t="s">
        <v>7139</v>
      </c>
      <c r="G5709" s="113" t="s">
        <v>7145</v>
      </c>
      <c r="H5709" s="161">
        <v>0</v>
      </c>
      <c r="I5709" s="161" t="s">
        <v>7146</v>
      </c>
    </row>
    <row r="5710" spans="1:9">
      <c r="A5710" s="113">
        <v>100791816</v>
      </c>
      <c r="B5710" s="113" t="s">
        <v>7116</v>
      </c>
      <c r="C5710" s="113">
        <v>7990854</v>
      </c>
      <c r="D5710" s="113" t="s">
        <v>7139</v>
      </c>
      <c r="E5710" s="113" t="s">
        <v>1620</v>
      </c>
      <c r="F5710" s="113" t="s">
        <v>7139</v>
      </c>
      <c r="G5710" s="113" t="s">
        <v>7145</v>
      </c>
      <c r="H5710" s="161">
        <v>0</v>
      </c>
      <c r="I5710" s="161" t="s">
        <v>7146</v>
      </c>
    </row>
    <row r="5711" spans="1:9">
      <c r="A5711" s="113">
        <v>100791817</v>
      </c>
      <c r="B5711" s="113" t="s">
        <v>7116</v>
      </c>
      <c r="C5711" s="113">
        <v>7990855</v>
      </c>
      <c r="D5711" s="113" t="s">
        <v>7139</v>
      </c>
      <c r="E5711" s="113" t="s">
        <v>1620</v>
      </c>
      <c r="F5711" s="113" t="s">
        <v>7139</v>
      </c>
      <c r="G5711" s="113" t="s">
        <v>7145</v>
      </c>
      <c r="H5711" s="161">
        <v>0</v>
      </c>
      <c r="I5711" s="161" t="s">
        <v>7146</v>
      </c>
    </row>
    <row r="5712" spans="1:9">
      <c r="A5712" s="113">
        <v>100791818</v>
      </c>
      <c r="B5712" s="113" t="s">
        <v>7116</v>
      </c>
      <c r="C5712" s="113">
        <v>7990856</v>
      </c>
      <c r="D5712" s="113" t="s">
        <v>7139</v>
      </c>
      <c r="E5712" s="113" t="s">
        <v>1620</v>
      </c>
      <c r="F5712" s="113" t="s">
        <v>7139</v>
      </c>
      <c r="G5712" s="113" t="s">
        <v>7145</v>
      </c>
      <c r="H5712" s="161">
        <v>0</v>
      </c>
      <c r="I5712" s="161" t="s">
        <v>7146</v>
      </c>
    </row>
    <row r="5713" spans="1:9">
      <c r="A5713" s="113">
        <v>100791819</v>
      </c>
      <c r="B5713" s="113" t="s">
        <v>7116</v>
      </c>
      <c r="C5713" s="113">
        <v>7990857</v>
      </c>
      <c r="D5713" s="113" t="s">
        <v>7139</v>
      </c>
      <c r="E5713" s="113" t="s">
        <v>1620</v>
      </c>
      <c r="F5713" s="113" t="s">
        <v>7139</v>
      </c>
      <c r="G5713" s="113" t="s">
        <v>7145</v>
      </c>
      <c r="H5713" s="161">
        <v>0</v>
      </c>
      <c r="I5713" s="161" t="s">
        <v>7146</v>
      </c>
    </row>
    <row r="5714" spans="1:9">
      <c r="A5714" s="113">
        <v>100791821</v>
      </c>
      <c r="B5714" s="113" t="s">
        <v>7116</v>
      </c>
      <c r="C5714" s="113">
        <v>7990859</v>
      </c>
      <c r="D5714" s="113" t="s">
        <v>7139</v>
      </c>
      <c r="E5714" s="113" t="s">
        <v>1620</v>
      </c>
      <c r="F5714" s="113" t="s">
        <v>7139</v>
      </c>
      <c r="G5714" s="113" t="s">
        <v>7145</v>
      </c>
      <c r="H5714" s="161">
        <v>0</v>
      </c>
      <c r="I5714" s="161" t="s">
        <v>7146</v>
      </c>
    </row>
    <row r="5715" spans="1:9">
      <c r="A5715" s="113">
        <v>100791822</v>
      </c>
      <c r="B5715" s="113" t="s">
        <v>7116</v>
      </c>
      <c r="C5715" s="113">
        <v>7990860</v>
      </c>
      <c r="D5715" s="113" t="s">
        <v>7139</v>
      </c>
      <c r="E5715" s="113" t="s">
        <v>1620</v>
      </c>
      <c r="F5715" s="113" t="s">
        <v>7139</v>
      </c>
      <c r="G5715" s="113" t="s">
        <v>7145</v>
      </c>
      <c r="H5715" s="161">
        <v>0</v>
      </c>
      <c r="I5715" s="161" t="s">
        <v>7146</v>
      </c>
    </row>
    <row r="5716" spans="1:9">
      <c r="A5716" s="113">
        <v>100791823</v>
      </c>
      <c r="B5716" s="113" t="s">
        <v>7116</v>
      </c>
      <c r="C5716" s="113">
        <v>7990863</v>
      </c>
      <c r="D5716" s="113" t="s">
        <v>7139</v>
      </c>
      <c r="E5716" s="113" t="s">
        <v>1620</v>
      </c>
      <c r="F5716" s="113" t="s">
        <v>7139</v>
      </c>
      <c r="G5716" s="113" t="s">
        <v>7145</v>
      </c>
      <c r="H5716" s="161">
        <v>0</v>
      </c>
      <c r="I5716" s="161" t="s">
        <v>7146</v>
      </c>
    </row>
    <row r="5717" spans="1:9">
      <c r="A5717" s="113">
        <v>100791824</v>
      </c>
      <c r="B5717" s="113" t="s">
        <v>7116</v>
      </c>
      <c r="C5717" s="113">
        <v>7990864</v>
      </c>
      <c r="D5717" s="113" t="s">
        <v>7139</v>
      </c>
      <c r="E5717" s="113" t="s">
        <v>1620</v>
      </c>
      <c r="F5717" s="113" t="s">
        <v>7139</v>
      </c>
      <c r="G5717" s="113" t="s">
        <v>7145</v>
      </c>
      <c r="H5717" s="161">
        <v>0</v>
      </c>
      <c r="I5717" s="161" t="s">
        <v>7146</v>
      </c>
    </row>
    <row r="5718" spans="1:9">
      <c r="A5718" s="113">
        <v>100791825</v>
      </c>
      <c r="B5718" s="113" t="s">
        <v>7116</v>
      </c>
      <c r="C5718" s="113">
        <v>7990866</v>
      </c>
      <c r="D5718" s="113" t="s">
        <v>7139</v>
      </c>
      <c r="E5718" s="113" t="s">
        <v>1620</v>
      </c>
      <c r="F5718" s="113" t="s">
        <v>7139</v>
      </c>
      <c r="G5718" s="113" t="s">
        <v>7145</v>
      </c>
      <c r="H5718" s="161">
        <v>0</v>
      </c>
      <c r="I5718" s="161" t="s">
        <v>7146</v>
      </c>
    </row>
    <row r="5719" spans="1:9">
      <c r="A5719" s="113">
        <v>100791826</v>
      </c>
      <c r="B5719" s="113" t="s">
        <v>7116</v>
      </c>
      <c r="C5719" s="113">
        <v>7990867</v>
      </c>
      <c r="D5719" s="113" t="s">
        <v>7139</v>
      </c>
      <c r="E5719" s="113" t="s">
        <v>1620</v>
      </c>
      <c r="F5719" s="113" t="s">
        <v>7139</v>
      </c>
      <c r="G5719" s="113" t="s">
        <v>7145</v>
      </c>
      <c r="H5719" s="161">
        <v>0</v>
      </c>
      <c r="I5719" s="161" t="s">
        <v>7146</v>
      </c>
    </row>
    <row r="5720" spans="1:9">
      <c r="A5720" s="113">
        <v>100791827</v>
      </c>
      <c r="B5720" s="113" t="s">
        <v>7116</v>
      </c>
      <c r="C5720" s="113">
        <v>7990868</v>
      </c>
      <c r="D5720" s="113" t="s">
        <v>7139</v>
      </c>
      <c r="E5720" s="113" t="s">
        <v>1620</v>
      </c>
      <c r="F5720" s="113" t="s">
        <v>7139</v>
      </c>
      <c r="G5720" s="113" t="s">
        <v>7145</v>
      </c>
      <c r="H5720" s="161">
        <v>0</v>
      </c>
      <c r="I5720" s="161" t="s">
        <v>7146</v>
      </c>
    </row>
    <row r="5721" spans="1:9">
      <c r="A5721" s="113">
        <v>100791828</v>
      </c>
      <c r="B5721" s="113" t="s">
        <v>7116</v>
      </c>
      <c r="C5721" s="113">
        <v>7990869</v>
      </c>
      <c r="D5721" s="113" t="s">
        <v>7139</v>
      </c>
      <c r="E5721" s="113" t="s">
        <v>1620</v>
      </c>
      <c r="F5721" s="113" t="s">
        <v>7139</v>
      </c>
      <c r="G5721" s="113" t="s">
        <v>7145</v>
      </c>
      <c r="H5721" s="161">
        <v>0</v>
      </c>
      <c r="I5721" s="161" t="s">
        <v>7146</v>
      </c>
    </row>
    <row r="5722" spans="1:9">
      <c r="A5722" s="113">
        <v>100791829</v>
      </c>
      <c r="B5722" s="113" t="s">
        <v>7116</v>
      </c>
      <c r="C5722" s="113">
        <v>7990870</v>
      </c>
      <c r="D5722" s="113" t="s">
        <v>7139</v>
      </c>
      <c r="E5722" s="113" t="s">
        <v>1620</v>
      </c>
      <c r="F5722" s="113" t="s">
        <v>7139</v>
      </c>
      <c r="G5722" s="113" t="s">
        <v>7145</v>
      </c>
      <c r="H5722" s="161">
        <v>0</v>
      </c>
      <c r="I5722" s="161" t="s">
        <v>7146</v>
      </c>
    </row>
    <row r="5723" spans="1:9">
      <c r="A5723" s="113">
        <v>100791830</v>
      </c>
      <c r="B5723" s="113" t="s">
        <v>7116</v>
      </c>
      <c r="C5723" s="113">
        <v>7990872</v>
      </c>
      <c r="D5723" s="113" t="s">
        <v>7139</v>
      </c>
      <c r="E5723" s="113" t="s">
        <v>1620</v>
      </c>
      <c r="F5723" s="113" t="s">
        <v>7139</v>
      </c>
      <c r="G5723" s="113" t="s">
        <v>7145</v>
      </c>
      <c r="H5723" s="161">
        <v>0</v>
      </c>
      <c r="I5723" s="161" t="s">
        <v>7146</v>
      </c>
    </row>
    <row r="5724" spans="1:9">
      <c r="A5724" s="113">
        <v>100791831</v>
      </c>
      <c r="B5724" s="113" t="s">
        <v>7116</v>
      </c>
      <c r="C5724" s="113">
        <v>7990873</v>
      </c>
      <c r="D5724" s="113" t="s">
        <v>7139</v>
      </c>
      <c r="E5724" s="113" t="s">
        <v>1620</v>
      </c>
      <c r="F5724" s="113" t="s">
        <v>7139</v>
      </c>
      <c r="G5724" s="113" t="s">
        <v>7145</v>
      </c>
      <c r="H5724" s="161">
        <v>0</v>
      </c>
      <c r="I5724" s="161" t="s">
        <v>7146</v>
      </c>
    </row>
    <row r="5725" spans="1:9">
      <c r="A5725" s="113">
        <v>100791832</v>
      </c>
      <c r="B5725" s="113" t="s">
        <v>7116</v>
      </c>
      <c r="C5725" s="113">
        <v>7990874</v>
      </c>
      <c r="D5725" s="113" t="s">
        <v>7139</v>
      </c>
      <c r="E5725" s="113" t="s">
        <v>1620</v>
      </c>
      <c r="F5725" s="113" t="s">
        <v>7139</v>
      </c>
      <c r="G5725" s="113" t="s">
        <v>7145</v>
      </c>
      <c r="H5725" s="161">
        <v>0</v>
      </c>
      <c r="I5725" s="161" t="s">
        <v>7146</v>
      </c>
    </row>
    <row r="5726" spans="1:9">
      <c r="A5726" s="113">
        <v>100791833</v>
      </c>
      <c r="B5726" s="113" t="s">
        <v>7116</v>
      </c>
      <c r="C5726" s="113">
        <v>7990877</v>
      </c>
      <c r="D5726" s="113" t="s">
        <v>7139</v>
      </c>
      <c r="E5726" s="113" t="s">
        <v>1620</v>
      </c>
      <c r="F5726" s="113" t="s">
        <v>7139</v>
      </c>
      <c r="G5726" s="113" t="s">
        <v>7145</v>
      </c>
      <c r="H5726" s="161">
        <v>0</v>
      </c>
      <c r="I5726" s="161" t="s">
        <v>7146</v>
      </c>
    </row>
    <row r="5727" spans="1:9">
      <c r="A5727" s="113">
        <v>100791834</v>
      </c>
      <c r="B5727" s="113" t="s">
        <v>7116</v>
      </c>
      <c r="C5727" s="113">
        <v>7990878</v>
      </c>
      <c r="D5727" s="113" t="s">
        <v>7139</v>
      </c>
      <c r="E5727" s="113" t="s">
        <v>1620</v>
      </c>
      <c r="F5727" s="113" t="s">
        <v>7139</v>
      </c>
      <c r="G5727" s="113" t="s">
        <v>7145</v>
      </c>
      <c r="H5727" s="161">
        <v>0</v>
      </c>
      <c r="I5727" s="161" t="s">
        <v>7146</v>
      </c>
    </row>
    <row r="5728" spans="1:9">
      <c r="A5728" s="113">
        <v>100791835</v>
      </c>
      <c r="B5728" s="113" t="s">
        <v>7116</v>
      </c>
      <c r="C5728" s="113">
        <v>7990879</v>
      </c>
      <c r="D5728" s="113" t="s">
        <v>7139</v>
      </c>
      <c r="E5728" s="113" t="s">
        <v>1620</v>
      </c>
      <c r="F5728" s="113" t="s">
        <v>7139</v>
      </c>
      <c r="G5728" s="113" t="s">
        <v>7145</v>
      </c>
      <c r="H5728" s="161">
        <v>0</v>
      </c>
      <c r="I5728" s="161" t="s">
        <v>7146</v>
      </c>
    </row>
    <row r="5729" spans="1:9">
      <c r="A5729" s="113">
        <v>100791836</v>
      </c>
      <c r="B5729" s="113" t="s">
        <v>7116</v>
      </c>
      <c r="C5729" s="113">
        <v>7990880</v>
      </c>
      <c r="D5729" s="113" t="s">
        <v>7139</v>
      </c>
      <c r="E5729" s="113" t="s">
        <v>1620</v>
      </c>
      <c r="F5729" s="113" t="s">
        <v>7139</v>
      </c>
      <c r="G5729" s="113" t="s">
        <v>7145</v>
      </c>
      <c r="H5729" s="161">
        <v>0</v>
      </c>
      <c r="I5729" s="161" t="s">
        <v>7146</v>
      </c>
    </row>
    <row r="5730" spans="1:9">
      <c r="A5730" s="113">
        <v>100791837</v>
      </c>
      <c r="B5730" s="113" t="s">
        <v>7116</v>
      </c>
      <c r="C5730" s="113">
        <v>7990881</v>
      </c>
      <c r="D5730" s="113" t="s">
        <v>7139</v>
      </c>
      <c r="E5730" s="113" t="s">
        <v>1620</v>
      </c>
      <c r="F5730" s="113" t="s">
        <v>7139</v>
      </c>
      <c r="G5730" s="113" t="s">
        <v>7145</v>
      </c>
      <c r="H5730" s="161">
        <v>0</v>
      </c>
      <c r="I5730" s="161" t="s">
        <v>7146</v>
      </c>
    </row>
    <row r="5731" spans="1:9">
      <c r="A5731" s="113">
        <v>100791838</v>
      </c>
      <c r="B5731" s="113" t="s">
        <v>7116</v>
      </c>
      <c r="C5731" s="113">
        <v>7990882</v>
      </c>
      <c r="D5731" s="113" t="s">
        <v>7139</v>
      </c>
      <c r="E5731" s="113" t="s">
        <v>1620</v>
      </c>
      <c r="F5731" s="113" t="s">
        <v>7139</v>
      </c>
      <c r="G5731" s="113" t="s">
        <v>7145</v>
      </c>
      <c r="H5731" s="161">
        <v>0</v>
      </c>
      <c r="I5731" s="161" t="s">
        <v>7146</v>
      </c>
    </row>
    <row r="5732" spans="1:9">
      <c r="A5732" s="113">
        <v>100791839</v>
      </c>
      <c r="B5732" s="113" t="s">
        <v>7116</v>
      </c>
      <c r="C5732" s="113">
        <v>7990883</v>
      </c>
      <c r="D5732" s="113" t="s">
        <v>7139</v>
      </c>
      <c r="E5732" s="113" t="s">
        <v>1620</v>
      </c>
      <c r="F5732" s="113" t="s">
        <v>7139</v>
      </c>
      <c r="G5732" s="113" t="s">
        <v>7145</v>
      </c>
      <c r="H5732" s="161">
        <v>0</v>
      </c>
      <c r="I5732" s="161" t="s">
        <v>7146</v>
      </c>
    </row>
    <row r="5733" spans="1:9">
      <c r="A5733" s="113">
        <v>100791840</v>
      </c>
      <c r="B5733" s="113" t="s">
        <v>7116</v>
      </c>
      <c r="C5733" s="113">
        <v>7990884</v>
      </c>
      <c r="D5733" s="113" t="s">
        <v>7139</v>
      </c>
      <c r="E5733" s="113" t="s">
        <v>1620</v>
      </c>
      <c r="F5733" s="113" t="s">
        <v>7139</v>
      </c>
      <c r="G5733" s="113" t="s">
        <v>7145</v>
      </c>
      <c r="H5733" s="161">
        <v>0</v>
      </c>
      <c r="I5733" s="161" t="s">
        <v>7146</v>
      </c>
    </row>
    <row r="5734" spans="1:9">
      <c r="A5734" s="113">
        <v>100791841</v>
      </c>
      <c r="B5734" s="113" t="s">
        <v>7116</v>
      </c>
      <c r="C5734" s="113">
        <v>7990887</v>
      </c>
      <c r="D5734" s="113" t="s">
        <v>7139</v>
      </c>
      <c r="E5734" s="113" t="s">
        <v>1620</v>
      </c>
      <c r="F5734" s="113" t="s">
        <v>7139</v>
      </c>
      <c r="G5734" s="113" t="s">
        <v>7145</v>
      </c>
      <c r="H5734" s="161">
        <v>0</v>
      </c>
      <c r="I5734" s="161" t="s">
        <v>7146</v>
      </c>
    </row>
    <row r="5735" spans="1:9">
      <c r="A5735" s="113">
        <v>100791842</v>
      </c>
      <c r="B5735" s="113" t="s">
        <v>7116</v>
      </c>
      <c r="C5735" s="113">
        <v>7990888</v>
      </c>
      <c r="D5735" s="113" t="s">
        <v>7139</v>
      </c>
      <c r="E5735" s="113" t="s">
        <v>1620</v>
      </c>
      <c r="F5735" s="113" t="s">
        <v>7139</v>
      </c>
      <c r="G5735" s="113" t="s">
        <v>7145</v>
      </c>
      <c r="H5735" s="161">
        <v>0</v>
      </c>
      <c r="I5735" s="161" t="s">
        <v>7146</v>
      </c>
    </row>
    <row r="5736" spans="1:9">
      <c r="A5736" s="113">
        <v>100791843</v>
      </c>
      <c r="B5736" s="113" t="s">
        <v>7116</v>
      </c>
      <c r="C5736" s="113">
        <v>7990889</v>
      </c>
      <c r="D5736" s="113" t="s">
        <v>7139</v>
      </c>
      <c r="E5736" s="113" t="s">
        <v>1620</v>
      </c>
      <c r="F5736" s="113" t="s">
        <v>7139</v>
      </c>
      <c r="G5736" s="113" t="s">
        <v>7145</v>
      </c>
      <c r="H5736" s="161">
        <v>0</v>
      </c>
      <c r="I5736" s="161" t="s">
        <v>7146</v>
      </c>
    </row>
    <row r="5737" spans="1:9">
      <c r="A5737" s="113">
        <v>100791844</v>
      </c>
      <c r="B5737" s="113" t="s">
        <v>7116</v>
      </c>
      <c r="C5737" s="113">
        <v>7990890</v>
      </c>
      <c r="D5737" s="113" t="s">
        <v>7139</v>
      </c>
      <c r="E5737" s="113" t="s">
        <v>1620</v>
      </c>
      <c r="F5737" s="113" t="s">
        <v>7139</v>
      </c>
      <c r="G5737" s="113" t="s">
        <v>7145</v>
      </c>
      <c r="H5737" s="161">
        <v>0</v>
      </c>
      <c r="I5737" s="161" t="s">
        <v>7146</v>
      </c>
    </row>
    <row r="5738" spans="1:9">
      <c r="A5738" s="113">
        <v>100791845</v>
      </c>
      <c r="B5738" s="113" t="s">
        <v>7116</v>
      </c>
      <c r="C5738" s="113">
        <v>7990891</v>
      </c>
      <c r="D5738" s="113" t="s">
        <v>7139</v>
      </c>
      <c r="E5738" s="113" t="s">
        <v>1620</v>
      </c>
      <c r="F5738" s="113" t="s">
        <v>7139</v>
      </c>
      <c r="G5738" s="113" t="s">
        <v>7145</v>
      </c>
      <c r="H5738" s="161">
        <v>0</v>
      </c>
      <c r="I5738" s="161" t="s">
        <v>7146</v>
      </c>
    </row>
    <row r="5739" spans="1:9">
      <c r="A5739" s="113">
        <v>100791846</v>
      </c>
      <c r="B5739" s="113" t="s">
        <v>7116</v>
      </c>
      <c r="C5739" s="113">
        <v>7990892</v>
      </c>
      <c r="D5739" s="113" t="s">
        <v>7139</v>
      </c>
      <c r="E5739" s="113" t="s">
        <v>1620</v>
      </c>
      <c r="F5739" s="113" t="s">
        <v>7139</v>
      </c>
      <c r="G5739" s="113" t="s">
        <v>7145</v>
      </c>
      <c r="H5739" s="161">
        <v>0</v>
      </c>
      <c r="I5739" s="161" t="s">
        <v>7146</v>
      </c>
    </row>
    <row r="5740" spans="1:9">
      <c r="A5740" s="113">
        <v>100791847</v>
      </c>
      <c r="B5740" s="113" t="s">
        <v>7116</v>
      </c>
      <c r="C5740" s="113">
        <v>7990893</v>
      </c>
      <c r="D5740" s="113" t="s">
        <v>7139</v>
      </c>
      <c r="E5740" s="113" t="s">
        <v>1620</v>
      </c>
      <c r="F5740" s="113" t="s">
        <v>7139</v>
      </c>
      <c r="G5740" s="113" t="s">
        <v>7145</v>
      </c>
      <c r="H5740" s="161">
        <v>0</v>
      </c>
      <c r="I5740" s="161" t="s">
        <v>7146</v>
      </c>
    </row>
    <row r="5741" spans="1:9">
      <c r="A5741" s="113">
        <v>100791848</v>
      </c>
      <c r="B5741" s="113" t="s">
        <v>7116</v>
      </c>
      <c r="C5741" s="113">
        <v>7990894</v>
      </c>
      <c r="D5741" s="113" t="s">
        <v>7139</v>
      </c>
      <c r="E5741" s="113" t="s">
        <v>1620</v>
      </c>
      <c r="F5741" s="113" t="s">
        <v>7139</v>
      </c>
      <c r="G5741" s="113" t="s">
        <v>7145</v>
      </c>
      <c r="H5741" s="161">
        <v>0</v>
      </c>
      <c r="I5741" s="161" t="s">
        <v>7146</v>
      </c>
    </row>
    <row r="5742" spans="1:9">
      <c r="A5742" s="113">
        <v>100791849</v>
      </c>
      <c r="B5742" s="113" t="s">
        <v>7116</v>
      </c>
      <c r="C5742" s="113">
        <v>7990895</v>
      </c>
      <c r="D5742" s="113" t="s">
        <v>7139</v>
      </c>
      <c r="E5742" s="113" t="s">
        <v>1620</v>
      </c>
      <c r="F5742" s="113" t="s">
        <v>7139</v>
      </c>
      <c r="G5742" s="113" t="s">
        <v>7145</v>
      </c>
      <c r="H5742" s="161">
        <v>0</v>
      </c>
      <c r="I5742" s="161" t="s">
        <v>7146</v>
      </c>
    </row>
    <row r="5743" spans="1:9">
      <c r="A5743" s="113">
        <v>100791850</v>
      </c>
      <c r="B5743" s="113" t="s">
        <v>7116</v>
      </c>
      <c r="C5743" s="113">
        <v>7990896</v>
      </c>
      <c r="D5743" s="113" t="s">
        <v>7139</v>
      </c>
      <c r="E5743" s="113" t="s">
        <v>1620</v>
      </c>
      <c r="F5743" s="113" t="s">
        <v>7139</v>
      </c>
      <c r="G5743" s="113" t="s">
        <v>7145</v>
      </c>
      <c r="H5743" s="161">
        <v>0</v>
      </c>
      <c r="I5743" s="161" t="s">
        <v>7146</v>
      </c>
    </row>
    <row r="5744" spans="1:9">
      <c r="A5744" s="113">
        <v>100791851</v>
      </c>
      <c r="B5744" s="113" t="s">
        <v>7116</v>
      </c>
      <c r="C5744" s="113">
        <v>7990897</v>
      </c>
      <c r="D5744" s="113" t="s">
        <v>7139</v>
      </c>
      <c r="E5744" s="113" t="s">
        <v>1620</v>
      </c>
      <c r="F5744" s="113" t="s">
        <v>7139</v>
      </c>
      <c r="G5744" s="113" t="s">
        <v>7145</v>
      </c>
      <c r="H5744" s="161">
        <v>0</v>
      </c>
      <c r="I5744" s="161" t="s">
        <v>7146</v>
      </c>
    </row>
    <row r="5745" spans="1:9">
      <c r="A5745" s="113">
        <v>100791852</v>
      </c>
      <c r="B5745" s="113" t="s">
        <v>7116</v>
      </c>
      <c r="C5745" s="113">
        <v>7990898</v>
      </c>
      <c r="D5745" s="113" t="s">
        <v>7139</v>
      </c>
      <c r="E5745" s="113" t="s">
        <v>1620</v>
      </c>
      <c r="F5745" s="113" t="s">
        <v>7139</v>
      </c>
      <c r="G5745" s="113" t="s">
        <v>7145</v>
      </c>
      <c r="H5745" s="161">
        <v>0</v>
      </c>
      <c r="I5745" s="161" t="s">
        <v>7146</v>
      </c>
    </row>
    <row r="5746" spans="1:9">
      <c r="A5746" s="113">
        <v>100791853</v>
      </c>
      <c r="B5746" s="113" t="s">
        <v>7116</v>
      </c>
      <c r="C5746" s="113">
        <v>7990899</v>
      </c>
      <c r="D5746" s="113" t="s">
        <v>7139</v>
      </c>
      <c r="E5746" s="113" t="s">
        <v>1620</v>
      </c>
      <c r="F5746" s="113" t="s">
        <v>7139</v>
      </c>
      <c r="G5746" s="113" t="s">
        <v>7145</v>
      </c>
      <c r="H5746" s="161">
        <v>0</v>
      </c>
      <c r="I5746" s="161" t="s">
        <v>7146</v>
      </c>
    </row>
    <row r="5747" spans="1:9">
      <c r="A5747" s="113">
        <v>100791854</v>
      </c>
      <c r="B5747" s="113" t="s">
        <v>7116</v>
      </c>
      <c r="C5747" s="113">
        <v>7990900</v>
      </c>
      <c r="D5747" s="113" t="s">
        <v>7139</v>
      </c>
      <c r="E5747" s="113" t="s">
        <v>1620</v>
      </c>
      <c r="F5747" s="113" t="s">
        <v>7139</v>
      </c>
      <c r="G5747" s="113" t="s">
        <v>7145</v>
      </c>
      <c r="H5747" s="161">
        <v>0</v>
      </c>
      <c r="I5747" s="161" t="s">
        <v>7146</v>
      </c>
    </row>
    <row r="5748" spans="1:9">
      <c r="A5748" s="113">
        <v>100791855</v>
      </c>
      <c r="B5748" s="113" t="s">
        <v>7116</v>
      </c>
      <c r="C5748" s="113">
        <v>7990901</v>
      </c>
      <c r="D5748" s="113" t="s">
        <v>7139</v>
      </c>
      <c r="E5748" s="113" t="s">
        <v>1620</v>
      </c>
      <c r="F5748" s="113" t="s">
        <v>7139</v>
      </c>
      <c r="G5748" s="113" t="s">
        <v>7145</v>
      </c>
      <c r="H5748" s="161">
        <v>0</v>
      </c>
      <c r="I5748" s="161" t="s">
        <v>7146</v>
      </c>
    </row>
    <row r="5749" spans="1:9">
      <c r="A5749" s="113">
        <v>100791856</v>
      </c>
      <c r="B5749" s="113" t="s">
        <v>7116</v>
      </c>
      <c r="C5749" s="113">
        <v>7990902</v>
      </c>
      <c r="D5749" s="113" t="s">
        <v>7139</v>
      </c>
      <c r="E5749" s="113" t="s">
        <v>1620</v>
      </c>
      <c r="F5749" s="113" t="s">
        <v>7139</v>
      </c>
      <c r="G5749" s="113" t="s">
        <v>7145</v>
      </c>
      <c r="H5749" s="161">
        <v>0</v>
      </c>
      <c r="I5749" s="161" t="s">
        <v>7146</v>
      </c>
    </row>
    <row r="5750" spans="1:9">
      <c r="A5750" s="113">
        <v>100791857</v>
      </c>
      <c r="B5750" s="113" t="s">
        <v>7116</v>
      </c>
      <c r="C5750" s="113">
        <v>7990903</v>
      </c>
      <c r="D5750" s="113" t="s">
        <v>7139</v>
      </c>
      <c r="E5750" s="113" t="s">
        <v>1620</v>
      </c>
      <c r="F5750" s="113" t="s">
        <v>7139</v>
      </c>
      <c r="G5750" s="113" t="s">
        <v>7145</v>
      </c>
      <c r="H5750" s="161">
        <v>0</v>
      </c>
      <c r="I5750" s="161" t="s">
        <v>7146</v>
      </c>
    </row>
    <row r="5751" spans="1:9">
      <c r="A5751" s="113">
        <v>100791858</v>
      </c>
      <c r="B5751" s="113" t="s">
        <v>7116</v>
      </c>
      <c r="C5751" s="113">
        <v>7990904</v>
      </c>
      <c r="D5751" s="113" t="s">
        <v>7139</v>
      </c>
      <c r="E5751" s="113" t="s">
        <v>1620</v>
      </c>
      <c r="F5751" s="113" t="s">
        <v>7139</v>
      </c>
      <c r="G5751" s="113" t="s">
        <v>7145</v>
      </c>
      <c r="H5751" s="161">
        <v>0</v>
      </c>
      <c r="I5751" s="161" t="s">
        <v>7146</v>
      </c>
    </row>
    <row r="5752" spans="1:9">
      <c r="A5752" s="113">
        <v>100791859</v>
      </c>
      <c r="B5752" s="113" t="s">
        <v>7116</v>
      </c>
      <c r="C5752" s="113">
        <v>7990905</v>
      </c>
      <c r="D5752" s="113" t="s">
        <v>7139</v>
      </c>
      <c r="E5752" s="113" t="s">
        <v>1620</v>
      </c>
      <c r="F5752" s="113" t="s">
        <v>7139</v>
      </c>
      <c r="G5752" s="113" t="s">
        <v>7145</v>
      </c>
      <c r="H5752" s="161">
        <v>0</v>
      </c>
      <c r="I5752" s="161" t="s">
        <v>7146</v>
      </c>
    </row>
    <row r="5753" spans="1:9">
      <c r="A5753" s="113">
        <v>100791860</v>
      </c>
      <c r="B5753" s="113" t="s">
        <v>7116</v>
      </c>
      <c r="C5753" s="113">
        <v>7990906</v>
      </c>
      <c r="D5753" s="113" t="s">
        <v>7139</v>
      </c>
      <c r="E5753" s="113" t="s">
        <v>1620</v>
      </c>
      <c r="F5753" s="113" t="s">
        <v>7139</v>
      </c>
      <c r="G5753" s="113" t="s">
        <v>7145</v>
      </c>
      <c r="H5753" s="161">
        <v>0</v>
      </c>
      <c r="I5753" s="161" t="s">
        <v>7146</v>
      </c>
    </row>
    <row r="5754" spans="1:9">
      <c r="A5754" s="113">
        <v>100791861</v>
      </c>
      <c r="B5754" s="113" t="s">
        <v>7116</v>
      </c>
      <c r="C5754" s="113">
        <v>7990907</v>
      </c>
      <c r="D5754" s="113" t="s">
        <v>7139</v>
      </c>
      <c r="E5754" s="113" t="s">
        <v>1620</v>
      </c>
      <c r="F5754" s="113" t="s">
        <v>7139</v>
      </c>
      <c r="G5754" s="113" t="s">
        <v>7145</v>
      </c>
      <c r="H5754" s="161">
        <v>0</v>
      </c>
      <c r="I5754" s="161" t="s">
        <v>7146</v>
      </c>
    </row>
    <row r="5755" spans="1:9">
      <c r="A5755" s="113">
        <v>100791863</v>
      </c>
      <c r="B5755" s="113" t="s">
        <v>7116</v>
      </c>
      <c r="C5755" s="113">
        <v>7990917</v>
      </c>
      <c r="D5755" s="113" t="s">
        <v>7139</v>
      </c>
      <c r="E5755" s="113" t="s">
        <v>1620</v>
      </c>
      <c r="F5755" s="113" t="s">
        <v>7139</v>
      </c>
      <c r="G5755" s="113" t="s">
        <v>7145</v>
      </c>
      <c r="H5755" s="161">
        <v>0</v>
      </c>
      <c r="I5755" s="161" t="s">
        <v>7146</v>
      </c>
    </row>
    <row r="5756" spans="1:9">
      <c r="A5756" s="113">
        <v>100791864</v>
      </c>
      <c r="B5756" s="113" t="s">
        <v>7116</v>
      </c>
      <c r="C5756" s="113">
        <v>7990918</v>
      </c>
      <c r="D5756" s="113" t="s">
        <v>7139</v>
      </c>
      <c r="E5756" s="113" t="s">
        <v>1620</v>
      </c>
      <c r="F5756" s="113" t="s">
        <v>7139</v>
      </c>
      <c r="G5756" s="113" t="s">
        <v>7145</v>
      </c>
      <c r="H5756" s="161">
        <v>0</v>
      </c>
      <c r="I5756" s="161" t="s">
        <v>7146</v>
      </c>
    </row>
    <row r="5757" spans="1:9">
      <c r="A5757" s="113">
        <v>100791865</v>
      </c>
      <c r="B5757" s="113" t="s">
        <v>7116</v>
      </c>
      <c r="C5757" s="113">
        <v>7990932</v>
      </c>
      <c r="D5757" s="113" t="s">
        <v>7139</v>
      </c>
      <c r="E5757" s="113" t="s">
        <v>1620</v>
      </c>
      <c r="F5757" s="113" t="s">
        <v>7139</v>
      </c>
      <c r="G5757" s="113" t="s">
        <v>7145</v>
      </c>
      <c r="H5757" s="161">
        <v>0</v>
      </c>
      <c r="I5757" s="161" t="s">
        <v>7146</v>
      </c>
    </row>
    <row r="5758" spans="1:9">
      <c r="A5758" s="113">
        <v>100791866</v>
      </c>
      <c r="B5758" s="113" t="s">
        <v>7116</v>
      </c>
      <c r="C5758" s="113">
        <v>7990937</v>
      </c>
      <c r="D5758" s="113" t="s">
        <v>7139</v>
      </c>
      <c r="E5758" s="113" t="s">
        <v>1620</v>
      </c>
      <c r="F5758" s="113" t="s">
        <v>7139</v>
      </c>
      <c r="G5758" s="113" t="s">
        <v>7145</v>
      </c>
      <c r="H5758" s="161">
        <v>0</v>
      </c>
      <c r="I5758" s="161" t="s">
        <v>7146</v>
      </c>
    </row>
    <row r="5759" spans="1:9">
      <c r="A5759" s="113">
        <v>100791867</v>
      </c>
      <c r="B5759" s="113" t="s">
        <v>7116</v>
      </c>
      <c r="C5759" s="113">
        <v>7990938</v>
      </c>
      <c r="D5759" s="113" t="s">
        <v>7139</v>
      </c>
      <c r="E5759" s="113" t="s">
        <v>1620</v>
      </c>
      <c r="F5759" s="113" t="s">
        <v>7139</v>
      </c>
      <c r="G5759" s="113" t="s">
        <v>7145</v>
      </c>
      <c r="H5759" s="161">
        <v>0</v>
      </c>
      <c r="I5759" s="161" t="s">
        <v>7146</v>
      </c>
    </row>
    <row r="5760" spans="1:9">
      <c r="A5760" s="113">
        <v>100791868</v>
      </c>
      <c r="B5760" s="113" t="s">
        <v>7116</v>
      </c>
      <c r="C5760" s="113">
        <v>7990944</v>
      </c>
      <c r="D5760" s="113" t="s">
        <v>7139</v>
      </c>
      <c r="E5760" s="113" t="s">
        <v>1620</v>
      </c>
      <c r="F5760" s="113" t="s">
        <v>7139</v>
      </c>
      <c r="G5760" s="113" t="s">
        <v>7145</v>
      </c>
      <c r="H5760" s="161">
        <v>0</v>
      </c>
      <c r="I5760" s="161" t="s">
        <v>7146</v>
      </c>
    </row>
    <row r="5761" spans="1:9">
      <c r="A5761" s="113">
        <v>100791869</v>
      </c>
      <c r="B5761" s="113" t="s">
        <v>7116</v>
      </c>
      <c r="C5761" s="113">
        <v>7990947</v>
      </c>
      <c r="D5761" s="113" t="s">
        <v>7139</v>
      </c>
      <c r="E5761" s="113" t="s">
        <v>1620</v>
      </c>
      <c r="F5761" s="113" t="s">
        <v>7139</v>
      </c>
      <c r="G5761" s="113" t="s">
        <v>7145</v>
      </c>
      <c r="H5761" s="161">
        <v>0</v>
      </c>
      <c r="I5761" s="161" t="s">
        <v>7146</v>
      </c>
    </row>
    <row r="5762" spans="1:9">
      <c r="A5762" s="113">
        <v>100791870</v>
      </c>
      <c r="B5762" s="113" t="s">
        <v>7116</v>
      </c>
      <c r="C5762" s="113">
        <v>7990949</v>
      </c>
      <c r="D5762" s="113" t="s">
        <v>7139</v>
      </c>
      <c r="E5762" s="113" t="s">
        <v>1620</v>
      </c>
      <c r="F5762" s="113" t="s">
        <v>7139</v>
      </c>
      <c r="G5762" s="113" t="s">
        <v>7145</v>
      </c>
      <c r="H5762" s="161">
        <v>0</v>
      </c>
      <c r="I5762" s="161" t="s">
        <v>7146</v>
      </c>
    </row>
    <row r="5763" spans="1:9">
      <c r="A5763" s="113">
        <v>100791871</v>
      </c>
      <c r="B5763" s="113" t="s">
        <v>7116</v>
      </c>
      <c r="C5763" s="113">
        <v>7990955</v>
      </c>
      <c r="D5763" s="113" t="s">
        <v>7139</v>
      </c>
      <c r="E5763" s="113" t="s">
        <v>1620</v>
      </c>
      <c r="F5763" s="113" t="s">
        <v>7139</v>
      </c>
      <c r="G5763" s="113" t="s">
        <v>7145</v>
      </c>
      <c r="H5763" s="161">
        <v>0</v>
      </c>
      <c r="I5763" s="161" t="s">
        <v>7146</v>
      </c>
    </row>
    <row r="5764" spans="1:9">
      <c r="A5764" s="113">
        <v>100791872</v>
      </c>
      <c r="B5764" s="113" t="s">
        <v>7116</v>
      </c>
      <c r="C5764" s="113">
        <v>7990960</v>
      </c>
      <c r="D5764" s="113" t="s">
        <v>7139</v>
      </c>
      <c r="E5764" s="113" t="s">
        <v>1620</v>
      </c>
      <c r="F5764" s="113" t="s">
        <v>7139</v>
      </c>
      <c r="G5764" s="113" t="s">
        <v>7145</v>
      </c>
      <c r="H5764" s="161">
        <v>0</v>
      </c>
      <c r="I5764" s="161" t="s">
        <v>7146</v>
      </c>
    </row>
    <row r="5765" spans="1:9">
      <c r="A5765" s="113">
        <v>100791873</v>
      </c>
      <c r="B5765" s="113" t="s">
        <v>7116</v>
      </c>
      <c r="C5765" s="113">
        <v>7990961</v>
      </c>
      <c r="D5765" s="113" t="s">
        <v>7139</v>
      </c>
      <c r="E5765" s="113" t="s">
        <v>1620</v>
      </c>
      <c r="F5765" s="113" t="s">
        <v>7139</v>
      </c>
      <c r="G5765" s="113" t="s">
        <v>7145</v>
      </c>
      <c r="H5765" s="161">
        <v>0</v>
      </c>
      <c r="I5765" s="161" t="s">
        <v>7146</v>
      </c>
    </row>
    <row r="5766" spans="1:9">
      <c r="A5766" s="113">
        <v>100791874</v>
      </c>
      <c r="B5766" s="113" t="s">
        <v>7116</v>
      </c>
      <c r="C5766" s="113">
        <v>7990962</v>
      </c>
      <c r="D5766" s="113" t="s">
        <v>7139</v>
      </c>
      <c r="E5766" s="113" t="s">
        <v>1620</v>
      </c>
      <c r="F5766" s="113" t="s">
        <v>7139</v>
      </c>
      <c r="G5766" s="113" t="s">
        <v>7145</v>
      </c>
      <c r="H5766" s="161">
        <v>0</v>
      </c>
      <c r="I5766" s="161" t="s">
        <v>7146</v>
      </c>
    </row>
    <row r="5767" spans="1:9">
      <c r="A5767" s="113">
        <v>100791875</v>
      </c>
      <c r="B5767" s="113" t="s">
        <v>7116</v>
      </c>
      <c r="C5767" s="113">
        <v>7990971</v>
      </c>
      <c r="D5767" s="113" t="s">
        <v>7139</v>
      </c>
      <c r="E5767" s="113" t="s">
        <v>1620</v>
      </c>
      <c r="F5767" s="113" t="s">
        <v>7139</v>
      </c>
      <c r="G5767" s="113" t="s">
        <v>7145</v>
      </c>
      <c r="H5767" s="161">
        <v>0</v>
      </c>
      <c r="I5767" s="161" t="s">
        <v>7146</v>
      </c>
    </row>
    <row r="5768" spans="1:9">
      <c r="A5768" s="113">
        <v>100791876</v>
      </c>
      <c r="B5768" s="113" t="s">
        <v>7116</v>
      </c>
      <c r="C5768" s="113">
        <v>7990975</v>
      </c>
      <c r="D5768" s="113" t="s">
        <v>7139</v>
      </c>
      <c r="E5768" s="113" t="s">
        <v>1620</v>
      </c>
      <c r="F5768" s="113" t="s">
        <v>7139</v>
      </c>
      <c r="G5768" s="113" t="s">
        <v>7145</v>
      </c>
      <c r="H5768" s="161">
        <v>0</v>
      </c>
      <c r="I5768" s="161" t="s">
        <v>7146</v>
      </c>
    </row>
    <row r="5769" spans="1:9">
      <c r="A5769" s="113">
        <v>100791877</v>
      </c>
      <c r="B5769" s="113" t="s">
        <v>7116</v>
      </c>
      <c r="C5769" s="113">
        <v>7990976</v>
      </c>
      <c r="D5769" s="113" t="s">
        <v>7139</v>
      </c>
      <c r="E5769" s="113" t="s">
        <v>1620</v>
      </c>
      <c r="F5769" s="113" t="s">
        <v>7139</v>
      </c>
      <c r="G5769" s="113" t="s">
        <v>7145</v>
      </c>
      <c r="H5769" s="161">
        <v>0</v>
      </c>
      <c r="I5769" s="161" t="s">
        <v>7146</v>
      </c>
    </row>
    <row r="5770" spans="1:9">
      <c r="A5770" s="113">
        <v>100791878</v>
      </c>
      <c r="B5770" s="113" t="s">
        <v>7116</v>
      </c>
      <c r="C5770" s="113">
        <v>7990977</v>
      </c>
      <c r="D5770" s="113" t="s">
        <v>7139</v>
      </c>
      <c r="E5770" s="113" t="s">
        <v>1620</v>
      </c>
      <c r="F5770" s="113" t="s">
        <v>7139</v>
      </c>
      <c r="G5770" s="113" t="s">
        <v>7145</v>
      </c>
      <c r="H5770" s="161">
        <v>0</v>
      </c>
      <c r="I5770" s="161" t="s">
        <v>7146</v>
      </c>
    </row>
    <row r="5771" spans="1:9">
      <c r="A5771" s="113">
        <v>100791879</v>
      </c>
      <c r="B5771" s="113" t="s">
        <v>7116</v>
      </c>
      <c r="C5771" s="113">
        <v>7990978</v>
      </c>
      <c r="D5771" s="113" t="s">
        <v>7139</v>
      </c>
      <c r="E5771" s="113" t="s">
        <v>1620</v>
      </c>
      <c r="F5771" s="113" t="s">
        <v>7139</v>
      </c>
      <c r="G5771" s="113" t="s">
        <v>7145</v>
      </c>
      <c r="H5771" s="161">
        <v>0</v>
      </c>
      <c r="I5771" s="161" t="s">
        <v>7146</v>
      </c>
    </row>
    <row r="5772" spans="1:9">
      <c r="A5772" s="113">
        <v>100791880</v>
      </c>
      <c r="B5772" s="113" t="s">
        <v>7116</v>
      </c>
      <c r="C5772" s="113">
        <v>7990979</v>
      </c>
      <c r="D5772" s="113" t="s">
        <v>7139</v>
      </c>
      <c r="E5772" s="113" t="s">
        <v>1620</v>
      </c>
      <c r="F5772" s="113" t="s">
        <v>7139</v>
      </c>
      <c r="G5772" s="113" t="s">
        <v>7145</v>
      </c>
      <c r="H5772" s="161">
        <v>0</v>
      </c>
      <c r="I5772" s="161" t="s">
        <v>7146</v>
      </c>
    </row>
    <row r="5773" spans="1:9">
      <c r="A5773" s="113">
        <v>100791881</v>
      </c>
      <c r="B5773" s="113" t="s">
        <v>7116</v>
      </c>
      <c r="C5773" s="113">
        <v>7990984</v>
      </c>
      <c r="D5773" s="113" t="s">
        <v>7139</v>
      </c>
      <c r="E5773" s="113" t="s">
        <v>1620</v>
      </c>
      <c r="F5773" s="113" t="s">
        <v>7139</v>
      </c>
      <c r="G5773" s="113" t="s">
        <v>7145</v>
      </c>
      <c r="H5773" s="161">
        <v>0</v>
      </c>
      <c r="I5773" s="161" t="s">
        <v>7146</v>
      </c>
    </row>
    <row r="5774" spans="1:9">
      <c r="A5774" s="113">
        <v>100791882</v>
      </c>
      <c r="B5774" s="113" t="s">
        <v>7116</v>
      </c>
      <c r="C5774" s="113">
        <v>7990986</v>
      </c>
      <c r="D5774" s="113" t="s">
        <v>7139</v>
      </c>
      <c r="E5774" s="113" t="s">
        <v>1620</v>
      </c>
      <c r="F5774" s="113" t="s">
        <v>7139</v>
      </c>
      <c r="G5774" s="113" t="s">
        <v>7145</v>
      </c>
      <c r="H5774" s="161">
        <v>0</v>
      </c>
      <c r="I5774" s="161" t="s">
        <v>7146</v>
      </c>
    </row>
    <row r="5775" spans="1:9">
      <c r="A5775" s="113">
        <v>100791883</v>
      </c>
      <c r="B5775" s="113" t="s">
        <v>7116</v>
      </c>
      <c r="C5775" s="113">
        <v>7990987</v>
      </c>
      <c r="D5775" s="113" t="s">
        <v>7139</v>
      </c>
      <c r="E5775" s="113" t="s">
        <v>1620</v>
      </c>
      <c r="F5775" s="113" t="s">
        <v>7139</v>
      </c>
      <c r="G5775" s="113" t="s">
        <v>7145</v>
      </c>
      <c r="H5775" s="161">
        <v>0</v>
      </c>
      <c r="I5775" s="161" t="s">
        <v>7146</v>
      </c>
    </row>
    <row r="5776" spans="1:9">
      <c r="A5776" s="113">
        <v>100791884</v>
      </c>
      <c r="B5776" s="113" t="s">
        <v>7116</v>
      </c>
      <c r="C5776" s="113">
        <v>7990995</v>
      </c>
      <c r="D5776" s="113" t="s">
        <v>7139</v>
      </c>
      <c r="E5776" s="113" t="s">
        <v>1620</v>
      </c>
      <c r="F5776" s="113" t="s">
        <v>7139</v>
      </c>
      <c r="G5776" s="113" t="s">
        <v>7145</v>
      </c>
      <c r="H5776" s="161">
        <v>0</v>
      </c>
      <c r="I5776" s="161" t="s">
        <v>7146</v>
      </c>
    </row>
    <row r="5777" spans="1:9">
      <c r="A5777" s="113">
        <v>100791885</v>
      </c>
      <c r="B5777" s="113" t="s">
        <v>7116</v>
      </c>
      <c r="C5777" s="113">
        <v>7990996</v>
      </c>
      <c r="D5777" s="113" t="s">
        <v>7139</v>
      </c>
      <c r="E5777" s="113" t="s">
        <v>1620</v>
      </c>
      <c r="F5777" s="113" t="s">
        <v>7139</v>
      </c>
      <c r="G5777" s="113" t="s">
        <v>7145</v>
      </c>
      <c r="H5777" s="161">
        <v>0</v>
      </c>
      <c r="I5777" s="161" t="s">
        <v>7146</v>
      </c>
    </row>
    <row r="5778" spans="1:9">
      <c r="A5778" s="113">
        <v>100791886</v>
      </c>
      <c r="B5778" s="113" t="s">
        <v>7116</v>
      </c>
      <c r="C5778" s="113">
        <v>7990999</v>
      </c>
      <c r="D5778" s="113" t="s">
        <v>7139</v>
      </c>
      <c r="E5778" s="113" t="s">
        <v>1620</v>
      </c>
      <c r="F5778" s="113" t="s">
        <v>7139</v>
      </c>
      <c r="G5778" s="113" t="s">
        <v>7145</v>
      </c>
      <c r="H5778" s="161">
        <v>0</v>
      </c>
      <c r="I5778" s="161" t="s">
        <v>7146</v>
      </c>
    </row>
    <row r="5779" spans="1:9">
      <c r="A5779" s="113">
        <v>100791887</v>
      </c>
      <c r="B5779" s="113" t="s">
        <v>7116</v>
      </c>
      <c r="C5779" s="113">
        <v>7991000</v>
      </c>
      <c r="D5779" s="113" t="s">
        <v>7139</v>
      </c>
      <c r="E5779" s="113" t="s">
        <v>1620</v>
      </c>
      <c r="F5779" s="113" t="s">
        <v>7139</v>
      </c>
      <c r="G5779" s="113" t="s">
        <v>7145</v>
      </c>
      <c r="H5779" s="161">
        <v>0</v>
      </c>
      <c r="I5779" s="161" t="s">
        <v>7146</v>
      </c>
    </row>
    <row r="5780" spans="1:9">
      <c r="A5780" s="113">
        <v>100791888</v>
      </c>
      <c r="B5780" s="113" t="s">
        <v>7116</v>
      </c>
      <c r="C5780" s="113">
        <v>7991001</v>
      </c>
      <c r="D5780" s="113" t="s">
        <v>7139</v>
      </c>
      <c r="E5780" s="113" t="s">
        <v>1620</v>
      </c>
      <c r="F5780" s="113" t="s">
        <v>7139</v>
      </c>
      <c r="G5780" s="113" t="s">
        <v>7145</v>
      </c>
      <c r="H5780" s="161">
        <v>0</v>
      </c>
      <c r="I5780" s="161" t="s">
        <v>7146</v>
      </c>
    </row>
    <row r="5781" spans="1:9">
      <c r="A5781" s="113">
        <v>100791889</v>
      </c>
      <c r="B5781" s="113" t="s">
        <v>7116</v>
      </c>
      <c r="C5781" s="113">
        <v>7991006</v>
      </c>
      <c r="D5781" s="113" t="s">
        <v>7139</v>
      </c>
      <c r="E5781" s="113" t="s">
        <v>1620</v>
      </c>
      <c r="F5781" s="113" t="s">
        <v>7139</v>
      </c>
      <c r="G5781" s="113" t="s">
        <v>7145</v>
      </c>
      <c r="H5781" s="161">
        <v>0</v>
      </c>
      <c r="I5781" s="161" t="s">
        <v>7146</v>
      </c>
    </row>
    <row r="5782" spans="1:9">
      <c r="A5782" s="113">
        <v>100791890</v>
      </c>
      <c r="B5782" s="113" t="s">
        <v>7116</v>
      </c>
      <c r="C5782" s="113">
        <v>7991007</v>
      </c>
      <c r="D5782" s="113" t="s">
        <v>7139</v>
      </c>
      <c r="E5782" s="113" t="s">
        <v>1620</v>
      </c>
      <c r="F5782" s="113" t="s">
        <v>7139</v>
      </c>
      <c r="G5782" s="113" t="s">
        <v>7145</v>
      </c>
      <c r="H5782" s="161">
        <v>0</v>
      </c>
      <c r="I5782" s="161" t="s">
        <v>7146</v>
      </c>
    </row>
    <row r="5783" spans="1:9">
      <c r="A5783" s="113">
        <v>100791891</v>
      </c>
      <c r="B5783" s="113" t="s">
        <v>7116</v>
      </c>
      <c r="C5783" s="113">
        <v>7991008</v>
      </c>
      <c r="D5783" s="113" t="s">
        <v>7139</v>
      </c>
      <c r="E5783" s="113" t="s">
        <v>1620</v>
      </c>
      <c r="F5783" s="113" t="s">
        <v>7139</v>
      </c>
      <c r="G5783" s="113" t="s">
        <v>7145</v>
      </c>
      <c r="H5783" s="161">
        <v>0</v>
      </c>
      <c r="I5783" s="161" t="s">
        <v>7146</v>
      </c>
    </row>
    <row r="5784" spans="1:9">
      <c r="A5784" s="113">
        <v>100791892</v>
      </c>
      <c r="B5784" s="113" t="s">
        <v>7116</v>
      </c>
      <c r="C5784" s="113">
        <v>7991009</v>
      </c>
      <c r="D5784" s="113" t="s">
        <v>7139</v>
      </c>
      <c r="E5784" s="113" t="s">
        <v>1620</v>
      </c>
      <c r="F5784" s="113" t="s">
        <v>7139</v>
      </c>
      <c r="G5784" s="113" t="s">
        <v>7145</v>
      </c>
      <c r="H5784" s="161">
        <v>0</v>
      </c>
      <c r="I5784" s="161" t="s">
        <v>7146</v>
      </c>
    </row>
    <row r="5785" spans="1:9">
      <c r="A5785" s="113">
        <v>100791893</v>
      </c>
      <c r="B5785" s="113" t="s">
        <v>7116</v>
      </c>
      <c r="C5785" s="113">
        <v>7991010</v>
      </c>
      <c r="D5785" s="113" t="s">
        <v>7139</v>
      </c>
      <c r="E5785" s="113" t="s">
        <v>1620</v>
      </c>
      <c r="F5785" s="113" t="s">
        <v>7139</v>
      </c>
      <c r="G5785" s="113" t="s">
        <v>7145</v>
      </c>
      <c r="H5785" s="161">
        <v>0</v>
      </c>
      <c r="I5785" s="161" t="s">
        <v>7146</v>
      </c>
    </row>
    <row r="5786" spans="1:9">
      <c r="A5786" s="113">
        <v>100791894</v>
      </c>
      <c r="B5786" s="113" t="s">
        <v>7116</v>
      </c>
      <c r="C5786" s="113">
        <v>7991017</v>
      </c>
      <c r="D5786" s="113" t="s">
        <v>7139</v>
      </c>
      <c r="E5786" s="113" t="s">
        <v>1620</v>
      </c>
      <c r="F5786" s="113" t="s">
        <v>7139</v>
      </c>
      <c r="G5786" s="113" t="s">
        <v>7145</v>
      </c>
      <c r="H5786" s="161">
        <v>0</v>
      </c>
      <c r="I5786" s="161" t="s">
        <v>7146</v>
      </c>
    </row>
    <row r="5787" spans="1:9">
      <c r="A5787" s="113">
        <v>100791895</v>
      </c>
      <c r="B5787" s="113" t="s">
        <v>7116</v>
      </c>
      <c r="C5787" s="113">
        <v>7991018</v>
      </c>
      <c r="D5787" s="113" t="s">
        <v>7139</v>
      </c>
      <c r="E5787" s="113" t="s">
        <v>1620</v>
      </c>
      <c r="F5787" s="113" t="s">
        <v>7139</v>
      </c>
      <c r="G5787" s="113" t="s">
        <v>7145</v>
      </c>
      <c r="H5787" s="161">
        <v>0</v>
      </c>
      <c r="I5787" s="161" t="s">
        <v>7146</v>
      </c>
    </row>
    <row r="5788" spans="1:9">
      <c r="A5788" s="113">
        <v>100791896</v>
      </c>
      <c r="B5788" s="113" t="s">
        <v>7116</v>
      </c>
      <c r="C5788" s="113">
        <v>7991019</v>
      </c>
      <c r="D5788" s="113" t="s">
        <v>7139</v>
      </c>
      <c r="E5788" s="113" t="s">
        <v>1620</v>
      </c>
      <c r="F5788" s="113" t="s">
        <v>7139</v>
      </c>
      <c r="G5788" s="113" t="s">
        <v>7145</v>
      </c>
      <c r="H5788" s="161">
        <v>0</v>
      </c>
      <c r="I5788" s="161" t="s">
        <v>7146</v>
      </c>
    </row>
    <row r="5789" spans="1:9">
      <c r="A5789" s="113">
        <v>100791897</v>
      </c>
      <c r="B5789" s="113" t="s">
        <v>7116</v>
      </c>
      <c r="C5789" s="113">
        <v>7991020</v>
      </c>
      <c r="D5789" s="113" t="s">
        <v>7139</v>
      </c>
      <c r="E5789" s="113" t="s">
        <v>1620</v>
      </c>
      <c r="F5789" s="113" t="s">
        <v>7139</v>
      </c>
      <c r="G5789" s="113" t="s">
        <v>7145</v>
      </c>
      <c r="H5789" s="161">
        <v>0</v>
      </c>
      <c r="I5789" s="161" t="s">
        <v>7146</v>
      </c>
    </row>
    <row r="5790" spans="1:9">
      <c r="A5790" s="113">
        <v>100791898</v>
      </c>
      <c r="B5790" s="113" t="s">
        <v>7116</v>
      </c>
      <c r="C5790" s="113">
        <v>7991021</v>
      </c>
      <c r="D5790" s="113" t="s">
        <v>7139</v>
      </c>
      <c r="E5790" s="113" t="s">
        <v>1620</v>
      </c>
      <c r="F5790" s="113" t="s">
        <v>7139</v>
      </c>
      <c r="G5790" s="113" t="s">
        <v>7145</v>
      </c>
      <c r="H5790" s="161">
        <v>0</v>
      </c>
      <c r="I5790" s="161" t="s">
        <v>7146</v>
      </c>
    </row>
    <row r="5791" spans="1:9">
      <c r="A5791" s="113">
        <v>100791899</v>
      </c>
      <c r="B5791" s="113" t="s">
        <v>7116</v>
      </c>
      <c r="C5791" s="113">
        <v>7991022</v>
      </c>
      <c r="D5791" s="113" t="s">
        <v>7139</v>
      </c>
      <c r="E5791" s="113" t="s">
        <v>1620</v>
      </c>
      <c r="F5791" s="113" t="s">
        <v>7139</v>
      </c>
      <c r="G5791" s="113" t="s">
        <v>7145</v>
      </c>
      <c r="H5791" s="161">
        <v>0</v>
      </c>
      <c r="I5791" s="161" t="s">
        <v>7146</v>
      </c>
    </row>
    <row r="5792" spans="1:9">
      <c r="A5792" s="113">
        <v>100791900</v>
      </c>
      <c r="B5792" s="113" t="s">
        <v>7116</v>
      </c>
      <c r="C5792" s="113">
        <v>7991024</v>
      </c>
      <c r="D5792" s="113" t="s">
        <v>7139</v>
      </c>
      <c r="E5792" s="113" t="s">
        <v>1620</v>
      </c>
      <c r="F5792" s="113" t="s">
        <v>7139</v>
      </c>
      <c r="G5792" s="113" t="s">
        <v>7145</v>
      </c>
      <c r="H5792" s="161">
        <v>0</v>
      </c>
      <c r="I5792" s="161" t="s">
        <v>7146</v>
      </c>
    </row>
    <row r="5793" spans="1:9">
      <c r="A5793" s="113">
        <v>100791901</v>
      </c>
      <c r="B5793" s="113" t="s">
        <v>7116</v>
      </c>
      <c r="C5793" s="113">
        <v>7991025</v>
      </c>
      <c r="D5793" s="113" t="s">
        <v>7139</v>
      </c>
      <c r="E5793" s="113" t="s">
        <v>1620</v>
      </c>
      <c r="F5793" s="113" t="s">
        <v>7139</v>
      </c>
      <c r="G5793" s="113" t="s">
        <v>7145</v>
      </c>
      <c r="H5793" s="161">
        <v>0</v>
      </c>
      <c r="I5793" s="161" t="s">
        <v>7146</v>
      </c>
    </row>
    <row r="5794" spans="1:9">
      <c r="A5794" s="113">
        <v>100791902</v>
      </c>
      <c r="B5794" s="113" t="s">
        <v>7116</v>
      </c>
      <c r="C5794" s="113">
        <v>7991026</v>
      </c>
      <c r="D5794" s="113" t="s">
        <v>7139</v>
      </c>
      <c r="E5794" s="113" t="s">
        <v>1620</v>
      </c>
      <c r="F5794" s="113" t="s">
        <v>7139</v>
      </c>
      <c r="G5794" s="113" t="s">
        <v>7145</v>
      </c>
      <c r="H5794" s="161">
        <v>0</v>
      </c>
      <c r="I5794" s="161" t="s">
        <v>7146</v>
      </c>
    </row>
    <row r="5795" spans="1:9">
      <c r="A5795" s="113">
        <v>100791903</v>
      </c>
      <c r="B5795" s="113" t="s">
        <v>7116</v>
      </c>
      <c r="C5795" s="113">
        <v>7991029</v>
      </c>
      <c r="D5795" s="113" t="s">
        <v>7139</v>
      </c>
      <c r="E5795" s="113" t="s">
        <v>1620</v>
      </c>
      <c r="F5795" s="113" t="s">
        <v>7139</v>
      </c>
      <c r="G5795" s="113" t="s">
        <v>7145</v>
      </c>
      <c r="H5795" s="161">
        <v>0</v>
      </c>
      <c r="I5795" s="161" t="s">
        <v>7146</v>
      </c>
    </row>
    <row r="5796" spans="1:9">
      <c r="A5796" s="113">
        <v>100791904</v>
      </c>
      <c r="B5796" s="113" t="s">
        <v>7116</v>
      </c>
      <c r="C5796" s="113">
        <v>7991033</v>
      </c>
      <c r="D5796" s="113" t="s">
        <v>7139</v>
      </c>
      <c r="E5796" s="113" t="s">
        <v>1620</v>
      </c>
      <c r="F5796" s="113" t="s">
        <v>7139</v>
      </c>
      <c r="G5796" s="113" t="s">
        <v>7145</v>
      </c>
      <c r="H5796" s="161">
        <v>0</v>
      </c>
      <c r="I5796" s="161" t="s">
        <v>7146</v>
      </c>
    </row>
    <row r="5797" spans="1:9">
      <c r="A5797" s="113">
        <v>100791905</v>
      </c>
      <c r="B5797" s="113" t="s">
        <v>7116</v>
      </c>
      <c r="C5797" s="113">
        <v>7991042</v>
      </c>
      <c r="D5797" s="113" t="s">
        <v>7139</v>
      </c>
      <c r="E5797" s="113" t="s">
        <v>1620</v>
      </c>
      <c r="F5797" s="113" t="s">
        <v>7139</v>
      </c>
      <c r="G5797" s="113" t="s">
        <v>7145</v>
      </c>
      <c r="H5797" s="161">
        <v>0</v>
      </c>
      <c r="I5797" s="161" t="s">
        <v>7146</v>
      </c>
    </row>
    <row r="5798" spans="1:9">
      <c r="A5798" s="113">
        <v>100791906</v>
      </c>
      <c r="B5798" s="113" t="s">
        <v>7116</v>
      </c>
      <c r="C5798" s="113">
        <v>7991043</v>
      </c>
      <c r="D5798" s="113" t="s">
        <v>7139</v>
      </c>
      <c r="E5798" s="113" t="s">
        <v>1620</v>
      </c>
      <c r="F5798" s="113" t="s">
        <v>7139</v>
      </c>
      <c r="G5798" s="113" t="s">
        <v>7145</v>
      </c>
      <c r="H5798" s="161">
        <v>0</v>
      </c>
      <c r="I5798" s="161" t="s">
        <v>7146</v>
      </c>
    </row>
    <row r="5799" spans="1:9">
      <c r="A5799" s="113">
        <v>100791907</v>
      </c>
      <c r="B5799" s="113" t="s">
        <v>7116</v>
      </c>
      <c r="C5799" s="113">
        <v>7991044</v>
      </c>
      <c r="D5799" s="113" t="s">
        <v>7139</v>
      </c>
      <c r="E5799" s="113" t="s">
        <v>1620</v>
      </c>
      <c r="F5799" s="113" t="s">
        <v>7139</v>
      </c>
      <c r="G5799" s="113" t="s">
        <v>7145</v>
      </c>
      <c r="H5799" s="161">
        <v>0</v>
      </c>
      <c r="I5799" s="161" t="s">
        <v>7146</v>
      </c>
    </row>
    <row r="5800" spans="1:9">
      <c r="A5800" s="113">
        <v>100791908</v>
      </c>
      <c r="B5800" s="113" t="s">
        <v>7116</v>
      </c>
      <c r="C5800" s="113">
        <v>7991045</v>
      </c>
      <c r="D5800" s="113" t="s">
        <v>7139</v>
      </c>
      <c r="E5800" s="113" t="s">
        <v>1620</v>
      </c>
      <c r="F5800" s="113" t="s">
        <v>7139</v>
      </c>
      <c r="G5800" s="113" t="s">
        <v>7145</v>
      </c>
      <c r="H5800" s="161">
        <v>0</v>
      </c>
      <c r="I5800" s="161" t="s">
        <v>7146</v>
      </c>
    </row>
    <row r="5801" spans="1:9">
      <c r="A5801" s="113">
        <v>100791909</v>
      </c>
      <c r="B5801" s="113" t="s">
        <v>7116</v>
      </c>
      <c r="C5801" s="113">
        <v>7991047</v>
      </c>
      <c r="D5801" s="113" t="s">
        <v>7139</v>
      </c>
      <c r="E5801" s="113" t="s">
        <v>1620</v>
      </c>
      <c r="F5801" s="113" t="s">
        <v>7139</v>
      </c>
      <c r="G5801" s="113" t="s">
        <v>7145</v>
      </c>
      <c r="H5801" s="161">
        <v>0</v>
      </c>
      <c r="I5801" s="161" t="s">
        <v>7146</v>
      </c>
    </row>
    <row r="5802" spans="1:9">
      <c r="A5802" s="113">
        <v>100791910</v>
      </c>
      <c r="B5802" s="113" t="s">
        <v>7116</v>
      </c>
      <c r="C5802" s="113">
        <v>7991048</v>
      </c>
      <c r="D5802" s="113" t="s">
        <v>7139</v>
      </c>
      <c r="E5802" s="113" t="s">
        <v>1620</v>
      </c>
      <c r="F5802" s="113" t="s">
        <v>7139</v>
      </c>
      <c r="G5802" s="113" t="s">
        <v>7145</v>
      </c>
      <c r="H5802" s="161">
        <v>0</v>
      </c>
      <c r="I5802" s="161" t="s">
        <v>7146</v>
      </c>
    </row>
    <row r="5803" spans="1:9">
      <c r="A5803" s="113">
        <v>100791911</v>
      </c>
      <c r="B5803" s="113" t="s">
        <v>7116</v>
      </c>
      <c r="C5803" s="113">
        <v>7991049</v>
      </c>
      <c r="D5803" s="113" t="s">
        <v>7139</v>
      </c>
      <c r="E5803" s="113" t="s">
        <v>1620</v>
      </c>
      <c r="F5803" s="113" t="s">
        <v>7139</v>
      </c>
      <c r="G5803" s="113" t="s">
        <v>7145</v>
      </c>
      <c r="H5803" s="161">
        <v>0</v>
      </c>
      <c r="I5803" s="161" t="s">
        <v>7146</v>
      </c>
    </row>
    <row r="5804" spans="1:9">
      <c r="A5804" s="113">
        <v>100791912</v>
      </c>
      <c r="B5804" s="113" t="s">
        <v>7116</v>
      </c>
      <c r="C5804" s="113">
        <v>7991050</v>
      </c>
      <c r="D5804" s="113" t="s">
        <v>7139</v>
      </c>
      <c r="E5804" s="113" t="s">
        <v>1620</v>
      </c>
      <c r="F5804" s="113" t="s">
        <v>7139</v>
      </c>
      <c r="G5804" s="113" t="s">
        <v>7145</v>
      </c>
      <c r="H5804" s="161">
        <v>0</v>
      </c>
      <c r="I5804" s="161" t="s">
        <v>7146</v>
      </c>
    </row>
    <row r="5805" spans="1:9">
      <c r="A5805" s="113">
        <v>100791913</v>
      </c>
      <c r="B5805" s="113" t="s">
        <v>7116</v>
      </c>
      <c r="C5805" s="113">
        <v>7991051</v>
      </c>
      <c r="D5805" s="113" t="s">
        <v>7139</v>
      </c>
      <c r="E5805" s="113" t="s">
        <v>1620</v>
      </c>
      <c r="F5805" s="113" t="s">
        <v>7139</v>
      </c>
      <c r="G5805" s="113" t="s">
        <v>7145</v>
      </c>
      <c r="H5805" s="161">
        <v>0</v>
      </c>
      <c r="I5805" s="161" t="s">
        <v>7146</v>
      </c>
    </row>
    <row r="5806" spans="1:9">
      <c r="A5806" s="113">
        <v>100791914</v>
      </c>
      <c r="B5806" s="113" t="s">
        <v>7116</v>
      </c>
      <c r="C5806" s="113">
        <v>7991052</v>
      </c>
      <c r="D5806" s="113" t="s">
        <v>7139</v>
      </c>
      <c r="E5806" s="113" t="s">
        <v>1620</v>
      </c>
      <c r="F5806" s="113" t="s">
        <v>7139</v>
      </c>
      <c r="G5806" s="113" t="s">
        <v>7145</v>
      </c>
      <c r="H5806" s="161">
        <v>0</v>
      </c>
      <c r="I5806" s="161" t="s">
        <v>7146</v>
      </c>
    </row>
    <row r="5807" spans="1:9">
      <c r="A5807" s="113">
        <v>100791915</v>
      </c>
      <c r="B5807" s="113" t="s">
        <v>7116</v>
      </c>
      <c r="C5807" s="113">
        <v>7991056</v>
      </c>
      <c r="D5807" s="113" t="s">
        <v>7139</v>
      </c>
      <c r="E5807" s="113" t="s">
        <v>1620</v>
      </c>
      <c r="F5807" s="113" t="s">
        <v>7139</v>
      </c>
      <c r="G5807" s="113" t="s">
        <v>7145</v>
      </c>
      <c r="H5807" s="161">
        <v>0</v>
      </c>
      <c r="I5807" s="161" t="s">
        <v>7146</v>
      </c>
    </row>
    <row r="5808" spans="1:9">
      <c r="A5808" s="113">
        <v>100791916</v>
      </c>
      <c r="B5808" s="113" t="s">
        <v>7116</v>
      </c>
      <c r="C5808" s="113">
        <v>7991057</v>
      </c>
      <c r="D5808" s="113" t="s">
        <v>7139</v>
      </c>
      <c r="E5808" s="113" t="s">
        <v>1620</v>
      </c>
      <c r="F5808" s="113" t="s">
        <v>7139</v>
      </c>
      <c r="G5808" s="113" t="s">
        <v>7145</v>
      </c>
      <c r="H5808" s="161">
        <v>0</v>
      </c>
      <c r="I5808" s="161" t="s">
        <v>7146</v>
      </c>
    </row>
    <row r="5809" spans="1:9">
      <c r="A5809" s="113">
        <v>100791917</v>
      </c>
      <c r="B5809" s="113" t="s">
        <v>7116</v>
      </c>
      <c r="C5809" s="113">
        <v>7991061</v>
      </c>
      <c r="D5809" s="113" t="s">
        <v>7139</v>
      </c>
      <c r="E5809" s="113" t="s">
        <v>1620</v>
      </c>
      <c r="F5809" s="113" t="s">
        <v>7139</v>
      </c>
      <c r="G5809" s="113" t="s">
        <v>7145</v>
      </c>
      <c r="H5809" s="161">
        <v>0</v>
      </c>
      <c r="I5809" s="161" t="s">
        <v>7146</v>
      </c>
    </row>
    <row r="5810" spans="1:9">
      <c r="A5810" s="113">
        <v>100791918</v>
      </c>
      <c r="B5810" s="113" t="s">
        <v>7116</v>
      </c>
      <c r="C5810" s="113">
        <v>7991062</v>
      </c>
      <c r="D5810" s="113" t="s">
        <v>7139</v>
      </c>
      <c r="E5810" s="113" t="s">
        <v>1620</v>
      </c>
      <c r="F5810" s="113" t="s">
        <v>7139</v>
      </c>
      <c r="G5810" s="113" t="s">
        <v>7145</v>
      </c>
      <c r="H5810" s="161">
        <v>0</v>
      </c>
      <c r="I5810" s="161" t="s">
        <v>7146</v>
      </c>
    </row>
    <row r="5811" spans="1:9">
      <c r="A5811" s="113">
        <v>100791919</v>
      </c>
      <c r="B5811" s="113" t="s">
        <v>7116</v>
      </c>
      <c r="C5811" s="113">
        <v>7991068</v>
      </c>
      <c r="D5811" s="113" t="s">
        <v>7139</v>
      </c>
      <c r="E5811" s="113" t="s">
        <v>1620</v>
      </c>
      <c r="F5811" s="113" t="s">
        <v>7139</v>
      </c>
      <c r="G5811" s="113" t="s">
        <v>7145</v>
      </c>
      <c r="H5811" s="161">
        <v>0</v>
      </c>
      <c r="I5811" s="161" t="s">
        <v>7146</v>
      </c>
    </row>
    <row r="5812" spans="1:9">
      <c r="A5812" s="113">
        <v>100791920</v>
      </c>
      <c r="B5812" s="113" t="s">
        <v>7116</v>
      </c>
      <c r="C5812" s="113">
        <v>7991069</v>
      </c>
      <c r="D5812" s="113" t="s">
        <v>7139</v>
      </c>
      <c r="E5812" s="113" t="s">
        <v>1620</v>
      </c>
      <c r="F5812" s="113" t="s">
        <v>7139</v>
      </c>
      <c r="G5812" s="113" t="s">
        <v>7145</v>
      </c>
      <c r="H5812" s="161">
        <v>0</v>
      </c>
      <c r="I5812" s="161" t="s">
        <v>7146</v>
      </c>
    </row>
    <row r="5813" spans="1:9">
      <c r="A5813" s="113">
        <v>100791921</v>
      </c>
      <c r="B5813" s="113" t="s">
        <v>7116</v>
      </c>
      <c r="C5813" s="113">
        <v>7991070</v>
      </c>
      <c r="D5813" s="113" t="s">
        <v>7139</v>
      </c>
      <c r="E5813" s="113" t="s">
        <v>1620</v>
      </c>
      <c r="F5813" s="113" t="s">
        <v>7139</v>
      </c>
      <c r="G5813" s="113" t="s">
        <v>7145</v>
      </c>
      <c r="H5813" s="161">
        <v>0</v>
      </c>
      <c r="I5813" s="161" t="s">
        <v>7146</v>
      </c>
    </row>
    <row r="5814" spans="1:9">
      <c r="A5814" s="113">
        <v>100791922</v>
      </c>
      <c r="B5814" s="113" t="s">
        <v>7116</v>
      </c>
      <c r="C5814" s="113">
        <v>7991080</v>
      </c>
      <c r="D5814" s="113" t="s">
        <v>7139</v>
      </c>
      <c r="E5814" s="113" t="s">
        <v>1620</v>
      </c>
      <c r="F5814" s="113" t="s">
        <v>7139</v>
      </c>
      <c r="G5814" s="113" t="s">
        <v>7145</v>
      </c>
      <c r="H5814" s="161">
        <v>0</v>
      </c>
      <c r="I5814" s="161" t="s">
        <v>7146</v>
      </c>
    </row>
    <row r="5815" spans="1:9">
      <c r="A5815" s="113">
        <v>100791923</v>
      </c>
      <c r="B5815" s="113" t="s">
        <v>7116</v>
      </c>
      <c r="C5815" s="113">
        <v>7991083</v>
      </c>
      <c r="D5815" s="113" t="s">
        <v>7139</v>
      </c>
      <c r="E5815" s="113" t="s">
        <v>1620</v>
      </c>
      <c r="F5815" s="113" t="s">
        <v>7139</v>
      </c>
      <c r="G5815" s="113" t="s">
        <v>7145</v>
      </c>
      <c r="H5815" s="161">
        <v>0</v>
      </c>
      <c r="I5815" s="161" t="s">
        <v>7146</v>
      </c>
    </row>
    <row r="5816" spans="1:9">
      <c r="A5816" s="113">
        <v>100791925</v>
      </c>
      <c r="B5816" s="113" t="s">
        <v>7116</v>
      </c>
      <c r="C5816" s="113">
        <v>7991094</v>
      </c>
      <c r="D5816" s="113" t="s">
        <v>7139</v>
      </c>
      <c r="E5816" s="113" t="s">
        <v>1620</v>
      </c>
      <c r="F5816" s="113" t="s">
        <v>7139</v>
      </c>
      <c r="G5816" s="113" t="s">
        <v>7145</v>
      </c>
      <c r="H5816" s="161">
        <v>0</v>
      </c>
      <c r="I5816" s="161" t="s">
        <v>7146</v>
      </c>
    </row>
    <row r="5817" spans="1:9">
      <c r="A5817" s="113">
        <v>100791926</v>
      </c>
      <c r="B5817" s="113" t="s">
        <v>7116</v>
      </c>
      <c r="C5817" s="113">
        <v>7991099</v>
      </c>
      <c r="D5817" s="113" t="s">
        <v>7139</v>
      </c>
      <c r="E5817" s="113" t="s">
        <v>1620</v>
      </c>
      <c r="F5817" s="113" t="s">
        <v>7139</v>
      </c>
      <c r="G5817" s="113" t="s">
        <v>7145</v>
      </c>
      <c r="H5817" s="161">
        <v>0</v>
      </c>
      <c r="I5817" s="161" t="s">
        <v>7146</v>
      </c>
    </row>
    <row r="5818" spans="1:9">
      <c r="A5818" s="113">
        <v>100791927</v>
      </c>
      <c r="B5818" s="113" t="s">
        <v>7116</v>
      </c>
      <c r="C5818" s="113">
        <v>7991103</v>
      </c>
      <c r="D5818" s="113" t="s">
        <v>7139</v>
      </c>
      <c r="E5818" s="113" t="s">
        <v>1620</v>
      </c>
      <c r="F5818" s="113" t="s">
        <v>7139</v>
      </c>
      <c r="G5818" s="113" t="s">
        <v>7145</v>
      </c>
      <c r="H5818" s="161">
        <v>0</v>
      </c>
      <c r="I5818" s="161" t="s">
        <v>7146</v>
      </c>
    </row>
    <row r="5819" spans="1:9">
      <c r="A5819" s="113">
        <v>100791928</v>
      </c>
      <c r="B5819" s="113" t="s">
        <v>7116</v>
      </c>
      <c r="C5819" s="113">
        <v>7991104</v>
      </c>
      <c r="D5819" s="113" t="s">
        <v>7139</v>
      </c>
      <c r="E5819" s="113" t="s">
        <v>1620</v>
      </c>
      <c r="F5819" s="113" t="s">
        <v>7139</v>
      </c>
      <c r="G5819" s="113" t="s">
        <v>7145</v>
      </c>
      <c r="H5819" s="161">
        <v>0</v>
      </c>
      <c r="I5819" s="161" t="s">
        <v>7146</v>
      </c>
    </row>
    <row r="5820" spans="1:9">
      <c r="A5820" s="113">
        <v>100791929</v>
      </c>
      <c r="B5820" s="113" t="s">
        <v>7116</v>
      </c>
      <c r="C5820" s="113">
        <v>7991105</v>
      </c>
      <c r="D5820" s="113" t="s">
        <v>7139</v>
      </c>
      <c r="E5820" s="113" t="s">
        <v>1620</v>
      </c>
      <c r="F5820" s="113" t="s">
        <v>7139</v>
      </c>
      <c r="G5820" s="113" t="s">
        <v>7145</v>
      </c>
      <c r="H5820" s="161">
        <v>0</v>
      </c>
      <c r="I5820" s="161" t="s">
        <v>7146</v>
      </c>
    </row>
    <row r="5821" spans="1:9">
      <c r="A5821" s="113">
        <v>100791930</v>
      </c>
      <c r="B5821" s="113" t="s">
        <v>7116</v>
      </c>
      <c r="C5821" s="113">
        <v>7991106</v>
      </c>
      <c r="D5821" s="113" t="s">
        <v>7139</v>
      </c>
      <c r="E5821" s="113" t="s">
        <v>1620</v>
      </c>
      <c r="F5821" s="113" t="s">
        <v>7139</v>
      </c>
      <c r="G5821" s="113" t="s">
        <v>7145</v>
      </c>
      <c r="H5821" s="161">
        <v>0</v>
      </c>
      <c r="I5821" s="161" t="s">
        <v>7146</v>
      </c>
    </row>
    <row r="5822" spans="1:9">
      <c r="A5822" s="113">
        <v>100791931</v>
      </c>
      <c r="B5822" s="113" t="s">
        <v>7116</v>
      </c>
      <c r="C5822" s="113">
        <v>7991107</v>
      </c>
      <c r="D5822" s="113" t="s">
        <v>7139</v>
      </c>
      <c r="E5822" s="113" t="s">
        <v>1620</v>
      </c>
      <c r="F5822" s="113" t="s">
        <v>7139</v>
      </c>
      <c r="G5822" s="113" t="s">
        <v>7145</v>
      </c>
      <c r="H5822" s="161">
        <v>0</v>
      </c>
      <c r="I5822" s="161" t="s">
        <v>7146</v>
      </c>
    </row>
    <row r="5823" spans="1:9">
      <c r="A5823" s="113">
        <v>100791932</v>
      </c>
      <c r="B5823" s="113" t="s">
        <v>7116</v>
      </c>
      <c r="C5823" s="113">
        <v>7991108</v>
      </c>
      <c r="D5823" s="113" t="s">
        <v>7139</v>
      </c>
      <c r="E5823" s="113" t="s">
        <v>1620</v>
      </c>
      <c r="F5823" s="113" t="s">
        <v>7139</v>
      </c>
      <c r="G5823" s="113" t="s">
        <v>7145</v>
      </c>
      <c r="H5823" s="161">
        <v>0</v>
      </c>
      <c r="I5823" s="161" t="s">
        <v>7146</v>
      </c>
    </row>
    <row r="5824" spans="1:9">
      <c r="A5824" s="113">
        <v>100791933</v>
      </c>
      <c r="B5824" s="113" t="s">
        <v>7116</v>
      </c>
      <c r="C5824" s="113">
        <v>7991109</v>
      </c>
      <c r="D5824" s="113" t="s">
        <v>7139</v>
      </c>
      <c r="E5824" s="113" t="s">
        <v>1620</v>
      </c>
      <c r="F5824" s="113" t="s">
        <v>7139</v>
      </c>
      <c r="G5824" s="113" t="s">
        <v>7145</v>
      </c>
      <c r="H5824" s="161">
        <v>0</v>
      </c>
      <c r="I5824" s="161" t="s">
        <v>7146</v>
      </c>
    </row>
    <row r="5825" spans="1:9">
      <c r="A5825" s="113">
        <v>100791934</v>
      </c>
      <c r="B5825" s="113" t="s">
        <v>7116</v>
      </c>
      <c r="C5825" s="113">
        <v>7991110</v>
      </c>
      <c r="D5825" s="113" t="s">
        <v>7139</v>
      </c>
      <c r="E5825" s="113" t="s">
        <v>1620</v>
      </c>
      <c r="F5825" s="113" t="s">
        <v>7139</v>
      </c>
      <c r="G5825" s="113" t="s">
        <v>7145</v>
      </c>
      <c r="H5825" s="161">
        <v>0</v>
      </c>
      <c r="I5825" s="161" t="s">
        <v>7146</v>
      </c>
    </row>
    <row r="5826" spans="1:9">
      <c r="A5826" s="113">
        <v>100791935</v>
      </c>
      <c r="B5826" s="113" t="s">
        <v>7116</v>
      </c>
      <c r="C5826" s="113">
        <v>7991112</v>
      </c>
      <c r="D5826" s="113" t="s">
        <v>7139</v>
      </c>
      <c r="E5826" s="113" t="s">
        <v>1620</v>
      </c>
      <c r="F5826" s="113" t="s">
        <v>7139</v>
      </c>
      <c r="G5826" s="113" t="s">
        <v>7145</v>
      </c>
      <c r="H5826" s="161">
        <v>0</v>
      </c>
      <c r="I5826" s="161" t="s">
        <v>7146</v>
      </c>
    </row>
    <row r="5827" spans="1:9">
      <c r="A5827" s="113">
        <v>100791936</v>
      </c>
      <c r="B5827" s="113" t="s">
        <v>7116</v>
      </c>
      <c r="C5827" s="113">
        <v>7991118</v>
      </c>
      <c r="D5827" s="113" t="s">
        <v>7139</v>
      </c>
      <c r="E5827" s="113" t="s">
        <v>1620</v>
      </c>
      <c r="F5827" s="113" t="s">
        <v>7139</v>
      </c>
      <c r="G5827" s="113" t="s">
        <v>7145</v>
      </c>
      <c r="H5827" s="161">
        <v>0</v>
      </c>
      <c r="I5827" s="161" t="s">
        <v>7146</v>
      </c>
    </row>
    <row r="5828" spans="1:9">
      <c r="A5828" s="113">
        <v>100791937</v>
      </c>
      <c r="B5828" s="113" t="s">
        <v>7116</v>
      </c>
      <c r="C5828" s="113">
        <v>7991121</v>
      </c>
      <c r="D5828" s="113" t="s">
        <v>7139</v>
      </c>
      <c r="E5828" s="113" t="s">
        <v>1620</v>
      </c>
      <c r="F5828" s="113" t="s">
        <v>7139</v>
      </c>
      <c r="G5828" s="113" t="s">
        <v>7145</v>
      </c>
      <c r="H5828" s="161">
        <v>0</v>
      </c>
      <c r="I5828" s="161" t="s">
        <v>7146</v>
      </c>
    </row>
    <row r="5829" spans="1:9">
      <c r="A5829" s="113">
        <v>100791938</v>
      </c>
      <c r="B5829" s="113" t="s">
        <v>7116</v>
      </c>
      <c r="C5829" s="113">
        <v>7991126</v>
      </c>
      <c r="D5829" s="113" t="s">
        <v>7139</v>
      </c>
      <c r="E5829" s="113" t="s">
        <v>1620</v>
      </c>
      <c r="F5829" s="113" t="s">
        <v>7139</v>
      </c>
      <c r="G5829" s="113" t="s">
        <v>7145</v>
      </c>
      <c r="H5829" s="161">
        <v>0</v>
      </c>
      <c r="I5829" s="161" t="s">
        <v>7146</v>
      </c>
    </row>
    <row r="5830" spans="1:9">
      <c r="A5830" s="113">
        <v>100791939</v>
      </c>
      <c r="B5830" s="113" t="s">
        <v>7116</v>
      </c>
      <c r="C5830" s="113">
        <v>7991127</v>
      </c>
      <c r="D5830" s="113" t="s">
        <v>7139</v>
      </c>
      <c r="E5830" s="113" t="s">
        <v>1620</v>
      </c>
      <c r="F5830" s="113" t="s">
        <v>7139</v>
      </c>
      <c r="G5830" s="113" t="s">
        <v>7145</v>
      </c>
      <c r="H5830" s="161">
        <v>0</v>
      </c>
      <c r="I5830" s="161" t="s">
        <v>7146</v>
      </c>
    </row>
    <row r="5831" spans="1:9">
      <c r="A5831" s="113">
        <v>100791940</v>
      </c>
      <c r="B5831" s="113" t="s">
        <v>7116</v>
      </c>
      <c r="C5831" s="113">
        <v>7991133</v>
      </c>
      <c r="D5831" s="113" t="s">
        <v>7139</v>
      </c>
      <c r="E5831" s="113" t="s">
        <v>1620</v>
      </c>
      <c r="F5831" s="113" t="s">
        <v>7139</v>
      </c>
      <c r="G5831" s="113" t="s">
        <v>7145</v>
      </c>
      <c r="H5831" s="161">
        <v>0</v>
      </c>
      <c r="I5831" s="161" t="s">
        <v>7146</v>
      </c>
    </row>
    <row r="5832" spans="1:9">
      <c r="A5832" s="113">
        <v>100791941</v>
      </c>
      <c r="B5832" s="113" t="s">
        <v>7116</v>
      </c>
      <c r="C5832" s="113">
        <v>7991136</v>
      </c>
      <c r="D5832" s="113" t="s">
        <v>7139</v>
      </c>
      <c r="E5832" s="113" t="s">
        <v>1620</v>
      </c>
      <c r="F5832" s="113" t="s">
        <v>7139</v>
      </c>
      <c r="G5832" s="113" t="s">
        <v>7145</v>
      </c>
      <c r="H5832" s="161">
        <v>0</v>
      </c>
      <c r="I5832" s="161" t="s">
        <v>7146</v>
      </c>
    </row>
    <row r="5833" spans="1:9">
      <c r="A5833" s="113">
        <v>100791942</v>
      </c>
      <c r="B5833" s="113" t="s">
        <v>7116</v>
      </c>
      <c r="C5833" s="113">
        <v>7991142</v>
      </c>
      <c r="D5833" s="113" t="s">
        <v>7139</v>
      </c>
      <c r="E5833" s="113" t="s">
        <v>1620</v>
      </c>
      <c r="F5833" s="113" t="s">
        <v>7139</v>
      </c>
      <c r="G5833" s="113" t="s">
        <v>7145</v>
      </c>
      <c r="H5833" s="161">
        <v>0</v>
      </c>
      <c r="I5833" s="161" t="s">
        <v>7146</v>
      </c>
    </row>
    <row r="5834" spans="1:9">
      <c r="A5834" s="113">
        <v>100791943</v>
      </c>
      <c r="B5834" s="113" t="s">
        <v>7116</v>
      </c>
      <c r="C5834" s="113">
        <v>7991143</v>
      </c>
      <c r="D5834" s="113" t="s">
        <v>7139</v>
      </c>
      <c r="E5834" s="113" t="s">
        <v>1620</v>
      </c>
      <c r="F5834" s="113" t="s">
        <v>7139</v>
      </c>
      <c r="G5834" s="113" t="s">
        <v>7145</v>
      </c>
      <c r="H5834" s="161">
        <v>0</v>
      </c>
      <c r="I5834" s="161" t="s">
        <v>7146</v>
      </c>
    </row>
    <row r="5835" spans="1:9">
      <c r="A5835" s="113">
        <v>100791944</v>
      </c>
      <c r="B5835" s="113" t="s">
        <v>7116</v>
      </c>
      <c r="C5835" s="113">
        <v>7991144</v>
      </c>
      <c r="D5835" s="113" t="s">
        <v>7139</v>
      </c>
      <c r="E5835" s="113" t="s">
        <v>1620</v>
      </c>
      <c r="F5835" s="113" t="s">
        <v>7139</v>
      </c>
      <c r="G5835" s="113" t="s">
        <v>7145</v>
      </c>
      <c r="H5835" s="161">
        <v>0</v>
      </c>
      <c r="I5835" s="161" t="s">
        <v>7146</v>
      </c>
    </row>
    <row r="5836" spans="1:9">
      <c r="A5836" s="113">
        <v>100791945</v>
      </c>
      <c r="B5836" s="113" t="s">
        <v>7116</v>
      </c>
      <c r="C5836" s="113">
        <v>7991145</v>
      </c>
      <c r="D5836" s="113" t="s">
        <v>7139</v>
      </c>
      <c r="E5836" s="113" t="s">
        <v>1620</v>
      </c>
      <c r="F5836" s="113" t="s">
        <v>7139</v>
      </c>
      <c r="G5836" s="113" t="s">
        <v>7145</v>
      </c>
      <c r="H5836" s="161">
        <v>0</v>
      </c>
      <c r="I5836" s="161" t="s">
        <v>7146</v>
      </c>
    </row>
    <row r="5837" spans="1:9">
      <c r="A5837" s="113">
        <v>100791946</v>
      </c>
      <c r="B5837" s="113" t="s">
        <v>7116</v>
      </c>
      <c r="C5837" s="113">
        <v>7991146</v>
      </c>
      <c r="D5837" s="113" t="s">
        <v>7139</v>
      </c>
      <c r="E5837" s="113" t="s">
        <v>1620</v>
      </c>
      <c r="F5837" s="113" t="s">
        <v>7139</v>
      </c>
      <c r="G5837" s="113" t="s">
        <v>7145</v>
      </c>
      <c r="H5837" s="161">
        <v>0</v>
      </c>
      <c r="I5837" s="161" t="s">
        <v>7146</v>
      </c>
    </row>
    <row r="5838" spans="1:9">
      <c r="A5838" s="113">
        <v>100791947</v>
      </c>
      <c r="B5838" s="113" t="s">
        <v>7116</v>
      </c>
      <c r="C5838" s="113">
        <v>7991147</v>
      </c>
      <c r="D5838" s="113" t="s">
        <v>7139</v>
      </c>
      <c r="E5838" s="113" t="s">
        <v>1620</v>
      </c>
      <c r="F5838" s="113" t="s">
        <v>7139</v>
      </c>
      <c r="G5838" s="113" t="s">
        <v>7145</v>
      </c>
      <c r="H5838" s="161">
        <v>0</v>
      </c>
      <c r="I5838" s="161" t="s">
        <v>7146</v>
      </c>
    </row>
    <row r="5839" spans="1:9">
      <c r="A5839" s="113">
        <v>100791948</v>
      </c>
      <c r="B5839" s="113" t="s">
        <v>7116</v>
      </c>
      <c r="C5839" s="113">
        <v>7991158</v>
      </c>
      <c r="D5839" s="113" t="s">
        <v>7139</v>
      </c>
      <c r="E5839" s="113" t="s">
        <v>1620</v>
      </c>
      <c r="F5839" s="113" t="s">
        <v>7139</v>
      </c>
      <c r="G5839" s="113" t="s">
        <v>7145</v>
      </c>
      <c r="H5839" s="161">
        <v>0</v>
      </c>
      <c r="I5839" s="161" t="s">
        <v>7146</v>
      </c>
    </row>
    <row r="5840" spans="1:9">
      <c r="A5840" s="113">
        <v>100791949</v>
      </c>
      <c r="B5840" s="113" t="s">
        <v>7116</v>
      </c>
      <c r="C5840" s="113">
        <v>7991159</v>
      </c>
      <c r="D5840" s="113" t="s">
        <v>7139</v>
      </c>
      <c r="E5840" s="113" t="s">
        <v>1620</v>
      </c>
      <c r="F5840" s="113" t="s">
        <v>7139</v>
      </c>
      <c r="G5840" s="113" t="s">
        <v>7145</v>
      </c>
      <c r="H5840" s="161">
        <v>0</v>
      </c>
      <c r="I5840" s="161" t="s">
        <v>7146</v>
      </c>
    </row>
    <row r="5841" spans="1:9">
      <c r="A5841" s="113">
        <v>100791950</v>
      </c>
      <c r="B5841" s="113" t="s">
        <v>7116</v>
      </c>
      <c r="C5841" s="113">
        <v>7991163</v>
      </c>
      <c r="D5841" s="113" t="s">
        <v>7139</v>
      </c>
      <c r="E5841" s="113" t="s">
        <v>1620</v>
      </c>
      <c r="F5841" s="113" t="s">
        <v>7139</v>
      </c>
      <c r="G5841" s="113" t="s">
        <v>7145</v>
      </c>
      <c r="H5841" s="161">
        <v>0</v>
      </c>
      <c r="I5841" s="161" t="s">
        <v>7146</v>
      </c>
    </row>
    <row r="5842" spans="1:9">
      <c r="A5842" s="113">
        <v>100791951</v>
      </c>
      <c r="B5842" s="113" t="s">
        <v>7116</v>
      </c>
      <c r="C5842" s="113">
        <v>7991166</v>
      </c>
      <c r="D5842" s="113" t="s">
        <v>7139</v>
      </c>
      <c r="E5842" s="113" t="s">
        <v>1620</v>
      </c>
      <c r="F5842" s="113" t="s">
        <v>7139</v>
      </c>
      <c r="G5842" s="113" t="s">
        <v>7145</v>
      </c>
      <c r="H5842" s="161">
        <v>0</v>
      </c>
      <c r="I5842" s="161" t="s">
        <v>7146</v>
      </c>
    </row>
    <row r="5843" spans="1:9">
      <c r="A5843" s="113">
        <v>100791952</v>
      </c>
      <c r="B5843" s="113" t="s">
        <v>7116</v>
      </c>
      <c r="C5843" s="113">
        <v>7991167</v>
      </c>
      <c r="D5843" s="113" t="s">
        <v>7139</v>
      </c>
      <c r="E5843" s="113" t="s">
        <v>1620</v>
      </c>
      <c r="F5843" s="113" t="s">
        <v>7139</v>
      </c>
      <c r="G5843" s="113" t="s">
        <v>7145</v>
      </c>
      <c r="H5843" s="161">
        <v>0</v>
      </c>
      <c r="I5843" s="161" t="s">
        <v>7146</v>
      </c>
    </row>
    <row r="5844" spans="1:9">
      <c r="A5844" s="113">
        <v>100791953</v>
      </c>
      <c r="B5844" s="113" t="s">
        <v>7116</v>
      </c>
      <c r="C5844" s="113">
        <v>7991171</v>
      </c>
      <c r="D5844" s="113" t="s">
        <v>7139</v>
      </c>
      <c r="E5844" s="113" t="s">
        <v>1620</v>
      </c>
      <c r="F5844" s="113" t="s">
        <v>7139</v>
      </c>
      <c r="G5844" s="113" t="s">
        <v>7145</v>
      </c>
      <c r="H5844" s="161">
        <v>0</v>
      </c>
      <c r="I5844" s="161" t="s">
        <v>7146</v>
      </c>
    </row>
    <row r="5845" spans="1:9">
      <c r="A5845" s="113">
        <v>100791954</v>
      </c>
      <c r="B5845" s="113" t="s">
        <v>7116</v>
      </c>
      <c r="C5845" s="113">
        <v>7991173</v>
      </c>
      <c r="D5845" s="113" t="s">
        <v>7139</v>
      </c>
      <c r="E5845" s="113" t="s">
        <v>1620</v>
      </c>
      <c r="F5845" s="113" t="s">
        <v>7139</v>
      </c>
      <c r="G5845" s="113" t="s">
        <v>7145</v>
      </c>
      <c r="H5845" s="161">
        <v>0</v>
      </c>
      <c r="I5845" s="161" t="s">
        <v>7146</v>
      </c>
    </row>
    <row r="5846" spans="1:9">
      <c r="A5846" s="113">
        <v>100791955</v>
      </c>
      <c r="B5846" s="113" t="s">
        <v>7116</v>
      </c>
      <c r="C5846" s="113">
        <v>7991177</v>
      </c>
      <c r="D5846" s="113" t="s">
        <v>7139</v>
      </c>
      <c r="E5846" s="113" t="s">
        <v>1620</v>
      </c>
      <c r="F5846" s="113" t="s">
        <v>7139</v>
      </c>
      <c r="G5846" s="113" t="s">
        <v>7145</v>
      </c>
      <c r="H5846" s="161">
        <v>0</v>
      </c>
      <c r="I5846" s="161" t="s">
        <v>7146</v>
      </c>
    </row>
    <row r="5847" spans="1:9">
      <c r="A5847" s="113">
        <v>100791956</v>
      </c>
      <c r="B5847" s="113" t="s">
        <v>7116</v>
      </c>
      <c r="C5847" s="113">
        <v>7991181</v>
      </c>
      <c r="D5847" s="113" t="s">
        <v>7139</v>
      </c>
      <c r="E5847" s="113" t="s">
        <v>1620</v>
      </c>
      <c r="F5847" s="113" t="s">
        <v>7139</v>
      </c>
      <c r="G5847" s="113" t="s">
        <v>7145</v>
      </c>
      <c r="H5847" s="161">
        <v>0</v>
      </c>
      <c r="I5847" s="161" t="s">
        <v>7146</v>
      </c>
    </row>
    <row r="5848" spans="1:9">
      <c r="A5848" s="113">
        <v>100791957</v>
      </c>
      <c r="B5848" s="113" t="s">
        <v>7116</v>
      </c>
      <c r="C5848" s="113">
        <v>7991185</v>
      </c>
      <c r="D5848" s="113" t="s">
        <v>7139</v>
      </c>
      <c r="E5848" s="113" t="s">
        <v>1620</v>
      </c>
      <c r="F5848" s="113" t="s">
        <v>7139</v>
      </c>
      <c r="G5848" s="113" t="s">
        <v>7145</v>
      </c>
      <c r="H5848" s="161">
        <v>0</v>
      </c>
      <c r="I5848" s="161" t="s">
        <v>7146</v>
      </c>
    </row>
    <row r="5849" spans="1:9">
      <c r="A5849" s="113">
        <v>100791958</v>
      </c>
      <c r="B5849" s="113" t="s">
        <v>7116</v>
      </c>
      <c r="C5849" s="113">
        <v>7991191</v>
      </c>
      <c r="D5849" s="113" t="s">
        <v>7139</v>
      </c>
      <c r="E5849" s="113" t="s">
        <v>1620</v>
      </c>
      <c r="F5849" s="113" t="s">
        <v>7139</v>
      </c>
      <c r="G5849" s="113" t="s">
        <v>7145</v>
      </c>
      <c r="H5849" s="161">
        <v>0</v>
      </c>
      <c r="I5849" s="161" t="s">
        <v>7146</v>
      </c>
    </row>
    <row r="5850" spans="1:9">
      <c r="A5850" s="113">
        <v>100791959</v>
      </c>
      <c r="B5850" s="113" t="s">
        <v>7116</v>
      </c>
      <c r="C5850" s="113">
        <v>7991192</v>
      </c>
      <c r="D5850" s="113" t="s">
        <v>7139</v>
      </c>
      <c r="E5850" s="113" t="s">
        <v>1620</v>
      </c>
      <c r="F5850" s="113" t="s">
        <v>7139</v>
      </c>
      <c r="G5850" s="113" t="s">
        <v>7145</v>
      </c>
      <c r="H5850" s="161">
        <v>0</v>
      </c>
      <c r="I5850" s="161" t="s">
        <v>7146</v>
      </c>
    </row>
    <row r="5851" spans="1:9">
      <c r="A5851" s="113">
        <v>100791960</v>
      </c>
      <c r="B5851" s="113" t="s">
        <v>7116</v>
      </c>
      <c r="C5851" s="113">
        <v>7991201</v>
      </c>
      <c r="D5851" s="113" t="s">
        <v>7139</v>
      </c>
      <c r="E5851" s="113" t="s">
        <v>1620</v>
      </c>
      <c r="F5851" s="113" t="s">
        <v>7139</v>
      </c>
      <c r="G5851" s="113" t="s">
        <v>7145</v>
      </c>
      <c r="H5851" s="161">
        <v>0</v>
      </c>
      <c r="I5851" s="161" t="s">
        <v>7146</v>
      </c>
    </row>
    <row r="5852" spans="1:9">
      <c r="A5852" s="113">
        <v>100791961</v>
      </c>
      <c r="B5852" s="113" t="s">
        <v>7116</v>
      </c>
      <c r="C5852" s="113">
        <v>7991210</v>
      </c>
      <c r="D5852" s="113" t="s">
        <v>7139</v>
      </c>
      <c r="E5852" s="113" t="s">
        <v>1620</v>
      </c>
      <c r="F5852" s="113" t="s">
        <v>7139</v>
      </c>
      <c r="G5852" s="113" t="s">
        <v>7145</v>
      </c>
      <c r="H5852" s="161">
        <v>0</v>
      </c>
      <c r="I5852" s="161" t="s">
        <v>7146</v>
      </c>
    </row>
    <row r="5853" spans="1:9">
      <c r="A5853" s="113">
        <v>100791962</v>
      </c>
      <c r="B5853" s="113" t="s">
        <v>7116</v>
      </c>
      <c r="C5853" s="113">
        <v>7991216</v>
      </c>
      <c r="D5853" s="113" t="s">
        <v>7139</v>
      </c>
      <c r="E5853" s="113" t="s">
        <v>1620</v>
      </c>
      <c r="F5853" s="113" t="s">
        <v>7139</v>
      </c>
      <c r="G5853" s="113" t="s">
        <v>7145</v>
      </c>
      <c r="H5853" s="161">
        <v>0</v>
      </c>
      <c r="I5853" s="161" t="s">
        <v>7146</v>
      </c>
    </row>
    <row r="5854" spans="1:9">
      <c r="A5854" s="113">
        <v>100791963</v>
      </c>
      <c r="B5854" s="113" t="s">
        <v>7116</v>
      </c>
      <c r="C5854" s="113">
        <v>7991217</v>
      </c>
      <c r="D5854" s="113" t="s">
        <v>7139</v>
      </c>
      <c r="E5854" s="113" t="s">
        <v>1620</v>
      </c>
      <c r="F5854" s="113" t="s">
        <v>7139</v>
      </c>
      <c r="G5854" s="113" t="s">
        <v>7145</v>
      </c>
      <c r="H5854" s="161">
        <v>0</v>
      </c>
      <c r="I5854" s="161" t="s">
        <v>7146</v>
      </c>
    </row>
    <row r="5855" spans="1:9">
      <c r="A5855" s="113">
        <v>100791964</v>
      </c>
      <c r="B5855" s="113" t="s">
        <v>7116</v>
      </c>
      <c r="C5855" s="113">
        <v>7991218</v>
      </c>
      <c r="D5855" s="113" t="s">
        <v>7139</v>
      </c>
      <c r="E5855" s="113" t="s">
        <v>1620</v>
      </c>
      <c r="F5855" s="113" t="s">
        <v>7139</v>
      </c>
      <c r="G5855" s="113" t="s">
        <v>7145</v>
      </c>
      <c r="H5855" s="161">
        <v>0</v>
      </c>
      <c r="I5855" s="161" t="s">
        <v>7146</v>
      </c>
    </row>
    <row r="5856" spans="1:9">
      <c r="A5856" s="113">
        <v>100791965</v>
      </c>
      <c r="B5856" s="113" t="s">
        <v>7116</v>
      </c>
      <c r="C5856" s="113">
        <v>7991219</v>
      </c>
      <c r="D5856" s="113" t="s">
        <v>7139</v>
      </c>
      <c r="E5856" s="113" t="s">
        <v>1620</v>
      </c>
      <c r="F5856" s="113" t="s">
        <v>7139</v>
      </c>
      <c r="G5856" s="113" t="s">
        <v>7145</v>
      </c>
      <c r="H5856" s="161">
        <v>0</v>
      </c>
      <c r="I5856" s="161" t="s">
        <v>7146</v>
      </c>
    </row>
    <row r="5857" spans="1:9">
      <c r="A5857" s="113">
        <v>100791966</v>
      </c>
      <c r="B5857" s="113" t="s">
        <v>7116</v>
      </c>
      <c r="C5857" s="113">
        <v>7991222</v>
      </c>
      <c r="D5857" s="113" t="s">
        <v>7139</v>
      </c>
      <c r="E5857" s="113" t="s">
        <v>1620</v>
      </c>
      <c r="F5857" s="113" t="s">
        <v>7139</v>
      </c>
      <c r="G5857" s="113" t="s">
        <v>7145</v>
      </c>
      <c r="H5857" s="161">
        <v>0</v>
      </c>
      <c r="I5857" s="161" t="s">
        <v>7146</v>
      </c>
    </row>
    <row r="5858" spans="1:9">
      <c r="A5858" s="113">
        <v>100791967</v>
      </c>
      <c r="B5858" s="113" t="s">
        <v>7116</v>
      </c>
      <c r="C5858" s="113">
        <v>7991232</v>
      </c>
      <c r="D5858" s="113" t="s">
        <v>7139</v>
      </c>
      <c r="E5858" s="113" t="s">
        <v>1620</v>
      </c>
      <c r="F5858" s="113" t="s">
        <v>7139</v>
      </c>
      <c r="G5858" s="113" t="s">
        <v>7145</v>
      </c>
      <c r="H5858" s="161">
        <v>0</v>
      </c>
      <c r="I5858" s="161" t="s">
        <v>7146</v>
      </c>
    </row>
    <row r="5859" spans="1:9">
      <c r="A5859" s="113">
        <v>100791968</v>
      </c>
      <c r="B5859" s="113" t="s">
        <v>7116</v>
      </c>
      <c r="C5859" s="113">
        <v>7991244</v>
      </c>
      <c r="D5859" s="113" t="s">
        <v>7139</v>
      </c>
      <c r="E5859" s="113" t="s">
        <v>1620</v>
      </c>
      <c r="F5859" s="113" t="s">
        <v>7139</v>
      </c>
      <c r="G5859" s="113" t="s">
        <v>7145</v>
      </c>
      <c r="H5859" s="161">
        <v>0</v>
      </c>
      <c r="I5859" s="161" t="s">
        <v>7146</v>
      </c>
    </row>
    <row r="5860" spans="1:9">
      <c r="A5860" s="113">
        <v>100791969</v>
      </c>
      <c r="B5860" s="113" t="s">
        <v>7116</v>
      </c>
      <c r="C5860" s="113">
        <v>7991245</v>
      </c>
      <c r="D5860" s="113" t="s">
        <v>7139</v>
      </c>
      <c r="E5860" s="113" t="s">
        <v>1620</v>
      </c>
      <c r="F5860" s="113" t="s">
        <v>7139</v>
      </c>
      <c r="G5860" s="113" t="s">
        <v>7145</v>
      </c>
      <c r="H5860" s="161">
        <v>0</v>
      </c>
      <c r="I5860" s="161" t="s">
        <v>7146</v>
      </c>
    </row>
    <row r="5861" spans="1:9">
      <c r="A5861" s="113">
        <v>100791970</v>
      </c>
      <c r="B5861" s="113" t="s">
        <v>7116</v>
      </c>
      <c r="C5861" s="113">
        <v>7991246</v>
      </c>
      <c r="D5861" s="113" t="s">
        <v>7139</v>
      </c>
      <c r="E5861" s="113" t="s">
        <v>1620</v>
      </c>
      <c r="F5861" s="113" t="s">
        <v>7139</v>
      </c>
      <c r="G5861" s="113" t="s">
        <v>7145</v>
      </c>
      <c r="H5861" s="161">
        <v>0</v>
      </c>
      <c r="I5861" s="161" t="s">
        <v>7146</v>
      </c>
    </row>
    <row r="5862" spans="1:9">
      <c r="A5862" s="113">
        <v>100791971</v>
      </c>
      <c r="B5862" s="113" t="s">
        <v>7116</v>
      </c>
      <c r="C5862" s="113">
        <v>7991249</v>
      </c>
      <c r="D5862" s="113" t="s">
        <v>7139</v>
      </c>
      <c r="E5862" s="113" t="s">
        <v>1620</v>
      </c>
      <c r="F5862" s="113" t="s">
        <v>7139</v>
      </c>
      <c r="G5862" s="113" t="s">
        <v>7145</v>
      </c>
      <c r="H5862" s="161">
        <v>0</v>
      </c>
      <c r="I5862" s="161" t="s">
        <v>7146</v>
      </c>
    </row>
    <row r="5863" spans="1:9">
      <c r="A5863" s="113">
        <v>100791972</v>
      </c>
      <c r="B5863" s="113" t="s">
        <v>7116</v>
      </c>
      <c r="C5863" s="113">
        <v>7991250</v>
      </c>
      <c r="D5863" s="113" t="s">
        <v>7139</v>
      </c>
      <c r="E5863" s="113" t="s">
        <v>1620</v>
      </c>
      <c r="F5863" s="113" t="s">
        <v>7139</v>
      </c>
      <c r="G5863" s="113" t="s">
        <v>7145</v>
      </c>
      <c r="H5863" s="161">
        <v>0</v>
      </c>
      <c r="I5863" s="161" t="s">
        <v>7146</v>
      </c>
    </row>
    <row r="5864" spans="1:9">
      <c r="A5864" s="113">
        <v>100791973</v>
      </c>
      <c r="B5864" s="113" t="s">
        <v>7116</v>
      </c>
      <c r="C5864" s="113">
        <v>7991253</v>
      </c>
      <c r="D5864" s="113" t="s">
        <v>7139</v>
      </c>
      <c r="E5864" s="113" t="s">
        <v>1620</v>
      </c>
      <c r="F5864" s="113" t="s">
        <v>7139</v>
      </c>
      <c r="G5864" s="113" t="s">
        <v>7145</v>
      </c>
      <c r="H5864" s="161">
        <v>0</v>
      </c>
      <c r="I5864" s="161" t="s">
        <v>7146</v>
      </c>
    </row>
    <row r="5865" spans="1:9">
      <c r="A5865" s="113">
        <v>100791974</v>
      </c>
      <c r="B5865" s="113" t="s">
        <v>7116</v>
      </c>
      <c r="C5865" s="113">
        <v>7991254</v>
      </c>
      <c r="D5865" s="113" t="s">
        <v>7139</v>
      </c>
      <c r="E5865" s="113" t="s">
        <v>1620</v>
      </c>
      <c r="F5865" s="113" t="s">
        <v>7139</v>
      </c>
      <c r="G5865" s="113" t="s">
        <v>7145</v>
      </c>
      <c r="H5865" s="161">
        <v>0</v>
      </c>
      <c r="I5865" s="161" t="s">
        <v>7146</v>
      </c>
    </row>
    <row r="5866" spans="1:9">
      <c r="A5866" s="113">
        <v>100791975</v>
      </c>
      <c r="B5866" s="113" t="s">
        <v>7116</v>
      </c>
      <c r="C5866" s="113">
        <v>7991255</v>
      </c>
      <c r="D5866" s="113" t="s">
        <v>7139</v>
      </c>
      <c r="E5866" s="113" t="s">
        <v>1620</v>
      </c>
      <c r="F5866" s="113" t="s">
        <v>7139</v>
      </c>
      <c r="G5866" s="113" t="s">
        <v>7145</v>
      </c>
      <c r="H5866" s="161">
        <v>0</v>
      </c>
      <c r="I5866" s="161" t="s">
        <v>7146</v>
      </c>
    </row>
    <row r="5867" spans="1:9">
      <c r="A5867" s="113">
        <v>100791976</v>
      </c>
      <c r="B5867" s="113" t="s">
        <v>7116</v>
      </c>
      <c r="C5867" s="113">
        <v>7991261</v>
      </c>
      <c r="D5867" s="113" t="s">
        <v>7139</v>
      </c>
      <c r="E5867" s="113" t="s">
        <v>1620</v>
      </c>
      <c r="F5867" s="113" t="s">
        <v>7139</v>
      </c>
      <c r="G5867" s="113" t="s">
        <v>7145</v>
      </c>
      <c r="H5867" s="161">
        <v>0</v>
      </c>
      <c r="I5867" s="161" t="s">
        <v>7146</v>
      </c>
    </row>
    <row r="5868" spans="1:9">
      <c r="A5868" s="113">
        <v>100791977</v>
      </c>
      <c r="B5868" s="113" t="s">
        <v>7116</v>
      </c>
      <c r="C5868" s="113">
        <v>7991264</v>
      </c>
      <c r="D5868" s="113" t="s">
        <v>7139</v>
      </c>
      <c r="E5868" s="113" t="s">
        <v>1620</v>
      </c>
      <c r="F5868" s="113" t="s">
        <v>7139</v>
      </c>
      <c r="G5868" s="113" t="s">
        <v>7145</v>
      </c>
      <c r="H5868" s="161">
        <v>0</v>
      </c>
      <c r="I5868" s="161" t="s">
        <v>7146</v>
      </c>
    </row>
    <row r="5869" spans="1:9">
      <c r="A5869" s="113">
        <v>100791978</v>
      </c>
      <c r="B5869" s="113" t="s">
        <v>7116</v>
      </c>
      <c r="C5869" s="113">
        <v>7991265</v>
      </c>
      <c r="D5869" s="113" t="s">
        <v>7139</v>
      </c>
      <c r="E5869" s="113" t="s">
        <v>1620</v>
      </c>
      <c r="F5869" s="113" t="s">
        <v>7139</v>
      </c>
      <c r="G5869" s="113" t="s">
        <v>7145</v>
      </c>
      <c r="H5869" s="161">
        <v>0</v>
      </c>
      <c r="I5869" s="161" t="s">
        <v>7146</v>
      </c>
    </row>
    <row r="5870" spans="1:9">
      <c r="A5870" s="113">
        <v>100791979</v>
      </c>
      <c r="B5870" s="113" t="s">
        <v>7116</v>
      </c>
      <c r="C5870" s="113">
        <v>7991266</v>
      </c>
      <c r="D5870" s="113" t="s">
        <v>7139</v>
      </c>
      <c r="E5870" s="113" t="s">
        <v>1620</v>
      </c>
      <c r="F5870" s="113" t="s">
        <v>7139</v>
      </c>
      <c r="G5870" s="113" t="s">
        <v>7145</v>
      </c>
      <c r="H5870" s="161">
        <v>0</v>
      </c>
      <c r="I5870" s="161" t="s">
        <v>7146</v>
      </c>
    </row>
    <row r="5871" spans="1:9">
      <c r="A5871" s="113">
        <v>100791980</v>
      </c>
      <c r="B5871" s="113" t="s">
        <v>7116</v>
      </c>
      <c r="C5871" s="113">
        <v>7991267</v>
      </c>
      <c r="D5871" s="113" t="s">
        <v>7139</v>
      </c>
      <c r="E5871" s="113" t="s">
        <v>1620</v>
      </c>
      <c r="F5871" s="113" t="s">
        <v>7139</v>
      </c>
      <c r="G5871" s="113" t="s">
        <v>7145</v>
      </c>
      <c r="H5871" s="161">
        <v>0</v>
      </c>
      <c r="I5871" s="161" t="s">
        <v>7146</v>
      </c>
    </row>
    <row r="5872" spans="1:9">
      <c r="A5872" s="113">
        <v>100791981</v>
      </c>
      <c r="B5872" s="113" t="s">
        <v>7116</v>
      </c>
      <c r="C5872" s="113">
        <v>7991268</v>
      </c>
      <c r="D5872" s="113" t="s">
        <v>7139</v>
      </c>
      <c r="E5872" s="113" t="s">
        <v>1620</v>
      </c>
      <c r="F5872" s="113" t="s">
        <v>7139</v>
      </c>
      <c r="G5872" s="113" t="s">
        <v>7145</v>
      </c>
      <c r="H5872" s="161">
        <v>0</v>
      </c>
      <c r="I5872" s="161" t="s">
        <v>7146</v>
      </c>
    </row>
    <row r="5873" spans="1:9">
      <c r="A5873" s="113">
        <v>100791982</v>
      </c>
      <c r="B5873" s="113" t="s">
        <v>7116</v>
      </c>
      <c r="C5873" s="113">
        <v>7991269</v>
      </c>
      <c r="D5873" s="113" t="s">
        <v>7139</v>
      </c>
      <c r="E5873" s="113" t="s">
        <v>1620</v>
      </c>
      <c r="F5873" s="113" t="s">
        <v>7139</v>
      </c>
      <c r="G5873" s="113" t="s">
        <v>7145</v>
      </c>
      <c r="H5873" s="161">
        <v>0</v>
      </c>
      <c r="I5873" s="161" t="s">
        <v>7146</v>
      </c>
    </row>
    <row r="5874" spans="1:9">
      <c r="A5874" s="113">
        <v>100791983</v>
      </c>
      <c r="B5874" s="113" t="s">
        <v>7116</v>
      </c>
      <c r="C5874" s="113">
        <v>7991271</v>
      </c>
      <c r="D5874" s="113" t="s">
        <v>7139</v>
      </c>
      <c r="E5874" s="113" t="s">
        <v>1620</v>
      </c>
      <c r="F5874" s="113" t="s">
        <v>7139</v>
      </c>
      <c r="G5874" s="113" t="s">
        <v>7145</v>
      </c>
      <c r="H5874" s="161">
        <v>0</v>
      </c>
      <c r="I5874" s="161" t="s">
        <v>7146</v>
      </c>
    </row>
    <row r="5875" spans="1:9">
      <c r="A5875" s="113">
        <v>100791984</v>
      </c>
      <c r="B5875" s="113" t="s">
        <v>7116</v>
      </c>
      <c r="C5875" s="113">
        <v>7991272</v>
      </c>
      <c r="D5875" s="113" t="s">
        <v>7139</v>
      </c>
      <c r="E5875" s="113" t="s">
        <v>1620</v>
      </c>
      <c r="F5875" s="113" t="s">
        <v>7139</v>
      </c>
      <c r="G5875" s="113" t="s">
        <v>7145</v>
      </c>
      <c r="H5875" s="161">
        <v>0</v>
      </c>
      <c r="I5875" s="161" t="s">
        <v>7146</v>
      </c>
    </row>
    <row r="5876" spans="1:9">
      <c r="A5876" s="113">
        <v>100791986</v>
      </c>
      <c r="B5876" s="113" t="s">
        <v>7116</v>
      </c>
      <c r="C5876" s="113">
        <v>7991284</v>
      </c>
      <c r="D5876" s="113" t="s">
        <v>7139</v>
      </c>
      <c r="E5876" s="113" t="s">
        <v>1620</v>
      </c>
      <c r="F5876" s="113" t="s">
        <v>7139</v>
      </c>
      <c r="G5876" s="113" t="s">
        <v>7145</v>
      </c>
      <c r="H5876" s="161">
        <v>0</v>
      </c>
      <c r="I5876" s="161" t="s">
        <v>7146</v>
      </c>
    </row>
    <row r="5877" spans="1:9">
      <c r="A5877" s="113">
        <v>100791987</v>
      </c>
      <c r="B5877" s="113" t="s">
        <v>7116</v>
      </c>
      <c r="C5877" s="113">
        <v>7991287</v>
      </c>
      <c r="D5877" s="113" t="s">
        <v>7139</v>
      </c>
      <c r="E5877" s="113" t="s">
        <v>1620</v>
      </c>
      <c r="F5877" s="113" t="s">
        <v>7139</v>
      </c>
      <c r="G5877" s="113" t="s">
        <v>7145</v>
      </c>
      <c r="H5877" s="161">
        <v>0</v>
      </c>
      <c r="I5877" s="161" t="s">
        <v>7146</v>
      </c>
    </row>
    <row r="5878" spans="1:9">
      <c r="A5878" s="113">
        <v>100791988</v>
      </c>
      <c r="B5878" s="113" t="s">
        <v>7116</v>
      </c>
      <c r="C5878" s="113">
        <v>7991290</v>
      </c>
      <c r="D5878" s="113" t="s">
        <v>7139</v>
      </c>
      <c r="E5878" s="113" t="s">
        <v>1620</v>
      </c>
      <c r="F5878" s="113" t="s">
        <v>7139</v>
      </c>
      <c r="G5878" s="113" t="s">
        <v>7145</v>
      </c>
      <c r="H5878" s="161">
        <v>0</v>
      </c>
      <c r="I5878" s="161" t="s">
        <v>7146</v>
      </c>
    </row>
    <row r="5879" spans="1:9">
      <c r="A5879" s="113">
        <v>100791989</v>
      </c>
      <c r="B5879" s="113" t="s">
        <v>7116</v>
      </c>
      <c r="C5879" s="113">
        <v>7991291</v>
      </c>
      <c r="D5879" s="113" t="s">
        <v>7139</v>
      </c>
      <c r="E5879" s="113" t="s">
        <v>1620</v>
      </c>
      <c r="F5879" s="113" t="s">
        <v>7139</v>
      </c>
      <c r="G5879" s="113" t="s">
        <v>7145</v>
      </c>
      <c r="H5879" s="161">
        <v>0</v>
      </c>
      <c r="I5879" s="161" t="s">
        <v>7146</v>
      </c>
    </row>
    <row r="5880" spans="1:9">
      <c r="A5880" s="113">
        <v>100791990</v>
      </c>
      <c r="B5880" s="113" t="s">
        <v>7116</v>
      </c>
      <c r="C5880" s="113">
        <v>7991293</v>
      </c>
      <c r="D5880" s="113" t="s">
        <v>7139</v>
      </c>
      <c r="E5880" s="113" t="s">
        <v>1620</v>
      </c>
      <c r="F5880" s="113" t="s">
        <v>7139</v>
      </c>
      <c r="G5880" s="113" t="s">
        <v>7145</v>
      </c>
      <c r="H5880" s="161">
        <v>0</v>
      </c>
      <c r="I5880" s="161" t="s">
        <v>7146</v>
      </c>
    </row>
    <row r="5881" spans="1:9">
      <c r="A5881" s="113">
        <v>100791991</v>
      </c>
      <c r="B5881" s="113" t="s">
        <v>7116</v>
      </c>
      <c r="C5881" s="113">
        <v>7991294</v>
      </c>
      <c r="D5881" s="113" t="s">
        <v>7139</v>
      </c>
      <c r="E5881" s="113" t="s">
        <v>1620</v>
      </c>
      <c r="F5881" s="113" t="s">
        <v>7139</v>
      </c>
      <c r="G5881" s="113" t="s">
        <v>7145</v>
      </c>
      <c r="H5881" s="161">
        <v>0</v>
      </c>
      <c r="I5881" s="161" t="s">
        <v>7146</v>
      </c>
    </row>
    <row r="5882" spans="1:9">
      <c r="A5882" s="113">
        <v>100791992</v>
      </c>
      <c r="B5882" s="113" t="s">
        <v>7116</v>
      </c>
      <c r="C5882" s="113">
        <v>7991297</v>
      </c>
      <c r="D5882" s="113" t="s">
        <v>7139</v>
      </c>
      <c r="E5882" s="113" t="s">
        <v>1620</v>
      </c>
      <c r="F5882" s="113" t="s">
        <v>7139</v>
      </c>
      <c r="G5882" s="113" t="s">
        <v>7145</v>
      </c>
      <c r="H5882" s="161">
        <v>0</v>
      </c>
      <c r="I5882" s="161" t="s">
        <v>7146</v>
      </c>
    </row>
    <row r="5883" spans="1:9">
      <c r="A5883" s="113">
        <v>100791993</v>
      </c>
      <c r="B5883" s="113" t="s">
        <v>7116</v>
      </c>
      <c r="C5883" s="113">
        <v>7991302</v>
      </c>
      <c r="D5883" s="113" t="s">
        <v>7139</v>
      </c>
      <c r="E5883" s="113" t="s">
        <v>1620</v>
      </c>
      <c r="F5883" s="113" t="s">
        <v>7139</v>
      </c>
      <c r="G5883" s="113" t="s">
        <v>7145</v>
      </c>
      <c r="H5883" s="161">
        <v>0</v>
      </c>
      <c r="I5883" s="161" t="s">
        <v>7146</v>
      </c>
    </row>
    <row r="5884" spans="1:9">
      <c r="A5884" s="113">
        <v>100791994</v>
      </c>
      <c r="B5884" s="113" t="s">
        <v>7116</v>
      </c>
      <c r="C5884" s="113">
        <v>7991304</v>
      </c>
      <c r="D5884" s="113" t="s">
        <v>7139</v>
      </c>
      <c r="E5884" s="113" t="s">
        <v>1620</v>
      </c>
      <c r="F5884" s="113" t="s">
        <v>7139</v>
      </c>
      <c r="G5884" s="113" t="s">
        <v>7145</v>
      </c>
      <c r="H5884" s="161">
        <v>0</v>
      </c>
      <c r="I5884" s="161" t="s">
        <v>7146</v>
      </c>
    </row>
    <row r="5885" spans="1:9">
      <c r="A5885" s="113">
        <v>100791995</v>
      </c>
      <c r="B5885" s="113" t="s">
        <v>7116</v>
      </c>
      <c r="C5885" s="113">
        <v>7991305</v>
      </c>
      <c r="D5885" s="113" t="s">
        <v>7139</v>
      </c>
      <c r="E5885" s="113" t="s">
        <v>1620</v>
      </c>
      <c r="F5885" s="113" t="s">
        <v>7139</v>
      </c>
      <c r="G5885" s="113" t="s">
        <v>7145</v>
      </c>
      <c r="H5885" s="161">
        <v>0</v>
      </c>
      <c r="I5885" s="161" t="s">
        <v>7146</v>
      </c>
    </row>
    <row r="5886" spans="1:9">
      <c r="A5886" s="113">
        <v>100791996</v>
      </c>
      <c r="B5886" s="113" t="s">
        <v>7116</v>
      </c>
      <c r="C5886" s="113">
        <v>7991315</v>
      </c>
      <c r="D5886" s="113" t="s">
        <v>7139</v>
      </c>
      <c r="E5886" s="113" t="s">
        <v>1620</v>
      </c>
      <c r="F5886" s="113" t="s">
        <v>7139</v>
      </c>
      <c r="G5886" s="113" t="s">
        <v>7145</v>
      </c>
      <c r="H5886" s="161">
        <v>0</v>
      </c>
      <c r="I5886" s="161" t="s">
        <v>7146</v>
      </c>
    </row>
    <row r="5887" spans="1:9">
      <c r="A5887" s="113">
        <v>100791997</v>
      </c>
      <c r="B5887" s="113" t="s">
        <v>7116</v>
      </c>
      <c r="C5887" s="113">
        <v>7991316</v>
      </c>
      <c r="D5887" s="113" t="s">
        <v>7139</v>
      </c>
      <c r="E5887" s="113" t="s">
        <v>1620</v>
      </c>
      <c r="F5887" s="113" t="s">
        <v>7139</v>
      </c>
      <c r="G5887" s="113" t="s">
        <v>7145</v>
      </c>
      <c r="H5887" s="161">
        <v>0</v>
      </c>
      <c r="I5887" s="161" t="s">
        <v>7146</v>
      </c>
    </row>
    <row r="5888" spans="1:9">
      <c r="A5888" s="113">
        <v>100791998</v>
      </c>
      <c r="B5888" s="113" t="s">
        <v>7116</v>
      </c>
      <c r="C5888" s="113">
        <v>7991320</v>
      </c>
      <c r="D5888" s="113" t="s">
        <v>7139</v>
      </c>
      <c r="E5888" s="113" t="s">
        <v>1620</v>
      </c>
      <c r="F5888" s="113" t="s">
        <v>7139</v>
      </c>
      <c r="G5888" s="113" t="s">
        <v>7145</v>
      </c>
      <c r="H5888" s="161">
        <v>0</v>
      </c>
      <c r="I5888" s="161" t="s">
        <v>7146</v>
      </c>
    </row>
    <row r="5889" spans="1:9">
      <c r="A5889" s="113">
        <v>100791999</v>
      </c>
      <c r="B5889" s="113" t="s">
        <v>7116</v>
      </c>
      <c r="C5889" s="113">
        <v>7991325</v>
      </c>
      <c r="D5889" s="113" t="s">
        <v>7139</v>
      </c>
      <c r="E5889" s="113" t="s">
        <v>1620</v>
      </c>
      <c r="F5889" s="113" t="s">
        <v>7139</v>
      </c>
      <c r="G5889" s="113" t="s">
        <v>7145</v>
      </c>
      <c r="H5889" s="161">
        <v>0</v>
      </c>
      <c r="I5889" s="161" t="s">
        <v>7146</v>
      </c>
    </row>
    <row r="5890" spans="1:9">
      <c r="A5890" s="113">
        <v>100792000</v>
      </c>
      <c r="B5890" s="113" t="s">
        <v>7116</v>
      </c>
      <c r="C5890" s="113">
        <v>7991326</v>
      </c>
      <c r="D5890" s="113" t="s">
        <v>7139</v>
      </c>
      <c r="E5890" s="113" t="s">
        <v>1620</v>
      </c>
      <c r="F5890" s="113" t="s">
        <v>7139</v>
      </c>
      <c r="G5890" s="113" t="s">
        <v>7145</v>
      </c>
      <c r="H5890" s="161">
        <v>0</v>
      </c>
      <c r="I5890" s="161" t="s">
        <v>7146</v>
      </c>
    </row>
    <row r="5891" spans="1:9">
      <c r="A5891" s="113">
        <v>100792001</v>
      </c>
      <c r="B5891" s="113" t="s">
        <v>7116</v>
      </c>
      <c r="C5891" s="113">
        <v>7991329</v>
      </c>
      <c r="D5891" s="113" t="s">
        <v>7139</v>
      </c>
      <c r="E5891" s="113" t="s">
        <v>1620</v>
      </c>
      <c r="F5891" s="113" t="s">
        <v>7139</v>
      </c>
      <c r="G5891" s="113" t="s">
        <v>7145</v>
      </c>
      <c r="H5891" s="161">
        <v>0</v>
      </c>
      <c r="I5891" s="161" t="s">
        <v>7146</v>
      </c>
    </row>
    <row r="5892" spans="1:9">
      <c r="A5892" s="113">
        <v>100792005</v>
      </c>
      <c r="B5892" s="113" t="s">
        <v>7116</v>
      </c>
      <c r="C5892" s="113">
        <v>7991336</v>
      </c>
      <c r="D5892" s="113" t="s">
        <v>7139</v>
      </c>
      <c r="E5892" s="113" t="s">
        <v>1620</v>
      </c>
      <c r="F5892" s="113" t="s">
        <v>7139</v>
      </c>
      <c r="G5892" s="113" t="s">
        <v>7145</v>
      </c>
      <c r="H5892" s="161">
        <v>0</v>
      </c>
      <c r="I5892" s="161" t="s">
        <v>7146</v>
      </c>
    </row>
    <row r="5893" spans="1:9">
      <c r="A5893" s="113">
        <v>100792006</v>
      </c>
      <c r="B5893" s="113" t="s">
        <v>7116</v>
      </c>
      <c r="C5893" s="113">
        <v>7991339</v>
      </c>
      <c r="D5893" s="113" t="s">
        <v>7139</v>
      </c>
      <c r="E5893" s="113" t="s">
        <v>1620</v>
      </c>
      <c r="F5893" s="113" t="s">
        <v>7139</v>
      </c>
      <c r="G5893" s="113" t="s">
        <v>7145</v>
      </c>
      <c r="H5893" s="161">
        <v>0</v>
      </c>
      <c r="I5893" s="161" t="s">
        <v>7146</v>
      </c>
    </row>
    <row r="5894" spans="1:9">
      <c r="A5894" s="113">
        <v>100792007</v>
      </c>
      <c r="B5894" s="113" t="s">
        <v>7116</v>
      </c>
      <c r="C5894" s="113">
        <v>7991341</v>
      </c>
      <c r="D5894" s="113" t="s">
        <v>7139</v>
      </c>
      <c r="E5894" s="113" t="s">
        <v>1620</v>
      </c>
      <c r="F5894" s="113" t="s">
        <v>7139</v>
      </c>
      <c r="G5894" s="113" t="s">
        <v>7145</v>
      </c>
      <c r="H5894" s="161">
        <v>0</v>
      </c>
      <c r="I5894" s="161" t="s">
        <v>7146</v>
      </c>
    </row>
    <row r="5895" spans="1:9">
      <c r="A5895" s="113">
        <v>100792008</v>
      </c>
      <c r="B5895" s="113" t="s">
        <v>7116</v>
      </c>
      <c r="C5895" s="113">
        <v>7991353</v>
      </c>
      <c r="D5895" s="113" t="s">
        <v>7139</v>
      </c>
      <c r="E5895" s="113" t="s">
        <v>1620</v>
      </c>
      <c r="F5895" s="113" t="s">
        <v>7139</v>
      </c>
      <c r="G5895" s="113" t="s">
        <v>7145</v>
      </c>
      <c r="H5895" s="161">
        <v>0</v>
      </c>
      <c r="I5895" s="161" t="s">
        <v>7146</v>
      </c>
    </row>
    <row r="5896" spans="1:9">
      <c r="A5896" s="113">
        <v>100792009</v>
      </c>
      <c r="B5896" s="113" t="s">
        <v>7116</v>
      </c>
      <c r="C5896" s="113">
        <v>7991357</v>
      </c>
      <c r="D5896" s="113" t="s">
        <v>7139</v>
      </c>
      <c r="E5896" s="113" t="s">
        <v>1620</v>
      </c>
      <c r="F5896" s="113" t="s">
        <v>7139</v>
      </c>
      <c r="G5896" s="113" t="s">
        <v>7145</v>
      </c>
      <c r="H5896" s="161">
        <v>0</v>
      </c>
      <c r="I5896" s="161" t="s">
        <v>7146</v>
      </c>
    </row>
    <row r="5897" spans="1:9">
      <c r="A5897" s="113">
        <v>100792010</v>
      </c>
      <c r="B5897" s="113" t="s">
        <v>7116</v>
      </c>
      <c r="C5897" s="113">
        <v>7991358</v>
      </c>
      <c r="D5897" s="113" t="s">
        <v>7139</v>
      </c>
      <c r="E5897" s="113" t="s">
        <v>1620</v>
      </c>
      <c r="F5897" s="113" t="s">
        <v>7139</v>
      </c>
      <c r="G5897" s="113" t="s">
        <v>7145</v>
      </c>
      <c r="H5897" s="161">
        <v>0</v>
      </c>
      <c r="I5897" s="161" t="s">
        <v>7146</v>
      </c>
    </row>
    <row r="5898" spans="1:9">
      <c r="A5898" s="113">
        <v>100792011</v>
      </c>
      <c r="B5898" s="113" t="s">
        <v>7116</v>
      </c>
      <c r="C5898" s="113">
        <v>7991360</v>
      </c>
      <c r="D5898" s="113" t="s">
        <v>7139</v>
      </c>
      <c r="E5898" s="113" t="s">
        <v>1620</v>
      </c>
      <c r="F5898" s="113" t="s">
        <v>7139</v>
      </c>
      <c r="G5898" s="113" t="s">
        <v>7145</v>
      </c>
      <c r="H5898" s="161">
        <v>0</v>
      </c>
      <c r="I5898" s="161" t="s">
        <v>7146</v>
      </c>
    </row>
    <row r="5899" spans="1:9">
      <c r="A5899" s="113">
        <v>100792012</v>
      </c>
      <c r="B5899" s="113" t="s">
        <v>7116</v>
      </c>
      <c r="C5899" s="113">
        <v>7991364</v>
      </c>
      <c r="D5899" s="113" t="s">
        <v>7139</v>
      </c>
      <c r="E5899" s="113" t="s">
        <v>1620</v>
      </c>
      <c r="F5899" s="113" t="s">
        <v>7139</v>
      </c>
      <c r="G5899" s="113" t="s">
        <v>7145</v>
      </c>
      <c r="H5899" s="161">
        <v>0</v>
      </c>
      <c r="I5899" s="161" t="s">
        <v>7146</v>
      </c>
    </row>
    <row r="5900" spans="1:9">
      <c r="A5900" s="113">
        <v>100792013</v>
      </c>
      <c r="B5900" s="113" t="s">
        <v>7116</v>
      </c>
      <c r="C5900" s="113">
        <v>7991365</v>
      </c>
      <c r="D5900" s="113" t="s">
        <v>7139</v>
      </c>
      <c r="E5900" s="113" t="s">
        <v>1620</v>
      </c>
      <c r="F5900" s="113" t="s">
        <v>7139</v>
      </c>
      <c r="G5900" s="113" t="s">
        <v>7145</v>
      </c>
      <c r="H5900" s="161">
        <v>0</v>
      </c>
      <c r="I5900" s="161" t="s">
        <v>7146</v>
      </c>
    </row>
    <row r="5901" spans="1:9">
      <c r="A5901" s="113">
        <v>100792014</v>
      </c>
      <c r="B5901" s="113" t="s">
        <v>7116</v>
      </c>
      <c r="C5901" s="113">
        <v>7991366</v>
      </c>
      <c r="D5901" s="113" t="s">
        <v>7139</v>
      </c>
      <c r="E5901" s="113" t="s">
        <v>1620</v>
      </c>
      <c r="F5901" s="113" t="s">
        <v>7139</v>
      </c>
      <c r="G5901" s="113" t="s">
        <v>7145</v>
      </c>
      <c r="H5901" s="161">
        <v>0</v>
      </c>
      <c r="I5901" s="161" t="s">
        <v>7146</v>
      </c>
    </row>
    <row r="5902" spans="1:9">
      <c r="A5902" s="113">
        <v>100792015</v>
      </c>
      <c r="B5902" s="113" t="s">
        <v>7116</v>
      </c>
      <c r="C5902" s="113">
        <v>7991367</v>
      </c>
      <c r="D5902" s="113" t="s">
        <v>7139</v>
      </c>
      <c r="E5902" s="113" t="s">
        <v>1620</v>
      </c>
      <c r="F5902" s="113" t="s">
        <v>7139</v>
      </c>
      <c r="G5902" s="115" t="s">
        <v>7145</v>
      </c>
      <c r="H5902" s="161">
        <v>0</v>
      </c>
      <c r="I5902" s="161" t="s">
        <v>7146</v>
      </c>
    </row>
    <row r="5903" spans="1:9">
      <c r="A5903" s="113">
        <v>100792016</v>
      </c>
      <c r="B5903" s="113" t="s">
        <v>7116</v>
      </c>
      <c r="C5903" s="113">
        <v>7991369</v>
      </c>
      <c r="D5903" s="113" t="s">
        <v>7139</v>
      </c>
      <c r="E5903" s="113" t="s">
        <v>1620</v>
      </c>
      <c r="F5903" s="113" t="s">
        <v>7139</v>
      </c>
      <c r="G5903" s="115" t="s">
        <v>7145</v>
      </c>
      <c r="H5903" s="161">
        <v>0</v>
      </c>
      <c r="I5903" s="161" t="s">
        <v>7146</v>
      </c>
    </row>
    <row r="5904" spans="1:9">
      <c r="A5904" s="113">
        <v>100792017</v>
      </c>
      <c r="B5904" s="113" t="s">
        <v>7116</v>
      </c>
      <c r="C5904" s="113">
        <v>7991371</v>
      </c>
      <c r="D5904" s="113" t="s">
        <v>7139</v>
      </c>
      <c r="E5904" s="113" t="s">
        <v>1620</v>
      </c>
      <c r="F5904" s="113" t="s">
        <v>7139</v>
      </c>
      <c r="G5904" s="115" t="s">
        <v>7145</v>
      </c>
      <c r="H5904" s="161">
        <v>0</v>
      </c>
      <c r="I5904" s="161" t="s">
        <v>7146</v>
      </c>
    </row>
    <row r="5905" spans="1:9">
      <c r="A5905" s="113">
        <v>100792018</v>
      </c>
      <c r="B5905" s="113" t="s">
        <v>7116</v>
      </c>
      <c r="C5905" s="113">
        <v>7991372</v>
      </c>
      <c r="D5905" s="113" t="s">
        <v>7139</v>
      </c>
      <c r="E5905" s="113" t="s">
        <v>1620</v>
      </c>
      <c r="F5905" s="113" t="s">
        <v>7139</v>
      </c>
      <c r="G5905" s="113" t="s">
        <v>7145</v>
      </c>
      <c r="H5905" s="161">
        <v>0</v>
      </c>
      <c r="I5905" s="161" t="s">
        <v>7146</v>
      </c>
    </row>
    <row r="5906" spans="1:9">
      <c r="A5906" s="113">
        <v>100792019</v>
      </c>
      <c r="B5906" s="113" t="s">
        <v>7116</v>
      </c>
      <c r="C5906" s="113">
        <v>7991373</v>
      </c>
      <c r="D5906" s="113" t="s">
        <v>7139</v>
      </c>
      <c r="E5906" s="113" t="s">
        <v>1620</v>
      </c>
      <c r="F5906" s="113" t="s">
        <v>7139</v>
      </c>
      <c r="G5906" s="115" t="s">
        <v>7145</v>
      </c>
      <c r="H5906" s="161">
        <v>0</v>
      </c>
      <c r="I5906" s="161" t="s">
        <v>7146</v>
      </c>
    </row>
    <row r="5907" spans="1:9">
      <c r="A5907" s="113">
        <v>100792020</v>
      </c>
      <c r="B5907" s="113" t="s">
        <v>7116</v>
      </c>
      <c r="C5907" s="113">
        <v>7991376</v>
      </c>
      <c r="D5907" s="113" t="s">
        <v>7139</v>
      </c>
      <c r="E5907" s="113" t="s">
        <v>1620</v>
      </c>
      <c r="F5907" s="113" t="s">
        <v>7139</v>
      </c>
      <c r="G5907" s="115" t="s">
        <v>7145</v>
      </c>
      <c r="H5907" s="161">
        <v>0</v>
      </c>
      <c r="I5907" s="161" t="s">
        <v>7146</v>
      </c>
    </row>
    <row r="5908" spans="1:9">
      <c r="A5908" s="113">
        <v>100792021</v>
      </c>
      <c r="B5908" s="113" t="s">
        <v>7116</v>
      </c>
      <c r="C5908" s="113">
        <v>7991377</v>
      </c>
      <c r="D5908" s="113" t="s">
        <v>7139</v>
      </c>
      <c r="E5908" s="113" t="s">
        <v>1620</v>
      </c>
      <c r="F5908" s="113" t="s">
        <v>7139</v>
      </c>
      <c r="G5908" s="115" t="s">
        <v>7145</v>
      </c>
      <c r="H5908" s="161">
        <v>0</v>
      </c>
      <c r="I5908" s="161" t="s">
        <v>7146</v>
      </c>
    </row>
    <row r="5909" spans="1:9">
      <c r="A5909" s="113">
        <v>100792022</v>
      </c>
      <c r="B5909" s="113" t="s">
        <v>7116</v>
      </c>
      <c r="C5909" s="113">
        <v>7991387</v>
      </c>
      <c r="D5909" s="113" t="s">
        <v>7139</v>
      </c>
      <c r="E5909" s="113" t="s">
        <v>1620</v>
      </c>
      <c r="F5909" s="113" t="s">
        <v>7139</v>
      </c>
      <c r="G5909" s="115" t="s">
        <v>7145</v>
      </c>
      <c r="H5909" s="161">
        <v>0</v>
      </c>
      <c r="I5909" s="161" t="s">
        <v>7146</v>
      </c>
    </row>
    <row r="5910" spans="1:9">
      <c r="A5910" s="113">
        <v>100792023</v>
      </c>
      <c r="B5910" s="113" t="s">
        <v>7116</v>
      </c>
      <c r="C5910" s="113">
        <v>7991388</v>
      </c>
      <c r="D5910" s="113" t="s">
        <v>7139</v>
      </c>
      <c r="E5910" s="113" t="s">
        <v>1620</v>
      </c>
      <c r="F5910" s="113" t="s">
        <v>7139</v>
      </c>
      <c r="G5910" s="115" t="s">
        <v>7145</v>
      </c>
      <c r="H5910" s="161">
        <v>0</v>
      </c>
      <c r="I5910" s="161" t="s">
        <v>7146</v>
      </c>
    </row>
    <row r="5911" spans="1:9">
      <c r="A5911" s="113">
        <v>100792024</v>
      </c>
      <c r="B5911" s="113" t="s">
        <v>7116</v>
      </c>
      <c r="C5911" s="113">
        <v>7991389</v>
      </c>
      <c r="D5911" s="113" t="s">
        <v>7139</v>
      </c>
      <c r="E5911" s="113" t="s">
        <v>1620</v>
      </c>
      <c r="F5911" s="113" t="s">
        <v>7139</v>
      </c>
      <c r="G5911" s="115" t="s">
        <v>7145</v>
      </c>
      <c r="H5911" s="161">
        <v>0</v>
      </c>
      <c r="I5911" s="161" t="s">
        <v>7146</v>
      </c>
    </row>
    <row r="5912" spans="1:9">
      <c r="A5912" s="113">
        <v>100792025</v>
      </c>
      <c r="B5912" s="113" t="s">
        <v>7116</v>
      </c>
      <c r="C5912" s="113">
        <v>7991392</v>
      </c>
      <c r="D5912" s="113" t="s">
        <v>7139</v>
      </c>
      <c r="E5912" s="113" t="s">
        <v>1620</v>
      </c>
      <c r="F5912" s="113" t="s">
        <v>7139</v>
      </c>
      <c r="G5912" s="113" t="s">
        <v>7145</v>
      </c>
      <c r="H5912" s="161">
        <v>0</v>
      </c>
      <c r="I5912" s="161" t="s">
        <v>7146</v>
      </c>
    </row>
    <row r="5913" spans="1:9">
      <c r="A5913" s="113">
        <v>100792026</v>
      </c>
      <c r="B5913" s="113" t="s">
        <v>7116</v>
      </c>
      <c r="C5913" s="113">
        <v>7991393</v>
      </c>
      <c r="D5913" s="113" t="s">
        <v>7139</v>
      </c>
      <c r="E5913" s="113" t="s">
        <v>1620</v>
      </c>
      <c r="F5913" s="113" t="s">
        <v>7139</v>
      </c>
      <c r="G5913" s="113" t="s">
        <v>7145</v>
      </c>
      <c r="H5913" s="161">
        <v>0</v>
      </c>
      <c r="I5913" s="161" t="s">
        <v>7146</v>
      </c>
    </row>
    <row r="5914" spans="1:9">
      <c r="A5914" s="113">
        <v>100792027</v>
      </c>
      <c r="B5914" s="113" t="s">
        <v>7116</v>
      </c>
      <c r="C5914" s="113">
        <v>7991394</v>
      </c>
      <c r="D5914" s="113" t="s">
        <v>7139</v>
      </c>
      <c r="E5914" s="113" t="s">
        <v>1620</v>
      </c>
      <c r="F5914" s="113" t="s">
        <v>7139</v>
      </c>
      <c r="G5914" s="113" t="s">
        <v>7145</v>
      </c>
      <c r="H5914" s="161">
        <v>0</v>
      </c>
      <c r="I5914" s="161" t="s">
        <v>7146</v>
      </c>
    </row>
    <row r="5915" spans="1:9">
      <c r="A5915" s="113">
        <v>100792028</v>
      </c>
      <c r="B5915" s="113" t="s">
        <v>7116</v>
      </c>
      <c r="C5915" s="113">
        <v>7991395</v>
      </c>
      <c r="D5915" s="113" t="s">
        <v>7139</v>
      </c>
      <c r="E5915" s="113" t="s">
        <v>1620</v>
      </c>
      <c r="F5915" s="113" t="s">
        <v>7139</v>
      </c>
      <c r="G5915" s="113" t="s">
        <v>7145</v>
      </c>
      <c r="H5915" s="161">
        <v>0</v>
      </c>
      <c r="I5915" s="161" t="s">
        <v>7146</v>
      </c>
    </row>
    <row r="5916" spans="1:9">
      <c r="A5916" s="113">
        <v>100792029</v>
      </c>
      <c r="B5916" s="113" t="s">
        <v>7116</v>
      </c>
      <c r="C5916" s="113">
        <v>7991400</v>
      </c>
      <c r="D5916" s="113" t="s">
        <v>7139</v>
      </c>
      <c r="E5916" s="113" t="s">
        <v>1620</v>
      </c>
      <c r="F5916" s="113" t="s">
        <v>7139</v>
      </c>
      <c r="G5916" s="113" t="s">
        <v>7145</v>
      </c>
      <c r="H5916" s="161">
        <v>0</v>
      </c>
      <c r="I5916" s="161" t="s">
        <v>7146</v>
      </c>
    </row>
    <row r="5917" spans="1:9">
      <c r="A5917" s="113">
        <v>100792030</v>
      </c>
      <c r="B5917" s="113" t="s">
        <v>7116</v>
      </c>
      <c r="C5917" s="113">
        <v>7991405</v>
      </c>
      <c r="D5917" s="113" t="s">
        <v>7139</v>
      </c>
      <c r="E5917" s="113" t="s">
        <v>1620</v>
      </c>
      <c r="F5917" s="113" t="s">
        <v>7139</v>
      </c>
      <c r="G5917" s="113" t="s">
        <v>7145</v>
      </c>
      <c r="H5917" s="161">
        <v>0</v>
      </c>
      <c r="I5917" s="161" t="s">
        <v>7146</v>
      </c>
    </row>
    <row r="5918" spans="1:9">
      <c r="A5918" s="113">
        <v>100792031</v>
      </c>
      <c r="B5918" s="113" t="s">
        <v>7116</v>
      </c>
      <c r="C5918" s="113">
        <v>7991410</v>
      </c>
      <c r="D5918" s="113" t="s">
        <v>7139</v>
      </c>
      <c r="E5918" s="113" t="s">
        <v>1620</v>
      </c>
      <c r="F5918" s="113" t="s">
        <v>7139</v>
      </c>
      <c r="G5918" s="113" t="s">
        <v>7145</v>
      </c>
      <c r="H5918" s="161">
        <v>0</v>
      </c>
      <c r="I5918" s="161" t="s">
        <v>7146</v>
      </c>
    </row>
    <row r="5919" spans="1:9">
      <c r="A5919" s="113">
        <v>100792032</v>
      </c>
      <c r="B5919" s="113" t="s">
        <v>7116</v>
      </c>
      <c r="C5919" s="113">
        <v>7991422</v>
      </c>
      <c r="D5919" s="113" t="s">
        <v>7139</v>
      </c>
      <c r="E5919" s="113" t="s">
        <v>1620</v>
      </c>
      <c r="F5919" s="113" t="s">
        <v>7139</v>
      </c>
      <c r="G5919" s="113" t="s">
        <v>7145</v>
      </c>
      <c r="H5919" s="161">
        <v>0</v>
      </c>
      <c r="I5919" s="161" t="s">
        <v>7146</v>
      </c>
    </row>
    <row r="5920" spans="1:9">
      <c r="A5920" s="113">
        <v>100792033</v>
      </c>
      <c r="B5920" s="113" t="s">
        <v>7116</v>
      </c>
      <c r="C5920" s="113">
        <v>7991425</v>
      </c>
      <c r="D5920" s="113" t="s">
        <v>7139</v>
      </c>
      <c r="E5920" s="113" t="s">
        <v>1620</v>
      </c>
      <c r="F5920" s="113" t="s">
        <v>7139</v>
      </c>
      <c r="G5920" s="113" t="s">
        <v>7145</v>
      </c>
      <c r="H5920" s="161">
        <v>0</v>
      </c>
      <c r="I5920" s="161" t="s">
        <v>7146</v>
      </c>
    </row>
    <row r="5921" spans="1:9">
      <c r="A5921" s="113">
        <v>100792034</v>
      </c>
      <c r="B5921" s="113" t="s">
        <v>7116</v>
      </c>
      <c r="C5921" s="113">
        <v>7991431</v>
      </c>
      <c r="D5921" s="113" t="s">
        <v>7139</v>
      </c>
      <c r="E5921" s="113" t="s">
        <v>1620</v>
      </c>
      <c r="F5921" s="113" t="s">
        <v>7139</v>
      </c>
      <c r="G5921" s="113" t="s">
        <v>7145</v>
      </c>
      <c r="H5921" s="161">
        <v>0</v>
      </c>
      <c r="I5921" s="161" t="s">
        <v>7146</v>
      </c>
    </row>
    <row r="5922" spans="1:9">
      <c r="A5922" s="113">
        <v>100792035</v>
      </c>
      <c r="B5922" s="113" t="s">
        <v>7116</v>
      </c>
      <c r="C5922" s="113">
        <v>7991432</v>
      </c>
      <c r="D5922" s="113" t="s">
        <v>7139</v>
      </c>
      <c r="E5922" s="113" t="s">
        <v>1620</v>
      </c>
      <c r="F5922" s="113" t="s">
        <v>7139</v>
      </c>
      <c r="G5922" s="113" t="s">
        <v>7145</v>
      </c>
      <c r="H5922" s="161">
        <v>0</v>
      </c>
      <c r="I5922" s="161" t="s">
        <v>7146</v>
      </c>
    </row>
    <row r="5923" spans="1:9">
      <c r="A5923" s="113">
        <v>100792036</v>
      </c>
      <c r="B5923" s="113" t="s">
        <v>7116</v>
      </c>
      <c r="C5923" s="113">
        <v>7991453</v>
      </c>
      <c r="D5923" s="113" t="s">
        <v>7139</v>
      </c>
      <c r="E5923" s="113" t="s">
        <v>1620</v>
      </c>
      <c r="F5923" s="113" t="s">
        <v>7139</v>
      </c>
      <c r="G5923" s="113" t="s">
        <v>7145</v>
      </c>
      <c r="H5923" s="161">
        <v>0</v>
      </c>
      <c r="I5923" s="161" t="s">
        <v>7146</v>
      </c>
    </row>
    <row r="5924" spans="1:9">
      <c r="A5924" s="113">
        <v>100792037</v>
      </c>
      <c r="B5924" s="113" t="s">
        <v>7116</v>
      </c>
      <c r="C5924" s="113">
        <v>7991454</v>
      </c>
      <c r="D5924" s="113" t="s">
        <v>7139</v>
      </c>
      <c r="E5924" s="113" t="s">
        <v>1620</v>
      </c>
      <c r="F5924" s="113" t="s">
        <v>7139</v>
      </c>
      <c r="G5924" s="113" t="s">
        <v>7145</v>
      </c>
      <c r="H5924" s="161">
        <v>0</v>
      </c>
      <c r="I5924" s="161" t="s">
        <v>7146</v>
      </c>
    </row>
    <row r="5925" spans="1:9">
      <c r="A5925" s="113">
        <v>100792038</v>
      </c>
      <c r="B5925" s="113" t="s">
        <v>7116</v>
      </c>
      <c r="C5925" s="113">
        <v>7991455</v>
      </c>
      <c r="D5925" s="113" t="s">
        <v>7139</v>
      </c>
      <c r="E5925" s="113" t="s">
        <v>1620</v>
      </c>
      <c r="F5925" s="113" t="s">
        <v>7139</v>
      </c>
      <c r="G5925" s="113" t="s">
        <v>7145</v>
      </c>
      <c r="H5925" s="161">
        <v>0</v>
      </c>
      <c r="I5925" s="161" t="s">
        <v>7146</v>
      </c>
    </row>
    <row r="5926" spans="1:9">
      <c r="A5926" s="113">
        <v>100792039</v>
      </c>
      <c r="B5926" s="113" t="s">
        <v>7116</v>
      </c>
      <c r="C5926" s="113">
        <v>7991459</v>
      </c>
      <c r="D5926" s="113" t="s">
        <v>7139</v>
      </c>
      <c r="E5926" s="113" t="s">
        <v>1620</v>
      </c>
      <c r="F5926" s="113" t="s">
        <v>7139</v>
      </c>
      <c r="G5926" s="113" t="s">
        <v>7145</v>
      </c>
      <c r="H5926" s="161">
        <v>0</v>
      </c>
      <c r="I5926" s="161" t="s">
        <v>7146</v>
      </c>
    </row>
    <row r="5927" spans="1:9">
      <c r="A5927" s="113">
        <v>100792040</v>
      </c>
      <c r="B5927" s="113" t="s">
        <v>7116</v>
      </c>
      <c r="C5927" s="113">
        <v>7991461</v>
      </c>
      <c r="D5927" s="113" t="s">
        <v>7139</v>
      </c>
      <c r="E5927" s="113" t="s">
        <v>1620</v>
      </c>
      <c r="F5927" s="113" t="s">
        <v>7139</v>
      </c>
      <c r="G5927" s="113" t="s">
        <v>7145</v>
      </c>
      <c r="H5927" s="161">
        <v>0</v>
      </c>
      <c r="I5927" s="161" t="s">
        <v>7146</v>
      </c>
    </row>
    <row r="5928" spans="1:9">
      <c r="A5928" s="113">
        <v>100792041</v>
      </c>
      <c r="B5928" s="113" t="s">
        <v>7116</v>
      </c>
      <c r="C5928" s="113">
        <v>7991477</v>
      </c>
      <c r="D5928" s="113" t="s">
        <v>7139</v>
      </c>
      <c r="E5928" s="113" t="s">
        <v>1620</v>
      </c>
      <c r="F5928" s="113" t="s">
        <v>7139</v>
      </c>
      <c r="G5928" s="113" t="s">
        <v>7145</v>
      </c>
      <c r="H5928" s="161">
        <v>0</v>
      </c>
      <c r="I5928" s="161" t="s">
        <v>7146</v>
      </c>
    </row>
    <row r="5929" spans="1:9">
      <c r="A5929" s="113">
        <v>100792042</v>
      </c>
      <c r="B5929" s="113" t="s">
        <v>7116</v>
      </c>
      <c r="C5929" s="113">
        <v>7991478</v>
      </c>
      <c r="D5929" s="113" t="s">
        <v>7139</v>
      </c>
      <c r="E5929" s="113" t="s">
        <v>1620</v>
      </c>
      <c r="F5929" s="113" t="s">
        <v>7139</v>
      </c>
      <c r="G5929" s="113" t="s">
        <v>7145</v>
      </c>
      <c r="H5929" s="161">
        <v>0</v>
      </c>
      <c r="I5929" s="161" t="s">
        <v>7146</v>
      </c>
    </row>
    <row r="5930" spans="1:9">
      <c r="A5930" s="113">
        <v>100792043</v>
      </c>
      <c r="B5930" s="113" t="s">
        <v>7116</v>
      </c>
      <c r="C5930" s="113">
        <v>7991484</v>
      </c>
      <c r="D5930" s="113" t="s">
        <v>7139</v>
      </c>
      <c r="E5930" s="113" t="s">
        <v>1620</v>
      </c>
      <c r="F5930" s="113" t="s">
        <v>7139</v>
      </c>
      <c r="G5930" s="113" t="s">
        <v>7145</v>
      </c>
      <c r="H5930" s="161">
        <v>0</v>
      </c>
      <c r="I5930" s="161" t="s">
        <v>7146</v>
      </c>
    </row>
    <row r="5931" spans="1:9">
      <c r="A5931" s="113">
        <v>100792044</v>
      </c>
      <c r="B5931" s="113" t="s">
        <v>7116</v>
      </c>
      <c r="C5931" s="113">
        <v>7991486</v>
      </c>
      <c r="D5931" s="113" t="s">
        <v>7139</v>
      </c>
      <c r="E5931" s="113" t="s">
        <v>1620</v>
      </c>
      <c r="F5931" s="113" t="s">
        <v>7139</v>
      </c>
      <c r="G5931" s="113" t="s">
        <v>7145</v>
      </c>
      <c r="H5931" s="161">
        <v>0</v>
      </c>
      <c r="I5931" s="161" t="s">
        <v>7146</v>
      </c>
    </row>
    <row r="5932" spans="1:9">
      <c r="A5932" s="113">
        <v>100792045</v>
      </c>
      <c r="B5932" s="113" t="s">
        <v>7116</v>
      </c>
      <c r="C5932" s="113">
        <v>7991489</v>
      </c>
      <c r="D5932" s="113" t="s">
        <v>7139</v>
      </c>
      <c r="E5932" s="113" t="s">
        <v>1620</v>
      </c>
      <c r="F5932" s="113" t="s">
        <v>7139</v>
      </c>
      <c r="G5932" s="113" t="s">
        <v>7145</v>
      </c>
      <c r="H5932" s="161">
        <v>0</v>
      </c>
      <c r="I5932" s="161" t="s">
        <v>7146</v>
      </c>
    </row>
    <row r="5933" spans="1:9">
      <c r="A5933" s="113">
        <v>100792046</v>
      </c>
      <c r="B5933" s="113" t="s">
        <v>7116</v>
      </c>
      <c r="C5933" s="113">
        <v>7991491</v>
      </c>
      <c r="D5933" s="113" t="s">
        <v>7139</v>
      </c>
      <c r="E5933" s="113" t="s">
        <v>1620</v>
      </c>
      <c r="F5933" s="113" t="s">
        <v>7139</v>
      </c>
      <c r="G5933" s="113" t="s">
        <v>7145</v>
      </c>
      <c r="H5933" s="161">
        <v>0</v>
      </c>
      <c r="I5933" s="161" t="s">
        <v>7146</v>
      </c>
    </row>
    <row r="5934" spans="1:9">
      <c r="A5934" s="113">
        <v>100792047</v>
      </c>
      <c r="B5934" s="113" t="s">
        <v>7116</v>
      </c>
      <c r="C5934" s="113">
        <v>7991500</v>
      </c>
      <c r="D5934" s="113" t="s">
        <v>7139</v>
      </c>
      <c r="E5934" s="113" t="s">
        <v>1620</v>
      </c>
      <c r="F5934" s="113" t="s">
        <v>7139</v>
      </c>
      <c r="G5934" s="113" t="s">
        <v>7145</v>
      </c>
      <c r="H5934" s="161">
        <v>0</v>
      </c>
      <c r="I5934" s="161" t="s">
        <v>7146</v>
      </c>
    </row>
    <row r="5935" spans="1:9">
      <c r="A5935" s="113">
        <v>100792048</v>
      </c>
      <c r="B5935" s="113" t="s">
        <v>7116</v>
      </c>
      <c r="C5935" s="113">
        <v>7991513</v>
      </c>
      <c r="D5935" s="113" t="s">
        <v>7139</v>
      </c>
      <c r="E5935" s="113" t="s">
        <v>1620</v>
      </c>
      <c r="F5935" s="113" t="s">
        <v>7139</v>
      </c>
      <c r="G5935" s="113" t="s">
        <v>7145</v>
      </c>
      <c r="H5935" s="161">
        <v>0</v>
      </c>
      <c r="I5935" s="161" t="s">
        <v>7146</v>
      </c>
    </row>
    <row r="5936" spans="1:9">
      <c r="A5936" s="113">
        <v>100792049</v>
      </c>
      <c r="B5936" s="113" t="s">
        <v>7116</v>
      </c>
      <c r="C5936" s="113">
        <v>7991514</v>
      </c>
      <c r="D5936" s="113" t="s">
        <v>7139</v>
      </c>
      <c r="E5936" s="113" t="s">
        <v>1620</v>
      </c>
      <c r="F5936" s="113" t="s">
        <v>7139</v>
      </c>
      <c r="G5936" s="113" t="s">
        <v>7145</v>
      </c>
      <c r="H5936" s="161">
        <v>0</v>
      </c>
      <c r="I5936" s="161" t="s">
        <v>7146</v>
      </c>
    </row>
    <row r="5937" spans="1:9">
      <c r="A5937" s="113">
        <v>100792050</v>
      </c>
      <c r="B5937" s="113" t="s">
        <v>7116</v>
      </c>
      <c r="C5937" s="113">
        <v>7991516</v>
      </c>
      <c r="D5937" s="113" t="s">
        <v>7139</v>
      </c>
      <c r="E5937" s="113" t="s">
        <v>1620</v>
      </c>
      <c r="F5937" s="113" t="s">
        <v>7139</v>
      </c>
      <c r="G5937" s="113" t="s">
        <v>7145</v>
      </c>
      <c r="H5937" s="161">
        <v>0</v>
      </c>
      <c r="I5937" s="161" t="s">
        <v>7146</v>
      </c>
    </row>
    <row r="5938" spans="1:9">
      <c r="A5938" s="113">
        <v>100792051</v>
      </c>
      <c r="B5938" s="113" t="s">
        <v>7116</v>
      </c>
      <c r="C5938" s="113">
        <v>7991522</v>
      </c>
      <c r="D5938" s="113" t="s">
        <v>7139</v>
      </c>
      <c r="E5938" s="113" t="s">
        <v>1620</v>
      </c>
      <c r="F5938" s="113" t="s">
        <v>7139</v>
      </c>
      <c r="G5938" s="113" t="s">
        <v>7145</v>
      </c>
      <c r="H5938" s="161">
        <v>0</v>
      </c>
      <c r="I5938" s="161" t="s">
        <v>7146</v>
      </c>
    </row>
    <row r="5939" spans="1:9">
      <c r="A5939" s="113">
        <v>100792052</v>
      </c>
      <c r="B5939" s="113" t="s">
        <v>7116</v>
      </c>
      <c r="C5939" s="113">
        <v>7991532</v>
      </c>
      <c r="D5939" s="113" t="s">
        <v>7139</v>
      </c>
      <c r="E5939" s="113" t="s">
        <v>1620</v>
      </c>
      <c r="F5939" s="113" t="s">
        <v>7139</v>
      </c>
      <c r="G5939" s="115" t="s">
        <v>7145</v>
      </c>
      <c r="H5939" s="161">
        <v>0</v>
      </c>
      <c r="I5939" s="161" t="s">
        <v>7146</v>
      </c>
    </row>
    <row r="5940" spans="1:9">
      <c r="A5940" s="113">
        <v>100792053</v>
      </c>
      <c r="B5940" s="113" t="s">
        <v>7116</v>
      </c>
      <c r="C5940" s="113">
        <v>7991535</v>
      </c>
      <c r="D5940" s="113" t="s">
        <v>7139</v>
      </c>
      <c r="E5940" s="113" t="s">
        <v>1620</v>
      </c>
      <c r="F5940" s="113" t="s">
        <v>7139</v>
      </c>
      <c r="G5940" s="113" t="s">
        <v>7145</v>
      </c>
      <c r="H5940" s="161">
        <v>0</v>
      </c>
      <c r="I5940" s="161" t="s">
        <v>7146</v>
      </c>
    </row>
    <row r="5941" spans="1:9">
      <c r="A5941" s="113">
        <v>100792054</v>
      </c>
      <c r="B5941" s="113" t="s">
        <v>7116</v>
      </c>
      <c r="C5941" s="113">
        <v>7991544</v>
      </c>
      <c r="D5941" s="113" t="s">
        <v>7139</v>
      </c>
      <c r="E5941" s="113" t="s">
        <v>1620</v>
      </c>
      <c r="F5941" s="113" t="s">
        <v>7139</v>
      </c>
      <c r="G5941" s="113" t="s">
        <v>7145</v>
      </c>
      <c r="H5941" s="161">
        <v>0</v>
      </c>
      <c r="I5941" s="161" t="s">
        <v>7146</v>
      </c>
    </row>
    <row r="5942" spans="1:9">
      <c r="A5942" s="113">
        <v>100792055</v>
      </c>
      <c r="B5942" s="113" t="s">
        <v>7116</v>
      </c>
      <c r="C5942" s="113">
        <v>7991545</v>
      </c>
      <c r="D5942" s="113" t="s">
        <v>7139</v>
      </c>
      <c r="E5942" s="113" t="s">
        <v>1620</v>
      </c>
      <c r="F5942" s="113" t="s">
        <v>7139</v>
      </c>
      <c r="G5942" s="113" t="s">
        <v>7145</v>
      </c>
      <c r="H5942" s="161">
        <v>0</v>
      </c>
      <c r="I5942" s="161" t="s">
        <v>7146</v>
      </c>
    </row>
    <row r="5943" spans="1:9">
      <c r="A5943" s="113">
        <v>100792057</v>
      </c>
      <c r="B5943" s="113" t="s">
        <v>7116</v>
      </c>
      <c r="C5943" s="113">
        <v>7991552</v>
      </c>
      <c r="D5943" s="113" t="s">
        <v>7139</v>
      </c>
      <c r="E5943" s="113" t="s">
        <v>1620</v>
      </c>
      <c r="F5943" s="113" t="s">
        <v>7139</v>
      </c>
      <c r="G5943" s="113" t="s">
        <v>7145</v>
      </c>
      <c r="H5943" s="161">
        <v>0</v>
      </c>
      <c r="I5943" s="161" t="s">
        <v>7146</v>
      </c>
    </row>
    <row r="5944" spans="1:9">
      <c r="A5944" s="113">
        <v>100792058</v>
      </c>
      <c r="B5944" s="113" t="s">
        <v>7116</v>
      </c>
      <c r="C5944" s="113">
        <v>7991553</v>
      </c>
      <c r="D5944" s="113" t="s">
        <v>7139</v>
      </c>
      <c r="E5944" s="113" t="s">
        <v>1620</v>
      </c>
      <c r="F5944" s="113" t="s">
        <v>7139</v>
      </c>
      <c r="G5944" s="113" t="s">
        <v>7145</v>
      </c>
      <c r="H5944" s="161">
        <v>0</v>
      </c>
      <c r="I5944" s="161" t="s">
        <v>7146</v>
      </c>
    </row>
    <row r="5945" spans="1:9">
      <c r="A5945" s="113">
        <v>100792059</v>
      </c>
      <c r="B5945" s="113" t="s">
        <v>7116</v>
      </c>
      <c r="C5945" s="113">
        <v>7991554</v>
      </c>
      <c r="D5945" s="113" t="s">
        <v>7139</v>
      </c>
      <c r="E5945" s="113" t="s">
        <v>1620</v>
      </c>
      <c r="F5945" s="113" t="s">
        <v>7139</v>
      </c>
      <c r="G5945" s="113" t="s">
        <v>7145</v>
      </c>
      <c r="H5945" s="161">
        <v>0</v>
      </c>
      <c r="I5945" s="161" t="s">
        <v>7146</v>
      </c>
    </row>
    <row r="5946" spans="1:9">
      <c r="A5946" s="113">
        <v>100792060</v>
      </c>
      <c r="B5946" s="113" t="s">
        <v>7116</v>
      </c>
      <c r="C5946" s="113">
        <v>7991555</v>
      </c>
      <c r="D5946" s="113" t="s">
        <v>7139</v>
      </c>
      <c r="E5946" s="113" t="s">
        <v>1620</v>
      </c>
      <c r="F5946" s="113" t="s">
        <v>7139</v>
      </c>
      <c r="G5946" s="115" t="s">
        <v>7145</v>
      </c>
      <c r="H5946" s="161">
        <v>0</v>
      </c>
      <c r="I5946" s="161" t="s">
        <v>7146</v>
      </c>
    </row>
    <row r="5947" spans="1:9">
      <c r="A5947" s="113">
        <v>100792061</v>
      </c>
      <c r="B5947" s="113" t="s">
        <v>7116</v>
      </c>
      <c r="C5947" s="113">
        <v>7991556</v>
      </c>
      <c r="D5947" s="113" t="s">
        <v>7139</v>
      </c>
      <c r="E5947" s="113" t="s">
        <v>1620</v>
      </c>
      <c r="F5947" s="113" t="s">
        <v>7139</v>
      </c>
      <c r="G5947" s="113" t="s">
        <v>7145</v>
      </c>
      <c r="H5947" s="161">
        <v>0</v>
      </c>
      <c r="I5947" s="161" t="s">
        <v>7146</v>
      </c>
    </row>
    <row r="5948" spans="1:9">
      <c r="A5948" s="113">
        <v>100792062</v>
      </c>
      <c r="B5948" s="113" t="s">
        <v>7116</v>
      </c>
      <c r="C5948" s="113">
        <v>7991557</v>
      </c>
      <c r="D5948" s="113" t="s">
        <v>7139</v>
      </c>
      <c r="E5948" s="113" t="s">
        <v>1620</v>
      </c>
      <c r="F5948" s="113" t="s">
        <v>7139</v>
      </c>
      <c r="G5948" s="113" t="s">
        <v>7145</v>
      </c>
      <c r="H5948" s="161">
        <v>0</v>
      </c>
      <c r="I5948" s="161" t="s">
        <v>7146</v>
      </c>
    </row>
    <row r="5949" spans="1:9">
      <c r="A5949" s="113">
        <v>100792063</v>
      </c>
      <c r="B5949" s="113" t="s">
        <v>7116</v>
      </c>
      <c r="C5949" s="113">
        <v>7991560</v>
      </c>
      <c r="D5949" s="113" t="s">
        <v>7139</v>
      </c>
      <c r="E5949" s="113" t="s">
        <v>1620</v>
      </c>
      <c r="F5949" s="113" t="s">
        <v>7139</v>
      </c>
      <c r="G5949" s="113" t="s">
        <v>7145</v>
      </c>
      <c r="H5949" s="161">
        <v>0</v>
      </c>
      <c r="I5949" s="161" t="s">
        <v>7146</v>
      </c>
    </row>
    <row r="5950" spans="1:9">
      <c r="A5950" s="113">
        <v>100792064</v>
      </c>
      <c r="B5950" s="113" t="s">
        <v>7116</v>
      </c>
      <c r="C5950" s="113">
        <v>7991561</v>
      </c>
      <c r="D5950" s="113" t="s">
        <v>7139</v>
      </c>
      <c r="E5950" s="113" t="s">
        <v>1620</v>
      </c>
      <c r="F5950" s="113" t="s">
        <v>7139</v>
      </c>
      <c r="G5950" s="113" t="s">
        <v>7145</v>
      </c>
      <c r="H5950" s="161">
        <v>0</v>
      </c>
      <c r="I5950" s="161" t="s">
        <v>7146</v>
      </c>
    </row>
    <row r="5951" spans="1:9">
      <c r="A5951" s="113">
        <v>100792065</v>
      </c>
      <c r="B5951" s="113" t="s">
        <v>7116</v>
      </c>
      <c r="C5951" s="113">
        <v>7991562</v>
      </c>
      <c r="D5951" s="113" t="s">
        <v>7139</v>
      </c>
      <c r="E5951" s="113" t="s">
        <v>1620</v>
      </c>
      <c r="F5951" s="113" t="s">
        <v>7139</v>
      </c>
      <c r="G5951" s="113" t="s">
        <v>7145</v>
      </c>
      <c r="H5951" s="161">
        <v>0</v>
      </c>
      <c r="I5951" s="161" t="s">
        <v>7146</v>
      </c>
    </row>
    <row r="5952" spans="1:9">
      <c r="A5952" s="113">
        <v>100792066</v>
      </c>
      <c r="B5952" s="113" t="s">
        <v>7116</v>
      </c>
      <c r="C5952" s="113">
        <v>7991563</v>
      </c>
      <c r="D5952" s="113" t="s">
        <v>7139</v>
      </c>
      <c r="E5952" s="113" t="s">
        <v>1620</v>
      </c>
      <c r="F5952" s="113" t="s">
        <v>7139</v>
      </c>
      <c r="G5952" s="113" t="s">
        <v>7145</v>
      </c>
      <c r="H5952" s="161">
        <v>0</v>
      </c>
      <c r="I5952" s="161" t="s">
        <v>7146</v>
      </c>
    </row>
    <row r="5953" spans="1:9">
      <c r="A5953" s="113">
        <v>100792067</v>
      </c>
      <c r="B5953" s="113" t="s">
        <v>7116</v>
      </c>
      <c r="C5953" s="113">
        <v>7991564</v>
      </c>
      <c r="D5953" s="113" t="s">
        <v>7139</v>
      </c>
      <c r="E5953" s="113" t="s">
        <v>1620</v>
      </c>
      <c r="F5953" s="113" t="s">
        <v>7139</v>
      </c>
      <c r="G5953" s="113" t="s">
        <v>7145</v>
      </c>
      <c r="H5953" s="161">
        <v>0</v>
      </c>
      <c r="I5953" s="161" t="s">
        <v>7146</v>
      </c>
    </row>
    <row r="5954" spans="1:9">
      <c r="A5954" s="113">
        <v>100792068</v>
      </c>
      <c r="B5954" s="113" t="s">
        <v>7116</v>
      </c>
      <c r="C5954" s="113">
        <v>7991565</v>
      </c>
      <c r="D5954" s="113" t="s">
        <v>7139</v>
      </c>
      <c r="E5954" s="113" t="s">
        <v>1620</v>
      </c>
      <c r="F5954" s="113" t="s">
        <v>7139</v>
      </c>
      <c r="G5954" s="115" t="s">
        <v>7145</v>
      </c>
      <c r="H5954" s="161">
        <v>0</v>
      </c>
      <c r="I5954" s="161" t="s">
        <v>7146</v>
      </c>
    </row>
    <row r="5955" spans="1:9">
      <c r="A5955" s="113">
        <v>100792069</v>
      </c>
      <c r="B5955" s="113" t="s">
        <v>7116</v>
      </c>
      <c r="C5955" s="113">
        <v>7991566</v>
      </c>
      <c r="D5955" s="113" t="s">
        <v>7139</v>
      </c>
      <c r="E5955" s="113" t="s">
        <v>1620</v>
      </c>
      <c r="F5955" s="113" t="s">
        <v>7139</v>
      </c>
      <c r="G5955" s="115" t="s">
        <v>7145</v>
      </c>
      <c r="H5955" s="161">
        <v>0</v>
      </c>
      <c r="I5955" s="161" t="s">
        <v>7146</v>
      </c>
    </row>
    <row r="5956" spans="1:9">
      <c r="A5956" s="113">
        <v>100792070</v>
      </c>
      <c r="B5956" s="113" t="s">
        <v>7116</v>
      </c>
      <c r="C5956" s="113">
        <v>7991569</v>
      </c>
      <c r="D5956" s="113" t="s">
        <v>7139</v>
      </c>
      <c r="E5956" s="113" t="s">
        <v>1620</v>
      </c>
      <c r="F5956" s="113" t="s">
        <v>7139</v>
      </c>
      <c r="G5956" s="113" t="s">
        <v>7145</v>
      </c>
      <c r="H5956" s="161">
        <v>0</v>
      </c>
      <c r="I5956" s="161" t="s">
        <v>7146</v>
      </c>
    </row>
    <row r="5957" spans="1:9">
      <c r="A5957" s="113">
        <v>100792071</v>
      </c>
      <c r="B5957" s="113" t="s">
        <v>7116</v>
      </c>
      <c r="C5957" s="113">
        <v>7991571</v>
      </c>
      <c r="D5957" s="113" t="s">
        <v>7139</v>
      </c>
      <c r="E5957" s="113" t="s">
        <v>1620</v>
      </c>
      <c r="F5957" s="113" t="s">
        <v>7139</v>
      </c>
      <c r="G5957" s="115" t="s">
        <v>7145</v>
      </c>
      <c r="H5957" s="161">
        <v>0</v>
      </c>
      <c r="I5957" s="161" t="s">
        <v>7146</v>
      </c>
    </row>
    <row r="5958" spans="1:9">
      <c r="A5958" s="113">
        <v>100792072</v>
      </c>
      <c r="B5958" s="113" t="s">
        <v>7116</v>
      </c>
      <c r="C5958" s="113">
        <v>7991572</v>
      </c>
      <c r="D5958" s="113" t="s">
        <v>7139</v>
      </c>
      <c r="E5958" s="113" t="s">
        <v>1620</v>
      </c>
      <c r="F5958" s="113" t="s">
        <v>7139</v>
      </c>
      <c r="G5958" s="115" t="s">
        <v>7145</v>
      </c>
      <c r="H5958" s="161">
        <v>0</v>
      </c>
      <c r="I5958" s="161" t="s">
        <v>7146</v>
      </c>
    </row>
    <row r="5959" spans="1:9">
      <c r="A5959" s="113">
        <v>100792073</v>
      </c>
      <c r="B5959" s="113" t="s">
        <v>7116</v>
      </c>
      <c r="C5959" s="113">
        <v>7991573</v>
      </c>
      <c r="D5959" s="113" t="s">
        <v>7139</v>
      </c>
      <c r="E5959" s="113" t="s">
        <v>1620</v>
      </c>
      <c r="F5959" s="113" t="s">
        <v>7139</v>
      </c>
      <c r="G5959" s="113" t="s">
        <v>7145</v>
      </c>
      <c r="H5959" s="161">
        <v>0</v>
      </c>
      <c r="I5959" s="161" t="s">
        <v>7146</v>
      </c>
    </row>
    <row r="5960" spans="1:9">
      <c r="A5960" s="113">
        <v>100792074</v>
      </c>
      <c r="B5960" s="113" t="s">
        <v>7116</v>
      </c>
      <c r="C5960" s="113">
        <v>7991574</v>
      </c>
      <c r="D5960" s="113" t="s">
        <v>7139</v>
      </c>
      <c r="E5960" s="113" t="s">
        <v>1620</v>
      </c>
      <c r="F5960" s="113" t="s">
        <v>7139</v>
      </c>
      <c r="G5960" s="115" t="s">
        <v>7145</v>
      </c>
      <c r="H5960" s="161">
        <v>0</v>
      </c>
      <c r="I5960" s="161" t="s">
        <v>7146</v>
      </c>
    </row>
    <row r="5961" spans="1:9">
      <c r="A5961" s="113">
        <v>100792075</v>
      </c>
      <c r="B5961" s="113" t="s">
        <v>7116</v>
      </c>
      <c r="C5961" s="113">
        <v>7991575</v>
      </c>
      <c r="D5961" s="113" t="s">
        <v>7139</v>
      </c>
      <c r="E5961" s="113" t="s">
        <v>1620</v>
      </c>
      <c r="F5961" s="113" t="s">
        <v>7139</v>
      </c>
      <c r="G5961" s="115" t="s">
        <v>7145</v>
      </c>
      <c r="H5961" s="161">
        <v>0</v>
      </c>
      <c r="I5961" s="161" t="s">
        <v>7146</v>
      </c>
    </row>
    <row r="5962" spans="1:9">
      <c r="A5962" s="113">
        <v>100792076</v>
      </c>
      <c r="B5962" s="113" t="s">
        <v>7116</v>
      </c>
      <c r="C5962" s="113">
        <v>7991576</v>
      </c>
      <c r="D5962" s="113" t="s">
        <v>7139</v>
      </c>
      <c r="E5962" s="113" t="s">
        <v>1620</v>
      </c>
      <c r="F5962" s="113" t="s">
        <v>7139</v>
      </c>
      <c r="G5962" s="115" t="s">
        <v>7145</v>
      </c>
      <c r="H5962" s="161">
        <v>0</v>
      </c>
      <c r="I5962" s="161" t="s">
        <v>7146</v>
      </c>
    </row>
    <row r="5963" spans="1:9">
      <c r="A5963" s="113">
        <v>100792077</v>
      </c>
      <c r="B5963" s="113" t="s">
        <v>7116</v>
      </c>
      <c r="C5963" s="113">
        <v>7991577</v>
      </c>
      <c r="D5963" s="113" t="s">
        <v>7139</v>
      </c>
      <c r="E5963" s="113" t="s">
        <v>1620</v>
      </c>
      <c r="F5963" s="113" t="s">
        <v>7139</v>
      </c>
      <c r="G5963" s="113" t="s">
        <v>7145</v>
      </c>
      <c r="H5963" s="161">
        <v>0</v>
      </c>
      <c r="I5963" s="161" t="s">
        <v>7146</v>
      </c>
    </row>
    <row r="5964" spans="1:9">
      <c r="A5964" s="113">
        <v>100792078</v>
      </c>
      <c r="B5964" s="113" t="s">
        <v>7116</v>
      </c>
      <c r="C5964" s="113">
        <v>7991583</v>
      </c>
      <c r="D5964" s="113" t="s">
        <v>7139</v>
      </c>
      <c r="E5964" s="113" t="s">
        <v>1620</v>
      </c>
      <c r="F5964" s="113" t="s">
        <v>7139</v>
      </c>
      <c r="G5964" s="113" t="s">
        <v>7145</v>
      </c>
      <c r="H5964" s="161">
        <v>0</v>
      </c>
      <c r="I5964" s="161" t="s">
        <v>7146</v>
      </c>
    </row>
    <row r="5965" spans="1:9">
      <c r="A5965" s="113">
        <v>100792079</v>
      </c>
      <c r="B5965" s="113" t="s">
        <v>7116</v>
      </c>
      <c r="C5965" s="113">
        <v>7991588</v>
      </c>
      <c r="D5965" s="113" t="s">
        <v>7139</v>
      </c>
      <c r="E5965" s="113" t="s">
        <v>1620</v>
      </c>
      <c r="F5965" s="113" t="s">
        <v>7139</v>
      </c>
      <c r="G5965" s="113" t="s">
        <v>7145</v>
      </c>
      <c r="H5965" s="161">
        <v>0</v>
      </c>
      <c r="I5965" s="161" t="s">
        <v>7146</v>
      </c>
    </row>
    <row r="5966" spans="1:9">
      <c r="A5966" s="113">
        <v>100792080</v>
      </c>
      <c r="B5966" s="113" t="s">
        <v>7116</v>
      </c>
      <c r="C5966" s="113">
        <v>7991589</v>
      </c>
      <c r="D5966" s="113" t="s">
        <v>7139</v>
      </c>
      <c r="E5966" s="113" t="s">
        <v>1620</v>
      </c>
      <c r="F5966" s="113" t="s">
        <v>7139</v>
      </c>
      <c r="G5966" s="115" t="s">
        <v>7145</v>
      </c>
      <c r="H5966" s="161">
        <v>0</v>
      </c>
      <c r="I5966" s="161" t="s">
        <v>7146</v>
      </c>
    </row>
    <row r="5967" spans="1:9">
      <c r="A5967" s="113">
        <v>100792081</v>
      </c>
      <c r="B5967" s="113" t="s">
        <v>7116</v>
      </c>
      <c r="C5967" s="113">
        <v>7991602</v>
      </c>
      <c r="D5967" s="113" t="s">
        <v>7139</v>
      </c>
      <c r="E5967" s="113" t="s">
        <v>1620</v>
      </c>
      <c r="F5967" s="113" t="s">
        <v>7139</v>
      </c>
      <c r="G5967" s="115" t="s">
        <v>7145</v>
      </c>
      <c r="H5967" s="161">
        <v>0</v>
      </c>
      <c r="I5967" s="161" t="s">
        <v>7146</v>
      </c>
    </row>
    <row r="5968" spans="1:9">
      <c r="A5968" s="113">
        <v>100792082</v>
      </c>
      <c r="B5968" s="113" t="s">
        <v>7116</v>
      </c>
      <c r="C5968" s="113">
        <v>7991617</v>
      </c>
      <c r="D5968" s="113" t="s">
        <v>7139</v>
      </c>
      <c r="E5968" s="113" t="s">
        <v>1620</v>
      </c>
      <c r="F5968" s="113" t="s">
        <v>7139</v>
      </c>
      <c r="G5968" s="113" t="s">
        <v>7145</v>
      </c>
      <c r="H5968" s="161">
        <v>0</v>
      </c>
      <c r="I5968" s="161" t="s">
        <v>7146</v>
      </c>
    </row>
    <row r="5969" spans="1:9">
      <c r="A5969" s="113">
        <v>100792083</v>
      </c>
      <c r="B5969" s="113" t="s">
        <v>7116</v>
      </c>
      <c r="C5969" s="113">
        <v>7991619</v>
      </c>
      <c r="D5969" s="113" t="s">
        <v>7139</v>
      </c>
      <c r="E5969" s="113" t="s">
        <v>1620</v>
      </c>
      <c r="F5969" s="113" t="s">
        <v>7139</v>
      </c>
      <c r="G5969" s="115" t="s">
        <v>7145</v>
      </c>
      <c r="H5969" s="161">
        <v>0</v>
      </c>
      <c r="I5969" s="161" t="s">
        <v>7146</v>
      </c>
    </row>
    <row r="5970" spans="1:9">
      <c r="A5970" s="113">
        <v>100792084</v>
      </c>
      <c r="B5970" s="113" t="s">
        <v>7116</v>
      </c>
      <c r="C5970" s="113">
        <v>7991625</v>
      </c>
      <c r="D5970" s="113" t="s">
        <v>7139</v>
      </c>
      <c r="E5970" s="113" t="s">
        <v>1620</v>
      </c>
      <c r="F5970" s="113" t="s">
        <v>7139</v>
      </c>
      <c r="G5970" s="115" t="s">
        <v>7145</v>
      </c>
      <c r="H5970" s="161">
        <v>0</v>
      </c>
      <c r="I5970" s="161" t="s">
        <v>7146</v>
      </c>
    </row>
    <row r="5971" spans="1:9">
      <c r="A5971" s="113">
        <v>100792085</v>
      </c>
      <c r="B5971" s="113" t="s">
        <v>7116</v>
      </c>
      <c r="C5971" s="113">
        <v>7991626</v>
      </c>
      <c r="D5971" s="113" t="s">
        <v>7139</v>
      </c>
      <c r="E5971" s="113" t="s">
        <v>1620</v>
      </c>
      <c r="F5971" s="113" t="s">
        <v>7139</v>
      </c>
      <c r="G5971" s="113" t="s">
        <v>7145</v>
      </c>
      <c r="H5971" s="161">
        <v>0</v>
      </c>
      <c r="I5971" s="161" t="s">
        <v>7146</v>
      </c>
    </row>
    <row r="5972" spans="1:9">
      <c r="A5972" s="113">
        <v>100792087</v>
      </c>
      <c r="B5972" s="113" t="s">
        <v>7116</v>
      </c>
      <c r="C5972" s="113">
        <v>7991645</v>
      </c>
      <c r="D5972" s="113" t="s">
        <v>7139</v>
      </c>
      <c r="E5972" s="113" t="s">
        <v>1620</v>
      </c>
      <c r="F5972" s="113" t="s">
        <v>7139</v>
      </c>
      <c r="G5972" s="113" t="s">
        <v>7145</v>
      </c>
      <c r="H5972" s="161">
        <v>0</v>
      </c>
      <c r="I5972" s="161" t="s">
        <v>7146</v>
      </c>
    </row>
    <row r="5973" spans="1:9">
      <c r="A5973" s="113">
        <v>100792088</v>
      </c>
      <c r="B5973" s="113" t="s">
        <v>7116</v>
      </c>
      <c r="C5973" s="113">
        <v>7991650</v>
      </c>
      <c r="D5973" s="113" t="s">
        <v>7139</v>
      </c>
      <c r="E5973" s="113" t="s">
        <v>1620</v>
      </c>
      <c r="F5973" s="113" t="s">
        <v>7139</v>
      </c>
      <c r="G5973" s="113" t="s">
        <v>7145</v>
      </c>
      <c r="H5973" s="161">
        <v>0</v>
      </c>
      <c r="I5973" s="161" t="s">
        <v>7146</v>
      </c>
    </row>
    <row r="5974" spans="1:9">
      <c r="A5974" s="113">
        <v>100792089</v>
      </c>
      <c r="B5974" s="113" t="s">
        <v>7116</v>
      </c>
      <c r="C5974" s="113">
        <v>7991651</v>
      </c>
      <c r="D5974" s="113" t="s">
        <v>7139</v>
      </c>
      <c r="E5974" s="113" t="s">
        <v>1620</v>
      </c>
      <c r="F5974" s="113" t="s">
        <v>7139</v>
      </c>
      <c r="G5974" s="113" t="s">
        <v>7145</v>
      </c>
      <c r="H5974" s="161">
        <v>0</v>
      </c>
      <c r="I5974" s="161" t="s">
        <v>7146</v>
      </c>
    </row>
    <row r="5975" spans="1:9">
      <c r="A5975" s="113">
        <v>100792090</v>
      </c>
      <c r="B5975" s="113" t="s">
        <v>7116</v>
      </c>
      <c r="C5975" s="113">
        <v>7991652</v>
      </c>
      <c r="D5975" s="113" t="s">
        <v>7139</v>
      </c>
      <c r="E5975" s="113" t="s">
        <v>1620</v>
      </c>
      <c r="F5975" s="113" t="s">
        <v>7139</v>
      </c>
      <c r="G5975" s="113" t="s">
        <v>7145</v>
      </c>
      <c r="H5975" s="161">
        <v>0</v>
      </c>
      <c r="I5975" s="161" t="s">
        <v>7146</v>
      </c>
    </row>
    <row r="5976" spans="1:9">
      <c r="A5976" s="113">
        <v>100792091</v>
      </c>
      <c r="B5976" s="113" t="s">
        <v>7116</v>
      </c>
      <c r="C5976" s="113">
        <v>7991655</v>
      </c>
      <c r="D5976" s="113" t="s">
        <v>7139</v>
      </c>
      <c r="E5976" s="113" t="s">
        <v>1620</v>
      </c>
      <c r="F5976" s="113" t="s">
        <v>7139</v>
      </c>
      <c r="G5976" s="115" t="s">
        <v>7145</v>
      </c>
      <c r="H5976" s="161">
        <v>0</v>
      </c>
      <c r="I5976" s="161" t="s">
        <v>7146</v>
      </c>
    </row>
    <row r="5977" spans="1:9">
      <c r="A5977" s="113">
        <v>100792092</v>
      </c>
      <c r="B5977" s="113" t="s">
        <v>7116</v>
      </c>
      <c r="C5977" s="113">
        <v>7991656</v>
      </c>
      <c r="D5977" s="113" t="s">
        <v>7139</v>
      </c>
      <c r="E5977" s="113" t="s">
        <v>1620</v>
      </c>
      <c r="F5977" s="113" t="s">
        <v>7139</v>
      </c>
      <c r="G5977" s="115" t="s">
        <v>7145</v>
      </c>
      <c r="H5977" s="161">
        <v>0</v>
      </c>
      <c r="I5977" s="161" t="s">
        <v>7146</v>
      </c>
    </row>
    <row r="5978" spans="1:9">
      <c r="A5978" s="113">
        <v>100792093</v>
      </c>
      <c r="B5978" s="113" t="s">
        <v>7116</v>
      </c>
      <c r="C5978" s="113">
        <v>7991657</v>
      </c>
      <c r="D5978" s="113" t="s">
        <v>7139</v>
      </c>
      <c r="E5978" s="113" t="s">
        <v>1620</v>
      </c>
      <c r="F5978" s="113" t="s">
        <v>7139</v>
      </c>
      <c r="G5978" s="115" t="s">
        <v>7145</v>
      </c>
      <c r="H5978" s="161">
        <v>0</v>
      </c>
      <c r="I5978" s="161" t="s">
        <v>7146</v>
      </c>
    </row>
    <row r="5979" spans="1:9">
      <c r="A5979" s="113">
        <v>100792094</v>
      </c>
      <c r="B5979" s="113" t="s">
        <v>7116</v>
      </c>
      <c r="C5979" s="113">
        <v>7991658</v>
      </c>
      <c r="D5979" s="113" t="s">
        <v>7139</v>
      </c>
      <c r="E5979" s="113" t="s">
        <v>1620</v>
      </c>
      <c r="F5979" s="113" t="s">
        <v>7139</v>
      </c>
      <c r="G5979" s="115" t="s">
        <v>7145</v>
      </c>
      <c r="H5979" s="161">
        <v>0</v>
      </c>
      <c r="I5979" s="161" t="s">
        <v>7146</v>
      </c>
    </row>
    <row r="5980" spans="1:9">
      <c r="A5980" s="113">
        <v>100792095</v>
      </c>
      <c r="B5980" s="113" t="s">
        <v>7116</v>
      </c>
      <c r="C5980" s="113">
        <v>7991659</v>
      </c>
      <c r="D5980" s="113" t="s">
        <v>7139</v>
      </c>
      <c r="E5980" s="113" t="s">
        <v>1620</v>
      </c>
      <c r="F5980" s="113" t="s">
        <v>7139</v>
      </c>
      <c r="G5980" s="115" t="s">
        <v>7145</v>
      </c>
      <c r="H5980" s="161">
        <v>0</v>
      </c>
      <c r="I5980" s="161" t="s">
        <v>7146</v>
      </c>
    </row>
    <row r="5981" spans="1:9">
      <c r="A5981" s="113">
        <v>100792096</v>
      </c>
      <c r="B5981" s="113" t="s">
        <v>7116</v>
      </c>
      <c r="C5981" s="113">
        <v>7991660</v>
      </c>
      <c r="D5981" s="113" t="s">
        <v>7139</v>
      </c>
      <c r="E5981" s="113" t="s">
        <v>1620</v>
      </c>
      <c r="F5981" s="113" t="s">
        <v>7139</v>
      </c>
      <c r="G5981" s="115" t="s">
        <v>7145</v>
      </c>
      <c r="H5981" s="161">
        <v>0</v>
      </c>
      <c r="I5981" s="161" t="s">
        <v>7146</v>
      </c>
    </row>
    <row r="5982" spans="1:9">
      <c r="A5982" s="113">
        <v>100792097</v>
      </c>
      <c r="B5982" s="113" t="s">
        <v>7116</v>
      </c>
      <c r="C5982" s="113">
        <v>7991672</v>
      </c>
      <c r="D5982" s="113" t="s">
        <v>7139</v>
      </c>
      <c r="E5982" s="113" t="s">
        <v>1620</v>
      </c>
      <c r="F5982" s="113" t="s">
        <v>7139</v>
      </c>
      <c r="G5982" s="115" t="s">
        <v>7145</v>
      </c>
      <c r="H5982" s="161">
        <v>0</v>
      </c>
      <c r="I5982" s="161" t="s">
        <v>7146</v>
      </c>
    </row>
    <row r="5983" spans="1:9">
      <c r="A5983" s="113">
        <v>100792098</v>
      </c>
      <c r="B5983" s="113" t="s">
        <v>7116</v>
      </c>
      <c r="C5983" s="113">
        <v>7991676</v>
      </c>
      <c r="D5983" s="113" t="s">
        <v>7139</v>
      </c>
      <c r="E5983" s="113" t="s">
        <v>1620</v>
      </c>
      <c r="F5983" s="113" t="s">
        <v>7139</v>
      </c>
      <c r="G5983" s="115" t="s">
        <v>7145</v>
      </c>
      <c r="H5983" s="161">
        <v>0</v>
      </c>
      <c r="I5983" s="161" t="s">
        <v>7146</v>
      </c>
    </row>
    <row r="5984" spans="1:9">
      <c r="A5984" s="113">
        <v>100792099</v>
      </c>
      <c r="B5984" s="113" t="s">
        <v>7116</v>
      </c>
      <c r="C5984" s="113">
        <v>7991679</v>
      </c>
      <c r="D5984" s="113" t="s">
        <v>7139</v>
      </c>
      <c r="E5984" s="113" t="s">
        <v>1620</v>
      </c>
      <c r="F5984" s="113" t="s">
        <v>7139</v>
      </c>
      <c r="G5984" s="113" t="s">
        <v>7145</v>
      </c>
      <c r="H5984" s="161">
        <v>0</v>
      </c>
      <c r="I5984" s="161" t="s">
        <v>7146</v>
      </c>
    </row>
    <row r="5985" spans="1:9">
      <c r="A5985" s="113">
        <v>100792100</v>
      </c>
      <c r="B5985" s="113" t="s">
        <v>7116</v>
      </c>
      <c r="C5985" s="113">
        <v>7991681</v>
      </c>
      <c r="D5985" s="113" t="s">
        <v>7139</v>
      </c>
      <c r="E5985" s="113" t="s">
        <v>1620</v>
      </c>
      <c r="F5985" s="113" t="s">
        <v>7139</v>
      </c>
      <c r="G5985" s="113" t="s">
        <v>7145</v>
      </c>
      <c r="H5985" s="161">
        <v>0</v>
      </c>
      <c r="I5985" s="161" t="s">
        <v>7146</v>
      </c>
    </row>
    <row r="5986" spans="1:9">
      <c r="A5986" s="113">
        <v>100792101</v>
      </c>
      <c r="B5986" s="113" t="s">
        <v>7116</v>
      </c>
      <c r="C5986" s="113">
        <v>7991682</v>
      </c>
      <c r="D5986" s="113" t="s">
        <v>7139</v>
      </c>
      <c r="E5986" s="113" t="s">
        <v>1620</v>
      </c>
      <c r="F5986" s="113" t="s">
        <v>7139</v>
      </c>
      <c r="G5986" s="115" t="s">
        <v>7145</v>
      </c>
      <c r="H5986" s="161">
        <v>0</v>
      </c>
      <c r="I5986" s="161" t="s">
        <v>7146</v>
      </c>
    </row>
    <row r="5987" spans="1:9">
      <c r="A5987" s="113">
        <v>100792102</v>
      </c>
      <c r="B5987" s="113" t="s">
        <v>7116</v>
      </c>
      <c r="C5987" s="113">
        <v>7991683</v>
      </c>
      <c r="D5987" s="113" t="s">
        <v>7139</v>
      </c>
      <c r="E5987" s="113" t="s">
        <v>1620</v>
      </c>
      <c r="F5987" s="113" t="s">
        <v>7139</v>
      </c>
      <c r="G5987" s="113" t="s">
        <v>7145</v>
      </c>
      <c r="H5987" s="161">
        <v>0</v>
      </c>
      <c r="I5987" s="161" t="s">
        <v>7146</v>
      </c>
    </row>
    <row r="5988" spans="1:9">
      <c r="A5988" s="113">
        <v>100792103</v>
      </c>
      <c r="B5988" s="113" t="s">
        <v>7116</v>
      </c>
      <c r="C5988" s="113">
        <v>7991705</v>
      </c>
      <c r="D5988" s="113" t="s">
        <v>7139</v>
      </c>
      <c r="E5988" s="113" t="s">
        <v>1620</v>
      </c>
      <c r="F5988" s="113" t="s">
        <v>7139</v>
      </c>
      <c r="G5988" s="113" t="s">
        <v>7145</v>
      </c>
      <c r="H5988" s="161">
        <v>0</v>
      </c>
      <c r="I5988" s="161" t="s">
        <v>7146</v>
      </c>
    </row>
    <row r="5989" spans="1:9">
      <c r="A5989" s="113">
        <v>100792104</v>
      </c>
      <c r="B5989" s="113" t="s">
        <v>7116</v>
      </c>
      <c r="C5989" s="113">
        <v>7991706</v>
      </c>
      <c r="D5989" s="113" t="s">
        <v>7139</v>
      </c>
      <c r="E5989" s="113" t="s">
        <v>1620</v>
      </c>
      <c r="F5989" s="113" t="s">
        <v>7139</v>
      </c>
      <c r="G5989" s="113" t="s">
        <v>7145</v>
      </c>
      <c r="H5989" s="161">
        <v>0</v>
      </c>
      <c r="I5989" s="161" t="s">
        <v>7146</v>
      </c>
    </row>
    <row r="5990" spans="1:9">
      <c r="A5990" s="113">
        <v>100792105</v>
      </c>
      <c r="B5990" s="113" t="s">
        <v>7116</v>
      </c>
      <c r="C5990" s="113">
        <v>7991707</v>
      </c>
      <c r="D5990" s="113" t="s">
        <v>7139</v>
      </c>
      <c r="E5990" s="113" t="s">
        <v>1620</v>
      </c>
      <c r="F5990" s="113" t="s">
        <v>7139</v>
      </c>
      <c r="G5990" s="113" t="s">
        <v>7145</v>
      </c>
      <c r="H5990" s="161">
        <v>0</v>
      </c>
      <c r="I5990" s="161" t="s">
        <v>7146</v>
      </c>
    </row>
    <row r="5991" spans="1:9">
      <c r="A5991" s="113">
        <v>100792106</v>
      </c>
      <c r="B5991" s="113" t="s">
        <v>7116</v>
      </c>
      <c r="C5991" s="113">
        <v>7991709</v>
      </c>
      <c r="D5991" s="113" t="s">
        <v>7139</v>
      </c>
      <c r="E5991" s="113" t="s">
        <v>1620</v>
      </c>
      <c r="F5991" s="113" t="s">
        <v>7139</v>
      </c>
      <c r="G5991" s="115" t="s">
        <v>7145</v>
      </c>
      <c r="H5991" s="161">
        <v>0</v>
      </c>
      <c r="I5991" s="161" t="s">
        <v>7146</v>
      </c>
    </row>
    <row r="5992" spans="1:9">
      <c r="A5992" s="113">
        <v>100792107</v>
      </c>
      <c r="B5992" s="113" t="s">
        <v>7116</v>
      </c>
      <c r="C5992" s="113">
        <v>7991710</v>
      </c>
      <c r="D5992" s="113" t="s">
        <v>7139</v>
      </c>
      <c r="E5992" s="113" t="s">
        <v>1620</v>
      </c>
      <c r="F5992" s="113" t="s">
        <v>7139</v>
      </c>
      <c r="G5992" s="113" t="s">
        <v>7145</v>
      </c>
      <c r="H5992" s="161">
        <v>0</v>
      </c>
      <c r="I5992" s="161" t="s">
        <v>7146</v>
      </c>
    </row>
    <row r="5993" spans="1:9">
      <c r="A5993" s="113">
        <v>100792110</v>
      </c>
      <c r="B5993" s="113" t="s">
        <v>7116</v>
      </c>
      <c r="C5993" s="113">
        <v>7991721</v>
      </c>
      <c r="D5993" s="113" t="s">
        <v>7139</v>
      </c>
      <c r="E5993" s="113" t="s">
        <v>1620</v>
      </c>
      <c r="F5993" s="113" t="s">
        <v>7139</v>
      </c>
      <c r="G5993" s="113" t="s">
        <v>7145</v>
      </c>
      <c r="H5993" s="161">
        <v>0</v>
      </c>
      <c r="I5993" s="161" t="s">
        <v>7146</v>
      </c>
    </row>
    <row r="5994" spans="1:9">
      <c r="A5994" s="113">
        <v>100792111</v>
      </c>
      <c r="B5994" s="113" t="s">
        <v>7116</v>
      </c>
      <c r="C5994" s="113">
        <v>7991722</v>
      </c>
      <c r="D5994" s="113" t="s">
        <v>7139</v>
      </c>
      <c r="E5994" s="113" t="s">
        <v>1620</v>
      </c>
      <c r="F5994" s="113" t="s">
        <v>7139</v>
      </c>
      <c r="G5994" s="115" t="s">
        <v>7145</v>
      </c>
      <c r="H5994" s="161">
        <v>0</v>
      </c>
      <c r="I5994" s="161" t="s">
        <v>7146</v>
      </c>
    </row>
    <row r="5995" spans="1:9">
      <c r="A5995" s="113">
        <v>100792112</v>
      </c>
      <c r="B5995" s="113" t="s">
        <v>7116</v>
      </c>
      <c r="C5995" s="113">
        <v>7991723</v>
      </c>
      <c r="D5995" s="113" t="s">
        <v>7139</v>
      </c>
      <c r="E5995" s="113" t="s">
        <v>1620</v>
      </c>
      <c r="F5995" s="113" t="s">
        <v>7139</v>
      </c>
      <c r="G5995" s="115" t="s">
        <v>7145</v>
      </c>
      <c r="H5995" s="161">
        <v>0</v>
      </c>
      <c r="I5995" s="161" t="s">
        <v>7146</v>
      </c>
    </row>
    <row r="5996" spans="1:9">
      <c r="A5996" s="113">
        <v>100792113</v>
      </c>
      <c r="B5996" s="113" t="s">
        <v>7116</v>
      </c>
      <c r="C5996" s="113">
        <v>7991728</v>
      </c>
      <c r="D5996" s="113" t="s">
        <v>7139</v>
      </c>
      <c r="E5996" s="113" t="s">
        <v>1620</v>
      </c>
      <c r="F5996" s="113" t="s">
        <v>7139</v>
      </c>
      <c r="G5996" s="113" t="s">
        <v>7145</v>
      </c>
      <c r="H5996" s="161">
        <v>0</v>
      </c>
      <c r="I5996" s="161" t="s">
        <v>7146</v>
      </c>
    </row>
    <row r="5997" spans="1:9">
      <c r="A5997" s="113">
        <v>100792114</v>
      </c>
      <c r="B5997" s="113" t="s">
        <v>7116</v>
      </c>
      <c r="C5997" s="113">
        <v>7991729</v>
      </c>
      <c r="D5997" s="113" t="s">
        <v>7139</v>
      </c>
      <c r="E5997" s="113" t="s">
        <v>1620</v>
      </c>
      <c r="F5997" s="113" t="s">
        <v>7139</v>
      </c>
      <c r="G5997" s="113" t="s">
        <v>7145</v>
      </c>
      <c r="H5997" s="161">
        <v>0</v>
      </c>
      <c r="I5997" s="161" t="s">
        <v>7146</v>
      </c>
    </row>
    <row r="5998" spans="1:9">
      <c r="A5998" s="113">
        <v>100792115</v>
      </c>
      <c r="B5998" s="113" t="s">
        <v>7116</v>
      </c>
      <c r="C5998" s="113">
        <v>7991732</v>
      </c>
      <c r="D5998" s="113" t="s">
        <v>7139</v>
      </c>
      <c r="E5998" s="113" t="s">
        <v>1620</v>
      </c>
      <c r="F5998" s="113" t="s">
        <v>7139</v>
      </c>
      <c r="G5998" s="115" t="s">
        <v>7145</v>
      </c>
      <c r="H5998" s="161">
        <v>0</v>
      </c>
      <c r="I5998" s="161" t="s">
        <v>7146</v>
      </c>
    </row>
    <row r="5999" spans="1:9">
      <c r="A5999" s="113">
        <v>100792116</v>
      </c>
      <c r="B5999" s="113" t="s">
        <v>7116</v>
      </c>
      <c r="C5999" s="113">
        <v>7991734</v>
      </c>
      <c r="D5999" s="113" t="s">
        <v>7139</v>
      </c>
      <c r="E5999" s="113" t="s">
        <v>1620</v>
      </c>
      <c r="F5999" s="113" t="s">
        <v>7139</v>
      </c>
      <c r="G5999" s="115" t="s">
        <v>7145</v>
      </c>
      <c r="H5999" s="161">
        <v>0</v>
      </c>
      <c r="I5999" s="161" t="s">
        <v>7146</v>
      </c>
    </row>
    <row r="6000" spans="1:9">
      <c r="A6000" s="113">
        <v>100792117</v>
      </c>
      <c r="B6000" s="113" t="s">
        <v>7116</v>
      </c>
      <c r="C6000" s="113">
        <v>7991735</v>
      </c>
      <c r="D6000" s="113" t="s">
        <v>7139</v>
      </c>
      <c r="E6000" s="113" t="s">
        <v>1620</v>
      </c>
      <c r="F6000" s="113" t="s">
        <v>7139</v>
      </c>
      <c r="G6000" s="113" t="s">
        <v>7145</v>
      </c>
      <c r="H6000" s="161">
        <v>0</v>
      </c>
      <c r="I6000" s="161" t="s">
        <v>7146</v>
      </c>
    </row>
    <row r="6001" spans="1:9">
      <c r="A6001" s="113">
        <v>100792118</v>
      </c>
      <c r="B6001" s="113" t="s">
        <v>7116</v>
      </c>
      <c r="C6001" s="113">
        <v>7991736</v>
      </c>
      <c r="D6001" s="113" t="s">
        <v>7139</v>
      </c>
      <c r="E6001" s="113" t="s">
        <v>1620</v>
      </c>
      <c r="F6001" s="113" t="s">
        <v>7139</v>
      </c>
      <c r="G6001" s="115" t="s">
        <v>7145</v>
      </c>
      <c r="H6001" s="161">
        <v>0</v>
      </c>
      <c r="I6001" s="161" t="s">
        <v>7146</v>
      </c>
    </row>
    <row r="6002" spans="1:9">
      <c r="A6002" s="113">
        <v>100792119</v>
      </c>
      <c r="B6002" s="113" t="s">
        <v>7116</v>
      </c>
      <c r="C6002" s="113">
        <v>7991737</v>
      </c>
      <c r="D6002" s="113" t="s">
        <v>7139</v>
      </c>
      <c r="E6002" s="113" t="s">
        <v>1620</v>
      </c>
      <c r="F6002" s="113" t="s">
        <v>7139</v>
      </c>
      <c r="G6002" s="113" t="s">
        <v>7145</v>
      </c>
      <c r="H6002" s="161">
        <v>0</v>
      </c>
      <c r="I6002" s="161" t="s">
        <v>7146</v>
      </c>
    </row>
    <row r="6003" spans="1:9">
      <c r="A6003" s="113">
        <v>100792120</v>
      </c>
      <c r="B6003" s="113" t="s">
        <v>7116</v>
      </c>
      <c r="C6003" s="113">
        <v>7991738</v>
      </c>
      <c r="D6003" s="113" t="s">
        <v>7139</v>
      </c>
      <c r="E6003" s="113" t="s">
        <v>1620</v>
      </c>
      <c r="F6003" s="113" t="s">
        <v>7139</v>
      </c>
      <c r="G6003" s="113" t="s">
        <v>7145</v>
      </c>
      <c r="H6003" s="161">
        <v>0</v>
      </c>
      <c r="I6003" s="161" t="s">
        <v>7146</v>
      </c>
    </row>
    <row r="6004" spans="1:9">
      <c r="A6004" s="113">
        <v>100792121</v>
      </c>
      <c r="B6004" s="113" t="s">
        <v>7116</v>
      </c>
      <c r="C6004" s="113">
        <v>7991739</v>
      </c>
      <c r="D6004" s="113" t="s">
        <v>7139</v>
      </c>
      <c r="E6004" s="113" t="s">
        <v>1620</v>
      </c>
      <c r="F6004" s="113" t="s">
        <v>7139</v>
      </c>
      <c r="G6004" s="113" t="s">
        <v>7145</v>
      </c>
      <c r="H6004" s="161">
        <v>0</v>
      </c>
      <c r="I6004" s="161" t="s">
        <v>7146</v>
      </c>
    </row>
    <row r="6005" spans="1:9">
      <c r="A6005" s="113">
        <v>100792122</v>
      </c>
      <c r="B6005" s="113" t="s">
        <v>7116</v>
      </c>
      <c r="C6005" s="113">
        <v>7991743</v>
      </c>
      <c r="D6005" s="113" t="s">
        <v>7139</v>
      </c>
      <c r="E6005" s="113" t="s">
        <v>1620</v>
      </c>
      <c r="F6005" s="113" t="s">
        <v>7139</v>
      </c>
      <c r="G6005" s="113" t="s">
        <v>7145</v>
      </c>
      <c r="H6005" s="161">
        <v>0</v>
      </c>
      <c r="I6005" s="161" t="s">
        <v>7146</v>
      </c>
    </row>
    <row r="6006" spans="1:9">
      <c r="A6006" s="113">
        <v>100792123</v>
      </c>
      <c r="B6006" s="113" t="s">
        <v>7116</v>
      </c>
      <c r="C6006" s="113">
        <v>7991749</v>
      </c>
      <c r="D6006" s="113" t="s">
        <v>7139</v>
      </c>
      <c r="E6006" s="113" t="s">
        <v>1620</v>
      </c>
      <c r="F6006" s="113" t="s">
        <v>7139</v>
      </c>
      <c r="G6006" s="115" t="s">
        <v>7145</v>
      </c>
      <c r="H6006" s="161">
        <v>0</v>
      </c>
      <c r="I6006" s="161" t="s">
        <v>7146</v>
      </c>
    </row>
    <row r="6007" spans="1:9">
      <c r="A6007" s="113">
        <v>100792124</v>
      </c>
      <c r="B6007" s="113" t="s">
        <v>7116</v>
      </c>
      <c r="C6007" s="113">
        <v>7991754</v>
      </c>
      <c r="D6007" s="113" t="s">
        <v>7139</v>
      </c>
      <c r="E6007" s="113" t="s">
        <v>1620</v>
      </c>
      <c r="F6007" s="113" t="s">
        <v>7139</v>
      </c>
      <c r="G6007" s="113" t="s">
        <v>7145</v>
      </c>
      <c r="H6007" s="161">
        <v>0</v>
      </c>
      <c r="I6007" s="161" t="s">
        <v>7146</v>
      </c>
    </row>
    <row r="6008" spans="1:9">
      <c r="A6008" s="113">
        <v>100792125</v>
      </c>
      <c r="B6008" s="113" t="s">
        <v>7116</v>
      </c>
      <c r="C6008" s="113">
        <v>7991755</v>
      </c>
      <c r="D6008" s="113" t="s">
        <v>7139</v>
      </c>
      <c r="E6008" s="113" t="s">
        <v>1620</v>
      </c>
      <c r="F6008" s="113" t="s">
        <v>7139</v>
      </c>
      <c r="G6008" s="113" t="s">
        <v>7145</v>
      </c>
      <c r="H6008" s="161">
        <v>0</v>
      </c>
      <c r="I6008" s="161" t="s">
        <v>7146</v>
      </c>
    </row>
    <row r="6009" spans="1:9">
      <c r="A6009" s="113">
        <v>100792126</v>
      </c>
      <c r="B6009" s="113" t="s">
        <v>7116</v>
      </c>
      <c r="C6009" s="113">
        <v>7991756</v>
      </c>
      <c r="D6009" s="113" t="s">
        <v>7139</v>
      </c>
      <c r="E6009" s="113" t="s">
        <v>1620</v>
      </c>
      <c r="F6009" s="113" t="s">
        <v>7139</v>
      </c>
      <c r="G6009" s="113" t="s">
        <v>7145</v>
      </c>
      <c r="H6009" s="161">
        <v>0</v>
      </c>
      <c r="I6009" s="161" t="s">
        <v>7146</v>
      </c>
    </row>
    <row r="6010" spans="1:9">
      <c r="A6010" s="113">
        <v>100792127</v>
      </c>
      <c r="B6010" s="113" t="s">
        <v>7116</v>
      </c>
      <c r="C6010" s="113">
        <v>7991757</v>
      </c>
      <c r="D6010" s="113" t="s">
        <v>7139</v>
      </c>
      <c r="E6010" s="113" t="s">
        <v>1620</v>
      </c>
      <c r="F6010" s="113" t="s">
        <v>7139</v>
      </c>
      <c r="G6010" s="113" t="s">
        <v>7145</v>
      </c>
      <c r="H6010" s="161">
        <v>0</v>
      </c>
      <c r="I6010" s="161" t="s">
        <v>7146</v>
      </c>
    </row>
    <row r="6011" spans="1:9">
      <c r="A6011" s="113">
        <v>100792128</v>
      </c>
      <c r="B6011" s="113" t="s">
        <v>7116</v>
      </c>
      <c r="C6011" s="113">
        <v>7991758</v>
      </c>
      <c r="D6011" s="113" t="s">
        <v>7139</v>
      </c>
      <c r="E6011" s="113" t="s">
        <v>1620</v>
      </c>
      <c r="F6011" s="113" t="s">
        <v>7139</v>
      </c>
      <c r="G6011" s="113" t="s">
        <v>7145</v>
      </c>
      <c r="H6011" s="161">
        <v>0</v>
      </c>
      <c r="I6011" s="161" t="s">
        <v>7146</v>
      </c>
    </row>
    <row r="6012" spans="1:9">
      <c r="A6012" s="113">
        <v>100792129</v>
      </c>
      <c r="B6012" s="113" t="s">
        <v>7116</v>
      </c>
      <c r="C6012" s="113">
        <v>7991759</v>
      </c>
      <c r="D6012" s="113" t="s">
        <v>7139</v>
      </c>
      <c r="E6012" s="113" t="s">
        <v>1620</v>
      </c>
      <c r="F6012" s="113" t="s">
        <v>7139</v>
      </c>
      <c r="G6012" s="113" t="s">
        <v>7145</v>
      </c>
      <c r="H6012" s="161">
        <v>0</v>
      </c>
      <c r="I6012" s="161" t="s">
        <v>7146</v>
      </c>
    </row>
    <row r="6013" spans="1:9">
      <c r="A6013" s="113">
        <v>100792130</v>
      </c>
      <c r="B6013" s="113" t="s">
        <v>7116</v>
      </c>
      <c r="C6013" s="113">
        <v>7991764</v>
      </c>
      <c r="D6013" s="113" t="s">
        <v>7139</v>
      </c>
      <c r="E6013" s="113" t="s">
        <v>1620</v>
      </c>
      <c r="F6013" s="113" t="s">
        <v>7139</v>
      </c>
      <c r="G6013" s="113" t="s">
        <v>7145</v>
      </c>
      <c r="H6013" s="161">
        <v>0</v>
      </c>
      <c r="I6013" s="161" t="s">
        <v>7146</v>
      </c>
    </row>
    <row r="6014" spans="1:9">
      <c r="A6014" s="113">
        <v>100792131</v>
      </c>
      <c r="B6014" s="113" t="s">
        <v>7116</v>
      </c>
      <c r="C6014" s="113">
        <v>7991765</v>
      </c>
      <c r="D6014" s="113" t="s">
        <v>7139</v>
      </c>
      <c r="E6014" s="113" t="s">
        <v>1620</v>
      </c>
      <c r="F6014" s="113" t="s">
        <v>7139</v>
      </c>
      <c r="G6014" s="113" t="s">
        <v>7145</v>
      </c>
      <c r="H6014" s="161">
        <v>0</v>
      </c>
      <c r="I6014" s="161" t="s">
        <v>7146</v>
      </c>
    </row>
    <row r="6015" spans="1:9">
      <c r="A6015" s="113">
        <v>100792132</v>
      </c>
      <c r="B6015" s="113" t="s">
        <v>7116</v>
      </c>
      <c r="C6015" s="113">
        <v>7991766</v>
      </c>
      <c r="D6015" s="113" t="s">
        <v>7139</v>
      </c>
      <c r="E6015" s="113" t="s">
        <v>1620</v>
      </c>
      <c r="F6015" s="113" t="s">
        <v>7139</v>
      </c>
      <c r="G6015" s="113" t="s">
        <v>7145</v>
      </c>
      <c r="H6015" s="161">
        <v>0</v>
      </c>
      <c r="I6015" s="161" t="s">
        <v>7146</v>
      </c>
    </row>
    <row r="6016" spans="1:9">
      <c r="A6016" s="113">
        <v>100792133</v>
      </c>
      <c r="B6016" s="113" t="s">
        <v>7116</v>
      </c>
      <c r="C6016" s="113">
        <v>7991767</v>
      </c>
      <c r="D6016" s="113" t="s">
        <v>7139</v>
      </c>
      <c r="E6016" s="113" t="s">
        <v>1620</v>
      </c>
      <c r="F6016" s="113" t="s">
        <v>7139</v>
      </c>
      <c r="G6016" s="113" t="s">
        <v>7145</v>
      </c>
      <c r="H6016" s="161">
        <v>0</v>
      </c>
      <c r="I6016" s="161" t="s">
        <v>7146</v>
      </c>
    </row>
    <row r="6017" spans="1:9">
      <c r="A6017" s="113">
        <v>100792134</v>
      </c>
      <c r="B6017" s="113" t="s">
        <v>7116</v>
      </c>
      <c r="C6017" s="113">
        <v>7991768</v>
      </c>
      <c r="D6017" s="113" t="s">
        <v>7139</v>
      </c>
      <c r="E6017" s="113" t="s">
        <v>1620</v>
      </c>
      <c r="F6017" s="113" t="s">
        <v>7139</v>
      </c>
      <c r="G6017" s="113" t="s">
        <v>7145</v>
      </c>
      <c r="H6017" s="161">
        <v>0</v>
      </c>
      <c r="I6017" s="161" t="s">
        <v>7146</v>
      </c>
    </row>
    <row r="6018" spans="1:9">
      <c r="A6018" s="113">
        <v>100792135</v>
      </c>
      <c r="B6018" s="113" t="s">
        <v>7116</v>
      </c>
      <c r="C6018" s="113">
        <v>7991769</v>
      </c>
      <c r="D6018" s="113" t="s">
        <v>7139</v>
      </c>
      <c r="E6018" s="113" t="s">
        <v>1620</v>
      </c>
      <c r="F6018" s="113" t="s">
        <v>7139</v>
      </c>
      <c r="G6018" s="113" t="s">
        <v>7145</v>
      </c>
      <c r="H6018" s="161">
        <v>0</v>
      </c>
      <c r="I6018" s="161" t="s">
        <v>7146</v>
      </c>
    </row>
    <row r="6019" spans="1:9">
      <c r="A6019" s="113">
        <v>100792136</v>
      </c>
      <c r="B6019" s="113" t="s">
        <v>7116</v>
      </c>
      <c r="C6019" s="113">
        <v>7991770</v>
      </c>
      <c r="D6019" s="113" t="s">
        <v>7139</v>
      </c>
      <c r="E6019" s="113" t="s">
        <v>1620</v>
      </c>
      <c r="F6019" s="113" t="s">
        <v>7139</v>
      </c>
      <c r="G6019" s="113" t="s">
        <v>7145</v>
      </c>
      <c r="H6019" s="161">
        <v>0</v>
      </c>
      <c r="I6019" s="161" t="s">
        <v>7146</v>
      </c>
    </row>
    <row r="6020" spans="1:9">
      <c r="A6020" s="113">
        <v>100792137</v>
      </c>
      <c r="B6020" s="113" t="s">
        <v>7116</v>
      </c>
      <c r="C6020" s="113">
        <v>7991771</v>
      </c>
      <c r="D6020" s="113" t="s">
        <v>7139</v>
      </c>
      <c r="E6020" s="113" t="s">
        <v>1620</v>
      </c>
      <c r="F6020" s="113" t="s">
        <v>7139</v>
      </c>
      <c r="G6020" s="113" t="s">
        <v>7145</v>
      </c>
      <c r="H6020" s="161">
        <v>0</v>
      </c>
      <c r="I6020" s="161" t="s">
        <v>7146</v>
      </c>
    </row>
    <row r="6021" spans="1:9">
      <c r="A6021" s="113">
        <v>100792138</v>
      </c>
      <c r="B6021" s="113" t="s">
        <v>7116</v>
      </c>
      <c r="C6021" s="113">
        <v>7991772</v>
      </c>
      <c r="D6021" s="113" t="s">
        <v>7139</v>
      </c>
      <c r="E6021" s="113" t="s">
        <v>1620</v>
      </c>
      <c r="F6021" s="113" t="s">
        <v>7139</v>
      </c>
      <c r="G6021" s="115" t="s">
        <v>7145</v>
      </c>
      <c r="H6021" s="161">
        <v>0</v>
      </c>
      <c r="I6021" s="161" t="s">
        <v>7146</v>
      </c>
    </row>
    <row r="6022" spans="1:9">
      <c r="A6022" s="113">
        <v>100792139</v>
      </c>
      <c r="B6022" s="113" t="s">
        <v>7116</v>
      </c>
      <c r="C6022" s="113">
        <v>7991773</v>
      </c>
      <c r="D6022" s="113" t="s">
        <v>7139</v>
      </c>
      <c r="E6022" s="113" t="s">
        <v>1620</v>
      </c>
      <c r="F6022" s="113" t="s">
        <v>7139</v>
      </c>
      <c r="G6022" s="115" t="s">
        <v>7145</v>
      </c>
      <c r="H6022" s="161">
        <v>0</v>
      </c>
      <c r="I6022" s="161" t="s">
        <v>7146</v>
      </c>
    </row>
    <row r="6023" spans="1:9">
      <c r="A6023" s="113">
        <v>100792140</v>
      </c>
      <c r="B6023" s="113" t="s">
        <v>7116</v>
      </c>
      <c r="C6023" s="113">
        <v>7991774</v>
      </c>
      <c r="D6023" s="113" t="s">
        <v>7139</v>
      </c>
      <c r="E6023" s="113" t="s">
        <v>1620</v>
      </c>
      <c r="F6023" s="113" t="s">
        <v>7139</v>
      </c>
      <c r="G6023" s="115" t="s">
        <v>7145</v>
      </c>
      <c r="H6023" s="161">
        <v>0</v>
      </c>
      <c r="I6023" s="161" t="s">
        <v>7146</v>
      </c>
    </row>
    <row r="6024" spans="1:9">
      <c r="A6024" s="113">
        <v>100792141</v>
      </c>
      <c r="B6024" s="113" t="s">
        <v>7116</v>
      </c>
      <c r="C6024" s="113">
        <v>7991775</v>
      </c>
      <c r="D6024" s="113" t="s">
        <v>7139</v>
      </c>
      <c r="E6024" s="113" t="s">
        <v>1620</v>
      </c>
      <c r="F6024" s="113" t="s">
        <v>7139</v>
      </c>
      <c r="G6024" s="115" t="s">
        <v>7145</v>
      </c>
      <c r="H6024" s="161">
        <v>0</v>
      </c>
      <c r="I6024" s="161" t="s">
        <v>7146</v>
      </c>
    </row>
    <row r="6025" spans="1:9">
      <c r="A6025" s="113">
        <v>100792142</v>
      </c>
      <c r="B6025" s="113" t="s">
        <v>7116</v>
      </c>
      <c r="C6025" s="113">
        <v>7991776</v>
      </c>
      <c r="D6025" s="113" t="s">
        <v>7139</v>
      </c>
      <c r="E6025" s="113" t="s">
        <v>1620</v>
      </c>
      <c r="F6025" s="113" t="s">
        <v>7139</v>
      </c>
      <c r="G6025" s="115" t="s">
        <v>7145</v>
      </c>
      <c r="H6025" s="161">
        <v>0</v>
      </c>
      <c r="I6025" s="161" t="s">
        <v>7146</v>
      </c>
    </row>
    <row r="6026" spans="1:9">
      <c r="A6026" s="113">
        <v>100792143</v>
      </c>
      <c r="B6026" s="113" t="s">
        <v>7116</v>
      </c>
      <c r="C6026" s="113">
        <v>7991778</v>
      </c>
      <c r="D6026" s="113" t="s">
        <v>7139</v>
      </c>
      <c r="E6026" s="113" t="s">
        <v>1620</v>
      </c>
      <c r="F6026" s="113" t="s">
        <v>7139</v>
      </c>
      <c r="G6026" s="115" t="s">
        <v>7145</v>
      </c>
      <c r="H6026" s="161">
        <v>0</v>
      </c>
      <c r="I6026" s="161" t="s">
        <v>7146</v>
      </c>
    </row>
    <row r="6027" spans="1:9">
      <c r="A6027" s="113">
        <v>100792144</v>
      </c>
      <c r="B6027" s="113" t="s">
        <v>7116</v>
      </c>
      <c r="C6027" s="113">
        <v>7991779</v>
      </c>
      <c r="D6027" s="113" t="s">
        <v>7139</v>
      </c>
      <c r="E6027" s="113" t="s">
        <v>1620</v>
      </c>
      <c r="F6027" s="113" t="s">
        <v>7139</v>
      </c>
      <c r="G6027" s="113" t="s">
        <v>7145</v>
      </c>
      <c r="H6027" s="161">
        <v>0</v>
      </c>
      <c r="I6027" s="161" t="s">
        <v>7146</v>
      </c>
    </row>
    <row r="6028" spans="1:9">
      <c r="A6028" s="113">
        <v>100792145</v>
      </c>
      <c r="B6028" s="113" t="s">
        <v>7116</v>
      </c>
      <c r="C6028" s="113">
        <v>7991783</v>
      </c>
      <c r="D6028" s="113" t="s">
        <v>7139</v>
      </c>
      <c r="E6028" s="113" t="s">
        <v>1620</v>
      </c>
      <c r="F6028" s="113" t="s">
        <v>7139</v>
      </c>
      <c r="G6028" s="113" t="s">
        <v>7145</v>
      </c>
      <c r="H6028" s="161">
        <v>0</v>
      </c>
      <c r="I6028" s="161" t="s">
        <v>7146</v>
      </c>
    </row>
    <row r="6029" spans="1:9">
      <c r="A6029" s="113">
        <v>100792146</v>
      </c>
      <c r="B6029" s="113" t="s">
        <v>7116</v>
      </c>
      <c r="C6029" s="113">
        <v>7991785</v>
      </c>
      <c r="D6029" s="113" t="s">
        <v>7139</v>
      </c>
      <c r="E6029" s="113" t="s">
        <v>1620</v>
      </c>
      <c r="F6029" s="113" t="s">
        <v>7139</v>
      </c>
      <c r="G6029" s="113" t="s">
        <v>7145</v>
      </c>
      <c r="H6029" s="161">
        <v>0</v>
      </c>
      <c r="I6029" s="161" t="s">
        <v>7146</v>
      </c>
    </row>
    <row r="6030" spans="1:9">
      <c r="A6030" s="113">
        <v>100792147</v>
      </c>
      <c r="B6030" s="113" t="s">
        <v>7116</v>
      </c>
      <c r="C6030" s="113">
        <v>7991786</v>
      </c>
      <c r="D6030" s="113" t="s">
        <v>7139</v>
      </c>
      <c r="E6030" s="113" t="s">
        <v>1620</v>
      </c>
      <c r="F6030" s="113" t="s">
        <v>7139</v>
      </c>
      <c r="G6030" s="113" t="s">
        <v>7145</v>
      </c>
      <c r="H6030" s="161">
        <v>0</v>
      </c>
      <c r="I6030" s="161" t="s">
        <v>7146</v>
      </c>
    </row>
    <row r="6031" spans="1:9">
      <c r="A6031" s="113">
        <v>100792148</v>
      </c>
      <c r="B6031" s="113" t="s">
        <v>7116</v>
      </c>
      <c r="C6031" s="113">
        <v>7991790</v>
      </c>
      <c r="D6031" s="113" t="s">
        <v>7139</v>
      </c>
      <c r="E6031" s="113" t="s">
        <v>1620</v>
      </c>
      <c r="F6031" s="113" t="s">
        <v>7139</v>
      </c>
      <c r="G6031" s="113" t="s">
        <v>7145</v>
      </c>
      <c r="H6031" s="161">
        <v>0</v>
      </c>
      <c r="I6031" s="161" t="s">
        <v>7146</v>
      </c>
    </row>
    <row r="6032" spans="1:9">
      <c r="A6032" s="113">
        <v>100792150</v>
      </c>
      <c r="B6032" s="113" t="s">
        <v>7116</v>
      </c>
      <c r="C6032" s="113">
        <v>7991800</v>
      </c>
      <c r="D6032" s="113" t="s">
        <v>7139</v>
      </c>
      <c r="E6032" s="113" t="s">
        <v>1620</v>
      </c>
      <c r="F6032" s="113" t="s">
        <v>7139</v>
      </c>
      <c r="G6032" s="115" t="s">
        <v>7145</v>
      </c>
      <c r="H6032" s="161">
        <v>0</v>
      </c>
      <c r="I6032" s="161" t="s">
        <v>7146</v>
      </c>
    </row>
    <row r="6033" spans="1:9">
      <c r="A6033" s="113">
        <v>100792151</v>
      </c>
      <c r="B6033" s="113" t="s">
        <v>7116</v>
      </c>
      <c r="C6033" s="113">
        <v>7991802</v>
      </c>
      <c r="D6033" s="113" t="s">
        <v>7139</v>
      </c>
      <c r="E6033" s="113" t="s">
        <v>1620</v>
      </c>
      <c r="F6033" s="113" t="s">
        <v>7139</v>
      </c>
      <c r="G6033" s="113" t="s">
        <v>7145</v>
      </c>
      <c r="H6033" s="161">
        <v>0</v>
      </c>
      <c r="I6033" s="161" t="s">
        <v>7146</v>
      </c>
    </row>
    <row r="6034" spans="1:9">
      <c r="A6034" s="113">
        <v>100792152</v>
      </c>
      <c r="B6034" s="113" t="s">
        <v>7116</v>
      </c>
      <c r="C6034" s="113">
        <v>7991803</v>
      </c>
      <c r="D6034" s="113" t="s">
        <v>7139</v>
      </c>
      <c r="E6034" s="113" t="s">
        <v>1620</v>
      </c>
      <c r="F6034" s="113" t="s">
        <v>7139</v>
      </c>
      <c r="G6034" s="115" t="s">
        <v>7145</v>
      </c>
      <c r="H6034" s="161">
        <v>0</v>
      </c>
      <c r="I6034" s="161" t="s">
        <v>7146</v>
      </c>
    </row>
    <row r="6035" spans="1:9">
      <c r="A6035" s="113">
        <v>100792153</v>
      </c>
      <c r="B6035" s="113" t="s">
        <v>7116</v>
      </c>
      <c r="C6035" s="113">
        <v>7991805</v>
      </c>
      <c r="D6035" s="113" t="s">
        <v>7139</v>
      </c>
      <c r="E6035" s="113" t="s">
        <v>1620</v>
      </c>
      <c r="F6035" s="113" t="s">
        <v>7139</v>
      </c>
      <c r="G6035" s="113" t="s">
        <v>7145</v>
      </c>
      <c r="H6035" s="161">
        <v>0</v>
      </c>
      <c r="I6035" s="161" t="s">
        <v>7146</v>
      </c>
    </row>
    <row r="6036" spans="1:9">
      <c r="A6036" s="113">
        <v>100792154</v>
      </c>
      <c r="B6036" s="113" t="s">
        <v>7116</v>
      </c>
      <c r="C6036" s="113">
        <v>7991807</v>
      </c>
      <c r="D6036" s="113" t="s">
        <v>7139</v>
      </c>
      <c r="E6036" s="113" t="s">
        <v>1620</v>
      </c>
      <c r="F6036" s="113" t="s">
        <v>7139</v>
      </c>
      <c r="G6036" s="115" t="s">
        <v>7145</v>
      </c>
      <c r="H6036" s="161">
        <v>0</v>
      </c>
      <c r="I6036" s="161" t="s">
        <v>7146</v>
      </c>
    </row>
    <row r="6037" spans="1:9">
      <c r="A6037" s="113">
        <v>100792155</v>
      </c>
      <c r="B6037" s="113" t="s">
        <v>7116</v>
      </c>
      <c r="C6037" s="113">
        <v>7991809</v>
      </c>
      <c r="D6037" s="113" t="s">
        <v>7139</v>
      </c>
      <c r="E6037" s="113" t="s">
        <v>1620</v>
      </c>
      <c r="F6037" s="113" t="s">
        <v>7139</v>
      </c>
      <c r="G6037" s="115" t="s">
        <v>7145</v>
      </c>
      <c r="H6037" s="161">
        <v>0</v>
      </c>
      <c r="I6037" s="161" t="s">
        <v>7146</v>
      </c>
    </row>
    <row r="6038" spans="1:9">
      <c r="A6038" s="113">
        <v>100792156</v>
      </c>
      <c r="B6038" s="113" t="s">
        <v>7116</v>
      </c>
      <c r="C6038" s="113">
        <v>7991812</v>
      </c>
      <c r="D6038" s="113" t="s">
        <v>7139</v>
      </c>
      <c r="E6038" s="113" t="s">
        <v>1620</v>
      </c>
      <c r="F6038" s="113" t="s">
        <v>7139</v>
      </c>
      <c r="G6038" s="113" t="s">
        <v>7145</v>
      </c>
      <c r="H6038" s="161">
        <v>0</v>
      </c>
      <c r="I6038" s="161" t="s">
        <v>7146</v>
      </c>
    </row>
    <row r="6039" spans="1:9">
      <c r="A6039" s="113">
        <v>100792157</v>
      </c>
      <c r="B6039" s="113" t="s">
        <v>7116</v>
      </c>
      <c r="C6039" s="113">
        <v>7991815</v>
      </c>
      <c r="D6039" s="113" t="s">
        <v>7139</v>
      </c>
      <c r="E6039" s="113" t="s">
        <v>1620</v>
      </c>
      <c r="F6039" s="113" t="s">
        <v>7139</v>
      </c>
      <c r="G6039" s="113" t="s">
        <v>7145</v>
      </c>
      <c r="H6039" s="161">
        <v>0</v>
      </c>
      <c r="I6039" s="161" t="s">
        <v>7146</v>
      </c>
    </row>
    <row r="6040" spans="1:9">
      <c r="A6040" s="113">
        <v>100792158</v>
      </c>
      <c r="B6040" s="113" t="s">
        <v>7116</v>
      </c>
      <c r="C6040" s="113">
        <v>7991817</v>
      </c>
      <c r="D6040" s="113" t="s">
        <v>7139</v>
      </c>
      <c r="E6040" s="113" t="s">
        <v>1620</v>
      </c>
      <c r="F6040" s="113" t="s">
        <v>7139</v>
      </c>
      <c r="G6040" s="113" t="s">
        <v>7145</v>
      </c>
      <c r="H6040" s="161">
        <v>0</v>
      </c>
      <c r="I6040" s="161" t="s">
        <v>7146</v>
      </c>
    </row>
    <row r="6041" spans="1:9">
      <c r="A6041" s="113">
        <v>100792160</v>
      </c>
      <c r="B6041" s="113" t="s">
        <v>7116</v>
      </c>
      <c r="C6041" s="113">
        <v>7991829</v>
      </c>
      <c r="D6041" s="113" t="s">
        <v>7139</v>
      </c>
      <c r="E6041" s="113" t="s">
        <v>1620</v>
      </c>
      <c r="F6041" s="113" t="s">
        <v>7139</v>
      </c>
      <c r="G6041" s="113" t="s">
        <v>7145</v>
      </c>
      <c r="H6041" s="161">
        <v>0</v>
      </c>
      <c r="I6041" s="161" t="s">
        <v>7146</v>
      </c>
    </row>
    <row r="6042" spans="1:9">
      <c r="A6042" s="113">
        <v>100792161</v>
      </c>
      <c r="B6042" s="113" t="s">
        <v>7116</v>
      </c>
      <c r="C6042" s="113">
        <v>7991835</v>
      </c>
      <c r="D6042" s="113" t="s">
        <v>7139</v>
      </c>
      <c r="E6042" s="113" t="s">
        <v>1620</v>
      </c>
      <c r="F6042" s="113" t="s">
        <v>7139</v>
      </c>
      <c r="G6042" s="113" t="s">
        <v>7145</v>
      </c>
      <c r="H6042" s="161">
        <v>0</v>
      </c>
      <c r="I6042" s="161" t="s">
        <v>7146</v>
      </c>
    </row>
    <row r="6043" spans="1:9">
      <c r="A6043" s="113">
        <v>100792162</v>
      </c>
      <c r="B6043" s="113" t="s">
        <v>7116</v>
      </c>
      <c r="C6043" s="113">
        <v>7991839</v>
      </c>
      <c r="D6043" s="113" t="s">
        <v>7139</v>
      </c>
      <c r="E6043" s="113" t="s">
        <v>1620</v>
      </c>
      <c r="F6043" s="113" t="s">
        <v>7139</v>
      </c>
      <c r="G6043" s="113" t="s">
        <v>7145</v>
      </c>
      <c r="H6043" s="161">
        <v>0</v>
      </c>
      <c r="I6043" s="161" t="s">
        <v>7146</v>
      </c>
    </row>
    <row r="6044" spans="1:9">
      <c r="A6044" s="113">
        <v>100792163</v>
      </c>
      <c r="B6044" s="113" t="s">
        <v>7116</v>
      </c>
      <c r="C6044" s="113">
        <v>7991840</v>
      </c>
      <c r="D6044" s="113" t="s">
        <v>7139</v>
      </c>
      <c r="E6044" s="113" t="s">
        <v>1620</v>
      </c>
      <c r="F6044" s="113" t="s">
        <v>7139</v>
      </c>
      <c r="G6044" s="113" t="s">
        <v>7145</v>
      </c>
      <c r="H6044" s="161">
        <v>0</v>
      </c>
      <c r="I6044" s="161" t="s">
        <v>7146</v>
      </c>
    </row>
    <row r="6045" spans="1:9">
      <c r="A6045" s="113">
        <v>100792164</v>
      </c>
      <c r="B6045" s="113" t="s">
        <v>7116</v>
      </c>
      <c r="C6045" s="113">
        <v>7991843</v>
      </c>
      <c r="D6045" s="113" t="s">
        <v>7139</v>
      </c>
      <c r="E6045" s="113" t="s">
        <v>1620</v>
      </c>
      <c r="F6045" s="113" t="s">
        <v>7139</v>
      </c>
      <c r="G6045" s="113" t="s">
        <v>7145</v>
      </c>
      <c r="H6045" s="161">
        <v>0</v>
      </c>
      <c r="I6045" s="161" t="s">
        <v>7146</v>
      </c>
    </row>
    <row r="6046" spans="1:9">
      <c r="A6046" s="113">
        <v>100792165</v>
      </c>
      <c r="B6046" s="113" t="s">
        <v>7116</v>
      </c>
      <c r="C6046" s="113">
        <v>7991845</v>
      </c>
      <c r="D6046" s="113" t="s">
        <v>7139</v>
      </c>
      <c r="E6046" s="113" t="s">
        <v>1620</v>
      </c>
      <c r="F6046" s="113" t="s">
        <v>7139</v>
      </c>
      <c r="G6046" s="113" t="s">
        <v>7145</v>
      </c>
      <c r="H6046" s="161">
        <v>0</v>
      </c>
      <c r="I6046" s="161" t="s">
        <v>7146</v>
      </c>
    </row>
    <row r="6047" spans="1:9">
      <c r="A6047" s="113">
        <v>100792166</v>
      </c>
      <c r="B6047" s="113" t="s">
        <v>7116</v>
      </c>
      <c r="C6047" s="113">
        <v>7991850</v>
      </c>
      <c r="D6047" s="113" t="s">
        <v>7139</v>
      </c>
      <c r="E6047" s="113" t="s">
        <v>1620</v>
      </c>
      <c r="F6047" s="113" t="s">
        <v>7139</v>
      </c>
      <c r="G6047" s="115" t="s">
        <v>7145</v>
      </c>
      <c r="H6047" s="161">
        <v>0</v>
      </c>
      <c r="I6047" s="161" t="s">
        <v>7146</v>
      </c>
    </row>
    <row r="6048" spans="1:9">
      <c r="A6048" s="113">
        <v>100792167</v>
      </c>
      <c r="B6048" s="113" t="s">
        <v>7116</v>
      </c>
      <c r="C6048" s="113">
        <v>7991855</v>
      </c>
      <c r="D6048" s="113" t="s">
        <v>7139</v>
      </c>
      <c r="E6048" s="113" t="s">
        <v>1620</v>
      </c>
      <c r="F6048" s="113" t="s">
        <v>7139</v>
      </c>
      <c r="G6048" s="115" t="s">
        <v>7145</v>
      </c>
      <c r="H6048" s="161">
        <v>0</v>
      </c>
      <c r="I6048" s="161" t="s">
        <v>7146</v>
      </c>
    </row>
    <row r="6049" spans="1:9">
      <c r="A6049" s="113">
        <v>100792168</v>
      </c>
      <c r="B6049" s="113" t="s">
        <v>7116</v>
      </c>
      <c r="C6049" s="113">
        <v>7991856</v>
      </c>
      <c r="D6049" s="113" t="s">
        <v>7139</v>
      </c>
      <c r="E6049" s="113" t="s">
        <v>1620</v>
      </c>
      <c r="F6049" s="113" t="s">
        <v>7139</v>
      </c>
      <c r="G6049" s="115" t="s">
        <v>7145</v>
      </c>
      <c r="H6049" s="161">
        <v>0</v>
      </c>
      <c r="I6049" s="161" t="s">
        <v>7146</v>
      </c>
    </row>
    <row r="6050" spans="1:9">
      <c r="A6050" s="113">
        <v>100792169</v>
      </c>
      <c r="B6050" s="113" t="s">
        <v>7116</v>
      </c>
      <c r="C6050" s="113">
        <v>7991857</v>
      </c>
      <c r="D6050" s="113" t="s">
        <v>7139</v>
      </c>
      <c r="E6050" s="113" t="s">
        <v>1620</v>
      </c>
      <c r="F6050" s="113" t="s">
        <v>7139</v>
      </c>
      <c r="G6050" s="113" t="s">
        <v>7145</v>
      </c>
      <c r="H6050" s="161">
        <v>0</v>
      </c>
      <c r="I6050" s="161" t="s">
        <v>7146</v>
      </c>
    </row>
    <row r="6051" spans="1:9">
      <c r="A6051" s="113">
        <v>100792170</v>
      </c>
      <c r="B6051" s="113" t="s">
        <v>7116</v>
      </c>
      <c r="C6051" s="113">
        <v>7991863</v>
      </c>
      <c r="D6051" s="113" t="s">
        <v>7139</v>
      </c>
      <c r="E6051" s="113" t="s">
        <v>1620</v>
      </c>
      <c r="F6051" s="113" t="s">
        <v>7139</v>
      </c>
      <c r="G6051" s="113" t="s">
        <v>7145</v>
      </c>
      <c r="H6051" s="161">
        <v>0</v>
      </c>
      <c r="I6051" s="161" t="s">
        <v>7146</v>
      </c>
    </row>
    <row r="6052" spans="1:9">
      <c r="A6052" s="113">
        <v>100792173</v>
      </c>
      <c r="B6052" s="113" t="s">
        <v>7116</v>
      </c>
      <c r="C6052" s="113">
        <v>7991868</v>
      </c>
      <c r="D6052" s="113" t="s">
        <v>7139</v>
      </c>
      <c r="E6052" s="113" t="s">
        <v>1620</v>
      </c>
      <c r="F6052" s="113" t="s">
        <v>7139</v>
      </c>
      <c r="G6052" s="115" t="s">
        <v>7145</v>
      </c>
      <c r="H6052" s="161">
        <v>0</v>
      </c>
      <c r="I6052" s="161" t="s">
        <v>7146</v>
      </c>
    </row>
    <row r="6053" spans="1:9">
      <c r="A6053" s="113">
        <v>100792174</v>
      </c>
      <c r="B6053" s="113" t="s">
        <v>7116</v>
      </c>
      <c r="C6053" s="113">
        <v>7991869</v>
      </c>
      <c r="D6053" s="113" t="s">
        <v>7139</v>
      </c>
      <c r="E6053" s="113" t="s">
        <v>1620</v>
      </c>
      <c r="F6053" s="113" t="s">
        <v>7139</v>
      </c>
      <c r="G6053" s="113" t="s">
        <v>7145</v>
      </c>
      <c r="H6053" s="161">
        <v>0</v>
      </c>
      <c r="I6053" s="161" t="s">
        <v>7146</v>
      </c>
    </row>
    <row r="6054" spans="1:9">
      <c r="A6054" s="113">
        <v>100792176</v>
      </c>
      <c r="B6054" s="113" t="s">
        <v>7116</v>
      </c>
      <c r="C6054" s="113">
        <v>7991871</v>
      </c>
      <c r="D6054" s="113" t="s">
        <v>7139</v>
      </c>
      <c r="E6054" s="113" t="s">
        <v>1620</v>
      </c>
      <c r="F6054" s="113" t="s">
        <v>7139</v>
      </c>
      <c r="G6054" s="113" t="s">
        <v>7145</v>
      </c>
      <c r="H6054" s="161">
        <v>0</v>
      </c>
      <c r="I6054" s="161" t="s">
        <v>7146</v>
      </c>
    </row>
    <row r="6055" spans="1:9">
      <c r="A6055" s="113">
        <v>100792177</v>
      </c>
      <c r="B6055" s="113" t="s">
        <v>7116</v>
      </c>
      <c r="C6055" s="113">
        <v>7991872</v>
      </c>
      <c r="D6055" s="113" t="s">
        <v>7139</v>
      </c>
      <c r="E6055" s="113" t="s">
        <v>1620</v>
      </c>
      <c r="F6055" s="113" t="s">
        <v>7139</v>
      </c>
      <c r="G6055" s="115" t="s">
        <v>7145</v>
      </c>
      <c r="H6055" s="161">
        <v>0</v>
      </c>
      <c r="I6055" s="161" t="s">
        <v>7146</v>
      </c>
    </row>
    <row r="6056" spans="1:9">
      <c r="A6056" s="113">
        <v>100792178</v>
      </c>
      <c r="B6056" s="113" t="s">
        <v>7116</v>
      </c>
      <c r="C6056" s="113">
        <v>7991873</v>
      </c>
      <c r="D6056" s="113" t="s">
        <v>7139</v>
      </c>
      <c r="E6056" s="113" t="s">
        <v>1620</v>
      </c>
      <c r="F6056" s="113" t="s">
        <v>7139</v>
      </c>
      <c r="G6056" s="113" t="s">
        <v>7145</v>
      </c>
      <c r="H6056" s="161">
        <v>0</v>
      </c>
      <c r="I6056" s="161" t="s">
        <v>7146</v>
      </c>
    </row>
    <row r="6057" spans="1:9">
      <c r="A6057" s="113">
        <v>100792179</v>
      </c>
      <c r="B6057" s="113" t="s">
        <v>7116</v>
      </c>
      <c r="C6057" s="113">
        <v>7991874</v>
      </c>
      <c r="D6057" s="113" t="s">
        <v>7139</v>
      </c>
      <c r="E6057" s="113" t="s">
        <v>1620</v>
      </c>
      <c r="F6057" s="113" t="s">
        <v>7139</v>
      </c>
      <c r="G6057" s="113" t="s">
        <v>7145</v>
      </c>
      <c r="H6057" s="161">
        <v>0</v>
      </c>
      <c r="I6057" s="161" t="s">
        <v>7146</v>
      </c>
    </row>
    <row r="6058" spans="1:9">
      <c r="A6058" s="113">
        <v>100792180</v>
      </c>
      <c r="B6058" s="113" t="s">
        <v>7116</v>
      </c>
      <c r="C6058" s="113">
        <v>7991876</v>
      </c>
      <c r="D6058" s="113" t="s">
        <v>7139</v>
      </c>
      <c r="E6058" s="113" t="s">
        <v>1620</v>
      </c>
      <c r="F6058" s="113" t="s">
        <v>7139</v>
      </c>
      <c r="G6058" s="113" t="s">
        <v>7145</v>
      </c>
      <c r="H6058" s="161">
        <v>0</v>
      </c>
      <c r="I6058" s="161" t="s">
        <v>7146</v>
      </c>
    </row>
    <row r="6059" spans="1:9">
      <c r="A6059" s="113">
        <v>100792181</v>
      </c>
      <c r="B6059" s="113" t="s">
        <v>7116</v>
      </c>
      <c r="C6059" s="113">
        <v>7991877</v>
      </c>
      <c r="D6059" s="113" t="s">
        <v>7139</v>
      </c>
      <c r="E6059" s="113" t="s">
        <v>1620</v>
      </c>
      <c r="F6059" s="113" t="s">
        <v>7139</v>
      </c>
      <c r="G6059" s="113" t="s">
        <v>7145</v>
      </c>
      <c r="H6059" s="161">
        <v>0</v>
      </c>
      <c r="I6059" s="161" t="s">
        <v>7146</v>
      </c>
    </row>
    <row r="6060" spans="1:9">
      <c r="A6060" s="113">
        <v>100792182</v>
      </c>
      <c r="B6060" s="113" t="s">
        <v>7116</v>
      </c>
      <c r="C6060" s="113">
        <v>7991878</v>
      </c>
      <c r="D6060" s="113" t="s">
        <v>7139</v>
      </c>
      <c r="E6060" s="113" t="s">
        <v>1620</v>
      </c>
      <c r="F6060" s="113" t="s">
        <v>7139</v>
      </c>
      <c r="G6060" s="115" t="s">
        <v>7145</v>
      </c>
      <c r="H6060" s="161">
        <v>0</v>
      </c>
      <c r="I6060" s="161" t="s">
        <v>7146</v>
      </c>
    </row>
    <row r="6061" spans="1:9">
      <c r="A6061" s="113">
        <v>100792183</v>
      </c>
      <c r="B6061" s="113" t="s">
        <v>7116</v>
      </c>
      <c r="C6061" s="113">
        <v>7991882</v>
      </c>
      <c r="D6061" s="113" t="s">
        <v>7139</v>
      </c>
      <c r="E6061" s="113" t="s">
        <v>1620</v>
      </c>
      <c r="F6061" s="113" t="s">
        <v>7139</v>
      </c>
      <c r="G6061" s="115" t="s">
        <v>7145</v>
      </c>
      <c r="H6061" s="161">
        <v>0</v>
      </c>
      <c r="I6061" s="161" t="s">
        <v>7146</v>
      </c>
    </row>
    <row r="6062" spans="1:9">
      <c r="A6062" s="113">
        <v>100792184</v>
      </c>
      <c r="B6062" s="113" t="s">
        <v>7116</v>
      </c>
      <c r="C6062" s="113">
        <v>7991883</v>
      </c>
      <c r="D6062" s="113" t="s">
        <v>7139</v>
      </c>
      <c r="E6062" s="113" t="s">
        <v>1620</v>
      </c>
      <c r="F6062" s="113" t="s">
        <v>7139</v>
      </c>
      <c r="G6062" s="115" t="s">
        <v>7145</v>
      </c>
      <c r="H6062" s="161">
        <v>0</v>
      </c>
      <c r="I6062" s="161" t="s">
        <v>7146</v>
      </c>
    </row>
    <row r="6063" spans="1:9">
      <c r="A6063" s="113">
        <v>100792185</v>
      </c>
      <c r="B6063" s="113" t="s">
        <v>7116</v>
      </c>
      <c r="C6063" s="113">
        <v>7991884</v>
      </c>
      <c r="D6063" s="113" t="s">
        <v>7139</v>
      </c>
      <c r="E6063" s="113" t="s">
        <v>1620</v>
      </c>
      <c r="F6063" s="113" t="s">
        <v>7139</v>
      </c>
      <c r="G6063" s="113" t="s">
        <v>7145</v>
      </c>
      <c r="H6063" s="161">
        <v>0</v>
      </c>
      <c r="I6063" s="161" t="s">
        <v>7146</v>
      </c>
    </row>
    <row r="6064" spans="1:9">
      <c r="A6064" s="113">
        <v>100792186</v>
      </c>
      <c r="B6064" s="113" t="s">
        <v>7116</v>
      </c>
      <c r="C6064" s="113">
        <v>7991885</v>
      </c>
      <c r="D6064" s="113" t="s">
        <v>7139</v>
      </c>
      <c r="E6064" s="113" t="s">
        <v>1620</v>
      </c>
      <c r="F6064" s="113" t="s">
        <v>7139</v>
      </c>
      <c r="G6064" s="115" t="s">
        <v>7145</v>
      </c>
      <c r="H6064" s="161">
        <v>0</v>
      </c>
      <c r="I6064" s="161" t="s">
        <v>7146</v>
      </c>
    </row>
    <row r="6065" spans="1:9">
      <c r="A6065" s="113">
        <v>100792187</v>
      </c>
      <c r="B6065" s="113" t="s">
        <v>7116</v>
      </c>
      <c r="C6065" s="113">
        <v>7991887</v>
      </c>
      <c r="D6065" s="113" t="s">
        <v>7139</v>
      </c>
      <c r="E6065" s="113" t="s">
        <v>1620</v>
      </c>
      <c r="F6065" s="113" t="s">
        <v>7139</v>
      </c>
      <c r="G6065" s="115" t="s">
        <v>7145</v>
      </c>
      <c r="H6065" s="161">
        <v>0</v>
      </c>
      <c r="I6065" s="161" t="s">
        <v>7146</v>
      </c>
    </row>
    <row r="6066" spans="1:9">
      <c r="A6066" s="113">
        <v>100792188</v>
      </c>
      <c r="B6066" s="113" t="s">
        <v>7116</v>
      </c>
      <c r="C6066" s="113">
        <v>7991888</v>
      </c>
      <c r="D6066" s="113" t="s">
        <v>7139</v>
      </c>
      <c r="E6066" s="113" t="s">
        <v>1620</v>
      </c>
      <c r="F6066" s="113" t="s">
        <v>7139</v>
      </c>
      <c r="G6066" s="113" t="s">
        <v>7145</v>
      </c>
      <c r="H6066" s="161">
        <v>0</v>
      </c>
      <c r="I6066" s="161" t="s">
        <v>7146</v>
      </c>
    </row>
    <row r="6067" spans="1:9">
      <c r="A6067" s="113">
        <v>100792189</v>
      </c>
      <c r="B6067" s="113" t="s">
        <v>7116</v>
      </c>
      <c r="C6067" s="113">
        <v>7991890</v>
      </c>
      <c r="D6067" s="113" t="s">
        <v>7139</v>
      </c>
      <c r="E6067" s="113" t="s">
        <v>1620</v>
      </c>
      <c r="F6067" s="113" t="s">
        <v>7139</v>
      </c>
      <c r="G6067" s="115" t="s">
        <v>7145</v>
      </c>
      <c r="H6067" s="161">
        <v>0</v>
      </c>
      <c r="I6067" s="161" t="s">
        <v>7146</v>
      </c>
    </row>
    <row r="6068" spans="1:9">
      <c r="A6068" s="113">
        <v>100792190</v>
      </c>
      <c r="B6068" s="113" t="s">
        <v>7116</v>
      </c>
      <c r="C6068" s="113">
        <v>7991891</v>
      </c>
      <c r="D6068" s="113" t="s">
        <v>7139</v>
      </c>
      <c r="E6068" s="113" t="s">
        <v>1620</v>
      </c>
      <c r="F6068" s="113" t="s">
        <v>7139</v>
      </c>
      <c r="G6068" s="113" t="s">
        <v>7145</v>
      </c>
      <c r="H6068" s="161">
        <v>0</v>
      </c>
      <c r="I6068" s="161" t="s">
        <v>7146</v>
      </c>
    </row>
    <row r="6069" spans="1:9">
      <c r="A6069" s="113">
        <v>100792191</v>
      </c>
      <c r="B6069" s="113" t="s">
        <v>7116</v>
      </c>
      <c r="C6069" s="113">
        <v>7991892</v>
      </c>
      <c r="D6069" s="113" t="s">
        <v>7139</v>
      </c>
      <c r="E6069" s="113" t="s">
        <v>1620</v>
      </c>
      <c r="F6069" s="113" t="s">
        <v>7139</v>
      </c>
      <c r="G6069" s="115" t="s">
        <v>7145</v>
      </c>
      <c r="H6069" s="161">
        <v>0</v>
      </c>
      <c r="I6069" s="161" t="s">
        <v>7146</v>
      </c>
    </row>
    <row r="6070" spans="1:9">
      <c r="A6070" s="113">
        <v>100792193</v>
      </c>
      <c r="B6070" s="113" t="s">
        <v>7116</v>
      </c>
      <c r="C6070" s="113">
        <v>7991895</v>
      </c>
      <c r="D6070" s="113" t="s">
        <v>7139</v>
      </c>
      <c r="E6070" s="113" t="s">
        <v>1620</v>
      </c>
      <c r="F6070" s="113" t="s">
        <v>7139</v>
      </c>
      <c r="G6070" s="115" t="s">
        <v>7145</v>
      </c>
      <c r="H6070" s="161">
        <v>0</v>
      </c>
      <c r="I6070" s="161" t="s">
        <v>7146</v>
      </c>
    </row>
    <row r="6071" spans="1:9">
      <c r="A6071" s="113">
        <v>100792194</v>
      </c>
      <c r="B6071" s="113" t="s">
        <v>7116</v>
      </c>
      <c r="C6071" s="113">
        <v>7991897</v>
      </c>
      <c r="D6071" s="113" t="s">
        <v>7139</v>
      </c>
      <c r="E6071" s="113" t="s">
        <v>1620</v>
      </c>
      <c r="F6071" s="113" t="s">
        <v>7139</v>
      </c>
      <c r="G6071" s="113" t="s">
        <v>7145</v>
      </c>
      <c r="H6071" s="161">
        <v>0</v>
      </c>
      <c r="I6071" s="161" t="s">
        <v>7146</v>
      </c>
    </row>
    <row r="6072" spans="1:9">
      <c r="A6072" s="113">
        <v>100792195</v>
      </c>
      <c r="B6072" s="113" t="s">
        <v>7116</v>
      </c>
      <c r="C6072" s="113">
        <v>7991899</v>
      </c>
      <c r="D6072" s="113" t="s">
        <v>7139</v>
      </c>
      <c r="E6072" s="113" t="s">
        <v>1620</v>
      </c>
      <c r="F6072" s="113" t="s">
        <v>7139</v>
      </c>
      <c r="G6072" s="115" t="s">
        <v>7145</v>
      </c>
      <c r="H6072" s="161">
        <v>0</v>
      </c>
      <c r="I6072" s="161" t="s">
        <v>7146</v>
      </c>
    </row>
    <row r="6073" spans="1:9">
      <c r="A6073" s="113">
        <v>100792196</v>
      </c>
      <c r="B6073" s="113" t="s">
        <v>7116</v>
      </c>
      <c r="C6073" s="113">
        <v>7991900</v>
      </c>
      <c r="D6073" s="113" t="s">
        <v>7139</v>
      </c>
      <c r="E6073" s="113" t="s">
        <v>1620</v>
      </c>
      <c r="F6073" s="113" t="s">
        <v>7139</v>
      </c>
      <c r="G6073" s="115" t="s">
        <v>7145</v>
      </c>
      <c r="H6073" s="161">
        <v>0</v>
      </c>
      <c r="I6073" s="161" t="s">
        <v>7146</v>
      </c>
    </row>
    <row r="6074" spans="1:9">
      <c r="A6074" s="113">
        <v>100792197</v>
      </c>
      <c r="B6074" s="113" t="s">
        <v>7116</v>
      </c>
      <c r="C6074" s="113">
        <v>7991902</v>
      </c>
      <c r="D6074" s="113" t="s">
        <v>7139</v>
      </c>
      <c r="E6074" s="113" t="s">
        <v>1620</v>
      </c>
      <c r="F6074" s="113" t="s">
        <v>7139</v>
      </c>
      <c r="G6074" s="115" t="s">
        <v>7145</v>
      </c>
      <c r="H6074" s="161">
        <v>0</v>
      </c>
      <c r="I6074" s="161" t="s">
        <v>7146</v>
      </c>
    </row>
    <row r="6075" spans="1:9">
      <c r="A6075" s="113">
        <v>100792198</v>
      </c>
      <c r="B6075" s="113" t="s">
        <v>7116</v>
      </c>
      <c r="C6075" s="113">
        <v>7991903</v>
      </c>
      <c r="D6075" s="113" t="s">
        <v>7139</v>
      </c>
      <c r="E6075" s="113" t="s">
        <v>1620</v>
      </c>
      <c r="F6075" s="113" t="s">
        <v>7139</v>
      </c>
      <c r="G6075" s="113" t="s">
        <v>7145</v>
      </c>
      <c r="H6075" s="161">
        <v>0</v>
      </c>
      <c r="I6075" s="161" t="s">
        <v>7146</v>
      </c>
    </row>
    <row r="6076" spans="1:9">
      <c r="A6076" s="113">
        <v>100792200</v>
      </c>
      <c r="B6076" s="113" t="s">
        <v>7116</v>
      </c>
      <c r="C6076" s="113">
        <v>7991906</v>
      </c>
      <c r="D6076" s="113" t="s">
        <v>7139</v>
      </c>
      <c r="E6076" s="113" t="s">
        <v>1620</v>
      </c>
      <c r="F6076" s="113" t="s">
        <v>7139</v>
      </c>
      <c r="G6076" s="113" t="s">
        <v>7145</v>
      </c>
      <c r="H6076" s="161">
        <v>0</v>
      </c>
      <c r="I6076" s="161" t="s">
        <v>7146</v>
      </c>
    </row>
    <row r="6077" spans="1:9">
      <c r="A6077" s="113">
        <v>100792201</v>
      </c>
      <c r="B6077" s="113" t="s">
        <v>7116</v>
      </c>
      <c r="C6077" s="113">
        <v>7991907</v>
      </c>
      <c r="D6077" s="113" t="s">
        <v>7139</v>
      </c>
      <c r="E6077" s="113" t="s">
        <v>1620</v>
      </c>
      <c r="F6077" s="113" t="s">
        <v>7139</v>
      </c>
      <c r="G6077" s="115" t="s">
        <v>7145</v>
      </c>
      <c r="H6077" s="161">
        <v>0</v>
      </c>
      <c r="I6077" s="161" t="s">
        <v>7146</v>
      </c>
    </row>
    <row r="6078" spans="1:9">
      <c r="A6078" s="113">
        <v>100792202</v>
      </c>
      <c r="B6078" s="113" t="s">
        <v>7116</v>
      </c>
      <c r="C6078" s="113">
        <v>7991908</v>
      </c>
      <c r="D6078" s="113" t="s">
        <v>7139</v>
      </c>
      <c r="E6078" s="113" t="s">
        <v>1620</v>
      </c>
      <c r="F6078" s="113" t="s">
        <v>7139</v>
      </c>
      <c r="G6078" s="115" t="s">
        <v>7145</v>
      </c>
      <c r="H6078" s="161">
        <v>0</v>
      </c>
      <c r="I6078" s="161" t="s">
        <v>7146</v>
      </c>
    </row>
    <row r="6079" spans="1:9">
      <c r="A6079" s="113">
        <v>100792203</v>
      </c>
      <c r="B6079" s="113" t="s">
        <v>7116</v>
      </c>
      <c r="C6079" s="113">
        <v>7991909</v>
      </c>
      <c r="D6079" s="113" t="s">
        <v>7139</v>
      </c>
      <c r="E6079" s="113" t="s">
        <v>1620</v>
      </c>
      <c r="F6079" s="113" t="s">
        <v>7139</v>
      </c>
      <c r="G6079" s="113" t="s">
        <v>7145</v>
      </c>
      <c r="H6079" s="161">
        <v>0</v>
      </c>
      <c r="I6079" s="161" t="s">
        <v>7146</v>
      </c>
    </row>
    <row r="6080" spans="1:9">
      <c r="A6080" s="113">
        <v>100792204</v>
      </c>
      <c r="B6080" s="113" t="s">
        <v>7116</v>
      </c>
      <c r="C6080" s="113">
        <v>7991910</v>
      </c>
      <c r="D6080" s="113" t="s">
        <v>7139</v>
      </c>
      <c r="E6080" s="113" t="s">
        <v>1620</v>
      </c>
      <c r="F6080" s="113" t="s">
        <v>7139</v>
      </c>
      <c r="G6080" s="115" t="s">
        <v>7145</v>
      </c>
      <c r="H6080" s="161">
        <v>0</v>
      </c>
      <c r="I6080" s="161" t="s">
        <v>7146</v>
      </c>
    </row>
    <row r="6081" spans="1:9">
      <c r="A6081" s="113">
        <v>100792216</v>
      </c>
      <c r="B6081" s="113" t="s">
        <v>7116</v>
      </c>
      <c r="C6081" s="113">
        <v>7991958</v>
      </c>
      <c r="D6081" s="113" t="s">
        <v>7139</v>
      </c>
      <c r="E6081" s="113" t="s">
        <v>1620</v>
      </c>
      <c r="F6081" s="113" t="s">
        <v>7139</v>
      </c>
      <c r="G6081" s="113" t="s">
        <v>7145</v>
      </c>
      <c r="H6081" s="161">
        <v>0</v>
      </c>
      <c r="I6081" s="161" t="s">
        <v>7146</v>
      </c>
    </row>
    <row r="6082" spans="1:9">
      <c r="A6082" s="113">
        <v>100792217</v>
      </c>
      <c r="B6082" s="113" t="s">
        <v>7116</v>
      </c>
      <c r="C6082" s="113">
        <v>7991960</v>
      </c>
      <c r="D6082" s="113" t="s">
        <v>7139</v>
      </c>
      <c r="E6082" s="113" t="s">
        <v>1620</v>
      </c>
      <c r="F6082" s="113" t="s">
        <v>7139</v>
      </c>
      <c r="G6082" s="113" t="s">
        <v>7145</v>
      </c>
      <c r="H6082" s="161">
        <v>0</v>
      </c>
      <c r="I6082" s="161" t="s">
        <v>7146</v>
      </c>
    </row>
    <row r="6083" spans="1:9">
      <c r="A6083" s="113">
        <v>100792218</v>
      </c>
      <c r="B6083" s="113" t="s">
        <v>7116</v>
      </c>
      <c r="C6083" s="113">
        <v>7991976</v>
      </c>
      <c r="D6083" s="113" t="s">
        <v>7139</v>
      </c>
      <c r="E6083" s="113" t="s">
        <v>1620</v>
      </c>
      <c r="F6083" s="113" t="s">
        <v>7139</v>
      </c>
      <c r="G6083" s="113" t="s">
        <v>7145</v>
      </c>
      <c r="H6083" s="161">
        <v>0</v>
      </c>
      <c r="I6083" s="161" t="s">
        <v>7146</v>
      </c>
    </row>
    <row r="6084" spans="1:9">
      <c r="A6084" s="113">
        <v>100792219</v>
      </c>
      <c r="B6084" s="113" t="s">
        <v>7116</v>
      </c>
      <c r="C6084" s="113">
        <v>7991991</v>
      </c>
      <c r="D6084" s="113" t="s">
        <v>7139</v>
      </c>
      <c r="E6084" s="113" t="s">
        <v>1620</v>
      </c>
      <c r="F6084" s="113" t="s">
        <v>7139</v>
      </c>
      <c r="G6084" s="113" t="s">
        <v>7145</v>
      </c>
      <c r="H6084" s="161">
        <v>0</v>
      </c>
      <c r="I6084" s="161" t="s">
        <v>7146</v>
      </c>
    </row>
    <row r="6085" spans="1:9">
      <c r="A6085" s="113">
        <v>100792220</v>
      </c>
      <c r="B6085" s="113" t="s">
        <v>7116</v>
      </c>
      <c r="C6085" s="113">
        <v>7991993</v>
      </c>
      <c r="D6085" s="113" t="s">
        <v>7139</v>
      </c>
      <c r="E6085" s="113" t="s">
        <v>1620</v>
      </c>
      <c r="F6085" s="113" t="s">
        <v>7139</v>
      </c>
      <c r="G6085" s="113" t="s">
        <v>7145</v>
      </c>
      <c r="H6085" s="161">
        <v>0</v>
      </c>
      <c r="I6085" s="161" t="s">
        <v>7146</v>
      </c>
    </row>
    <row r="6086" spans="1:9">
      <c r="A6086" s="113">
        <v>100792221</v>
      </c>
      <c r="B6086" s="113" t="s">
        <v>7116</v>
      </c>
      <c r="C6086" s="113">
        <v>7992021</v>
      </c>
      <c r="D6086" s="113" t="s">
        <v>7139</v>
      </c>
      <c r="E6086" s="113" t="s">
        <v>1620</v>
      </c>
      <c r="F6086" s="113" t="s">
        <v>7139</v>
      </c>
      <c r="G6086" s="113" t="s">
        <v>7145</v>
      </c>
      <c r="H6086" s="161">
        <v>0</v>
      </c>
      <c r="I6086" s="161" t="s">
        <v>7146</v>
      </c>
    </row>
    <row r="6087" spans="1:9">
      <c r="A6087" s="113">
        <v>100792222</v>
      </c>
      <c r="B6087" s="113" t="s">
        <v>7116</v>
      </c>
      <c r="C6087" s="113">
        <v>7992047</v>
      </c>
      <c r="D6087" s="113" t="s">
        <v>7139</v>
      </c>
      <c r="E6087" s="113" t="s">
        <v>1620</v>
      </c>
      <c r="F6087" s="113" t="s">
        <v>7139</v>
      </c>
      <c r="G6087" s="113" t="s">
        <v>7145</v>
      </c>
      <c r="H6087" s="161">
        <v>0</v>
      </c>
      <c r="I6087" s="161" t="s">
        <v>7146</v>
      </c>
    </row>
    <row r="6088" spans="1:9">
      <c r="A6088" s="113">
        <v>100792224</v>
      </c>
      <c r="B6088" s="113" t="s">
        <v>7116</v>
      </c>
      <c r="C6088" s="113">
        <v>7992097</v>
      </c>
      <c r="D6088" s="113" t="s">
        <v>7139</v>
      </c>
      <c r="E6088" s="113" t="s">
        <v>1620</v>
      </c>
      <c r="F6088" s="113" t="s">
        <v>7139</v>
      </c>
      <c r="G6088" s="113" t="s">
        <v>7145</v>
      </c>
      <c r="H6088" s="161">
        <v>0</v>
      </c>
      <c r="I6088" s="161" t="s">
        <v>7146</v>
      </c>
    </row>
    <row r="6089" spans="1:9">
      <c r="A6089" s="113">
        <v>100792227</v>
      </c>
      <c r="B6089" s="113" t="s">
        <v>7116</v>
      </c>
      <c r="C6089" s="113">
        <v>7992116</v>
      </c>
      <c r="D6089" s="113" t="s">
        <v>7139</v>
      </c>
      <c r="E6089" s="113" t="s">
        <v>1620</v>
      </c>
      <c r="F6089" s="113" t="s">
        <v>7139</v>
      </c>
      <c r="G6089" s="113" t="s">
        <v>7145</v>
      </c>
      <c r="H6089" s="161">
        <v>0</v>
      </c>
      <c r="I6089" s="161" t="s">
        <v>7146</v>
      </c>
    </row>
    <row r="6090" spans="1:9">
      <c r="A6090" s="113">
        <v>100792228</v>
      </c>
      <c r="B6090" s="113" t="s">
        <v>7116</v>
      </c>
      <c r="C6090" s="113">
        <v>7992118</v>
      </c>
      <c r="D6090" s="113" t="s">
        <v>7139</v>
      </c>
      <c r="E6090" s="113" t="s">
        <v>1620</v>
      </c>
      <c r="F6090" s="113" t="s">
        <v>7139</v>
      </c>
      <c r="G6090" s="113" t="s">
        <v>7145</v>
      </c>
      <c r="H6090" s="161">
        <v>0</v>
      </c>
      <c r="I6090" s="161" t="s">
        <v>7146</v>
      </c>
    </row>
    <row r="6091" spans="1:9">
      <c r="A6091" s="113">
        <v>100792229</v>
      </c>
      <c r="B6091" s="113" t="s">
        <v>7116</v>
      </c>
      <c r="C6091" s="113">
        <v>7992120</v>
      </c>
      <c r="D6091" s="113" t="s">
        <v>7139</v>
      </c>
      <c r="E6091" s="113" t="s">
        <v>1620</v>
      </c>
      <c r="F6091" s="113" t="s">
        <v>7139</v>
      </c>
      <c r="G6091" s="113" t="s">
        <v>7145</v>
      </c>
      <c r="H6091" s="161">
        <v>0</v>
      </c>
      <c r="I6091" s="161" t="s">
        <v>7146</v>
      </c>
    </row>
    <row r="6092" spans="1:9">
      <c r="A6092" s="113">
        <v>100792230</v>
      </c>
      <c r="B6092" s="113" t="s">
        <v>7116</v>
      </c>
      <c r="C6092" s="113">
        <v>7992122</v>
      </c>
      <c r="D6092" s="113" t="s">
        <v>7139</v>
      </c>
      <c r="E6092" s="113" t="s">
        <v>1620</v>
      </c>
      <c r="F6092" s="113" t="s">
        <v>7139</v>
      </c>
      <c r="G6092" s="113" t="s">
        <v>7145</v>
      </c>
      <c r="H6092" s="161">
        <v>0</v>
      </c>
      <c r="I6092" s="161" t="s">
        <v>7146</v>
      </c>
    </row>
    <row r="6093" spans="1:9">
      <c r="A6093" s="113">
        <v>100792239</v>
      </c>
      <c r="B6093" s="113" t="s">
        <v>7116</v>
      </c>
      <c r="C6093" s="113">
        <v>7992180</v>
      </c>
      <c r="D6093" s="113" t="s">
        <v>7139</v>
      </c>
      <c r="E6093" s="113" t="s">
        <v>1620</v>
      </c>
      <c r="F6093" s="113" t="s">
        <v>7139</v>
      </c>
      <c r="G6093" s="113" t="s">
        <v>7145</v>
      </c>
      <c r="H6093" s="161">
        <v>0</v>
      </c>
      <c r="I6093" s="161" t="s">
        <v>7146</v>
      </c>
    </row>
    <row r="6094" spans="1:9">
      <c r="A6094" s="113">
        <v>100792240</v>
      </c>
      <c r="B6094" s="113" t="s">
        <v>7116</v>
      </c>
      <c r="C6094" s="113">
        <v>7992185</v>
      </c>
      <c r="D6094" s="113" t="s">
        <v>7139</v>
      </c>
      <c r="E6094" s="113" t="s">
        <v>1620</v>
      </c>
      <c r="F6094" s="113" t="s">
        <v>7139</v>
      </c>
      <c r="G6094" s="113" t="s">
        <v>7145</v>
      </c>
      <c r="H6094" s="161">
        <v>0</v>
      </c>
      <c r="I6094" s="161" t="s">
        <v>7146</v>
      </c>
    </row>
    <row r="6095" spans="1:9">
      <c r="A6095" s="113">
        <v>100792241</v>
      </c>
      <c r="B6095" s="113" t="s">
        <v>7116</v>
      </c>
      <c r="C6095" s="113">
        <v>7992189</v>
      </c>
      <c r="D6095" s="113" t="s">
        <v>7139</v>
      </c>
      <c r="E6095" s="113" t="s">
        <v>1620</v>
      </c>
      <c r="F6095" s="113" t="s">
        <v>7139</v>
      </c>
      <c r="G6095" s="113" t="s">
        <v>7145</v>
      </c>
      <c r="H6095" s="161">
        <v>0</v>
      </c>
      <c r="I6095" s="161" t="s">
        <v>7146</v>
      </c>
    </row>
    <row r="6096" spans="1:9">
      <c r="A6096" s="113">
        <v>100792242</v>
      </c>
      <c r="B6096" s="113" t="s">
        <v>7116</v>
      </c>
      <c r="C6096" s="113">
        <v>7992190</v>
      </c>
      <c r="D6096" s="113" t="s">
        <v>7139</v>
      </c>
      <c r="E6096" s="113" t="s">
        <v>1620</v>
      </c>
      <c r="F6096" s="113" t="s">
        <v>7139</v>
      </c>
      <c r="G6096" s="113" t="s">
        <v>7145</v>
      </c>
      <c r="H6096" s="161">
        <v>0</v>
      </c>
      <c r="I6096" s="161" t="s">
        <v>7146</v>
      </c>
    </row>
    <row r="6097" spans="1:9">
      <c r="A6097" s="113">
        <v>100792245</v>
      </c>
      <c r="B6097" s="113" t="s">
        <v>7116</v>
      </c>
      <c r="C6097" s="113">
        <v>7992211</v>
      </c>
      <c r="D6097" s="113" t="s">
        <v>7139</v>
      </c>
      <c r="E6097" s="113" t="s">
        <v>1620</v>
      </c>
      <c r="F6097" s="113" t="s">
        <v>7139</v>
      </c>
      <c r="G6097" s="115" t="s">
        <v>7145</v>
      </c>
      <c r="H6097" s="161">
        <v>0</v>
      </c>
      <c r="I6097" s="161" t="s">
        <v>7146</v>
      </c>
    </row>
    <row r="6098" spans="1:9">
      <c r="A6098" s="113">
        <v>100792247</v>
      </c>
      <c r="B6098" s="113" t="s">
        <v>7116</v>
      </c>
      <c r="C6098" s="113">
        <v>7992237</v>
      </c>
      <c r="D6098" s="113" t="s">
        <v>7139</v>
      </c>
      <c r="E6098" s="113" t="s">
        <v>1620</v>
      </c>
      <c r="F6098" s="113" t="s">
        <v>7139</v>
      </c>
      <c r="G6098" s="115" t="s">
        <v>7145</v>
      </c>
      <c r="H6098" s="161">
        <v>0</v>
      </c>
      <c r="I6098" s="161" t="s">
        <v>7146</v>
      </c>
    </row>
    <row r="6099" spans="1:9">
      <c r="A6099" s="113">
        <v>100792248</v>
      </c>
      <c r="B6099" s="113" t="s">
        <v>7116</v>
      </c>
      <c r="C6099" s="113">
        <v>7992239</v>
      </c>
      <c r="D6099" s="113" t="s">
        <v>7139</v>
      </c>
      <c r="E6099" s="113" t="s">
        <v>1620</v>
      </c>
      <c r="F6099" s="113" t="s">
        <v>7139</v>
      </c>
      <c r="G6099" s="113" t="s">
        <v>7145</v>
      </c>
      <c r="H6099" s="161">
        <v>0</v>
      </c>
      <c r="I6099" s="161" t="s">
        <v>7146</v>
      </c>
    </row>
    <row r="6100" spans="1:9">
      <c r="A6100" s="113">
        <v>100792249</v>
      </c>
      <c r="B6100" s="113" t="s">
        <v>7116</v>
      </c>
      <c r="C6100" s="113">
        <v>7992247</v>
      </c>
      <c r="D6100" s="113" t="s">
        <v>7139</v>
      </c>
      <c r="E6100" s="113" t="s">
        <v>1620</v>
      </c>
      <c r="F6100" s="113" t="s">
        <v>7139</v>
      </c>
      <c r="G6100" s="113" t="s">
        <v>7145</v>
      </c>
      <c r="H6100" s="161">
        <v>0</v>
      </c>
      <c r="I6100" s="161" t="s">
        <v>7146</v>
      </c>
    </row>
    <row r="6101" spans="1:9">
      <c r="A6101" s="113">
        <v>100792250</v>
      </c>
      <c r="B6101" s="113" t="s">
        <v>7116</v>
      </c>
      <c r="C6101" s="113">
        <v>7992249</v>
      </c>
      <c r="D6101" s="113" t="s">
        <v>7139</v>
      </c>
      <c r="E6101" s="113" t="s">
        <v>1620</v>
      </c>
      <c r="F6101" s="113" t="s">
        <v>7139</v>
      </c>
      <c r="G6101" s="113" t="s">
        <v>7145</v>
      </c>
      <c r="H6101" s="161">
        <v>0</v>
      </c>
      <c r="I6101" s="161" t="s">
        <v>7146</v>
      </c>
    </row>
    <row r="6102" spans="1:9">
      <c r="A6102" s="113">
        <v>100792251</v>
      </c>
      <c r="B6102" s="113" t="s">
        <v>7116</v>
      </c>
      <c r="C6102" s="113">
        <v>7992255</v>
      </c>
      <c r="D6102" s="113" t="s">
        <v>7139</v>
      </c>
      <c r="E6102" s="113" t="s">
        <v>1620</v>
      </c>
      <c r="F6102" s="113" t="s">
        <v>7139</v>
      </c>
      <c r="G6102" s="113" t="s">
        <v>7145</v>
      </c>
      <c r="H6102" s="161">
        <v>0</v>
      </c>
      <c r="I6102" s="161" t="s">
        <v>7146</v>
      </c>
    </row>
    <row r="6103" spans="1:9">
      <c r="A6103" s="113">
        <v>100792252</v>
      </c>
      <c r="B6103" s="113" t="s">
        <v>7116</v>
      </c>
      <c r="C6103" s="113">
        <v>7992277</v>
      </c>
      <c r="D6103" s="113" t="s">
        <v>7139</v>
      </c>
      <c r="E6103" s="113" t="s">
        <v>1620</v>
      </c>
      <c r="F6103" s="113" t="s">
        <v>7139</v>
      </c>
      <c r="G6103" s="113" t="s">
        <v>7145</v>
      </c>
      <c r="H6103" s="161">
        <v>0</v>
      </c>
      <c r="I6103" s="161" t="s">
        <v>7146</v>
      </c>
    </row>
    <row r="6104" spans="1:9">
      <c r="A6104" s="113">
        <v>100792253</v>
      </c>
      <c r="B6104" s="113" t="s">
        <v>7116</v>
      </c>
      <c r="C6104" s="113">
        <v>7992279</v>
      </c>
      <c r="D6104" s="113" t="s">
        <v>7139</v>
      </c>
      <c r="E6104" s="113" t="s">
        <v>1620</v>
      </c>
      <c r="F6104" s="113" t="s">
        <v>7139</v>
      </c>
      <c r="G6104" s="113" t="s">
        <v>7145</v>
      </c>
      <c r="H6104" s="161">
        <v>0</v>
      </c>
      <c r="I6104" s="161" t="s">
        <v>7146</v>
      </c>
    </row>
    <row r="6105" spans="1:9">
      <c r="A6105" s="113">
        <v>100792254</v>
      </c>
      <c r="B6105" s="113" t="s">
        <v>7116</v>
      </c>
      <c r="C6105" s="113">
        <v>7992281</v>
      </c>
      <c r="D6105" s="113" t="s">
        <v>7139</v>
      </c>
      <c r="E6105" s="113" t="s">
        <v>1620</v>
      </c>
      <c r="F6105" s="113" t="s">
        <v>7139</v>
      </c>
      <c r="G6105" s="113" t="s">
        <v>7145</v>
      </c>
      <c r="H6105" s="161">
        <v>0</v>
      </c>
      <c r="I6105" s="161" t="s">
        <v>7146</v>
      </c>
    </row>
    <row r="6106" spans="1:9">
      <c r="A6106" s="113">
        <v>100792255</v>
      </c>
      <c r="B6106" s="113" t="s">
        <v>7116</v>
      </c>
      <c r="C6106" s="113">
        <v>7992282</v>
      </c>
      <c r="D6106" s="113" t="s">
        <v>7139</v>
      </c>
      <c r="E6106" s="113" t="s">
        <v>1620</v>
      </c>
      <c r="F6106" s="113" t="s">
        <v>7139</v>
      </c>
      <c r="G6106" s="113" t="s">
        <v>7145</v>
      </c>
      <c r="H6106" s="161">
        <v>0</v>
      </c>
      <c r="I6106" s="161" t="s">
        <v>7146</v>
      </c>
    </row>
    <row r="6107" spans="1:9">
      <c r="A6107" s="113">
        <v>100792256</v>
      </c>
      <c r="B6107" s="113" t="s">
        <v>7116</v>
      </c>
      <c r="C6107" s="113">
        <v>7992283</v>
      </c>
      <c r="D6107" s="113" t="s">
        <v>7139</v>
      </c>
      <c r="E6107" s="113" t="s">
        <v>1620</v>
      </c>
      <c r="F6107" s="113" t="s">
        <v>7139</v>
      </c>
      <c r="G6107" s="113" t="s">
        <v>7145</v>
      </c>
      <c r="H6107" s="161">
        <v>0</v>
      </c>
      <c r="I6107" s="161" t="s">
        <v>7146</v>
      </c>
    </row>
    <row r="6108" spans="1:9">
      <c r="A6108" s="113">
        <v>100792257</v>
      </c>
      <c r="B6108" s="113" t="s">
        <v>7116</v>
      </c>
      <c r="C6108" s="113">
        <v>7992284</v>
      </c>
      <c r="D6108" s="113" t="s">
        <v>7139</v>
      </c>
      <c r="E6108" s="113" t="s">
        <v>1620</v>
      </c>
      <c r="F6108" s="113" t="s">
        <v>7139</v>
      </c>
      <c r="G6108" s="113" t="s">
        <v>7145</v>
      </c>
      <c r="H6108" s="161">
        <v>0</v>
      </c>
      <c r="I6108" s="161" t="s">
        <v>7146</v>
      </c>
    </row>
    <row r="6109" spans="1:9">
      <c r="A6109" s="113">
        <v>100792258</v>
      </c>
      <c r="B6109" s="113" t="s">
        <v>7116</v>
      </c>
      <c r="C6109" s="113">
        <v>7992285</v>
      </c>
      <c r="D6109" s="113" t="s">
        <v>7139</v>
      </c>
      <c r="E6109" s="113" t="s">
        <v>1620</v>
      </c>
      <c r="F6109" s="113" t="s">
        <v>7139</v>
      </c>
      <c r="G6109" s="113" t="s">
        <v>7145</v>
      </c>
      <c r="H6109" s="161">
        <v>0</v>
      </c>
      <c r="I6109" s="161" t="s">
        <v>7146</v>
      </c>
    </row>
    <row r="6110" spans="1:9">
      <c r="A6110" s="113">
        <v>100792259</v>
      </c>
      <c r="B6110" s="113" t="s">
        <v>7116</v>
      </c>
      <c r="C6110" s="113">
        <v>7992287</v>
      </c>
      <c r="D6110" s="113" t="s">
        <v>7139</v>
      </c>
      <c r="E6110" s="113" t="s">
        <v>1620</v>
      </c>
      <c r="F6110" s="113" t="s">
        <v>7139</v>
      </c>
      <c r="G6110" s="113" t="s">
        <v>7145</v>
      </c>
      <c r="H6110" s="161">
        <v>0</v>
      </c>
      <c r="I6110" s="161" t="s">
        <v>7146</v>
      </c>
    </row>
    <row r="6111" spans="1:9">
      <c r="A6111" s="113">
        <v>100792260</v>
      </c>
      <c r="B6111" s="113" t="s">
        <v>7116</v>
      </c>
      <c r="C6111" s="113">
        <v>7992307</v>
      </c>
      <c r="D6111" s="113" t="s">
        <v>7139</v>
      </c>
      <c r="E6111" s="113" t="s">
        <v>1620</v>
      </c>
      <c r="F6111" s="113" t="s">
        <v>7139</v>
      </c>
      <c r="G6111" s="113" t="s">
        <v>7145</v>
      </c>
      <c r="H6111" s="161">
        <v>0</v>
      </c>
      <c r="I6111" s="161" t="s">
        <v>7146</v>
      </c>
    </row>
    <row r="6112" spans="1:9">
      <c r="A6112" s="113">
        <v>100792264</v>
      </c>
      <c r="B6112" s="113" t="s">
        <v>7116</v>
      </c>
      <c r="C6112" s="113">
        <v>7992641</v>
      </c>
      <c r="D6112" s="113" t="s">
        <v>7139</v>
      </c>
      <c r="E6112" s="113" t="s">
        <v>1620</v>
      </c>
      <c r="F6112" s="113" t="s">
        <v>7139</v>
      </c>
      <c r="G6112" s="113" t="s">
        <v>7145</v>
      </c>
      <c r="H6112" s="161">
        <v>0</v>
      </c>
      <c r="I6112" s="161" t="s">
        <v>7146</v>
      </c>
    </row>
    <row r="6113" spans="1:9">
      <c r="A6113" s="113">
        <v>100792267</v>
      </c>
      <c r="B6113" s="113" t="s">
        <v>7116</v>
      </c>
      <c r="C6113" s="113">
        <v>7992651</v>
      </c>
      <c r="D6113" s="113" t="s">
        <v>7139</v>
      </c>
      <c r="E6113" s="113" t="s">
        <v>1620</v>
      </c>
      <c r="F6113" s="113" t="s">
        <v>7139</v>
      </c>
      <c r="G6113" s="113" t="s">
        <v>7145</v>
      </c>
      <c r="H6113" s="161">
        <v>0</v>
      </c>
      <c r="I6113" s="161" t="s">
        <v>7146</v>
      </c>
    </row>
    <row r="6114" spans="1:9">
      <c r="A6114" s="113">
        <v>100400407</v>
      </c>
      <c r="B6114" s="113" t="s">
        <v>3718</v>
      </c>
      <c r="C6114" s="113">
        <v>6032010</v>
      </c>
      <c r="D6114" s="113" t="s">
        <v>7139</v>
      </c>
      <c r="E6114" s="113" t="s">
        <v>1620</v>
      </c>
      <c r="F6114" s="113" t="s">
        <v>7139</v>
      </c>
      <c r="G6114" s="113" t="s">
        <v>7145</v>
      </c>
      <c r="H6114" s="161">
        <v>0</v>
      </c>
      <c r="I6114" s="161" t="s">
        <v>7146</v>
      </c>
    </row>
    <row r="6115" spans="1:9">
      <c r="A6115" s="113">
        <v>100400575</v>
      </c>
      <c r="B6115" s="113" t="s">
        <v>7117</v>
      </c>
      <c r="C6115" s="113">
        <v>6044159</v>
      </c>
      <c r="D6115" s="113" t="s">
        <v>7139</v>
      </c>
      <c r="E6115" s="113" t="s">
        <v>1620</v>
      </c>
      <c r="F6115" s="113" t="s">
        <v>7139</v>
      </c>
      <c r="G6115" s="113" t="s">
        <v>7145</v>
      </c>
      <c r="H6115" s="161">
        <v>0</v>
      </c>
      <c r="I6115" s="161" t="s">
        <v>7146</v>
      </c>
    </row>
    <row r="6116" spans="1:9">
      <c r="A6116" s="113">
        <v>100400749</v>
      </c>
      <c r="B6116" s="113" t="s">
        <v>4060</v>
      </c>
      <c r="C6116" s="113">
        <v>6050125</v>
      </c>
      <c r="D6116" s="113" t="s">
        <v>7139</v>
      </c>
      <c r="E6116" s="113" t="s">
        <v>1620</v>
      </c>
      <c r="F6116" s="113" t="s">
        <v>7139</v>
      </c>
      <c r="G6116" s="113" t="s">
        <v>7145</v>
      </c>
      <c r="H6116" s="161">
        <v>0</v>
      </c>
      <c r="I6116" s="161" t="s">
        <v>7146</v>
      </c>
    </row>
    <row r="6117" spans="1:9">
      <c r="A6117" s="113">
        <v>100400860</v>
      </c>
      <c r="B6117" s="113" t="s">
        <v>7118</v>
      </c>
      <c r="C6117" s="113">
        <v>6050255</v>
      </c>
      <c r="D6117" s="113" t="s">
        <v>7139</v>
      </c>
      <c r="E6117" s="113" t="s">
        <v>1620</v>
      </c>
      <c r="F6117" s="113" t="s">
        <v>7139</v>
      </c>
      <c r="G6117" s="113" t="s">
        <v>7145</v>
      </c>
      <c r="H6117" s="161">
        <v>0</v>
      </c>
      <c r="I6117" s="161" t="s">
        <v>7146</v>
      </c>
    </row>
    <row r="6118" spans="1:9">
      <c r="A6118" s="113">
        <v>100401181</v>
      </c>
      <c r="B6118" s="113" t="s">
        <v>4322</v>
      </c>
      <c r="C6118" s="113">
        <v>6054167</v>
      </c>
      <c r="D6118" s="113" t="s">
        <v>7139</v>
      </c>
      <c r="E6118" s="113" t="s">
        <v>1620</v>
      </c>
      <c r="F6118" s="113" t="s">
        <v>7139</v>
      </c>
      <c r="G6118" s="113" t="s">
        <v>7145</v>
      </c>
      <c r="H6118" s="161">
        <v>0</v>
      </c>
      <c r="I6118" s="161" t="s">
        <v>7146</v>
      </c>
    </row>
    <row r="6119" spans="1:9">
      <c r="A6119" s="113">
        <v>100401414</v>
      </c>
      <c r="B6119" s="113" t="s">
        <v>4539</v>
      </c>
      <c r="C6119" s="113">
        <v>6062072</v>
      </c>
      <c r="D6119" s="113" t="s">
        <v>7139</v>
      </c>
      <c r="E6119" s="113" t="s">
        <v>1620</v>
      </c>
      <c r="F6119" s="113" t="s">
        <v>7139</v>
      </c>
      <c r="G6119" s="113" t="s">
        <v>7145</v>
      </c>
      <c r="H6119" s="161">
        <v>0</v>
      </c>
      <c r="I6119" s="161" t="s">
        <v>7146</v>
      </c>
    </row>
    <row r="6120" spans="1:9">
      <c r="A6120" s="113">
        <v>100600090</v>
      </c>
      <c r="B6120" s="113" t="s">
        <v>7119</v>
      </c>
      <c r="C6120" s="113">
        <v>7992685</v>
      </c>
      <c r="D6120" s="113" t="s">
        <v>7139</v>
      </c>
      <c r="E6120" s="113" t="s">
        <v>1620</v>
      </c>
      <c r="F6120" s="113" t="s">
        <v>7139</v>
      </c>
      <c r="G6120" s="113" t="s">
        <v>7145</v>
      </c>
      <c r="H6120" s="161">
        <v>0</v>
      </c>
      <c r="I6120" s="161" t="s">
        <v>7146</v>
      </c>
    </row>
    <row r="6121" spans="1:9">
      <c r="A6121" s="113">
        <v>100700098</v>
      </c>
      <c r="B6121" s="113" t="s">
        <v>5924</v>
      </c>
      <c r="C6121" s="113">
        <v>7016146</v>
      </c>
      <c r="D6121" s="113" t="s">
        <v>7139</v>
      </c>
      <c r="E6121" s="113" t="s">
        <v>1620</v>
      </c>
      <c r="F6121" s="113" t="s">
        <v>7139</v>
      </c>
      <c r="G6121" s="113" t="s">
        <v>7145</v>
      </c>
      <c r="H6121" s="161">
        <v>0</v>
      </c>
      <c r="I6121" s="161" t="s">
        <v>7146</v>
      </c>
    </row>
    <row r="6122" spans="1:9">
      <c r="A6122" s="113">
        <v>100700141</v>
      </c>
      <c r="B6122" s="113" t="s">
        <v>7120</v>
      </c>
      <c r="C6122" s="113">
        <v>7016263</v>
      </c>
      <c r="D6122" s="113" t="s">
        <v>7139</v>
      </c>
      <c r="E6122" s="113" t="s">
        <v>1620</v>
      </c>
      <c r="F6122" s="113" t="s">
        <v>7139</v>
      </c>
      <c r="G6122" s="113" t="s">
        <v>7145</v>
      </c>
      <c r="H6122" s="161">
        <v>0</v>
      </c>
      <c r="I6122" s="161" t="s">
        <v>7146</v>
      </c>
    </row>
    <row r="6123" spans="1:9">
      <c r="A6123" s="113">
        <v>100700163</v>
      </c>
      <c r="B6123" s="113" t="s">
        <v>7121</v>
      </c>
      <c r="C6123" s="113">
        <v>7017064</v>
      </c>
      <c r="D6123" s="113" t="s">
        <v>7139</v>
      </c>
      <c r="E6123" s="113" t="s">
        <v>1620</v>
      </c>
      <c r="F6123" s="113" t="s">
        <v>7139</v>
      </c>
      <c r="G6123" s="113" t="s">
        <v>7145</v>
      </c>
      <c r="H6123" s="161">
        <v>0</v>
      </c>
      <c r="I6123" s="161" t="s">
        <v>7146</v>
      </c>
    </row>
    <row r="6124" spans="1:9">
      <c r="A6124" s="113">
        <v>100700202</v>
      </c>
      <c r="B6124" s="113" t="s">
        <v>5920</v>
      </c>
      <c r="C6124" s="113">
        <v>7020175</v>
      </c>
      <c r="D6124" s="113" t="s">
        <v>7139</v>
      </c>
      <c r="E6124" s="113" t="s">
        <v>99</v>
      </c>
      <c r="F6124" s="113" t="s">
        <v>7139</v>
      </c>
      <c r="G6124" s="113" t="s">
        <v>7145</v>
      </c>
      <c r="H6124" s="161">
        <v>0</v>
      </c>
      <c r="I6124" s="161" t="s">
        <v>7146</v>
      </c>
    </row>
    <row r="6125" spans="1:9">
      <c r="A6125" s="113">
        <v>100700323</v>
      </c>
      <c r="B6125" s="113" t="s">
        <v>5921</v>
      </c>
      <c r="C6125" s="113">
        <v>7090143</v>
      </c>
      <c r="D6125" s="113" t="s">
        <v>7139</v>
      </c>
      <c r="E6125" s="113" t="s">
        <v>2521</v>
      </c>
      <c r="F6125" s="113" t="s">
        <v>7139</v>
      </c>
      <c r="G6125" s="113" t="s">
        <v>7145</v>
      </c>
      <c r="H6125" s="161">
        <v>0</v>
      </c>
      <c r="I6125" s="161" t="s">
        <v>7146</v>
      </c>
    </row>
    <row r="6126" spans="1:9">
      <c r="A6126" s="113">
        <v>100700347</v>
      </c>
      <c r="B6126" s="113" t="s">
        <v>5922</v>
      </c>
      <c r="C6126" s="113">
        <v>7091038</v>
      </c>
      <c r="D6126" s="113" t="s">
        <v>7139</v>
      </c>
      <c r="E6126" s="113" t="s">
        <v>1620</v>
      </c>
      <c r="F6126" s="113" t="s">
        <v>7139</v>
      </c>
      <c r="G6126" s="113" t="s">
        <v>7145</v>
      </c>
      <c r="H6126" s="161">
        <v>0</v>
      </c>
      <c r="I6126" s="161" t="s">
        <v>7146</v>
      </c>
    </row>
    <row r="6127" spans="1:9">
      <c r="A6127" s="113">
        <v>100700348</v>
      </c>
      <c r="B6127" s="113" t="s">
        <v>5923</v>
      </c>
      <c r="C6127" s="113">
        <v>7091040</v>
      </c>
      <c r="D6127" s="113" t="s">
        <v>7139</v>
      </c>
      <c r="E6127" s="113" t="s">
        <v>1620</v>
      </c>
      <c r="F6127" s="113" t="s">
        <v>7139</v>
      </c>
      <c r="G6127" s="113" t="s">
        <v>7145</v>
      </c>
      <c r="H6127" s="161">
        <v>0</v>
      </c>
      <c r="I6127" s="161" t="s">
        <v>7146</v>
      </c>
    </row>
    <row r="6128" spans="1:9">
      <c r="A6128" s="113">
        <v>100790095</v>
      </c>
      <c r="B6128" s="113" t="s">
        <v>7122</v>
      </c>
      <c r="C6128" s="113">
        <v>7016114</v>
      </c>
      <c r="D6128" s="113" t="s">
        <v>7139</v>
      </c>
      <c r="E6128" s="113" t="s">
        <v>1620</v>
      </c>
      <c r="F6128" s="113" t="s">
        <v>7139</v>
      </c>
      <c r="G6128" s="113" t="s">
        <v>7145</v>
      </c>
      <c r="H6128" s="161">
        <v>0</v>
      </c>
      <c r="I6128" s="161" t="s">
        <v>7146</v>
      </c>
    </row>
    <row r="6129" spans="1:9">
      <c r="A6129" s="113">
        <v>100791381</v>
      </c>
      <c r="B6129" s="113" t="s">
        <v>7123</v>
      </c>
      <c r="C6129" s="113">
        <v>7020188</v>
      </c>
      <c r="D6129" s="113" t="s">
        <v>7139</v>
      </c>
      <c r="E6129" s="113" t="s">
        <v>1620</v>
      </c>
      <c r="F6129" s="113" t="s">
        <v>7139</v>
      </c>
      <c r="G6129" s="113" t="s">
        <v>7145</v>
      </c>
      <c r="H6129" s="161">
        <v>0</v>
      </c>
      <c r="I6129" s="161" t="s">
        <v>7146</v>
      </c>
    </row>
    <row r="6130" spans="1:9">
      <c r="A6130" s="113">
        <v>100791526</v>
      </c>
      <c r="B6130" s="113" t="s">
        <v>7124</v>
      </c>
      <c r="C6130" s="113">
        <v>7091030</v>
      </c>
      <c r="D6130" s="113" t="s">
        <v>7139</v>
      </c>
      <c r="E6130" s="113" t="s">
        <v>1620</v>
      </c>
      <c r="F6130" s="113" t="s">
        <v>7139</v>
      </c>
      <c r="G6130" s="113" t="s">
        <v>7145</v>
      </c>
      <c r="H6130" s="161">
        <v>0</v>
      </c>
      <c r="I6130" s="161" t="s">
        <v>7146</v>
      </c>
    </row>
    <row r="6131" spans="1:9">
      <c r="A6131" s="113">
        <v>100792226</v>
      </c>
      <c r="B6131" s="113" t="s">
        <v>3073</v>
      </c>
      <c r="C6131" s="113">
        <v>7992111</v>
      </c>
      <c r="D6131" s="113" t="s">
        <v>7139</v>
      </c>
      <c r="E6131" s="113" t="s">
        <v>1620</v>
      </c>
      <c r="F6131" s="113" t="s">
        <v>7139</v>
      </c>
      <c r="G6131" s="113" t="s">
        <v>7145</v>
      </c>
      <c r="H6131" s="161">
        <v>0</v>
      </c>
      <c r="I6131" s="161" t="s">
        <v>7146</v>
      </c>
    </row>
    <row r="6132" spans="1:9">
      <c r="A6132" s="113">
        <v>100792268</v>
      </c>
      <c r="B6132" s="113" t="s">
        <v>7125</v>
      </c>
      <c r="C6132" s="113">
        <v>7013104</v>
      </c>
      <c r="D6132" s="113" t="s">
        <v>7139</v>
      </c>
      <c r="E6132" s="113" t="s">
        <v>1620</v>
      </c>
      <c r="F6132" s="113" t="s">
        <v>7139</v>
      </c>
      <c r="G6132" s="113" t="s">
        <v>7145</v>
      </c>
      <c r="H6132" s="161">
        <v>0</v>
      </c>
      <c r="I6132" s="161" t="s">
        <v>7146</v>
      </c>
    </row>
    <row r="6133" spans="1:9">
      <c r="A6133" s="113">
        <v>101000042</v>
      </c>
      <c r="B6133" s="113" t="s">
        <v>7126</v>
      </c>
      <c r="C6133" s="113">
        <v>7080220</v>
      </c>
      <c r="D6133" s="113" t="s">
        <v>7139</v>
      </c>
      <c r="E6133" s="113" t="s">
        <v>1620</v>
      </c>
      <c r="F6133" s="113" t="s">
        <v>7139</v>
      </c>
      <c r="G6133" s="113" t="s">
        <v>7145</v>
      </c>
      <c r="H6133" s="161">
        <v>0</v>
      </c>
      <c r="I6133" s="161" t="s">
        <v>7146</v>
      </c>
    </row>
    <row r="6134" spans="1:9">
      <c r="A6134" s="113">
        <v>101200003</v>
      </c>
      <c r="B6134" s="113" t="s">
        <v>7002</v>
      </c>
      <c r="C6134" s="113">
        <v>7013027</v>
      </c>
      <c r="D6134" s="113" t="s">
        <v>7139</v>
      </c>
      <c r="E6134" s="113" t="s">
        <v>99</v>
      </c>
      <c r="F6134" s="113" t="s">
        <v>7139</v>
      </c>
      <c r="G6134" s="113" t="s">
        <v>7145</v>
      </c>
      <c r="H6134" s="161">
        <v>0</v>
      </c>
      <c r="I6134" s="161" t="s">
        <v>7146</v>
      </c>
    </row>
    <row r="6135" spans="1:9">
      <c r="A6135" s="113">
        <v>101200005</v>
      </c>
      <c r="B6135" s="113" t="s">
        <v>7003</v>
      </c>
      <c r="C6135" s="113">
        <v>7013031</v>
      </c>
      <c r="D6135" s="113" t="s">
        <v>7139</v>
      </c>
      <c r="E6135" s="113" t="s">
        <v>1620</v>
      </c>
      <c r="F6135" s="113" t="s">
        <v>7139</v>
      </c>
      <c r="G6135" s="113" t="s">
        <v>7145</v>
      </c>
      <c r="H6135" s="161">
        <v>0</v>
      </c>
      <c r="I6135" s="161" t="s">
        <v>7146</v>
      </c>
    </row>
    <row r="6136" spans="1:9">
      <c r="A6136" s="113">
        <v>101200012</v>
      </c>
      <c r="B6136" s="113" t="s">
        <v>7004</v>
      </c>
      <c r="C6136" s="113">
        <v>7013042</v>
      </c>
      <c r="D6136" s="113" t="s">
        <v>7139</v>
      </c>
      <c r="E6136" s="113" t="s">
        <v>99</v>
      </c>
      <c r="F6136" s="113" t="s">
        <v>7139</v>
      </c>
      <c r="G6136" s="113" t="s">
        <v>7145</v>
      </c>
      <c r="H6136" s="161">
        <v>0</v>
      </c>
      <c r="I6136" s="161" t="s">
        <v>7146</v>
      </c>
    </row>
    <row r="6137" spans="1:9">
      <c r="A6137" s="113">
        <v>101200014</v>
      </c>
      <c r="B6137" s="113" t="s">
        <v>7006</v>
      </c>
      <c r="C6137" s="113">
        <v>7013053</v>
      </c>
      <c r="D6137" s="113" t="s">
        <v>7139</v>
      </c>
      <c r="E6137" s="113" t="s">
        <v>99</v>
      </c>
      <c r="F6137" s="113" t="s">
        <v>7139</v>
      </c>
      <c r="G6137" s="113" t="s">
        <v>7145</v>
      </c>
      <c r="H6137" s="161">
        <v>0</v>
      </c>
      <c r="I6137" s="161" t="s">
        <v>7146</v>
      </c>
    </row>
    <row r="6138" spans="1:9">
      <c r="A6138" s="113">
        <v>101200033</v>
      </c>
      <c r="B6138" s="113" t="s">
        <v>7008</v>
      </c>
      <c r="C6138" s="113">
        <v>7013092</v>
      </c>
      <c r="D6138" s="113" t="s">
        <v>7139</v>
      </c>
      <c r="E6138" s="113" t="s">
        <v>99</v>
      </c>
      <c r="F6138" s="113" t="s">
        <v>7139</v>
      </c>
      <c r="G6138" s="113" t="s">
        <v>7145</v>
      </c>
      <c r="H6138" s="161">
        <v>0</v>
      </c>
      <c r="I6138" s="161" t="s">
        <v>7146</v>
      </c>
    </row>
    <row r="6139" spans="1:9">
      <c r="A6139" s="113">
        <v>101200038</v>
      </c>
      <c r="B6139" s="113" t="s">
        <v>7127</v>
      </c>
      <c r="C6139" s="113">
        <v>7013105</v>
      </c>
      <c r="D6139" s="113" t="s">
        <v>7139</v>
      </c>
      <c r="E6139" s="113" t="s">
        <v>99</v>
      </c>
      <c r="F6139" s="113" t="s">
        <v>7139</v>
      </c>
      <c r="G6139" s="113" t="s">
        <v>7145</v>
      </c>
      <c r="H6139" s="161">
        <v>0</v>
      </c>
      <c r="I6139" s="161" t="s">
        <v>7146</v>
      </c>
    </row>
    <row r="6140" spans="1:9">
      <c r="A6140" s="113">
        <v>101200041</v>
      </c>
      <c r="B6140" s="113" t="s">
        <v>7010</v>
      </c>
      <c r="C6140" s="113">
        <v>7013109</v>
      </c>
      <c r="D6140" s="113" t="s">
        <v>7139</v>
      </c>
      <c r="E6140" s="113" t="s">
        <v>99</v>
      </c>
      <c r="F6140" s="113" t="s">
        <v>7139</v>
      </c>
      <c r="G6140" s="113" t="s">
        <v>7145</v>
      </c>
      <c r="H6140" s="161">
        <v>0</v>
      </c>
      <c r="I6140" s="161" t="s">
        <v>7146</v>
      </c>
    </row>
    <row r="6141" spans="1:9">
      <c r="A6141" s="113">
        <v>101200042</v>
      </c>
      <c r="B6141" s="113" t="s">
        <v>7000</v>
      </c>
      <c r="C6141" s="113">
        <v>7013111</v>
      </c>
      <c r="D6141" s="113" t="s">
        <v>7139</v>
      </c>
      <c r="E6141" s="113" t="s">
        <v>99</v>
      </c>
      <c r="F6141" s="113" t="s">
        <v>7139</v>
      </c>
      <c r="G6141" s="113" t="s">
        <v>7145</v>
      </c>
      <c r="H6141" s="161">
        <v>0</v>
      </c>
      <c r="I6141" s="161" t="s">
        <v>7146</v>
      </c>
    </row>
    <row r="6142" spans="1:9">
      <c r="A6142" s="113">
        <v>100300058</v>
      </c>
      <c r="B6142" s="113" t="s">
        <v>2673</v>
      </c>
      <c r="C6142" s="113">
        <v>7040021</v>
      </c>
      <c r="D6142" s="113" t="s">
        <v>7139</v>
      </c>
      <c r="E6142" s="113" t="s">
        <v>1620</v>
      </c>
      <c r="F6142" s="113" t="s">
        <v>7139</v>
      </c>
      <c r="G6142" s="113" t="s">
        <v>7145</v>
      </c>
      <c r="H6142" s="161">
        <v>0</v>
      </c>
      <c r="I6142" s="161" t="s">
        <v>7146</v>
      </c>
    </row>
    <row r="6143" spans="1:9">
      <c r="A6143" s="113">
        <v>100300059</v>
      </c>
      <c r="B6143" s="113" t="s">
        <v>7128</v>
      </c>
      <c r="C6143" s="113">
        <v>7040023</v>
      </c>
      <c r="D6143" s="113" t="s">
        <v>7139</v>
      </c>
      <c r="E6143" s="113" t="s">
        <v>1620</v>
      </c>
      <c r="F6143" s="113" t="s">
        <v>7139</v>
      </c>
      <c r="G6143" s="113" t="s">
        <v>7139</v>
      </c>
      <c r="H6143" s="161">
        <v>0</v>
      </c>
      <c r="I6143" s="161" t="s">
        <v>7146</v>
      </c>
    </row>
    <row r="6144" spans="1:9">
      <c r="A6144" s="113">
        <v>100700159</v>
      </c>
      <c r="B6144" s="113" t="s">
        <v>7129</v>
      </c>
      <c r="C6144" s="113">
        <v>7017054</v>
      </c>
      <c r="D6144" s="113" t="s">
        <v>7139</v>
      </c>
      <c r="E6144" s="113" t="s">
        <v>1620</v>
      </c>
      <c r="F6144" s="113" t="s">
        <v>7139</v>
      </c>
      <c r="G6144" s="113" t="s">
        <v>7139</v>
      </c>
      <c r="H6144" s="161">
        <v>0</v>
      </c>
      <c r="I6144" s="161" t="s">
        <v>7146</v>
      </c>
    </row>
    <row r="6145" spans="1:9">
      <c r="A6145" s="113">
        <v>100400086</v>
      </c>
      <c r="B6145" s="113" t="s">
        <v>7130</v>
      </c>
      <c r="C6145" s="113">
        <v>6001065</v>
      </c>
      <c r="D6145" s="113" t="s">
        <v>7139</v>
      </c>
      <c r="E6145" s="113" t="s">
        <v>1620</v>
      </c>
      <c r="F6145" s="113" t="s">
        <v>7139</v>
      </c>
      <c r="G6145" s="113" t="s">
        <v>7139</v>
      </c>
      <c r="H6145" s="161">
        <v>0</v>
      </c>
      <c r="I6145" s="161" t="s">
        <v>7146</v>
      </c>
    </row>
    <row r="6146" spans="1:9">
      <c r="A6146" s="113">
        <v>100400825</v>
      </c>
      <c r="B6146" s="113" t="s">
        <v>7131</v>
      </c>
      <c r="C6146" s="113">
        <v>6050215</v>
      </c>
      <c r="D6146" s="113" t="s">
        <v>7139</v>
      </c>
      <c r="E6146" s="113" t="s">
        <v>1620</v>
      </c>
      <c r="F6146" s="113" t="s">
        <v>7139</v>
      </c>
      <c r="G6146" s="113" t="s">
        <v>7139</v>
      </c>
      <c r="H6146" s="161">
        <v>0</v>
      </c>
      <c r="I6146" s="161" t="s">
        <v>7146</v>
      </c>
    </row>
    <row r="6147" spans="1:9">
      <c r="A6147" s="113">
        <v>100401850</v>
      </c>
      <c r="B6147" s="113" t="s">
        <v>2961</v>
      </c>
      <c r="C6147" s="113">
        <v>6084072</v>
      </c>
      <c r="D6147" s="113" t="s">
        <v>7139</v>
      </c>
      <c r="E6147" s="113" t="s">
        <v>1620</v>
      </c>
      <c r="F6147" s="113" t="s">
        <v>7139</v>
      </c>
      <c r="G6147" s="113" t="s">
        <v>7139</v>
      </c>
      <c r="H6147" s="161">
        <v>0</v>
      </c>
      <c r="I6147" s="161" t="s">
        <v>7146</v>
      </c>
    </row>
    <row r="6148" spans="1:9">
      <c r="A6148" s="113">
        <v>101200001</v>
      </c>
      <c r="B6148" s="113" t="s">
        <v>7001</v>
      </c>
      <c r="C6148" s="113">
        <v>7013025</v>
      </c>
      <c r="D6148" s="113" t="s">
        <v>7139</v>
      </c>
      <c r="E6148" s="113" t="s">
        <v>99</v>
      </c>
      <c r="F6148" s="113" t="s">
        <v>7139</v>
      </c>
      <c r="G6148" s="113" t="s">
        <v>7139</v>
      </c>
      <c r="H6148" s="161">
        <v>0</v>
      </c>
      <c r="I6148" s="161" t="s">
        <v>7146</v>
      </c>
    </row>
    <row r="6149" spans="1:9">
      <c r="A6149" s="115" t="s">
        <v>2336</v>
      </c>
      <c r="B6149" s="113" t="s">
        <v>7148</v>
      </c>
      <c r="C6149" s="115" t="s">
        <v>3075</v>
      </c>
      <c r="D6149" s="113" t="s">
        <v>3074</v>
      </c>
      <c r="F6149" s="116" t="str">
        <f>VLOOKUP(ListadoOficial2023[[#This Row],[Codigo ]],CuadroBasicoGral,3,FALSE)</f>
        <v>*******</v>
      </c>
      <c r="G6149" s="116" t="s">
        <v>3076</v>
      </c>
      <c r="H6149" s="161"/>
      <c r="I6149" s="161"/>
    </row>
    <row r="6150" spans="1:9">
      <c r="A6150" s="115">
        <v>910100001</v>
      </c>
      <c r="B6150" s="115" t="s">
        <v>2584</v>
      </c>
      <c r="C6150" s="115">
        <v>90106038</v>
      </c>
      <c r="D6150" s="115" t="s">
        <v>3093</v>
      </c>
      <c r="E6150" s="115" t="s">
        <v>102</v>
      </c>
      <c r="F6150" s="116"/>
      <c r="G6150" s="116">
        <v>0</v>
      </c>
      <c r="H6150" s="161" t="s">
        <v>7138</v>
      </c>
      <c r="I6150" s="161"/>
    </row>
    <row r="6151" spans="1:9">
      <c r="A6151" s="161">
        <v>910100002</v>
      </c>
      <c r="B6151" s="161" t="s">
        <v>7151</v>
      </c>
      <c r="C6151" s="161">
        <v>90202144</v>
      </c>
      <c r="D6151" s="161" t="s">
        <v>3093</v>
      </c>
      <c r="E6151" s="161" t="s">
        <v>1620</v>
      </c>
      <c r="F6151" s="163" t="s">
        <v>3093</v>
      </c>
      <c r="G6151" s="163">
        <v>9.9</v>
      </c>
      <c r="H6151" s="161" t="s">
        <v>7138</v>
      </c>
      <c r="I6151" s="161"/>
    </row>
    <row r="6152" spans="1:9">
      <c r="A6152" s="161">
        <v>910100003</v>
      </c>
      <c r="B6152" s="161" t="s">
        <v>7152</v>
      </c>
      <c r="C6152" s="161">
        <v>90105021</v>
      </c>
      <c r="D6152" s="161" t="s">
        <v>3093</v>
      </c>
      <c r="E6152" s="161" t="s">
        <v>102</v>
      </c>
      <c r="F6152" s="163" t="s">
        <v>3093</v>
      </c>
      <c r="G6152" s="163">
        <v>1.1200000000000001</v>
      </c>
      <c r="H6152" s="161" t="s">
        <v>7138</v>
      </c>
      <c r="I6152" s="161"/>
    </row>
    <row r="6153" spans="1:9">
      <c r="A6153" s="161">
        <v>910100004</v>
      </c>
      <c r="B6153" s="161" t="s">
        <v>7153</v>
      </c>
      <c r="C6153" s="161">
        <v>90104001</v>
      </c>
      <c r="D6153" s="161"/>
      <c r="E6153" s="161" t="s">
        <v>102</v>
      </c>
      <c r="F6153" s="163"/>
      <c r="G6153" s="163">
        <v>1.7</v>
      </c>
      <c r="H6153" s="161" t="s">
        <v>7138</v>
      </c>
      <c r="I6153" s="161"/>
    </row>
    <row r="6154" spans="1:9">
      <c r="A6154" s="161">
        <v>910100005</v>
      </c>
      <c r="B6154" s="161" t="s">
        <v>7154</v>
      </c>
      <c r="C6154" s="161">
        <v>90104003</v>
      </c>
      <c r="D6154" s="161" t="s">
        <v>3093</v>
      </c>
      <c r="E6154" s="161" t="s">
        <v>102</v>
      </c>
      <c r="F6154" s="163" t="s">
        <v>3093</v>
      </c>
      <c r="G6154" s="163">
        <v>4.5</v>
      </c>
      <c r="H6154" s="161" t="s">
        <v>7138</v>
      </c>
      <c r="I6154" s="161"/>
    </row>
    <row r="6155" spans="1:9">
      <c r="A6155" s="161">
        <v>910100006</v>
      </c>
      <c r="B6155" s="161" t="s">
        <v>7155</v>
      </c>
      <c r="C6155" s="161">
        <v>90104002</v>
      </c>
      <c r="D6155" s="161" t="s">
        <v>3093</v>
      </c>
      <c r="E6155" s="161" t="s">
        <v>102</v>
      </c>
      <c r="F6155" s="163" t="s">
        <v>3093</v>
      </c>
      <c r="G6155" s="163">
        <v>1.75</v>
      </c>
      <c r="H6155" s="161" t="s">
        <v>7138</v>
      </c>
      <c r="I6155" s="161"/>
    </row>
    <row r="6156" spans="1:9">
      <c r="A6156" s="161">
        <v>910100007</v>
      </c>
      <c r="B6156" s="161" t="s">
        <v>2341</v>
      </c>
      <c r="C6156" s="161">
        <v>90102042</v>
      </c>
      <c r="D6156" s="161" t="s">
        <v>3093</v>
      </c>
      <c r="E6156" s="161" t="s">
        <v>102</v>
      </c>
      <c r="F6156" s="163" t="s">
        <v>3093</v>
      </c>
      <c r="G6156" s="163">
        <v>1.3875</v>
      </c>
      <c r="H6156" s="161" t="s">
        <v>7138</v>
      </c>
      <c r="I6156" s="161"/>
    </row>
    <row r="6157" spans="1:9">
      <c r="A6157" s="161">
        <v>910100008</v>
      </c>
      <c r="B6157" s="161" t="s">
        <v>1694</v>
      </c>
      <c r="C6157" s="161">
        <v>90105023</v>
      </c>
      <c r="D6157" s="161" t="s">
        <v>3093</v>
      </c>
      <c r="E6157" s="161" t="s">
        <v>102</v>
      </c>
      <c r="F6157" s="163" t="s">
        <v>3093</v>
      </c>
      <c r="G6157" s="163">
        <v>1.659</v>
      </c>
      <c r="H6157" s="161" t="s">
        <v>7138</v>
      </c>
      <c r="I6157" s="161"/>
    </row>
    <row r="6158" spans="1:9">
      <c r="A6158" s="161">
        <v>910100009</v>
      </c>
      <c r="B6158" s="161" t="s">
        <v>7156</v>
      </c>
      <c r="C6158" s="161">
        <v>90105024</v>
      </c>
      <c r="D6158" s="161" t="s">
        <v>3093</v>
      </c>
      <c r="E6158" s="161" t="s">
        <v>102</v>
      </c>
      <c r="F6158" s="163" t="s">
        <v>3093</v>
      </c>
      <c r="G6158" s="163">
        <v>0.75</v>
      </c>
      <c r="H6158" s="161" t="s">
        <v>7138</v>
      </c>
      <c r="I6158" s="161"/>
    </row>
    <row r="6159" spans="1:9">
      <c r="A6159" s="161">
        <v>910100010</v>
      </c>
      <c r="B6159" s="161" t="s">
        <v>7157</v>
      </c>
      <c r="C6159" s="161">
        <v>90106047</v>
      </c>
      <c r="D6159" s="161" t="s">
        <v>3093</v>
      </c>
      <c r="E6159" s="161" t="s">
        <v>102</v>
      </c>
      <c r="F6159" s="163" t="s">
        <v>3093</v>
      </c>
      <c r="G6159" s="163">
        <v>0</v>
      </c>
      <c r="H6159" s="161" t="s">
        <v>7138</v>
      </c>
      <c r="I6159" s="161"/>
    </row>
    <row r="6160" spans="1:9">
      <c r="A6160" s="161">
        <v>910100011</v>
      </c>
      <c r="B6160" s="161" t="s">
        <v>2337</v>
      </c>
      <c r="C6160" s="161">
        <v>90101015</v>
      </c>
      <c r="D6160" s="161" t="s">
        <v>3093</v>
      </c>
      <c r="E6160" s="161" t="s">
        <v>7144</v>
      </c>
      <c r="F6160" s="163" t="s">
        <v>3093</v>
      </c>
      <c r="G6160" s="163">
        <v>2.3199999999999998</v>
      </c>
      <c r="H6160" s="161" t="s">
        <v>7138</v>
      </c>
      <c r="I6160" s="161"/>
    </row>
    <row r="6161" spans="1:9">
      <c r="A6161" s="161">
        <v>910100012</v>
      </c>
      <c r="B6161" s="161" t="s">
        <v>7158</v>
      </c>
      <c r="C6161" s="161">
        <v>90101017</v>
      </c>
      <c r="D6161" s="161" t="s">
        <v>3093</v>
      </c>
      <c r="E6161" s="161" t="s">
        <v>102</v>
      </c>
      <c r="F6161" s="163" t="s">
        <v>3093</v>
      </c>
      <c r="G6161" s="163">
        <v>1.7</v>
      </c>
      <c r="H6161" s="161" t="s">
        <v>7138</v>
      </c>
      <c r="I6161" s="161"/>
    </row>
    <row r="6162" spans="1:9">
      <c r="A6162" s="161">
        <v>910100013</v>
      </c>
      <c r="B6162" s="161" t="s">
        <v>7159</v>
      </c>
      <c r="C6162" s="161">
        <v>90305073</v>
      </c>
      <c r="D6162" s="161" t="s">
        <v>3093</v>
      </c>
      <c r="E6162" s="161" t="s">
        <v>102</v>
      </c>
      <c r="F6162" s="163" t="s">
        <v>3093</v>
      </c>
      <c r="G6162" s="163">
        <v>0</v>
      </c>
      <c r="H6162" s="161" t="s">
        <v>7138</v>
      </c>
      <c r="I6162" s="161"/>
    </row>
    <row r="6163" spans="1:9">
      <c r="A6163" s="161">
        <v>910100014</v>
      </c>
      <c r="B6163" s="161" t="s">
        <v>2343</v>
      </c>
      <c r="C6163" s="161">
        <v>90103001</v>
      </c>
      <c r="D6163" s="161" t="s">
        <v>3093</v>
      </c>
      <c r="E6163" s="161" t="s">
        <v>102</v>
      </c>
      <c r="F6163" s="163" t="s">
        <v>3093</v>
      </c>
      <c r="G6163" s="163">
        <v>0.08</v>
      </c>
      <c r="H6163" s="161" t="s">
        <v>7138</v>
      </c>
      <c r="I6163" s="161"/>
    </row>
    <row r="6164" spans="1:9">
      <c r="A6164" s="161">
        <v>910100015</v>
      </c>
      <c r="B6164" s="161" t="s">
        <v>2344</v>
      </c>
      <c r="C6164" s="161">
        <v>90103002</v>
      </c>
      <c r="D6164" s="161" t="s">
        <v>3093</v>
      </c>
      <c r="E6164" s="161" t="s">
        <v>102</v>
      </c>
      <c r="F6164" s="163" t="s">
        <v>3093</v>
      </c>
      <c r="G6164" s="163">
        <v>9.5000000000000001E-2</v>
      </c>
      <c r="H6164" s="161" t="s">
        <v>7138</v>
      </c>
      <c r="I6164" s="161"/>
    </row>
    <row r="6165" spans="1:9">
      <c r="A6165" s="161">
        <v>910100016</v>
      </c>
      <c r="B6165" s="161" t="s">
        <v>2345</v>
      </c>
      <c r="C6165" s="161">
        <v>90103003</v>
      </c>
      <c r="D6165" s="161" t="s">
        <v>3093</v>
      </c>
      <c r="E6165" s="161" t="s">
        <v>102</v>
      </c>
      <c r="F6165" s="163" t="s">
        <v>3093</v>
      </c>
      <c r="G6165" s="163">
        <v>0.17</v>
      </c>
      <c r="H6165" s="161" t="s">
        <v>7138</v>
      </c>
      <c r="I6165" s="161"/>
    </row>
    <row r="6166" spans="1:9">
      <c r="A6166" s="161">
        <v>910100017</v>
      </c>
      <c r="B6166" s="161" t="s">
        <v>7160</v>
      </c>
      <c r="C6166" s="161">
        <v>90103004</v>
      </c>
      <c r="D6166" s="161" t="s">
        <v>3093</v>
      </c>
      <c r="E6166" s="161" t="s">
        <v>102</v>
      </c>
      <c r="F6166" s="163" t="s">
        <v>3093</v>
      </c>
      <c r="G6166" s="163">
        <v>0.17</v>
      </c>
      <c r="H6166" s="161" t="s">
        <v>7138</v>
      </c>
      <c r="I6166" s="161"/>
    </row>
    <row r="6167" spans="1:9">
      <c r="A6167" s="161">
        <v>910100018</v>
      </c>
      <c r="B6167" s="161" t="s">
        <v>7161</v>
      </c>
      <c r="C6167" s="161">
        <v>90401013</v>
      </c>
      <c r="D6167" s="161" t="s">
        <v>3093</v>
      </c>
      <c r="E6167" s="161" t="s">
        <v>102</v>
      </c>
      <c r="F6167" s="163" t="s">
        <v>3093</v>
      </c>
      <c r="G6167" s="163">
        <v>70</v>
      </c>
      <c r="H6167" s="161" t="s">
        <v>7138</v>
      </c>
      <c r="I6167" s="161"/>
    </row>
    <row r="6168" spans="1:9">
      <c r="A6168" s="161">
        <v>910100019</v>
      </c>
      <c r="B6168" s="161" t="s">
        <v>1651</v>
      </c>
      <c r="C6168" s="161">
        <v>90103007</v>
      </c>
      <c r="D6168" s="161" t="s">
        <v>3093</v>
      </c>
      <c r="E6168" s="161" t="s">
        <v>102</v>
      </c>
      <c r="F6168" s="163" t="s">
        <v>3093</v>
      </c>
      <c r="G6168" s="163">
        <v>0.6</v>
      </c>
      <c r="H6168" s="161" t="s">
        <v>7138</v>
      </c>
      <c r="I6168" s="161"/>
    </row>
    <row r="6169" spans="1:9">
      <c r="A6169" s="161">
        <v>910100020</v>
      </c>
      <c r="B6169" s="161" t="s">
        <v>1652</v>
      </c>
      <c r="C6169" s="161">
        <v>90103008</v>
      </c>
      <c r="D6169" s="161" t="s">
        <v>3093</v>
      </c>
      <c r="E6169" s="161" t="s">
        <v>102</v>
      </c>
      <c r="F6169" s="163" t="s">
        <v>3093</v>
      </c>
      <c r="G6169" s="163">
        <v>0.1</v>
      </c>
      <c r="H6169" s="161" t="s">
        <v>7138</v>
      </c>
      <c r="I6169" s="161"/>
    </row>
    <row r="6170" spans="1:9">
      <c r="A6170" s="161">
        <v>910100021</v>
      </c>
      <c r="B6170" s="161" t="s">
        <v>7162</v>
      </c>
      <c r="C6170" s="161">
        <v>90103009</v>
      </c>
      <c r="D6170" s="161" t="s">
        <v>3093</v>
      </c>
      <c r="E6170" s="161" t="s">
        <v>102</v>
      </c>
      <c r="F6170" s="163" t="s">
        <v>3093</v>
      </c>
      <c r="G6170" s="163">
        <v>1.19</v>
      </c>
      <c r="H6170" s="161" t="s">
        <v>7138</v>
      </c>
      <c r="I6170" s="161"/>
    </row>
    <row r="6171" spans="1:9">
      <c r="A6171" s="161">
        <v>910100022</v>
      </c>
      <c r="B6171" s="161" t="s">
        <v>2605</v>
      </c>
      <c r="C6171" s="161">
        <v>90109000</v>
      </c>
      <c r="D6171" s="161" t="s">
        <v>3093</v>
      </c>
      <c r="E6171" s="161" t="s">
        <v>8112</v>
      </c>
      <c r="F6171" s="163" t="s">
        <v>3093</v>
      </c>
      <c r="G6171" s="163">
        <v>1.89</v>
      </c>
      <c r="H6171" s="161" t="s">
        <v>7138</v>
      </c>
      <c r="I6171" s="161"/>
    </row>
    <row r="6172" spans="1:9">
      <c r="A6172" s="161">
        <v>910100023</v>
      </c>
      <c r="B6172" s="161" t="s">
        <v>7163</v>
      </c>
      <c r="C6172" s="161">
        <v>90105043</v>
      </c>
      <c r="D6172" s="161" t="s">
        <v>3093</v>
      </c>
      <c r="E6172" s="161" t="s">
        <v>102</v>
      </c>
      <c r="F6172" s="163" t="s">
        <v>3093</v>
      </c>
      <c r="G6172" s="163">
        <v>0.28000000000000003</v>
      </c>
      <c r="H6172" s="161" t="s">
        <v>7138</v>
      </c>
      <c r="I6172" s="161"/>
    </row>
    <row r="6173" spans="1:9">
      <c r="A6173" s="161">
        <v>910100024</v>
      </c>
      <c r="B6173" s="161" t="s">
        <v>7164</v>
      </c>
      <c r="C6173" s="161">
        <v>90105031</v>
      </c>
      <c r="D6173" s="161" t="s">
        <v>3093</v>
      </c>
      <c r="E6173" s="161" t="s">
        <v>102</v>
      </c>
      <c r="F6173" s="163" t="s">
        <v>3093</v>
      </c>
      <c r="G6173" s="163">
        <v>0.65</v>
      </c>
      <c r="H6173" s="161" t="s">
        <v>7138</v>
      </c>
      <c r="I6173" s="161"/>
    </row>
    <row r="6174" spans="1:9">
      <c r="A6174" s="161">
        <v>910100025</v>
      </c>
      <c r="B6174" s="161" t="s">
        <v>1697</v>
      </c>
      <c r="C6174" s="161">
        <v>90105030</v>
      </c>
      <c r="D6174" s="161" t="s">
        <v>3093</v>
      </c>
      <c r="E6174" s="161" t="s">
        <v>102</v>
      </c>
      <c r="F6174" s="163" t="s">
        <v>3093</v>
      </c>
      <c r="G6174" s="163">
        <v>0.39</v>
      </c>
      <c r="H6174" s="161" t="s">
        <v>7138</v>
      </c>
      <c r="I6174" s="161"/>
    </row>
    <row r="6175" spans="1:9">
      <c r="A6175" s="161">
        <v>910100026</v>
      </c>
      <c r="B6175" s="161" t="s">
        <v>7165</v>
      </c>
      <c r="C6175" s="161">
        <v>90105085</v>
      </c>
      <c r="D6175" s="161" t="s">
        <v>3093</v>
      </c>
      <c r="E6175" s="161" t="s">
        <v>1620</v>
      </c>
      <c r="F6175" s="163" t="s">
        <v>3093</v>
      </c>
      <c r="G6175" s="163">
        <v>0</v>
      </c>
      <c r="H6175" s="161" t="s">
        <v>7138</v>
      </c>
      <c r="I6175" s="161"/>
    </row>
    <row r="6176" spans="1:9">
      <c r="A6176" s="161">
        <v>910100027</v>
      </c>
      <c r="B6176" s="161" t="s">
        <v>7166</v>
      </c>
      <c r="C6176" s="161">
        <v>90105086</v>
      </c>
      <c r="D6176" s="161" t="s">
        <v>3093</v>
      </c>
      <c r="E6176" s="161" t="s">
        <v>1620</v>
      </c>
      <c r="F6176" s="163" t="s">
        <v>3093</v>
      </c>
      <c r="G6176" s="163">
        <v>0</v>
      </c>
      <c r="H6176" s="161" t="s">
        <v>7138</v>
      </c>
      <c r="I6176" s="161"/>
    </row>
    <row r="6177" spans="1:9">
      <c r="A6177" s="161">
        <v>910100028</v>
      </c>
      <c r="B6177" s="161" t="s">
        <v>7167</v>
      </c>
      <c r="C6177" s="161">
        <v>90503162</v>
      </c>
      <c r="D6177" s="161" t="s">
        <v>3093</v>
      </c>
      <c r="E6177" s="161" t="s">
        <v>102</v>
      </c>
      <c r="F6177" s="163" t="s">
        <v>3093</v>
      </c>
      <c r="G6177" s="163">
        <v>144.97999999999999</v>
      </c>
      <c r="H6177" s="161" t="s">
        <v>7138</v>
      </c>
      <c r="I6177" s="161"/>
    </row>
    <row r="6178" spans="1:9">
      <c r="A6178" s="161">
        <v>910100029</v>
      </c>
      <c r="B6178" s="161" t="s">
        <v>7168</v>
      </c>
      <c r="C6178" s="161">
        <v>90503134</v>
      </c>
      <c r="D6178" s="161" t="s">
        <v>3093</v>
      </c>
      <c r="E6178" s="161" t="s">
        <v>102</v>
      </c>
      <c r="F6178" s="163" t="s">
        <v>3093</v>
      </c>
      <c r="G6178" s="163">
        <v>31.36</v>
      </c>
      <c r="H6178" s="161" t="s">
        <v>7138</v>
      </c>
      <c r="I6178" s="161"/>
    </row>
    <row r="6179" spans="1:9">
      <c r="A6179" s="161">
        <v>910100030</v>
      </c>
      <c r="B6179" s="161" t="s">
        <v>7169</v>
      </c>
      <c r="C6179" s="161">
        <v>90503135</v>
      </c>
      <c r="D6179" s="161" t="s">
        <v>3093</v>
      </c>
      <c r="E6179" s="161" t="s">
        <v>102</v>
      </c>
      <c r="F6179" s="163" t="s">
        <v>3093</v>
      </c>
      <c r="G6179" s="163">
        <v>31.35</v>
      </c>
      <c r="H6179" s="161" t="s">
        <v>7138</v>
      </c>
      <c r="I6179" s="161"/>
    </row>
    <row r="6180" spans="1:9">
      <c r="A6180" s="161">
        <v>910100031</v>
      </c>
      <c r="B6180" s="161" t="s">
        <v>7170</v>
      </c>
      <c r="C6180" s="161">
        <v>90503136</v>
      </c>
      <c r="D6180" s="161" t="s">
        <v>3093</v>
      </c>
      <c r="E6180" s="161" t="s">
        <v>102</v>
      </c>
      <c r="F6180" s="163" t="s">
        <v>3093</v>
      </c>
      <c r="G6180" s="163">
        <v>0</v>
      </c>
      <c r="H6180" s="161" t="s">
        <v>7138</v>
      </c>
      <c r="I6180" s="161"/>
    </row>
    <row r="6181" spans="1:9">
      <c r="A6181" s="161">
        <v>910100032</v>
      </c>
      <c r="B6181" s="161" t="s">
        <v>7171</v>
      </c>
      <c r="C6181" s="161">
        <v>90503137</v>
      </c>
      <c r="D6181" s="161" t="s">
        <v>3093</v>
      </c>
      <c r="E6181" s="161" t="s">
        <v>102</v>
      </c>
      <c r="F6181" s="163" t="s">
        <v>3093</v>
      </c>
      <c r="G6181" s="163">
        <v>0</v>
      </c>
      <c r="H6181" s="161" t="s">
        <v>7138</v>
      </c>
      <c r="I6181" s="161"/>
    </row>
    <row r="6182" spans="1:9">
      <c r="A6182" s="161">
        <v>910100033</v>
      </c>
      <c r="B6182" s="161" t="s">
        <v>7172</v>
      </c>
      <c r="C6182" s="161">
        <v>90503138</v>
      </c>
      <c r="D6182" s="161" t="s">
        <v>3093</v>
      </c>
      <c r="E6182" s="161" t="s">
        <v>102</v>
      </c>
      <c r="F6182" s="163" t="s">
        <v>3093</v>
      </c>
      <c r="G6182" s="163">
        <v>0</v>
      </c>
      <c r="H6182" s="161" t="s">
        <v>7138</v>
      </c>
      <c r="I6182" s="161"/>
    </row>
    <row r="6183" spans="1:9">
      <c r="A6183" s="161">
        <v>910100034</v>
      </c>
      <c r="B6183" s="161" t="s">
        <v>7173</v>
      </c>
      <c r="C6183" s="161">
        <v>90503128</v>
      </c>
      <c r="D6183" s="161" t="s">
        <v>3093</v>
      </c>
      <c r="E6183" s="161" t="s">
        <v>102</v>
      </c>
      <c r="F6183" s="163" t="s">
        <v>3093</v>
      </c>
      <c r="G6183" s="163">
        <v>0</v>
      </c>
      <c r="H6183" s="161" t="s">
        <v>7138</v>
      </c>
      <c r="I6183" s="161"/>
    </row>
    <row r="6184" spans="1:9">
      <c r="A6184" s="161">
        <v>910100035</v>
      </c>
      <c r="B6184" s="161" t="s">
        <v>7174</v>
      </c>
      <c r="C6184" s="161">
        <v>90503127</v>
      </c>
      <c r="D6184" s="161" t="s">
        <v>3093</v>
      </c>
      <c r="E6184" s="161" t="s">
        <v>102</v>
      </c>
      <c r="F6184" s="163" t="s">
        <v>3093</v>
      </c>
      <c r="G6184" s="163">
        <v>0</v>
      </c>
      <c r="H6184" s="161" t="s">
        <v>7138</v>
      </c>
      <c r="I6184" s="161"/>
    </row>
    <row r="6185" spans="1:9">
      <c r="A6185" s="161">
        <v>910100036</v>
      </c>
      <c r="B6185" s="161" t="s">
        <v>7175</v>
      </c>
      <c r="C6185" s="161">
        <v>90503160</v>
      </c>
      <c r="D6185" s="161" t="s">
        <v>3093</v>
      </c>
      <c r="E6185" s="161" t="s">
        <v>102</v>
      </c>
      <c r="F6185" s="163" t="s">
        <v>3093</v>
      </c>
      <c r="G6185" s="163">
        <v>13.15</v>
      </c>
      <c r="H6185" s="161" t="s">
        <v>7138</v>
      </c>
      <c r="I6185" s="161"/>
    </row>
    <row r="6186" spans="1:9">
      <c r="A6186" s="161">
        <v>910100037</v>
      </c>
      <c r="B6186" s="161" t="s">
        <v>7176</v>
      </c>
      <c r="C6186" s="161">
        <v>90503159</v>
      </c>
      <c r="D6186" s="161" t="s">
        <v>3093</v>
      </c>
      <c r="E6186" s="161" t="s">
        <v>102</v>
      </c>
      <c r="F6186" s="163" t="s">
        <v>3093</v>
      </c>
      <c r="G6186" s="163">
        <v>13.15</v>
      </c>
      <c r="H6186" s="161" t="s">
        <v>7138</v>
      </c>
      <c r="I6186" s="161"/>
    </row>
    <row r="6187" spans="1:9">
      <c r="A6187" s="161">
        <v>910100038</v>
      </c>
      <c r="B6187" s="161" t="s">
        <v>7177</v>
      </c>
      <c r="C6187" s="161">
        <v>90503161</v>
      </c>
      <c r="D6187" s="161" t="s">
        <v>3093</v>
      </c>
      <c r="E6187" s="161" t="s">
        <v>102</v>
      </c>
      <c r="F6187" s="163" t="s">
        <v>3093</v>
      </c>
      <c r="G6187" s="163">
        <v>13.15</v>
      </c>
      <c r="H6187" s="161" t="s">
        <v>7138</v>
      </c>
      <c r="I6187" s="161"/>
    </row>
    <row r="6188" spans="1:9">
      <c r="A6188" s="161">
        <v>910100039</v>
      </c>
      <c r="B6188" s="161" t="s">
        <v>7178</v>
      </c>
      <c r="C6188" s="161">
        <v>90503158</v>
      </c>
      <c r="D6188" s="161" t="s">
        <v>3093</v>
      </c>
      <c r="E6188" s="161" t="s">
        <v>102</v>
      </c>
      <c r="F6188" s="163" t="s">
        <v>3093</v>
      </c>
      <c r="G6188" s="163">
        <v>0</v>
      </c>
      <c r="H6188" s="161" t="s">
        <v>7138</v>
      </c>
      <c r="I6188" s="161"/>
    </row>
    <row r="6189" spans="1:9">
      <c r="A6189" s="161">
        <v>910100040</v>
      </c>
      <c r="B6189" s="161" t="s">
        <v>7179</v>
      </c>
      <c r="C6189" s="161">
        <v>90503140</v>
      </c>
      <c r="D6189" s="161" t="s">
        <v>3093</v>
      </c>
      <c r="E6189" s="161" t="s">
        <v>102</v>
      </c>
      <c r="F6189" s="163" t="s">
        <v>3093</v>
      </c>
      <c r="G6189" s="163">
        <v>134</v>
      </c>
      <c r="H6189" s="161" t="s">
        <v>7138</v>
      </c>
      <c r="I6189" s="161"/>
    </row>
    <row r="6190" spans="1:9">
      <c r="A6190" s="161">
        <v>910100041</v>
      </c>
      <c r="B6190" s="161" t="s">
        <v>7180</v>
      </c>
      <c r="C6190" s="161">
        <v>90503142</v>
      </c>
      <c r="D6190" s="161" t="s">
        <v>3093</v>
      </c>
      <c r="E6190" s="161" t="s">
        <v>102</v>
      </c>
      <c r="F6190" s="163" t="s">
        <v>3093</v>
      </c>
      <c r="G6190" s="163">
        <v>134</v>
      </c>
      <c r="H6190" s="161" t="s">
        <v>7138</v>
      </c>
      <c r="I6190" s="161"/>
    </row>
    <row r="6191" spans="1:9">
      <c r="A6191" s="161">
        <v>910100042</v>
      </c>
      <c r="B6191" s="161" t="s">
        <v>7181</v>
      </c>
      <c r="C6191" s="161">
        <v>90503141</v>
      </c>
      <c r="D6191" s="161" t="s">
        <v>3093</v>
      </c>
      <c r="E6191" s="161" t="s">
        <v>102</v>
      </c>
      <c r="F6191" s="163" t="s">
        <v>3093</v>
      </c>
      <c r="G6191" s="163">
        <v>134</v>
      </c>
      <c r="H6191" s="161" t="s">
        <v>7138</v>
      </c>
      <c r="I6191" s="161"/>
    </row>
    <row r="6192" spans="1:9">
      <c r="A6192" s="161">
        <v>910100043</v>
      </c>
      <c r="B6192" s="161" t="s">
        <v>7182</v>
      </c>
      <c r="C6192" s="161">
        <v>90503139</v>
      </c>
      <c r="D6192" s="161" t="s">
        <v>3093</v>
      </c>
      <c r="E6192" s="161" t="s">
        <v>102</v>
      </c>
      <c r="F6192" s="163" t="s">
        <v>3093</v>
      </c>
      <c r="G6192" s="163">
        <v>134</v>
      </c>
      <c r="H6192" s="161" t="s">
        <v>7138</v>
      </c>
      <c r="I6192" s="161"/>
    </row>
    <row r="6193" spans="1:9">
      <c r="A6193" s="161">
        <v>910100044</v>
      </c>
      <c r="B6193" s="161" t="s">
        <v>7183</v>
      </c>
      <c r="C6193" s="161">
        <v>90503144</v>
      </c>
      <c r="D6193" s="161" t="s">
        <v>3093</v>
      </c>
      <c r="E6193" s="161" t="s">
        <v>102</v>
      </c>
      <c r="F6193" s="163" t="s">
        <v>3093</v>
      </c>
      <c r="G6193" s="163">
        <v>0</v>
      </c>
      <c r="H6193" s="161" t="s">
        <v>7138</v>
      </c>
      <c r="I6193" s="161"/>
    </row>
    <row r="6194" spans="1:9">
      <c r="A6194" s="161">
        <v>910100045</v>
      </c>
      <c r="B6194" s="161" t="s">
        <v>7184</v>
      </c>
      <c r="C6194" s="161">
        <v>90503145</v>
      </c>
      <c r="D6194" s="161" t="s">
        <v>3093</v>
      </c>
      <c r="E6194" s="161" t="s">
        <v>102</v>
      </c>
      <c r="F6194" s="163" t="s">
        <v>3093</v>
      </c>
      <c r="G6194" s="163">
        <v>0</v>
      </c>
      <c r="H6194" s="161" t="s">
        <v>7138</v>
      </c>
      <c r="I6194" s="161"/>
    </row>
    <row r="6195" spans="1:9">
      <c r="A6195" s="161">
        <v>910100046</v>
      </c>
      <c r="B6195" s="161" t="s">
        <v>7185</v>
      </c>
      <c r="C6195" s="161">
        <v>90503143</v>
      </c>
      <c r="D6195" s="161" t="s">
        <v>3093</v>
      </c>
      <c r="E6195" s="161" t="s">
        <v>102</v>
      </c>
      <c r="F6195" s="163" t="s">
        <v>3093</v>
      </c>
      <c r="G6195" s="163">
        <v>0</v>
      </c>
      <c r="H6195" s="161" t="s">
        <v>7138</v>
      </c>
      <c r="I6195" s="161"/>
    </row>
    <row r="6196" spans="1:9">
      <c r="A6196" s="161">
        <v>910100047</v>
      </c>
      <c r="B6196" s="161" t="s">
        <v>7186</v>
      </c>
      <c r="C6196" s="161">
        <v>90503175</v>
      </c>
      <c r="D6196" s="161" t="s">
        <v>3093</v>
      </c>
      <c r="E6196" s="161" t="s">
        <v>102</v>
      </c>
      <c r="F6196" s="163" t="s">
        <v>3093</v>
      </c>
      <c r="G6196" s="163">
        <v>78.17</v>
      </c>
      <c r="H6196" s="161" t="s">
        <v>7138</v>
      </c>
      <c r="I6196" s="161"/>
    </row>
    <row r="6197" spans="1:9">
      <c r="A6197" s="161">
        <v>910100048</v>
      </c>
      <c r="B6197" s="161" t="s">
        <v>7187</v>
      </c>
      <c r="C6197" s="161">
        <v>90503174</v>
      </c>
      <c r="D6197" s="161" t="s">
        <v>3093</v>
      </c>
      <c r="E6197" s="161" t="s">
        <v>102</v>
      </c>
      <c r="F6197" s="163" t="s">
        <v>3093</v>
      </c>
      <c r="G6197" s="163">
        <v>78.17</v>
      </c>
      <c r="H6197" s="161" t="s">
        <v>7138</v>
      </c>
      <c r="I6197" s="161"/>
    </row>
    <row r="6198" spans="1:9">
      <c r="A6198" s="161">
        <v>910100049</v>
      </c>
      <c r="B6198" s="161" t="s">
        <v>7188</v>
      </c>
      <c r="C6198" s="161">
        <v>90503173</v>
      </c>
      <c r="D6198" s="161" t="s">
        <v>3093</v>
      </c>
      <c r="E6198" s="161" t="s">
        <v>102</v>
      </c>
      <c r="F6198" s="163" t="s">
        <v>3093</v>
      </c>
      <c r="G6198" s="163">
        <v>78.17</v>
      </c>
      <c r="H6198" s="161" t="s">
        <v>7138</v>
      </c>
      <c r="I6198" s="161"/>
    </row>
    <row r="6199" spans="1:9">
      <c r="A6199" s="161">
        <v>910100050</v>
      </c>
      <c r="B6199" s="161" t="s">
        <v>7189</v>
      </c>
      <c r="C6199" s="161">
        <v>90503172</v>
      </c>
      <c r="D6199" s="161" t="s">
        <v>3093</v>
      </c>
      <c r="E6199" s="161" t="s">
        <v>102</v>
      </c>
      <c r="F6199" s="163" t="s">
        <v>3093</v>
      </c>
      <c r="G6199" s="163">
        <v>78.17</v>
      </c>
      <c r="H6199" s="161" t="s">
        <v>7138</v>
      </c>
      <c r="I6199" s="161"/>
    </row>
    <row r="6200" spans="1:9">
      <c r="A6200" s="161">
        <v>910100051</v>
      </c>
      <c r="B6200" s="161" t="s">
        <v>7190</v>
      </c>
      <c r="C6200" s="161">
        <v>90503000</v>
      </c>
      <c r="D6200" s="161" t="s">
        <v>3093</v>
      </c>
      <c r="E6200" s="161" t="s">
        <v>102</v>
      </c>
      <c r="F6200" s="163" t="s">
        <v>3093</v>
      </c>
      <c r="G6200" s="163">
        <v>0</v>
      </c>
      <c r="H6200" s="161" t="s">
        <v>7138</v>
      </c>
      <c r="I6200" s="161"/>
    </row>
    <row r="6201" spans="1:9">
      <c r="A6201" s="161">
        <v>910100052</v>
      </c>
      <c r="B6201" s="161" t="s">
        <v>2508</v>
      </c>
      <c r="C6201" s="161">
        <v>90503096</v>
      </c>
      <c r="D6201" s="161" t="s">
        <v>3093</v>
      </c>
      <c r="E6201" s="161" t="s">
        <v>102</v>
      </c>
      <c r="F6201" s="163" t="s">
        <v>3093</v>
      </c>
      <c r="G6201" s="163">
        <v>0</v>
      </c>
      <c r="H6201" s="161" t="s">
        <v>7138</v>
      </c>
      <c r="I6201" s="161"/>
    </row>
    <row r="6202" spans="1:9">
      <c r="A6202" s="161">
        <v>910100053</v>
      </c>
      <c r="B6202" s="161" t="s">
        <v>7191</v>
      </c>
      <c r="C6202" s="161">
        <v>90503007</v>
      </c>
      <c r="D6202" s="161" t="s">
        <v>3093</v>
      </c>
      <c r="E6202" s="161" t="s">
        <v>102</v>
      </c>
      <c r="F6202" s="163" t="s">
        <v>3093</v>
      </c>
      <c r="G6202" s="163">
        <v>0</v>
      </c>
      <c r="H6202" s="161" t="s">
        <v>7138</v>
      </c>
      <c r="I6202" s="161"/>
    </row>
    <row r="6203" spans="1:9">
      <c r="A6203" s="161">
        <v>910100054</v>
      </c>
      <c r="B6203" s="161" t="s">
        <v>7192</v>
      </c>
      <c r="C6203" s="161">
        <v>90503006</v>
      </c>
      <c r="D6203" s="161" t="s">
        <v>3093</v>
      </c>
      <c r="E6203" s="161" t="s">
        <v>102</v>
      </c>
      <c r="F6203" s="163" t="s">
        <v>3093</v>
      </c>
      <c r="G6203" s="163">
        <v>0</v>
      </c>
      <c r="H6203" s="161" t="s">
        <v>7138</v>
      </c>
      <c r="I6203" s="161"/>
    </row>
    <row r="6204" spans="1:9">
      <c r="A6204" s="161">
        <v>910100055</v>
      </c>
      <c r="B6204" s="161" t="s">
        <v>7193</v>
      </c>
      <c r="C6204" s="161">
        <v>90503009</v>
      </c>
      <c r="D6204" s="161" t="s">
        <v>3093</v>
      </c>
      <c r="E6204" s="161" t="s">
        <v>102</v>
      </c>
      <c r="F6204" s="163" t="s">
        <v>3093</v>
      </c>
      <c r="G6204" s="163">
        <v>0</v>
      </c>
      <c r="H6204" s="161" t="s">
        <v>7138</v>
      </c>
      <c r="I6204" s="161"/>
    </row>
    <row r="6205" spans="1:9">
      <c r="A6205" s="161">
        <v>910100056</v>
      </c>
      <c r="B6205" s="161" t="s">
        <v>7194</v>
      </c>
      <c r="C6205" s="161">
        <v>90503151</v>
      </c>
      <c r="D6205" s="161" t="s">
        <v>3093</v>
      </c>
      <c r="E6205" s="161" t="s">
        <v>102</v>
      </c>
      <c r="F6205" s="163" t="s">
        <v>3093</v>
      </c>
      <c r="G6205" s="163">
        <v>0</v>
      </c>
      <c r="H6205" s="161" t="s">
        <v>7138</v>
      </c>
      <c r="I6205" s="161"/>
    </row>
    <row r="6206" spans="1:9">
      <c r="A6206" s="161">
        <v>910100057</v>
      </c>
      <c r="B6206" s="161" t="s">
        <v>7195</v>
      </c>
      <c r="C6206" s="161">
        <v>90503150</v>
      </c>
      <c r="D6206" s="161" t="s">
        <v>3093</v>
      </c>
      <c r="E6206" s="161" t="s">
        <v>102</v>
      </c>
      <c r="F6206" s="163" t="s">
        <v>3093</v>
      </c>
      <c r="G6206" s="163">
        <v>0</v>
      </c>
      <c r="H6206" s="161" t="s">
        <v>7138</v>
      </c>
      <c r="I6206" s="161"/>
    </row>
    <row r="6207" spans="1:9">
      <c r="A6207" s="161">
        <v>910100058</v>
      </c>
      <c r="B6207" s="161" t="s">
        <v>7196</v>
      </c>
      <c r="C6207" s="161">
        <v>90503149</v>
      </c>
      <c r="D6207" s="161" t="s">
        <v>3093</v>
      </c>
      <c r="E6207" s="161" t="s">
        <v>102</v>
      </c>
      <c r="F6207" s="163" t="s">
        <v>3093</v>
      </c>
      <c r="G6207" s="163">
        <v>0</v>
      </c>
      <c r="H6207" s="161" t="s">
        <v>7138</v>
      </c>
      <c r="I6207" s="161"/>
    </row>
    <row r="6208" spans="1:9">
      <c r="A6208" s="161">
        <v>910100059</v>
      </c>
      <c r="B6208" s="161" t="s">
        <v>7197</v>
      </c>
      <c r="C6208" s="161">
        <v>90503148</v>
      </c>
      <c r="D6208" s="161" t="s">
        <v>3093</v>
      </c>
      <c r="E6208" s="161" t="s">
        <v>102</v>
      </c>
      <c r="F6208" s="163" t="s">
        <v>3093</v>
      </c>
      <c r="G6208" s="163">
        <v>0</v>
      </c>
      <c r="H6208" s="161" t="s">
        <v>7138</v>
      </c>
      <c r="I6208" s="161"/>
    </row>
    <row r="6209" spans="1:9">
      <c r="A6209" s="161">
        <v>910100060</v>
      </c>
      <c r="B6209" s="161" t="s">
        <v>7198</v>
      </c>
      <c r="C6209" s="161">
        <v>90503147</v>
      </c>
      <c r="D6209" s="161" t="s">
        <v>3093</v>
      </c>
      <c r="E6209" s="161" t="s">
        <v>102</v>
      </c>
      <c r="F6209" s="163" t="s">
        <v>3093</v>
      </c>
      <c r="G6209" s="163">
        <v>0</v>
      </c>
      <c r="H6209" s="161" t="s">
        <v>7138</v>
      </c>
      <c r="I6209" s="161"/>
    </row>
    <row r="6210" spans="1:9">
      <c r="A6210" s="161">
        <v>910100061</v>
      </c>
      <c r="B6210" s="161" t="s">
        <v>7199</v>
      </c>
      <c r="C6210" s="161">
        <v>90503002</v>
      </c>
      <c r="D6210" s="161" t="s">
        <v>3093</v>
      </c>
      <c r="E6210" s="161" t="s">
        <v>102</v>
      </c>
      <c r="F6210" s="163" t="s">
        <v>3093</v>
      </c>
      <c r="G6210" s="163">
        <v>0</v>
      </c>
      <c r="H6210" s="161" t="s">
        <v>7138</v>
      </c>
      <c r="I6210" s="161"/>
    </row>
    <row r="6211" spans="1:9">
      <c r="A6211" s="161">
        <v>910100062</v>
      </c>
      <c r="B6211" s="161" t="s">
        <v>7200</v>
      </c>
      <c r="C6211" s="161">
        <v>90503001</v>
      </c>
      <c r="D6211" s="161" t="s">
        <v>3093</v>
      </c>
      <c r="E6211" s="161" t="s">
        <v>102</v>
      </c>
      <c r="F6211" s="163" t="s">
        <v>3093</v>
      </c>
      <c r="G6211" s="163">
        <v>0</v>
      </c>
      <c r="H6211" s="161" t="s">
        <v>7138</v>
      </c>
      <c r="I6211" s="161"/>
    </row>
    <row r="6212" spans="1:9">
      <c r="A6212" s="161">
        <v>910100063</v>
      </c>
      <c r="B6212" s="161" t="s">
        <v>7201</v>
      </c>
      <c r="C6212" s="161">
        <v>90503157</v>
      </c>
      <c r="D6212" s="161" t="s">
        <v>3093</v>
      </c>
      <c r="E6212" s="161" t="s">
        <v>102</v>
      </c>
      <c r="F6212" s="163" t="s">
        <v>3093</v>
      </c>
      <c r="G6212" s="163">
        <v>57.19</v>
      </c>
      <c r="H6212" s="161" t="s">
        <v>7138</v>
      </c>
      <c r="I6212" s="161"/>
    </row>
    <row r="6213" spans="1:9">
      <c r="A6213" s="161">
        <v>910100064</v>
      </c>
      <c r="B6213" s="161" t="s">
        <v>7202</v>
      </c>
      <c r="C6213" s="161">
        <v>90503167</v>
      </c>
      <c r="D6213" s="161" t="s">
        <v>3093</v>
      </c>
      <c r="E6213" s="161" t="s">
        <v>102</v>
      </c>
      <c r="F6213" s="163" t="s">
        <v>3093</v>
      </c>
      <c r="G6213" s="163">
        <v>0</v>
      </c>
      <c r="H6213" s="161" t="s">
        <v>7138</v>
      </c>
      <c r="I6213" s="161"/>
    </row>
    <row r="6214" spans="1:9">
      <c r="A6214" s="161">
        <v>910100065</v>
      </c>
      <c r="B6214" s="161" t="s">
        <v>7203</v>
      </c>
      <c r="C6214" s="161">
        <v>90503165</v>
      </c>
      <c r="D6214" s="161" t="s">
        <v>3093</v>
      </c>
      <c r="E6214" s="161" t="s">
        <v>102</v>
      </c>
      <c r="F6214" s="163" t="s">
        <v>3093</v>
      </c>
      <c r="G6214" s="163">
        <v>0</v>
      </c>
      <c r="H6214" s="161" t="s">
        <v>7138</v>
      </c>
      <c r="I6214" s="161"/>
    </row>
    <row r="6215" spans="1:9">
      <c r="A6215" s="161">
        <v>910100066</v>
      </c>
      <c r="B6215" s="161" t="s">
        <v>7204</v>
      </c>
      <c r="C6215" s="161">
        <v>90503166</v>
      </c>
      <c r="D6215" s="161" t="s">
        <v>3093</v>
      </c>
      <c r="E6215" s="161" t="s">
        <v>102</v>
      </c>
      <c r="F6215" s="163" t="s">
        <v>3093</v>
      </c>
      <c r="G6215" s="163">
        <v>0</v>
      </c>
      <c r="H6215" s="161" t="s">
        <v>7138</v>
      </c>
      <c r="I6215" s="161"/>
    </row>
    <row r="6216" spans="1:9">
      <c r="A6216" s="161">
        <v>910100067</v>
      </c>
      <c r="B6216" s="161" t="s">
        <v>7205</v>
      </c>
      <c r="C6216" s="161">
        <v>90503164</v>
      </c>
      <c r="D6216" s="161" t="s">
        <v>3093</v>
      </c>
      <c r="E6216" s="161" t="s">
        <v>102</v>
      </c>
      <c r="F6216" s="163" t="s">
        <v>3093</v>
      </c>
      <c r="G6216" s="163">
        <v>0</v>
      </c>
      <c r="H6216" s="161" t="s">
        <v>7138</v>
      </c>
      <c r="I6216" s="161"/>
    </row>
    <row r="6217" spans="1:9">
      <c r="A6217" s="161">
        <v>910100068</v>
      </c>
      <c r="B6217" s="161" t="s">
        <v>2509</v>
      </c>
      <c r="C6217" s="161">
        <v>90503003</v>
      </c>
      <c r="D6217" s="161" t="s">
        <v>3093</v>
      </c>
      <c r="E6217" s="161" t="s">
        <v>102</v>
      </c>
      <c r="F6217" s="163" t="s">
        <v>3093</v>
      </c>
      <c r="G6217" s="163">
        <v>0</v>
      </c>
      <c r="H6217" s="161" t="s">
        <v>7138</v>
      </c>
      <c r="I6217" s="161"/>
    </row>
    <row r="6218" spans="1:9">
      <c r="A6218" s="161">
        <v>910100069</v>
      </c>
      <c r="B6218" s="161" t="s">
        <v>2510</v>
      </c>
      <c r="C6218" s="161">
        <v>90503100</v>
      </c>
      <c r="D6218" s="161" t="s">
        <v>3093</v>
      </c>
      <c r="E6218" s="161" t="s">
        <v>1620</v>
      </c>
      <c r="F6218" s="163" t="s">
        <v>3093</v>
      </c>
      <c r="G6218" s="163">
        <v>0</v>
      </c>
      <c r="H6218" s="161" t="s">
        <v>7138</v>
      </c>
      <c r="I6218" s="161"/>
    </row>
    <row r="6219" spans="1:9">
      <c r="A6219" s="161">
        <v>910100070</v>
      </c>
      <c r="B6219" s="161" t="s">
        <v>7206</v>
      </c>
      <c r="C6219" s="161">
        <v>90503005</v>
      </c>
      <c r="D6219" s="161" t="s">
        <v>3093</v>
      </c>
      <c r="E6219" s="161" t="s">
        <v>102</v>
      </c>
      <c r="F6219" s="163" t="s">
        <v>3093</v>
      </c>
      <c r="G6219" s="163">
        <v>0</v>
      </c>
      <c r="H6219" s="161" t="s">
        <v>7138</v>
      </c>
      <c r="I6219" s="161"/>
    </row>
    <row r="6220" spans="1:9">
      <c r="A6220" s="161">
        <v>910100071</v>
      </c>
      <c r="B6220" s="161" t="s">
        <v>7207</v>
      </c>
      <c r="C6220" s="161">
        <v>90503097</v>
      </c>
      <c r="D6220" s="161" t="s">
        <v>3093</v>
      </c>
      <c r="E6220" s="161" t="s">
        <v>102</v>
      </c>
      <c r="F6220" s="163" t="s">
        <v>3093</v>
      </c>
      <c r="G6220" s="163">
        <v>0</v>
      </c>
      <c r="H6220" s="161" t="s">
        <v>7138</v>
      </c>
      <c r="I6220" s="161"/>
    </row>
    <row r="6221" spans="1:9">
      <c r="A6221" s="161">
        <v>910100072</v>
      </c>
      <c r="B6221" s="161" t="s">
        <v>7208</v>
      </c>
      <c r="C6221" s="161">
        <v>90503082</v>
      </c>
      <c r="D6221" s="161" t="s">
        <v>3093</v>
      </c>
      <c r="E6221" s="161" t="s">
        <v>102</v>
      </c>
      <c r="F6221" s="163" t="s">
        <v>3093</v>
      </c>
      <c r="G6221" s="163">
        <v>17.5</v>
      </c>
      <c r="H6221" s="161" t="s">
        <v>7138</v>
      </c>
      <c r="I6221" s="161"/>
    </row>
    <row r="6222" spans="1:9">
      <c r="A6222" s="161">
        <v>910100073</v>
      </c>
      <c r="B6222" s="161" t="s">
        <v>2511</v>
      </c>
      <c r="C6222" s="161">
        <v>90503010</v>
      </c>
      <c r="D6222" s="161" t="s">
        <v>3093</v>
      </c>
      <c r="E6222" s="161" t="s">
        <v>102</v>
      </c>
      <c r="F6222" s="163" t="s">
        <v>3093</v>
      </c>
      <c r="G6222" s="163">
        <v>0</v>
      </c>
      <c r="H6222" s="161" t="s">
        <v>7138</v>
      </c>
      <c r="I6222" s="161"/>
    </row>
    <row r="6223" spans="1:9">
      <c r="A6223" s="161">
        <v>910100074</v>
      </c>
      <c r="B6223" s="161" t="s">
        <v>7209</v>
      </c>
      <c r="C6223" s="161">
        <v>90503081</v>
      </c>
      <c r="D6223" s="161" t="s">
        <v>3093</v>
      </c>
      <c r="E6223" s="161" t="s">
        <v>102</v>
      </c>
      <c r="F6223" s="163" t="s">
        <v>3093</v>
      </c>
      <c r="G6223" s="163">
        <v>15.65</v>
      </c>
      <c r="H6223" s="161" t="s">
        <v>7138</v>
      </c>
      <c r="I6223" s="161"/>
    </row>
    <row r="6224" spans="1:9">
      <c r="A6224" s="161">
        <v>910100075</v>
      </c>
      <c r="B6224" s="161" t="s">
        <v>7210</v>
      </c>
      <c r="C6224" s="161">
        <v>90503015</v>
      </c>
      <c r="D6224" s="161" t="s">
        <v>3093</v>
      </c>
      <c r="E6224" s="161" t="s">
        <v>102</v>
      </c>
      <c r="F6224" s="163" t="s">
        <v>3093</v>
      </c>
      <c r="G6224" s="163">
        <v>0</v>
      </c>
      <c r="H6224" s="161" t="s">
        <v>7138</v>
      </c>
      <c r="I6224" s="161"/>
    </row>
    <row r="6225" spans="1:9">
      <c r="A6225" s="161">
        <v>910100076</v>
      </c>
      <c r="B6225" s="161" t="s">
        <v>7211</v>
      </c>
      <c r="C6225" s="161">
        <v>90503154</v>
      </c>
      <c r="D6225" s="161" t="s">
        <v>3093</v>
      </c>
      <c r="E6225" s="161" t="s">
        <v>102</v>
      </c>
      <c r="F6225" s="163" t="s">
        <v>3093</v>
      </c>
      <c r="G6225" s="163">
        <v>97.65</v>
      </c>
      <c r="H6225" s="161" t="s">
        <v>7138</v>
      </c>
      <c r="I6225" s="161"/>
    </row>
    <row r="6226" spans="1:9">
      <c r="A6226" s="161">
        <v>910100077</v>
      </c>
      <c r="B6226" s="161" t="s">
        <v>7212</v>
      </c>
      <c r="C6226" s="161">
        <v>90503155</v>
      </c>
      <c r="D6226" s="161" t="s">
        <v>3093</v>
      </c>
      <c r="E6226" s="161" t="s">
        <v>102</v>
      </c>
      <c r="F6226" s="163" t="s">
        <v>3093</v>
      </c>
      <c r="G6226" s="163">
        <v>97.65</v>
      </c>
      <c r="H6226" s="161" t="s">
        <v>7138</v>
      </c>
      <c r="I6226" s="161"/>
    </row>
    <row r="6227" spans="1:9">
      <c r="A6227" s="161">
        <v>910100078</v>
      </c>
      <c r="B6227" s="161" t="s">
        <v>7213</v>
      </c>
      <c r="C6227" s="161">
        <v>90503152</v>
      </c>
      <c r="D6227" s="161" t="s">
        <v>3093</v>
      </c>
      <c r="E6227" s="161" t="s">
        <v>102</v>
      </c>
      <c r="F6227" s="163" t="s">
        <v>3093</v>
      </c>
      <c r="G6227" s="163">
        <v>82</v>
      </c>
      <c r="H6227" s="161" t="s">
        <v>7138</v>
      </c>
      <c r="I6227" s="161"/>
    </row>
    <row r="6228" spans="1:9">
      <c r="A6228" s="161">
        <v>910100079</v>
      </c>
      <c r="B6228" s="161" t="s">
        <v>7214</v>
      </c>
      <c r="C6228" s="161">
        <v>90503153</v>
      </c>
      <c r="D6228" s="161" t="s">
        <v>3093</v>
      </c>
      <c r="E6228" s="161" t="s">
        <v>102</v>
      </c>
      <c r="F6228" s="163" t="s">
        <v>3093</v>
      </c>
      <c r="G6228" s="163">
        <v>97.65</v>
      </c>
      <c r="H6228" s="161" t="s">
        <v>7138</v>
      </c>
      <c r="I6228" s="161"/>
    </row>
    <row r="6229" spans="1:9">
      <c r="A6229" s="161">
        <v>910100080</v>
      </c>
      <c r="B6229" s="161" t="s">
        <v>7215</v>
      </c>
      <c r="C6229" s="161">
        <v>90503105</v>
      </c>
      <c r="D6229" s="161" t="s">
        <v>3093</v>
      </c>
      <c r="E6229" s="161" t="s">
        <v>1620</v>
      </c>
      <c r="F6229" s="163" t="s">
        <v>3093</v>
      </c>
      <c r="G6229" s="163">
        <v>0</v>
      </c>
      <c r="H6229" s="161" t="s">
        <v>7138</v>
      </c>
      <c r="I6229" s="161"/>
    </row>
    <row r="6230" spans="1:9">
      <c r="A6230" s="161">
        <v>910100081</v>
      </c>
      <c r="B6230" s="161" t="s">
        <v>7216</v>
      </c>
      <c r="C6230" s="161">
        <v>90503106</v>
      </c>
      <c r="D6230" s="161" t="s">
        <v>3093</v>
      </c>
      <c r="E6230" s="161" t="s">
        <v>1620</v>
      </c>
      <c r="F6230" s="163" t="s">
        <v>3093</v>
      </c>
      <c r="G6230" s="163">
        <v>0</v>
      </c>
      <c r="H6230" s="161" t="s">
        <v>7138</v>
      </c>
      <c r="I6230" s="161"/>
    </row>
    <row r="6231" spans="1:9">
      <c r="A6231" s="161">
        <v>910100082</v>
      </c>
      <c r="B6231" s="161" t="s">
        <v>7217</v>
      </c>
      <c r="C6231" s="161">
        <v>90503110</v>
      </c>
      <c r="D6231" s="161" t="s">
        <v>3093</v>
      </c>
      <c r="E6231" s="161" t="s">
        <v>1620</v>
      </c>
      <c r="F6231" s="163" t="s">
        <v>3093</v>
      </c>
      <c r="G6231" s="163">
        <v>0</v>
      </c>
      <c r="H6231" s="161" t="s">
        <v>7138</v>
      </c>
      <c r="I6231" s="161"/>
    </row>
    <row r="6232" spans="1:9">
      <c r="A6232" s="161">
        <v>910100083</v>
      </c>
      <c r="B6232" s="161" t="s">
        <v>2512</v>
      </c>
      <c r="C6232" s="161">
        <v>90503109</v>
      </c>
      <c r="D6232" s="161" t="s">
        <v>3093</v>
      </c>
      <c r="E6232" s="161" t="s">
        <v>1620</v>
      </c>
      <c r="F6232" s="163" t="s">
        <v>3093</v>
      </c>
      <c r="G6232" s="163">
        <v>0</v>
      </c>
      <c r="H6232" s="161" t="s">
        <v>7138</v>
      </c>
      <c r="I6232" s="161"/>
    </row>
    <row r="6233" spans="1:9">
      <c r="A6233" s="161">
        <v>910100084</v>
      </c>
      <c r="B6233" s="161" t="s">
        <v>7218</v>
      </c>
      <c r="C6233" s="161">
        <v>90503108</v>
      </c>
      <c r="D6233" s="161" t="s">
        <v>3093</v>
      </c>
      <c r="E6233" s="161" t="s">
        <v>1620</v>
      </c>
      <c r="F6233" s="163" t="s">
        <v>3093</v>
      </c>
      <c r="G6233" s="163">
        <v>0</v>
      </c>
      <c r="H6233" s="161" t="s">
        <v>7138</v>
      </c>
      <c r="I6233" s="161"/>
    </row>
    <row r="6234" spans="1:9">
      <c r="A6234" s="161">
        <v>910100085</v>
      </c>
      <c r="B6234" s="161" t="s">
        <v>2513</v>
      </c>
      <c r="C6234" s="161">
        <v>90503107</v>
      </c>
      <c r="D6234" s="161" t="s">
        <v>3093</v>
      </c>
      <c r="E6234" s="161" t="s">
        <v>1620</v>
      </c>
      <c r="F6234" s="163" t="s">
        <v>3093</v>
      </c>
      <c r="G6234" s="163">
        <v>0</v>
      </c>
      <c r="H6234" s="161" t="s">
        <v>7138</v>
      </c>
      <c r="I6234" s="161"/>
    </row>
    <row r="6235" spans="1:9">
      <c r="A6235" s="161">
        <v>910100086</v>
      </c>
      <c r="B6235" s="161" t="s">
        <v>7219</v>
      </c>
      <c r="C6235" s="161">
        <v>90503114</v>
      </c>
      <c r="D6235" s="161" t="s">
        <v>3093</v>
      </c>
      <c r="E6235" s="161" t="s">
        <v>1620</v>
      </c>
      <c r="F6235" s="163" t="s">
        <v>3093</v>
      </c>
      <c r="G6235" s="163">
        <v>0</v>
      </c>
      <c r="H6235" s="161" t="s">
        <v>7138</v>
      </c>
      <c r="I6235" s="161"/>
    </row>
    <row r="6236" spans="1:9">
      <c r="A6236" s="161">
        <v>910100087</v>
      </c>
      <c r="B6236" s="161" t="s">
        <v>7220</v>
      </c>
      <c r="C6236" s="161">
        <v>90503113</v>
      </c>
      <c r="D6236" s="161" t="s">
        <v>3093</v>
      </c>
      <c r="E6236" s="161" t="s">
        <v>1620</v>
      </c>
      <c r="F6236" s="163" t="s">
        <v>3093</v>
      </c>
      <c r="G6236" s="163">
        <v>0</v>
      </c>
      <c r="H6236" s="161" t="s">
        <v>7138</v>
      </c>
      <c r="I6236" s="161"/>
    </row>
    <row r="6237" spans="1:9">
      <c r="A6237" s="161">
        <v>910100088</v>
      </c>
      <c r="B6237" s="161" t="s">
        <v>7221</v>
      </c>
      <c r="C6237" s="161">
        <v>90503112</v>
      </c>
      <c r="D6237" s="161" t="s">
        <v>3093</v>
      </c>
      <c r="E6237" s="161" t="s">
        <v>1620</v>
      </c>
      <c r="F6237" s="163" t="s">
        <v>3093</v>
      </c>
      <c r="G6237" s="163">
        <v>0</v>
      </c>
      <c r="H6237" s="161" t="s">
        <v>7138</v>
      </c>
      <c r="I6237" s="161"/>
    </row>
    <row r="6238" spans="1:9">
      <c r="A6238" s="161">
        <v>910100089</v>
      </c>
      <c r="B6238" s="161" t="s">
        <v>2514</v>
      </c>
      <c r="C6238" s="161">
        <v>90503111</v>
      </c>
      <c r="D6238" s="161" t="s">
        <v>3093</v>
      </c>
      <c r="E6238" s="161" t="s">
        <v>1620</v>
      </c>
      <c r="F6238" s="163" t="s">
        <v>3093</v>
      </c>
      <c r="G6238" s="163">
        <v>0</v>
      </c>
      <c r="H6238" s="161" t="s">
        <v>7138</v>
      </c>
      <c r="I6238" s="161"/>
    </row>
    <row r="6239" spans="1:9">
      <c r="A6239" s="161">
        <v>910100090</v>
      </c>
      <c r="B6239" s="161" t="s">
        <v>7222</v>
      </c>
      <c r="C6239" s="161">
        <v>90503169</v>
      </c>
      <c r="D6239" s="161" t="s">
        <v>3093</v>
      </c>
      <c r="E6239" s="161" t="s">
        <v>102</v>
      </c>
      <c r="F6239" s="163" t="s">
        <v>3093</v>
      </c>
      <c r="G6239" s="163">
        <v>0</v>
      </c>
      <c r="H6239" s="161" t="s">
        <v>7138</v>
      </c>
      <c r="I6239" s="161"/>
    </row>
    <row r="6240" spans="1:9">
      <c r="A6240" s="161">
        <v>910100091</v>
      </c>
      <c r="B6240" s="161" t="s">
        <v>7223</v>
      </c>
      <c r="C6240" s="161">
        <v>90503171</v>
      </c>
      <c r="D6240" s="161" t="s">
        <v>3093</v>
      </c>
      <c r="E6240" s="161" t="s">
        <v>102</v>
      </c>
      <c r="F6240" s="163" t="s">
        <v>3093</v>
      </c>
      <c r="G6240" s="163">
        <v>0</v>
      </c>
      <c r="H6240" s="161" t="s">
        <v>7138</v>
      </c>
      <c r="I6240" s="161"/>
    </row>
    <row r="6241" spans="1:9">
      <c r="A6241" s="161">
        <v>910100092</v>
      </c>
      <c r="B6241" s="161" t="s">
        <v>7224</v>
      </c>
      <c r="C6241" s="161">
        <v>90503170</v>
      </c>
      <c r="D6241" s="161" t="s">
        <v>3093</v>
      </c>
      <c r="E6241" s="161" t="s">
        <v>102</v>
      </c>
      <c r="F6241" s="163" t="s">
        <v>3093</v>
      </c>
      <c r="G6241" s="163">
        <v>0</v>
      </c>
      <c r="H6241" s="161" t="s">
        <v>7138</v>
      </c>
      <c r="I6241" s="161"/>
    </row>
    <row r="6242" spans="1:9">
      <c r="A6242" s="161">
        <v>910100093</v>
      </c>
      <c r="B6242" s="161" t="s">
        <v>7225</v>
      </c>
      <c r="C6242" s="161">
        <v>90503168</v>
      </c>
      <c r="D6242" s="161" t="s">
        <v>3093</v>
      </c>
      <c r="E6242" s="161" t="s">
        <v>102</v>
      </c>
      <c r="F6242" s="163" t="s">
        <v>3093</v>
      </c>
      <c r="G6242" s="163">
        <v>0</v>
      </c>
      <c r="H6242" s="161" t="s">
        <v>7138</v>
      </c>
      <c r="I6242" s="161"/>
    </row>
    <row r="6243" spans="1:9">
      <c r="A6243" s="161">
        <v>910100094</v>
      </c>
      <c r="B6243" s="161" t="s">
        <v>7226</v>
      </c>
      <c r="C6243" s="161">
        <v>90503013</v>
      </c>
      <c r="D6243" s="161" t="s">
        <v>3093</v>
      </c>
      <c r="E6243" s="161" t="s">
        <v>102</v>
      </c>
      <c r="F6243" s="163" t="s">
        <v>3093</v>
      </c>
      <c r="G6243" s="163">
        <v>0</v>
      </c>
      <c r="H6243" s="161" t="s">
        <v>7138</v>
      </c>
      <c r="I6243" s="161"/>
    </row>
    <row r="6244" spans="1:9">
      <c r="A6244" s="161">
        <v>910100095</v>
      </c>
      <c r="B6244" s="161" t="s">
        <v>7227</v>
      </c>
      <c r="C6244" s="161">
        <v>90503008</v>
      </c>
      <c r="D6244" s="161" t="s">
        <v>3093</v>
      </c>
      <c r="E6244" s="161" t="s">
        <v>102</v>
      </c>
      <c r="F6244" s="163" t="s">
        <v>3093</v>
      </c>
      <c r="G6244" s="163">
        <v>0</v>
      </c>
      <c r="H6244" s="161" t="s">
        <v>7138</v>
      </c>
      <c r="I6244" s="161"/>
    </row>
    <row r="6245" spans="1:9">
      <c r="A6245" s="161">
        <v>910100096</v>
      </c>
      <c r="B6245" s="161" t="s">
        <v>7228</v>
      </c>
      <c r="C6245" s="161">
        <v>90503014</v>
      </c>
      <c r="D6245" s="161" t="s">
        <v>3093</v>
      </c>
      <c r="E6245" s="161" t="s">
        <v>102</v>
      </c>
      <c r="F6245" s="163" t="s">
        <v>3093</v>
      </c>
      <c r="G6245" s="163">
        <v>0</v>
      </c>
      <c r="H6245" s="161" t="s">
        <v>7138</v>
      </c>
      <c r="I6245" s="161"/>
    </row>
    <row r="6246" spans="1:9">
      <c r="A6246" s="161">
        <v>910100097</v>
      </c>
      <c r="B6246" s="161" t="s">
        <v>7229</v>
      </c>
      <c r="C6246" s="161">
        <v>90503011</v>
      </c>
      <c r="D6246" s="161" t="s">
        <v>3093</v>
      </c>
      <c r="E6246" s="161" t="s">
        <v>102</v>
      </c>
      <c r="F6246" s="163" t="s">
        <v>3093</v>
      </c>
      <c r="G6246" s="163">
        <v>0</v>
      </c>
      <c r="H6246" s="161" t="s">
        <v>7138</v>
      </c>
      <c r="I6246" s="161"/>
    </row>
    <row r="6247" spans="1:9">
      <c r="A6247" s="161">
        <v>910100098</v>
      </c>
      <c r="B6247" s="161" t="s">
        <v>7230</v>
      </c>
      <c r="C6247" s="161">
        <v>90503146</v>
      </c>
      <c r="D6247" s="161" t="s">
        <v>3093</v>
      </c>
      <c r="E6247" s="161" t="s">
        <v>102</v>
      </c>
      <c r="F6247" s="163" t="s">
        <v>3093</v>
      </c>
      <c r="G6247" s="163">
        <v>0</v>
      </c>
      <c r="H6247" s="161" t="s">
        <v>7138</v>
      </c>
      <c r="I6247" s="161"/>
    </row>
    <row r="6248" spans="1:9">
      <c r="A6248" s="161">
        <v>910100099</v>
      </c>
      <c r="B6248" s="161" t="s">
        <v>7231</v>
      </c>
      <c r="C6248" s="161">
        <v>90503093</v>
      </c>
      <c r="D6248" s="161" t="s">
        <v>3093</v>
      </c>
      <c r="E6248" s="161" t="s">
        <v>102</v>
      </c>
      <c r="F6248" s="163" t="s">
        <v>3093</v>
      </c>
      <c r="G6248" s="163">
        <v>0</v>
      </c>
      <c r="H6248" s="161" t="s">
        <v>7138</v>
      </c>
      <c r="I6248" s="161"/>
    </row>
    <row r="6249" spans="1:9">
      <c r="A6249" s="161">
        <v>910100100</v>
      </c>
      <c r="B6249" s="161" t="s">
        <v>7232</v>
      </c>
      <c r="C6249" s="161">
        <v>90503092</v>
      </c>
      <c r="D6249" s="161" t="s">
        <v>3093</v>
      </c>
      <c r="E6249" s="161" t="s">
        <v>102</v>
      </c>
      <c r="F6249" s="163" t="s">
        <v>3093</v>
      </c>
      <c r="G6249" s="163">
        <v>18.63</v>
      </c>
      <c r="H6249" s="161" t="s">
        <v>7138</v>
      </c>
      <c r="I6249" s="161"/>
    </row>
    <row r="6250" spans="1:9">
      <c r="A6250" s="161">
        <v>910100101</v>
      </c>
      <c r="B6250" s="161" t="s">
        <v>7233</v>
      </c>
      <c r="C6250" s="161">
        <v>90503091</v>
      </c>
      <c r="D6250" s="161" t="s">
        <v>3093</v>
      </c>
      <c r="E6250" s="161" t="s">
        <v>102</v>
      </c>
      <c r="F6250" s="163" t="s">
        <v>3093</v>
      </c>
      <c r="G6250" s="163">
        <v>18.63</v>
      </c>
      <c r="H6250" s="161" t="s">
        <v>7138</v>
      </c>
      <c r="I6250" s="161"/>
    </row>
    <row r="6251" spans="1:9">
      <c r="A6251" s="161">
        <v>910100102</v>
      </c>
      <c r="B6251" s="161" t="s">
        <v>7234</v>
      </c>
      <c r="C6251" s="161">
        <v>90503090</v>
      </c>
      <c r="D6251" s="161" t="s">
        <v>3093</v>
      </c>
      <c r="E6251" s="161" t="s">
        <v>102</v>
      </c>
      <c r="F6251" s="163" t="s">
        <v>3093</v>
      </c>
      <c r="G6251" s="163">
        <v>25.14</v>
      </c>
      <c r="H6251" s="161" t="s">
        <v>7138</v>
      </c>
      <c r="I6251" s="161"/>
    </row>
    <row r="6252" spans="1:9">
      <c r="A6252" s="161">
        <v>910100103</v>
      </c>
      <c r="B6252" s="161" t="s">
        <v>7235</v>
      </c>
      <c r="C6252" s="161">
        <v>90503094</v>
      </c>
      <c r="D6252" s="161" t="s">
        <v>3093</v>
      </c>
      <c r="E6252" s="161" t="s">
        <v>102</v>
      </c>
      <c r="F6252" s="163" t="s">
        <v>3093</v>
      </c>
      <c r="G6252" s="163">
        <v>0</v>
      </c>
      <c r="H6252" s="161" t="s">
        <v>7138</v>
      </c>
      <c r="I6252" s="161"/>
    </row>
    <row r="6253" spans="1:9">
      <c r="A6253" s="161">
        <v>910100104</v>
      </c>
      <c r="B6253" s="161" t="s">
        <v>7236</v>
      </c>
      <c r="C6253" s="161">
        <v>90503095</v>
      </c>
      <c r="D6253" s="161" t="s">
        <v>3093</v>
      </c>
      <c r="E6253" s="161" t="s">
        <v>102</v>
      </c>
      <c r="F6253" s="163" t="s">
        <v>3093</v>
      </c>
      <c r="G6253" s="163">
        <v>0</v>
      </c>
      <c r="H6253" s="161" t="s">
        <v>7138</v>
      </c>
      <c r="I6253" s="161"/>
    </row>
    <row r="6254" spans="1:9">
      <c r="A6254" s="161">
        <v>910100105</v>
      </c>
      <c r="B6254" s="161" t="s">
        <v>7237</v>
      </c>
      <c r="C6254" s="161">
        <v>90503022</v>
      </c>
      <c r="D6254" s="161" t="s">
        <v>3093</v>
      </c>
      <c r="E6254" s="161" t="s">
        <v>102</v>
      </c>
      <c r="F6254" s="163" t="s">
        <v>3093</v>
      </c>
      <c r="G6254" s="163">
        <v>0</v>
      </c>
      <c r="H6254" s="161" t="s">
        <v>7138</v>
      </c>
      <c r="I6254" s="161"/>
    </row>
    <row r="6255" spans="1:9">
      <c r="A6255" s="161">
        <v>910100106</v>
      </c>
      <c r="B6255" s="161" t="s">
        <v>7238</v>
      </c>
      <c r="C6255" s="161">
        <v>90503062</v>
      </c>
      <c r="D6255" s="161" t="s">
        <v>3093</v>
      </c>
      <c r="E6255" s="161" t="s">
        <v>102</v>
      </c>
      <c r="F6255" s="163" t="s">
        <v>3093</v>
      </c>
      <c r="G6255" s="163">
        <v>0</v>
      </c>
      <c r="H6255" s="161" t="s">
        <v>7138</v>
      </c>
      <c r="I6255" s="161"/>
    </row>
    <row r="6256" spans="1:9">
      <c r="A6256" s="161">
        <v>910100107</v>
      </c>
      <c r="B6256" s="161" t="s">
        <v>7239</v>
      </c>
      <c r="C6256" s="161">
        <v>90503063</v>
      </c>
      <c r="D6256" s="161" t="s">
        <v>3093</v>
      </c>
      <c r="E6256" s="161" t="s">
        <v>102</v>
      </c>
      <c r="F6256" s="163" t="s">
        <v>3093</v>
      </c>
      <c r="G6256" s="163">
        <v>0</v>
      </c>
      <c r="H6256" s="161" t="s">
        <v>7138</v>
      </c>
      <c r="I6256" s="161"/>
    </row>
    <row r="6257" spans="1:9">
      <c r="A6257" s="161">
        <v>910100108</v>
      </c>
      <c r="B6257" s="161" t="s">
        <v>7240</v>
      </c>
      <c r="C6257" s="161">
        <v>90503023</v>
      </c>
      <c r="D6257" s="161" t="s">
        <v>3093</v>
      </c>
      <c r="E6257" s="161" t="s">
        <v>102</v>
      </c>
      <c r="F6257" s="163" t="s">
        <v>3093</v>
      </c>
      <c r="G6257" s="163">
        <v>0</v>
      </c>
      <c r="H6257" s="161" t="s">
        <v>7138</v>
      </c>
      <c r="I6257" s="161"/>
    </row>
    <row r="6258" spans="1:9">
      <c r="A6258" s="161">
        <v>910100109</v>
      </c>
      <c r="B6258" s="161" t="s">
        <v>7241</v>
      </c>
      <c r="C6258" s="161">
        <v>90503058</v>
      </c>
      <c r="D6258" s="161" t="s">
        <v>3093</v>
      </c>
      <c r="E6258" s="161" t="s">
        <v>102</v>
      </c>
      <c r="F6258" s="163" t="s">
        <v>3093</v>
      </c>
      <c r="G6258" s="163">
        <v>0</v>
      </c>
      <c r="H6258" s="161" t="s">
        <v>7138</v>
      </c>
      <c r="I6258" s="161"/>
    </row>
    <row r="6259" spans="1:9">
      <c r="A6259" s="161">
        <v>910100110</v>
      </c>
      <c r="B6259" s="161" t="s">
        <v>7242</v>
      </c>
      <c r="C6259" s="161">
        <v>90503039</v>
      </c>
      <c r="D6259" s="161" t="s">
        <v>3093</v>
      </c>
      <c r="E6259" s="161" t="s">
        <v>102</v>
      </c>
      <c r="F6259" s="163" t="s">
        <v>3093</v>
      </c>
      <c r="G6259" s="163">
        <v>0</v>
      </c>
      <c r="H6259" s="161" t="s">
        <v>7138</v>
      </c>
      <c r="I6259" s="161"/>
    </row>
    <row r="6260" spans="1:9">
      <c r="A6260" s="161">
        <v>910100111</v>
      </c>
      <c r="B6260" s="161" t="s">
        <v>7243</v>
      </c>
      <c r="C6260" s="161">
        <v>90503040</v>
      </c>
      <c r="D6260" s="161" t="s">
        <v>3093</v>
      </c>
      <c r="E6260" s="161" t="s">
        <v>102</v>
      </c>
      <c r="F6260" s="163" t="s">
        <v>3093</v>
      </c>
      <c r="G6260" s="163">
        <v>0</v>
      </c>
      <c r="H6260" s="161" t="s">
        <v>7138</v>
      </c>
      <c r="I6260" s="161"/>
    </row>
    <row r="6261" spans="1:9">
      <c r="A6261" s="161">
        <v>910100112</v>
      </c>
      <c r="B6261" s="161" t="s">
        <v>7244</v>
      </c>
      <c r="C6261" s="161">
        <v>90501009</v>
      </c>
      <c r="D6261" s="161" t="s">
        <v>3093</v>
      </c>
      <c r="E6261" s="161" t="s">
        <v>102</v>
      </c>
      <c r="F6261" s="163" t="s">
        <v>3093</v>
      </c>
      <c r="G6261" s="163">
        <v>0</v>
      </c>
      <c r="H6261" s="161" t="s">
        <v>7138</v>
      </c>
      <c r="I6261" s="161"/>
    </row>
    <row r="6262" spans="1:9">
      <c r="A6262" s="161">
        <v>910100113</v>
      </c>
      <c r="B6262" s="161" t="s">
        <v>7245</v>
      </c>
      <c r="C6262" s="161">
        <v>90501008</v>
      </c>
      <c r="D6262" s="161" t="s">
        <v>3093</v>
      </c>
      <c r="E6262" s="161" t="s">
        <v>102</v>
      </c>
      <c r="F6262" s="163" t="s">
        <v>3093</v>
      </c>
      <c r="G6262" s="163">
        <v>0</v>
      </c>
      <c r="H6262" s="161" t="s">
        <v>7138</v>
      </c>
      <c r="I6262" s="161"/>
    </row>
    <row r="6263" spans="1:9">
      <c r="A6263" s="161">
        <v>910100114</v>
      </c>
      <c r="B6263" s="161" t="s">
        <v>7246</v>
      </c>
      <c r="C6263" s="161">
        <v>90503016</v>
      </c>
      <c r="D6263" s="161" t="s">
        <v>3093</v>
      </c>
      <c r="E6263" s="161" t="s">
        <v>102</v>
      </c>
      <c r="F6263" s="163" t="s">
        <v>3093</v>
      </c>
      <c r="G6263" s="163">
        <v>0</v>
      </c>
      <c r="H6263" s="161" t="s">
        <v>7138</v>
      </c>
      <c r="I6263" s="161"/>
    </row>
    <row r="6264" spans="1:9">
      <c r="A6264" s="161">
        <v>910100115</v>
      </c>
      <c r="B6264" s="161" t="s">
        <v>2515</v>
      </c>
      <c r="C6264" s="161">
        <v>90503101</v>
      </c>
      <c r="D6264" s="161" t="s">
        <v>3093</v>
      </c>
      <c r="E6264" s="161" t="s">
        <v>1620</v>
      </c>
      <c r="F6264" s="163" t="s">
        <v>3093</v>
      </c>
      <c r="G6264" s="163">
        <v>0</v>
      </c>
      <c r="H6264" s="161" t="s">
        <v>7138</v>
      </c>
      <c r="I6264" s="161"/>
    </row>
    <row r="6265" spans="1:9">
      <c r="A6265" s="161">
        <v>910100116</v>
      </c>
      <c r="B6265" s="161" t="s">
        <v>7247</v>
      </c>
      <c r="C6265" s="161">
        <v>90503029</v>
      </c>
      <c r="D6265" s="161" t="s">
        <v>3093</v>
      </c>
      <c r="E6265" s="161" t="s">
        <v>1620</v>
      </c>
      <c r="F6265" s="163" t="s">
        <v>3093</v>
      </c>
      <c r="G6265" s="163">
        <v>0</v>
      </c>
      <c r="H6265" s="161" t="s">
        <v>7138</v>
      </c>
      <c r="I6265" s="161"/>
    </row>
    <row r="6266" spans="1:9">
      <c r="A6266" s="161">
        <v>910100117</v>
      </c>
      <c r="B6266" s="161" t="s">
        <v>7248</v>
      </c>
      <c r="C6266" s="161">
        <v>90503028</v>
      </c>
      <c r="D6266" s="161" t="s">
        <v>3093</v>
      </c>
      <c r="E6266" s="161" t="s">
        <v>1620</v>
      </c>
      <c r="F6266" s="163" t="s">
        <v>3093</v>
      </c>
      <c r="G6266" s="163">
        <v>0</v>
      </c>
      <c r="H6266" s="161" t="s">
        <v>7138</v>
      </c>
      <c r="I6266" s="161"/>
    </row>
    <row r="6267" spans="1:9">
      <c r="A6267" s="161">
        <v>910100118</v>
      </c>
      <c r="B6267" s="161" t="s">
        <v>7249</v>
      </c>
      <c r="C6267" s="161">
        <v>90503017</v>
      </c>
      <c r="D6267" s="161" t="s">
        <v>3093</v>
      </c>
      <c r="E6267" s="161" t="s">
        <v>102</v>
      </c>
      <c r="F6267" s="163" t="s">
        <v>3093</v>
      </c>
      <c r="G6267" s="163">
        <v>0</v>
      </c>
      <c r="H6267" s="161" t="s">
        <v>7138</v>
      </c>
      <c r="I6267" s="161"/>
    </row>
    <row r="6268" spans="1:9">
      <c r="A6268" s="161">
        <v>910100119</v>
      </c>
      <c r="B6268" s="161" t="s">
        <v>7250</v>
      </c>
      <c r="C6268" s="161">
        <v>90503030</v>
      </c>
      <c r="D6268" s="161" t="s">
        <v>3093</v>
      </c>
      <c r="E6268" s="161" t="s">
        <v>1620</v>
      </c>
      <c r="F6268" s="163" t="s">
        <v>3093</v>
      </c>
      <c r="G6268" s="163">
        <v>0</v>
      </c>
      <c r="H6268" s="161" t="s">
        <v>7138</v>
      </c>
      <c r="I6268" s="161"/>
    </row>
    <row r="6269" spans="1:9">
      <c r="A6269" s="161">
        <v>910100120</v>
      </c>
      <c r="B6269" s="161" t="s">
        <v>7251</v>
      </c>
      <c r="C6269" s="161">
        <v>90503080</v>
      </c>
      <c r="D6269" s="161" t="s">
        <v>3093</v>
      </c>
      <c r="E6269" s="161" t="s">
        <v>102</v>
      </c>
      <c r="F6269" s="163" t="s">
        <v>3093</v>
      </c>
      <c r="G6269" s="163">
        <v>0</v>
      </c>
      <c r="H6269" s="161" t="s">
        <v>7138</v>
      </c>
      <c r="I6269" s="161"/>
    </row>
    <row r="6270" spans="1:9">
      <c r="A6270" s="161">
        <v>910100121</v>
      </c>
      <c r="B6270" s="161" t="s">
        <v>7252</v>
      </c>
      <c r="C6270" s="161">
        <v>90503032</v>
      </c>
      <c r="D6270" s="161" t="s">
        <v>3093</v>
      </c>
      <c r="E6270" s="161" t="s">
        <v>102</v>
      </c>
      <c r="F6270" s="163" t="s">
        <v>3093</v>
      </c>
      <c r="G6270" s="163">
        <v>0</v>
      </c>
      <c r="H6270" s="161" t="s">
        <v>7138</v>
      </c>
      <c r="I6270" s="161"/>
    </row>
    <row r="6271" spans="1:9">
      <c r="A6271" s="161">
        <v>910100122</v>
      </c>
      <c r="B6271" s="161" t="s">
        <v>7253</v>
      </c>
      <c r="C6271" s="161">
        <v>90503033</v>
      </c>
      <c r="D6271" s="161" t="s">
        <v>3093</v>
      </c>
      <c r="E6271" s="161" t="s">
        <v>102</v>
      </c>
      <c r="F6271" s="163" t="s">
        <v>3093</v>
      </c>
      <c r="G6271" s="163">
        <v>0</v>
      </c>
      <c r="H6271" s="161" t="s">
        <v>7138</v>
      </c>
      <c r="I6271" s="161"/>
    </row>
    <row r="6272" spans="1:9">
      <c r="A6272" s="161">
        <v>910100123</v>
      </c>
      <c r="B6272" s="161" t="s">
        <v>7254</v>
      </c>
      <c r="C6272" s="161">
        <v>90503018</v>
      </c>
      <c r="D6272" s="161" t="s">
        <v>3093</v>
      </c>
      <c r="E6272" s="161" t="s">
        <v>102</v>
      </c>
      <c r="F6272" s="163" t="s">
        <v>3093</v>
      </c>
      <c r="G6272" s="163">
        <v>0</v>
      </c>
      <c r="H6272" s="161" t="s">
        <v>7138</v>
      </c>
      <c r="I6272" s="161"/>
    </row>
    <row r="6273" spans="1:9">
      <c r="A6273" s="161">
        <v>910100124</v>
      </c>
      <c r="B6273" s="161" t="s">
        <v>7255</v>
      </c>
      <c r="C6273" s="161">
        <v>90503019</v>
      </c>
      <c r="D6273" s="161" t="s">
        <v>3093</v>
      </c>
      <c r="E6273" s="161" t="s">
        <v>102</v>
      </c>
      <c r="F6273" s="163" t="s">
        <v>3093</v>
      </c>
      <c r="G6273" s="163">
        <v>0</v>
      </c>
      <c r="H6273" s="161" t="s">
        <v>7138</v>
      </c>
      <c r="I6273" s="161"/>
    </row>
    <row r="6274" spans="1:9">
      <c r="A6274" s="161">
        <v>910100125</v>
      </c>
      <c r="B6274" s="161" t="s">
        <v>7256</v>
      </c>
      <c r="C6274" s="161">
        <v>90503036</v>
      </c>
      <c r="D6274" s="161" t="s">
        <v>3093</v>
      </c>
      <c r="E6274" s="161" t="s">
        <v>102</v>
      </c>
      <c r="F6274" s="163" t="s">
        <v>3093</v>
      </c>
      <c r="G6274" s="163">
        <v>0</v>
      </c>
      <c r="H6274" s="161" t="s">
        <v>7138</v>
      </c>
      <c r="I6274" s="161"/>
    </row>
    <row r="6275" spans="1:9">
      <c r="A6275" s="161">
        <v>910100126</v>
      </c>
      <c r="B6275" s="161" t="s">
        <v>7257</v>
      </c>
      <c r="C6275" s="161">
        <v>90503037</v>
      </c>
      <c r="D6275" s="161" t="s">
        <v>3093</v>
      </c>
      <c r="E6275" s="161" t="s">
        <v>102</v>
      </c>
      <c r="F6275" s="163" t="s">
        <v>3093</v>
      </c>
      <c r="G6275" s="163">
        <v>0</v>
      </c>
      <c r="H6275" s="161" t="s">
        <v>7138</v>
      </c>
      <c r="I6275" s="161"/>
    </row>
    <row r="6276" spans="1:9">
      <c r="A6276" s="161">
        <v>910100127</v>
      </c>
      <c r="B6276" s="161" t="s">
        <v>7258</v>
      </c>
      <c r="C6276" s="161">
        <v>90503038</v>
      </c>
      <c r="D6276" s="161" t="s">
        <v>3093</v>
      </c>
      <c r="E6276" s="161" t="s">
        <v>102</v>
      </c>
      <c r="F6276" s="163" t="s">
        <v>3093</v>
      </c>
      <c r="G6276" s="163">
        <v>0</v>
      </c>
      <c r="H6276" s="161" t="s">
        <v>7138</v>
      </c>
      <c r="I6276" s="161"/>
    </row>
    <row r="6277" spans="1:9">
      <c r="A6277" s="161">
        <v>910100128</v>
      </c>
      <c r="B6277" s="161" t="s">
        <v>7259</v>
      </c>
      <c r="C6277" s="161">
        <v>90503043</v>
      </c>
      <c r="D6277" s="161" t="s">
        <v>3093</v>
      </c>
      <c r="E6277" s="161" t="s">
        <v>102</v>
      </c>
      <c r="F6277" s="163" t="s">
        <v>3093</v>
      </c>
      <c r="G6277" s="163">
        <v>0</v>
      </c>
      <c r="H6277" s="161" t="s">
        <v>7138</v>
      </c>
      <c r="I6277" s="161"/>
    </row>
    <row r="6278" spans="1:9">
      <c r="A6278" s="161">
        <v>910100129</v>
      </c>
      <c r="B6278" s="161" t="s">
        <v>7260</v>
      </c>
      <c r="C6278" s="161">
        <v>90503044</v>
      </c>
      <c r="D6278" s="161" t="s">
        <v>3093</v>
      </c>
      <c r="E6278" s="161" t="s">
        <v>102</v>
      </c>
      <c r="F6278" s="163" t="s">
        <v>3093</v>
      </c>
      <c r="G6278" s="163">
        <v>0</v>
      </c>
      <c r="H6278" s="161" t="s">
        <v>7138</v>
      </c>
      <c r="I6278" s="161"/>
    </row>
    <row r="6279" spans="1:9">
      <c r="A6279" s="161">
        <v>910100130</v>
      </c>
      <c r="B6279" s="161" t="s">
        <v>7261</v>
      </c>
      <c r="C6279" s="161">
        <v>90503045</v>
      </c>
      <c r="D6279" s="161" t="s">
        <v>3093</v>
      </c>
      <c r="E6279" s="161" t="s">
        <v>102</v>
      </c>
      <c r="F6279" s="163" t="s">
        <v>3093</v>
      </c>
      <c r="G6279" s="163">
        <v>0</v>
      </c>
      <c r="H6279" s="161" t="s">
        <v>7138</v>
      </c>
      <c r="I6279" s="161"/>
    </row>
    <row r="6280" spans="1:9">
      <c r="A6280" s="161">
        <v>910100131</v>
      </c>
      <c r="B6280" s="161" t="s">
        <v>7262</v>
      </c>
      <c r="C6280" s="161">
        <v>90503052</v>
      </c>
      <c r="D6280" s="161" t="s">
        <v>3093</v>
      </c>
      <c r="E6280" s="161" t="s">
        <v>102</v>
      </c>
      <c r="F6280" s="163" t="s">
        <v>3093</v>
      </c>
      <c r="G6280" s="163">
        <v>0</v>
      </c>
      <c r="H6280" s="161" t="s">
        <v>7138</v>
      </c>
      <c r="I6280" s="161"/>
    </row>
    <row r="6281" spans="1:9">
      <c r="A6281" s="161">
        <v>910100132</v>
      </c>
      <c r="B6281" s="161" t="s">
        <v>7263</v>
      </c>
      <c r="C6281" s="161">
        <v>90503046</v>
      </c>
      <c r="D6281" s="161" t="s">
        <v>3093</v>
      </c>
      <c r="E6281" s="161" t="s">
        <v>102</v>
      </c>
      <c r="F6281" s="163" t="s">
        <v>3093</v>
      </c>
      <c r="G6281" s="163">
        <v>0</v>
      </c>
      <c r="H6281" s="161" t="s">
        <v>7138</v>
      </c>
      <c r="I6281" s="161"/>
    </row>
    <row r="6282" spans="1:9">
      <c r="A6282" s="161">
        <v>910100133</v>
      </c>
      <c r="B6282" s="161" t="s">
        <v>7264</v>
      </c>
      <c r="C6282" s="161">
        <v>90503047</v>
      </c>
      <c r="D6282" s="161" t="s">
        <v>3093</v>
      </c>
      <c r="E6282" s="161" t="s">
        <v>102</v>
      </c>
      <c r="F6282" s="163" t="s">
        <v>3093</v>
      </c>
      <c r="G6282" s="163">
        <v>0</v>
      </c>
      <c r="H6282" s="161" t="s">
        <v>7138</v>
      </c>
      <c r="I6282" s="161"/>
    </row>
    <row r="6283" spans="1:9">
      <c r="A6283" s="161">
        <v>910100134</v>
      </c>
      <c r="B6283" s="161" t="s">
        <v>7265</v>
      </c>
      <c r="C6283" s="161">
        <v>90503048</v>
      </c>
      <c r="D6283" s="161" t="s">
        <v>3093</v>
      </c>
      <c r="E6283" s="161" t="s">
        <v>102</v>
      </c>
      <c r="F6283" s="163" t="s">
        <v>3093</v>
      </c>
      <c r="G6283" s="163">
        <v>0</v>
      </c>
      <c r="H6283" s="161" t="s">
        <v>7138</v>
      </c>
      <c r="I6283" s="161"/>
    </row>
    <row r="6284" spans="1:9">
      <c r="A6284" s="161">
        <v>910100135</v>
      </c>
      <c r="B6284" s="161" t="s">
        <v>7266</v>
      </c>
      <c r="C6284" s="161">
        <v>90503049</v>
      </c>
      <c r="D6284" s="161" t="s">
        <v>3093</v>
      </c>
      <c r="E6284" s="161" t="s">
        <v>102</v>
      </c>
      <c r="F6284" s="163" t="s">
        <v>3093</v>
      </c>
      <c r="G6284" s="163">
        <v>0</v>
      </c>
      <c r="H6284" s="161" t="s">
        <v>7138</v>
      </c>
      <c r="I6284" s="161"/>
    </row>
    <row r="6285" spans="1:9">
      <c r="A6285" s="161">
        <v>910100136</v>
      </c>
      <c r="B6285" s="161" t="s">
        <v>7267</v>
      </c>
      <c r="C6285" s="161">
        <v>90503051</v>
      </c>
      <c r="D6285" s="161" t="s">
        <v>3093</v>
      </c>
      <c r="E6285" s="161" t="s">
        <v>102</v>
      </c>
      <c r="F6285" s="163" t="s">
        <v>3093</v>
      </c>
      <c r="G6285" s="163">
        <v>0</v>
      </c>
      <c r="H6285" s="161" t="s">
        <v>7138</v>
      </c>
      <c r="I6285" s="161"/>
    </row>
    <row r="6286" spans="1:9">
      <c r="A6286" s="161">
        <v>910100137</v>
      </c>
      <c r="B6286" s="161" t="s">
        <v>7268</v>
      </c>
      <c r="C6286" s="161">
        <v>90503050</v>
      </c>
      <c r="D6286" s="161" t="s">
        <v>3093</v>
      </c>
      <c r="E6286" s="161" t="s">
        <v>102</v>
      </c>
      <c r="F6286" s="163" t="s">
        <v>3093</v>
      </c>
      <c r="G6286" s="163">
        <v>0</v>
      </c>
      <c r="H6286" s="161" t="s">
        <v>7138</v>
      </c>
      <c r="I6286" s="161"/>
    </row>
    <row r="6287" spans="1:9">
      <c r="A6287" s="161">
        <v>910100138</v>
      </c>
      <c r="B6287" s="161" t="s">
        <v>7269</v>
      </c>
      <c r="C6287" s="161">
        <v>90503053</v>
      </c>
      <c r="D6287" s="161" t="s">
        <v>3093</v>
      </c>
      <c r="E6287" s="161" t="s">
        <v>102</v>
      </c>
      <c r="F6287" s="163" t="s">
        <v>3093</v>
      </c>
      <c r="G6287" s="163">
        <v>0</v>
      </c>
      <c r="H6287" s="161" t="s">
        <v>7138</v>
      </c>
      <c r="I6287" s="161"/>
    </row>
    <row r="6288" spans="1:9">
      <c r="A6288" s="161">
        <v>910100139</v>
      </c>
      <c r="B6288" s="161" t="s">
        <v>7270</v>
      </c>
      <c r="C6288" s="161">
        <v>90503054</v>
      </c>
      <c r="D6288" s="161" t="s">
        <v>3093</v>
      </c>
      <c r="E6288" s="161" t="s">
        <v>102</v>
      </c>
      <c r="F6288" s="163" t="s">
        <v>3093</v>
      </c>
      <c r="G6288" s="163">
        <v>0</v>
      </c>
      <c r="H6288" s="161" t="s">
        <v>7138</v>
      </c>
      <c r="I6288" s="161"/>
    </row>
    <row r="6289" spans="1:9">
      <c r="A6289" s="161">
        <v>910100140</v>
      </c>
      <c r="B6289" s="161" t="s">
        <v>7271</v>
      </c>
      <c r="C6289" s="161">
        <v>90503055</v>
      </c>
      <c r="D6289" s="161" t="s">
        <v>3093</v>
      </c>
      <c r="E6289" s="161" t="s">
        <v>102</v>
      </c>
      <c r="F6289" s="163" t="s">
        <v>3093</v>
      </c>
      <c r="G6289" s="163">
        <v>0</v>
      </c>
      <c r="H6289" s="161" t="s">
        <v>7138</v>
      </c>
      <c r="I6289" s="161"/>
    </row>
    <row r="6290" spans="1:9">
      <c r="A6290" s="161">
        <v>910100141</v>
      </c>
      <c r="B6290" s="161" t="s">
        <v>7272</v>
      </c>
      <c r="C6290" s="161">
        <v>90503057</v>
      </c>
      <c r="D6290" s="161" t="s">
        <v>3093</v>
      </c>
      <c r="E6290" s="161" t="s">
        <v>102</v>
      </c>
      <c r="F6290" s="163" t="s">
        <v>3093</v>
      </c>
      <c r="G6290" s="163">
        <v>0</v>
      </c>
      <c r="H6290" s="161" t="s">
        <v>7138</v>
      </c>
      <c r="I6290" s="161"/>
    </row>
    <row r="6291" spans="1:9">
      <c r="A6291" s="161">
        <v>910100142</v>
      </c>
      <c r="B6291" s="161" t="s">
        <v>7273</v>
      </c>
      <c r="C6291" s="161">
        <v>90503056</v>
      </c>
      <c r="D6291" s="161" t="s">
        <v>3093</v>
      </c>
      <c r="E6291" s="161" t="s">
        <v>102</v>
      </c>
      <c r="F6291" s="163" t="s">
        <v>3093</v>
      </c>
      <c r="G6291" s="163">
        <v>0</v>
      </c>
      <c r="H6291" s="161" t="s">
        <v>7138</v>
      </c>
      <c r="I6291" s="161"/>
    </row>
    <row r="6292" spans="1:9">
      <c r="A6292" s="161">
        <v>910100143</v>
      </c>
      <c r="B6292" s="161" t="s">
        <v>7274</v>
      </c>
      <c r="C6292" s="161">
        <v>90503074</v>
      </c>
      <c r="D6292" s="161" t="s">
        <v>3093</v>
      </c>
      <c r="E6292" s="161" t="s">
        <v>102</v>
      </c>
      <c r="F6292" s="163" t="s">
        <v>3093</v>
      </c>
      <c r="G6292" s="163">
        <v>0</v>
      </c>
      <c r="H6292" s="161" t="s">
        <v>7138</v>
      </c>
      <c r="I6292" s="161"/>
    </row>
    <row r="6293" spans="1:9">
      <c r="A6293" s="161">
        <v>910100144</v>
      </c>
      <c r="B6293" s="161" t="s">
        <v>7275</v>
      </c>
      <c r="C6293" s="161">
        <v>90503075</v>
      </c>
      <c r="D6293" s="161" t="s">
        <v>3093</v>
      </c>
      <c r="E6293" s="161" t="s">
        <v>102</v>
      </c>
      <c r="F6293" s="163" t="s">
        <v>3093</v>
      </c>
      <c r="G6293" s="163">
        <v>0</v>
      </c>
      <c r="H6293" s="161" t="s">
        <v>7138</v>
      </c>
      <c r="I6293" s="161"/>
    </row>
    <row r="6294" spans="1:9">
      <c r="A6294" s="161">
        <v>910100145</v>
      </c>
      <c r="B6294" s="161" t="s">
        <v>7276</v>
      </c>
      <c r="C6294" s="161">
        <v>90503024</v>
      </c>
      <c r="D6294" s="161" t="s">
        <v>3093</v>
      </c>
      <c r="E6294" s="161" t="s">
        <v>102</v>
      </c>
      <c r="F6294" s="163" t="s">
        <v>3093</v>
      </c>
      <c r="G6294" s="163">
        <v>0</v>
      </c>
      <c r="H6294" s="161" t="s">
        <v>7138</v>
      </c>
      <c r="I6294" s="161"/>
    </row>
    <row r="6295" spans="1:9">
      <c r="A6295" s="161">
        <v>910100146</v>
      </c>
      <c r="B6295" s="161" t="s">
        <v>2516</v>
      </c>
      <c r="C6295" s="161">
        <v>90503025</v>
      </c>
      <c r="D6295" s="161" t="s">
        <v>3093</v>
      </c>
      <c r="E6295" s="161" t="s">
        <v>102</v>
      </c>
      <c r="F6295" s="163" t="s">
        <v>3093</v>
      </c>
      <c r="G6295" s="163">
        <v>0</v>
      </c>
      <c r="H6295" s="161" t="s">
        <v>7138</v>
      </c>
      <c r="I6295" s="161"/>
    </row>
    <row r="6296" spans="1:9">
      <c r="A6296" s="161">
        <v>910100147</v>
      </c>
      <c r="B6296" s="161" t="s">
        <v>7277</v>
      </c>
      <c r="C6296" s="161">
        <v>90503118</v>
      </c>
      <c r="D6296" s="161" t="s">
        <v>3093</v>
      </c>
      <c r="E6296" s="161" t="s">
        <v>1620</v>
      </c>
      <c r="F6296" s="163" t="s">
        <v>3093</v>
      </c>
      <c r="G6296" s="163">
        <v>0</v>
      </c>
      <c r="H6296" s="161" t="s">
        <v>7138</v>
      </c>
      <c r="I6296" s="161"/>
    </row>
    <row r="6297" spans="1:9">
      <c r="A6297" s="161">
        <v>910100148</v>
      </c>
      <c r="B6297" s="161" t="s">
        <v>7278</v>
      </c>
      <c r="C6297" s="161">
        <v>90503119</v>
      </c>
      <c r="D6297" s="161" t="s">
        <v>3093</v>
      </c>
      <c r="E6297" s="161" t="s">
        <v>1620</v>
      </c>
      <c r="F6297" s="163" t="s">
        <v>3093</v>
      </c>
      <c r="G6297" s="163">
        <v>0</v>
      </c>
      <c r="H6297" s="161" t="s">
        <v>7138</v>
      </c>
      <c r="I6297" s="161"/>
    </row>
    <row r="6298" spans="1:9">
      <c r="A6298" s="161">
        <v>910100149</v>
      </c>
      <c r="B6298" s="161" t="s">
        <v>7279</v>
      </c>
      <c r="C6298" s="161">
        <v>90503117</v>
      </c>
      <c r="D6298" s="161" t="s">
        <v>3093</v>
      </c>
      <c r="E6298" s="161" t="s">
        <v>1620</v>
      </c>
      <c r="F6298" s="163" t="s">
        <v>3093</v>
      </c>
      <c r="G6298" s="163">
        <v>0</v>
      </c>
      <c r="H6298" s="161" t="s">
        <v>7138</v>
      </c>
      <c r="I6298" s="161"/>
    </row>
    <row r="6299" spans="1:9">
      <c r="A6299" s="161">
        <v>910100150</v>
      </c>
      <c r="B6299" s="161" t="s">
        <v>7280</v>
      </c>
      <c r="C6299" s="161">
        <v>90503120</v>
      </c>
      <c r="D6299" s="161" t="s">
        <v>3093</v>
      </c>
      <c r="E6299" s="161" t="s">
        <v>1620</v>
      </c>
      <c r="F6299" s="163" t="s">
        <v>3093</v>
      </c>
      <c r="G6299" s="163">
        <v>0</v>
      </c>
      <c r="H6299" s="161" t="s">
        <v>7138</v>
      </c>
      <c r="I6299" s="161"/>
    </row>
    <row r="6300" spans="1:9">
      <c r="A6300" s="161">
        <v>910100151</v>
      </c>
      <c r="B6300" s="161" t="s">
        <v>7281</v>
      </c>
      <c r="C6300" s="161">
        <v>90503115</v>
      </c>
      <c r="D6300" s="161" t="s">
        <v>3093</v>
      </c>
      <c r="E6300" s="161" t="s">
        <v>1620</v>
      </c>
      <c r="F6300" s="163" t="s">
        <v>3093</v>
      </c>
      <c r="G6300" s="163">
        <v>0</v>
      </c>
      <c r="H6300" s="161" t="s">
        <v>7138</v>
      </c>
      <c r="I6300" s="161"/>
    </row>
    <row r="6301" spans="1:9">
      <c r="A6301" s="161">
        <v>910100152</v>
      </c>
      <c r="B6301" s="161" t="s">
        <v>7282</v>
      </c>
      <c r="C6301" s="161">
        <v>90503116</v>
      </c>
      <c r="D6301" s="161" t="s">
        <v>3093</v>
      </c>
      <c r="E6301" s="161" t="s">
        <v>1620</v>
      </c>
      <c r="F6301" s="163" t="s">
        <v>3093</v>
      </c>
      <c r="G6301" s="163">
        <v>0</v>
      </c>
      <c r="H6301" s="161" t="s">
        <v>7138</v>
      </c>
      <c r="I6301" s="161"/>
    </row>
    <row r="6302" spans="1:9">
      <c r="A6302" s="161">
        <v>910100153</v>
      </c>
      <c r="B6302" s="161" t="s">
        <v>2517</v>
      </c>
      <c r="C6302" s="161">
        <v>90503031</v>
      </c>
      <c r="D6302" s="161" t="s">
        <v>3093</v>
      </c>
      <c r="E6302" s="161" t="s">
        <v>102</v>
      </c>
      <c r="F6302" s="163" t="s">
        <v>3093</v>
      </c>
      <c r="G6302" s="163">
        <v>0</v>
      </c>
      <c r="H6302" s="161" t="s">
        <v>7138</v>
      </c>
      <c r="I6302" s="161"/>
    </row>
    <row r="6303" spans="1:9">
      <c r="A6303" s="161">
        <v>910100154</v>
      </c>
      <c r="B6303" s="161" t="s">
        <v>7283</v>
      </c>
      <c r="C6303" s="161">
        <v>90503076</v>
      </c>
      <c r="D6303" s="161" t="s">
        <v>3093</v>
      </c>
      <c r="E6303" s="161" t="s">
        <v>102</v>
      </c>
      <c r="F6303" s="163" t="s">
        <v>3093</v>
      </c>
      <c r="G6303" s="163">
        <v>0</v>
      </c>
      <c r="H6303" s="161" t="s">
        <v>7138</v>
      </c>
      <c r="I6303" s="161"/>
    </row>
    <row r="6304" spans="1:9">
      <c r="A6304" s="161">
        <v>910100155</v>
      </c>
      <c r="B6304" s="161" t="s">
        <v>7284</v>
      </c>
      <c r="C6304" s="161">
        <v>90503079</v>
      </c>
      <c r="D6304" s="161" t="s">
        <v>3093</v>
      </c>
      <c r="E6304" s="161" t="s">
        <v>102</v>
      </c>
      <c r="F6304" s="163" t="s">
        <v>3093</v>
      </c>
      <c r="G6304" s="163">
        <v>0</v>
      </c>
      <c r="H6304" s="161" t="s">
        <v>7138</v>
      </c>
      <c r="I6304" s="161"/>
    </row>
    <row r="6305" spans="1:9">
      <c r="A6305" s="161">
        <v>910100156</v>
      </c>
      <c r="B6305" s="161" t="s">
        <v>7285</v>
      </c>
      <c r="C6305" s="161">
        <v>90503077</v>
      </c>
      <c r="D6305" s="161" t="s">
        <v>3093</v>
      </c>
      <c r="E6305" s="161" t="s">
        <v>102</v>
      </c>
      <c r="F6305" s="163" t="s">
        <v>3093</v>
      </c>
      <c r="G6305" s="163">
        <v>0</v>
      </c>
      <c r="H6305" s="161" t="s">
        <v>7138</v>
      </c>
      <c r="I6305" s="161"/>
    </row>
    <row r="6306" spans="1:9">
      <c r="A6306" s="161">
        <v>910100157</v>
      </c>
      <c r="B6306" s="161" t="s">
        <v>7286</v>
      </c>
      <c r="C6306" s="161">
        <v>90503078</v>
      </c>
      <c r="D6306" s="161" t="s">
        <v>3093</v>
      </c>
      <c r="E6306" s="161" t="s">
        <v>102</v>
      </c>
      <c r="F6306" s="163" t="s">
        <v>3093</v>
      </c>
      <c r="G6306" s="163">
        <v>0</v>
      </c>
      <c r="H6306" s="161" t="s">
        <v>7138</v>
      </c>
      <c r="I6306" s="161"/>
    </row>
    <row r="6307" spans="1:9">
      <c r="A6307" s="161">
        <v>910100158</v>
      </c>
      <c r="B6307" s="161" t="s">
        <v>7287</v>
      </c>
      <c r="C6307" s="161">
        <v>90503121</v>
      </c>
      <c r="D6307" s="161" t="s">
        <v>3093</v>
      </c>
      <c r="E6307" s="161" t="s">
        <v>1620</v>
      </c>
      <c r="F6307" s="163" t="s">
        <v>3093</v>
      </c>
      <c r="G6307" s="163">
        <v>0</v>
      </c>
      <c r="H6307" s="161" t="s">
        <v>7138</v>
      </c>
      <c r="I6307" s="161"/>
    </row>
    <row r="6308" spans="1:9">
      <c r="A6308" s="161">
        <v>910100159</v>
      </c>
      <c r="B6308" s="161" t="s">
        <v>7288</v>
      </c>
      <c r="C6308" s="161">
        <v>90503122</v>
      </c>
      <c r="D6308" s="161" t="s">
        <v>3093</v>
      </c>
      <c r="E6308" s="161" t="s">
        <v>1620</v>
      </c>
      <c r="F6308" s="163" t="s">
        <v>3093</v>
      </c>
      <c r="G6308" s="163">
        <v>0</v>
      </c>
      <c r="H6308" s="161" t="s">
        <v>7138</v>
      </c>
      <c r="I6308" s="161"/>
    </row>
    <row r="6309" spans="1:9">
      <c r="A6309" s="161">
        <v>910100160</v>
      </c>
      <c r="B6309" s="161" t="s">
        <v>7289</v>
      </c>
      <c r="C6309" s="161">
        <v>90503020</v>
      </c>
      <c r="D6309" s="161" t="s">
        <v>3093</v>
      </c>
      <c r="E6309" s="161" t="s">
        <v>102</v>
      </c>
      <c r="F6309" s="163" t="s">
        <v>3093</v>
      </c>
      <c r="G6309" s="163">
        <v>0</v>
      </c>
      <c r="H6309" s="161" t="s">
        <v>7138</v>
      </c>
      <c r="I6309" s="161"/>
    </row>
    <row r="6310" spans="1:9">
      <c r="A6310" s="161">
        <v>910100161</v>
      </c>
      <c r="B6310" s="161" t="s">
        <v>7290</v>
      </c>
      <c r="C6310" s="161">
        <v>90503102</v>
      </c>
      <c r="D6310" s="161" t="s">
        <v>3093</v>
      </c>
      <c r="E6310" s="161" t="s">
        <v>1620</v>
      </c>
      <c r="F6310" s="163" t="s">
        <v>3093</v>
      </c>
      <c r="G6310" s="163">
        <v>0</v>
      </c>
      <c r="H6310" s="161" t="s">
        <v>7138</v>
      </c>
      <c r="I6310" s="161"/>
    </row>
    <row r="6311" spans="1:9">
      <c r="A6311" s="161">
        <v>910100162</v>
      </c>
      <c r="B6311" s="161" t="s">
        <v>2518</v>
      </c>
      <c r="C6311" s="161">
        <v>90503064</v>
      </c>
      <c r="D6311" s="161" t="s">
        <v>3093</v>
      </c>
      <c r="E6311" s="161" t="s">
        <v>102</v>
      </c>
      <c r="F6311" s="163" t="s">
        <v>3093</v>
      </c>
      <c r="G6311" s="163">
        <v>0</v>
      </c>
      <c r="H6311" s="161" t="s">
        <v>7138</v>
      </c>
      <c r="I6311" s="161"/>
    </row>
    <row r="6312" spans="1:9">
      <c r="A6312" s="161">
        <v>910100163</v>
      </c>
      <c r="B6312" s="161" t="s">
        <v>2309</v>
      </c>
      <c r="C6312" s="161">
        <v>90503012</v>
      </c>
      <c r="D6312" s="161" t="s">
        <v>3093</v>
      </c>
      <c r="E6312" s="161" t="s">
        <v>102</v>
      </c>
      <c r="F6312" s="163" t="s">
        <v>3093</v>
      </c>
      <c r="G6312" s="163">
        <v>0</v>
      </c>
      <c r="H6312" s="161" t="s">
        <v>7138</v>
      </c>
      <c r="I6312" s="161"/>
    </row>
    <row r="6313" spans="1:9">
      <c r="A6313" s="161">
        <v>910100164</v>
      </c>
      <c r="B6313" s="161" t="s">
        <v>7291</v>
      </c>
      <c r="C6313" s="161">
        <v>90503156</v>
      </c>
      <c r="D6313" s="161" t="s">
        <v>3093</v>
      </c>
      <c r="E6313" s="161" t="s">
        <v>102</v>
      </c>
      <c r="F6313" s="163" t="s">
        <v>3093</v>
      </c>
      <c r="G6313" s="163">
        <v>64.98</v>
      </c>
      <c r="H6313" s="161" t="s">
        <v>7138</v>
      </c>
      <c r="I6313" s="161"/>
    </row>
    <row r="6314" spans="1:9">
      <c r="A6314" s="161">
        <v>910100165</v>
      </c>
      <c r="B6314" s="161" t="s">
        <v>7292</v>
      </c>
      <c r="C6314" s="161">
        <v>90503021</v>
      </c>
      <c r="D6314" s="161" t="s">
        <v>3093</v>
      </c>
      <c r="E6314" s="161" t="s">
        <v>102</v>
      </c>
      <c r="F6314" s="163" t="s">
        <v>3093</v>
      </c>
      <c r="G6314" s="163">
        <v>0</v>
      </c>
      <c r="H6314" s="161" t="s">
        <v>7138</v>
      </c>
      <c r="I6314" s="161"/>
    </row>
    <row r="6315" spans="1:9">
      <c r="A6315" s="161">
        <v>910100166</v>
      </c>
      <c r="B6315" s="161" t="s">
        <v>7293</v>
      </c>
      <c r="C6315" s="161">
        <v>90503065</v>
      </c>
      <c r="D6315" s="161" t="s">
        <v>3093</v>
      </c>
      <c r="E6315" s="161" t="s">
        <v>102</v>
      </c>
      <c r="F6315" s="163" t="s">
        <v>3093</v>
      </c>
      <c r="G6315" s="163">
        <v>0</v>
      </c>
      <c r="H6315" s="161" t="s">
        <v>7138</v>
      </c>
      <c r="I6315" s="161"/>
    </row>
    <row r="6316" spans="1:9">
      <c r="A6316" s="161">
        <v>910100167</v>
      </c>
      <c r="B6316" s="161" t="s">
        <v>7294</v>
      </c>
      <c r="C6316" s="161">
        <v>90503066</v>
      </c>
      <c r="D6316" s="161" t="s">
        <v>3093</v>
      </c>
      <c r="E6316" s="161" t="s">
        <v>102</v>
      </c>
      <c r="F6316" s="163" t="s">
        <v>3093</v>
      </c>
      <c r="G6316" s="163">
        <v>0</v>
      </c>
      <c r="H6316" s="161" t="s">
        <v>7138</v>
      </c>
      <c r="I6316" s="161"/>
    </row>
    <row r="6317" spans="1:9">
      <c r="A6317" s="161">
        <v>910100168</v>
      </c>
      <c r="B6317" s="161" t="s">
        <v>2338</v>
      </c>
      <c r="C6317" s="161">
        <v>90101011</v>
      </c>
      <c r="D6317" s="161" t="s">
        <v>3093</v>
      </c>
      <c r="E6317" s="161" t="s">
        <v>102</v>
      </c>
      <c r="F6317" s="163" t="s">
        <v>3093</v>
      </c>
      <c r="G6317" s="163">
        <v>0</v>
      </c>
      <c r="H6317" s="161" t="s">
        <v>7138</v>
      </c>
      <c r="I6317" s="161"/>
    </row>
    <row r="6318" spans="1:9">
      <c r="A6318" s="161">
        <v>910100169</v>
      </c>
      <c r="B6318" s="161" t="s">
        <v>7295</v>
      </c>
      <c r="C6318" s="161">
        <v>90105040</v>
      </c>
      <c r="D6318" s="161" t="s">
        <v>3093</v>
      </c>
      <c r="E6318" s="161" t="s">
        <v>1778</v>
      </c>
      <c r="F6318" s="163" t="s">
        <v>3093</v>
      </c>
      <c r="G6318" s="163">
        <v>0.72</v>
      </c>
      <c r="H6318" s="161" t="s">
        <v>7138</v>
      </c>
      <c r="I6318" s="161"/>
    </row>
    <row r="6319" spans="1:9">
      <c r="A6319" s="161">
        <v>910100170</v>
      </c>
      <c r="B6319" s="161" t="s">
        <v>7296</v>
      </c>
      <c r="C6319" s="161">
        <v>90105041</v>
      </c>
      <c r="D6319" s="161" t="s">
        <v>3093</v>
      </c>
      <c r="E6319" s="161" t="s">
        <v>1778</v>
      </c>
      <c r="F6319" s="163" t="s">
        <v>3093</v>
      </c>
      <c r="G6319" s="163">
        <v>0.45</v>
      </c>
      <c r="H6319" s="161" t="s">
        <v>7138</v>
      </c>
      <c r="I6319" s="161"/>
    </row>
    <row r="6320" spans="1:9">
      <c r="A6320" s="161">
        <v>910100171</v>
      </c>
      <c r="B6320" s="161" t="s">
        <v>1655</v>
      </c>
      <c r="C6320" s="161">
        <v>90103012</v>
      </c>
      <c r="D6320" s="161" t="s">
        <v>3093</v>
      </c>
      <c r="E6320" s="161" t="s">
        <v>102</v>
      </c>
      <c r="F6320" s="163" t="s">
        <v>3093</v>
      </c>
      <c r="G6320" s="163">
        <v>1.1299999999999999</v>
      </c>
      <c r="H6320" s="161" t="s">
        <v>7138</v>
      </c>
      <c r="I6320" s="161"/>
    </row>
    <row r="6321" spans="1:9">
      <c r="A6321" s="161">
        <v>910100172</v>
      </c>
      <c r="B6321" s="161" t="s">
        <v>7297</v>
      </c>
      <c r="C6321" s="161">
        <v>90103013</v>
      </c>
      <c r="D6321" s="161" t="s">
        <v>3093</v>
      </c>
      <c r="E6321" s="161" t="s">
        <v>102</v>
      </c>
      <c r="F6321" s="163" t="s">
        <v>3093</v>
      </c>
      <c r="G6321" s="163">
        <v>1.25</v>
      </c>
      <c r="H6321" s="161" t="s">
        <v>7138</v>
      </c>
      <c r="I6321" s="161"/>
    </row>
    <row r="6322" spans="1:9">
      <c r="A6322" s="161">
        <v>910100173</v>
      </c>
      <c r="B6322" s="161" t="s">
        <v>7298</v>
      </c>
      <c r="C6322" s="161">
        <v>90105042</v>
      </c>
      <c r="D6322" s="161" t="s">
        <v>3093</v>
      </c>
      <c r="E6322" s="161" t="s">
        <v>1778</v>
      </c>
      <c r="F6322" s="163" t="s">
        <v>3093</v>
      </c>
      <c r="G6322" s="163">
        <v>9.18</v>
      </c>
      <c r="H6322" s="161" t="s">
        <v>7138</v>
      </c>
      <c r="I6322" s="161"/>
    </row>
    <row r="6323" spans="1:9">
      <c r="A6323" s="161">
        <v>910100174</v>
      </c>
      <c r="B6323" s="161" t="s">
        <v>7299</v>
      </c>
      <c r="C6323" s="161">
        <v>90502073</v>
      </c>
      <c r="D6323" s="161" t="s">
        <v>3093</v>
      </c>
      <c r="E6323" s="161" t="s">
        <v>102</v>
      </c>
      <c r="F6323" s="163" t="s">
        <v>3093</v>
      </c>
      <c r="G6323" s="163">
        <v>175.88</v>
      </c>
      <c r="H6323" s="161" t="s">
        <v>7138</v>
      </c>
      <c r="I6323" s="161"/>
    </row>
    <row r="6324" spans="1:9">
      <c r="A6324" s="161">
        <v>910100175</v>
      </c>
      <c r="B6324" s="161" t="s">
        <v>2486</v>
      </c>
      <c r="C6324" s="161">
        <v>90502076</v>
      </c>
      <c r="D6324" s="161" t="s">
        <v>3093</v>
      </c>
      <c r="E6324" s="161" t="s">
        <v>102</v>
      </c>
      <c r="F6324" s="163" t="s">
        <v>3093</v>
      </c>
      <c r="G6324" s="163">
        <v>1.57</v>
      </c>
      <c r="H6324" s="161" t="s">
        <v>7138</v>
      </c>
      <c r="I6324" s="161"/>
    </row>
    <row r="6325" spans="1:9">
      <c r="A6325" s="161">
        <v>910100176</v>
      </c>
      <c r="B6325" s="161" t="s">
        <v>2487</v>
      </c>
      <c r="C6325" s="161">
        <v>90502074</v>
      </c>
      <c r="D6325" s="161" t="s">
        <v>3093</v>
      </c>
      <c r="E6325" s="161" t="s">
        <v>102</v>
      </c>
      <c r="F6325" s="163" t="s">
        <v>3093</v>
      </c>
      <c r="G6325" s="163">
        <v>6.14</v>
      </c>
      <c r="H6325" s="161" t="s">
        <v>7138</v>
      </c>
      <c r="I6325" s="161"/>
    </row>
    <row r="6326" spans="1:9">
      <c r="A6326" s="161">
        <v>910100177</v>
      </c>
      <c r="B6326" s="161" t="s">
        <v>2488</v>
      </c>
      <c r="C6326" s="161">
        <v>90502077</v>
      </c>
      <c r="D6326" s="161" t="s">
        <v>3093</v>
      </c>
      <c r="E6326" s="161" t="s">
        <v>102</v>
      </c>
      <c r="F6326" s="163" t="s">
        <v>3093</v>
      </c>
      <c r="G6326" s="163">
        <v>11.01</v>
      </c>
      <c r="H6326" s="161" t="s">
        <v>7138</v>
      </c>
      <c r="I6326" s="161"/>
    </row>
    <row r="6327" spans="1:9">
      <c r="A6327" s="161">
        <v>910100178</v>
      </c>
      <c r="B6327" s="161" t="s">
        <v>7300</v>
      </c>
      <c r="C6327" s="161">
        <v>90502075</v>
      </c>
      <c r="D6327" s="161" t="s">
        <v>3093</v>
      </c>
      <c r="E6327" s="161" t="s">
        <v>102</v>
      </c>
      <c r="F6327" s="163" t="s">
        <v>3093</v>
      </c>
      <c r="G6327" s="163">
        <v>7.9</v>
      </c>
      <c r="H6327" s="161" t="s">
        <v>7138</v>
      </c>
      <c r="I6327" s="161"/>
    </row>
    <row r="6328" spans="1:9">
      <c r="A6328" s="161">
        <v>910100179</v>
      </c>
      <c r="B6328" s="161" t="s">
        <v>2489</v>
      </c>
      <c r="C6328" s="161">
        <v>90502068</v>
      </c>
      <c r="D6328" s="161" t="s">
        <v>3093</v>
      </c>
      <c r="E6328" s="161" t="s">
        <v>102</v>
      </c>
      <c r="F6328" s="163" t="s">
        <v>3093</v>
      </c>
      <c r="G6328" s="163">
        <v>0</v>
      </c>
      <c r="H6328" s="161" t="s">
        <v>7138</v>
      </c>
      <c r="I6328" s="161"/>
    </row>
    <row r="6329" spans="1:9">
      <c r="A6329" s="161">
        <v>910100180</v>
      </c>
      <c r="B6329" s="161" t="s">
        <v>2490</v>
      </c>
      <c r="C6329" s="161">
        <v>90502069</v>
      </c>
      <c r="D6329" s="161" t="s">
        <v>3093</v>
      </c>
      <c r="E6329" s="161" t="s">
        <v>102</v>
      </c>
      <c r="F6329" s="163" t="s">
        <v>3093</v>
      </c>
      <c r="G6329" s="163">
        <v>17.97</v>
      </c>
      <c r="H6329" s="161" t="s">
        <v>7138</v>
      </c>
      <c r="I6329" s="161"/>
    </row>
    <row r="6330" spans="1:9">
      <c r="A6330" s="161">
        <v>910100181</v>
      </c>
      <c r="B6330" s="161" t="s">
        <v>2491</v>
      </c>
      <c r="C6330" s="161">
        <v>90502002</v>
      </c>
      <c r="D6330" s="161" t="s">
        <v>3093</v>
      </c>
      <c r="E6330" s="161" t="s">
        <v>102</v>
      </c>
      <c r="F6330" s="163" t="s">
        <v>3093</v>
      </c>
      <c r="G6330" s="163">
        <v>0</v>
      </c>
      <c r="H6330" s="161" t="s">
        <v>7138</v>
      </c>
      <c r="I6330" s="161"/>
    </row>
    <row r="6331" spans="1:9">
      <c r="A6331" s="161">
        <v>910100182</v>
      </c>
      <c r="B6331" s="161" t="s">
        <v>2492</v>
      </c>
      <c r="C6331" s="161">
        <v>90502003</v>
      </c>
      <c r="D6331" s="161" t="s">
        <v>3093</v>
      </c>
      <c r="E6331" s="161" t="s">
        <v>102</v>
      </c>
      <c r="F6331" s="163" t="s">
        <v>3093</v>
      </c>
      <c r="G6331" s="163">
        <v>0</v>
      </c>
      <c r="H6331" s="161" t="s">
        <v>7138</v>
      </c>
      <c r="I6331" s="161"/>
    </row>
    <row r="6332" spans="1:9">
      <c r="A6332" s="161">
        <v>910100183</v>
      </c>
      <c r="B6332" s="161" t="s">
        <v>2493</v>
      </c>
      <c r="C6332" s="161">
        <v>90502004</v>
      </c>
      <c r="D6332" s="161" t="s">
        <v>3093</v>
      </c>
      <c r="E6332" s="161" t="s">
        <v>102</v>
      </c>
      <c r="F6332" s="163" t="s">
        <v>3093</v>
      </c>
      <c r="G6332" s="163">
        <v>7.5</v>
      </c>
      <c r="H6332" s="161" t="s">
        <v>7138</v>
      </c>
      <c r="I6332" s="161"/>
    </row>
    <row r="6333" spans="1:9">
      <c r="A6333" s="161">
        <v>910100184</v>
      </c>
      <c r="B6333" s="161" t="s">
        <v>2494</v>
      </c>
      <c r="C6333" s="161">
        <v>90502005</v>
      </c>
      <c r="D6333" s="161" t="s">
        <v>3093</v>
      </c>
      <c r="E6333" s="161" t="s">
        <v>102</v>
      </c>
      <c r="F6333" s="163" t="s">
        <v>3093</v>
      </c>
      <c r="G6333" s="163">
        <v>0</v>
      </c>
      <c r="H6333" s="161" t="s">
        <v>7138</v>
      </c>
      <c r="I6333" s="161"/>
    </row>
    <row r="6334" spans="1:9">
      <c r="A6334" s="161">
        <v>910100185</v>
      </c>
      <c r="B6334" s="161" t="s">
        <v>2495</v>
      </c>
      <c r="C6334" s="161">
        <v>90502006</v>
      </c>
      <c r="D6334" s="161" t="s">
        <v>3093</v>
      </c>
      <c r="E6334" s="161" t="s">
        <v>102</v>
      </c>
      <c r="F6334" s="163" t="s">
        <v>3093</v>
      </c>
      <c r="G6334" s="163">
        <v>0</v>
      </c>
      <c r="H6334" s="161" t="s">
        <v>7138</v>
      </c>
      <c r="I6334" s="161"/>
    </row>
    <row r="6335" spans="1:9">
      <c r="A6335" s="161">
        <v>910100186</v>
      </c>
      <c r="B6335" s="161" t="s">
        <v>7301</v>
      </c>
      <c r="C6335" s="161">
        <v>90502007</v>
      </c>
      <c r="D6335" s="161" t="s">
        <v>3093</v>
      </c>
      <c r="E6335" s="161" t="s">
        <v>102</v>
      </c>
      <c r="F6335" s="163" t="s">
        <v>3093</v>
      </c>
      <c r="G6335" s="163">
        <v>0</v>
      </c>
      <c r="H6335" s="161" t="s">
        <v>7138</v>
      </c>
      <c r="I6335" s="161"/>
    </row>
    <row r="6336" spans="1:9">
      <c r="A6336" s="161">
        <v>910100187</v>
      </c>
      <c r="B6336" s="161" t="s">
        <v>7302</v>
      </c>
      <c r="C6336" s="161">
        <v>90502008</v>
      </c>
      <c r="D6336" s="161" t="s">
        <v>3093</v>
      </c>
      <c r="E6336" s="161" t="s">
        <v>102</v>
      </c>
      <c r="F6336" s="163" t="s">
        <v>3093</v>
      </c>
      <c r="G6336" s="163">
        <v>0</v>
      </c>
      <c r="H6336" s="161" t="s">
        <v>7138</v>
      </c>
      <c r="I6336" s="161"/>
    </row>
    <row r="6337" spans="1:9">
      <c r="A6337" s="161">
        <v>910100188</v>
      </c>
      <c r="B6337" s="161" t="s">
        <v>7303</v>
      </c>
      <c r="C6337" s="161">
        <v>90502009</v>
      </c>
      <c r="D6337" s="161" t="s">
        <v>3093</v>
      </c>
      <c r="E6337" s="161" t="s">
        <v>102</v>
      </c>
      <c r="F6337" s="163" t="s">
        <v>3093</v>
      </c>
      <c r="G6337" s="163">
        <v>0</v>
      </c>
      <c r="H6337" s="161" t="s">
        <v>7138</v>
      </c>
      <c r="I6337" s="161"/>
    </row>
    <row r="6338" spans="1:9">
      <c r="A6338" s="161">
        <v>910100189</v>
      </c>
      <c r="B6338" s="161" t="s">
        <v>7304</v>
      </c>
      <c r="C6338" s="161">
        <v>90502010</v>
      </c>
      <c r="D6338" s="161" t="s">
        <v>3093</v>
      </c>
      <c r="E6338" s="161" t="s">
        <v>102</v>
      </c>
      <c r="F6338" s="163" t="s">
        <v>3093</v>
      </c>
      <c r="G6338" s="163">
        <v>0</v>
      </c>
      <c r="H6338" s="161" t="s">
        <v>7138</v>
      </c>
      <c r="I6338" s="161"/>
    </row>
    <row r="6339" spans="1:9">
      <c r="A6339" s="161">
        <v>910100190</v>
      </c>
      <c r="B6339" s="161" t="s">
        <v>7305</v>
      </c>
      <c r="C6339" s="161">
        <v>90103014</v>
      </c>
      <c r="D6339" s="161" t="s">
        <v>3093</v>
      </c>
      <c r="E6339" s="161" t="s">
        <v>102</v>
      </c>
      <c r="F6339" s="163" t="s">
        <v>3093</v>
      </c>
      <c r="G6339" s="163">
        <v>0.24</v>
      </c>
      <c r="H6339" s="161" t="s">
        <v>7138</v>
      </c>
      <c r="I6339" s="161"/>
    </row>
    <row r="6340" spans="1:9">
      <c r="A6340" s="161">
        <v>910100191</v>
      </c>
      <c r="B6340" s="161" t="s">
        <v>7306</v>
      </c>
      <c r="C6340" s="161">
        <v>90103113</v>
      </c>
      <c r="D6340" s="161" t="s">
        <v>3093</v>
      </c>
      <c r="E6340" s="161" t="s">
        <v>102</v>
      </c>
      <c r="F6340" s="163" t="s">
        <v>3093</v>
      </c>
      <c r="G6340" s="163">
        <v>1.1200000000000001</v>
      </c>
      <c r="H6340" s="161" t="s">
        <v>7138</v>
      </c>
      <c r="I6340" s="161"/>
    </row>
    <row r="6341" spans="1:9">
      <c r="A6341" s="161">
        <v>910100192</v>
      </c>
      <c r="B6341" s="161" t="s">
        <v>7307</v>
      </c>
      <c r="C6341" s="161">
        <v>90502092</v>
      </c>
      <c r="D6341" s="161" t="s">
        <v>3093</v>
      </c>
      <c r="E6341" s="161" t="s">
        <v>102</v>
      </c>
      <c r="F6341" s="163" t="s">
        <v>3093</v>
      </c>
      <c r="G6341" s="163">
        <v>0</v>
      </c>
      <c r="H6341" s="161" t="s">
        <v>7138</v>
      </c>
      <c r="I6341" s="161"/>
    </row>
    <row r="6342" spans="1:9">
      <c r="A6342" s="161">
        <v>910100193</v>
      </c>
      <c r="B6342" s="161" t="s">
        <v>7308</v>
      </c>
      <c r="C6342" s="161">
        <v>90103016</v>
      </c>
      <c r="D6342" s="161" t="s">
        <v>3093</v>
      </c>
      <c r="E6342" s="161" t="s">
        <v>102</v>
      </c>
      <c r="F6342" s="163" t="s">
        <v>3093</v>
      </c>
      <c r="G6342" s="163">
        <v>2.65</v>
      </c>
      <c r="H6342" s="161" t="s">
        <v>7138</v>
      </c>
      <c r="I6342" s="161"/>
    </row>
    <row r="6343" spans="1:9">
      <c r="A6343" s="161">
        <v>910100194</v>
      </c>
      <c r="B6343" s="161" t="s">
        <v>7309</v>
      </c>
      <c r="C6343" s="161">
        <v>90502088</v>
      </c>
      <c r="D6343" s="161" t="s">
        <v>3093</v>
      </c>
      <c r="E6343" s="161" t="s">
        <v>102</v>
      </c>
      <c r="F6343" s="163" t="s">
        <v>3093</v>
      </c>
      <c r="G6343" s="163">
        <v>5</v>
      </c>
      <c r="H6343" s="161" t="s">
        <v>7138</v>
      </c>
      <c r="I6343" s="161"/>
    </row>
    <row r="6344" spans="1:9">
      <c r="A6344" s="161">
        <v>910100195</v>
      </c>
      <c r="B6344" s="161" t="s">
        <v>7310</v>
      </c>
      <c r="C6344" s="161">
        <v>90502087</v>
      </c>
      <c r="D6344" s="161" t="s">
        <v>3093</v>
      </c>
      <c r="E6344" s="161" t="s">
        <v>102</v>
      </c>
      <c r="F6344" s="163" t="s">
        <v>3093</v>
      </c>
      <c r="G6344" s="163">
        <v>15.5</v>
      </c>
      <c r="H6344" s="161" t="s">
        <v>7138</v>
      </c>
      <c r="I6344" s="161"/>
    </row>
    <row r="6345" spans="1:9">
      <c r="A6345" s="161">
        <v>910100196</v>
      </c>
      <c r="B6345" s="161" t="s">
        <v>7311</v>
      </c>
      <c r="C6345" s="161">
        <v>90502089</v>
      </c>
      <c r="D6345" s="161" t="s">
        <v>3093</v>
      </c>
      <c r="E6345" s="161" t="s">
        <v>102</v>
      </c>
      <c r="F6345" s="163" t="s">
        <v>3093</v>
      </c>
      <c r="G6345" s="163">
        <v>80</v>
      </c>
      <c r="H6345" s="161" t="s">
        <v>7138</v>
      </c>
      <c r="I6345" s="161"/>
    </row>
    <row r="6346" spans="1:9">
      <c r="A6346" s="161">
        <v>910100197</v>
      </c>
      <c r="B6346" s="161" t="s">
        <v>7312</v>
      </c>
      <c r="C6346" s="161">
        <v>90502090</v>
      </c>
      <c r="D6346" s="161" t="s">
        <v>3093</v>
      </c>
      <c r="E6346" s="161" t="s">
        <v>102</v>
      </c>
      <c r="F6346" s="163" t="s">
        <v>3093</v>
      </c>
      <c r="G6346" s="163">
        <v>0</v>
      </c>
      <c r="H6346" s="161" t="s">
        <v>7138</v>
      </c>
      <c r="I6346" s="161"/>
    </row>
    <row r="6347" spans="1:9">
      <c r="A6347" s="161">
        <v>910100198</v>
      </c>
      <c r="B6347" s="161" t="s">
        <v>7313</v>
      </c>
      <c r="C6347" s="161">
        <v>90502116</v>
      </c>
      <c r="D6347" s="161" t="s">
        <v>3093</v>
      </c>
      <c r="E6347" s="161" t="s">
        <v>102</v>
      </c>
      <c r="F6347" s="163" t="s">
        <v>3093</v>
      </c>
      <c r="G6347" s="163">
        <v>0</v>
      </c>
      <c r="H6347" s="161" t="s">
        <v>7138</v>
      </c>
      <c r="I6347" s="161"/>
    </row>
    <row r="6348" spans="1:9">
      <c r="A6348" s="161">
        <v>910100199</v>
      </c>
      <c r="B6348" s="161" t="s">
        <v>7314</v>
      </c>
      <c r="C6348" s="161">
        <v>90502114</v>
      </c>
      <c r="D6348" s="161" t="s">
        <v>3093</v>
      </c>
      <c r="E6348" s="161" t="s">
        <v>102</v>
      </c>
      <c r="F6348" s="163" t="s">
        <v>3093</v>
      </c>
      <c r="G6348" s="163">
        <v>16.5</v>
      </c>
      <c r="H6348" s="161" t="s">
        <v>7138</v>
      </c>
      <c r="I6348" s="161"/>
    </row>
    <row r="6349" spans="1:9">
      <c r="A6349" s="161">
        <v>910100200</v>
      </c>
      <c r="B6349" s="161" t="s">
        <v>7315</v>
      </c>
      <c r="C6349" s="161">
        <v>90502084</v>
      </c>
      <c r="D6349" s="161" t="s">
        <v>3093</v>
      </c>
      <c r="E6349" s="161" t="s">
        <v>102</v>
      </c>
      <c r="F6349" s="163" t="s">
        <v>3093</v>
      </c>
      <c r="G6349" s="163">
        <v>15.5</v>
      </c>
      <c r="H6349" s="161" t="s">
        <v>7138</v>
      </c>
      <c r="I6349" s="161"/>
    </row>
    <row r="6350" spans="1:9">
      <c r="A6350" s="161">
        <v>910100201</v>
      </c>
      <c r="B6350" s="161" t="s">
        <v>7316</v>
      </c>
      <c r="C6350" s="161">
        <v>90502085</v>
      </c>
      <c r="D6350" s="161" t="s">
        <v>3093</v>
      </c>
      <c r="E6350" s="161" t="s">
        <v>102</v>
      </c>
      <c r="F6350" s="163" t="s">
        <v>3093</v>
      </c>
      <c r="G6350" s="163">
        <v>5.9</v>
      </c>
      <c r="H6350" s="161" t="s">
        <v>7138</v>
      </c>
      <c r="I6350" s="161"/>
    </row>
    <row r="6351" spans="1:9">
      <c r="A6351" s="161">
        <v>910100202</v>
      </c>
      <c r="B6351" s="161" t="s">
        <v>7317</v>
      </c>
      <c r="C6351" s="161">
        <v>90502082</v>
      </c>
      <c r="D6351" s="161" t="s">
        <v>3093</v>
      </c>
      <c r="E6351" s="161" t="s">
        <v>102</v>
      </c>
      <c r="F6351" s="163" t="s">
        <v>3093</v>
      </c>
      <c r="G6351" s="163">
        <v>0</v>
      </c>
      <c r="H6351" s="161" t="s">
        <v>7138</v>
      </c>
      <c r="I6351" s="161"/>
    </row>
    <row r="6352" spans="1:9">
      <c r="A6352" s="161">
        <v>910100203</v>
      </c>
      <c r="B6352" s="161" t="s">
        <v>7318</v>
      </c>
      <c r="C6352" s="161">
        <v>90502083</v>
      </c>
      <c r="D6352" s="161" t="s">
        <v>3093</v>
      </c>
      <c r="E6352" s="161" t="s">
        <v>102</v>
      </c>
      <c r="F6352" s="163" t="s">
        <v>3093</v>
      </c>
      <c r="G6352" s="163">
        <v>51</v>
      </c>
      <c r="H6352" s="161" t="s">
        <v>7138</v>
      </c>
      <c r="I6352" s="161"/>
    </row>
    <row r="6353" spans="1:9">
      <c r="A6353" s="161">
        <v>910100204</v>
      </c>
      <c r="B6353" s="161" t="s">
        <v>7319</v>
      </c>
      <c r="C6353" s="161">
        <v>90502086</v>
      </c>
      <c r="D6353" s="161" t="s">
        <v>3093</v>
      </c>
      <c r="E6353" s="161" t="s">
        <v>102</v>
      </c>
      <c r="F6353" s="163" t="s">
        <v>3093</v>
      </c>
      <c r="G6353" s="163">
        <v>0</v>
      </c>
      <c r="H6353" s="161" t="s">
        <v>7138</v>
      </c>
      <c r="I6353" s="161"/>
    </row>
    <row r="6354" spans="1:9">
      <c r="A6354" s="161">
        <v>910100205</v>
      </c>
      <c r="B6354" s="161" t="s">
        <v>7320</v>
      </c>
      <c r="C6354" s="161">
        <v>90502095</v>
      </c>
      <c r="D6354" s="161" t="s">
        <v>3093</v>
      </c>
      <c r="E6354" s="161" t="s">
        <v>102</v>
      </c>
      <c r="F6354" s="163" t="s">
        <v>3093</v>
      </c>
      <c r="G6354" s="163">
        <v>16.350000000000001</v>
      </c>
      <c r="H6354" s="161" t="s">
        <v>7138</v>
      </c>
      <c r="I6354" s="161"/>
    </row>
    <row r="6355" spans="1:9">
      <c r="A6355" s="161">
        <v>910100206</v>
      </c>
      <c r="B6355" s="161" t="s">
        <v>7321</v>
      </c>
      <c r="C6355" s="161">
        <v>90502051</v>
      </c>
      <c r="D6355" s="161" t="s">
        <v>3093</v>
      </c>
      <c r="E6355" s="161" t="s">
        <v>102</v>
      </c>
      <c r="F6355" s="163" t="s">
        <v>3093</v>
      </c>
      <c r="G6355" s="163">
        <v>0</v>
      </c>
      <c r="H6355" s="161" t="s">
        <v>7138</v>
      </c>
      <c r="I6355" s="161"/>
    </row>
    <row r="6356" spans="1:9">
      <c r="A6356" s="161">
        <v>910100207</v>
      </c>
      <c r="B6356" s="161" t="s">
        <v>7322</v>
      </c>
      <c r="C6356" s="161">
        <v>90502015</v>
      </c>
      <c r="D6356" s="161" t="s">
        <v>3093</v>
      </c>
      <c r="E6356" s="161" t="s">
        <v>102</v>
      </c>
      <c r="F6356" s="163" t="s">
        <v>3093</v>
      </c>
      <c r="G6356" s="163">
        <v>0</v>
      </c>
      <c r="H6356" s="161" t="s">
        <v>7138</v>
      </c>
      <c r="I6356" s="161"/>
    </row>
    <row r="6357" spans="1:9">
      <c r="A6357" s="161">
        <v>910100208</v>
      </c>
      <c r="B6357" s="161" t="s">
        <v>7323</v>
      </c>
      <c r="C6357" s="161">
        <v>90502027</v>
      </c>
      <c r="D6357" s="161" t="s">
        <v>3093</v>
      </c>
      <c r="E6357" s="161" t="s">
        <v>102</v>
      </c>
      <c r="F6357" s="163" t="s">
        <v>3093</v>
      </c>
      <c r="G6357" s="163">
        <v>0</v>
      </c>
      <c r="H6357" s="161" t="s">
        <v>7138</v>
      </c>
      <c r="I6357" s="161"/>
    </row>
    <row r="6358" spans="1:9">
      <c r="A6358" s="161">
        <v>910100209</v>
      </c>
      <c r="B6358" s="161" t="s">
        <v>7324</v>
      </c>
      <c r="C6358" s="161">
        <v>90502071</v>
      </c>
      <c r="D6358" s="161" t="s">
        <v>3093</v>
      </c>
      <c r="E6358" s="161" t="s">
        <v>102</v>
      </c>
      <c r="F6358" s="163" t="s">
        <v>3093</v>
      </c>
      <c r="G6358" s="163">
        <v>0</v>
      </c>
      <c r="H6358" s="161" t="s">
        <v>7138</v>
      </c>
      <c r="I6358" s="161"/>
    </row>
    <row r="6359" spans="1:9">
      <c r="A6359" s="161">
        <v>910100210</v>
      </c>
      <c r="B6359" s="161" t="s">
        <v>7325</v>
      </c>
      <c r="C6359" s="161">
        <v>90502070</v>
      </c>
      <c r="D6359" s="161" t="s">
        <v>3093</v>
      </c>
      <c r="E6359" s="161" t="s">
        <v>102</v>
      </c>
      <c r="F6359" s="163" t="s">
        <v>3093</v>
      </c>
      <c r="G6359" s="163">
        <v>0</v>
      </c>
      <c r="H6359" s="161" t="s">
        <v>7138</v>
      </c>
      <c r="I6359" s="161"/>
    </row>
    <row r="6360" spans="1:9">
      <c r="A6360" s="161">
        <v>910100211</v>
      </c>
      <c r="B6360" s="161" t="s">
        <v>7326</v>
      </c>
      <c r="C6360" s="161">
        <v>90502012</v>
      </c>
      <c r="D6360" s="161" t="s">
        <v>3093</v>
      </c>
      <c r="E6360" s="161" t="s">
        <v>102</v>
      </c>
      <c r="F6360" s="163" t="s">
        <v>3093</v>
      </c>
      <c r="G6360" s="163">
        <v>0</v>
      </c>
      <c r="H6360" s="161" t="s">
        <v>7138</v>
      </c>
      <c r="I6360" s="161"/>
    </row>
    <row r="6361" spans="1:9">
      <c r="A6361" s="161">
        <v>910100212</v>
      </c>
      <c r="B6361" s="161" t="s">
        <v>7327</v>
      </c>
      <c r="C6361" s="161">
        <v>90503041</v>
      </c>
      <c r="D6361" s="161" t="s">
        <v>3093</v>
      </c>
      <c r="E6361" s="161" t="s">
        <v>102</v>
      </c>
      <c r="F6361" s="163" t="s">
        <v>3093</v>
      </c>
      <c r="G6361" s="163">
        <v>1.33</v>
      </c>
      <c r="H6361" s="161" t="s">
        <v>7138</v>
      </c>
      <c r="I6361" s="161"/>
    </row>
    <row r="6362" spans="1:9">
      <c r="A6362" s="161">
        <v>910100213</v>
      </c>
      <c r="B6362" s="161" t="s">
        <v>7328</v>
      </c>
      <c r="C6362" s="161">
        <v>90502067</v>
      </c>
      <c r="D6362" s="161" t="s">
        <v>3093</v>
      </c>
      <c r="E6362" s="161" t="s">
        <v>102</v>
      </c>
      <c r="F6362" s="163" t="s">
        <v>3093</v>
      </c>
      <c r="G6362" s="163">
        <v>0</v>
      </c>
      <c r="H6362" s="161" t="s">
        <v>7138</v>
      </c>
      <c r="I6362" s="161"/>
    </row>
    <row r="6363" spans="1:9">
      <c r="A6363" s="161">
        <v>910100214</v>
      </c>
      <c r="B6363" s="161" t="s">
        <v>7329</v>
      </c>
      <c r="C6363" s="161">
        <v>90502035</v>
      </c>
      <c r="D6363" s="161" t="s">
        <v>3093</v>
      </c>
      <c r="E6363" s="161" t="s">
        <v>102</v>
      </c>
      <c r="F6363" s="163" t="s">
        <v>3093</v>
      </c>
      <c r="G6363" s="163">
        <v>0</v>
      </c>
      <c r="H6363" s="161" t="s">
        <v>7138</v>
      </c>
      <c r="I6363" s="161"/>
    </row>
    <row r="6364" spans="1:9">
      <c r="A6364" s="161">
        <v>910100215</v>
      </c>
      <c r="B6364" s="161" t="s">
        <v>7330</v>
      </c>
      <c r="C6364" s="161">
        <v>90502036</v>
      </c>
      <c r="D6364" s="161" t="s">
        <v>3093</v>
      </c>
      <c r="E6364" s="161" t="s">
        <v>102</v>
      </c>
      <c r="F6364" s="163" t="s">
        <v>3093</v>
      </c>
      <c r="G6364" s="163">
        <v>0</v>
      </c>
      <c r="H6364" s="161" t="s">
        <v>7138</v>
      </c>
      <c r="I6364" s="161"/>
    </row>
    <row r="6365" spans="1:9">
      <c r="A6365" s="161">
        <v>910100216</v>
      </c>
      <c r="B6365" s="161" t="s">
        <v>7331</v>
      </c>
      <c r="C6365" s="161">
        <v>90502037</v>
      </c>
      <c r="D6365" s="161" t="s">
        <v>3093</v>
      </c>
      <c r="E6365" s="161" t="s">
        <v>102</v>
      </c>
      <c r="F6365" s="163" t="s">
        <v>3093</v>
      </c>
      <c r="G6365" s="163">
        <v>0</v>
      </c>
      <c r="H6365" s="161" t="s">
        <v>7138</v>
      </c>
      <c r="I6365" s="161"/>
    </row>
    <row r="6366" spans="1:9">
      <c r="A6366" s="161">
        <v>910100217</v>
      </c>
      <c r="B6366" s="161" t="s">
        <v>7332</v>
      </c>
      <c r="C6366" s="161">
        <v>90502038</v>
      </c>
      <c r="D6366" s="161" t="s">
        <v>3093</v>
      </c>
      <c r="E6366" s="161" t="s">
        <v>102</v>
      </c>
      <c r="F6366" s="163" t="s">
        <v>3093</v>
      </c>
      <c r="G6366" s="163">
        <v>0</v>
      </c>
      <c r="H6366" s="161" t="s">
        <v>7138</v>
      </c>
      <c r="I6366" s="161"/>
    </row>
    <row r="6367" spans="1:9">
      <c r="A6367" s="161">
        <v>910100218</v>
      </c>
      <c r="B6367" s="161" t="s">
        <v>7333</v>
      </c>
      <c r="C6367" s="161">
        <v>90502039</v>
      </c>
      <c r="D6367" s="161" t="s">
        <v>3093</v>
      </c>
      <c r="E6367" s="161" t="s">
        <v>102</v>
      </c>
      <c r="F6367" s="163" t="s">
        <v>3093</v>
      </c>
      <c r="G6367" s="163">
        <v>0</v>
      </c>
      <c r="H6367" s="161" t="s">
        <v>7138</v>
      </c>
      <c r="I6367" s="161"/>
    </row>
    <row r="6368" spans="1:9">
      <c r="A6368" s="161">
        <v>910100219</v>
      </c>
      <c r="B6368" s="161" t="s">
        <v>7334</v>
      </c>
      <c r="C6368" s="161">
        <v>90502040</v>
      </c>
      <c r="D6368" s="161" t="s">
        <v>3093</v>
      </c>
      <c r="E6368" s="161" t="s">
        <v>102</v>
      </c>
      <c r="F6368" s="163" t="s">
        <v>3093</v>
      </c>
      <c r="G6368" s="163">
        <v>0</v>
      </c>
      <c r="H6368" s="161" t="s">
        <v>7138</v>
      </c>
      <c r="I6368" s="161"/>
    </row>
    <row r="6369" spans="1:9">
      <c r="A6369" s="161">
        <v>910100220</v>
      </c>
      <c r="B6369" s="161" t="s">
        <v>7335</v>
      </c>
      <c r="C6369" s="161">
        <v>90502024</v>
      </c>
      <c r="D6369" s="161" t="s">
        <v>3093</v>
      </c>
      <c r="E6369" s="161" t="s">
        <v>102</v>
      </c>
      <c r="F6369" s="163" t="s">
        <v>3093</v>
      </c>
      <c r="G6369" s="163">
        <v>0</v>
      </c>
      <c r="H6369" s="161" t="s">
        <v>7138</v>
      </c>
      <c r="I6369" s="161"/>
    </row>
    <row r="6370" spans="1:9">
      <c r="A6370" s="161">
        <v>910100221</v>
      </c>
      <c r="B6370" s="161" t="s">
        <v>7336</v>
      </c>
      <c r="C6370" s="161">
        <v>90502025</v>
      </c>
      <c r="D6370" s="161" t="s">
        <v>3093</v>
      </c>
      <c r="E6370" s="161" t="s">
        <v>102</v>
      </c>
      <c r="F6370" s="163" t="s">
        <v>3093</v>
      </c>
      <c r="G6370" s="163">
        <v>0</v>
      </c>
      <c r="H6370" s="161" t="s">
        <v>7138</v>
      </c>
      <c r="I6370" s="161"/>
    </row>
    <row r="6371" spans="1:9">
      <c r="A6371" s="161">
        <v>910100222</v>
      </c>
      <c r="B6371" s="161" t="s">
        <v>7337</v>
      </c>
      <c r="C6371" s="161">
        <v>90502023</v>
      </c>
      <c r="D6371" s="161" t="s">
        <v>3093</v>
      </c>
      <c r="E6371" s="161" t="s">
        <v>102</v>
      </c>
      <c r="F6371" s="163" t="s">
        <v>3093</v>
      </c>
      <c r="G6371" s="163">
        <v>0</v>
      </c>
      <c r="H6371" s="161" t="s">
        <v>7138</v>
      </c>
      <c r="I6371" s="161"/>
    </row>
    <row r="6372" spans="1:9">
      <c r="A6372" s="161">
        <v>910100223</v>
      </c>
      <c r="B6372" s="161" t="s">
        <v>7338</v>
      </c>
      <c r="C6372" s="161">
        <v>90502061</v>
      </c>
      <c r="D6372" s="161" t="s">
        <v>3093</v>
      </c>
      <c r="E6372" s="161" t="s">
        <v>102</v>
      </c>
      <c r="F6372" s="163" t="s">
        <v>3093</v>
      </c>
      <c r="G6372" s="163">
        <v>0</v>
      </c>
      <c r="H6372" s="161" t="s">
        <v>7138</v>
      </c>
      <c r="I6372" s="161"/>
    </row>
    <row r="6373" spans="1:9">
      <c r="A6373" s="161">
        <v>910100224</v>
      </c>
      <c r="B6373" s="161" t="s">
        <v>7339</v>
      </c>
      <c r="C6373" s="161">
        <v>90502028</v>
      </c>
      <c r="D6373" s="161" t="s">
        <v>3093</v>
      </c>
      <c r="E6373" s="161" t="s">
        <v>102</v>
      </c>
      <c r="F6373" s="163" t="s">
        <v>3093</v>
      </c>
      <c r="G6373" s="163">
        <v>0</v>
      </c>
      <c r="H6373" s="161" t="s">
        <v>7138</v>
      </c>
      <c r="I6373" s="161"/>
    </row>
    <row r="6374" spans="1:9">
      <c r="A6374" s="161">
        <v>910100225</v>
      </c>
      <c r="B6374" s="161" t="s">
        <v>7340</v>
      </c>
      <c r="C6374" s="161">
        <v>90502029</v>
      </c>
      <c r="D6374" s="161" t="s">
        <v>3093</v>
      </c>
      <c r="E6374" s="161" t="s">
        <v>102</v>
      </c>
      <c r="F6374" s="163" t="s">
        <v>3093</v>
      </c>
      <c r="G6374" s="163">
        <v>7.9</v>
      </c>
      <c r="H6374" s="161" t="s">
        <v>7138</v>
      </c>
      <c r="I6374" s="161"/>
    </row>
    <row r="6375" spans="1:9">
      <c r="A6375" s="161">
        <v>910100226</v>
      </c>
      <c r="B6375" s="161" t="s">
        <v>7341</v>
      </c>
      <c r="C6375" s="161">
        <v>90502030</v>
      </c>
      <c r="D6375" s="161" t="s">
        <v>3093</v>
      </c>
      <c r="E6375" s="161" t="s">
        <v>102</v>
      </c>
      <c r="F6375" s="163" t="s">
        <v>3093</v>
      </c>
      <c r="G6375" s="163">
        <v>3.76</v>
      </c>
      <c r="H6375" s="161" t="s">
        <v>7138</v>
      </c>
      <c r="I6375" s="161"/>
    </row>
    <row r="6376" spans="1:9">
      <c r="A6376" s="161">
        <v>910100227</v>
      </c>
      <c r="B6376" s="161" t="s">
        <v>7342</v>
      </c>
      <c r="C6376" s="161">
        <v>90502031</v>
      </c>
      <c r="D6376" s="161" t="s">
        <v>3093</v>
      </c>
      <c r="E6376" s="161" t="s">
        <v>102</v>
      </c>
      <c r="F6376" s="163" t="s">
        <v>3093</v>
      </c>
      <c r="G6376" s="163">
        <v>0</v>
      </c>
      <c r="H6376" s="161" t="s">
        <v>7138</v>
      </c>
      <c r="I6376" s="161"/>
    </row>
    <row r="6377" spans="1:9">
      <c r="A6377" s="161">
        <v>910100228</v>
      </c>
      <c r="B6377" s="161" t="s">
        <v>7343</v>
      </c>
      <c r="C6377" s="161">
        <v>90502033</v>
      </c>
      <c r="D6377" s="161" t="s">
        <v>3093</v>
      </c>
      <c r="E6377" s="161" t="s">
        <v>102</v>
      </c>
      <c r="F6377" s="163" t="s">
        <v>3093</v>
      </c>
      <c r="G6377" s="163">
        <v>0</v>
      </c>
      <c r="H6377" s="161" t="s">
        <v>7138</v>
      </c>
      <c r="I6377" s="161"/>
    </row>
    <row r="6378" spans="1:9">
      <c r="A6378" s="161">
        <v>910100229</v>
      </c>
      <c r="B6378" s="161" t="s">
        <v>7344</v>
      </c>
      <c r="C6378" s="161">
        <v>90502034</v>
      </c>
      <c r="D6378" s="161" t="s">
        <v>3093</v>
      </c>
      <c r="E6378" s="161" t="s">
        <v>102</v>
      </c>
      <c r="F6378" s="163" t="s">
        <v>3093</v>
      </c>
      <c r="G6378" s="163">
        <v>0</v>
      </c>
      <c r="H6378" s="161" t="s">
        <v>7138</v>
      </c>
      <c r="I6378" s="161"/>
    </row>
    <row r="6379" spans="1:9">
      <c r="A6379" s="161">
        <v>910100230</v>
      </c>
      <c r="B6379" s="161" t="s">
        <v>7345</v>
      </c>
      <c r="C6379" s="161">
        <v>90502050</v>
      </c>
      <c r="D6379" s="161" t="s">
        <v>3093</v>
      </c>
      <c r="E6379" s="161" t="s">
        <v>102</v>
      </c>
      <c r="F6379" s="163" t="s">
        <v>3093</v>
      </c>
      <c r="G6379" s="163">
        <v>0</v>
      </c>
      <c r="H6379" s="161" t="s">
        <v>7138</v>
      </c>
      <c r="I6379" s="161"/>
    </row>
    <row r="6380" spans="1:9">
      <c r="A6380" s="161">
        <v>910100231</v>
      </c>
      <c r="B6380" s="161" t="s">
        <v>2496</v>
      </c>
      <c r="C6380" s="161">
        <v>90502011</v>
      </c>
      <c r="D6380" s="161" t="s">
        <v>3093</v>
      </c>
      <c r="E6380" s="161" t="s">
        <v>102</v>
      </c>
      <c r="F6380" s="163" t="s">
        <v>3093</v>
      </c>
      <c r="G6380" s="163">
        <v>0</v>
      </c>
      <c r="H6380" s="161" t="s">
        <v>7138</v>
      </c>
      <c r="I6380" s="161"/>
    </row>
    <row r="6381" spans="1:9">
      <c r="A6381" s="161">
        <v>910100232</v>
      </c>
      <c r="B6381" s="161" t="s">
        <v>7346</v>
      </c>
      <c r="C6381" s="161">
        <v>90502042</v>
      </c>
      <c r="D6381" s="161" t="s">
        <v>3093</v>
      </c>
      <c r="E6381" s="161" t="s">
        <v>102</v>
      </c>
      <c r="F6381" s="163" t="s">
        <v>3093</v>
      </c>
      <c r="G6381" s="163">
        <v>0</v>
      </c>
      <c r="H6381" s="161" t="s">
        <v>7138</v>
      </c>
      <c r="I6381" s="161"/>
    </row>
    <row r="6382" spans="1:9">
      <c r="A6382" s="161">
        <v>910100233</v>
      </c>
      <c r="B6382" s="161" t="s">
        <v>7347</v>
      </c>
      <c r="C6382" s="161">
        <v>90502052</v>
      </c>
      <c r="D6382" s="161" t="s">
        <v>3093</v>
      </c>
      <c r="E6382" s="161" t="s">
        <v>102</v>
      </c>
      <c r="F6382" s="163" t="s">
        <v>3093</v>
      </c>
      <c r="G6382" s="163">
        <v>0</v>
      </c>
      <c r="H6382" s="161" t="s">
        <v>7138</v>
      </c>
      <c r="I6382" s="161"/>
    </row>
    <row r="6383" spans="1:9">
      <c r="A6383" s="161">
        <v>910100234</v>
      </c>
      <c r="B6383" s="161" t="s">
        <v>7348</v>
      </c>
      <c r="C6383" s="161">
        <v>90502053</v>
      </c>
      <c r="D6383" s="161" t="s">
        <v>3093</v>
      </c>
      <c r="E6383" s="161" t="s">
        <v>102</v>
      </c>
      <c r="F6383" s="163" t="s">
        <v>3093</v>
      </c>
      <c r="G6383" s="163">
        <v>0</v>
      </c>
      <c r="H6383" s="161" t="s">
        <v>7138</v>
      </c>
      <c r="I6383" s="161"/>
    </row>
    <row r="6384" spans="1:9">
      <c r="A6384" s="161">
        <v>910100235</v>
      </c>
      <c r="B6384" s="161" t="s">
        <v>7349</v>
      </c>
      <c r="C6384" s="161">
        <v>90502043</v>
      </c>
      <c r="D6384" s="161" t="s">
        <v>3093</v>
      </c>
      <c r="E6384" s="161" t="s">
        <v>102</v>
      </c>
      <c r="F6384" s="163" t="s">
        <v>3093</v>
      </c>
      <c r="G6384" s="163">
        <v>0</v>
      </c>
      <c r="H6384" s="161" t="s">
        <v>7138</v>
      </c>
      <c r="I6384" s="161"/>
    </row>
    <row r="6385" spans="1:9">
      <c r="A6385" s="161">
        <v>910100236</v>
      </c>
      <c r="B6385" s="161" t="s">
        <v>7350</v>
      </c>
      <c r="C6385" s="161">
        <v>90502044</v>
      </c>
      <c r="D6385" s="161" t="s">
        <v>3093</v>
      </c>
      <c r="E6385" s="161" t="s">
        <v>102</v>
      </c>
      <c r="F6385" s="163" t="s">
        <v>3093</v>
      </c>
      <c r="G6385" s="163">
        <v>0</v>
      </c>
      <c r="H6385" s="161" t="s">
        <v>7138</v>
      </c>
      <c r="I6385" s="161"/>
    </row>
    <row r="6386" spans="1:9">
      <c r="A6386" s="161">
        <v>910100237</v>
      </c>
      <c r="B6386" s="161" t="s">
        <v>7351</v>
      </c>
      <c r="C6386" s="161">
        <v>90502054</v>
      </c>
      <c r="D6386" s="161" t="s">
        <v>3093</v>
      </c>
      <c r="E6386" s="161" t="s">
        <v>102</v>
      </c>
      <c r="F6386" s="163" t="s">
        <v>3093</v>
      </c>
      <c r="G6386" s="163">
        <v>26.56</v>
      </c>
      <c r="H6386" s="161" t="s">
        <v>7138</v>
      </c>
      <c r="I6386" s="161"/>
    </row>
    <row r="6387" spans="1:9">
      <c r="A6387" s="161">
        <v>910100238</v>
      </c>
      <c r="B6387" s="161" t="s">
        <v>7352</v>
      </c>
      <c r="C6387" s="161">
        <v>90502045</v>
      </c>
      <c r="D6387" s="161" t="s">
        <v>3093</v>
      </c>
      <c r="E6387" s="161" t="s">
        <v>102</v>
      </c>
      <c r="F6387" s="163" t="s">
        <v>3093</v>
      </c>
      <c r="G6387" s="163">
        <v>0</v>
      </c>
      <c r="H6387" s="161" t="s">
        <v>7138</v>
      </c>
      <c r="I6387" s="161"/>
    </row>
    <row r="6388" spans="1:9">
      <c r="A6388" s="161">
        <v>910100239</v>
      </c>
      <c r="B6388" s="161" t="s">
        <v>7353</v>
      </c>
      <c r="C6388" s="161">
        <v>90502046</v>
      </c>
      <c r="D6388" s="161" t="s">
        <v>3093</v>
      </c>
      <c r="E6388" s="161" t="s">
        <v>102</v>
      </c>
      <c r="F6388" s="163" t="s">
        <v>3093</v>
      </c>
      <c r="G6388" s="163">
        <v>0</v>
      </c>
      <c r="H6388" s="161" t="s">
        <v>7138</v>
      </c>
      <c r="I6388" s="161"/>
    </row>
    <row r="6389" spans="1:9">
      <c r="A6389" s="161">
        <v>910100240</v>
      </c>
      <c r="B6389" s="161" t="s">
        <v>7354</v>
      </c>
      <c r="C6389" s="161">
        <v>90502047</v>
      </c>
      <c r="D6389" s="161" t="s">
        <v>3093</v>
      </c>
      <c r="E6389" s="161" t="s">
        <v>102</v>
      </c>
      <c r="F6389" s="163" t="s">
        <v>3093</v>
      </c>
      <c r="G6389" s="163">
        <v>0</v>
      </c>
      <c r="H6389" s="161" t="s">
        <v>7138</v>
      </c>
      <c r="I6389" s="161"/>
    </row>
    <row r="6390" spans="1:9">
      <c r="A6390" s="161">
        <v>910100241</v>
      </c>
      <c r="B6390" s="161" t="s">
        <v>7355</v>
      </c>
      <c r="C6390" s="161">
        <v>90502056</v>
      </c>
      <c r="D6390" s="161" t="s">
        <v>3093</v>
      </c>
      <c r="E6390" s="161" t="s">
        <v>102</v>
      </c>
      <c r="F6390" s="163" t="s">
        <v>3093</v>
      </c>
      <c r="G6390" s="163">
        <v>0</v>
      </c>
      <c r="H6390" s="161" t="s">
        <v>7138</v>
      </c>
      <c r="I6390" s="161"/>
    </row>
    <row r="6391" spans="1:9">
      <c r="A6391" s="161">
        <v>910100242</v>
      </c>
      <c r="B6391" s="161" t="s">
        <v>7356</v>
      </c>
      <c r="C6391" s="161">
        <v>90502048</v>
      </c>
      <c r="D6391" s="161" t="s">
        <v>3093</v>
      </c>
      <c r="E6391" s="161" t="s">
        <v>102</v>
      </c>
      <c r="F6391" s="163" t="s">
        <v>3093</v>
      </c>
      <c r="G6391" s="163">
        <v>0</v>
      </c>
      <c r="H6391" s="161" t="s">
        <v>7138</v>
      </c>
      <c r="I6391" s="161"/>
    </row>
    <row r="6392" spans="1:9">
      <c r="A6392" s="161">
        <v>910100243</v>
      </c>
      <c r="B6392" s="161" t="s">
        <v>7357</v>
      </c>
      <c r="C6392" s="161">
        <v>90502014</v>
      </c>
      <c r="D6392" s="161" t="s">
        <v>3093</v>
      </c>
      <c r="E6392" s="161" t="s">
        <v>102</v>
      </c>
      <c r="F6392" s="163" t="s">
        <v>3093</v>
      </c>
      <c r="G6392" s="163">
        <v>0</v>
      </c>
      <c r="H6392" s="161" t="s">
        <v>7138</v>
      </c>
      <c r="I6392" s="161"/>
    </row>
    <row r="6393" spans="1:9">
      <c r="A6393" s="161">
        <v>910100244</v>
      </c>
      <c r="B6393" s="161" t="s">
        <v>7358</v>
      </c>
      <c r="C6393" s="161">
        <v>90502057</v>
      </c>
      <c r="D6393" s="161" t="s">
        <v>3093</v>
      </c>
      <c r="E6393" s="161" t="s">
        <v>102</v>
      </c>
      <c r="F6393" s="163" t="s">
        <v>3093</v>
      </c>
      <c r="G6393" s="163">
        <v>0</v>
      </c>
      <c r="H6393" s="161" t="s">
        <v>7138</v>
      </c>
      <c r="I6393" s="161"/>
    </row>
    <row r="6394" spans="1:9">
      <c r="A6394" s="161">
        <v>910100245</v>
      </c>
      <c r="B6394" s="161" t="s">
        <v>7359</v>
      </c>
      <c r="C6394" s="161">
        <v>90502058</v>
      </c>
      <c r="D6394" s="161" t="s">
        <v>3093</v>
      </c>
      <c r="E6394" s="161" t="s">
        <v>102</v>
      </c>
      <c r="F6394" s="163" t="s">
        <v>3093</v>
      </c>
      <c r="G6394" s="163">
        <v>10.11</v>
      </c>
      <c r="H6394" s="161" t="s">
        <v>7138</v>
      </c>
      <c r="I6394" s="161"/>
    </row>
    <row r="6395" spans="1:9">
      <c r="A6395" s="161">
        <v>910100246</v>
      </c>
      <c r="B6395" s="161" t="s">
        <v>7360</v>
      </c>
      <c r="C6395" s="161">
        <v>90103018</v>
      </c>
      <c r="D6395" s="161" t="s">
        <v>3093</v>
      </c>
      <c r="E6395" s="161" t="s">
        <v>102</v>
      </c>
      <c r="F6395" s="163" t="s">
        <v>3093</v>
      </c>
      <c r="G6395" s="163">
        <v>2.35</v>
      </c>
      <c r="H6395" s="161" t="s">
        <v>7138</v>
      </c>
      <c r="I6395" s="161"/>
    </row>
    <row r="6396" spans="1:9">
      <c r="A6396" s="161">
        <v>910100247</v>
      </c>
      <c r="B6396" s="161" t="s">
        <v>7361</v>
      </c>
      <c r="C6396" s="161">
        <v>90103019</v>
      </c>
      <c r="D6396" s="161" t="s">
        <v>3093</v>
      </c>
      <c r="E6396" s="161" t="s">
        <v>102</v>
      </c>
      <c r="F6396" s="163" t="s">
        <v>3093</v>
      </c>
      <c r="G6396" s="163">
        <v>2.9249999999999998</v>
      </c>
      <c r="H6396" s="161" t="s">
        <v>7138</v>
      </c>
      <c r="I6396" s="161"/>
    </row>
    <row r="6397" spans="1:9">
      <c r="A6397" s="161">
        <v>910100248</v>
      </c>
      <c r="B6397" s="161" t="s">
        <v>7362</v>
      </c>
      <c r="C6397" s="161">
        <v>90103020</v>
      </c>
      <c r="D6397" s="161" t="s">
        <v>3093</v>
      </c>
      <c r="E6397" s="161" t="s">
        <v>102</v>
      </c>
      <c r="F6397" s="163" t="s">
        <v>3093</v>
      </c>
      <c r="G6397" s="163">
        <v>0</v>
      </c>
      <c r="H6397" s="161" t="s">
        <v>7138</v>
      </c>
      <c r="I6397" s="161"/>
    </row>
    <row r="6398" spans="1:9">
      <c r="A6398" s="161">
        <v>910100249</v>
      </c>
      <c r="B6398" s="161" t="s">
        <v>7363</v>
      </c>
      <c r="C6398" s="161">
        <v>90103021</v>
      </c>
      <c r="D6398" s="161" t="s">
        <v>3093</v>
      </c>
      <c r="E6398" s="161" t="s">
        <v>102</v>
      </c>
      <c r="F6398" s="163" t="s">
        <v>3093</v>
      </c>
      <c r="G6398" s="163">
        <v>4.5</v>
      </c>
      <c r="H6398" s="161" t="s">
        <v>7138</v>
      </c>
      <c r="I6398" s="161"/>
    </row>
    <row r="6399" spans="1:9">
      <c r="A6399" s="161">
        <v>910100250</v>
      </c>
      <c r="B6399" s="161" t="s">
        <v>7364</v>
      </c>
      <c r="C6399" s="161">
        <v>90502091</v>
      </c>
      <c r="D6399" s="161" t="s">
        <v>3093</v>
      </c>
      <c r="E6399" s="161" t="s">
        <v>102</v>
      </c>
      <c r="F6399" s="163" t="s">
        <v>3093</v>
      </c>
      <c r="G6399" s="163">
        <v>4.05</v>
      </c>
      <c r="H6399" s="161" t="s">
        <v>7138</v>
      </c>
      <c r="I6399" s="161"/>
    </row>
    <row r="6400" spans="1:9">
      <c r="A6400" s="161">
        <v>910100251</v>
      </c>
      <c r="B6400" s="161" t="s">
        <v>7365</v>
      </c>
      <c r="C6400" s="161">
        <v>90502094</v>
      </c>
      <c r="D6400" s="161" t="s">
        <v>3093</v>
      </c>
      <c r="E6400" s="161" t="s">
        <v>102</v>
      </c>
      <c r="F6400" s="163" t="s">
        <v>3093</v>
      </c>
      <c r="G6400" s="163">
        <v>237.4</v>
      </c>
      <c r="H6400" s="161" t="s">
        <v>7138</v>
      </c>
      <c r="I6400" s="161"/>
    </row>
    <row r="6401" spans="1:9">
      <c r="A6401" s="161">
        <v>910100252</v>
      </c>
      <c r="B6401" s="161" t="s">
        <v>7366</v>
      </c>
      <c r="C6401" s="161">
        <v>90502079</v>
      </c>
      <c r="D6401" s="161" t="s">
        <v>3093</v>
      </c>
      <c r="E6401" s="161" t="s">
        <v>102</v>
      </c>
      <c r="F6401" s="163" t="s">
        <v>3093</v>
      </c>
      <c r="G6401" s="163">
        <v>10.58</v>
      </c>
      <c r="H6401" s="161" t="s">
        <v>7138</v>
      </c>
      <c r="I6401" s="161"/>
    </row>
    <row r="6402" spans="1:9">
      <c r="A6402" s="161">
        <v>910100253</v>
      </c>
      <c r="B6402" s="161" t="s">
        <v>7367</v>
      </c>
      <c r="C6402" s="161">
        <v>90502078</v>
      </c>
      <c r="D6402" s="161" t="s">
        <v>3093</v>
      </c>
      <c r="E6402" s="161" t="s">
        <v>102</v>
      </c>
      <c r="F6402" s="163" t="s">
        <v>3093</v>
      </c>
      <c r="G6402" s="163">
        <v>10.17</v>
      </c>
      <c r="H6402" s="161" t="s">
        <v>7138</v>
      </c>
      <c r="I6402" s="161"/>
    </row>
    <row r="6403" spans="1:9">
      <c r="A6403" s="161">
        <v>910100254</v>
      </c>
      <c r="B6403" s="161" t="s">
        <v>2497</v>
      </c>
      <c r="C6403" s="161">
        <v>90502016</v>
      </c>
      <c r="D6403" s="161" t="s">
        <v>3093</v>
      </c>
      <c r="E6403" s="161" t="s">
        <v>102</v>
      </c>
      <c r="F6403" s="163" t="s">
        <v>3093</v>
      </c>
      <c r="G6403" s="163">
        <v>0</v>
      </c>
      <c r="H6403" s="161" t="s">
        <v>7138</v>
      </c>
      <c r="I6403" s="161"/>
    </row>
    <row r="6404" spans="1:9">
      <c r="A6404" s="161">
        <v>910100255</v>
      </c>
      <c r="B6404" s="161" t="s">
        <v>2498</v>
      </c>
      <c r="C6404" s="161">
        <v>90502017</v>
      </c>
      <c r="D6404" s="161" t="s">
        <v>3093</v>
      </c>
      <c r="E6404" s="161" t="s">
        <v>102</v>
      </c>
      <c r="F6404" s="163" t="s">
        <v>3093</v>
      </c>
      <c r="G6404" s="163">
        <v>0</v>
      </c>
      <c r="H6404" s="161" t="s">
        <v>7138</v>
      </c>
      <c r="I6404" s="161"/>
    </row>
    <row r="6405" spans="1:9">
      <c r="A6405" s="161">
        <v>910100256</v>
      </c>
      <c r="B6405" s="161" t="s">
        <v>1796</v>
      </c>
      <c r="C6405" s="161">
        <v>90502018</v>
      </c>
      <c r="D6405" s="161" t="s">
        <v>3093</v>
      </c>
      <c r="E6405" s="161" t="s">
        <v>102</v>
      </c>
      <c r="F6405" s="163" t="s">
        <v>3093</v>
      </c>
      <c r="G6405" s="163">
        <v>0</v>
      </c>
      <c r="H6405" s="161" t="s">
        <v>7138</v>
      </c>
      <c r="I6405" s="161"/>
    </row>
    <row r="6406" spans="1:9">
      <c r="A6406" s="161">
        <v>910100257</v>
      </c>
      <c r="B6406" s="161" t="s">
        <v>2499</v>
      </c>
      <c r="C6406" s="161">
        <v>90502019</v>
      </c>
      <c r="D6406" s="161" t="s">
        <v>3093</v>
      </c>
      <c r="E6406" s="161" t="s">
        <v>102</v>
      </c>
      <c r="F6406" s="163" t="s">
        <v>3093</v>
      </c>
      <c r="G6406" s="163">
        <v>1.1200000000000001</v>
      </c>
      <c r="H6406" s="161" t="s">
        <v>7138</v>
      </c>
      <c r="I6406" s="161"/>
    </row>
    <row r="6407" spans="1:9">
      <c r="A6407" s="161">
        <v>910100258</v>
      </c>
      <c r="B6407" s="161" t="s">
        <v>2500</v>
      </c>
      <c r="C6407" s="161">
        <v>90502020</v>
      </c>
      <c r="D6407" s="161" t="s">
        <v>3093</v>
      </c>
      <c r="E6407" s="161" t="s">
        <v>102</v>
      </c>
      <c r="F6407" s="163" t="s">
        <v>3093</v>
      </c>
      <c r="G6407" s="163">
        <v>0</v>
      </c>
      <c r="H6407" s="161" t="s">
        <v>7138</v>
      </c>
      <c r="I6407" s="161"/>
    </row>
    <row r="6408" spans="1:9">
      <c r="A6408" s="161">
        <v>910100259</v>
      </c>
      <c r="B6408" s="161" t="s">
        <v>2501</v>
      </c>
      <c r="C6408" s="161">
        <v>90502081</v>
      </c>
      <c r="D6408" s="161" t="s">
        <v>3093</v>
      </c>
      <c r="E6408" s="161" t="s">
        <v>102</v>
      </c>
      <c r="F6408" s="163" t="s">
        <v>3093</v>
      </c>
      <c r="G6408" s="163">
        <v>0</v>
      </c>
      <c r="H6408" s="161" t="s">
        <v>7138</v>
      </c>
      <c r="I6408" s="161"/>
    </row>
    <row r="6409" spans="1:9">
      <c r="A6409" s="161">
        <v>910100260</v>
      </c>
      <c r="B6409" s="161" t="s">
        <v>2502</v>
      </c>
      <c r="C6409" s="161">
        <v>90502026</v>
      </c>
      <c r="D6409" s="161" t="s">
        <v>3093</v>
      </c>
      <c r="E6409" s="161" t="s">
        <v>102</v>
      </c>
      <c r="F6409" s="163" t="s">
        <v>3093</v>
      </c>
      <c r="G6409" s="163">
        <v>0</v>
      </c>
      <c r="H6409" s="161" t="s">
        <v>7138</v>
      </c>
      <c r="I6409" s="161"/>
    </row>
    <row r="6410" spans="1:9">
      <c r="A6410" s="161">
        <v>910100261</v>
      </c>
      <c r="B6410" s="161" t="s">
        <v>7368</v>
      </c>
      <c r="C6410" s="161">
        <v>90502032</v>
      </c>
      <c r="D6410" s="161" t="s">
        <v>3093</v>
      </c>
      <c r="E6410" s="161" t="s">
        <v>102</v>
      </c>
      <c r="F6410" s="163" t="s">
        <v>3093</v>
      </c>
      <c r="G6410" s="163">
        <v>0</v>
      </c>
      <c r="H6410" s="161" t="s">
        <v>7138</v>
      </c>
      <c r="I6410" s="161"/>
    </row>
    <row r="6411" spans="1:9">
      <c r="A6411" s="161">
        <v>910100262</v>
      </c>
      <c r="B6411" s="161" t="s">
        <v>7369</v>
      </c>
      <c r="C6411" s="161">
        <v>90502093</v>
      </c>
      <c r="D6411" s="161" t="s">
        <v>3093</v>
      </c>
      <c r="E6411" s="161" t="s">
        <v>102</v>
      </c>
      <c r="F6411" s="163" t="s">
        <v>3093</v>
      </c>
      <c r="G6411" s="163">
        <v>13.5</v>
      </c>
      <c r="H6411" s="161" t="s">
        <v>7138</v>
      </c>
      <c r="I6411" s="161"/>
    </row>
    <row r="6412" spans="1:9">
      <c r="A6412" s="161">
        <v>910100263</v>
      </c>
      <c r="B6412" s="161" t="s">
        <v>7370</v>
      </c>
      <c r="C6412" s="161">
        <v>90502104</v>
      </c>
      <c r="D6412" s="161" t="s">
        <v>3093</v>
      </c>
      <c r="E6412" s="161" t="s">
        <v>102</v>
      </c>
      <c r="F6412" s="163" t="s">
        <v>3093</v>
      </c>
      <c r="G6412" s="163">
        <v>12.85</v>
      </c>
      <c r="H6412" s="161" t="s">
        <v>7138</v>
      </c>
      <c r="I6412" s="161"/>
    </row>
    <row r="6413" spans="1:9">
      <c r="A6413" s="161">
        <v>910100264</v>
      </c>
      <c r="B6413" s="161" t="s">
        <v>7371</v>
      </c>
      <c r="C6413" s="161">
        <v>90103017</v>
      </c>
      <c r="D6413" s="161" t="s">
        <v>3093</v>
      </c>
      <c r="E6413" s="161" t="s">
        <v>102</v>
      </c>
      <c r="F6413" s="163" t="s">
        <v>3093</v>
      </c>
      <c r="G6413" s="163">
        <v>2.75</v>
      </c>
      <c r="H6413" s="161" t="s">
        <v>7138</v>
      </c>
      <c r="I6413" s="161"/>
    </row>
    <row r="6414" spans="1:9">
      <c r="A6414" s="161">
        <v>910100265</v>
      </c>
      <c r="B6414" s="161" t="s">
        <v>2503</v>
      </c>
      <c r="C6414" s="161">
        <v>90502060</v>
      </c>
      <c r="D6414" s="161" t="s">
        <v>3093</v>
      </c>
      <c r="E6414" s="161" t="s">
        <v>102</v>
      </c>
      <c r="F6414" s="163" t="s">
        <v>3093</v>
      </c>
      <c r="G6414" s="163">
        <v>2.2999999999999998</v>
      </c>
      <c r="H6414" s="161" t="s">
        <v>7138</v>
      </c>
      <c r="I6414" s="161"/>
    </row>
    <row r="6415" spans="1:9">
      <c r="A6415" s="161">
        <v>910100266</v>
      </c>
      <c r="B6415" s="161" t="s">
        <v>2346</v>
      </c>
      <c r="C6415" s="161">
        <v>90103023</v>
      </c>
      <c r="D6415" s="161" t="s">
        <v>3093</v>
      </c>
      <c r="E6415" s="161" t="s">
        <v>102</v>
      </c>
      <c r="F6415" s="163" t="s">
        <v>3093</v>
      </c>
      <c r="G6415" s="163">
        <v>0</v>
      </c>
      <c r="H6415" s="161" t="s">
        <v>7138</v>
      </c>
      <c r="I6415" s="161"/>
    </row>
    <row r="6416" spans="1:9">
      <c r="A6416" s="161">
        <v>910100267</v>
      </c>
      <c r="B6416" s="161" t="s">
        <v>7372</v>
      </c>
      <c r="C6416" s="161">
        <v>90103024</v>
      </c>
      <c r="D6416" s="161" t="s">
        <v>3093</v>
      </c>
      <c r="E6416" s="161" t="s">
        <v>102</v>
      </c>
      <c r="F6416" s="163" t="s">
        <v>3093</v>
      </c>
      <c r="G6416" s="163">
        <v>0</v>
      </c>
      <c r="H6416" s="161" t="s">
        <v>7138</v>
      </c>
      <c r="I6416" s="161"/>
    </row>
    <row r="6417" spans="1:9">
      <c r="A6417" s="161">
        <v>910100268</v>
      </c>
      <c r="B6417" s="161" t="s">
        <v>2504</v>
      </c>
      <c r="C6417" s="161">
        <v>90502063</v>
      </c>
      <c r="D6417" s="161" t="s">
        <v>3093</v>
      </c>
      <c r="E6417" s="161" t="s">
        <v>102</v>
      </c>
      <c r="F6417" s="163" t="s">
        <v>3093</v>
      </c>
      <c r="G6417" s="163">
        <v>0</v>
      </c>
      <c r="H6417" s="161" t="s">
        <v>7138</v>
      </c>
      <c r="I6417" s="161"/>
    </row>
    <row r="6418" spans="1:9">
      <c r="A6418" s="161">
        <v>910100269</v>
      </c>
      <c r="B6418" s="161" t="s">
        <v>7373</v>
      </c>
      <c r="C6418" s="161">
        <v>90102032</v>
      </c>
      <c r="D6418" s="161" t="s">
        <v>3093</v>
      </c>
      <c r="E6418" s="161" t="s">
        <v>102</v>
      </c>
      <c r="F6418" s="163" t="s">
        <v>3093</v>
      </c>
      <c r="G6418" s="163">
        <v>385</v>
      </c>
      <c r="H6418" s="161" t="s">
        <v>7138</v>
      </c>
      <c r="I6418" s="161"/>
    </row>
    <row r="6419" spans="1:9">
      <c r="A6419" s="161">
        <v>910100270</v>
      </c>
      <c r="B6419" s="161" t="s">
        <v>1704</v>
      </c>
      <c r="C6419" s="161">
        <v>90106000</v>
      </c>
      <c r="D6419" s="161" t="s">
        <v>3093</v>
      </c>
      <c r="E6419" s="161" t="s">
        <v>8112</v>
      </c>
      <c r="F6419" s="163" t="s">
        <v>3093</v>
      </c>
      <c r="G6419" s="163">
        <v>0.05</v>
      </c>
      <c r="H6419" s="161" t="s">
        <v>7138</v>
      </c>
      <c r="I6419" s="161"/>
    </row>
    <row r="6420" spans="1:9">
      <c r="A6420" s="161">
        <v>910100271</v>
      </c>
      <c r="B6420" s="161" t="s">
        <v>1705</v>
      </c>
      <c r="C6420" s="161">
        <v>90106001</v>
      </c>
      <c r="D6420" s="161" t="s">
        <v>3093</v>
      </c>
      <c r="E6420" s="161" t="s">
        <v>8112</v>
      </c>
      <c r="F6420" s="163" t="s">
        <v>3093</v>
      </c>
      <c r="G6420" s="163">
        <v>0.3</v>
      </c>
      <c r="H6420" s="161" t="s">
        <v>7138</v>
      </c>
      <c r="I6420" s="161"/>
    </row>
    <row r="6421" spans="1:9">
      <c r="A6421" s="161">
        <v>910100272</v>
      </c>
      <c r="B6421" s="161" t="s">
        <v>1707</v>
      </c>
      <c r="C6421" s="161">
        <v>90106004</v>
      </c>
      <c r="D6421" s="161" t="s">
        <v>3093</v>
      </c>
      <c r="E6421" s="161" t="s">
        <v>8112</v>
      </c>
      <c r="F6421" s="163" t="s">
        <v>3093</v>
      </c>
      <c r="G6421" s="163">
        <v>0.40500000000000003</v>
      </c>
      <c r="H6421" s="161" t="s">
        <v>7138</v>
      </c>
      <c r="I6421" s="161"/>
    </row>
    <row r="6422" spans="1:9">
      <c r="A6422" s="161">
        <v>910100273</v>
      </c>
      <c r="B6422" s="161" t="s">
        <v>2585</v>
      </c>
      <c r="C6422" s="161">
        <v>90106005</v>
      </c>
      <c r="D6422" s="161" t="s">
        <v>3093</v>
      </c>
      <c r="E6422" s="161" t="s">
        <v>102</v>
      </c>
      <c r="F6422" s="163" t="s">
        <v>3093</v>
      </c>
      <c r="G6422" s="163">
        <v>0.2</v>
      </c>
      <c r="H6422" s="161" t="s">
        <v>7138</v>
      </c>
      <c r="I6422" s="161"/>
    </row>
    <row r="6423" spans="1:9">
      <c r="A6423" s="161">
        <v>910100274</v>
      </c>
      <c r="B6423" s="161" t="s">
        <v>1659</v>
      </c>
      <c r="C6423" s="161">
        <v>90103026</v>
      </c>
      <c r="D6423" s="161" t="s">
        <v>3093</v>
      </c>
      <c r="E6423" s="161" t="s">
        <v>8113</v>
      </c>
      <c r="F6423" s="163" t="s">
        <v>3093</v>
      </c>
      <c r="G6423" s="163">
        <v>0.52</v>
      </c>
      <c r="H6423" s="161" t="s">
        <v>7138</v>
      </c>
      <c r="I6423" s="161"/>
    </row>
    <row r="6424" spans="1:9">
      <c r="A6424" s="161">
        <v>910100275</v>
      </c>
      <c r="B6424" s="161" t="s">
        <v>2347</v>
      </c>
      <c r="C6424" s="161">
        <v>90103037</v>
      </c>
      <c r="D6424" s="161" t="s">
        <v>3093</v>
      </c>
      <c r="E6424" s="161" t="s">
        <v>102</v>
      </c>
      <c r="F6424" s="163" t="s">
        <v>3093</v>
      </c>
      <c r="G6424" s="163">
        <v>1.01</v>
      </c>
      <c r="H6424" s="161" t="s">
        <v>7138</v>
      </c>
      <c r="I6424" s="161"/>
    </row>
    <row r="6425" spans="1:9">
      <c r="A6425" s="161">
        <v>910100276</v>
      </c>
      <c r="B6425" s="161" t="s">
        <v>7374</v>
      </c>
      <c r="C6425" s="161">
        <v>90110070</v>
      </c>
      <c r="D6425" s="161" t="s">
        <v>3093</v>
      </c>
      <c r="E6425" s="161" t="s">
        <v>102</v>
      </c>
      <c r="F6425" s="163" t="s">
        <v>3093</v>
      </c>
      <c r="G6425" s="163">
        <v>27</v>
      </c>
      <c r="H6425" s="161" t="s">
        <v>7138</v>
      </c>
      <c r="I6425" s="161"/>
    </row>
    <row r="6426" spans="1:9">
      <c r="A6426" s="161">
        <v>910100277</v>
      </c>
      <c r="B6426" s="161" t="s">
        <v>7375</v>
      </c>
      <c r="C6426" s="161">
        <v>90106042</v>
      </c>
      <c r="D6426" s="161" t="s">
        <v>3093</v>
      </c>
      <c r="E6426" s="161" t="s">
        <v>102</v>
      </c>
      <c r="F6426" s="163" t="s">
        <v>3093</v>
      </c>
      <c r="G6426" s="163">
        <v>2</v>
      </c>
      <c r="H6426" s="161" t="s">
        <v>7138</v>
      </c>
      <c r="I6426" s="161"/>
    </row>
    <row r="6427" spans="1:9">
      <c r="A6427" s="161">
        <v>910100278</v>
      </c>
      <c r="B6427" s="161" t="s">
        <v>1709</v>
      </c>
      <c r="C6427" s="161">
        <v>90106009</v>
      </c>
      <c r="D6427" s="161" t="s">
        <v>3093</v>
      </c>
      <c r="E6427" s="161" t="s">
        <v>102</v>
      </c>
      <c r="F6427" s="163" t="s">
        <v>3093</v>
      </c>
      <c r="G6427" s="163">
        <v>0.4</v>
      </c>
      <c r="H6427" s="161" t="s">
        <v>7138</v>
      </c>
      <c r="I6427" s="161"/>
    </row>
    <row r="6428" spans="1:9">
      <c r="A6428" s="161">
        <v>910100279</v>
      </c>
      <c r="B6428" s="161" t="s">
        <v>2586</v>
      </c>
      <c r="C6428" s="161">
        <v>90106010</v>
      </c>
      <c r="D6428" s="161" t="s">
        <v>3093</v>
      </c>
      <c r="E6428" s="161" t="s">
        <v>102</v>
      </c>
      <c r="F6428" s="163" t="s">
        <v>3093</v>
      </c>
      <c r="G6428" s="163">
        <v>4.49</v>
      </c>
      <c r="H6428" s="161" t="s">
        <v>7138</v>
      </c>
      <c r="I6428" s="161"/>
    </row>
    <row r="6429" spans="1:9">
      <c r="A6429" s="161">
        <v>910100280</v>
      </c>
      <c r="B6429" s="161" t="s">
        <v>7376</v>
      </c>
      <c r="C6429" s="161">
        <v>90101014</v>
      </c>
      <c r="D6429" s="161" t="s">
        <v>3093</v>
      </c>
      <c r="E6429" s="161" t="s">
        <v>102</v>
      </c>
      <c r="F6429" s="163" t="s">
        <v>3093</v>
      </c>
      <c r="G6429" s="163">
        <v>0.65</v>
      </c>
      <c r="H6429" s="161" t="s">
        <v>7138</v>
      </c>
      <c r="I6429" s="161"/>
    </row>
    <row r="6430" spans="1:9">
      <c r="A6430" s="161">
        <v>910100281</v>
      </c>
      <c r="B6430" s="161" t="s">
        <v>7377</v>
      </c>
      <c r="C6430" s="161">
        <v>90101007</v>
      </c>
      <c r="D6430" s="161" t="s">
        <v>3093</v>
      </c>
      <c r="E6430" s="161" t="s">
        <v>1620</v>
      </c>
      <c r="F6430" s="163" t="s">
        <v>3093</v>
      </c>
      <c r="G6430" s="163">
        <v>0.43</v>
      </c>
      <c r="H6430" s="161" t="s">
        <v>7138</v>
      </c>
      <c r="I6430" s="161"/>
    </row>
    <row r="6431" spans="1:9">
      <c r="A6431" s="161">
        <v>910100282</v>
      </c>
      <c r="B6431" s="161" t="s">
        <v>2587</v>
      </c>
      <c r="C6431" s="161">
        <v>90106011</v>
      </c>
      <c r="D6431" s="161" t="s">
        <v>3093</v>
      </c>
      <c r="E6431" s="161" t="s">
        <v>102</v>
      </c>
      <c r="F6431" s="163" t="s">
        <v>3093</v>
      </c>
      <c r="G6431" s="163">
        <v>6.05</v>
      </c>
      <c r="H6431" s="161" t="s">
        <v>7138</v>
      </c>
      <c r="I6431" s="161"/>
    </row>
    <row r="6432" spans="1:9">
      <c r="A6432" s="161">
        <v>910100283</v>
      </c>
      <c r="B6432" s="161" t="s">
        <v>1725</v>
      </c>
      <c r="C6432" s="161">
        <v>90110003</v>
      </c>
      <c r="D6432" s="161" t="s">
        <v>3093</v>
      </c>
      <c r="E6432" s="161" t="s">
        <v>102</v>
      </c>
      <c r="F6432" s="163" t="s">
        <v>3093</v>
      </c>
      <c r="G6432" s="163">
        <v>1.5569999999999999</v>
      </c>
      <c r="H6432" s="161" t="s">
        <v>7138</v>
      </c>
      <c r="I6432" s="161"/>
    </row>
    <row r="6433" spans="1:9">
      <c r="A6433" s="161">
        <v>910100284</v>
      </c>
      <c r="B6433" s="161" t="s">
        <v>2610</v>
      </c>
      <c r="C6433" s="161">
        <v>90110020</v>
      </c>
      <c r="D6433" s="161" t="s">
        <v>3093</v>
      </c>
      <c r="E6433" s="161" t="s">
        <v>102</v>
      </c>
      <c r="F6433" s="163" t="s">
        <v>3093</v>
      </c>
      <c r="G6433" s="163">
        <v>7.99</v>
      </c>
      <c r="H6433" s="161" t="s">
        <v>7138</v>
      </c>
      <c r="I6433" s="161"/>
    </row>
    <row r="6434" spans="1:9">
      <c r="A6434" s="161">
        <v>910100285</v>
      </c>
      <c r="B6434" s="161" t="s">
        <v>7378</v>
      </c>
      <c r="C6434" s="161">
        <v>90305042</v>
      </c>
      <c r="D6434" s="161" t="s">
        <v>3093</v>
      </c>
      <c r="E6434" s="161" t="s">
        <v>102</v>
      </c>
      <c r="F6434" s="163" t="s">
        <v>3093</v>
      </c>
      <c r="G6434" s="163">
        <v>0</v>
      </c>
      <c r="H6434" s="161" t="s">
        <v>7138</v>
      </c>
      <c r="I6434" s="161"/>
    </row>
    <row r="6435" spans="1:9">
      <c r="A6435" s="161">
        <v>910100286</v>
      </c>
      <c r="B6435" s="161" t="s">
        <v>7379</v>
      </c>
      <c r="C6435" s="161">
        <v>90110040</v>
      </c>
      <c r="D6435" s="161" t="s">
        <v>3093</v>
      </c>
      <c r="E6435" s="161" t="s">
        <v>1620</v>
      </c>
      <c r="F6435" s="163" t="s">
        <v>3093</v>
      </c>
      <c r="G6435" s="163">
        <v>0</v>
      </c>
      <c r="H6435" s="161" t="s">
        <v>7138</v>
      </c>
      <c r="I6435" s="161"/>
    </row>
    <row r="6436" spans="1:9">
      <c r="A6436" s="161">
        <v>910100287</v>
      </c>
      <c r="B6436" s="161" t="s">
        <v>7380</v>
      </c>
      <c r="C6436" s="161">
        <v>90103068</v>
      </c>
      <c r="D6436" s="161" t="s">
        <v>3093</v>
      </c>
      <c r="E6436" s="161" t="s">
        <v>8114</v>
      </c>
      <c r="F6436" s="163" t="s">
        <v>3093</v>
      </c>
      <c r="G6436" s="163">
        <v>1.82</v>
      </c>
      <c r="H6436" s="161" t="s">
        <v>7138</v>
      </c>
      <c r="I6436" s="161"/>
    </row>
    <row r="6437" spans="1:9">
      <c r="A6437" s="161">
        <v>910100288</v>
      </c>
      <c r="B6437" s="161" t="s">
        <v>2476</v>
      </c>
      <c r="C6437" s="161">
        <v>90401012</v>
      </c>
      <c r="D6437" s="161" t="s">
        <v>3093</v>
      </c>
      <c r="E6437" s="161" t="s">
        <v>102</v>
      </c>
      <c r="F6437" s="163" t="s">
        <v>3093</v>
      </c>
      <c r="G6437" s="163">
        <v>0</v>
      </c>
      <c r="H6437" s="161" t="s">
        <v>7138</v>
      </c>
      <c r="I6437" s="161"/>
    </row>
    <row r="6438" spans="1:9">
      <c r="A6438" s="161">
        <v>910100289</v>
      </c>
      <c r="B6438" s="161" t="s">
        <v>7381</v>
      </c>
      <c r="C6438" s="161">
        <v>90106034</v>
      </c>
      <c r="D6438" s="161" t="s">
        <v>3093</v>
      </c>
      <c r="E6438" s="161" t="s">
        <v>102</v>
      </c>
      <c r="F6438" s="163" t="s">
        <v>3093</v>
      </c>
      <c r="G6438" s="163">
        <v>0.2</v>
      </c>
      <c r="H6438" s="161" t="s">
        <v>7138</v>
      </c>
      <c r="I6438" s="161"/>
    </row>
    <row r="6439" spans="1:9">
      <c r="A6439" s="161">
        <v>910100290</v>
      </c>
      <c r="B6439" s="161" t="s">
        <v>1710</v>
      </c>
      <c r="C6439" s="161">
        <v>90106012</v>
      </c>
      <c r="D6439" s="161" t="s">
        <v>3093</v>
      </c>
      <c r="E6439" s="161" t="s">
        <v>8112</v>
      </c>
      <c r="F6439" s="163" t="s">
        <v>3093</v>
      </c>
      <c r="G6439" s="163">
        <v>0.69799999999999995</v>
      </c>
      <c r="H6439" s="161" t="s">
        <v>7138</v>
      </c>
      <c r="I6439" s="161"/>
    </row>
    <row r="6440" spans="1:9">
      <c r="A6440" s="161">
        <v>910100291</v>
      </c>
      <c r="B6440" s="161" t="s">
        <v>2588</v>
      </c>
      <c r="C6440" s="161">
        <v>90106013</v>
      </c>
      <c r="D6440" s="161" t="s">
        <v>3093</v>
      </c>
      <c r="E6440" s="161" t="s">
        <v>102</v>
      </c>
      <c r="F6440" s="163" t="s">
        <v>3093</v>
      </c>
      <c r="G6440" s="163">
        <v>0.39</v>
      </c>
      <c r="H6440" s="161" t="s">
        <v>7138</v>
      </c>
      <c r="I6440" s="161"/>
    </row>
    <row r="6441" spans="1:9">
      <c r="A6441" s="161">
        <v>910100292</v>
      </c>
      <c r="B6441" s="161" t="s">
        <v>7382</v>
      </c>
      <c r="C6441" s="161">
        <v>90103029</v>
      </c>
      <c r="D6441" s="161" t="s">
        <v>3093</v>
      </c>
      <c r="E6441" s="161" t="s">
        <v>102</v>
      </c>
      <c r="F6441" s="163" t="s">
        <v>3093</v>
      </c>
      <c r="G6441" s="163">
        <v>2</v>
      </c>
      <c r="H6441" s="161" t="s">
        <v>7138</v>
      </c>
      <c r="I6441" s="161"/>
    </row>
    <row r="6442" spans="1:9">
      <c r="A6442" s="161">
        <v>910100293</v>
      </c>
      <c r="B6442" s="161" t="s">
        <v>7383</v>
      </c>
      <c r="C6442" s="161">
        <v>90103030</v>
      </c>
      <c r="D6442" s="161" t="s">
        <v>3093</v>
      </c>
      <c r="E6442" s="161" t="s">
        <v>102</v>
      </c>
      <c r="F6442" s="163" t="s">
        <v>3093</v>
      </c>
      <c r="G6442" s="163">
        <v>2.25</v>
      </c>
      <c r="H6442" s="161" t="s">
        <v>7138</v>
      </c>
      <c r="I6442" s="161"/>
    </row>
    <row r="6443" spans="1:9">
      <c r="A6443" s="161">
        <v>910100294</v>
      </c>
      <c r="B6443" s="161" t="s">
        <v>7384</v>
      </c>
      <c r="C6443" s="161">
        <v>90103031</v>
      </c>
      <c r="D6443" s="161" t="s">
        <v>3093</v>
      </c>
      <c r="E6443" s="161" t="s">
        <v>102</v>
      </c>
      <c r="F6443" s="163" t="s">
        <v>3093</v>
      </c>
      <c r="G6443" s="163">
        <v>0.75570300000000001</v>
      </c>
      <c r="H6443" s="161" t="s">
        <v>7138</v>
      </c>
      <c r="I6443" s="161"/>
    </row>
    <row r="6444" spans="1:9">
      <c r="A6444" s="161">
        <v>910100295</v>
      </c>
      <c r="B6444" s="161" t="s">
        <v>2611</v>
      </c>
      <c r="C6444" s="161">
        <v>90110005</v>
      </c>
      <c r="D6444" s="161" t="s">
        <v>3093</v>
      </c>
      <c r="E6444" s="161" t="s">
        <v>102</v>
      </c>
      <c r="F6444" s="163" t="s">
        <v>3093</v>
      </c>
      <c r="G6444" s="163">
        <v>1.1200000000000001</v>
      </c>
      <c r="H6444" s="161" t="s">
        <v>7138</v>
      </c>
      <c r="I6444" s="161"/>
    </row>
    <row r="6445" spans="1:9">
      <c r="A6445" s="161">
        <v>910100296</v>
      </c>
      <c r="B6445" s="161" t="s">
        <v>2445</v>
      </c>
      <c r="C6445" s="161">
        <v>90305045</v>
      </c>
      <c r="D6445" s="161" t="s">
        <v>3093</v>
      </c>
      <c r="E6445" s="161" t="s">
        <v>8115</v>
      </c>
      <c r="F6445" s="163" t="s">
        <v>3093</v>
      </c>
      <c r="G6445" s="163">
        <v>0.95</v>
      </c>
      <c r="H6445" s="161" t="s">
        <v>7138</v>
      </c>
      <c r="I6445" s="161"/>
    </row>
    <row r="6446" spans="1:9">
      <c r="A6446" s="161">
        <v>910100297</v>
      </c>
      <c r="B6446" s="161" t="s">
        <v>7385</v>
      </c>
      <c r="C6446" s="161">
        <v>90305062</v>
      </c>
      <c r="D6446" s="161" t="s">
        <v>3093</v>
      </c>
      <c r="E6446" s="161" t="s">
        <v>102</v>
      </c>
      <c r="F6446" s="163" t="s">
        <v>3093</v>
      </c>
      <c r="G6446" s="163">
        <v>433.06</v>
      </c>
      <c r="H6446" s="161" t="s">
        <v>7138</v>
      </c>
      <c r="I6446" s="161"/>
    </row>
    <row r="6447" spans="1:9">
      <c r="A6447" s="161">
        <v>910100298</v>
      </c>
      <c r="B6447" s="161" t="s">
        <v>7386</v>
      </c>
      <c r="C6447" s="161">
        <v>90102052</v>
      </c>
      <c r="D6447" s="161" t="s">
        <v>3093</v>
      </c>
      <c r="E6447" s="161" t="s">
        <v>102</v>
      </c>
      <c r="F6447" s="163" t="s">
        <v>3093</v>
      </c>
      <c r="G6447" s="163">
        <v>1.45</v>
      </c>
      <c r="H6447" s="161" t="s">
        <v>7138</v>
      </c>
      <c r="I6447" s="161"/>
    </row>
    <row r="6448" spans="1:9">
      <c r="A6448" s="161">
        <v>910100299</v>
      </c>
      <c r="B6448" s="161" t="s">
        <v>2446</v>
      </c>
      <c r="C6448" s="161">
        <v>90305032</v>
      </c>
      <c r="D6448" s="161" t="s">
        <v>3093</v>
      </c>
      <c r="E6448" s="161" t="s">
        <v>102</v>
      </c>
      <c r="F6448" s="163" t="s">
        <v>3093</v>
      </c>
      <c r="G6448" s="163">
        <v>0.08</v>
      </c>
      <c r="H6448" s="161" t="s">
        <v>7138</v>
      </c>
      <c r="I6448" s="161"/>
    </row>
    <row r="6449" spans="1:9">
      <c r="A6449" s="161">
        <v>910100300</v>
      </c>
      <c r="B6449" s="161" t="s">
        <v>2612</v>
      </c>
      <c r="C6449" s="161">
        <v>90110006</v>
      </c>
      <c r="D6449" s="161" t="s">
        <v>3093</v>
      </c>
      <c r="E6449" s="161" t="s">
        <v>8116</v>
      </c>
      <c r="F6449" s="163" t="s">
        <v>3093</v>
      </c>
      <c r="G6449" s="163">
        <v>0.46</v>
      </c>
      <c r="H6449" s="161" t="s">
        <v>7138</v>
      </c>
      <c r="I6449" s="161"/>
    </row>
    <row r="6450" spans="1:9">
      <c r="A6450" s="161">
        <v>910100301</v>
      </c>
      <c r="B6450" s="161" t="s">
        <v>7387</v>
      </c>
      <c r="C6450" s="161">
        <v>90109011</v>
      </c>
      <c r="D6450" s="161" t="s">
        <v>3093</v>
      </c>
      <c r="E6450" s="161" t="s">
        <v>102</v>
      </c>
      <c r="F6450" s="163" t="s">
        <v>3093</v>
      </c>
      <c r="G6450" s="163">
        <v>0</v>
      </c>
      <c r="H6450" s="161" t="s">
        <v>7138</v>
      </c>
      <c r="I6450" s="161"/>
    </row>
    <row r="6451" spans="1:9">
      <c r="A6451" s="161">
        <v>910100302</v>
      </c>
      <c r="B6451" s="161" t="s">
        <v>7388</v>
      </c>
      <c r="C6451" s="161">
        <v>90106015</v>
      </c>
      <c r="D6451" s="161" t="s">
        <v>3093</v>
      </c>
      <c r="E6451" s="161" t="s">
        <v>8112</v>
      </c>
      <c r="F6451" s="163" t="s">
        <v>3093</v>
      </c>
      <c r="G6451" s="163">
        <v>0.69</v>
      </c>
      <c r="H6451" s="161" t="s">
        <v>7138</v>
      </c>
      <c r="I6451" s="161"/>
    </row>
    <row r="6452" spans="1:9">
      <c r="A6452" s="161">
        <v>910100303</v>
      </c>
      <c r="B6452" s="161" t="s">
        <v>7389</v>
      </c>
      <c r="C6452" s="161">
        <v>90106016</v>
      </c>
      <c r="D6452" s="161" t="s">
        <v>3093</v>
      </c>
      <c r="E6452" s="161" t="s">
        <v>8112</v>
      </c>
      <c r="F6452" s="163" t="s">
        <v>3093</v>
      </c>
      <c r="G6452" s="163">
        <v>1.38</v>
      </c>
      <c r="H6452" s="161" t="s">
        <v>7138</v>
      </c>
      <c r="I6452" s="161"/>
    </row>
    <row r="6453" spans="1:9">
      <c r="A6453" s="161">
        <v>910100304</v>
      </c>
      <c r="B6453" s="161" t="s">
        <v>7390</v>
      </c>
      <c r="C6453" s="161">
        <v>90106017</v>
      </c>
      <c r="D6453" s="161" t="s">
        <v>3093</v>
      </c>
      <c r="E6453" s="161" t="s">
        <v>8112</v>
      </c>
      <c r="F6453" s="163" t="s">
        <v>3093</v>
      </c>
      <c r="G6453" s="163">
        <v>2.86</v>
      </c>
      <c r="H6453" s="161" t="s">
        <v>7138</v>
      </c>
      <c r="I6453" s="161"/>
    </row>
    <row r="6454" spans="1:9">
      <c r="A6454" s="161">
        <v>910100305</v>
      </c>
      <c r="B6454" s="161" t="s">
        <v>1711</v>
      </c>
      <c r="C6454" s="161">
        <v>90106018</v>
      </c>
      <c r="D6454" s="161" t="s">
        <v>3093</v>
      </c>
      <c r="E6454" s="161" t="s">
        <v>8112</v>
      </c>
      <c r="F6454" s="163" t="s">
        <v>3093</v>
      </c>
      <c r="G6454" s="163">
        <v>0.62</v>
      </c>
      <c r="H6454" s="161" t="s">
        <v>7138</v>
      </c>
      <c r="I6454" s="161"/>
    </row>
    <row r="6455" spans="1:9">
      <c r="A6455" s="161">
        <v>910100306</v>
      </c>
      <c r="B6455" s="161" t="s">
        <v>7391</v>
      </c>
      <c r="C6455" s="161">
        <v>90106022</v>
      </c>
      <c r="D6455" s="161" t="s">
        <v>3093</v>
      </c>
      <c r="E6455" s="161" t="s">
        <v>8117</v>
      </c>
      <c r="F6455" s="163" t="s">
        <v>3093</v>
      </c>
      <c r="G6455" s="163">
        <v>0</v>
      </c>
      <c r="H6455" s="161" t="s">
        <v>7138</v>
      </c>
      <c r="I6455" s="161"/>
    </row>
    <row r="6456" spans="1:9">
      <c r="A6456" s="161">
        <v>910100307</v>
      </c>
      <c r="B6456" s="161" t="s">
        <v>7392</v>
      </c>
      <c r="C6456" s="161">
        <v>90106024</v>
      </c>
      <c r="D6456" s="161" t="s">
        <v>3093</v>
      </c>
      <c r="E6456" s="161" t="s">
        <v>102</v>
      </c>
      <c r="F6456" s="163" t="s">
        <v>3093</v>
      </c>
      <c r="G6456" s="163">
        <v>3.55</v>
      </c>
      <c r="H6456" s="161" t="s">
        <v>7138</v>
      </c>
      <c r="I6456" s="161"/>
    </row>
    <row r="6457" spans="1:9">
      <c r="A6457" s="161">
        <v>910100308</v>
      </c>
      <c r="B6457" s="161" t="s">
        <v>7393</v>
      </c>
      <c r="C6457" s="161">
        <v>90106046</v>
      </c>
      <c r="D6457" s="161" t="s">
        <v>3093</v>
      </c>
      <c r="E6457" s="161" t="s">
        <v>102</v>
      </c>
      <c r="F6457" s="163" t="s">
        <v>3093</v>
      </c>
      <c r="G6457" s="163">
        <v>0.09</v>
      </c>
      <c r="H6457" s="161" t="s">
        <v>7138</v>
      </c>
      <c r="I6457" s="161"/>
    </row>
    <row r="6458" spans="1:9">
      <c r="A6458" s="161">
        <v>910100309</v>
      </c>
      <c r="B6458" s="161" t="s">
        <v>7394</v>
      </c>
      <c r="C6458" s="161">
        <v>90102068</v>
      </c>
      <c r="D6458" s="161" t="s">
        <v>3093</v>
      </c>
      <c r="E6458" s="161" t="s">
        <v>102</v>
      </c>
      <c r="F6458" s="163" t="s">
        <v>3093</v>
      </c>
      <c r="G6458" s="163">
        <v>0</v>
      </c>
      <c r="H6458" s="161" t="s">
        <v>7138</v>
      </c>
      <c r="I6458" s="161"/>
    </row>
    <row r="6459" spans="1:9">
      <c r="A6459" s="161">
        <v>910100310</v>
      </c>
      <c r="B6459" s="161" t="s">
        <v>7395</v>
      </c>
      <c r="C6459" s="161">
        <v>90109009</v>
      </c>
      <c r="D6459" s="161" t="s">
        <v>3093</v>
      </c>
      <c r="E6459" s="161" t="s">
        <v>102</v>
      </c>
      <c r="F6459" s="163" t="s">
        <v>3093</v>
      </c>
      <c r="G6459" s="163">
        <v>25</v>
      </c>
      <c r="H6459" s="161" t="s">
        <v>7138</v>
      </c>
      <c r="I6459" s="161"/>
    </row>
    <row r="6460" spans="1:9">
      <c r="A6460" s="161">
        <v>910100311</v>
      </c>
      <c r="B6460" s="161" t="s">
        <v>7396</v>
      </c>
      <c r="C6460" s="161">
        <v>90102038</v>
      </c>
      <c r="D6460" s="161" t="s">
        <v>3093</v>
      </c>
      <c r="E6460" s="161" t="s">
        <v>8117</v>
      </c>
      <c r="F6460" s="163" t="s">
        <v>3093</v>
      </c>
      <c r="G6460" s="163">
        <v>0.63</v>
      </c>
      <c r="H6460" s="161" t="s">
        <v>7138</v>
      </c>
      <c r="I6460" s="161"/>
    </row>
    <row r="6461" spans="1:9">
      <c r="A6461" s="161">
        <v>910100312</v>
      </c>
      <c r="B6461" s="161" t="s">
        <v>7397</v>
      </c>
      <c r="C6461" s="161">
        <v>90106048</v>
      </c>
      <c r="D6461" s="161" t="s">
        <v>3093</v>
      </c>
      <c r="E6461" s="161" t="s">
        <v>102</v>
      </c>
      <c r="F6461" s="163" t="s">
        <v>3093</v>
      </c>
      <c r="G6461" s="163">
        <v>0</v>
      </c>
      <c r="H6461" s="161" t="s">
        <v>7138</v>
      </c>
      <c r="I6461" s="161"/>
    </row>
    <row r="6462" spans="1:9">
      <c r="A6462" s="161">
        <v>910100313</v>
      </c>
      <c r="B6462" s="161" t="s">
        <v>7398</v>
      </c>
      <c r="C6462" s="161">
        <v>90109007</v>
      </c>
      <c r="D6462" s="161" t="s">
        <v>3093</v>
      </c>
      <c r="E6462" s="161" t="s">
        <v>102</v>
      </c>
      <c r="F6462" s="163" t="s">
        <v>3093</v>
      </c>
      <c r="G6462" s="163">
        <v>19.46</v>
      </c>
      <c r="H6462" s="161" t="s">
        <v>7138</v>
      </c>
      <c r="I6462" s="161"/>
    </row>
    <row r="6463" spans="1:9">
      <c r="A6463" s="161">
        <v>910100314</v>
      </c>
      <c r="B6463" s="161" t="s">
        <v>7399</v>
      </c>
      <c r="C6463" s="161">
        <v>90109008</v>
      </c>
      <c r="D6463" s="161" t="s">
        <v>3093</v>
      </c>
      <c r="E6463" s="161" t="s">
        <v>102</v>
      </c>
      <c r="F6463" s="163" t="s">
        <v>3093</v>
      </c>
      <c r="G6463" s="163">
        <v>19.46</v>
      </c>
      <c r="H6463" s="161" t="s">
        <v>7138</v>
      </c>
      <c r="I6463" s="161"/>
    </row>
    <row r="6464" spans="1:9">
      <c r="A6464" s="161">
        <v>910100315</v>
      </c>
      <c r="B6464" s="161" t="s">
        <v>7400</v>
      </c>
      <c r="C6464" s="161">
        <v>90109006</v>
      </c>
      <c r="D6464" s="161" t="s">
        <v>3093</v>
      </c>
      <c r="E6464" s="161" t="s">
        <v>102</v>
      </c>
      <c r="F6464" s="163" t="s">
        <v>3093</v>
      </c>
      <c r="G6464" s="163">
        <v>19.46</v>
      </c>
      <c r="H6464" s="161" t="s">
        <v>7138</v>
      </c>
      <c r="I6464" s="161"/>
    </row>
    <row r="6465" spans="1:9">
      <c r="A6465" s="161">
        <v>910100316</v>
      </c>
      <c r="B6465" s="161" t="s">
        <v>1665</v>
      </c>
      <c r="C6465" s="161">
        <v>90103034</v>
      </c>
      <c r="D6465" s="161" t="s">
        <v>3093</v>
      </c>
      <c r="E6465" s="161" t="s">
        <v>102</v>
      </c>
      <c r="F6465" s="163" t="s">
        <v>3093</v>
      </c>
      <c r="G6465" s="163">
        <v>0.39</v>
      </c>
      <c r="H6465" s="161" t="s">
        <v>7138</v>
      </c>
      <c r="I6465" s="161"/>
    </row>
    <row r="6466" spans="1:9">
      <c r="A6466" s="161">
        <v>910100317</v>
      </c>
      <c r="B6466" s="161" t="s">
        <v>2348</v>
      </c>
      <c r="C6466" s="161">
        <v>90103035</v>
      </c>
      <c r="D6466" s="161" t="s">
        <v>3093</v>
      </c>
      <c r="E6466" s="161" t="s">
        <v>102</v>
      </c>
      <c r="F6466" s="163" t="s">
        <v>3093</v>
      </c>
      <c r="G6466" s="163">
        <v>0.53</v>
      </c>
      <c r="H6466" s="161" t="s">
        <v>7138</v>
      </c>
      <c r="I6466" s="161"/>
    </row>
    <row r="6467" spans="1:9">
      <c r="A6467" s="161">
        <v>910100318</v>
      </c>
      <c r="B6467" s="161" t="s">
        <v>2349</v>
      </c>
      <c r="C6467" s="161">
        <v>90103036</v>
      </c>
      <c r="D6467" s="161" t="s">
        <v>3093</v>
      </c>
      <c r="E6467" s="161" t="s">
        <v>102</v>
      </c>
      <c r="F6467" s="163" t="s">
        <v>3093</v>
      </c>
      <c r="G6467" s="163">
        <v>0.53</v>
      </c>
      <c r="H6467" s="161" t="s">
        <v>7138</v>
      </c>
      <c r="I6467" s="161"/>
    </row>
    <row r="6468" spans="1:9">
      <c r="A6468" s="161">
        <v>910100319</v>
      </c>
      <c r="B6468" s="161" t="s">
        <v>1668</v>
      </c>
      <c r="C6468" s="161">
        <v>90103038</v>
      </c>
      <c r="D6468" s="161" t="s">
        <v>3093</v>
      </c>
      <c r="E6468" s="161" t="s">
        <v>102</v>
      </c>
      <c r="F6468" s="163" t="s">
        <v>3093</v>
      </c>
      <c r="G6468" s="163">
        <v>0.05</v>
      </c>
      <c r="H6468" s="161" t="s">
        <v>7138</v>
      </c>
      <c r="I6468" s="161"/>
    </row>
    <row r="6469" spans="1:9">
      <c r="A6469" s="161">
        <v>910100320</v>
      </c>
      <c r="B6469" s="161" t="s">
        <v>2447</v>
      </c>
      <c r="C6469" s="161">
        <v>90305154</v>
      </c>
      <c r="D6469" s="161" t="s">
        <v>3093</v>
      </c>
      <c r="E6469" s="161" t="s">
        <v>1620</v>
      </c>
      <c r="F6469" s="163" t="s">
        <v>3093</v>
      </c>
      <c r="G6469" s="163">
        <v>0.57999999999999996</v>
      </c>
      <c r="H6469" s="161" t="s">
        <v>7138</v>
      </c>
      <c r="I6469" s="161"/>
    </row>
    <row r="6470" spans="1:9">
      <c r="A6470" s="161">
        <v>910100321</v>
      </c>
      <c r="B6470" s="161" t="s">
        <v>2589</v>
      </c>
      <c r="C6470" s="161">
        <v>90106025</v>
      </c>
      <c r="D6470" s="161" t="s">
        <v>3093</v>
      </c>
      <c r="E6470" s="161" t="s">
        <v>102</v>
      </c>
      <c r="F6470" s="163" t="s">
        <v>3093</v>
      </c>
      <c r="G6470" s="163">
        <v>4.5</v>
      </c>
      <c r="H6470" s="161" t="s">
        <v>7138</v>
      </c>
      <c r="I6470" s="161"/>
    </row>
    <row r="6471" spans="1:9">
      <c r="A6471" s="161">
        <v>910100322</v>
      </c>
      <c r="B6471" s="161" t="s">
        <v>2606</v>
      </c>
      <c r="C6471" s="161">
        <v>90109001</v>
      </c>
      <c r="D6471" s="161" t="s">
        <v>3093</v>
      </c>
      <c r="E6471" s="161" t="s">
        <v>102</v>
      </c>
      <c r="F6471" s="163" t="s">
        <v>3093</v>
      </c>
      <c r="G6471" s="163">
        <v>0</v>
      </c>
      <c r="H6471" s="161" t="s">
        <v>7138</v>
      </c>
      <c r="I6471" s="161"/>
    </row>
    <row r="6472" spans="1:9">
      <c r="A6472" s="161">
        <v>910100323</v>
      </c>
      <c r="B6472" s="161" t="s">
        <v>7401</v>
      </c>
      <c r="C6472" s="161">
        <v>90103032</v>
      </c>
      <c r="D6472" s="161" t="s">
        <v>3093</v>
      </c>
      <c r="E6472" s="161" t="s">
        <v>102</v>
      </c>
      <c r="F6472" s="163" t="s">
        <v>3093</v>
      </c>
      <c r="G6472" s="163">
        <v>12.5</v>
      </c>
      <c r="H6472" s="161" t="s">
        <v>7138</v>
      </c>
      <c r="I6472" s="161"/>
    </row>
    <row r="6473" spans="1:9">
      <c r="A6473" s="161">
        <v>910100324</v>
      </c>
      <c r="B6473" s="161" t="s">
        <v>7402</v>
      </c>
      <c r="C6473" s="161">
        <v>90305095</v>
      </c>
      <c r="D6473" s="161" t="s">
        <v>3093</v>
      </c>
      <c r="E6473" s="161" t="s">
        <v>102</v>
      </c>
      <c r="F6473" s="163" t="s">
        <v>3093</v>
      </c>
      <c r="G6473" s="163">
        <v>0</v>
      </c>
      <c r="H6473" s="161" t="s">
        <v>7138</v>
      </c>
      <c r="I6473" s="161"/>
    </row>
    <row r="6474" spans="1:9">
      <c r="A6474" s="161">
        <v>910100325</v>
      </c>
      <c r="B6474" s="161" t="s">
        <v>7403</v>
      </c>
      <c r="C6474" s="161">
        <v>90305071</v>
      </c>
      <c r="D6474" s="161" t="s">
        <v>3093</v>
      </c>
      <c r="E6474" s="161" t="s">
        <v>102</v>
      </c>
      <c r="F6474" s="163" t="s">
        <v>3093</v>
      </c>
      <c r="G6474" s="163">
        <v>2</v>
      </c>
      <c r="H6474" s="161" t="s">
        <v>7138</v>
      </c>
      <c r="I6474" s="161"/>
    </row>
    <row r="6475" spans="1:9">
      <c r="A6475" s="161">
        <v>910100326</v>
      </c>
      <c r="B6475" s="161" t="s">
        <v>1727</v>
      </c>
      <c r="C6475" s="161">
        <v>90110008</v>
      </c>
      <c r="D6475" s="161" t="s">
        <v>3093</v>
      </c>
      <c r="E6475" s="161" t="s">
        <v>102</v>
      </c>
      <c r="F6475" s="163" t="s">
        <v>3093</v>
      </c>
      <c r="G6475" s="163">
        <v>15.55</v>
      </c>
      <c r="H6475" s="161" t="s">
        <v>7138</v>
      </c>
      <c r="I6475" s="161"/>
    </row>
    <row r="6476" spans="1:9">
      <c r="A6476" s="161">
        <v>910100327</v>
      </c>
      <c r="B6476" s="161" t="s">
        <v>2613</v>
      </c>
      <c r="C6476" s="161">
        <v>90110009</v>
      </c>
      <c r="D6476" s="161" t="s">
        <v>3093</v>
      </c>
      <c r="E6476" s="161" t="s">
        <v>102</v>
      </c>
      <c r="F6476" s="163" t="s">
        <v>3093</v>
      </c>
      <c r="G6476" s="163">
        <v>20</v>
      </c>
      <c r="H6476" s="161" t="s">
        <v>7138</v>
      </c>
      <c r="I6476" s="161"/>
    </row>
    <row r="6477" spans="1:9">
      <c r="A6477" s="161">
        <v>910100328</v>
      </c>
      <c r="B6477" s="161" t="s">
        <v>1669</v>
      </c>
      <c r="C6477" s="161">
        <v>90103040</v>
      </c>
      <c r="D6477" s="161" t="s">
        <v>3093</v>
      </c>
      <c r="E6477" s="161" t="s">
        <v>8113</v>
      </c>
      <c r="F6477" s="163" t="s">
        <v>3093</v>
      </c>
      <c r="G6477" s="163">
        <v>8.5</v>
      </c>
      <c r="H6477" s="161" t="s">
        <v>7138</v>
      </c>
      <c r="I6477" s="161"/>
    </row>
    <row r="6478" spans="1:9">
      <c r="A6478" s="161">
        <v>910100329</v>
      </c>
      <c r="B6478" s="161" t="s">
        <v>1670</v>
      </c>
      <c r="C6478" s="161">
        <v>90103041</v>
      </c>
      <c r="D6478" s="161" t="s">
        <v>3093</v>
      </c>
      <c r="E6478" s="161" t="s">
        <v>7143</v>
      </c>
      <c r="F6478" s="163" t="s">
        <v>3093</v>
      </c>
      <c r="G6478" s="163">
        <v>21.45</v>
      </c>
      <c r="H6478" s="161" t="s">
        <v>7138</v>
      </c>
      <c r="I6478" s="161"/>
    </row>
    <row r="6479" spans="1:9">
      <c r="A6479" s="161">
        <v>910100330</v>
      </c>
      <c r="B6479" s="161" t="s">
        <v>7404</v>
      </c>
      <c r="C6479" s="161">
        <v>90106026</v>
      </c>
      <c r="D6479" s="161" t="s">
        <v>3093</v>
      </c>
      <c r="E6479" s="161" t="s">
        <v>1778</v>
      </c>
      <c r="F6479" s="163" t="s">
        <v>3093</v>
      </c>
      <c r="G6479" s="163">
        <v>0</v>
      </c>
      <c r="H6479" s="161" t="s">
        <v>7138</v>
      </c>
      <c r="I6479" s="161"/>
    </row>
    <row r="6480" spans="1:9">
      <c r="A6480" s="161">
        <v>910100331</v>
      </c>
      <c r="B6480" s="161" t="s">
        <v>7405</v>
      </c>
      <c r="C6480" s="161">
        <v>90102025</v>
      </c>
      <c r="D6480" s="161" t="s">
        <v>3093</v>
      </c>
      <c r="E6480" s="161" t="s">
        <v>1778</v>
      </c>
      <c r="F6480" s="163" t="s">
        <v>3093</v>
      </c>
      <c r="G6480" s="163">
        <v>0</v>
      </c>
      <c r="H6480" s="161" t="s">
        <v>7138</v>
      </c>
      <c r="I6480" s="161"/>
    </row>
    <row r="6481" spans="1:9">
      <c r="A6481" s="161">
        <v>910100332</v>
      </c>
      <c r="B6481" s="161" t="s">
        <v>7406</v>
      </c>
      <c r="C6481" s="161">
        <v>90102026</v>
      </c>
      <c r="D6481" s="161" t="s">
        <v>3093</v>
      </c>
      <c r="E6481" s="161" t="s">
        <v>1778</v>
      </c>
      <c r="F6481" s="163" t="s">
        <v>3093</v>
      </c>
      <c r="G6481" s="163">
        <v>0</v>
      </c>
      <c r="H6481" s="161" t="s">
        <v>7138</v>
      </c>
      <c r="I6481" s="161"/>
    </row>
    <row r="6482" spans="1:9">
      <c r="A6482" s="161">
        <v>910100333</v>
      </c>
      <c r="B6482" s="161" t="s">
        <v>7407</v>
      </c>
      <c r="C6482" s="161">
        <v>90102028</v>
      </c>
      <c r="D6482" s="161" t="s">
        <v>3093</v>
      </c>
      <c r="E6482" s="161" t="s">
        <v>102</v>
      </c>
      <c r="F6482" s="163" t="s">
        <v>3093</v>
      </c>
      <c r="G6482" s="163">
        <v>0</v>
      </c>
      <c r="H6482" s="161" t="s">
        <v>7138</v>
      </c>
      <c r="I6482" s="161"/>
    </row>
    <row r="6483" spans="1:9">
      <c r="A6483" s="161">
        <v>910100334</v>
      </c>
      <c r="B6483" s="161" t="s">
        <v>7408</v>
      </c>
      <c r="C6483" s="161">
        <v>90106030</v>
      </c>
      <c r="D6483" s="161" t="s">
        <v>3093</v>
      </c>
      <c r="E6483" s="161" t="s">
        <v>1778</v>
      </c>
      <c r="F6483" s="163" t="s">
        <v>3093</v>
      </c>
      <c r="G6483" s="163">
        <v>0</v>
      </c>
      <c r="H6483" s="161" t="s">
        <v>7138</v>
      </c>
      <c r="I6483" s="161"/>
    </row>
    <row r="6484" spans="1:9">
      <c r="A6484" s="161">
        <v>910100335</v>
      </c>
      <c r="B6484" s="161" t="s">
        <v>1728</v>
      </c>
      <c r="C6484" s="161">
        <v>90110010</v>
      </c>
      <c r="D6484" s="161" t="s">
        <v>3093</v>
      </c>
      <c r="E6484" s="161" t="s">
        <v>102</v>
      </c>
      <c r="F6484" s="163" t="s">
        <v>3093</v>
      </c>
      <c r="G6484" s="163">
        <v>2.9</v>
      </c>
      <c r="H6484" s="161" t="s">
        <v>7138</v>
      </c>
      <c r="I6484" s="161"/>
    </row>
    <row r="6485" spans="1:9">
      <c r="A6485" s="161">
        <v>910100336</v>
      </c>
      <c r="B6485" s="161" t="s">
        <v>7409</v>
      </c>
      <c r="C6485" s="161">
        <v>90110012</v>
      </c>
      <c r="D6485" s="161" t="s">
        <v>3093</v>
      </c>
      <c r="E6485" s="161" t="s">
        <v>102</v>
      </c>
      <c r="F6485" s="163" t="s">
        <v>3093</v>
      </c>
      <c r="G6485" s="163">
        <v>14.67</v>
      </c>
      <c r="H6485" s="161" t="s">
        <v>7138</v>
      </c>
      <c r="I6485" s="161"/>
    </row>
    <row r="6486" spans="1:9">
      <c r="A6486" s="161">
        <v>910100337</v>
      </c>
      <c r="B6486" s="161" t="s">
        <v>1729</v>
      </c>
      <c r="C6486" s="161">
        <v>90110011</v>
      </c>
      <c r="D6486" s="161" t="s">
        <v>3093</v>
      </c>
      <c r="E6486" s="161" t="s">
        <v>102</v>
      </c>
      <c r="F6486" s="163" t="s">
        <v>3093</v>
      </c>
      <c r="G6486" s="163">
        <v>29.3</v>
      </c>
      <c r="H6486" s="161" t="s">
        <v>7138</v>
      </c>
      <c r="I6486" s="161"/>
    </row>
    <row r="6487" spans="1:9">
      <c r="A6487" s="161">
        <v>910100338</v>
      </c>
      <c r="B6487" s="161" t="s">
        <v>7410</v>
      </c>
      <c r="C6487" s="161">
        <v>90101006</v>
      </c>
      <c r="D6487" s="161" t="s">
        <v>3093</v>
      </c>
      <c r="E6487" s="161" t="s">
        <v>1620</v>
      </c>
      <c r="F6487" s="163" t="s">
        <v>3093</v>
      </c>
      <c r="G6487" s="163">
        <v>0.5</v>
      </c>
      <c r="H6487" s="161" t="s">
        <v>7138</v>
      </c>
      <c r="I6487" s="161"/>
    </row>
    <row r="6488" spans="1:9">
      <c r="A6488" s="161">
        <v>910100339</v>
      </c>
      <c r="B6488" s="161" t="s">
        <v>7411</v>
      </c>
      <c r="C6488" s="161">
        <v>90101013</v>
      </c>
      <c r="D6488" s="161" t="s">
        <v>3093</v>
      </c>
      <c r="E6488" s="161" t="s">
        <v>1620</v>
      </c>
      <c r="F6488" s="163" t="s">
        <v>3093</v>
      </c>
      <c r="G6488" s="163">
        <v>0.6</v>
      </c>
      <c r="H6488" s="161" t="s">
        <v>7138</v>
      </c>
      <c r="I6488" s="161"/>
    </row>
    <row r="6489" spans="1:9">
      <c r="A6489" s="161">
        <v>910100340</v>
      </c>
      <c r="B6489" s="161" t="s">
        <v>7412</v>
      </c>
      <c r="C6489" s="161">
        <v>90101010</v>
      </c>
      <c r="D6489" s="161" t="s">
        <v>3093</v>
      </c>
      <c r="E6489" s="161" t="s">
        <v>1620</v>
      </c>
      <c r="F6489" s="163" t="s">
        <v>3093</v>
      </c>
      <c r="G6489" s="163">
        <v>2.0975000000000001</v>
      </c>
      <c r="H6489" s="161" t="s">
        <v>7138</v>
      </c>
      <c r="I6489" s="161"/>
    </row>
    <row r="6490" spans="1:9">
      <c r="A6490" s="161">
        <v>910100341</v>
      </c>
      <c r="B6490" s="161" t="s">
        <v>7413</v>
      </c>
      <c r="C6490" s="161">
        <v>90101009</v>
      </c>
      <c r="D6490" s="161" t="s">
        <v>3093</v>
      </c>
      <c r="E6490" s="161" t="s">
        <v>1620</v>
      </c>
      <c r="F6490" s="163" t="s">
        <v>3093</v>
      </c>
      <c r="G6490" s="163">
        <v>2.2949999999999999</v>
      </c>
      <c r="H6490" s="161" t="s">
        <v>7138</v>
      </c>
      <c r="I6490" s="161"/>
    </row>
    <row r="6491" spans="1:9">
      <c r="A6491" s="161">
        <v>910100342</v>
      </c>
      <c r="B6491" s="161" t="s">
        <v>2339</v>
      </c>
      <c r="C6491" s="161">
        <v>90101012</v>
      </c>
      <c r="D6491" s="161" t="s">
        <v>3093</v>
      </c>
      <c r="E6491" s="161" t="s">
        <v>1620</v>
      </c>
      <c r="F6491" s="163" t="s">
        <v>3093</v>
      </c>
      <c r="G6491" s="163">
        <v>2.81</v>
      </c>
      <c r="H6491" s="161" t="s">
        <v>7138</v>
      </c>
      <c r="I6491" s="161"/>
    </row>
    <row r="6492" spans="1:9">
      <c r="A6492" s="161">
        <v>910100343</v>
      </c>
      <c r="B6492" s="161" t="s">
        <v>2340</v>
      </c>
      <c r="C6492" s="161">
        <v>90101008</v>
      </c>
      <c r="D6492" s="161" t="s">
        <v>3093</v>
      </c>
      <c r="E6492" s="161" t="s">
        <v>1620</v>
      </c>
      <c r="F6492" s="163" t="s">
        <v>3093</v>
      </c>
      <c r="G6492" s="163">
        <v>2.2599999999999998</v>
      </c>
      <c r="H6492" s="161" t="s">
        <v>7138</v>
      </c>
      <c r="I6492" s="161"/>
    </row>
    <row r="6493" spans="1:9">
      <c r="A6493" s="161">
        <v>910100344</v>
      </c>
      <c r="B6493" s="161" t="s">
        <v>2607</v>
      </c>
      <c r="C6493" s="161">
        <v>90109012</v>
      </c>
      <c r="D6493" s="161" t="s">
        <v>3093</v>
      </c>
      <c r="E6493" s="161" t="s">
        <v>102</v>
      </c>
      <c r="F6493" s="163" t="s">
        <v>3093</v>
      </c>
      <c r="G6493" s="163">
        <v>2.25</v>
      </c>
      <c r="H6493" s="161" t="s">
        <v>7138</v>
      </c>
      <c r="I6493" s="161"/>
    </row>
    <row r="6494" spans="1:9">
      <c r="A6494" s="161">
        <v>910100345</v>
      </c>
      <c r="B6494" s="161" t="s">
        <v>7414</v>
      </c>
      <c r="C6494" s="161">
        <v>90109010</v>
      </c>
      <c r="D6494" s="161" t="s">
        <v>3093</v>
      </c>
      <c r="E6494" s="161" t="s">
        <v>102</v>
      </c>
      <c r="F6494" s="163" t="s">
        <v>3093</v>
      </c>
      <c r="G6494" s="163">
        <v>19.46</v>
      </c>
      <c r="H6494" s="161" t="s">
        <v>7138</v>
      </c>
      <c r="I6494" s="161"/>
    </row>
    <row r="6495" spans="1:9">
      <c r="A6495" s="161">
        <v>910100346</v>
      </c>
      <c r="B6495" s="161" t="s">
        <v>2350</v>
      </c>
      <c r="C6495" s="161">
        <v>90103042</v>
      </c>
      <c r="D6495" s="161" t="s">
        <v>3093</v>
      </c>
      <c r="E6495" s="161" t="s">
        <v>8112</v>
      </c>
      <c r="F6495" s="163" t="s">
        <v>3093</v>
      </c>
      <c r="G6495" s="163">
        <v>1</v>
      </c>
      <c r="H6495" s="161" t="s">
        <v>7138</v>
      </c>
      <c r="I6495" s="161"/>
    </row>
    <row r="6496" spans="1:9">
      <c r="A6496" s="161">
        <v>910100347</v>
      </c>
      <c r="B6496" s="161" t="s">
        <v>7415</v>
      </c>
      <c r="C6496" s="161">
        <v>90305052</v>
      </c>
      <c r="D6496" s="161" t="s">
        <v>3093</v>
      </c>
      <c r="E6496" s="161" t="s">
        <v>1778</v>
      </c>
      <c r="F6496" s="163" t="s">
        <v>3093</v>
      </c>
      <c r="G6496" s="163">
        <v>6.64</v>
      </c>
      <c r="H6496" s="161" t="s">
        <v>7138</v>
      </c>
      <c r="I6496" s="161"/>
    </row>
    <row r="6497" spans="1:9">
      <c r="A6497" s="161">
        <v>910100348</v>
      </c>
      <c r="B6497" s="161" t="s">
        <v>7416</v>
      </c>
      <c r="C6497" s="161">
        <v>90305065</v>
      </c>
      <c r="D6497" s="161" t="s">
        <v>3093</v>
      </c>
      <c r="E6497" s="161" t="s">
        <v>8118</v>
      </c>
      <c r="F6497" s="163" t="s">
        <v>3093</v>
      </c>
      <c r="G6497" s="163">
        <v>0.35</v>
      </c>
      <c r="H6497" s="161" t="s">
        <v>7138</v>
      </c>
      <c r="I6497" s="161"/>
    </row>
    <row r="6498" spans="1:9">
      <c r="A6498" s="161">
        <v>910100349</v>
      </c>
      <c r="B6498" s="161" t="s">
        <v>7417</v>
      </c>
      <c r="C6498" s="161">
        <v>90103044</v>
      </c>
      <c r="D6498" s="161" t="s">
        <v>3093</v>
      </c>
      <c r="E6498" s="161" t="s">
        <v>102</v>
      </c>
      <c r="F6498" s="163" t="s">
        <v>3093</v>
      </c>
      <c r="G6498" s="163">
        <v>0.3</v>
      </c>
      <c r="H6498" s="161" t="s">
        <v>7138</v>
      </c>
      <c r="I6498" s="161"/>
    </row>
    <row r="6499" spans="1:9">
      <c r="A6499" s="161">
        <v>910100350</v>
      </c>
      <c r="B6499" s="161" t="s">
        <v>7418</v>
      </c>
      <c r="C6499" s="161">
        <v>90103045</v>
      </c>
      <c r="D6499" s="161" t="s">
        <v>3093</v>
      </c>
      <c r="E6499" s="161" t="s">
        <v>102</v>
      </c>
      <c r="F6499" s="163" t="s">
        <v>3093</v>
      </c>
      <c r="G6499" s="163">
        <v>1.58</v>
      </c>
      <c r="H6499" s="161" t="s">
        <v>7138</v>
      </c>
      <c r="I6499" s="161"/>
    </row>
    <row r="6500" spans="1:9">
      <c r="A6500" s="161">
        <v>910100351</v>
      </c>
      <c r="B6500" s="161" t="s">
        <v>2351</v>
      </c>
      <c r="C6500" s="161">
        <v>90103056</v>
      </c>
      <c r="D6500" s="161" t="s">
        <v>3093</v>
      </c>
      <c r="E6500" s="161" t="s">
        <v>102</v>
      </c>
      <c r="F6500" s="163" t="s">
        <v>3093</v>
      </c>
      <c r="G6500" s="163">
        <v>0.25</v>
      </c>
      <c r="H6500" s="161" t="s">
        <v>7138</v>
      </c>
      <c r="I6500" s="161"/>
    </row>
    <row r="6501" spans="1:9">
      <c r="A6501" s="161">
        <v>910100352</v>
      </c>
      <c r="B6501" s="161" t="s">
        <v>2352</v>
      </c>
      <c r="C6501" s="161">
        <v>90103058</v>
      </c>
      <c r="D6501" s="161" t="s">
        <v>3093</v>
      </c>
      <c r="E6501" s="161" t="s">
        <v>102</v>
      </c>
      <c r="F6501" s="163" t="s">
        <v>3093</v>
      </c>
      <c r="G6501" s="163">
        <v>0.45</v>
      </c>
      <c r="H6501" s="161" t="s">
        <v>7138</v>
      </c>
      <c r="I6501" s="161"/>
    </row>
    <row r="6502" spans="1:9">
      <c r="A6502" s="161">
        <v>910100353</v>
      </c>
      <c r="B6502" s="161" t="s">
        <v>7419</v>
      </c>
      <c r="C6502" s="161">
        <v>90103046</v>
      </c>
      <c r="D6502" s="161" t="s">
        <v>3093</v>
      </c>
      <c r="E6502" s="161" t="s">
        <v>102</v>
      </c>
      <c r="F6502" s="163" t="s">
        <v>3093</v>
      </c>
      <c r="G6502" s="163">
        <v>0.55000000000000004</v>
      </c>
      <c r="H6502" s="161" t="s">
        <v>7138</v>
      </c>
      <c r="I6502" s="161"/>
    </row>
    <row r="6503" spans="1:9">
      <c r="A6503" s="161">
        <v>910100354</v>
      </c>
      <c r="B6503" s="161" t="s">
        <v>7420</v>
      </c>
      <c r="C6503" s="161">
        <v>90103047</v>
      </c>
      <c r="D6503" s="161" t="s">
        <v>3093</v>
      </c>
      <c r="E6503" s="161" t="s">
        <v>102</v>
      </c>
      <c r="F6503" s="163" t="s">
        <v>3093</v>
      </c>
      <c r="G6503" s="163">
        <v>0.55000000000000004</v>
      </c>
      <c r="H6503" s="161" t="s">
        <v>7138</v>
      </c>
      <c r="I6503" s="161"/>
    </row>
    <row r="6504" spans="1:9">
      <c r="A6504" s="161">
        <v>910100355</v>
      </c>
      <c r="B6504" s="161" t="s">
        <v>7421</v>
      </c>
      <c r="C6504" s="161">
        <v>90103048</v>
      </c>
      <c r="D6504" s="161" t="s">
        <v>3093</v>
      </c>
      <c r="E6504" s="161" t="s">
        <v>102</v>
      </c>
      <c r="F6504" s="163" t="s">
        <v>3093</v>
      </c>
      <c r="G6504" s="163">
        <v>0.55000000000000004</v>
      </c>
      <c r="H6504" s="161" t="s">
        <v>7138</v>
      </c>
      <c r="I6504" s="161"/>
    </row>
    <row r="6505" spans="1:9">
      <c r="A6505" s="161">
        <v>910100356</v>
      </c>
      <c r="B6505" s="161" t="s">
        <v>7422</v>
      </c>
      <c r="C6505" s="161">
        <v>90103049</v>
      </c>
      <c r="D6505" s="161" t="s">
        <v>3093</v>
      </c>
      <c r="E6505" s="161" t="s">
        <v>102</v>
      </c>
      <c r="F6505" s="163" t="s">
        <v>3093</v>
      </c>
      <c r="G6505" s="163">
        <v>0.5</v>
      </c>
      <c r="H6505" s="161" t="s">
        <v>7138</v>
      </c>
      <c r="I6505" s="161"/>
    </row>
    <row r="6506" spans="1:9">
      <c r="A6506" s="161">
        <v>910100357</v>
      </c>
      <c r="B6506" s="161" t="s">
        <v>1671</v>
      </c>
      <c r="C6506" s="161">
        <v>90103050</v>
      </c>
      <c r="D6506" s="161" t="s">
        <v>3093</v>
      </c>
      <c r="E6506" s="161" t="s">
        <v>102</v>
      </c>
      <c r="F6506" s="163" t="s">
        <v>3093</v>
      </c>
      <c r="G6506" s="163">
        <v>0.24399999999999999</v>
      </c>
      <c r="H6506" s="161" t="s">
        <v>7138</v>
      </c>
      <c r="I6506" s="161"/>
    </row>
    <row r="6507" spans="1:9">
      <c r="A6507" s="161">
        <v>910100358</v>
      </c>
      <c r="B6507" s="161" t="s">
        <v>1672</v>
      </c>
      <c r="C6507" s="161">
        <v>90103051</v>
      </c>
      <c r="D6507" s="161" t="s">
        <v>3093</v>
      </c>
      <c r="E6507" s="161" t="s">
        <v>102</v>
      </c>
      <c r="F6507" s="163" t="s">
        <v>3093</v>
      </c>
      <c r="G6507" s="163">
        <v>0.27</v>
      </c>
      <c r="H6507" s="161" t="s">
        <v>7138</v>
      </c>
      <c r="I6507" s="161"/>
    </row>
    <row r="6508" spans="1:9">
      <c r="A6508" s="161">
        <v>910100359</v>
      </c>
      <c r="B6508" s="161" t="s">
        <v>1673</v>
      </c>
      <c r="C6508" s="161">
        <v>90103052</v>
      </c>
      <c r="D6508" s="161" t="s">
        <v>3093</v>
      </c>
      <c r="E6508" s="161" t="s">
        <v>102</v>
      </c>
      <c r="F6508" s="163" t="s">
        <v>3093</v>
      </c>
      <c r="G6508" s="163">
        <v>0.25</v>
      </c>
      <c r="H6508" s="161" t="s">
        <v>7138</v>
      </c>
      <c r="I6508" s="161"/>
    </row>
    <row r="6509" spans="1:9">
      <c r="A6509" s="161">
        <v>910100360</v>
      </c>
      <c r="B6509" s="161" t="s">
        <v>1674</v>
      </c>
      <c r="C6509" s="161">
        <v>90103053</v>
      </c>
      <c r="D6509" s="161" t="s">
        <v>3093</v>
      </c>
      <c r="E6509" s="161" t="s">
        <v>102</v>
      </c>
      <c r="F6509" s="163" t="s">
        <v>3093</v>
      </c>
      <c r="G6509" s="163">
        <v>0.54</v>
      </c>
      <c r="H6509" s="161" t="s">
        <v>7138</v>
      </c>
      <c r="I6509" s="161"/>
    </row>
    <row r="6510" spans="1:9">
      <c r="A6510" s="161">
        <v>910100361</v>
      </c>
      <c r="B6510" s="161" t="s">
        <v>7423</v>
      </c>
      <c r="C6510" s="161">
        <v>90401001</v>
      </c>
      <c r="D6510" s="161" t="s">
        <v>3093</v>
      </c>
      <c r="E6510" s="161" t="s">
        <v>102</v>
      </c>
      <c r="F6510" s="163" t="s">
        <v>3093</v>
      </c>
      <c r="G6510" s="163">
        <v>0</v>
      </c>
      <c r="H6510" s="161" t="s">
        <v>7138</v>
      </c>
      <c r="I6510" s="161"/>
    </row>
    <row r="6511" spans="1:9">
      <c r="A6511" s="161">
        <v>910100362</v>
      </c>
      <c r="B6511" s="161" t="s">
        <v>2614</v>
      </c>
      <c r="C6511" s="161">
        <v>90110013</v>
      </c>
      <c r="D6511" s="161" t="s">
        <v>3093</v>
      </c>
      <c r="E6511" s="161" t="s">
        <v>102</v>
      </c>
      <c r="F6511" s="163" t="s">
        <v>3093</v>
      </c>
      <c r="G6511" s="163">
        <v>5</v>
      </c>
      <c r="H6511" s="161" t="s">
        <v>7138</v>
      </c>
      <c r="I6511" s="161"/>
    </row>
    <row r="6512" spans="1:9">
      <c r="A6512" s="161">
        <v>910100363</v>
      </c>
      <c r="B6512" s="161" t="s">
        <v>7424</v>
      </c>
      <c r="C6512" s="161">
        <v>90110052</v>
      </c>
      <c r="D6512" s="161" t="s">
        <v>3093</v>
      </c>
      <c r="E6512" s="161" t="s">
        <v>102</v>
      </c>
      <c r="F6512" s="163" t="s">
        <v>3093</v>
      </c>
      <c r="G6512" s="163">
        <v>0.59</v>
      </c>
      <c r="H6512" s="161" t="s">
        <v>7138</v>
      </c>
      <c r="I6512" s="161"/>
    </row>
    <row r="6513" spans="1:9">
      <c r="A6513" s="161">
        <v>910100364</v>
      </c>
      <c r="B6513" s="161" t="s">
        <v>2353</v>
      </c>
      <c r="C6513" s="161">
        <v>90104013</v>
      </c>
      <c r="D6513" s="161" t="s">
        <v>3093</v>
      </c>
      <c r="E6513" s="161" t="s">
        <v>102</v>
      </c>
      <c r="F6513" s="163" t="s">
        <v>3093</v>
      </c>
      <c r="G6513" s="163">
        <v>0.7</v>
      </c>
      <c r="H6513" s="161" t="s">
        <v>7138</v>
      </c>
      <c r="I6513" s="161"/>
    </row>
    <row r="6514" spans="1:9">
      <c r="A6514" s="161">
        <v>910100365</v>
      </c>
      <c r="B6514" s="161" t="s">
        <v>2608</v>
      </c>
      <c r="C6514" s="161">
        <v>90109004</v>
      </c>
      <c r="D6514" s="161" t="s">
        <v>3093</v>
      </c>
      <c r="E6514" s="161" t="s">
        <v>102</v>
      </c>
      <c r="F6514" s="163" t="s">
        <v>3093</v>
      </c>
      <c r="G6514" s="163">
        <v>0</v>
      </c>
      <c r="H6514" s="161" t="s">
        <v>7138</v>
      </c>
      <c r="I6514" s="161"/>
    </row>
    <row r="6515" spans="1:9">
      <c r="A6515" s="161">
        <v>910100366</v>
      </c>
      <c r="B6515" s="161" t="s">
        <v>2609</v>
      </c>
      <c r="C6515" s="161">
        <v>90109005</v>
      </c>
      <c r="D6515" s="161" t="s">
        <v>3093</v>
      </c>
      <c r="E6515" s="161" t="s">
        <v>102</v>
      </c>
      <c r="F6515" s="163" t="s">
        <v>3093</v>
      </c>
      <c r="G6515" s="163">
        <v>0</v>
      </c>
      <c r="H6515" s="161" t="s">
        <v>7138</v>
      </c>
      <c r="I6515" s="161"/>
    </row>
    <row r="6516" spans="1:9">
      <c r="A6516" s="161">
        <v>910100367</v>
      </c>
      <c r="B6516" s="161" t="s">
        <v>7425</v>
      </c>
      <c r="C6516" s="161">
        <v>90106027</v>
      </c>
      <c r="D6516" s="161" t="s">
        <v>3093</v>
      </c>
      <c r="E6516" s="161" t="s">
        <v>8112</v>
      </c>
      <c r="F6516" s="163" t="s">
        <v>3093</v>
      </c>
      <c r="G6516" s="163">
        <v>0.35</v>
      </c>
      <c r="H6516" s="161" t="s">
        <v>7138</v>
      </c>
      <c r="I6516" s="161"/>
    </row>
    <row r="6517" spans="1:9">
      <c r="A6517" s="161">
        <v>910100368</v>
      </c>
      <c r="B6517" s="161" t="s">
        <v>7426</v>
      </c>
      <c r="C6517" s="161">
        <v>90106044</v>
      </c>
      <c r="D6517" s="161" t="s">
        <v>3093</v>
      </c>
      <c r="E6517" s="161" t="s">
        <v>102</v>
      </c>
      <c r="F6517" s="163" t="s">
        <v>3093</v>
      </c>
      <c r="G6517" s="163">
        <v>0.77</v>
      </c>
      <c r="H6517" s="161" t="s">
        <v>7138</v>
      </c>
      <c r="I6517" s="161"/>
    </row>
    <row r="6518" spans="1:9">
      <c r="A6518" s="161">
        <v>910100369</v>
      </c>
      <c r="B6518" s="161" t="s">
        <v>1708</v>
      </c>
      <c r="C6518" s="161">
        <v>90106007</v>
      </c>
      <c r="D6518" s="161" t="s">
        <v>3093</v>
      </c>
      <c r="E6518" s="161" t="s">
        <v>102</v>
      </c>
      <c r="F6518" s="163" t="s">
        <v>3093</v>
      </c>
      <c r="G6518" s="163">
        <v>0.09</v>
      </c>
      <c r="H6518" s="161" t="s">
        <v>7138</v>
      </c>
      <c r="I6518" s="161"/>
    </row>
    <row r="6519" spans="1:9">
      <c r="A6519" s="161">
        <v>910100370</v>
      </c>
      <c r="B6519" s="161" t="s">
        <v>7427</v>
      </c>
      <c r="C6519" s="161">
        <v>90106036</v>
      </c>
      <c r="D6519" s="161" t="s">
        <v>3093</v>
      </c>
      <c r="E6519" s="161" t="s">
        <v>102</v>
      </c>
      <c r="F6519" s="163" t="s">
        <v>3093</v>
      </c>
      <c r="G6519" s="163">
        <v>2.2799999999999998</v>
      </c>
      <c r="H6519" s="161" t="s">
        <v>7138</v>
      </c>
      <c r="I6519" s="161"/>
    </row>
    <row r="6520" spans="1:9">
      <c r="A6520" s="161">
        <v>910100371</v>
      </c>
      <c r="B6520" s="161" t="s">
        <v>7428</v>
      </c>
      <c r="C6520" s="161">
        <v>90504071</v>
      </c>
      <c r="D6520" s="161" t="s">
        <v>3093</v>
      </c>
      <c r="E6520" s="161" t="s">
        <v>102</v>
      </c>
      <c r="F6520" s="163" t="s">
        <v>3093</v>
      </c>
      <c r="G6520" s="163">
        <v>0</v>
      </c>
      <c r="H6520" s="161" t="s">
        <v>7138</v>
      </c>
      <c r="I6520" s="161"/>
    </row>
    <row r="6521" spans="1:9">
      <c r="A6521" s="161">
        <v>910100372</v>
      </c>
      <c r="B6521" s="161" t="s">
        <v>2505</v>
      </c>
      <c r="C6521" s="161">
        <v>90502065</v>
      </c>
      <c r="D6521" s="161" t="s">
        <v>3093</v>
      </c>
      <c r="E6521" s="161" t="s">
        <v>102</v>
      </c>
      <c r="F6521" s="163" t="s">
        <v>3093</v>
      </c>
      <c r="G6521" s="163">
        <v>0</v>
      </c>
      <c r="H6521" s="161" t="s">
        <v>7138</v>
      </c>
      <c r="I6521" s="161"/>
    </row>
    <row r="6522" spans="1:9">
      <c r="A6522" s="161">
        <v>910100373</v>
      </c>
      <c r="B6522" s="161" t="s">
        <v>2615</v>
      </c>
      <c r="C6522" s="161">
        <v>90110043</v>
      </c>
      <c r="D6522" s="161" t="s">
        <v>3093</v>
      </c>
      <c r="E6522" s="161" t="s">
        <v>1778</v>
      </c>
      <c r="F6522" s="163" t="s">
        <v>3093</v>
      </c>
      <c r="G6522" s="163">
        <v>0</v>
      </c>
      <c r="H6522" s="161" t="s">
        <v>7138</v>
      </c>
      <c r="I6522" s="161"/>
    </row>
    <row r="6523" spans="1:9">
      <c r="A6523" s="161">
        <v>910100374</v>
      </c>
      <c r="B6523" s="161" t="s">
        <v>7429</v>
      </c>
      <c r="C6523" s="161">
        <v>90305031</v>
      </c>
      <c r="D6523" s="161" t="s">
        <v>3093</v>
      </c>
      <c r="E6523" s="161" t="s">
        <v>1620</v>
      </c>
      <c r="F6523" s="163" t="s">
        <v>3093</v>
      </c>
      <c r="G6523" s="163">
        <v>16.39</v>
      </c>
      <c r="H6523" s="161" t="s">
        <v>7138</v>
      </c>
      <c r="I6523" s="161"/>
    </row>
    <row r="6524" spans="1:9">
      <c r="A6524" s="161">
        <v>910100375</v>
      </c>
      <c r="B6524" s="161" t="s">
        <v>7430</v>
      </c>
      <c r="C6524" s="161">
        <v>90106037</v>
      </c>
      <c r="D6524" s="161" t="s">
        <v>3093</v>
      </c>
      <c r="E6524" s="161" t="s">
        <v>1778</v>
      </c>
      <c r="F6524" s="163" t="s">
        <v>3093</v>
      </c>
      <c r="G6524" s="163">
        <v>0.93899999999999995</v>
      </c>
      <c r="H6524" s="161" t="s">
        <v>7138</v>
      </c>
      <c r="I6524" s="161"/>
    </row>
    <row r="6525" spans="1:9">
      <c r="A6525" s="161">
        <v>910100376</v>
      </c>
      <c r="B6525" s="161" t="s">
        <v>7431</v>
      </c>
      <c r="C6525" s="161">
        <v>90112023</v>
      </c>
      <c r="D6525" s="161" t="s">
        <v>3093</v>
      </c>
      <c r="E6525" s="161" t="s">
        <v>102</v>
      </c>
      <c r="F6525" s="163" t="s">
        <v>3093</v>
      </c>
      <c r="G6525" s="163">
        <v>2</v>
      </c>
      <c r="H6525" s="161" t="s">
        <v>7138</v>
      </c>
      <c r="I6525" s="161"/>
    </row>
    <row r="6526" spans="1:9">
      <c r="A6526" s="161">
        <v>910100377</v>
      </c>
      <c r="B6526" s="161" t="s">
        <v>2616</v>
      </c>
      <c r="C6526" s="161">
        <v>90110015</v>
      </c>
      <c r="D6526" s="161" t="s">
        <v>3093</v>
      </c>
      <c r="E6526" s="161" t="s">
        <v>102</v>
      </c>
      <c r="F6526" s="163" t="s">
        <v>3093</v>
      </c>
      <c r="G6526" s="163">
        <v>25.88</v>
      </c>
      <c r="H6526" s="161" t="s">
        <v>7138</v>
      </c>
      <c r="I6526" s="161"/>
    </row>
    <row r="6527" spans="1:9">
      <c r="A6527" s="161">
        <v>910100378</v>
      </c>
      <c r="B6527" s="161" t="s">
        <v>1731</v>
      </c>
      <c r="C6527" s="161">
        <v>90110016</v>
      </c>
      <c r="D6527" s="161" t="s">
        <v>3093</v>
      </c>
      <c r="E6527" s="161" t="s">
        <v>102</v>
      </c>
      <c r="F6527" s="163" t="s">
        <v>3093</v>
      </c>
      <c r="G6527" s="163">
        <v>3.75</v>
      </c>
      <c r="H6527" s="161" t="s">
        <v>7138</v>
      </c>
      <c r="I6527" s="161"/>
    </row>
    <row r="6528" spans="1:9">
      <c r="A6528" s="161">
        <v>910100379</v>
      </c>
      <c r="B6528" s="161" t="s">
        <v>2590</v>
      </c>
      <c r="C6528" s="161">
        <v>90106029</v>
      </c>
      <c r="D6528" s="161" t="s">
        <v>3093</v>
      </c>
      <c r="E6528" s="161" t="s">
        <v>102</v>
      </c>
      <c r="F6528" s="163" t="s">
        <v>3093</v>
      </c>
      <c r="G6528" s="163">
        <v>0</v>
      </c>
      <c r="H6528" s="161" t="s">
        <v>7138</v>
      </c>
      <c r="I6528" s="161"/>
    </row>
    <row r="6529" spans="1:9">
      <c r="A6529" s="161">
        <v>910100380</v>
      </c>
      <c r="B6529" s="161" t="s">
        <v>2591</v>
      </c>
      <c r="C6529" s="161">
        <v>90106039</v>
      </c>
      <c r="D6529" s="161" t="s">
        <v>3093</v>
      </c>
      <c r="E6529" s="161" t="s">
        <v>102</v>
      </c>
      <c r="F6529" s="163" t="s">
        <v>3093</v>
      </c>
      <c r="G6529" s="163">
        <v>20.58</v>
      </c>
      <c r="H6529" s="161" t="s">
        <v>7138</v>
      </c>
      <c r="I6529" s="161"/>
    </row>
    <row r="6530" spans="1:9">
      <c r="A6530" s="161">
        <v>910100381</v>
      </c>
      <c r="B6530" s="161" t="s">
        <v>7432</v>
      </c>
      <c r="C6530" s="161">
        <v>90106045</v>
      </c>
      <c r="D6530" s="161" t="s">
        <v>3093</v>
      </c>
      <c r="E6530" s="161" t="s">
        <v>102</v>
      </c>
      <c r="F6530" s="163" t="s">
        <v>3093</v>
      </c>
      <c r="G6530" s="163">
        <v>12.67</v>
      </c>
      <c r="H6530" s="161" t="s">
        <v>7138</v>
      </c>
      <c r="I6530" s="161"/>
    </row>
    <row r="6531" spans="1:9">
      <c r="A6531" s="161">
        <v>910100382</v>
      </c>
      <c r="B6531" s="161" t="s">
        <v>2592</v>
      </c>
      <c r="C6531" s="161">
        <v>90106041</v>
      </c>
      <c r="D6531" s="161" t="s">
        <v>3093</v>
      </c>
      <c r="E6531" s="161" t="s">
        <v>102</v>
      </c>
      <c r="F6531" s="163" t="s">
        <v>3093</v>
      </c>
      <c r="G6531" s="163">
        <v>3</v>
      </c>
      <c r="H6531" s="161" t="s">
        <v>7138</v>
      </c>
      <c r="I6531" s="161"/>
    </row>
    <row r="6532" spans="1:9">
      <c r="A6532" s="161">
        <v>910100383</v>
      </c>
      <c r="B6532" s="161" t="s">
        <v>2354</v>
      </c>
      <c r="C6532" s="161">
        <v>90105088</v>
      </c>
      <c r="D6532" s="161" t="s">
        <v>3093</v>
      </c>
      <c r="E6532" s="161" t="s">
        <v>516</v>
      </c>
      <c r="F6532" s="163" t="s">
        <v>3093</v>
      </c>
      <c r="G6532" s="163">
        <v>15</v>
      </c>
      <c r="H6532" s="161" t="s">
        <v>7138</v>
      </c>
      <c r="I6532" s="161"/>
    </row>
    <row r="6533" spans="1:9">
      <c r="A6533" s="161">
        <v>910100384</v>
      </c>
      <c r="B6533" s="161" t="s">
        <v>7433</v>
      </c>
      <c r="C6533" s="161">
        <v>90106043</v>
      </c>
      <c r="D6533" s="161" t="s">
        <v>3093</v>
      </c>
      <c r="E6533" s="161" t="s">
        <v>102</v>
      </c>
      <c r="F6533" s="163" t="s">
        <v>3093</v>
      </c>
      <c r="G6533" s="163">
        <v>16</v>
      </c>
      <c r="H6533" s="161" t="s">
        <v>7138</v>
      </c>
      <c r="I6533" s="161"/>
    </row>
    <row r="6534" spans="1:9">
      <c r="A6534" s="161">
        <v>910100385</v>
      </c>
      <c r="B6534" s="161" t="s">
        <v>2593</v>
      </c>
      <c r="C6534" s="161">
        <v>90106040</v>
      </c>
      <c r="D6534" s="161" t="s">
        <v>3093</v>
      </c>
      <c r="E6534" s="161" t="s">
        <v>102</v>
      </c>
      <c r="F6534" s="163" t="s">
        <v>3093</v>
      </c>
      <c r="G6534" s="163">
        <v>2.5499999999999998</v>
      </c>
      <c r="H6534" s="161" t="s">
        <v>7138</v>
      </c>
      <c r="I6534" s="161"/>
    </row>
    <row r="6535" spans="1:9">
      <c r="A6535" s="161">
        <v>910100386</v>
      </c>
      <c r="B6535" s="161" t="s">
        <v>7434</v>
      </c>
      <c r="C6535" s="161">
        <v>90101016</v>
      </c>
      <c r="D6535" s="161" t="s">
        <v>3093</v>
      </c>
      <c r="E6535" s="161" t="s">
        <v>102</v>
      </c>
      <c r="F6535" s="163" t="s">
        <v>3093</v>
      </c>
      <c r="G6535" s="163">
        <v>3</v>
      </c>
      <c r="H6535" s="161" t="s">
        <v>7138</v>
      </c>
      <c r="I6535" s="161"/>
    </row>
    <row r="6536" spans="1:9">
      <c r="A6536" s="161">
        <v>910100387</v>
      </c>
      <c r="B6536" s="161" t="s">
        <v>2506</v>
      </c>
      <c r="C6536" s="161">
        <v>90502072</v>
      </c>
      <c r="D6536" s="161" t="s">
        <v>3093</v>
      </c>
      <c r="E6536" s="161" t="s">
        <v>102</v>
      </c>
      <c r="F6536" s="163" t="s">
        <v>3093</v>
      </c>
      <c r="G6536" s="163">
        <v>0</v>
      </c>
      <c r="H6536" s="161" t="s">
        <v>7138</v>
      </c>
      <c r="I6536" s="161"/>
    </row>
    <row r="6537" spans="1:9">
      <c r="A6537" s="161">
        <v>910100388</v>
      </c>
      <c r="B6537" s="161" t="s">
        <v>7435</v>
      </c>
      <c r="C6537" s="161">
        <v>90305063</v>
      </c>
      <c r="D6537" s="161" t="s">
        <v>3093</v>
      </c>
      <c r="E6537" s="161" t="s">
        <v>102</v>
      </c>
      <c r="F6537" s="163" t="s">
        <v>3093</v>
      </c>
      <c r="G6537" s="163">
        <v>7.0000000000000007E-2</v>
      </c>
      <c r="H6537" s="161" t="s">
        <v>7138</v>
      </c>
      <c r="I6537" s="161"/>
    </row>
    <row r="6538" spans="1:9">
      <c r="A6538" s="161">
        <v>910100389</v>
      </c>
      <c r="B6538" s="161" t="s">
        <v>2617</v>
      </c>
      <c r="C6538" s="161">
        <v>90110019</v>
      </c>
      <c r="D6538" s="161" t="s">
        <v>3093</v>
      </c>
      <c r="E6538" s="161" t="s">
        <v>102</v>
      </c>
      <c r="F6538" s="163" t="s">
        <v>3093</v>
      </c>
      <c r="G6538" s="163">
        <v>0.75</v>
      </c>
      <c r="H6538" s="161" t="s">
        <v>7138</v>
      </c>
      <c r="I6538" s="161"/>
    </row>
    <row r="6539" spans="1:9">
      <c r="A6539" s="161">
        <v>910100390</v>
      </c>
      <c r="B6539" s="161" t="s">
        <v>2355</v>
      </c>
      <c r="C6539" s="161">
        <v>90105019</v>
      </c>
      <c r="D6539" s="161" t="s">
        <v>3093</v>
      </c>
      <c r="E6539" s="161" t="s">
        <v>1200</v>
      </c>
      <c r="F6539" s="163" t="s">
        <v>3093</v>
      </c>
      <c r="G6539" s="163">
        <v>5.93</v>
      </c>
      <c r="H6539" s="161" t="s">
        <v>7138</v>
      </c>
      <c r="I6539" s="161"/>
    </row>
    <row r="6540" spans="1:9">
      <c r="A6540" s="161">
        <v>910100391</v>
      </c>
      <c r="B6540" s="161" t="s">
        <v>7436</v>
      </c>
      <c r="C6540" s="161">
        <v>90503067</v>
      </c>
      <c r="D6540" s="161" t="s">
        <v>3093</v>
      </c>
      <c r="E6540" s="161" t="s">
        <v>102</v>
      </c>
      <c r="F6540" s="163" t="s">
        <v>3093</v>
      </c>
      <c r="G6540" s="163">
        <v>0</v>
      </c>
      <c r="H6540" s="161" t="s">
        <v>7138</v>
      </c>
      <c r="I6540" s="161"/>
    </row>
    <row r="6541" spans="1:9">
      <c r="A6541" s="161">
        <v>910100392</v>
      </c>
      <c r="B6541" s="161" t="s">
        <v>7437</v>
      </c>
      <c r="C6541" s="161">
        <v>90503069</v>
      </c>
      <c r="D6541" s="161" t="s">
        <v>3093</v>
      </c>
      <c r="E6541" s="161" t="s">
        <v>102</v>
      </c>
      <c r="F6541" s="163" t="s">
        <v>3093</v>
      </c>
      <c r="G6541" s="163">
        <v>0</v>
      </c>
      <c r="H6541" s="161" t="s">
        <v>7138</v>
      </c>
      <c r="I6541" s="161"/>
    </row>
    <row r="6542" spans="1:9">
      <c r="A6542" s="161">
        <v>910100393</v>
      </c>
      <c r="B6542" s="161" t="s">
        <v>7438</v>
      </c>
      <c r="C6542" s="161">
        <v>90503070</v>
      </c>
      <c r="D6542" s="161" t="s">
        <v>3093</v>
      </c>
      <c r="E6542" s="161" t="s">
        <v>102</v>
      </c>
      <c r="F6542" s="163" t="s">
        <v>3093</v>
      </c>
      <c r="G6542" s="163">
        <v>0</v>
      </c>
      <c r="H6542" s="161" t="s">
        <v>7138</v>
      </c>
      <c r="I6542" s="161"/>
    </row>
    <row r="6543" spans="1:9">
      <c r="A6543" s="161">
        <v>910100394</v>
      </c>
      <c r="B6543" s="161" t="s">
        <v>7439</v>
      </c>
      <c r="C6543" s="161">
        <v>90503071</v>
      </c>
      <c r="D6543" s="161" t="s">
        <v>3093</v>
      </c>
      <c r="E6543" s="161" t="s">
        <v>102</v>
      </c>
      <c r="F6543" s="163" t="s">
        <v>3093</v>
      </c>
      <c r="G6543" s="163">
        <v>0</v>
      </c>
      <c r="H6543" s="161" t="s">
        <v>7138</v>
      </c>
      <c r="I6543" s="161"/>
    </row>
    <row r="6544" spans="1:9">
      <c r="A6544" s="161">
        <v>910100395</v>
      </c>
      <c r="B6544" s="161" t="s">
        <v>7440</v>
      </c>
      <c r="C6544" s="161">
        <v>90103066</v>
      </c>
      <c r="D6544" s="161" t="s">
        <v>3093</v>
      </c>
      <c r="E6544" s="161" t="s">
        <v>8113</v>
      </c>
      <c r="F6544" s="163" t="s">
        <v>3093</v>
      </c>
      <c r="G6544" s="163">
        <v>2.5</v>
      </c>
      <c r="H6544" s="161" t="s">
        <v>7138</v>
      </c>
      <c r="I6544" s="161"/>
    </row>
    <row r="6545" spans="1:9">
      <c r="A6545" s="161">
        <v>910100396</v>
      </c>
      <c r="B6545" s="161" t="s">
        <v>1676</v>
      </c>
      <c r="C6545" s="161">
        <v>90103090</v>
      </c>
      <c r="D6545" s="161" t="s">
        <v>3093</v>
      </c>
      <c r="E6545" s="161" t="s">
        <v>1620</v>
      </c>
      <c r="F6545" s="163" t="s">
        <v>3093</v>
      </c>
      <c r="G6545" s="163">
        <v>0.95</v>
      </c>
      <c r="H6545" s="161" t="s">
        <v>7138</v>
      </c>
      <c r="I6545" s="161"/>
    </row>
    <row r="6546" spans="1:9">
      <c r="A6546" s="161">
        <v>910100397</v>
      </c>
      <c r="B6546" s="161" t="s">
        <v>2519</v>
      </c>
      <c r="C6546" s="161">
        <v>90503068</v>
      </c>
      <c r="D6546" s="161" t="s">
        <v>3093</v>
      </c>
      <c r="E6546" s="161" t="s">
        <v>102</v>
      </c>
      <c r="F6546" s="163" t="s">
        <v>3093</v>
      </c>
      <c r="G6546" s="163">
        <v>0</v>
      </c>
      <c r="H6546" s="161" t="s">
        <v>7138</v>
      </c>
      <c r="I6546" s="161"/>
    </row>
    <row r="6547" spans="1:9">
      <c r="A6547" s="161">
        <v>910100398</v>
      </c>
      <c r="B6547" s="161" t="s">
        <v>7441</v>
      </c>
      <c r="C6547" s="161">
        <v>90503124</v>
      </c>
      <c r="D6547" s="161" t="s">
        <v>3093</v>
      </c>
      <c r="E6547" s="161" t="s">
        <v>102</v>
      </c>
      <c r="F6547" s="163" t="s">
        <v>3093</v>
      </c>
      <c r="G6547" s="163">
        <v>10.199999999999999</v>
      </c>
      <c r="H6547" s="161" t="s">
        <v>7138</v>
      </c>
      <c r="I6547" s="161"/>
    </row>
    <row r="6548" spans="1:9">
      <c r="A6548" s="161">
        <v>910100399</v>
      </c>
      <c r="B6548" s="161" t="s">
        <v>7442</v>
      </c>
      <c r="C6548" s="161">
        <v>90503123</v>
      </c>
      <c r="D6548" s="161" t="s">
        <v>3093</v>
      </c>
      <c r="E6548" s="161" t="s">
        <v>102</v>
      </c>
      <c r="F6548" s="163" t="s">
        <v>3093</v>
      </c>
      <c r="G6548" s="163">
        <v>10.199999999999999</v>
      </c>
      <c r="H6548" s="161" t="s">
        <v>7138</v>
      </c>
      <c r="I6548" s="161"/>
    </row>
    <row r="6549" spans="1:9">
      <c r="A6549" s="161">
        <v>910100400</v>
      </c>
      <c r="B6549" s="161" t="s">
        <v>7443</v>
      </c>
      <c r="C6549" s="161">
        <v>90503126</v>
      </c>
      <c r="D6549" s="161" t="s">
        <v>3093</v>
      </c>
      <c r="E6549" s="161" t="s">
        <v>102</v>
      </c>
      <c r="F6549" s="163" t="s">
        <v>3093</v>
      </c>
      <c r="G6549" s="163">
        <v>10.199999999999999</v>
      </c>
      <c r="H6549" s="161" t="s">
        <v>7138</v>
      </c>
      <c r="I6549" s="161"/>
    </row>
    <row r="6550" spans="1:9">
      <c r="A6550" s="161">
        <v>910100401</v>
      </c>
      <c r="B6550" s="161" t="s">
        <v>7444</v>
      </c>
      <c r="C6550" s="161">
        <v>90503125</v>
      </c>
      <c r="D6550" s="161" t="s">
        <v>3093</v>
      </c>
      <c r="E6550" s="161" t="s">
        <v>102</v>
      </c>
      <c r="F6550" s="163" t="s">
        <v>3093</v>
      </c>
      <c r="G6550" s="163">
        <v>10.199999999999999</v>
      </c>
      <c r="H6550" s="161" t="s">
        <v>7138</v>
      </c>
      <c r="I6550" s="161"/>
    </row>
    <row r="6551" spans="1:9">
      <c r="A6551" s="161">
        <v>910100402</v>
      </c>
      <c r="B6551" s="161" t="s">
        <v>7445</v>
      </c>
      <c r="C6551" s="161">
        <v>90503089</v>
      </c>
      <c r="D6551" s="161" t="s">
        <v>3093</v>
      </c>
      <c r="E6551" s="161" t="s">
        <v>102</v>
      </c>
      <c r="F6551" s="163" t="s">
        <v>3093</v>
      </c>
      <c r="G6551" s="163">
        <v>0</v>
      </c>
      <c r="H6551" s="161" t="s">
        <v>7138</v>
      </c>
      <c r="I6551" s="161"/>
    </row>
    <row r="6552" spans="1:9">
      <c r="A6552" s="161">
        <v>910100403</v>
      </c>
      <c r="B6552" s="161" t="s">
        <v>7446</v>
      </c>
      <c r="C6552" s="161">
        <v>90503129</v>
      </c>
      <c r="D6552" s="161" t="s">
        <v>3093</v>
      </c>
      <c r="E6552" s="161" t="s">
        <v>102</v>
      </c>
      <c r="F6552" s="163" t="s">
        <v>3093</v>
      </c>
      <c r="G6552" s="163">
        <v>0</v>
      </c>
      <c r="H6552" s="161" t="s">
        <v>7138</v>
      </c>
      <c r="I6552" s="161"/>
    </row>
    <row r="6553" spans="1:9">
      <c r="A6553" s="161">
        <v>910100404</v>
      </c>
      <c r="B6553" s="161" t="s">
        <v>7447</v>
      </c>
      <c r="C6553" s="161">
        <v>90503087</v>
      </c>
      <c r="D6553" s="161" t="s">
        <v>3093</v>
      </c>
      <c r="E6553" s="161" t="s">
        <v>102</v>
      </c>
      <c r="F6553" s="163" t="s">
        <v>3093</v>
      </c>
      <c r="G6553" s="163">
        <v>0</v>
      </c>
      <c r="H6553" s="161" t="s">
        <v>7138</v>
      </c>
      <c r="I6553" s="161"/>
    </row>
    <row r="6554" spans="1:9">
      <c r="A6554" s="161">
        <v>910100405</v>
      </c>
      <c r="B6554" s="161" t="s">
        <v>7448</v>
      </c>
      <c r="C6554" s="161">
        <v>90503088</v>
      </c>
      <c r="D6554" s="161" t="s">
        <v>3093</v>
      </c>
      <c r="E6554" s="161" t="s">
        <v>102</v>
      </c>
      <c r="F6554" s="163" t="s">
        <v>3093</v>
      </c>
      <c r="G6554" s="163">
        <v>9.9499999999999993</v>
      </c>
      <c r="H6554" s="161" t="s">
        <v>7138</v>
      </c>
      <c r="I6554" s="161"/>
    </row>
    <row r="6555" spans="1:9">
      <c r="A6555" s="161">
        <v>910100406</v>
      </c>
      <c r="B6555" s="161" t="s">
        <v>7449</v>
      </c>
      <c r="C6555" s="161">
        <v>90503130</v>
      </c>
      <c r="D6555" s="161" t="s">
        <v>3093</v>
      </c>
      <c r="E6555" s="161" t="s">
        <v>102</v>
      </c>
      <c r="F6555" s="163" t="s">
        <v>3093</v>
      </c>
      <c r="G6555" s="163">
        <v>0</v>
      </c>
      <c r="H6555" s="161" t="s">
        <v>7138</v>
      </c>
      <c r="I6555" s="161"/>
    </row>
    <row r="6556" spans="1:9">
      <c r="A6556" s="161">
        <v>910100407</v>
      </c>
      <c r="B6556" s="161" t="s">
        <v>7450</v>
      </c>
      <c r="C6556" s="161">
        <v>90503131</v>
      </c>
      <c r="D6556" s="161" t="s">
        <v>3093</v>
      </c>
      <c r="E6556" s="161" t="s">
        <v>102</v>
      </c>
      <c r="F6556" s="163" t="s">
        <v>3093</v>
      </c>
      <c r="G6556" s="163">
        <v>0</v>
      </c>
      <c r="H6556" s="161" t="s">
        <v>7138</v>
      </c>
      <c r="I6556" s="161"/>
    </row>
    <row r="6557" spans="1:9">
      <c r="A6557" s="161">
        <v>910100408</v>
      </c>
      <c r="B6557" s="161" t="s">
        <v>7451</v>
      </c>
      <c r="C6557" s="161">
        <v>90503132</v>
      </c>
      <c r="D6557" s="161" t="s">
        <v>3093</v>
      </c>
      <c r="E6557" s="161" t="s">
        <v>102</v>
      </c>
      <c r="F6557" s="163" t="s">
        <v>3093</v>
      </c>
      <c r="G6557" s="163">
        <v>0</v>
      </c>
      <c r="H6557" s="161" t="s">
        <v>7138</v>
      </c>
      <c r="I6557" s="161"/>
    </row>
    <row r="6558" spans="1:9">
      <c r="A6558" s="161">
        <v>910100409</v>
      </c>
      <c r="B6558" s="161" t="s">
        <v>7452</v>
      </c>
      <c r="C6558" s="161">
        <v>90503133</v>
      </c>
      <c r="D6558" s="161" t="s">
        <v>3093</v>
      </c>
      <c r="E6558" s="161" t="s">
        <v>102</v>
      </c>
      <c r="F6558" s="163" t="s">
        <v>3093</v>
      </c>
      <c r="G6558" s="163">
        <v>0</v>
      </c>
      <c r="H6558" s="161" t="s">
        <v>7138</v>
      </c>
      <c r="I6558" s="161"/>
    </row>
    <row r="6559" spans="1:9">
      <c r="A6559" s="161">
        <v>910100410</v>
      </c>
      <c r="B6559" s="161" t="s">
        <v>7453</v>
      </c>
      <c r="C6559" s="161">
        <v>90503083</v>
      </c>
      <c r="D6559" s="161" t="s">
        <v>3093</v>
      </c>
      <c r="E6559" s="161" t="s">
        <v>102</v>
      </c>
      <c r="F6559" s="163" t="s">
        <v>3093</v>
      </c>
      <c r="G6559" s="163">
        <v>0</v>
      </c>
      <c r="H6559" s="161" t="s">
        <v>7138</v>
      </c>
      <c r="I6559" s="161"/>
    </row>
    <row r="6560" spans="1:9">
      <c r="A6560" s="161">
        <v>910100411</v>
      </c>
      <c r="B6560" s="161" t="s">
        <v>7454</v>
      </c>
      <c r="C6560" s="161">
        <v>90503086</v>
      </c>
      <c r="D6560" s="161" t="s">
        <v>3093</v>
      </c>
      <c r="E6560" s="161" t="s">
        <v>102</v>
      </c>
      <c r="F6560" s="163" t="s">
        <v>3093</v>
      </c>
      <c r="G6560" s="163">
        <v>0</v>
      </c>
      <c r="H6560" s="161" t="s">
        <v>7138</v>
      </c>
      <c r="I6560" s="161"/>
    </row>
    <row r="6561" spans="1:9">
      <c r="A6561" s="161">
        <v>910100412</v>
      </c>
      <c r="B6561" s="161" t="s">
        <v>7455</v>
      </c>
      <c r="C6561" s="161">
        <v>90503085</v>
      </c>
      <c r="D6561" s="161" t="s">
        <v>3093</v>
      </c>
      <c r="E6561" s="161" t="s">
        <v>102</v>
      </c>
      <c r="F6561" s="163" t="s">
        <v>3093</v>
      </c>
      <c r="G6561" s="163">
        <v>0</v>
      </c>
      <c r="H6561" s="161" t="s">
        <v>7138</v>
      </c>
      <c r="I6561" s="161"/>
    </row>
    <row r="6562" spans="1:9">
      <c r="A6562" s="161">
        <v>910100413</v>
      </c>
      <c r="B6562" s="161" t="s">
        <v>7456</v>
      </c>
      <c r="C6562" s="161">
        <v>90503084</v>
      </c>
      <c r="D6562" s="161" t="s">
        <v>3093</v>
      </c>
      <c r="E6562" s="161" t="s">
        <v>102</v>
      </c>
      <c r="F6562" s="163" t="s">
        <v>3093</v>
      </c>
      <c r="G6562" s="163">
        <v>0</v>
      </c>
      <c r="H6562" s="161" t="s">
        <v>7138</v>
      </c>
      <c r="I6562" s="161"/>
    </row>
    <row r="6563" spans="1:9">
      <c r="A6563" s="161">
        <v>910100414</v>
      </c>
      <c r="B6563" s="161" t="s">
        <v>7457</v>
      </c>
      <c r="C6563" s="161">
        <v>90503104</v>
      </c>
      <c r="D6563" s="161" t="s">
        <v>3093</v>
      </c>
      <c r="E6563" s="161" t="s">
        <v>1620</v>
      </c>
      <c r="F6563" s="163" t="s">
        <v>3093</v>
      </c>
      <c r="G6563" s="163">
        <v>0</v>
      </c>
      <c r="H6563" s="161" t="s">
        <v>7138</v>
      </c>
      <c r="I6563" s="161"/>
    </row>
    <row r="6564" spans="1:9">
      <c r="A6564" s="161">
        <v>910100415</v>
      </c>
      <c r="B6564" s="161" t="s">
        <v>7458</v>
      </c>
      <c r="C6564" s="161">
        <v>90503103</v>
      </c>
      <c r="D6564" s="161" t="s">
        <v>3093</v>
      </c>
      <c r="E6564" s="161" t="s">
        <v>1620</v>
      </c>
      <c r="F6564" s="163" t="s">
        <v>3093</v>
      </c>
      <c r="G6564" s="163">
        <v>0</v>
      </c>
      <c r="H6564" s="161" t="s">
        <v>7138</v>
      </c>
      <c r="I6564" s="161"/>
    </row>
    <row r="6565" spans="1:9">
      <c r="A6565" s="161">
        <v>910100416</v>
      </c>
      <c r="B6565" s="161" t="s">
        <v>2520</v>
      </c>
      <c r="C6565" s="161">
        <v>90503072</v>
      </c>
      <c r="D6565" s="161" t="s">
        <v>3093</v>
      </c>
      <c r="E6565" s="161" t="s">
        <v>102</v>
      </c>
      <c r="F6565" s="163" t="s">
        <v>3093</v>
      </c>
      <c r="G6565" s="163">
        <v>0</v>
      </c>
      <c r="H6565" s="161" t="s">
        <v>7138</v>
      </c>
      <c r="I6565" s="161"/>
    </row>
    <row r="6566" spans="1:9">
      <c r="A6566" s="161">
        <v>910100417</v>
      </c>
      <c r="B6566" s="161" t="s">
        <v>7459</v>
      </c>
      <c r="C6566" s="161">
        <v>90103067</v>
      </c>
      <c r="D6566" s="161" t="s">
        <v>3093</v>
      </c>
      <c r="E6566" s="161" t="s">
        <v>102</v>
      </c>
      <c r="F6566" s="163" t="s">
        <v>3093</v>
      </c>
      <c r="G6566" s="163">
        <v>7.34</v>
      </c>
      <c r="H6566" s="161" t="s">
        <v>7138</v>
      </c>
      <c r="I6566" s="161"/>
    </row>
    <row r="6567" spans="1:9">
      <c r="A6567" s="161">
        <v>910100418</v>
      </c>
      <c r="B6567" s="161" t="s">
        <v>7460</v>
      </c>
      <c r="C6567" s="161">
        <v>90501157</v>
      </c>
      <c r="D6567" s="161" t="s">
        <v>3093</v>
      </c>
      <c r="E6567" s="161" t="s">
        <v>102</v>
      </c>
      <c r="F6567" s="163" t="s">
        <v>3093</v>
      </c>
      <c r="G6567" s="163">
        <v>0</v>
      </c>
      <c r="H6567" s="161" t="s">
        <v>7138</v>
      </c>
      <c r="I6567" s="161"/>
    </row>
    <row r="6568" spans="1:9">
      <c r="A6568" s="161">
        <v>910100419</v>
      </c>
      <c r="B6568" s="161" t="s">
        <v>7461</v>
      </c>
      <c r="C6568" s="161">
        <v>90501130</v>
      </c>
      <c r="D6568" s="161" t="s">
        <v>3093</v>
      </c>
      <c r="E6568" s="161" t="s">
        <v>102</v>
      </c>
      <c r="F6568" s="163" t="s">
        <v>3093</v>
      </c>
      <c r="G6568" s="163">
        <v>0</v>
      </c>
      <c r="H6568" s="161" t="s">
        <v>7138</v>
      </c>
      <c r="I6568" s="161"/>
    </row>
    <row r="6569" spans="1:9">
      <c r="A6569" s="161">
        <v>910100420</v>
      </c>
      <c r="B6569" s="161" t="s">
        <v>7462</v>
      </c>
      <c r="C6569" s="161">
        <v>90501001</v>
      </c>
      <c r="D6569" s="161" t="s">
        <v>3093</v>
      </c>
      <c r="E6569" s="161" t="s">
        <v>102</v>
      </c>
      <c r="F6569" s="163" t="s">
        <v>3093</v>
      </c>
      <c r="G6569" s="163">
        <v>0</v>
      </c>
      <c r="H6569" s="161" t="s">
        <v>7138</v>
      </c>
      <c r="I6569" s="161"/>
    </row>
    <row r="6570" spans="1:9">
      <c r="A6570" s="161">
        <v>910100421</v>
      </c>
      <c r="B6570" s="161" t="s">
        <v>7463</v>
      </c>
      <c r="C6570" s="161">
        <v>90501037</v>
      </c>
      <c r="D6570" s="161" t="s">
        <v>3093</v>
      </c>
      <c r="E6570" s="161" t="s">
        <v>102</v>
      </c>
      <c r="F6570" s="163" t="s">
        <v>3093</v>
      </c>
      <c r="G6570" s="163">
        <v>0</v>
      </c>
      <c r="H6570" s="161" t="s">
        <v>7138</v>
      </c>
      <c r="I6570" s="161"/>
    </row>
    <row r="6571" spans="1:9">
      <c r="A6571" s="161">
        <v>910100422</v>
      </c>
      <c r="B6571" s="161" t="s">
        <v>7464</v>
      </c>
      <c r="C6571" s="161">
        <v>90501039</v>
      </c>
      <c r="D6571" s="161" t="s">
        <v>3093</v>
      </c>
      <c r="E6571" s="161" t="s">
        <v>102</v>
      </c>
      <c r="F6571" s="163" t="s">
        <v>3093</v>
      </c>
      <c r="G6571" s="163">
        <v>0</v>
      </c>
      <c r="H6571" s="161" t="s">
        <v>7138</v>
      </c>
      <c r="I6571" s="161"/>
    </row>
    <row r="6572" spans="1:9">
      <c r="A6572" s="161">
        <v>910100423</v>
      </c>
      <c r="B6572" s="161" t="s">
        <v>7465</v>
      </c>
      <c r="C6572" s="161">
        <v>90501038</v>
      </c>
      <c r="D6572" s="161" t="s">
        <v>3093</v>
      </c>
      <c r="E6572" s="161" t="s">
        <v>102</v>
      </c>
      <c r="F6572" s="163" t="s">
        <v>3093</v>
      </c>
      <c r="G6572" s="163">
        <v>0</v>
      </c>
      <c r="H6572" s="161" t="s">
        <v>7138</v>
      </c>
      <c r="I6572" s="161"/>
    </row>
    <row r="6573" spans="1:9">
      <c r="A6573" s="161">
        <v>910100424</v>
      </c>
      <c r="B6573" s="161" t="s">
        <v>7466</v>
      </c>
      <c r="C6573" s="161">
        <v>90501036</v>
      </c>
      <c r="D6573" s="161" t="s">
        <v>3093</v>
      </c>
      <c r="E6573" s="161" t="s">
        <v>102</v>
      </c>
      <c r="F6573" s="163" t="s">
        <v>3093</v>
      </c>
      <c r="G6573" s="163">
        <v>0</v>
      </c>
      <c r="H6573" s="161" t="s">
        <v>7138</v>
      </c>
      <c r="I6573" s="161"/>
    </row>
    <row r="6574" spans="1:9">
      <c r="A6574" s="161">
        <v>910100425</v>
      </c>
      <c r="B6574" s="161" t="s">
        <v>7467</v>
      </c>
      <c r="C6574" s="161">
        <v>90501108</v>
      </c>
      <c r="D6574" s="161" t="s">
        <v>3093</v>
      </c>
      <c r="E6574" s="161" t="s">
        <v>102</v>
      </c>
      <c r="F6574" s="163" t="s">
        <v>3093</v>
      </c>
      <c r="G6574" s="163">
        <v>59.7</v>
      </c>
      <c r="H6574" s="161" t="s">
        <v>7138</v>
      </c>
      <c r="I6574" s="161"/>
    </row>
    <row r="6575" spans="1:9">
      <c r="A6575" s="161">
        <v>910100426</v>
      </c>
      <c r="B6575" s="161" t="s">
        <v>7468</v>
      </c>
      <c r="C6575" s="161">
        <v>90501034</v>
      </c>
      <c r="D6575" s="161" t="s">
        <v>3093</v>
      </c>
      <c r="E6575" s="161" t="s">
        <v>102</v>
      </c>
      <c r="F6575" s="163" t="s">
        <v>3093</v>
      </c>
      <c r="G6575" s="163">
        <v>0</v>
      </c>
      <c r="H6575" s="161" t="s">
        <v>7138</v>
      </c>
      <c r="I6575" s="161"/>
    </row>
    <row r="6576" spans="1:9">
      <c r="A6576" s="161">
        <v>910100427</v>
      </c>
      <c r="B6576" s="161" t="s">
        <v>7469</v>
      </c>
      <c r="C6576" s="161">
        <v>90501098</v>
      </c>
      <c r="D6576" s="161" t="s">
        <v>3093</v>
      </c>
      <c r="E6576" s="161" t="s">
        <v>102</v>
      </c>
      <c r="F6576" s="163" t="s">
        <v>3093</v>
      </c>
      <c r="G6576" s="163">
        <v>0</v>
      </c>
      <c r="H6576" s="161" t="s">
        <v>7138</v>
      </c>
      <c r="I6576" s="161"/>
    </row>
    <row r="6577" spans="1:9">
      <c r="A6577" s="161">
        <v>910100428</v>
      </c>
      <c r="B6577" s="161" t="s">
        <v>7470</v>
      </c>
      <c r="C6577" s="161">
        <v>90501096</v>
      </c>
      <c r="D6577" s="161" t="s">
        <v>3093</v>
      </c>
      <c r="E6577" s="161" t="s">
        <v>102</v>
      </c>
      <c r="F6577" s="163" t="s">
        <v>3093</v>
      </c>
      <c r="G6577" s="163">
        <v>0</v>
      </c>
      <c r="H6577" s="161" t="s">
        <v>7138</v>
      </c>
      <c r="I6577" s="161"/>
    </row>
    <row r="6578" spans="1:9">
      <c r="A6578" s="161">
        <v>910100429</v>
      </c>
      <c r="B6578" s="161" t="s">
        <v>2477</v>
      </c>
      <c r="C6578" s="161">
        <v>90501002</v>
      </c>
      <c r="D6578" s="161" t="s">
        <v>3093</v>
      </c>
      <c r="E6578" s="161" t="s">
        <v>102</v>
      </c>
      <c r="F6578" s="163" t="s">
        <v>3093</v>
      </c>
      <c r="G6578" s="163">
        <v>0</v>
      </c>
      <c r="H6578" s="161" t="s">
        <v>7138</v>
      </c>
      <c r="I6578" s="161"/>
    </row>
    <row r="6579" spans="1:9">
      <c r="A6579" s="161">
        <v>910100430</v>
      </c>
      <c r="B6579" s="161" t="s">
        <v>2507</v>
      </c>
      <c r="C6579" s="161">
        <v>90502080</v>
      </c>
      <c r="D6579" s="161" t="s">
        <v>3093</v>
      </c>
      <c r="E6579" s="161" t="s">
        <v>102</v>
      </c>
      <c r="F6579" s="163" t="s">
        <v>3093</v>
      </c>
      <c r="G6579" s="163">
        <v>0</v>
      </c>
      <c r="H6579" s="161" t="s">
        <v>7138</v>
      </c>
      <c r="I6579" s="161"/>
    </row>
    <row r="6580" spans="1:9">
      <c r="A6580" s="161">
        <v>910100431</v>
      </c>
      <c r="B6580" s="161" t="s">
        <v>7471</v>
      </c>
      <c r="C6580" s="161">
        <v>90501085</v>
      </c>
      <c r="D6580" s="161" t="s">
        <v>3093</v>
      </c>
      <c r="E6580" s="161" t="s">
        <v>102</v>
      </c>
      <c r="F6580" s="163" t="s">
        <v>3093</v>
      </c>
      <c r="G6580" s="163">
        <v>104.61</v>
      </c>
      <c r="H6580" s="161" t="s">
        <v>7138</v>
      </c>
      <c r="I6580" s="161"/>
    </row>
    <row r="6581" spans="1:9">
      <c r="A6581" s="161">
        <v>910100432</v>
      </c>
      <c r="B6581" s="161" t="s">
        <v>7472</v>
      </c>
      <c r="C6581" s="161">
        <v>90501084</v>
      </c>
      <c r="D6581" s="161" t="s">
        <v>3093</v>
      </c>
      <c r="E6581" s="161" t="s">
        <v>102</v>
      </c>
      <c r="F6581" s="163" t="s">
        <v>3093</v>
      </c>
      <c r="G6581" s="163">
        <v>0</v>
      </c>
      <c r="H6581" s="161" t="s">
        <v>7138</v>
      </c>
      <c r="I6581" s="161"/>
    </row>
    <row r="6582" spans="1:9">
      <c r="A6582" s="161">
        <v>910100433</v>
      </c>
      <c r="B6582" s="161" t="s">
        <v>7473</v>
      </c>
      <c r="C6582" s="161">
        <v>90501086</v>
      </c>
      <c r="D6582" s="161" t="s">
        <v>3093</v>
      </c>
      <c r="E6582" s="161" t="s">
        <v>102</v>
      </c>
      <c r="F6582" s="163" t="s">
        <v>3093</v>
      </c>
      <c r="G6582" s="163">
        <v>104.61</v>
      </c>
      <c r="H6582" s="161" t="s">
        <v>7138</v>
      </c>
      <c r="I6582" s="161"/>
    </row>
    <row r="6583" spans="1:9">
      <c r="A6583" s="161">
        <v>910100434</v>
      </c>
      <c r="B6583" s="161" t="s">
        <v>7474</v>
      </c>
      <c r="C6583" s="161">
        <v>90501083</v>
      </c>
      <c r="D6583" s="161" t="s">
        <v>3093</v>
      </c>
      <c r="E6583" s="161" t="s">
        <v>102</v>
      </c>
      <c r="F6583" s="163" t="s">
        <v>3093</v>
      </c>
      <c r="G6583" s="163">
        <v>97.5</v>
      </c>
      <c r="H6583" s="161" t="s">
        <v>7138</v>
      </c>
      <c r="I6583" s="161"/>
    </row>
    <row r="6584" spans="1:9">
      <c r="A6584" s="161">
        <v>910100435</v>
      </c>
      <c r="B6584" s="161" t="s">
        <v>7475</v>
      </c>
      <c r="C6584" s="161">
        <v>90501087</v>
      </c>
      <c r="D6584" s="161" t="s">
        <v>3093</v>
      </c>
      <c r="E6584" s="161" t="s">
        <v>102</v>
      </c>
      <c r="F6584" s="163" t="s">
        <v>3093</v>
      </c>
      <c r="G6584" s="163">
        <v>89.9</v>
      </c>
      <c r="H6584" s="161" t="s">
        <v>7138</v>
      </c>
      <c r="I6584" s="161"/>
    </row>
    <row r="6585" spans="1:9">
      <c r="A6585" s="161">
        <v>910100436</v>
      </c>
      <c r="B6585" s="161" t="s">
        <v>7476</v>
      </c>
      <c r="C6585" s="161">
        <v>90501082</v>
      </c>
      <c r="D6585" s="161" t="s">
        <v>3093</v>
      </c>
      <c r="E6585" s="161" t="s">
        <v>102</v>
      </c>
      <c r="F6585" s="163" t="s">
        <v>3093</v>
      </c>
      <c r="G6585" s="163">
        <v>90.31</v>
      </c>
      <c r="H6585" s="161" t="s">
        <v>7138</v>
      </c>
      <c r="I6585" s="161"/>
    </row>
    <row r="6586" spans="1:9">
      <c r="A6586" s="161">
        <v>910100437</v>
      </c>
      <c r="B6586" s="161" t="s">
        <v>7477</v>
      </c>
      <c r="C6586" s="161">
        <v>90501097</v>
      </c>
      <c r="D6586" s="161" t="s">
        <v>3093</v>
      </c>
      <c r="E6586" s="161" t="s">
        <v>102</v>
      </c>
      <c r="F6586" s="163" t="s">
        <v>3093</v>
      </c>
      <c r="G6586" s="163">
        <v>0</v>
      </c>
      <c r="H6586" s="161" t="s">
        <v>7138</v>
      </c>
      <c r="I6586" s="161"/>
    </row>
    <row r="6587" spans="1:9">
      <c r="A6587" s="161">
        <v>910100438</v>
      </c>
      <c r="B6587" s="161" t="s">
        <v>7478</v>
      </c>
      <c r="C6587" s="161">
        <v>90501099</v>
      </c>
      <c r="D6587" s="161" t="s">
        <v>3093</v>
      </c>
      <c r="E6587" s="161" t="s">
        <v>102</v>
      </c>
      <c r="F6587" s="163" t="s">
        <v>3093</v>
      </c>
      <c r="G6587" s="163">
        <v>30</v>
      </c>
      <c r="H6587" s="161" t="s">
        <v>7138</v>
      </c>
      <c r="I6587" s="161"/>
    </row>
    <row r="6588" spans="1:9">
      <c r="A6588" s="161">
        <v>910100439</v>
      </c>
      <c r="B6588" s="161" t="s">
        <v>7479</v>
      </c>
      <c r="C6588" s="161">
        <v>90501094</v>
      </c>
      <c r="D6588" s="161" t="s">
        <v>3093</v>
      </c>
      <c r="E6588" s="161" t="s">
        <v>102</v>
      </c>
      <c r="F6588" s="163" t="s">
        <v>3093</v>
      </c>
      <c r="G6588" s="163">
        <v>90.9</v>
      </c>
      <c r="H6588" s="161" t="s">
        <v>7138</v>
      </c>
      <c r="I6588" s="161"/>
    </row>
    <row r="6589" spans="1:9">
      <c r="A6589" s="161">
        <v>910100440</v>
      </c>
      <c r="B6589" s="161" t="s">
        <v>7480</v>
      </c>
      <c r="C6589" s="161">
        <v>90501093</v>
      </c>
      <c r="D6589" s="161" t="s">
        <v>3093</v>
      </c>
      <c r="E6589" s="161" t="s">
        <v>102</v>
      </c>
      <c r="F6589" s="163" t="s">
        <v>3093</v>
      </c>
      <c r="G6589" s="163">
        <v>103.11</v>
      </c>
      <c r="H6589" s="161" t="s">
        <v>7138</v>
      </c>
      <c r="I6589" s="161"/>
    </row>
    <row r="6590" spans="1:9">
      <c r="A6590" s="161">
        <v>910100441</v>
      </c>
      <c r="B6590" s="161" t="s">
        <v>7481</v>
      </c>
      <c r="C6590" s="161">
        <v>90501092</v>
      </c>
      <c r="D6590" s="161" t="s">
        <v>3093</v>
      </c>
      <c r="E6590" s="161" t="s">
        <v>102</v>
      </c>
      <c r="F6590" s="163" t="s">
        <v>3093</v>
      </c>
      <c r="G6590" s="163">
        <v>19.22</v>
      </c>
      <c r="H6590" s="161" t="s">
        <v>7138</v>
      </c>
      <c r="I6590" s="161"/>
    </row>
    <row r="6591" spans="1:9">
      <c r="A6591" s="161">
        <v>910100442</v>
      </c>
      <c r="B6591" s="161" t="s">
        <v>7482</v>
      </c>
      <c r="C6591" s="161">
        <v>90501091</v>
      </c>
      <c r="D6591" s="161" t="s">
        <v>3093</v>
      </c>
      <c r="E6591" s="161" t="s">
        <v>102</v>
      </c>
      <c r="F6591" s="163" t="s">
        <v>3093</v>
      </c>
      <c r="G6591" s="163">
        <v>0</v>
      </c>
      <c r="H6591" s="161" t="s">
        <v>7138</v>
      </c>
      <c r="I6591" s="161"/>
    </row>
    <row r="6592" spans="1:9">
      <c r="A6592" s="161">
        <v>910100443</v>
      </c>
      <c r="B6592" s="161" t="s">
        <v>7483</v>
      </c>
      <c r="C6592" s="161">
        <v>90501089</v>
      </c>
      <c r="D6592" s="161" t="s">
        <v>3093</v>
      </c>
      <c r="E6592" s="161" t="s">
        <v>102</v>
      </c>
      <c r="F6592" s="163" t="s">
        <v>3093</v>
      </c>
      <c r="G6592" s="163">
        <v>0</v>
      </c>
      <c r="H6592" s="161" t="s">
        <v>7138</v>
      </c>
      <c r="I6592" s="161"/>
    </row>
    <row r="6593" spans="1:9">
      <c r="A6593" s="161">
        <v>910100444</v>
      </c>
      <c r="B6593" s="161" t="s">
        <v>7484</v>
      </c>
      <c r="C6593" s="161">
        <v>90501090</v>
      </c>
      <c r="D6593" s="161" t="s">
        <v>3093</v>
      </c>
      <c r="E6593" s="161" t="s">
        <v>102</v>
      </c>
      <c r="F6593" s="163" t="s">
        <v>3093</v>
      </c>
      <c r="G6593" s="163">
        <v>0</v>
      </c>
      <c r="H6593" s="161" t="s">
        <v>7138</v>
      </c>
      <c r="I6593" s="161"/>
    </row>
    <row r="6594" spans="1:9">
      <c r="A6594" s="161">
        <v>910100445</v>
      </c>
      <c r="B6594" s="161" t="s">
        <v>7485</v>
      </c>
      <c r="C6594" s="161">
        <v>90501088</v>
      </c>
      <c r="D6594" s="161" t="s">
        <v>3093</v>
      </c>
      <c r="E6594" s="161" t="s">
        <v>102</v>
      </c>
      <c r="F6594" s="163" t="s">
        <v>3093</v>
      </c>
      <c r="G6594" s="163">
        <v>0</v>
      </c>
      <c r="H6594" s="161" t="s">
        <v>7138</v>
      </c>
      <c r="I6594" s="161"/>
    </row>
    <row r="6595" spans="1:9">
      <c r="A6595" s="161">
        <v>910100446</v>
      </c>
      <c r="B6595" s="161" t="s">
        <v>7486</v>
      </c>
      <c r="C6595" s="161">
        <v>90501095</v>
      </c>
      <c r="D6595" s="161" t="s">
        <v>3093</v>
      </c>
      <c r="E6595" s="161" t="s">
        <v>102</v>
      </c>
      <c r="F6595" s="163" t="s">
        <v>3093</v>
      </c>
      <c r="G6595" s="163">
        <v>1.7</v>
      </c>
      <c r="H6595" s="161" t="s">
        <v>7138</v>
      </c>
      <c r="I6595" s="161"/>
    </row>
    <row r="6596" spans="1:9">
      <c r="A6596" s="161">
        <v>910100447</v>
      </c>
      <c r="B6596" s="161" t="s">
        <v>7487</v>
      </c>
      <c r="C6596" s="161">
        <v>90501186</v>
      </c>
      <c r="D6596" s="161" t="s">
        <v>3093</v>
      </c>
      <c r="E6596" s="161" t="s">
        <v>102</v>
      </c>
      <c r="F6596" s="163" t="s">
        <v>3093</v>
      </c>
      <c r="G6596" s="163">
        <v>124.98</v>
      </c>
      <c r="H6596" s="161" t="s">
        <v>7138</v>
      </c>
      <c r="I6596" s="161"/>
    </row>
    <row r="6597" spans="1:9">
      <c r="A6597" s="161">
        <v>910100448</v>
      </c>
      <c r="B6597" s="161" t="s">
        <v>7488</v>
      </c>
      <c r="C6597" s="161">
        <v>90501035</v>
      </c>
      <c r="D6597" s="161" t="s">
        <v>3093</v>
      </c>
      <c r="E6597" s="161" t="s">
        <v>102</v>
      </c>
      <c r="F6597" s="163" t="s">
        <v>3093</v>
      </c>
      <c r="G6597" s="163">
        <v>0</v>
      </c>
      <c r="H6597" s="161" t="s">
        <v>7138</v>
      </c>
      <c r="I6597" s="161"/>
    </row>
    <row r="6598" spans="1:9">
      <c r="A6598" s="161">
        <v>910100449</v>
      </c>
      <c r="B6598" s="161" t="s">
        <v>7489</v>
      </c>
      <c r="C6598" s="161">
        <v>90501124</v>
      </c>
      <c r="D6598" s="161" t="s">
        <v>3093</v>
      </c>
      <c r="E6598" s="161" t="s">
        <v>102</v>
      </c>
      <c r="F6598" s="163" t="s">
        <v>3093</v>
      </c>
      <c r="G6598" s="163">
        <v>0</v>
      </c>
      <c r="H6598" s="161" t="s">
        <v>7138</v>
      </c>
      <c r="I6598" s="161"/>
    </row>
    <row r="6599" spans="1:9">
      <c r="A6599" s="161">
        <v>910100450</v>
      </c>
      <c r="B6599" s="161" t="s">
        <v>7490</v>
      </c>
      <c r="C6599" s="161">
        <v>90501146</v>
      </c>
      <c r="D6599" s="161" t="s">
        <v>3093</v>
      </c>
      <c r="E6599" s="161" t="s">
        <v>102</v>
      </c>
      <c r="F6599" s="163" t="s">
        <v>3093</v>
      </c>
      <c r="G6599" s="163">
        <v>77</v>
      </c>
      <c r="H6599" s="161" t="s">
        <v>7138</v>
      </c>
      <c r="I6599" s="161"/>
    </row>
    <row r="6600" spans="1:9">
      <c r="A6600" s="161">
        <v>910100451</v>
      </c>
      <c r="B6600" s="161" t="s">
        <v>7491</v>
      </c>
      <c r="C6600" s="161">
        <v>90501145</v>
      </c>
      <c r="D6600" s="161" t="s">
        <v>3093</v>
      </c>
      <c r="E6600" s="161" t="s">
        <v>102</v>
      </c>
      <c r="F6600" s="163" t="s">
        <v>3093</v>
      </c>
      <c r="G6600" s="163">
        <v>77</v>
      </c>
      <c r="H6600" s="161" t="s">
        <v>7138</v>
      </c>
      <c r="I6600" s="161"/>
    </row>
    <row r="6601" spans="1:9">
      <c r="A6601" s="161">
        <v>910100452</v>
      </c>
      <c r="B6601" s="161" t="s">
        <v>7492</v>
      </c>
      <c r="C6601" s="161">
        <v>90501147</v>
      </c>
      <c r="D6601" s="161" t="s">
        <v>3093</v>
      </c>
      <c r="E6601" s="161" t="s">
        <v>102</v>
      </c>
      <c r="F6601" s="163" t="s">
        <v>3093</v>
      </c>
      <c r="G6601" s="163">
        <v>77</v>
      </c>
      <c r="H6601" s="161" t="s">
        <v>7138</v>
      </c>
      <c r="I6601" s="161"/>
    </row>
    <row r="6602" spans="1:9">
      <c r="A6602" s="161">
        <v>910100453</v>
      </c>
      <c r="B6602" s="161" t="s">
        <v>7493</v>
      </c>
      <c r="C6602" s="161">
        <v>90501144</v>
      </c>
      <c r="D6602" s="161" t="s">
        <v>3093</v>
      </c>
      <c r="E6602" s="161" t="s">
        <v>102</v>
      </c>
      <c r="F6602" s="163" t="s">
        <v>3093</v>
      </c>
      <c r="G6602" s="163">
        <v>65</v>
      </c>
      <c r="H6602" s="161" t="s">
        <v>7138</v>
      </c>
      <c r="I6602" s="161"/>
    </row>
    <row r="6603" spans="1:9">
      <c r="A6603" s="161">
        <v>910100454</v>
      </c>
      <c r="B6603" s="161" t="s">
        <v>7494</v>
      </c>
      <c r="C6603" s="161">
        <v>90501113</v>
      </c>
      <c r="D6603" s="161" t="s">
        <v>3093</v>
      </c>
      <c r="E6603" s="161" t="s">
        <v>102</v>
      </c>
      <c r="F6603" s="163" t="s">
        <v>3093</v>
      </c>
      <c r="G6603" s="163">
        <v>0</v>
      </c>
      <c r="H6603" s="161" t="s">
        <v>7138</v>
      </c>
      <c r="I6603" s="161"/>
    </row>
    <row r="6604" spans="1:9">
      <c r="A6604" s="161">
        <v>910100455</v>
      </c>
      <c r="B6604" s="161" t="s">
        <v>7495</v>
      </c>
      <c r="C6604" s="161">
        <v>90501115</v>
      </c>
      <c r="D6604" s="161" t="s">
        <v>3093</v>
      </c>
      <c r="E6604" s="161" t="s">
        <v>102</v>
      </c>
      <c r="F6604" s="163" t="s">
        <v>3093</v>
      </c>
      <c r="G6604" s="163">
        <v>0</v>
      </c>
      <c r="H6604" s="161" t="s">
        <v>7138</v>
      </c>
      <c r="I6604" s="161"/>
    </row>
    <row r="6605" spans="1:9">
      <c r="A6605" s="161">
        <v>910100456</v>
      </c>
      <c r="B6605" s="161" t="s">
        <v>7496</v>
      </c>
      <c r="C6605" s="161">
        <v>90501114</v>
      </c>
      <c r="D6605" s="161" t="s">
        <v>3093</v>
      </c>
      <c r="E6605" s="161" t="s">
        <v>102</v>
      </c>
      <c r="F6605" s="163" t="s">
        <v>3093</v>
      </c>
      <c r="G6605" s="163">
        <v>0</v>
      </c>
      <c r="H6605" s="161" t="s">
        <v>7138</v>
      </c>
      <c r="I6605" s="161"/>
    </row>
    <row r="6606" spans="1:9">
      <c r="A6606" s="161">
        <v>910100457</v>
      </c>
      <c r="B6606" s="161" t="s">
        <v>7497</v>
      </c>
      <c r="C6606" s="161">
        <v>90501112</v>
      </c>
      <c r="D6606" s="161" t="s">
        <v>3093</v>
      </c>
      <c r="E6606" s="161" t="s">
        <v>102</v>
      </c>
      <c r="F6606" s="163" t="s">
        <v>3093</v>
      </c>
      <c r="G6606" s="163">
        <v>0</v>
      </c>
      <c r="H6606" s="161" t="s">
        <v>7138</v>
      </c>
      <c r="I6606" s="161"/>
    </row>
    <row r="6607" spans="1:9">
      <c r="A6607" s="161">
        <v>910100458</v>
      </c>
      <c r="B6607" s="161" t="s">
        <v>7498</v>
      </c>
      <c r="C6607" s="161">
        <v>90501118</v>
      </c>
      <c r="D6607" s="161" t="s">
        <v>3093</v>
      </c>
      <c r="E6607" s="161" t="s">
        <v>102</v>
      </c>
      <c r="F6607" s="163" t="s">
        <v>3093</v>
      </c>
      <c r="G6607" s="163">
        <v>0</v>
      </c>
      <c r="H6607" s="161" t="s">
        <v>7138</v>
      </c>
      <c r="I6607" s="161"/>
    </row>
    <row r="6608" spans="1:9">
      <c r="A6608" s="161">
        <v>910100459</v>
      </c>
      <c r="B6608" s="161" t="s">
        <v>7499</v>
      </c>
      <c r="C6608" s="161">
        <v>90501104</v>
      </c>
      <c r="D6608" s="161" t="s">
        <v>3093</v>
      </c>
      <c r="E6608" s="161" t="s">
        <v>102</v>
      </c>
      <c r="F6608" s="163" t="s">
        <v>3093</v>
      </c>
      <c r="G6608" s="163">
        <v>0</v>
      </c>
      <c r="H6608" s="161" t="s">
        <v>7138</v>
      </c>
      <c r="I6608" s="161"/>
    </row>
    <row r="6609" spans="1:9">
      <c r="A6609" s="161">
        <v>910100460</v>
      </c>
      <c r="B6609" s="161" t="s">
        <v>7500</v>
      </c>
      <c r="C6609" s="161">
        <v>90501106</v>
      </c>
      <c r="D6609" s="161" t="s">
        <v>3093</v>
      </c>
      <c r="E6609" s="161" t="s">
        <v>102</v>
      </c>
      <c r="F6609" s="163" t="s">
        <v>3093</v>
      </c>
      <c r="G6609" s="163">
        <v>0</v>
      </c>
      <c r="H6609" s="161" t="s">
        <v>7138</v>
      </c>
      <c r="I6609" s="161"/>
    </row>
    <row r="6610" spans="1:9">
      <c r="A6610" s="161">
        <v>910100461</v>
      </c>
      <c r="B6610" s="161" t="s">
        <v>7501</v>
      </c>
      <c r="C6610" s="161">
        <v>90501107</v>
      </c>
      <c r="D6610" s="161" t="s">
        <v>3093</v>
      </c>
      <c r="E6610" s="161" t="s">
        <v>102</v>
      </c>
      <c r="F6610" s="163" t="s">
        <v>3093</v>
      </c>
      <c r="G6610" s="163">
        <v>0</v>
      </c>
      <c r="H6610" s="161" t="s">
        <v>7138</v>
      </c>
      <c r="I6610" s="161"/>
    </row>
    <row r="6611" spans="1:9">
      <c r="A6611" s="161">
        <v>910100462</v>
      </c>
      <c r="B6611" s="161" t="s">
        <v>7502</v>
      </c>
      <c r="C6611" s="161">
        <v>90501105</v>
      </c>
      <c r="D6611" s="161" t="s">
        <v>3093</v>
      </c>
      <c r="E6611" s="161" t="s">
        <v>102</v>
      </c>
      <c r="F6611" s="163" t="s">
        <v>3093</v>
      </c>
      <c r="G6611" s="163">
        <v>0</v>
      </c>
      <c r="H6611" s="161" t="s">
        <v>7138</v>
      </c>
      <c r="I6611" s="161"/>
    </row>
    <row r="6612" spans="1:9">
      <c r="A6612" s="161">
        <v>910100463</v>
      </c>
      <c r="B6612" s="161" t="s">
        <v>7503</v>
      </c>
      <c r="C6612" s="161">
        <v>90501117</v>
      </c>
      <c r="D6612" s="161" t="s">
        <v>3093</v>
      </c>
      <c r="E6612" s="161" t="s">
        <v>102</v>
      </c>
      <c r="F6612" s="163" t="s">
        <v>3093</v>
      </c>
      <c r="G6612" s="163">
        <v>65.540000000000006</v>
      </c>
      <c r="H6612" s="161" t="s">
        <v>7138</v>
      </c>
      <c r="I6612" s="161"/>
    </row>
    <row r="6613" spans="1:9">
      <c r="A6613" s="161">
        <v>910100464</v>
      </c>
      <c r="B6613" s="161" t="s">
        <v>7504</v>
      </c>
      <c r="C6613" s="161">
        <v>90501116</v>
      </c>
      <c r="D6613" s="161" t="s">
        <v>3093</v>
      </c>
      <c r="E6613" s="161" t="s">
        <v>102</v>
      </c>
      <c r="F6613" s="163" t="s">
        <v>3093</v>
      </c>
      <c r="G6613" s="163">
        <v>32.75</v>
      </c>
      <c r="H6613" s="161" t="s">
        <v>7138</v>
      </c>
      <c r="I6613" s="161"/>
    </row>
    <row r="6614" spans="1:9">
      <c r="A6614" s="161">
        <v>910100465</v>
      </c>
      <c r="B6614" s="161" t="s">
        <v>7505</v>
      </c>
      <c r="C6614" s="161">
        <v>90501121</v>
      </c>
      <c r="D6614" s="161" t="s">
        <v>3093</v>
      </c>
      <c r="E6614" s="161" t="s">
        <v>102</v>
      </c>
      <c r="F6614" s="163" t="s">
        <v>3093</v>
      </c>
      <c r="G6614" s="163">
        <v>33.9</v>
      </c>
      <c r="H6614" s="161" t="s">
        <v>7138</v>
      </c>
      <c r="I6614" s="161"/>
    </row>
    <row r="6615" spans="1:9">
      <c r="A6615" s="161">
        <v>910100466</v>
      </c>
      <c r="B6615" s="161" t="s">
        <v>7506</v>
      </c>
      <c r="C6615" s="161">
        <v>90501033</v>
      </c>
      <c r="D6615" s="161" t="s">
        <v>3093</v>
      </c>
      <c r="E6615" s="161" t="s">
        <v>102</v>
      </c>
      <c r="F6615" s="163" t="s">
        <v>3093</v>
      </c>
      <c r="G6615" s="163">
        <v>0</v>
      </c>
      <c r="H6615" s="161" t="s">
        <v>7138</v>
      </c>
      <c r="I6615" s="161"/>
    </row>
    <row r="6616" spans="1:9">
      <c r="A6616" s="161">
        <v>910100467</v>
      </c>
      <c r="B6616" s="161" t="s">
        <v>7507</v>
      </c>
      <c r="C6616" s="161">
        <v>90501154</v>
      </c>
      <c r="D6616" s="161" t="s">
        <v>3093</v>
      </c>
      <c r="E6616" s="161" t="s">
        <v>102</v>
      </c>
      <c r="F6616" s="163" t="s">
        <v>3093</v>
      </c>
      <c r="G6616" s="163">
        <v>0</v>
      </c>
      <c r="H6616" s="161" t="s">
        <v>7138</v>
      </c>
      <c r="I6616" s="161"/>
    </row>
    <row r="6617" spans="1:9">
      <c r="A6617" s="161">
        <v>910100468</v>
      </c>
      <c r="B6617" s="161" t="s">
        <v>7508</v>
      </c>
      <c r="C6617" s="161">
        <v>90501152</v>
      </c>
      <c r="D6617" s="161" t="s">
        <v>3093</v>
      </c>
      <c r="E6617" s="161" t="s">
        <v>102</v>
      </c>
      <c r="F6617" s="163" t="s">
        <v>3093</v>
      </c>
      <c r="G6617" s="163">
        <v>0</v>
      </c>
      <c r="H6617" s="161" t="s">
        <v>7138</v>
      </c>
      <c r="I6617" s="161"/>
    </row>
    <row r="6618" spans="1:9">
      <c r="A6618" s="161">
        <v>910100469</v>
      </c>
      <c r="B6618" s="161" t="s">
        <v>7509</v>
      </c>
      <c r="C6618" s="161">
        <v>90501155</v>
      </c>
      <c r="D6618" s="161" t="s">
        <v>3093</v>
      </c>
      <c r="E6618" s="161" t="s">
        <v>102</v>
      </c>
      <c r="F6618" s="163" t="s">
        <v>3093</v>
      </c>
      <c r="G6618" s="163">
        <v>0</v>
      </c>
      <c r="H6618" s="161" t="s">
        <v>7138</v>
      </c>
      <c r="I6618" s="161"/>
    </row>
    <row r="6619" spans="1:9">
      <c r="A6619" s="161">
        <v>910100470</v>
      </c>
      <c r="B6619" s="161" t="s">
        <v>7510</v>
      </c>
      <c r="C6619" s="161">
        <v>90501153</v>
      </c>
      <c r="D6619" s="161" t="s">
        <v>3093</v>
      </c>
      <c r="E6619" s="161" t="s">
        <v>102</v>
      </c>
      <c r="F6619" s="163" t="s">
        <v>3093</v>
      </c>
      <c r="G6619" s="163">
        <v>0</v>
      </c>
      <c r="H6619" s="161" t="s">
        <v>7138</v>
      </c>
      <c r="I6619" s="161"/>
    </row>
    <row r="6620" spans="1:9">
      <c r="A6620" s="161">
        <v>910100471</v>
      </c>
      <c r="B6620" s="161" t="s">
        <v>7511</v>
      </c>
      <c r="C6620" s="161">
        <v>90501149</v>
      </c>
      <c r="D6620" s="161" t="s">
        <v>3093</v>
      </c>
      <c r="E6620" s="161" t="s">
        <v>102</v>
      </c>
      <c r="F6620" s="163" t="s">
        <v>3093</v>
      </c>
      <c r="G6620" s="163">
        <v>90.95</v>
      </c>
      <c r="H6620" s="161" t="s">
        <v>7138</v>
      </c>
      <c r="I6620" s="161"/>
    </row>
    <row r="6621" spans="1:9">
      <c r="A6621" s="161">
        <v>910100472</v>
      </c>
      <c r="B6621" s="161" t="s">
        <v>7512</v>
      </c>
      <c r="C6621" s="161">
        <v>90501148</v>
      </c>
      <c r="D6621" s="161" t="s">
        <v>3093</v>
      </c>
      <c r="E6621" s="161" t="s">
        <v>102</v>
      </c>
      <c r="F6621" s="163" t="s">
        <v>3093</v>
      </c>
      <c r="G6621" s="163">
        <v>90.95</v>
      </c>
      <c r="H6621" s="161" t="s">
        <v>7138</v>
      </c>
      <c r="I6621" s="161"/>
    </row>
    <row r="6622" spans="1:9">
      <c r="A6622" s="161">
        <v>910100473</v>
      </c>
      <c r="B6622" s="161" t="s">
        <v>7513</v>
      </c>
      <c r="C6622" s="161">
        <v>90501150</v>
      </c>
      <c r="D6622" s="161" t="s">
        <v>3093</v>
      </c>
      <c r="E6622" s="161" t="s">
        <v>102</v>
      </c>
      <c r="F6622" s="163" t="s">
        <v>3093</v>
      </c>
      <c r="G6622" s="163">
        <v>90.95</v>
      </c>
      <c r="H6622" s="161" t="s">
        <v>7138</v>
      </c>
      <c r="I6622" s="161"/>
    </row>
    <row r="6623" spans="1:9">
      <c r="A6623" s="161">
        <v>910100474</v>
      </c>
      <c r="B6623" s="161" t="s">
        <v>7514</v>
      </c>
      <c r="C6623" s="161">
        <v>90501151</v>
      </c>
      <c r="D6623" s="161" t="s">
        <v>3093</v>
      </c>
      <c r="E6623" s="161" t="s">
        <v>102</v>
      </c>
      <c r="F6623" s="163" t="s">
        <v>3093</v>
      </c>
      <c r="G6623" s="163">
        <v>136.13</v>
      </c>
      <c r="H6623" s="161" t="s">
        <v>7138</v>
      </c>
      <c r="I6623" s="161"/>
    </row>
    <row r="6624" spans="1:9">
      <c r="A6624" s="161">
        <v>910100475</v>
      </c>
      <c r="B6624" s="161" t="s">
        <v>7515</v>
      </c>
      <c r="C6624" s="161">
        <v>90501015</v>
      </c>
      <c r="D6624" s="161" t="s">
        <v>3093</v>
      </c>
      <c r="E6624" s="161" t="s">
        <v>102</v>
      </c>
      <c r="F6624" s="163" t="s">
        <v>3093</v>
      </c>
      <c r="G6624" s="163">
        <v>0</v>
      </c>
      <c r="H6624" s="161" t="s">
        <v>7138</v>
      </c>
      <c r="I6624" s="161"/>
    </row>
    <row r="6625" spans="1:9">
      <c r="A6625" s="161">
        <v>910100476</v>
      </c>
      <c r="B6625" s="161" t="s">
        <v>7516</v>
      </c>
      <c r="C6625" s="161">
        <v>90501019</v>
      </c>
      <c r="D6625" s="161" t="s">
        <v>3093</v>
      </c>
      <c r="E6625" s="161" t="s">
        <v>102</v>
      </c>
      <c r="F6625" s="163" t="s">
        <v>3093</v>
      </c>
      <c r="G6625" s="163">
        <v>0</v>
      </c>
      <c r="H6625" s="161" t="s">
        <v>7138</v>
      </c>
      <c r="I6625" s="161"/>
    </row>
    <row r="6626" spans="1:9">
      <c r="A6626" s="161">
        <v>910100477</v>
      </c>
      <c r="B6626" s="161" t="s">
        <v>7517</v>
      </c>
      <c r="C6626" s="161">
        <v>90501007</v>
      </c>
      <c r="D6626" s="161" t="s">
        <v>3093</v>
      </c>
      <c r="E6626" s="161" t="s">
        <v>102</v>
      </c>
      <c r="F6626" s="163" t="s">
        <v>3093</v>
      </c>
      <c r="G6626" s="163">
        <v>0</v>
      </c>
      <c r="H6626" s="161" t="s">
        <v>7138</v>
      </c>
      <c r="I6626" s="161"/>
    </row>
    <row r="6627" spans="1:9">
      <c r="A6627" s="161">
        <v>910100478</v>
      </c>
      <c r="B6627" s="161" t="s">
        <v>7518</v>
      </c>
      <c r="C6627" s="161">
        <v>90501020</v>
      </c>
      <c r="D6627" s="161" t="s">
        <v>3093</v>
      </c>
      <c r="E6627" s="161" t="s">
        <v>102</v>
      </c>
      <c r="F6627" s="163" t="s">
        <v>3093</v>
      </c>
      <c r="G6627" s="163">
        <v>0</v>
      </c>
      <c r="H6627" s="161" t="s">
        <v>7138</v>
      </c>
      <c r="I6627" s="161"/>
    </row>
    <row r="6628" spans="1:9">
      <c r="A6628" s="161">
        <v>910100479</v>
      </c>
      <c r="B6628" s="161" t="s">
        <v>7519</v>
      </c>
      <c r="C6628" s="161">
        <v>90501022</v>
      </c>
      <c r="D6628" s="161" t="s">
        <v>3093</v>
      </c>
      <c r="E6628" s="161" t="s">
        <v>102</v>
      </c>
      <c r="F6628" s="163" t="s">
        <v>3093</v>
      </c>
      <c r="G6628" s="163">
        <v>34.590000000000003</v>
      </c>
      <c r="H6628" s="161" t="s">
        <v>7138</v>
      </c>
      <c r="I6628" s="161"/>
    </row>
    <row r="6629" spans="1:9">
      <c r="A6629" s="161">
        <v>910100480</v>
      </c>
      <c r="B6629" s="161" t="s">
        <v>7520</v>
      </c>
      <c r="C6629" s="161">
        <v>90501023</v>
      </c>
      <c r="D6629" s="161" t="s">
        <v>3093</v>
      </c>
      <c r="E6629" s="161" t="s">
        <v>102</v>
      </c>
      <c r="F6629" s="163" t="s">
        <v>3093</v>
      </c>
      <c r="G6629" s="163">
        <v>0</v>
      </c>
      <c r="H6629" s="161" t="s">
        <v>7138</v>
      </c>
      <c r="I6629" s="161"/>
    </row>
    <row r="6630" spans="1:9">
      <c r="A6630" s="161">
        <v>910100481</v>
      </c>
      <c r="B6630" s="161" t="s">
        <v>7521</v>
      </c>
      <c r="C6630" s="161">
        <v>90501060</v>
      </c>
      <c r="D6630" s="161" t="s">
        <v>3093</v>
      </c>
      <c r="E6630" s="161" t="s">
        <v>102</v>
      </c>
      <c r="F6630" s="163" t="s">
        <v>3093</v>
      </c>
      <c r="G6630" s="163">
        <v>73.319999999999993</v>
      </c>
      <c r="H6630" s="161" t="s">
        <v>7138</v>
      </c>
      <c r="I6630" s="161"/>
    </row>
    <row r="6631" spans="1:9">
      <c r="A6631" s="161">
        <v>910100482</v>
      </c>
      <c r="B6631" s="161" t="s">
        <v>7522</v>
      </c>
      <c r="C6631" s="161">
        <v>90501010</v>
      </c>
      <c r="D6631" s="161" t="s">
        <v>3093</v>
      </c>
      <c r="E6631" s="161" t="s">
        <v>102</v>
      </c>
      <c r="F6631" s="163" t="s">
        <v>3093</v>
      </c>
      <c r="G6631" s="163">
        <v>0</v>
      </c>
      <c r="H6631" s="161" t="s">
        <v>7138</v>
      </c>
      <c r="I6631" s="161"/>
    </row>
    <row r="6632" spans="1:9">
      <c r="A6632" s="161">
        <v>910100483</v>
      </c>
      <c r="B6632" s="161" t="s">
        <v>7523</v>
      </c>
      <c r="C6632" s="161">
        <v>90501011</v>
      </c>
      <c r="D6632" s="161" t="s">
        <v>3093</v>
      </c>
      <c r="E6632" s="161" t="s">
        <v>102</v>
      </c>
      <c r="F6632" s="163" t="s">
        <v>3093</v>
      </c>
      <c r="G6632" s="163">
        <v>0</v>
      </c>
      <c r="H6632" s="161" t="s">
        <v>7138</v>
      </c>
      <c r="I6632" s="161"/>
    </row>
    <row r="6633" spans="1:9">
      <c r="A6633" s="161">
        <v>910100484</v>
      </c>
      <c r="B6633" s="161" t="s">
        <v>7524</v>
      </c>
      <c r="C6633" s="161">
        <v>90501013</v>
      </c>
      <c r="D6633" s="161" t="s">
        <v>3093</v>
      </c>
      <c r="E6633" s="161" t="s">
        <v>102</v>
      </c>
      <c r="F6633" s="163" t="s">
        <v>3093</v>
      </c>
      <c r="G6633" s="163">
        <v>117.52</v>
      </c>
      <c r="H6633" s="161" t="s">
        <v>7138</v>
      </c>
      <c r="I6633" s="161"/>
    </row>
    <row r="6634" spans="1:9">
      <c r="A6634" s="161">
        <v>910100485</v>
      </c>
      <c r="B6634" s="161" t="s">
        <v>7525</v>
      </c>
      <c r="C6634" s="161">
        <v>90501016</v>
      </c>
      <c r="D6634" s="161" t="s">
        <v>3093</v>
      </c>
      <c r="E6634" s="161" t="s">
        <v>102</v>
      </c>
      <c r="F6634" s="163" t="s">
        <v>3093</v>
      </c>
      <c r="G6634" s="163">
        <v>0</v>
      </c>
      <c r="H6634" s="161" t="s">
        <v>7138</v>
      </c>
      <c r="I6634" s="161"/>
    </row>
    <row r="6635" spans="1:9">
      <c r="A6635" s="161">
        <v>910100486</v>
      </c>
      <c r="B6635" s="161" t="s">
        <v>7526</v>
      </c>
      <c r="C6635" s="161">
        <v>90501024</v>
      </c>
      <c r="D6635" s="161" t="s">
        <v>3093</v>
      </c>
      <c r="E6635" s="161" t="s">
        <v>102</v>
      </c>
      <c r="F6635" s="163" t="s">
        <v>3093</v>
      </c>
      <c r="G6635" s="163">
        <v>0</v>
      </c>
      <c r="H6635" s="161" t="s">
        <v>7138</v>
      </c>
      <c r="I6635" s="161"/>
    </row>
    <row r="6636" spans="1:9">
      <c r="A6636" s="161">
        <v>910100487</v>
      </c>
      <c r="B6636" s="161" t="s">
        <v>1802</v>
      </c>
      <c r="C6636" s="161">
        <v>90501050</v>
      </c>
      <c r="D6636" s="161" t="s">
        <v>3093</v>
      </c>
      <c r="E6636" s="161" t="s">
        <v>102</v>
      </c>
      <c r="F6636" s="163" t="s">
        <v>3093</v>
      </c>
      <c r="G6636" s="163">
        <v>55.11</v>
      </c>
      <c r="H6636" s="161" t="s">
        <v>7138</v>
      </c>
      <c r="I6636" s="161"/>
    </row>
    <row r="6637" spans="1:9">
      <c r="A6637" s="161">
        <v>910100488</v>
      </c>
      <c r="B6637" s="161" t="s">
        <v>7527</v>
      </c>
      <c r="C6637" s="161">
        <v>90501051</v>
      </c>
      <c r="D6637" s="161" t="s">
        <v>3093</v>
      </c>
      <c r="E6637" s="161" t="s">
        <v>102</v>
      </c>
      <c r="F6637" s="163" t="s">
        <v>3093</v>
      </c>
      <c r="G6637" s="163">
        <v>0</v>
      </c>
      <c r="H6637" s="161" t="s">
        <v>7138</v>
      </c>
      <c r="I6637" s="161"/>
    </row>
    <row r="6638" spans="1:9">
      <c r="A6638" s="161">
        <v>910100489</v>
      </c>
      <c r="B6638" s="161" t="s">
        <v>7528</v>
      </c>
      <c r="C6638" s="161">
        <v>90501043</v>
      </c>
      <c r="D6638" s="161" t="s">
        <v>3093</v>
      </c>
      <c r="E6638" s="161" t="s">
        <v>102</v>
      </c>
      <c r="F6638" s="163" t="s">
        <v>3093</v>
      </c>
      <c r="G6638" s="163">
        <v>71.040000000000006</v>
      </c>
      <c r="H6638" s="161" t="s">
        <v>7138</v>
      </c>
      <c r="I6638" s="161"/>
    </row>
    <row r="6639" spans="1:9">
      <c r="A6639" s="161">
        <v>910100490</v>
      </c>
      <c r="B6639" s="161" t="s">
        <v>7529</v>
      </c>
      <c r="C6639" s="161">
        <v>90501044</v>
      </c>
      <c r="D6639" s="161" t="s">
        <v>3093</v>
      </c>
      <c r="E6639" s="161" t="s">
        <v>102</v>
      </c>
      <c r="F6639" s="163" t="s">
        <v>3093</v>
      </c>
      <c r="G6639" s="163">
        <v>0</v>
      </c>
      <c r="H6639" s="161" t="s">
        <v>7138</v>
      </c>
      <c r="I6639" s="161"/>
    </row>
    <row r="6640" spans="1:9">
      <c r="A6640" s="161">
        <v>910100491</v>
      </c>
      <c r="B6640" s="161" t="s">
        <v>7530</v>
      </c>
      <c r="C6640" s="161">
        <v>90501052</v>
      </c>
      <c r="D6640" s="161" t="s">
        <v>3093</v>
      </c>
      <c r="E6640" s="161" t="s">
        <v>102</v>
      </c>
      <c r="F6640" s="163" t="s">
        <v>3093</v>
      </c>
      <c r="G6640" s="163">
        <v>0</v>
      </c>
      <c r="H6640" s="161" t="s">
        <v>7138</v>
      </c>
      <c r="I6640" s="161"/>
    </row>
    <row r="6641" spans="1:9">
      <c r="A6641" s="161">
        <v>910100492</v>
      </c>
      <c r="B6641" s="161" t="s">
        <v>7531</v>
      </c>
      <c r="C6641" s="161">
        <v>90501025</v>
      </c>
      <c r="D6641" s="161" t="s">
        <v>3093</v>
      </c>
      <c r="E6641" s="161" t="s">
        <v>102</v>
      </c>
      <c r="F6641" s="163" t="s">
        <v>3093</v>
      </c>
      <c r="G6641" s="163">
        <v>0</v>
      </c>
      <c r="H6641" s="161" t="s">
        <v>7138</v>
      </c>
      <c r="I6641" s="161"/>
    </row>
    <row r="6642" spans="1:9">
      <c r="A6642" s="161">
        <v>910100493</v>
      </c>
      <c r="B6642" s="161" t="s">
        <v>7532</v>
      </c>
      <c r="C6642" s="161">
        <v>90501026</v>
      </c>
      <c r="D6642" s="161" t="s">
        <v>3093</v>
      </c>
      <c r="E6642" s="161" t="s">
        <v>102</v>
      </c>
      <c r="F6642" s="163" t="s">
        <v>3093</v>
      </c>
      <c r="G6642" s="163">
        <v>0</v>
      </c>
      <c r="H6642" s="161" t="s">
        <v>7138</v>
      </c>
      <c r="I6642" s="161"/>
    </row>
    <row r="6643" spans="1:9">
      <c r="A6643" s="161">
        <v>910100494</v>
      </c>
      <c r="B6643" s="161" t="s">
        <v>7533</v>
      </c>
      <c r="C6643" s="161">
        <v>90501040</v>
      </c>
      <c r="D6643" s="161" t="s">
        <v>3093</v>
      </c>
      <c r="E6643" s="161" t="s">
        <v>102</v>
      </c>
      <c r="F6643" s="163" t="s">
        <v>3093</v>
      </c>
      <c r="G6643" s="163">
        <v>0</v>
      </c>
      <c r="H6643" s="161" t="s">
        <v>7138</v>
      </c>
      <c r="I6643" s="161"/>
    </row>
    <row r="6644" spans="1:9">
      <c r="A6644" s="161">
        <v>910100495</v>
      </c>
      <c r="B6644" s="161" t="s">
        <v>7534</v>
      </c>
      <c r="C6644" s="161">
        <v>90501041</v>
      </c>
      <c r="D6644" s="161" t="s">
        <v>3093</v>
      </c>
      <c r="E6644" s="161" t="s">
        <v>102</v>
      </c>
      <c r="F6644" s="163" t="s">
        <v>3093</v>
      </c>
      <c r="G6644" s="163">
        <v>79.88</v>
      </c>
      <c r="H6644" s="161" t="s">
        <v>7138</v>
      </c>
      <c r="I6644" s="161"/>
    </row>
    <row r="6645" spans="1:9">
      <c r="A6645" s="161">
        <v>910100496</v>
      </c>
      <c r="B6645" s="161" t="s">
        <v>7535</v>
      </c>
      <c r="C6645" s="161">
        <v>90501030</v>
      </c>
      <c r="D6645" s="161" t="s">
        <v>3093</v>
      </c>
      <c r="E6645" s="161" t="s">
        <v>102</v>
      </c>
      <c r="F6645" s="163" t="s">
        <v>3093</v>
      </c>
      <c r="G6645" s="163">
        <v>0</v>
      </c>
      <c r="H6645" s="161" t="s">
        <v>7138</v>
      </c>
      <c r="I6645" s="161"/>
    </row>
    <row r="6646" spans="1:9">
      <c r="A6646" s="161">
        <v>910100497</v>
      </c>
      <c r="B6646" s="161" t="s">
        <v>7536</v>
      </c>
      <c r="C6646" s="161">
        <v>90501042</v>
      </c>
      <c r="D6646" s="161" t="s">
        <v>3093</v>
      </c>
      <c r="E6646" s="161" t="s">
        <v>102</v>
      </c>
      <c r="F6646" s="163" t="s">
        <v>3093</v>
      </c>
      <c r="G6646" s="163">
        <v>0</v>
      </c>
      <c r="H6646" s="161" t="s">
        <v>7138</v>
      </c>
      <c r="I6646" s="161"/>
    </row>
    <row r="6647" spans="1:9">
      <c r="A6647" s="161">
        <v>910100498</v>
      </c>
      <c r="B6647" s="161" t="s">
        <v>7537</v>
      </c>
      <c r="C6647" s="161">
        <v>90501031</v>
      </c>
      <c r="D6647" s="161" t="s">
        <v>3093</v>
      </c>
      <c r="E6647" s="161" t="s">
        <v>102</v>
      </c>
      <c r="F6647" s="163" t="s">
        <v>3093</v>
      </c>
      <c r="G6647" s="163">
        <v>0</v>
      </c>
      <c r="H6647" s="161" t="s">
        <v>7138</v>
      </c>
      <c r="I6647" s="161"/>
    </row>
    <row r="6648" spans="1:9">
      <c r="A6648" s="161">
        <v>910100499</v>
      </c>
      <c r="B6648" s="161" t="s">
        <v>2478</v>
      </c>
      <c r="C6648" s="161">
        <v>90501100</v>
      </c>
      <c r="D6648" s="161" t="s">
        <v>3093</v>
      </c>
      <c r="E6648" s="161" t="s">
        <v>102</v>
      </c>
      <c r="F6648" s="163" t="s">
        <v>3093</v>
      </c>
      <c r="G6648" s="163">
        <v>0</v>
      </c>
      <c r="H6648" s="161" t="s">
        <v>7138</v>
      </c>
      <c r="I6648" s="161"/>
    </row>
    <row r="6649" spans="1:9">
      <c r="A6649" s="161">
        <v>910100500</v>
      </c>
      <c r="B6649" s="161" t="s">
        <v>7538</v>
      </c>
      <c r="C6649" s="161">
        <v>90501102</v>
      </c>
      <c r="D6649" s="161" t="s">
        <v>3093</v>
      </c>
      <c r="E6649" s="161" t="s">
        <v>102</v>
      </c>
      <c r="F6649" s="163" t="s">
        <v>3093</v>
      </c>
      <c r="G6649" s="163">
        <v>0</v>
      </c>
      <c r="H6649" s="161" t="s">
        <v>7138</v>
      </c>
      <c r="I6649" s="161"/>
    </row>
    <row r="6650" spans="1:9">
      <c r="A6650" s="161">
        <v>910100501</v>
      </c>
      <c r="B6650" s="161" t="s">
        <v>7539</v>
      </c>
      <c r="C6650" s="161">
        <v>90501069</v>
      </c>
      <c r="D6650" s="161" t="s">
        <v>3093</v>
      </c>
      <c r="E6650" s="161" t="s">
        <v>102</v>
      </c>
      <c r="F6650" s="163" t="s">
        <v>3093</v>
      </c>
      <c r="G6650" s="163">
        <v>0</v>
      </c>
      <c r="H6650" s="161" t="s">
        <v>7138</v>
      </c>
      <c r="I6650" s="161"/>
    </row>
    <row r="6651" spans="1:9">
      <c r="A6651" s="161">
        <v>910100502</v>
      </c>
      <c r="B6651" s="161" t="s">
        <v>7540</v>
      </c>
      <c r="C6651" s="161">
        <v>90501109</v>
      </c>
      <c r="D6651" s="161" t="s">
        <v>3093</v>
      </c>
      <c r="E6651" s="161" t="s">
        <v>102</v>
      </c>
      <c r="F6651" s="163" t="s">
        <v>3093</v>
      </c>
      <c r="G6651" s="163">
        <v>38.42</v>
      </c>
      <c r="H6651" s="161" t="s">
        <v>7138</v>
      </c>
      <c r="I6651" s="161"/>
    </row>
    <row r="6652" spans="1:9">
      <c r="A6652" s="161">
        <v>910100503</v>
      </c>
      <c r="B6652" s="161" t="s">
        <v>7541</v>
      </c>
      <c r="C6652" s="161">
        <v>90501110</v>
      </c>
      <c r="D6652" s="161" t="s">
        <v>3093</v>
      </c>
      <c r="E6652" s="161" t="s">
        <v>102</v>
      </c>
      <c r="F6652" s="163" t="s">
        <v>3093</v>
      </c>
      <c r="G6652" s="163">
        <v>159.9</v>
      </c>
      <c r="H6652" s="161" t="s">
        <v>7138</v>
      </c>
      <c r="I6652" s="161"/>
    </row>
    <row r="6653" spans="1:9">
      <c r="A6653" s="161">
        <v>910100504</v>
      </c>
      <c r="B6653" s="161" t="s">
        <v>7542</v>
      </c>
      <c r="C6653" s="161">
        <v>90501126</v>
      </c>
      <c r="D6653" s="161" t="s">
        <v>3093</v>
      </c>
      <c r="E6653" s="161" t="s">
        <v>102</v>
      </c>
      <c r="F6653" s="163" t="s">
        <v>3093</v>
      </c>
      <c r="G6653" s="163">
        <v>0</v>
      </c>
      <c r="H6653" s="161" t="s">
        <v>7138</v>
      </c>
      <c r="I6653" s="161"/>
    </row>
    <row r="6654" spans="1:9">
      <c r="A6654" s="161">
        <v>910100505</v>
      </c>
      <c r="B6654" s="161" t="s">
        <v>7543</v>
      </c>
      <c r="C6654" s="161">
        <v>90501122</v>
      </c>
      <c r="D6654" s="161" t="s">
        <v>3093</v>
      </c>
      <c r="E6654" s="161" t="s">
        <v>102</v>
      </c>
      <c r="F6654" s="163" t="s">
        <v>3093</v>
      </c>
      <c r="G6654" s="163">
        <v>124</v>
      </c>
      <c r="H6654" s="161" t="s">
        <v>7138</v>
      </c>
      <c r="I6654" s="161"/>
    </row>
    <row r="6655" spans="1:9">
      <c r="A6655" s="161">
        <v>910100506</v>
      </c>
      <c r="B6655" s="161" t="s">
        <v>7544</v>
      </c>
      <c r="C6655" s="161">
        <v>90501058</v>
      </c>
      <c r="D6655" s="161" t="s">
        <v>3093</v>
      </c>
      <c r="E6655" s="161" t="s">
        <v>102</v>
      </c>
      <c r="F6655" s="163" t="s">
        <v>3093</v>
      </c>
      <c r="G6655" s="163">
        <v>0</v>
      </c>
      <c r="H6655" s="161" t="s">
        <v>7138</v>
      </c>
      <c r="I6655" s="161"/>
    </row>
    <row r="6656" spans="1:9">
      <c r="A6656" s="161">
        <v>910100507</v>
      </c>
      <c r="B6656" s="161" t="s">
        <v>7545</v>
      </c>
      <c r="C6656" s="161">
        <v>90501059</v>
      </c>
      <c r="D6656" s="161" t="s">
        <v>3093</v>
      </c>
      <c r="E6656" s="161" t="s">
        <v>102</v>
      </c>
      <c r="F6656" s="163" t="s">
        <v>3093</v>
      </c>
      <c r="G6656" s="163">
        <v>0</v>
      </c>
      <c r="H6656" s="161" t="s">
        <v>7138</v>
      </c>
      <c r="I6656" s="161"/>
    </row>
    <row r="6657" spans="1:9">
      <c r="A6657" s="161">
        <v>910100508</v>
      </c>
      <c r="B6657" s="161" t="s">
        <v>7546</v>
      </c>
      <c r="C6657" s="161">
        <v>90501067</v>
      </c>
      <c r="D6657" s="161" t="s">
        <v>3093</v>
      </c>
      <c r="E6657" s="161" t="s">
        <v>102</v>
      </c>
      <c r="F6657" s="163" t="s">
        <v>3093</v>
      </c>
      <c r="G6657" s="163">
        <v>0</v>
      </c>
      <c r="H6657" s="161" t="s">
        <v>7138</v>
      </c>
      <c r="I6657" s="161"/>
    </row>
    <row r="6658" spans="1:9">
      <c r="A6658" s="161">
        <v>910100509</v>
      </c>
      <c r="B6658" s="161" t="s">
        <v>7547</v>
      </c>
      <c r="C6658" s="161">
        <v>90501068</v>
      </c>
      <c r="D6658" s="161" t="s">
        <v>3093</v>
      </c>
      <c r="E6658" s="161" t="s">
        <v>102</v>
      </c>
      <c r="F6658" s="163" t="s">
        <v>3093</v>
      </c>
      <c r="G6658" s="163">
        <v>0</v>
      </c>
      <c r="H6658" s="161" t="s">
        <v>7138</v>
      </c>
      <c r="I6658" s="161"/>
    </row>
    <row r="6659" spans="1:9">
      <c r="A6659" s="161">
        <v>910100510</v>
      </c>
      <c r="B6659" s="161" t="s">
        <v>2479</v>
      </c>
      <c r="C6659" s="161">
        <v>90501134</v>
      </c>
      <c r="D6659" s="161" t="s">
        <v>3093</v>
      </c>
      <c r="E6659" s="161" t="s">
        <v>102</v>
      </c>
      <c r="F6659" s="163" t="s">
        <v>3093</v>
      </c>
      <c r="G6659" s="163">
        <v>0</v>
      </c>
      <c r="H6659" s="161" t="s">
        <v>7138</v>
      </c>
      <c r="I6659" s="161"/>
    </row>
    <row r="6660" spans="1:9">
      <c r="A6660" s="161">
        <v>910100511</v>
      </c>
      <c r="B6660" s="161" t="s">
        <v>7548</v>
      </c>
      <c r="C6660" s="161">
        <v>90501080</v>
      </c>
      <c r="D6660" s="161" t="s">
        <v>3093</v>
      </c>
      <c r="E6660" s="161" t="s">
        <v>102</v>
      </c>
      <c r="F6660" s="163" t="s">
        <v>3093</v>
      </c>
      <c r="G6660" s="163">
        <v>0</v>
      </c>
      <c r="H6660" s="161" t="s">
        <v>7138</v>
      </c>
      <c r="I6660" s="161"/>
    </row>
    <row r="6661" spans="1:9">
      <c r="A6661" s="161">
        <v>910100512</v>
      </c>
      <c r="B6661" s="161" t="s">
        <v>7549</v>
      </c>
      <c r="C6661" s="161">
        <v>90501081</v>
      </c>
      <c r="D6661" s="161" t="s">
        <v>3093</v>
      </c>
      <c r="E6661" s="161" t="s">
        <v>102</v>
      </c>
      <c r="F6661" s="163" t="s">
        <v>3093</v>
      </c>
      <c r="G6661" s="163">
        <v>0</v>
      </c>
      <c r="H6661" s="161" t="s">
        <v>7138</v>
      </c>
      <c r="I6661" s="161"/>
    </row>
    <row r="6662" spans="1:9">
      <c r="A6662" s="161">
        <v>910100513</v>
      </c>
      <c r="B6662" s="161" t="s">
        <v>2480</v>
      </c>
      <c r="C6662" s="161">
        <v>90501079</v>
      </c>
      <c r="D6662" s="161" t="s">
        <v>3093</v>
      </c>
      <c r="E6662" s="161" t="s">
        <v>102</v>
      </c>
      <c r="F6662" s="163" t="s">
        <v>3093</v>
      </c>
      <c r="G6662" s="163">
        <v>0</v>
      </c>
      <c r="H6662" s="161" t="s">
        <v>7138</v>
      </c>
      <c r="I6662" s="161"/>
    </row>
    <row r="6663" spans="1:9">
      <c r="A6663" s="161">
        <v>910100514</v>
      </c>
      <c r="B6663" s="161" t="s">
        <v>7550</v>
      </c>
      <c r="C6663" s="161">
        <v>90501078</v>
      </c>
      <c r="D6663" s="161" t="s">
        <v>3093</v>
      </c>
      <c r="E6663" s="161" t="s">
        <v>102</v>
      </c>
      <c r="F6663" s="163" t="s">
        <v>3093</v>
      </c>
      <c r="G6663" s="163">
        <v>0</v>
      </c>
      <c r="H6663" s="161" t="s">
        <v>7138</v>
      </c>
      <c r="I6663" s="161"/>
    </row>
    <row r="6664" spans="1:9">
      <c r="A6664" s="161">
        <v>910100515</v>
      </c>
      <c r="B6664" s="161" t="s">
        <v>2481</v>
      </c>
      <c r="C6664" s="161">
        <v>90501128</v>
      </c>
      <c r="D6664" s="161" t="s">
        <v>3093</v>
      </c>
      <c r="E6664" s="161" t="s">
        <v>102</v>
      </c>
      <c r="F6664" s="163" t="s">
        <v>3093</v>
      </c>
      <c r="G6664" s="163">
        <v>0</v>
      </c>
      <c r="H6664" s="161" t="s">
        <v>7138</v>
      </c>
      <c r="I6664" s="161"/>
    </row>
    <row r="6665" spans="1:9">
      <c r="A6665" s="161">
        <v>910100516</v>
      </c>
      <c r="B6665" s="161" t="s">
        <v>7551</v>
      </c>
      <c r="C6665" s="161">
        <v>90501127</v>
      </c>
      <c r="D6665" s="161" t="s">
        <v>3093</v>
      </c>
      <c r="E6665" s="161" t="s">
        <v>102</v>
      </c>
      <c r="F6665" s="163" t="s">
        <v>3093</v>
      </c>
      <c r="G6665" s="163">
        <v>0</v>
      </c>
      <c r="H6665" s="161" t="s">
        <v>7138</v>
      </c>
      <c r="I6665" s="161"/>
    </row>
    <row r="6666" spans="1:9">
      <c r="A6666" s="161">
        <v>910100517</v>
      </c>
      <c r="B6666" s="161" t="s">
        <v>7552</v>
      </c>
      <c r="C6666" s="161">
        <v>90501101</v>
      </c>
      <c r="D6666" s="161" t="s">
        <v>3093</v>
      </c>
      <c r="E6666" s="161" t="s">
        <v>102</v>
      </c>
      <c r="F6666" s="163" t="s">
        <v>3093</v>
      </c>
      <c r="G6666" s="163">
        <v>84.73</v>
      </c>
      <c r="H6666" s="161" t="s">
        <v>7138</v>
      </c>
      <c r="I6666" s="161"/>
    </row>
    <row r="6667" spans="1:9">
      <c r="A6667" s="161">
        <v>910100518</v>
      </c>
      <c r="B6667" s="161" t="s">
        <v>2482</v>
      </c>
      <c r="C6667" s="161">
        <v>90501131</v>
      </c>
      <c r="D6667" s="161" t="s">
        <v>3093</v>
      </c>
      <c r="E6667" s="161" t="s">
        <v>102</v>
      </c>
      <c r="F6667" s="163" t="s">
        <v>3093</v>
      </c>
      <c r="G6667" s="163">
        <v>0</v>
      </c>
      <c r="H6667" s="161" t="s">
        <v>7138</v>
      </c>
      <c r="I6667" s="161"/>
    </row>
    <row r="6668" spans="1:9">
      <c r="A6668" s="161">
        <v>910100519</v>
      </c>
      <c r="B6668" s="161" t="s">
        <v>7553</v>
      </c>
      <c r="C6668" s="161">
        <v>90501123</v>
      </c>
      <c r="D6668" s="161" t="s">
        <v>3093</v>
      </c>
      <c r="E6668" s="161" t="s">
        <v>102</v>
      </c>
      <c r="F6668" s="163" t="s">
        <v>3093</v>
      </c>
      <c r="G6668" s="163">
        <v>0</v>
      </c>
      <c r="H6668" s="161" t="s">
        <v>7138</v>
      </c>
      <c r="I6668" s="161"/>
    </row>
    <row r="6669" spans="1:9">
      <c r="A6669" s="161">
        <v>910100520</v>
      </c>
      <c r="B6669" s="161" t="s">
        <v>7554</v>
      </c>
      <c r="C6669" s="161">
        <v>90501062</v>
      </c>
      <c r="D6669" s="161" t="s">
        <v>3093</v>
      </c>
      <c r="E6669" s="161" t="s">
        <v>102</v>
      </c>
      <c r="F6669" s="163" t="s">
        <v>3093</v>
      </c>
      <c r="G6669" s="163">
        <v>0</v>
      </c>
      <c r="H6669" s="161" t="s">
        <v>7138</v>
      </c>
      <c r="I6669" s="161"/>
    </row>
    <row r="6670" spans="1:9">
      <c r="A6670" s="161">
        <v>910100521</v>
      </c>
      <c r="B6670" s="161" t="s">
        <v>7555</v>
      </c>
      <c r="C6670" s="161">
        <v>90501063</v>
      </c>
      <c r="D6670" s="161" t="s">
        <v>3093</v>
      </c>
      <c r="E6670" s="161" t="s">
        <v>102</v>
      </c>
      <c r="F6670" s="163" t="s">
        <v>3093</v>
      </c>
      <c r="G6670" s="163">
        <v>0</v>
      </c>
      <c r="H6670" s="161" t="s">
        <v>7138</v>
      </c>
      <c r="I6670" s="161"/>
    </row>
    <row r="6671" spans="1:9">
      <c r="A6671" s="161">
        <v>910100522</v>
      </c>
      <c r="B6671" s="161" t="s">
        <v>7556</v>
      </c>
      <c r="C6671" s="161">
        <v>90501064</v>
      </c>
      <c r="D6671" s="161" t="s">
        <v>3093</v>
      </c>
      <c r="E6671" s="161" t="s">
        <v>102</v>
      </c>
      <c r="F6671" s="163" t="s">
        <v>3093</v>
      </c>
      <c r="G6671" s="163">
        <v>0</v>
      </c>
      <c r="H6671" s="161" t="s">
        <v>7138</v>
      </c>
      <c r="I6671" s="161"/>
    </row>
    <row r="6672" spans="1:9">
      <c r="A6672" s="161">
        <v>910100523</v>
      </c>
      <c r="B6672" s="161" t="s">
        <v>7557</v>
      </c>
      <c r="C6672" s="161">
        <v>90501065</v>
      </c>
      <c r="D6672" s="161" t="s">
        <v>3093</v>
      </c>
      <c r="E6672" s="161" t="s">
        <v>102</v>
      </c>
      <c r="F6672" s="163" t="s">
        <v>3093</v>
      </c>
      <c r="G6672" s="163">
        <v>0</v>
      </c>
      <c r="H6672" s="161" t="s">
        <v>7138</v>
      </c>
      <c r="I6672" s="161"/>
    </row>
    <row r="6673" spans="1:9">
      <c r="A6673" s="161">
        <v>910100524</v>
      </c>
      <c r="B6673" s="161" t="s">
        <v>7558</v>
      </c>
      <c r="C6673" s="161">
        <v>90501125</v>
      </c>
      <c r="D6673" s="161" t="s">
        <v>3093</v>
      </c>
      <c r="E6673" s="161" t="s">
        <v>102</v>
      </c>
      <c r="F6673" s="163" t="s">
        <v>3093</v>
      </c>
      <c r="G6673" s="163">
        <v>0</v>
      </c>
      <c r="H6673" s="161" t="s">
        <v>7138</v>
      </c>
      <c r="I6673" s="161"/>
    </row>
    <row r="6674" spans="1:9">
      <c r="A6674" s="161">
        <v>910100525</v>
      </c>
      <c r="B6674" s="161" t="s">
        <v>7559</v>
      </c>
      <c r="C6674" s="161">
        <v>90501072</v>
      </c>
      <c r="D6674" s="161" t="s">
        <v>3093</v>
      </c>
      <c r="E6674" s="161" t="s">
        <v>102</v>
      </c>
      <c r="F6674" s="163" t="s">
        <v>3093</v>
      </c>
      <c r="G6674" s="163">
        <v>0</v>
      </c>
      <c r="H6674" s="161" t="s">
        <v>7138</v>
      </c>
      <c r="I6674" s="161"/>
    </row>
    <row r="6675" spans="1:9">
      <c r="A6675" s="161">
        <v>910100526</v>
      </c>
      <c r="B6675" s="161" t="s">
        <v>7560</v>
      </c>
      <c r="C6675" s="161">
        <v>90501073</v>
      </c>
      <c r="D6675" s="161" t="s">
        <v>3093</v>
      </c>
      <c r="E6675" s="161" t="s">
        <v>102</v>
      </c>
      <c r="F6675" s="163" t="s">
        <v>3093</v>
      </c>
      <c r="G6675" s="163">
        <v>0</v>
      </c>
      <c r="H6675" s="161" t="s">
        <v>7138</v>
      </c>
      <c r="I6675" s="161"/>
    </row>
    <row r="6676" spans="1:9">
      <c r="A6676" s="161">
        <v>910100527</v>
      </c>
      <c r="B6676" s="161" t="s">
        <v>7561</v>
      </c>
      <c r="C6676" s="161">
        <v>90501071</v>
      </c>
      <c r="D6676" s="161" t="s">
        <v>3093</v>
      </c>
      <c r="E6676" s="161" t="s">
        <v>102</v>
      </c>
      <c r="F6676" s="163" t="s">
        <v>3093</v>
      </c>
      <c r="G6676" s="163">
        <v>0</v>
      </c>
      <c r="H6676" s="161" t="s">
        <v>7138</v>
      </c>
      <c r="I6676" s="161"/>
    </row>
    <row r="6677" spans="1:9">
      <c r="A6677" s="161">
        <v>910100528</v>
      </c>
      <c r="B6677" s="161" t="s">
        <v>7562</v>
      </c>
      <c r="C6677" s="161">
        <v>90501070</v>
      </c>
      <c r="D6677" s="161" t="s">
        <v>3093</v>
      </c>
      <c r="E6677" s="161" t="s">
        <v>102</v>
      </c>
      <c r="F6677" s="163" t="s">
        <v>3093</v>
      </c>
      <c r="G6677" s="163">
        <v>0</v>
      </c>
      <c r="H6677" s="161" t="s">
        <v>7138</v>
      </c>
      <c r="I6677" s="161"/>
    </row>
    <row r="6678" spans="1:9">
      <c r="A6678" s="161">
        <v>910100529</v>
      </c>
      <c r="B6678" s="161" t="s">
        <v>7563</v>
      </c>
      <c r="C6678" s="161">
        <v>90501111</v>
      </c>
      <c r="D6678" s="161" t="s">
        <v>3093</v>
      </c>
      <c r="E6678" s="161" t="s">
        <v>102</v>
      </c>
      <c r="F6678" s="163" t="s">
        <v>3093</v>
      </c>
      <c r="G6678" s="163">
        <v>49.5</v>
      </c>
      <c r="H6678" s="161" t="s">
        <v>7138</v>
      </c>
      <c r="I6678" s="161"/>
    </row>
    <row r="6679" spans="1:9">
      <c r="A6679" s="161">
        <v>910100530</v>
      </c>
      <c r="B6679" s="161" t="s">
        <v>7564</v>
      </c>
      <c r="C6679" s="161">
        <v>90501074</v>
      </c>
      <c r="D6679" s="161" t="s">
        <v>3093</v>
      </c>
      <c r="E6679" s="161" t="s">
        <v>102</v>
      </c>
      <c r="F6679" s="163" t="s">
        <v>3093</v>
      </c>
      <c r="G6679" s="163">
        <v>0</v>
      </c>
      <c r="H6679" s="161" t="s">
        <v>7138</v>
      </c>
      <c r="I6679" s="161"/>
    </row>
    <row r="6680" spans="1:9">
      <c r="A6680" s="161">
        <v>910100531</v>
      </c>
      <c r="B6680" s="161" t="s">
        <v>7565</v>
      </c>
      <c r="C6680" s="161">
        <v>90501075</v>
      </c>
      <c r="D6680" s="161" t="s">
        <v>3093</v>
      </c>
      <c r="E6680" s="161" t="s">
        <v>102</v>
      </c>
      <c r="F6680" s="163" t="s">
        <v>3093</v>
      </c>
      <c r="G6680" s="163">
        <v>0</v>
      </c>
      <c r="H6680" s="161" t="s">
        <v>7138</v>
      </c>
      <c r="I6680" s="161"/>
    </row>
    <row r="6681" spans="1:9">
      <c r="A6681" s="161">
        <v>910100532</v>
      </c>
      <c r="B6681" s="161" t="s">
        <v>7566</v>
      </c>
      <c r="C6681" s="161">
        <v>90501076</v>
      </c>
      <c r="D6681" s="161" t="s">
        <v>3093</v>
      </c>
      <c r="E6681" s="161" t="s">
        <v>102</v>
      </c>
      <c r="F6681" s="163" t="s">
        <v>3093</v>
      </c>
      <c r="G6681" s="163">
        <v>0</v>
      </c>
      <c r="H6681" s="161" t="s">
        <v>7138</v>
      </c>
      <c r="I6681" s="161"/>
    </row>
    <row r="6682" spans="1:9">
      <c r="A6682" s="161">
        <v>910100533</v>
      </c>
      <c r="B6682" s="161" t="s">
        <v>7567</v>
      </c>
      <c r="C6682" s="161">
        <v>90501077</v>
      </c>
      <c r="D6682" s="161" t="s">
        <v>3093</v>
      </c>
      <c r="E6682" s="161" t="s">
        <v>102</v>
      </c>
      <c r="F6682" s="163" t="s">
        <v>3093</v>
      </c>
      <c r="G6682" s="163">
        <v>0</v>
      </c>
      <c r="H6682" s="161" t="s">
        <v>7138</v>
      </c>
      <c r="I6682" s="161"/>
    </row>
    <row r="6683" spans="1:9">
      <c r="A6683" s="161">
        <v>910100534</v>
      </c>
      <c r="B6683" s="161" t="s">
        <v>7568</v>
      </c>
      <c r="C6683" s="161">
        <v>90501137</v>
      </c>
      <c r="D6683" s="161" t="s">
        <v>3093</v>
      </c>
      <c r="E6683" s="161" t="s">
        <v>102</v>
      </c>
      <c r="F6683" s="163" t="s">
        <v>3093</v>
      </c>
      <c r="G6683" s="163">
        <v>60.24</v>
      </c>
      <c r="H6683" s="161" t="s">
        <v>7138</v>
      </c>
      <c r="I6683" s="161"/>
    </row>
    <row r="6684" spans="1:9">
      <c r="A6684" s="161">
        <v>910100535</v>
      </c>
      <c r="B6684" s="161" t="s">
        <v>7569</v>
      </c>
      <c r="C6684" s="161">
        <v>90501138</v>
      </c>
      <c r="D6684" s="161" t="s">
        <v>3093</v>
      </c>
      <c r="E6684" s="161" t="s">
        <v>102</v>
      </c>
      <c r="F6684" s="163" t="s">
        <v>3093</v>
      </c>
      <c r="G6684" s="163">
        <v>60.24</v>
      </c>
      <c r="H6684" s="161" t="s">
        <v>7138</v>
      </c>
      <c r="I6684" s="161"/>
    </row>
    <row r="6685" spans="1:9">
      <c r="A6685" s="161">
        <v>910100536</v>
      </c>
      <c r="B6685" s="161" t="s">
        <v>7570</v>
      </c>
      <c r="C6685" s="161">
        <v>90501136</v>
      </c>
      <c r="D6685" s="161" t="s">
        <v>3093</v>
      </c>
      <c r="E6685" s="161" t="s">
        <v>102</v>
      </c>
      <c r="F6685" s="163" t="s">
        <v>3093</v>
      </c>
      <c r="G6685" s="163">
        <v>0</v>
      </c>
      <c r="H6685" s="161" t="s">
        <v>7138</v>
      </c>
      <c r="I6685" s="161"/>
    </row>
    <row r="6686" spans="1:9">
      <c r="A6686" s="161">
        <v>910100537</v>
      </c>
      <c r="B6686" s="161" t="s">
        <v>7571</v>
      </c>
      <c r="C6686" s="161">
        <v>90501135</v>
      </c>
      <c r="D6686" s="161" t="s">
        <v>3093</v>
      </c>
      <c r="E6686" s="161" t="s">
        <v>102</v>
      </c>
      <c r="F6686" s="163" t="s">
        <v>3093</v>
      </c>
      <c r="G6686" s="163">
        <v>58.27</v>
      </c>
      <c r="H6686" s="161" t="s">
        <v>7138</v>
      </c>
      <c r="I6686" s="161"/>
    </row>
    <row r="6687" spans="1:9">
      <c r="A6687" s="161">
        <v>910100538</v>
      </c>
      <c r="B6687" s="161" t="s">
        <v>2483</v>
      </c>
      <c r="C6687" s="161">
        <v>90501119</v>
      </c>
      <c r="D6687" s="161" t="s">
        <v>3093</v>
      </c>
      <c r="E6687" s="161" t="s">
        <v>102</v>
      </c>
      <c r="F6687" s="163" t="s">
        <v>3093</v>
      </c>
      <c r="G6687" s="163">
        <v>0</v>
      </c>
      <c r="H6687" s="161" t="s">
        <v>7138</v>
      </c>
      <c r="I6687" s="161"/>
    </row>
    <row r="6688" spans="1:9">
      <c r="A6688" s="161">
        <v>910100539</v>
      </c>
      <c r="B6688" s="161" t="s">
        <v>7572</v>
      </c>
      <c r="C6688" s="161">
        <v>90501156</v>
      </c>
      <c r="D6688" s="161" t="s">
        <v>3093</v>
      </c>
      <c r="E6688" s="161" t="s">
        <v>102</v>
      </c>
      <c r="F6688" s="163" t="s">
        <v>3093</v>
      </c>
      <c r="G6688" s="163">
        <v>49.9</v>
      </c>
      <c r="H6688" s="161" t="s">
        <v>7138</v>
      </c>
      <c r="I6688" s="161"/>
    </row>
    <row r="6689" spans="1:9">
      <c r="A6689" s="161">
        <v>910100540</v>
      </c>
      <c r="B6689" s="161" t="s">
        <v>7573</v>
      </c>
      <c r="C6689" s="161">
        <v>90501129</v>
      </c>
      <c r="D6689" s="161" t="s">
        <v>3093</v>
      </c>
      <c r="E6689" s="161" t="s">
        <v>102</v>
      </c>
      <c r="F6689" s="163" t="s">
        <v>3093</v>
      </c>
      <c r="G6689" s="163">
        <v>38</v>
      </c>
      <c r="H6689" s="161" t="s">
        <v>7138</v>
      </c>
      <c r="I6689" s="161"/>
    </row>
    <row r="6690" spans="1:9">
      <c r="A6690" s="161">
        <v>910100541</v>
      </c>
      <c r="B6690" s="161" t="s">
        <v>7574</v>
      </c>
      <c r="C6690" s="161">
        <v>90501141</v>
      </c>
      <c r="D6690" s="161" t="s">
        <v>3093</v>
      </c>
      <c r="E6690" s="161" t="s">
        <v>102</v>
      </c>
      <c r="F6690" s="163" t="s">
        <v>3093</v>
      </c>
      <c r="G6690" s="163">
        <v>30</v>
      </c>
      <c r="H6690" s="161" t="s">
        <v>7138</v>
      </c>
      <c r="I6690" s="161"/>
    </row>
    <row r="6691" spans="1:9">
      <c r="A6691" s="161">
        <v>910100542</v>
      </c>
      <c r="B6691" s="161" t="s">
        <v>7575</v>
      </c>
      <c r="C6691" s="161">
        <v>90501132</v>
      </c>
      <c r="D6691" s="161" t="s">
        <v>3093</v>
      </c>
      <c r="E6691" s="161" t="s">
        <v>102</v>
      </c>
      <c r="F6691" s="163" t="s">
        <v>3093</v>
      </c>
      <c r="G6691" s="163">
        <v>0</v>
      </c>
      <c r="H6691" s="161" t="s">
        <v>7138</v>
      </c>
      <c r="I6691" s="161"/>
    </row>
    <row r="6692" spans="1:9">
      <c r="A6692" s="161">
        <v>910100543</v>
      </c>
      <c r="B6692" s="161" t="s">
        <v>7576</v>
      </c>
      <c r="C6692" s="161">
        <v>90501061</v>
      </c>
      <c r="D6692" s="161" t="s">
        <v>3093</v>
      </c>
      <c r="E6692" s="161" t="s">
        <v>102</v>
      </c>
      <c r="F6692" s="163" t="s">
        <v>3093</v>
      </c>
      <c r="G6692" s="163">
        <v>0</v>
      </c>
      <c r="H6692" s="161" t="s">
        <v>7138</v>
      </c>
      <c r="I6692" s="161"/>
    </row>
    <row r="6693" spans="1:9">
      <c r="A6693" s="161">
        <v>910100544</v>
      </c>
      <c r="B6693" s="161" t="s">
        <v>7577</v>
      </c>
      <c r="C6693" s="161">
        <v>90501143</v>
      </c>
      <c r="D6693" s="161" t="s">
        <v>3093</v>
      </c>
      <c r="E6693" s="161" t="s">
        <v>102</v>
      </c>
      <c r="F6693" s="163" t="s">
        <v>3093</v>
      </c>
      <c r="G6693" s="163">
        <v>0</v>
      </c>
      <c r="H6693" s="161" t="s">
        <v>7138</v>
      </c>
      <c r="I6693" s="161"/>
    </row>
    <row r="6694" spans="1:9">
      <c r="A6694" s="161">
        <v>910100545</v>
      </c>
      <c r="B6694" s="161" t="s">
        <v>7578</v>
      </c>
      <c r="C6694" s="161">
        <v>90501133</v>
      </c>
      <c r="D6694" s="161" t="s">
        <v>3093</v>
      </c>
      <c r="E6694" s="161" t="s">
        <v>102</v>
      </c>
      <c r="F6694" s="163" t="s">
        <v>3093</v>
      </c>
      <c r="G6694" s="163">
        <v>0</v>
      </c>
      <c r="H6694" s="161" t="s">
        <v>7138</v>
      </c>
      <c r="I6694" s="161"/>
    </row>
    <row r="6695" spans="1:9">
      <c r="A6695" s="161">
        <v>910100546</v>
      </c>
      <c r="B6695" s="161" t="s">
        <v>7579</v>
      </c>
      <c r="C6695" s="161">
        <v>90501045</v>
      </c>
      <c r="D6695" s="161" t="s">
        <v>3093</v>
      </c>
      <c r="E6695" s="161" t="s">
        <v>102</v>
      </c>
      <c r="F6695" s="163" t="s">
        <v>3093</v>
      </c>
      <c r="G6695" s="163">
        <v>71.180000000000007</v>
      </c>
      <c r="H6695" s="161" t="s">
        <v>7138</v>
      </c>
      <c r="I6695" s="161"/>
    </row>
    <row r="6696" spans="1:9">
      <c r="A6696" s="161">
        <v>910100547</v>
      </c>
      <c r="B6696" s="161" t="s">
        <v>2484</v>
      </c>
      <c r="C6696" s="161">
        <v>90501120</v>
      </c>
      <c r="D6696" s="161" t="s">
        <v>3093</v>
      </c>
      <c r="E6696" s="161" t="s">
        <v>102</v>
      </c>
      <c r="F6696" s="163" t="s">
        <v>3093</v>
      </c>
      <c r="G6696" s="163">
        <v>0</v>
      </c>
      <c r="H6696" s="161" t="s">
        <v>7138</v>
      </c>
      <c r="I6696" s="161"/>
    </row>
    <row r="6697" spans="1:9">
      <c r="A6697" s="161">
        <v>910100548</v>
      </c>
      <c r="B6697" s="161" t="s">
        <v>7580</v>
      </c>
      <c r="C6697" s="161">
        <v>90501103</v>
      </c>
      <c r="D6697" s="161" t="s">
        <v>3093</v>
      </c>
      <c r="E6697" s="161" t="s">
        <v>102</v>
      </c>
      <c r="F6697" s="163" t="s">
        <v>3093</v>
      </c>
      <c r="G6697" s="163">
        <v>0</v>
      </c>
      <c r="H6697" s="161" t="s">
        <v>7138</v>
      </c>
      <c r="I6697" s="161"/>
    </row>
    <row r="6698" spans="1:9">
      <c r="A6698" s="161">
        <v>910100549</v>
      </c>
      <c r="B6698" s="161" t="s">
        <v>7581</v>
      </c>
      <c r="C6698" s="161">
        <v>90501057</v>
      </c>
      <c r="D6698" s="161" t="s">
        <v>3093</v>
      </c>
      <c r="E6698" s="161" t="s">
        <v>102</v>
      </c>
      <c r="F6698" s="163" t="s">
        <v>3093</v>
      </c>
      <c r="G6698" s="163">
        <v>0</v>
      </c>
      <c r="H6698" s="161" t="s">
        <v>7138</v>
      </c>
      <c r="I6698" s="161"/>
    </row>
    <row r="6699" spans="1:9">
      <c r="A6699" s="161">
        <v>910100550</v>
      </c>
      <c r="B6699" s="161" t="s">
        <v>7582</v>
      </c>
      <c r="C6699" s="161">
        <v>90501055</v>
      </c>
      <c r="D6699" s="161" t="s">
        <v>3093</v>
      </c>
      <c r="E6699" s="161" t="s">
        <v>102</v>
      </c>
      <c r="F6699" s="163" t="s">
        <v>3093</v>
      </c>
      <c r="G6699" s="163">
        <v>0</v>
      </c>
      <c r="H6699" s="161" t="s">
        <v>7138</v>
      </c>
      <c r="I6699" s="161"/>
    </row>
    <row r="6700" spans="1:9">
      <c r="A6700" s="161">
        <v>910100551</v>
      </c>
      <c r="B6700" s="161" t="s">
        <v>7583</v>
      </c>
      <c r="C6700" s="161">
        <v>90501054</v>
      </c>
      <c r="D6700" s="161" t="s">
        <v>3093</v>
      </c>
      <c r="E6700" s="161" t="s">
        <v>102</v>
      </c>
      <c r="F6700" s="163" t="s">
        <v>3093</v>
      </c>
      <c r="G6700" s="163">
        <v>0</v>
      </c>
      <c r="H6700" s="161" t="s">
        <v>7138</v>
      </c>
      <c r="I6700" s="161"/>
    </row>
    <row r="6701" spans="1:9">
      <c r="A6701" s="161">
        <v>910100552</v>
      </c>
      <c r="B6701" s="161" t="s">
        <v>7584</v>
      </c>
      <c r="C6701" s="161">
        <v>90501053</v>
      </c>
      <c r="D6701" s="161" t="s">
        <v>3093</v>
      </c>
      <c r="E6701" s="161" t="s">
        <v>102</v>
      </c>
      <c r="F6701" s="163" t="s">
        <v>3093</v>
      </c>
      <c r="G6701" s="163">
        <v>0</v>
      </c>
      <c r="H6701" s="161" t="s">
        <v>7138</v>
      </c>
      <c r="I6701" s="161"/>
    </row>
    <row r="6702" spans="1:9">
      <c r="A6702" s="161">
        <v>910100553</v>
      </c>
      <c r="B6702" s="161" t="s">
        <v>7585</v>
      </c>
      <c r="C6702" s="161">
        <v>90501047</v>
      </c>
      <c r="D6702" s="161" t="s">
        <v>3093</v>
      </c>
      <c r="E6702" s="161" t="s">
        <v>102</v>
      </c>
      <c r="F6702" s="163" t="s">
        <v>3093</v>
      </c>
      <c r="G6702" s="163">
        <v>0</v>
      </c>
      <c r="H6702" s="161" t="s">
        <v>7138</v>
      </c>
      <c r="I6702" s="161"/>
    </row>
    <row r="6703" spans="1:9">
      <c r="A6703" s="161">
        <v>910100554</v>
      </c>
      <c r="B6703" s="161" t="s">
        <v>7586</v>
      </c>
      <c r="C6703" s="161">
        <v>90501049</v>
      </c>
      <c r="D6703" s="161" t="s">
        <v>3093</v>
      </c>
      <c r="E6703" s="161" t="s">
        <v>102</v>
      </c>
      <c r="F6703" s="163" t="s">
        <v>3093</v>
      </c>
      <c r="G6703" s="163">
        <v>0</v>
      </c>
      <c r="H6703" s="161" t="s">
        <v>7138</v>
      </c>
      <c r="I6703" s="161"/>
    </row>
    <row r="6704" spans="1:9">
      <c r="A6704" s="161">
        <v>910100555</v>
      </c>
      <c r="B6704" s="161" t="s">
        <v>7587</v>
      </c>
      <c r="C6704" s="161">
        <v>90501046</v>
      </c>
      <c r="D6704" s="161" t="s">
        <v>3093</v>
      </c>
      <c r="E6704" s="161" t="s">
        <v>102</v>
      </c>
      <c r="F6704" s="163" t="s">
        <v>3093</v>
      </c>
      <c r="G6704" s="163">
        <v>0</v>
      </c>
      <c r="H6704" s="161" t="s">
        <v>7138</v>
      </c>
      <c r="I6704" s="161"/>
    </row>
    <row r="6705" spans="1:9">
      <c r="A6705" s="161">
        <v>910100556</v>
      </c>
      <c r="B6705" s="161" t="s">
        <v>7588</v>
      </c>
      <c r="C6705" s="161">
        <v>90501048</v>
      </c>
      <c r="D6705" s="161" t="s">
        <v>3093</v>
      </c>
      <c r="E6705" s="161" t="s">
        <v>102</v>
      </c>
      <c r="F6705" s="163" t="s">
        <v>3093</v>
      </c>
      <c r="G6705" s="163">
        <v>0</v>
      </c>
      <c r="H6705" s="161" t="s">
        <v>7138</v>
      </c>
      <c r="I6705" s="161"/>
    </row>
    <row r="6706" spans="1:9">
      <c r="A6706" s="161">
        <v>910100557</v>
      </c>
      <c r="B6706" s="161" t="s">
        <v>2485</v>
      </c>
      <c r="C6706" s="161">
        <v>90501139</v>
      </c>
      <c r="D6706" s="161" t="s">
        <v>3093</v>
      </c>
      <c r="E6706" s="161" t="s">
        <v>102</v>
      </c>
      <c r="F6706" s="163" t="s">
        <v>3093</v>
      </c>
      <c r="G6706" s="163">
        <v>35</v>
      </c>
      <c r="H6706" s="161" t="s">
        <v>7138</v>
      </c>
      <c r="I6706" s="161"/>
    </row>
    <row r="6707" spans="1:9">
      <c r="A6707" s="161">
        <v>910100558</v>
      </c>
      <c r="B6707" s="161" t="s">
        <v>7589</v>
      </c>
      <c r="C6707" s="161">
        <v>90501142</v>
      </c>
      <c r="D6707" s="161" t="s">
        <v>3093</v>
      </c>
      <c r="E6707" s="161" t="s">
        <v>102</v>
      </c>
      <c r="F6707" s="163" t="s">
        <v>3093</v>
      </c>
      <c r="G6707" s="163">
        <v>0</v>
      </c>
      <c r="H6707" s="161" t="s">
        <v>7138</v>
      </c>
      <c r="I6707" s="161"/>
    </row>
    <row r="6708" spans="1:9">
      <c r="A6708" s="161">
        <v>910100559</v>
      </c>
      <c r="B6708" s="161" t="s">
        <v>7590</v>
      </c>
      <c r="C6708" s="161">
        <v>90501140</v>
      </c>
      <c r="D6708" s="161" t="s">
        <v>3093</v>
      </c>
      <c r="E6708" s="161" t="s">
        <v>102</v>
      </c>
      <c r="F6708" s="163" t="s">
        <v>3093</v>
      </c>
      <c r="G6708" s="163">
        <v>0</v>
      </c>
      <c r="H6708" s="161" t="s">
        <v>7138</v>
      </c>
      <c r="I6708" s="161"/>
    </row>
    <row r="6709" spans="1:9">
      <c r="A6709" s="161">
        <v>910100560</v>
      </c>
      <c r="B6709" s="161" t="s">
        <v>7591</v>
      </c>
      <c r="C6709" s="161">
        <v>90106033</v>
      </c>
      <c r="D6709" s="161" t="s">
        <v>3093</v>
      </c>
      <c r="E6709" s="161" t="s">
        <v>102</v>
      </c>
      <c r="F6709" s="163" t="s">
        <v>3093</v>
      </c>
      <c r="G6709" s="163">
        <v>0.14000000000000001</v>
      </c>
      <c r="H6709" s="161" t="s">
        <v>7138</v>
      </c>
      <c r="I6709" s="161"/>
    </row>
    <row r="6710" spans="1:9">
      <c r="A6710" s="161">
        <v>910100561</v>
      </c>
      <c r="B6710" s="161" t="s">
        <v>7592</v>
      </c>
      <c r="C6710" s="161">
        <v>90503180</v>
      </c>
      <c r="D6710" s="161" t="s">
        <v>3093</v>
      </c>
      <c r="E6710" s="161" t="s">
        <v>102</v>
      </c>
      <c r="F6710" s="163" t="s">
        <v>3093</v>
      </c>
      <c r="G6710" s="163">
        <v>182.61</v>
      </c>
      <c r="H6710" s="161" t="s">
        <v>7138</v>
      </c>
      <c r="I6710" s="161"/>
    </row>
    <row r="6711" spans="1:9">
      <c r="A6711" s="161">
        <v>910100562</v>
      </c>
      <c r="B6711" s="161" t="s">
        <v>7593</v>
      </c>
      <c r="C6711" s="161">
        <v>90503175</v>
      </c>
      <c r="D6711" s="161" t="s">
        <v>3093</v>
      </c>
      <c r="E6711" s="161" t="s">
        <v>102</v>
      </c>
      <c r="F6711" s="163" t="s">
        <v>3093</v>
      </c>
      <c r="G6711" s="163">
        <v>231.54</v>
      </c>
      <c r="H6711" s="161" t="s">
        <v>7138</v>
      </c>
      <c r="I6711" s="161"/>
    </row>
    <row r="6712" spans="1:9">
      <c r="A6712" s="161">
        <v>910100563</v>
      </c>
      <c r="B6712" s="161" t="s">
        <v>7594</v>
      </c>
      <c r="C6712" s="161">
        <v>90503175</v>
      </c>
      <c r="D6712" s="161" t="s">
        <v>3093</v>
      </c>
      <c r="E6712" s="161" t="s">
        <v>102</v>
      </c>
      <c r="F6712" s="163" t="s">
        <v>3093</v>
      </c>
      <c r="G6712" s="163">
        <v>231.54</v>
      </c>
      <c r="H6712" s="161" t="s">
        <v>7138</v>
      </c>
      <c r="I6712" s="161"/>
    </row>
    <row r="6713" spans="1:9">
      <c r="A6713" s="161">
        <v>910100564</v>
      </c>
      <c r="B6713" s="161" t="s">
        <v>7595</v>
      </c>
      <c r="C6713" s="161">
        <v>90503175</v>
      </c>
      <c r="D6713" s="161" t="s">
        <v>3093</v>
      </c>
      <c r="E6713" s="161" t="s">
        <v>102</v>
      </c>
      <c r="F6713" s="163" t="s">
        <v>3093</v>
      </c>
      <c r="G6713" s="163">
        <v>231.54</v>
      </c>
      <c r="H6713" s="161" t="s">
        <v>7138</v>
      </c>
      <c r="I6713" s="161"/>
    </row>
    <row r="6714" spans="1:9">
      <c r="A6714" s="161">
        <v>910100565</v>
      </c>
      <c r="B6714" s="161" t="s">
        <v>7596</v>
      </c>
      <c r="C6714" s="161">
        <v>90503175</v>
      </c>
      <c r="D6714" s="161" t="s">
        <v>3093</v>
      </c>
      <c r="E6714" s="161" t="s">
        <v>102</v>
      </c>
      <c r="F6714" s="163" t="s">
        <v>3093</v>
      </c>
      <c r="G6714" s="163">
        <v>131.97999999999999</v>
      </c>
      <c r="H6714" s="161" t="s">
        <v>7138</v>
      </c>
      <c r="I6714" s="161"/>
    </row>
    <row r="6715" spans="1:9">
      <c r="A6715" s="161">
        <v>910100567</v>
      </c>
      <c r="B6715" s="161" t="s">
        <v>7597</v>
      </c>
      <c r="C6715" s="161">
        <v>90503175</v>
      </c>
      <c r="D6715" s="161" t="s">
        <v>3093</v>
      </c>
      <c r="E6715" s="161" t="s">
        <v>102</v>
      </c>
      <c r="F6715" s="163" t="s">
        <v>3093</v>
      </c>
      <c r="G6715" s="163">
        <v>131.97999999999999</v>
      </c>
      <c r="H6715" s="161" t="s">
        <v>7138</v>
      </c>
      <c r="I6715" s="161"/>
    </row>
    <row r="6716" spans="1:9">
      <c r="A6716" s="161">
        <v>910100568</v>
      </c>
      <c r="B6716" s="161" t="s">
        <v>7598</v>
      </c>
      <c r="C6716" s="161">
        <v>90503175</v>
      </c>
      <c r="D6716" s="161" t="s">
        <v>3093</v>
      </c>
      <c r="E6716" s="161" t="s">
        <v>102</v>
      </c>
      <c r="F6716" s="163" t="s">
        <v>3093</v>
      </c>
      <c r="G6716" s="163">
        <v>131.97999999999999</v>
      </c>
      <c r="H6716" s="161" t="s">
        <v>7138</v>
      </c>
      <c r="I6716" s="161"/>
    </row>
    <row r="6717" spans="1:9">
      <c r="A6717" s="161">
        <v>910100569</v>
      </c>
      <c r="B6717" s="161" t="s">
        <v>7599</v>
      </c>
      <c r="C6717" s="161">
        <v>90503175</v>
      </c>
      <c r="D6717" s="161" t="s">
        <v>3093</v>
      </c>
      <c r="E6717" s="161" t="s">
        <v>102</v>
      </c>
      <c r="F6717" s="163" t="s">
        <v>3093</v>
      </c>
      <c r="G6717" s="163">
        <v>106</v>
      </c>
      <c r="H6717" s="161" t="s">
        <v>7138</v>
      </c>
      <c r="I6717" s="161"/>
    </row>
    <row r="6718" spans="1:9">
      <c r="A6718" s="161">
        <v>910100571</v>
      </c>
      <c r="B6718" s="161" t="s">
        <v>7600</v>
      </c>
      <c r="C6718" s="161">
        <v>90101003</v>
      </c>
      <c r="D6718" s="161" t="s">
        <v>3093</v>
      </c>
      <c r="E6718" s="161" t="s">
        <v>102</v>
      </c>
      <c r="F6718" s="163" t="s">
        <v>3093</v>
      </c>
      <c r="G6718" s="163">
        <v>0.34</v>
      </c>
      <c r="H6718" s="161" t="s">
        <v>7138</v>
      </c>
      <c r="I6718" s="161"/>
    </row>
    <row r="6719" spans="1:9">
      <c r="A6719" s="161">
        <v>910100581</v>
      </c>
      <c r="B6719" s="161" t="s">
        <v>7601</v>
      </c>
      <c r="C6719" s="161">
        <v>90501140</v>
      </c>
      <c r="D6719" s="161" t="s">
        <v>3093</v>
      </c>
      <c r="E6719" s="161" t="s">
        <v>102</v>
      </c>
      <c r="F6719" s="163" t="s">
        <v>3093</v>
      </c>
      <c r="G6719" s="163">
        <v>0</v>
      </c>
      <c r="H6719" s="161" t="s">
        <v>7138</v>
      </c>
      <c r="I6719" s="161"/>
    </row>
    <row r="6720" spans="1:9">
      <c r="A6720" s="161">
        <v>910100582</v>
      </c>
      <c r="B6720" s="161" t="s">
        <v>7602</v>
      </c>
      <c r="C6720" s="161">
        <v>90503083</v>
      </c>
      <c r="D6720" s="161" t="s">
        <v>3093</v>
      </c>
      <c r="E6720" s="161" t="s">
        <v>102</v>
      </c>
      <c r="F6720" s="163" t="s">
        <v>3093</v>
      </c>
      <c r="G6720" s="163">
        <v>0</v>
      </c>
      <c r="H6720" s="161" t="s">
        <v>7138</v>
      </c>
      <c r="I6720" s="161"/>
    </row>
    <row r="6721" spans="1:9">
      <c r="A6721" s="161">
        <v>910100583</v>
      </c>
      <c r="B6721" s="161" t="s">
        <v>7603</v>
      </c>
      <c r="C6721" s="161">
        <v>90503175</v>
      </c>
      <c r="D6721" s="161" t="s">
        <v>3093</v>
      </c>
      <c r="E6721" s="161" t="s">
        <v>102</v>
      </c>
      <c r="F6721" s="163" t="s">
        <v>3093</v>
      </c>
      <c r="G6721" s="163">
        <v>0</v>
      </c>
      <c r="H6721" s="161" t="s">
        <v>7138</v>
      </c>
      <c r="I6721" s="161"/>
    </row>
    <row r="6722" spans="1:9">
      <c r="A6722" s="161">
        <v>910100584</v>
      </c>
      <c r="B6722" s="161" t="s">
        <v>7604</v>
      </c>
      <c r="C6722" s="161">
        <v>90502114</v>
      </c>
      <c r="D6722" s="161" t="s">
        <v>3093</v>
      </c>
      <c r="E6722" s="161" t="s">
        <v>102</v>
      </c>
      <c r="F6722" s="163" t="s">
        <v>3093</v>
      </c>
      <c r="G6722" s="163">
        <v>0</v>
      </c>
      <c r="H6722" s="161" t="s">
        <v>7138</v>
      </c>
      <c r="I6722" s="161"/>
    </row>
    <row r="6723" spans="1:9">
      <c r="A6723" s="161">
        <v>910100585</v>
      </c>
      <c r="B6723" s="161" t="s">
        <v>7605</v>
      </c>
      <c r="C6723" s="161">
        <v>90503175</v>
      </c>
      <c r="D6723" s="161" t="s">
        <v>3093</v>
      </c>
      <c r="E6723" s="161" t="s">
        <v>102</v>
      </c>
      <c r="F6723" s="163" t="s">
        <v>3093</v>
      </c>
      <c r="G6723" s="163">
        <v>0</v>
      </c>
      <c r="H6723" s="161" t="s">
        <v>7138</v>
      </c>
      <c r="I6723" s="161"/>
    </row>
    <row r="6724" spans="1:9">
      <c r="A6724" s="161">
        <v>910199043</v>
      </c>
      <c r="B6724" s="161" t="s">
        <v>7606</v>
      </c>
      <c r="C6724" s="161">
        <v>90102073</v>
      </c>
      <c r="D6724" s="161" t="s">
        <v>3093</v>
      </c>
      <c r="E6724" s="161" t="s">
        <v>1620</v>
      </c>
      <c r="F6724" s="163" t="s">
        <v>3093</v>
      </c>
      <c r="G6724" s="163">
        <v>5.0599999999999996</v>
      </c>
      <c r="H6724" s="161" t="s">
        <v>7138</v>
      </c>
      <c r="I6724" s="161"/>
    </row>
    <row r="6725" spans="1:9">
      <c r="A6725" s="161">
        <v>910199081</v>
      </c>
      <c r="B6725" s="161" t="s">
        <v>2668</v>
      </c>
      <c r="C6725" s="161">
        <v>90103011</v>
      </c>
      <c r="D6725" s="161" t="s">
        <v>3093</v>
      </c>
      <c r="E6725" s="161" t="s">
        <v>1620</v>
      </c>
      <c r="F6725" s="163" t="s">
        <v>3093</v>
      </c>
      <c r="G6725" s="163">
        <v>0</v>
      </c>
      <c r="H6725" s="161" t="s">
        <v>7138</v>
      </c>
      <c r="I6725" s="161"/>
    </row>
    <row r="6726" spans="1:9">
      <c r="A6726" s="161">
        <v>910200001</v>
      </c>
      <c r="B6726" s="161" t="s">
        <v>2362</v>
      </c>
      <c r="C6726" s="161">
        <v>90202085</v>
      </c>
      <c r="D6726" s="161" t="s">
        <v>3093</v>
      </c>
      <c r="E6726" s="161" t="s">
        <v>1620</v>
      </c>
      <c r="F6726" s="163" t="s">
        <v>3093</v>
      </c>
      <c r="G6726" s="163">
        <v>7.95</v>
      </c>
      <c r="H6726" s="161" t="s">
        <v>7138</v>
      </c>
      <c r="I6726" s="161"/>
    </row>
    <row r="6727" spans="1:9">
      <c r="A6727" s="161">
        <v>910200002</v>
      </c>
      <c r="B6727" s="161" t="s">
        <v>7607</v>
      </c>
      <c r="C6727" s="161">
        <v>90201021</v>
      </c>
      <c r="D6727" s="161" t="s">
        <v>3093</v>
      </c>
      <c r="E6727" s="161" t="s">
        <v>1620</v>
      </c>
      <c r="F6727" s="163" t="s">
        <v>3093</v>
      </c>
      <c r="G6727" s="163">
        <v>22</v>
      </c>
      <c r="H6727" s="161" t="s">
        <v>7138</v>
      </c>
      <c r="I6727" s="161"/>
    </row>
    <row r="6728" spans="1:9">
      <c r="A6728" s="161">
        <v>910200003</v>
      </c>
      <c r="B6728" s="161" t="s">
        <v>7608</v>
      </c>
      <c r="C6728" s="161">
        <v>90201023</v>
      </c>
      <c r="D6728" s="161" t="s">
        <v>3093</v>
      </c>
      <c r="E6728" s="161" t="s">
        <v>1620</v>
      </c>
      <c r="F6728" s="163" t="s">
        <v>3093</v>
      </c>
      <c r="G6728" s="163">
        <v>15</v>
      </c>
      <c r="H6728" s="161" t="s">
        <v>7138</v>
      </c>
      <c r="I6728" s="161"/>
    </row>
    <row r="6729" spans="1:9">
      <c r="A6729" s="161">
        <v>910200004</v>
      </c>
      <c r="B6729" s="161" t="s">
        <v>2363</v>
      </c>
      <c r="C6729" s="161">
        <v>90202044</v>
      </c>
      <c r="D6729" s="161" t="s">
        <v>3093</v>
      </c>
      <c r="E6729" s="161" t="s">
        <v>102</v>
      </c>
      <c r="F6729" s="163" t="s">
        <v>3093</v>
      </c>
      <c r="G6729" s="163">
        <v>12</v>
      </c>
      <c r="H6729" s="161" t="s">
        <v>7138</v>
      </c>
      <c r="I6729" s="161"/>
    </row>
    <row r="6730" spans="1:9">
      <c r="A6730" s="161">
        <v>910200005</v>
      </c>
      <c r="B6730" s="161" t="s">
        <v>2137</v>
      </c>
      <c r="C6730" s="161">
        <v>90202001</v>
      </c>
      <c r="D6730" s="161" t="s">
        <v>3093</v>
      </c>
      <c r="E6730" s="161" t="s">
        <v>102</v>
      </c>
      <c r="F6730" s="163" t="s">
        <v>3093</v>
      </c>
      <c r="G6730" s="163">
        <v>1.8</v>
      </c>
      <c r="H6730" s="161" t="s">
        <v>7138</v>
      </c>
      <c r="I6730" s="161"/>
    </row>
    <row r="6731" spans="1:9">
      <c r="A6731" s="161">
        <v>910200006</v>
      </c>
      <c r="B6731" s="161" t="s">
        <v>7609</v>
      </c>
      <c r="C6731" s="161">
        <v>90305155</v>
      </c>
      <c r="D6731" s="161" t="s">
        <v>3093</v>
      </c>
      <c r="E6731" s="161" t="s">
        <v>1620</v>
      </c>
      <c r="F6731" s="163" t="s">
        <v>3093</v>
      </c>
      <c r="G6731" s="163">
        <v>146.88999999999999</v>
      </c>
      <c r="H6731" s="161" t="s">
        <v>7138</v>
      </c>
      <c r="I6731" s="161"/>
    </row>
    <row r="6732" spans="1:9">
      <c r="A6732" s="161">
        <v>910200007</v>
      </c>
      <c r="B6732" s="161" t="s">
        <v>7610</v>
      </c>
      <c r="C6732" s="161">
        <v>90401016</v>
      </c>
      <c r="D6732" s="161" t="s">
        <v>3093</v>
      </c>
      <c r="E6732" s="161" t="s">
        <v>102</v>
      </c>
      <c r="F6732" s="163" t="s">
        <v>3093</v>
      </c>
      <c r="G6732" s="163">
        <v>5.65</v>
      </c>
      <c r="H6732" s="161" t="s">
        <v>7138</v>
      </c>
      <c r="I6732" s="161"/>
    </row>
    <row r="6733" spans="1:9">
      <c r="A6733" s="161">
        <v>910200008</v>
      </c>
      <c r="B6733" s="161" t="s">
        <v>7611</v>
      </c>
      <c r="C6733" s="161">
        <v>90202076</v>
      </c>
      <c r="D6733" s="161" t="s">
        <v>3093</v>
      </c>
      <c r="E6733" s="161" t="s">
        <v>102</v>
      </c>
      <c r="F6733" s="163" t="s">
        <v>3093</v>
      </c>
      <c r="G6733" s="163">
        <v>4.3600000000000003</v>
      </c>
      <c r="H6733" s="161" t="s">
        <v>7138</v>
      </c>
      <c r="I6733" s="161"/>
    </row>
    <row r="6734" spans="1:9">
      <c r="A6734" s="161">
        <v>910200009</v>
      </c>
      <c r="B6734" s="161" t="s">
        <v>7612</v>
      </c>
      <c r="C6734" s="161">
        <v>90305105</v>
      </c>
      <c r="D6734" s="161" t="s">
        <v>3093</v>
      </c>
      <c r="E6734" s="161" t="s">
        <v>102</v>
      </c>
      <c r="F6734" s="163" t="s">
        <v>3093</v>
      </c>
      <c r="G6734" s="163">
        <v>32</v>
      </c>
      <c r="H6734" s="161" t="s">
        <v>7138</v>
      </c>
      <c r="I6734" s="161"/>
    </row>
    <row r="6735" spans="1:9">
      <c r="A6735" s="161">
        <v>910200010</v>
      </c>
      <c r="B6735" s="161" t="s">
        <v>7613</v>
      </c>
      <c r="C6735" s="161">
        <v>90305104</v>
      </c>
      <c r="D6735" s="161" t="s">
        <v>3093</v>
      </c>
      <c r="E6735" s="161" t="s">
        <v>102</v>
      </c>
      <c r="F6735" s="163" t="s">
        <v>3093</v>
      </c>
      <c r="G6735" s="163">
        <v>14.4</v>
      </c>
      <c r="H6735" s="161" t="s">
        <v>7138</v>
      </c>
      <c r="I6735" s="161"/>
    </row>
    <row r="6736" spans="1:9">
      <c r="A6736" s="161">
        <v>910200011</v>
      </c>
      <c r="B6736" s="161" t="s">
        <v>7614</v>
      </c>
      <c r="C6736" s="161">
        <v>90305060</v>
      </c>
      <c r="D6736" s="161" t="s">
        <v>3093</v>
      </c>
      <c r="E6736" s="161" t="s">
        <v>102</v>
      </c>
      <c r="F6736" s="163" t="s">
        <v>3093</v>
      </c>
      <c r="G6736" s="163">
        <v>5.0599999999999996</v>
      </c>
      <c r="H6736" s="161" t="s">
        <v>7138</v>
      </c>
      <c r="I6736" s="161"/>
    </row>
    <row r="6737" spans="1:9">
      <c r="A6737" s="161">
        <v>910200012</v>
      </c>
      <c r="B6737" s="161" t="s">
        <v>7615</v>
      </c>
      <c r="C6737" s="161">
        <v>90201005</v>
      </c>
      <c r="D6737" s="161" t="s">
        <v>3093</v>
      </c>
      <c r="E6737" s="161" t="s">
        <v>7143</v>
      </c>
      <c r="F6737" s="163" t="s">
        <v>3093</v>
      </c>
      <c r="G6737" s="163">
        <v>16.36</v>
      </c>
      <c r="H6737" s="161" t="s">
        <v>7138</v>
      </c>
      <c r="I6737" s="161"/>
    </row>
    <row r="6738" spans="1:9">
      <c r="A6738" s="161">
        <v>910200013</v>
      </c>
      <c r="B6738" s="161" t="s">
        <v>7616</v>
      </c>
      <c r="C6738" s="161">
        <v>90201012</v>
      </c>
      <c r="D6738" s="161" t="s">
        <v>8126</v>
      </c>
      <c r="E6738" s="161" t="s">
        <v>1620</v>
      </c>
      <c r="F6738" s="163" t="s">
        <v>3093</v>
      </c>
      <c r="G6738" s="163">
        <v>1.45</v>
      </c>
      <c r="H6738" s="161" t="s">
        <v>7138</v>
      </c>
      <c r="I6738" s="161"/>
    </row>
    <row r="6739" spans="1:9">
      <c r="A6739" s="161">
        <v>910200014</v>
      </c>
      <c r="B6739" s="161" t="s">
        <v>2364</v>
      </c>
      <c r="C6739" s="161">
        <v>90202119</v>
      </c>
      <c r="D6739" s="161" t="s">
        <v>3093</v>
      </c>
      <c r="E6739" s="161" t="s">
        <v>1620</v>
      </c>
      <c r="F6739" s="163" t="s">
        <v>3093</v>
      </c>
      <c r="G6739" s="163">
        <v>0.7</v>
      </c>
      <c r="H6739" s="161" t="s">
        <v>7138</v>
      </c>
      <c r="I6739" s="161"/>
    </row>
    <row r="6740" spans="1:9">
      <c r="A6740" s="161">
        <v>910200015</v>
      </c>
      <c r="B6740" s="161" t="s">
        <v>7617</v>
      </c>
      <c r="C6740" s="161">
        <v>90202067</v>
      </c>
      <c r="D6740" s="161" t="s">
        <v>3093</v>
      </c>
      <c r="E6740" s="161" t="s">
        <v>1620</v>
      </c>
      <c r="F6740" s="163" t="s">
        <v>3093</v>
      </c>
      <c r="G6740" s="163">
        <v>1.48</v>
      </c>
      <c r="H6740" s="161" t="s">
        <v>7138</v>
      </c>
      <c r="I6740" s="161"/>
    </row>
    <row r="6741" spans="1:9">
      <c r="A6741" s="161">
        <v>910200016</v>
      </c>
      <c r="B6741" s="161" t="s">
        <v>7618</v>
      </c>
      <c r="C6741" s="161">
        <v>90202068</v>
      </c>
      <c r="D6741" s="161" t="s">
        <v>3093</v>
      </c>
      <c r="E6741" s="161" t="s">
        <v>1620</v>
      </c>
      <c r="F6741" s="163" t="s">
        <v>3093</v>
      </c>
      <c r="G6741" s="163">
        <v>0.49</v>
      </c>
      <c r="H6741" s="161" t="s">
        <v>7138</v>
      </c>
      <c r="I6741" s="161"/>
    </row>
    <row r="6742" spans="1:9">
      <c r="A6742" s="161">
        <v>910200017</v>
      </c>
      <c r="B6742" s="161" t="s">
        <v>2365</v>
      </c>
      <c r="C6742" s="161">
        <v>90202127</v>
      </c>
      <c r="D6742" s="161" t="s">
        <v>3093</v>
      </c>
      <c r="E6742" s="161" t="s">
        <v>102</v>
      </c>
      <c r="F6742" s="163" t="s">
        <v>3093</v>
      </c>
      <c r="G6742" s="163">
        <v>1.33</v>
      </c>
      <c r="H6742" s="161" t="s">
        <v>7138</v>
      </c>
      <c r="I6742" s="161"/>
    </row>
    <row r="6743" spans="1:9">
      <c r="A6743" s="161">
        <v>910200018</v>
      </c>
      <c r="B6743" s="161" t="s">
        <v>2366</v>
      </c>
      <c r="C6743" s="161">
        <v>90202123</v>
      </c>
      <c r="D6743" s="161" t="s">
        <v>3093</v>
      </c>
      <c r="E6743" s="161" t="s">
        <v>102</v>
      </c>
      <c r="F6743" s="163" t="s">
        <v>3093</v>
      </c>
      <c r="G6743" s="163">
        <v>1.33</v>
      </c>
      <c r="H6743" s="161" t="s">
        <v>7138</v>
      </c>
      <c r="I6743" s="161"/>
    </row>
    <row r="6744" spans="1:9">
      <c r="A6744" s="161">
        <v>910200019</v>
      </c>
      <c r="B6744" s="161" t="s">
        <v>7619</v>
      </c>
      <c r="C6744" s="161">
        <v>90305018</v>
      </c>
      <c r="D6744" s="161" t="s">
        <v>3093</v>
      </c>
      <c r="E6744" s="161" t="s">
        <v>102</v>
      </c>
      <c r="F6744" s="163" t="s">
        <v>3093</v>
      </c>
      <c r="G6744" s="163">
        <v>1.1200000000000001</v>
      </c>
      <c r="H6744" s="161" t="s">
        <v>7138</v>
      </c>
      <c r="I6744" s="161"/>
    </row>
    <row r="6745" spans="1:9">
      <c r="A6745" s="161">
        <v>910200020</v>
      </c>
      <c r="B6745" s="161" t="s">
        <v>7620</v>
      </c>
      <c r="C6745" s="161">
        <v>90202121</v>
      </c>
      <c r="D6745" s="161" t="s">
        <v>3093</v>
      </c>
      <c r="E6745" s="161" t="s">
        <v>102</v>
      </c>
      <c r="F6745" s="163" t="s">
        <v>3093</v>
      </c>
      <c r="G6745" s="163">
        <v>1</v>
      </c>
      <c r="H6745" s="161" t="s">
        <v>7138</v>
      </c>
      <c r="I6745" s="161"/>
    </row>
    <row r="6746" spans="1:9">
      <c r="A6746" s="161">
        <v>910200021</v>
      </c>
      <c r="B6746" s="161" t="s">
        <v>2448</v>
      </c>
      <c r="C6746" s="161">
        <v>90305037</v>
      </c>
      <c r="D6746" s="161" t="s">
        <v>3093</v>
      </c>
      <c r="E6746" s="161" t="s">
        <v>102</v>
      </c>
      <c r="F6746" s="163" t="s">
        <v>3093</v>
      </c>
      <c r="G6746" s="163">
        <v>11.5</v>
      </c>
      <c r="H6746" s="161" t="s">
        <v>7138</v>
      </c>
      <c r="I6746" s="161"/>
    </row>
    <row r="6747" spans="1:9">
      <c r="A6747" s="161">
        <v>910200022</v>
      </c>
      <c r="B6747" s="161" t="s">
        <v>2367</v>
      </c>
      <c r="C6747" s="161">
        <v>90202091</v>
      </c>
      <c r="D6747" s="161" t="s">
        <v>3093</v>
      </c>
      <c r="E6747" s="161" t="s">
        <v>102</v>
      </c>
      <c r="F6747" s="163" t="s">
        <v>3093</v>
      </c>
      <c r="G6747" s="163">
        <v>4.8899999999999997</v>
      </c>
      <c r="H6747" s="161" t="s">
        <v>7138</v>
      </c>
      <c r="I6747" s="161"/>
    </row>
    <row r="6748" spans="1:9">
      <c r="A6748" s="161">
        <v>910200023</v>
      </c>
      <c r="B6748" s="161" t="s">
        <v>7621</v>
      </c>
      <c r="C6748" s="161">
        <v>90202106</v>
      </c>
      <c r="D6748" s="161" t="s">
        <v>3093</v>
      </c>
      <c r="E6748" s="161" t="s">
        <v>7143</v>
      </c>
      <c r="F6748" s="163" t="s">
        <v>3093</v>
      </c>
      <c r="G6748" s="163">
        <v>0</v>
      </c>
      <c r="H6748" s="161" t="s">
        <v>7138</v>
      </c>
      <c r="I6748" s="161"/>
    </row>
    <row r="6749" spans="1:9">
      <c r="A6749" s="161">
        <v>910200024</v>
      </c>
      <c r="B6749" s="161" t="s">
        <v>7622</v>
      </c>
      <c r="C6749" s="161">
        <v>90202101</v>
      </c>
      <c r="D6749" s="161" t="s">
        <v>3093</v>
      </c>
      <c r="E6749" s="161" t="s">
        <v>8112</v>
      </c>
      <c r="F6749" s="163" t="s">
        <v>3093</v>
      </c>
      <c r="G6749" s="163">
        <v>10.79</v>
      </c>
      <c r="H6749" s="161" t="s">
        <v>7138</v>
      </c>
      <c r="I6749" s="161"/>
    </row>
    <row r="6750" spans="1:9">
      <c r="A6750" s="161">
        <v>910200025</v>
      </c>
      <c r="B6750" s="161" t="s">
        <v>2368</v>
      </c>
      <c r="C6750" s="161">
        <v>90202105</v>
      </c>
      <c r="D6750" s="161" t="s">
        <v>3093</v>
      </c>
      <c r="E6750" s="161" t="s">
        <v>102</v>
      </c>
      <c r="F6750" s="163" t="s">
        <v>3093</v>
      </c>
      <c r="G6750" s="163">
        <v>44.37</v>
      </c>
      <c r="H6750" s="161" t="s">
        <v>7138</v>
      </c>
      <c r="I6750" s="161"/>
    </row>
    <row r="6751" spans="1:9">
      <c r="A6751" s="161">
        <v>910200026</v>
      </c>
      <c r="B6751" s="161" t="s">
        <v>2369</v>
      </c>
      <c r="C6751" s="161">
        <v>90202099</v>
      </c>
      <c r="D6751" s="161" t="s">
        <v>3093</v>
      </c>
      <c r="E6751" s="161" t="s">
        <v>7143</v>
      </c>
      <c r="F6751" s="163" t="s">
        <v>3093</v>
      </c>
      <c r="G6751" s="163">
        <v>4.34</v>
      </c>
      <c r="H6751" s="161" t="s">
        <v>7138</v>
      </c>
      <c r="I6751" s="161"/>
    </row>
    <row r="6752" spans="1:9">
      <c r="A6752" s="161">
        <v>910200027</v>
      </c>
      <c r="B6752" s="161" t="s">
        <v>7623</v>
      </c>
      <c r="C6752" s="161">
        <v>90202117</v>
      </c>
      <c r="D6752" s="161" t="s">
        <v>3093</v>
      </c>
      <c r="E6752" s="161" t="s">
        <v>7143</v>
      </c>
      <c r="F6752" s="163" t="s">
        <v>3093</v>
      </c>
      <c r="G6752" s="163">
        <v>10.85</v>
      </c>
      <c r="H6752" s="161" t="s">
        <v>7138</v>
      </c>
      <c r="I6752" s="161"/>
    </row>
    <row r="6753" spans="1:9">
      <c r="A6753" s="161">
        <v>910200028</v>
      </c>
      <c r="B6753" s="161" t="s">
        <v>7624</v>
      </c>
      <c r="C6753" s="161">
        <v>90202115</v>
      </c>
      <c r="D6753" s="161" t="s">
        <v>3093</v>
      </c>
      <c r="E6753" s="161" t="s">
        <v>7143</v>
      </c>
      <c r="F6753" s="163" t="s">
        <v>3093</v>
      </c>
      <c r="G6753" s="163">
        <v>9</v>
      </c>
      <c r="H6753" s="161" t="s">
        <v>7138</v>
      </c>
      <c r="I6753" s="161"/>
    </row>
    <row r="6754" spans="1:9">
      <c r="A6754" s="161">
        <v>910200029</v>
      </c>
      <c r="B6754" s="161" t="s">
        <v>7625</v>
      </c>
      <c r="C6754" s="161">
        <v>90202116</v>
      </c>
      <c r="D6754" s="161" t="s">
        <v>3093</v>
      </c>
      <c r="E6754" s="161" t="s">
        <v>102</v>
      </c>
      <c r="F6754" s="163" t="s">
        <v>3093</v>
      </c>
      <c r="G6754" s="163">
        <v>7.25</v>
      </c>
      <c r="H6754" s="161" t="s">
        <v>7138</v>
      </c>
      <c r="I6754" s="161"/>
    </row>
    <row r="6755" spans="1:9">
      <c r="A6755" s="161">
        <v>910200030</v>
      </c>
      <c r="B6755" s="161" t="s">
        <v>7626</v>
      </c>
      <c r="C6755" s="161">
        <v>90202056</v>
      </c>
      <c r="D6755" s="161" t="s">
        <v>3093</v>
      </c>
      <c r="E6755" s="161" t="s">
        <v>1620</v>
      </c>
      <c r="F6755" s="163" t="s">
        <v>3093</v>
      </c>
      <c r="G6755" s="163">
        <v>1.86</v>
      </c>
      <c r="H6755" s="161" t="s">
        <v>7138</v>
      </c>
      <c r="I6755" s="161"/>
    </row>
    <row r="6756" spans="1:9">
      <c r="A6756" s="161">
        <v>910200031</v>
      </c>
      <c r="B6756" s="161" t="s">
        <v>2370</v>
      </c>
      <c r="C6756" s="161">
        <v>90202062</v>
      </c>
      <c r="D6756" s="161" t="s">
        <v>3093</v>
      </c>
      <c r="E6756" s="161" t="s">
        <v>1620</v>
      </c>
      <c r="F6756" s="163" t="s">
        <v>3093</v>
      </c>
      <c r="G6756" s="163">
        <v>2.6</v>
      </c>
      <c r="H6756" s="161" t="s">
        <v>7138</v>
      </c>
      <c r="I6756" s="161"/>
    </row>
    <row r="6757" spans="1:9">
      <c r="A6757" s="161">
        <v>910200032</v>
      </c>
      <c r="B6757" s="161" t="s">
        <v>7627</v>
      </c>
      <c r="C6757" s="161">
        <v>90202045</v>
      </c>
      <c r="D6757" s="161" t="s">
        <v>3093</v>
      </c>
      <c r="E6757" s="161" t="s">
        <v>8119</v>
      </c>
      <c r="F6757" s="163" t="s">
        <v>3093</v>
      </c>
      <c r="G6757" s="163">
        <v>2.74</v>
      </c>
      <c r="H6757" s="161" t="s">
        <v>7138</v>
      </c>
      <c r="I6757" s="161"/>
    </row>
    <row r="6758" spans="1:9">
      <c r="A6758" s="161">
        <v>910200033</v>
      </c>
      <c r="B6758" s="161" t="s">
        <v>2371</v>
      </c>
      <c r="C6758" s="161">
        <v>90202120</v>
      </c>
      <c r="D6758" s="161" t="s">
        <v>3093</v>
      </c>
      <c r="E6758" s="161" t="s">
        <v>102</v>
      </c>
      <c r="F6758" s="163" t="s">
        <v>3093</v>
      </c>
      <c r="G6758" s="163">
        <v>0</v>
      </c>
      <c r="H6758" s="161" t="s">
        <v>7138</v>
      </c>
      <c r="I6758" s="161"/>
    </row>
    <row r="6759" spans="1:9">
      <c r="A6759" s="161">
        <v>910200034</v>
      </c>
      <c r="B6759" s="161" t="s">
        <v>7628</v>
      </c>
      <c r="C6759" s="161">
        <v>90202046</v>
      </c>
      <c r="D6759" s="161" t="s">
        <v>3093</v>
      </c>
      <c r="E6759" s="161" t="s">
        <v>1620</v>
      </c>
      <c r="F6759" s="163" t="s">
        <v>3093</v>
      </c>
      <c r="G6759" s="163">
        <v>0.76</v>
      </c>
      <c r="H6759" s="161" t="s">
        <v>7138</v>
      </c>
      <c r="I6759" s="161"/>
    </row>
    <row r="6760" spans="1:9">
      <c r="A6760" s="161">
        <v>910200035</v>
      </c>
      <c r="B6760" s="161" t="s">
        <v>7629</v>
      </c>
      <c r="C6760" s="161">
        <v>90201003</v>
      </c>
      <c r="D6760" s="161" t="s">
        <v>3093</v>
      </c>
      <c r="E6760" s="161" t="s">
        <v>7143</v>
      </c>
      <c r="F6760" s="163" t="s">
        <v>3093</v>
      </c>
      <c r="G6760" s="163">
        <v>38.14</v>
      </c>
      <c r="H6760" s="161" t="s">
        <v>7138</v>
      </c>
      <c r="I6760" s="161"/>
    </row>
    <row r="6761" spans="1:9">
      <c r="A6761" s="161">
        <v>910200036</v>
      </c>
      <c r="B6761" s="161" t="s">
        <v>7630</v>
      </c>
      <c r="C6761" s="161">
        <v>90202112</v>
      </c>
      <c r="D6761" s="161" t="s">
        <v>3093</v>
      </c>
      <c r="E6761" s="161" t="s">
        <v>7144</v>
      </c>
      <c r="F6761" s="163" t="s">
        <v>3093</v>
      </c>
      <c r="G6761" s="163">
        <v>0.75</v>
      </c>
      <c r="H6761" s="161" t="s">
        <v>7138</v>
      </c>
      <c r="I6761" s="161"/>
    </row>
    <row r="6762" spans="1:9">
      <c r="A6762" s="161">
        <v>910200037</v>
      </c>
      <c r="B6762" s="161" t="s">
        <v>7631</v>
      </c>
      <c r="C6762" s="161">
        <v>90201010</v>
      </c>
      <c r="D6762" s="161" t="s">
        <v>8126</v>
      </c>
      <c r="E6762" s="161" t="s">
        <v>1620</v>
      </c>
      <c r="F6762" s="163" t="s">
        <v>3093</v>
      </c>
      <c r="G6762" s="163">
        <v>1.43</v>
      </c>
      <c r="H6762" s="161" t="s">
        <v>7138</v>
      </c>
      <c r="I6762" s="161"/>
    </row>
    <row r="6763" spans="1:9">
      <c r="A6763" s="161">
        <v>910200038</v>
      </c>
      <c r="B6763" s="161" t="s">
        <v>2372</v>
      </c>
      <c r="C6763" s="161">
        <v>90202146</v>
      </c>
      <c r="D6763" s="161" t="s">
        <v>3093</v>
      </c>
      <c r="E6763" s="161" t="s">
        <v>1620</v>
      </c>
      <c r="F6763" s="163" t="s">
        <v>3093</v>
      </c>
      <c r="G6763" s="163">
        <v>5.69</v>
      </c>
      <c r="H6763" s="161" t="s">
        <v>7138</v>
      </c>
      <c r="I6763" s="161"/>
    </row>
    <row r="6764" spans="1:9">
      <c r="A6764" s="161">
        <v>910200039</v>
      </c>
      <c r="B6764" s="161" t="s">
        <v>7632</v>
      </c>
      <c r="C6764" s="161">
        <v>90202010</v>
      </c>
      <c r="D6764" s="161" t="s">
        <v>3093</v>
      </c>
      <c r="E6764" s="161" t="s">
        <v>102</v>
      </c>
      <c r="F6764" s="163" t="s">
        <v>3093</v>
      </c>
      <c r="G6764" s="163">
        <v>43.39</v>
      </c>
      <c r="H6764" s="161" t="s">
        <v>7138</v>
      </c>
      <c r="I6764" s="161"/>
    </row>
    <row r="6765" spans="1:9">
      <c r="A6765" s="161">
        <v>910200040</v>
      </c>
      <c r="B6765" s="161" t="s">
        <v>7633</v>
      </c>
      <c r="C6765" s="161">
        <v>90202075</v>
      </c>
      <c r="D6765" s="161" t="s">
        <v>3093</v>
      </c>
      <c r="E6765" s="161" t="s">
        <v>1620</v>
      </c>
      <c r="F6765" s="163" t="s">
        <v>3093</v>
      </c>
      <c r="G6765" s="163">
        <v>5.66</v>
      </c>
      <c r="H6765" s="161" t="s">
        <v>7138</v>
      </c>
      <c r="I6765" s="161"/>
    </row>
    <row r="6766" spans="1:9">
      <c r="A6766" s="161">
        <v>910200041</v>
      </c>
      <c r="B6766" s="161" t="s">
        <v>2373</v>
      </c>
      <c r="C6766" s="161">
        <v>90202143</v>
      </c>
      <c r="D6766" s="161" t="s">
        <v>3093</v>
      </c>
      <c r="E6766" s="161" t="s">
        <v>1620</v>
      </c>
      <c r="F6766" s="163" t="s">
        <v>3093</v>
      </c>
      <c r="G6766" s="163">
        <v>22</v>
      </c>
      <c r="H6766" s="161" t="s">
        <v>7138</v>
      </c>
      <c r="I6766" s="161"/>
    </row>
    <row r="6767" spans="1:9">
      <c r="A6767" s="161">
        <v>910200042</v>
      </c>
      <c r="B6767" s="161" t="s">
        <v>7634</v>
      </c>
      <c r="C6767" s="161">
        <v>90202103</v>
      </c>
      <c r="D6767" s="161" t="s">
        <v>3093</v>
      </c>
      <c r="E6767" s="161" t="s">
        <v>102</v>
      </c>
      <c r="F6767" s="163" t="s">
        <v>3093</v>
      </c>
      <c r="G6767" s="163">
        <v>6.3</v>
      </c>
      <c r="H6767" s="161" t="s">
        <v>7138</v>
      </c>
      <c r="I6767" s="161"/>
    </row>
    <row r="6768" spans="1:9">
      <c r="A6768" s="161">
        <v>910200043</v>
      </c>
      <c r="B6768" s="161" t="s">
        <v>7635</v>
      </c>
      <c r="C6768" s="161">
        <v>90202070</v>
      </c>
      <c r="D6768" s="161" t="s">
        <v>3093</v>
      </c>
      <c r="E6768" s="161" t="s">
        <v>1620</v>
      </c>
      <c r="F6768" s="163" t="s">
        <v>3093</v>
      </c>
      <c r="G6768" s="163">
        <v>1.66</v>
      </c>
      <c r="H6768" s="161" t="s">
        <v>7138</v>
      </c>
      <c r="I6768" s="161"/>
    </row>
    <row r="6769" spans="1:9">
      <c r="A6769" s="161">
        <v>910200044</v>
      </c>
      <c r="B6769" s="161" t="s">
        <v>7636</v>
      </c>
      <c r="C6769" s="161">
        <v>90202142</v>
      </c>
      <c r="D6769" s="161" t="s">
        <v>3093</v>
      </c>
      <c r="E6769" s="161" t="s">
        <v>1620</v>
      </c>
      <c r="F6769" s="163" t="s">
        <v>3093</v>
      </c>
      <c r="G6769" s="163">
        <v>4.95</v>
      </c>
      <c r="H6769" s="161" t="s">
        <v>7138</v>
      </c>
      <c r="I6769" s="161"/>
    </row>
    <row r="6770" spans="1:9">
      <c r="A6770" s="161">
        <v>910200045</v>
      </c>
      <c r="B6770" s="161" t="s">
        <v>7637</v>
      </c>
      <c r="C6770" s="161">
        <v>90202071</v>
      </c>
      <c r="D6770" s="161" t="s">
        <v>3093</v>
      </c>
      <c r="E6770" s="161" t="s">
        <v>1620</v>
      </c>
      <c r="F6770" s="163" t="s">
        <v>3093</v>
      </c>
      <c r="G6770" s="163">
        <v>3.33</v>
      </c>
      <c r="H6770" s="161" t="s">
        <v>7138</v>
      </c>
      <c r="I6770" s="161"/>
    </row>
    <row r="6771" spans="1:9">
      <c r="A6771" s="161">
        <v>910200046</v>
      </c>
      <c r="B6771" s="161" t="s">
        <v>2374</v>
      </c>
      <c r="C6771" s="161">
        <v>90202053</v>
      </c>
      <c r="D6771" s="161" t="s">
        <v>3093</v>
      </c>
      <c r="E6771" s="161" t="s">
        <v>102</v>
      </c>
      <c r="F6771" s="163" t="s">
        <v>3093</v>
      </c>
      <c r="G6771" s="163">
        <v>0.3</v>
      </c>
      <c r="H6771" s="161" t="s">
        <v>7138</v>
      </c>
      <c r="I6771" s="161"/>
    </row>
    <row r="6772" spans="1:9">
      <c r="A6772" s="161">
        <v>910200047</v>
      </c>
      <c r="B6772" s="161" t="s">
        <v>2375</v>
      </c>
      <c r="C6772" s="161">
        <v>90202012</v>
      </c>
      <c r="D6772" s="161" t="s">
        <v>3093</v>
      </c>
      <c r="E6772" s="161" t="s">
        <v>102</v>
      </c>
      <c r="F6772" s="163" t="s">
        <v>3093</v>
      </c>
      <c r="G6772" s="163">
        <v>0.28000000000000003</v>
      </c>
      <c r="H6772" s="161" t="s">
        <v>7138</v>
      </c>
      <c r="I6772" s="161"/>
    </row>
    <row r="6773" spans="1:9">
      <c r="A6773" s="161">
        <v>910200048</v>
      </c>
      <c r="B6773" s="161" t="s">
        <v>1754</v>
      </c>
      <c r="C6773" s="161">
        <v>90202078</v>
      </c>
      <c r="D6773" s="161" t="s">
        <v>3093</v>
      </c>
      <c r="E6773" s="161" t="s">
        <v>8118</v>
      </c>
      <c r="F6773" s="163" t="s">
        <v>3093</v>
      </c>
      <c r="G6773" s="163">
        <v>1.34</v>
      </c>
      <c r="H6773" s="161" t="s">
        <v>7138</v>
      </c>
      <c r="I6773" s="161"/>
    </row>
    <row r="6774" spans="1:9">
      <c r="A6774" s="161">
        <v>910200049</v>
      </c>
      <c r="B6774" s="161" t="s">
        <v>7638</v>
      </c>
      <c r="C6774" s="161">
        <v>90202125</v>
      </c>
      <c r="D6774" s="161" t="s">
        <v>3093</v>
      </c>
      <c r="E6774" s="161" t="s">
        <v>1620</v>
      </c>
      <c r="F6774" s="163" t="s">
        <v>3093</v>
      </c>
      <c r="G6774" s="163">
        <v>0</v>
      </c>
      <c r="H6774" s="161" t="s">
        <v>7138</v>
      </c>
      <c r="I6774" s="161"/>
    </row>
    <row r="6775" spans="1:9">
      <c r="A6775" s="161">
        <v>910200050</v>
      </c>
      <c r="B6775" s="161" t="s">
        <v>7639</v>
      </c>
      <c r="C6775" s="161">
        <v>90305056</v>
      </c>
      <c r="D6775" s="161" t="s">
        <v>3093</v>
      </c>
      <c r="E6775" s="161" t="s">
        <v>1620</v>
      </c>
      <c r="F6775" s="163" t="s">
        <v>3093</v>
      </c>
      <c r="G6775" s="163">
        <v>1.6</v>
      </c>
      <c r="H6775" s="161" t="s">
        <v>7138</v>
      </c>
      <c r="I6775" s="161"/>
    </row>
    <row r="6776" spans="1:9">
      <c r="A6776" s="161">
        <v>910200051</v>
      </c>
      <c r="B6776" s="161" t="s">
        <v>7640</v>
      </c>
      <c r="C6776" s="161">
        <v>90305079</v>
      </c>
      <c r="D6776" s="161" t="s">
        <v>3093</v>
      </c>
      <c r="E6776" s="161" t="s">
        <v>2074</v>
      </c>
      <c r="F6776" s="163" t="s">
        <v>3093</v>
      </c>
      <c r="G6776" s="163">
        <v>0</v>
      </c>
      <c r="H6776" s="161" t="s">
        <v>7138</v>
      </c>
      <c r="I6776" s="161"/>
    </row>
    <row r="6777" spans="1:9">
      <c r="A6777" s="161">
        <v>910200052</v>
      </c>
      <c r="B6777" s="161" t="s">
        <v>7641</v>
      </c>
      <c r="C6777" s="161">
        <v>90305093</v>
      </c>
      <c r="D6777" s="161" t="s">
        <v>3093</v>
      </c>
      <c r="E6777" s="161" t="s">
        <v>2074</v>
      </c>
      <c r="F6777" s="163" t="s">
        <v>3093</v>
      </c>
      <c r="G6777" s="163">
        <v>0</v>
      </c>
      <c r="H6777" s="161" t="s">
        <v>7138</v>
      </c>
      <c r="I6777" s="161"/>
    </row>
    <row r="6778" spans="1:9">
      <c r="A6778" s="161">
        <v>910200053</v>
      </c>
      <c r="B6778" s="161" t="s">
        <v>7642</v>
      </c>
      <c r="C6778" s="161">
        <v>90305058</v>
      </c>
      <c r="D6778" s="161" t="s">
        <v>3093</v>
      </c>
      <c r="E6778" s="161" t="s">
        <v>2074</v>
      </c>
      <c r="F6778" s="163" t="s">
        <v>3093</v>
      </c>
      <c r="G6778" s="163">
        <v>1.49</v>
      </c>
      <c r="H6778" s="161" t="s">
        <v>7138</v>
      </c>
      <c r="I6778" s="161"/>
    </row>
    <row r="6779" spans="1:9">
      <c r="A6779" s="161">
        <v>910200054</v>
      </c>
      <c r="B6779" s="161" t="s">
        <v>7643</v>
      </c>
      <c r="C6779" s="161">
        <v>90202050</v>
      </c>
      <c r="D6779" s="161" t="s">
        <v>3093</v>
      </c>
      <c r="E6779" s="161" t="s">
        <v>102</v>
      </c>
      <c r="F6779" s="163" t="s">
        <v>3093</v>
      </c>
      <c r="G6779" s="163">
        <v>2.72</v>
      </c>
      <c r="H6779" s="161" t="s">
        <v>7138</v>
      </c>
      <c r="I6779" s="161"/>
    </row>
    <row r="6780" spans="1:9">
      <c r="A6780" s="161">
        <v>910200055</v>
      </c>
      <c r="B6780" s="161" t="s">
        <v>2376</v>
      </c>
      <c r="C6780" s="161">
        <v>90202043</v>
      </c>
      <c r="D6780" s="161" t="s">
        <v>3093</v>
      </c>
      <c r="E6780" s="161" t="s">
        <v>7143</v>
      </c>
      <c r="F6780" s="163" t="s">
        <v>3093</v>
      </c>
      <c r="G6780" s="163">
        <v>2.5299999999999998</v>
      </c>
      <c r="H6780" s="161" t="s">
        <v>7138</v>
      </c>
      <c r="I6780" s="161"/>
    </row>
    <row r="6781" spans="1:9">
      <c r="A6781" s="161">
        <v>910200056</v>
      </c>
      <c r="B6781" s="161" t="s">
        <v>7644</v>
      </c>
      <c r="C6781" s="161">
        <v>90202043</v>
      </c>
      <c r="D6781" s="161" t="s">
        <v>3093</v>
      </c>
      <c r="E6781" s="161" t="s">
        <v>7143</v>
      </c>
      <c r="F6781" s="163" t="s">
        <v>3093</v>
      </c>
      <c r="G6781" s="163">
        <v>0</v>
      </c>
      <c r="H6781" s="161" t="s">
        <v>7138</v>
      </c>
      <c r="I6781" s="161"/>
    </row>
    <row r="6782" spans="1:9">
      <c r="A6782" s="161">
        <v>910200061</v>
      </c>
      <c r="B6782" s="161" t="s">
        <v>7645</v>
      </c>
      <c r="C6782" s="161">
        <v>90202066</v>
      </c>
      <c r="D6782" s="161" t="s">
        <v>3093</v>
      </c>
      <c r="E6782" s="161" t="s">
        <v>1620</v>
      </c>
      <c r="F6782" s="163" t="s">
        <v>3093</v>
      </c>
      <c r="G6782" s="163">
        <v>1.72</v>
      </c>
      <c r="H6782" s="161" t="s">
        <v>7138</v>
      </c>
      <c r="I6782" s="161"/>
    </row>
    <row r="6783" spans="1:9">
      <c r="A6783" s="161">
        <v>910200062</v>
      </c>
      <c r="B6783" s="161" t="s">
        <v>7646</v>
      </c>
      <c r="C6783" s="161">
        <v>90202094</v>
      </c>
      <c r="D6783" s="161" t="s">
        <v>3093</v>
      </c>
      <c r="E6783" s="161" t="s">
        <v>102</v>
      </c>
      <c r="F6783" s="163" t="s">
        <v>3093</v>
      </c>
      <c r="G6783" s="163">
        <v>0.05</v>
      </c>
      <c r="H6783" s="161" t="s">
        <v>7138</v>
      </c>
      <c r="I6783" s="161"/>
    </row>
    <row r="6784" spans="1:9">
      <c r="A6784" s="161">
        <v>910200063</v>
      </c>
      <c r="B6784" s="161" t="s">
        <v>7647</v>
      </c>
      <c r="C6784" s="161">
        <v>90202048</v>
      </c>
      <c r="D6784" s="161" t="s">
        <v>3093</v>
      </c>
      <c r="E6784" s="161" t="s">
        <v>1620</v>
      </c>
      <c r="F6784" s="163" t="s">
        <v>3093</v>
      </c>
      <c r="G6784" s="163">
        <v>3.08</v>
      </c>
      <c r="H6784" s="161" t="s">
        <v>7138</v>
      </c>
      <c r="I6784" s="161"/>
    </row>
    <row r="6785" spans="1:9">
      <c r="A6785" s="161">
        <v>910200064</v>
      </c>
      <c r="B6785" s="161" t="s">
        <v>7648</v>
      </c>
      <c r="C6785" s="161">
        <v>90202096</v>
      </c>
      <c r="D6785" s="161" t="s">
        <v>3093</v>
      </c>
      <c r="E6785" s="161" t="s">
        <v>102</v>
      </c>
      <c r="F6785" s="163" t="s">
        <v>3093</v>
      </c>
      <c r="G6785" s="163">
        <v>2.75</v>
      </c>
      <c r="H6785" s="161" t="s">
        <v>7138</v>
      </c>
      <c r="I6785" s="161"/>
    </row>
    <row r="6786" spans="1:9">
      <c r="A6786" s="161">
        <v>910200065</v>
      </c>
      <c r="B6786" s="161" t="s">
        <v>2378</v>
      </c>
      <c r="C6786" s="161">
        <v>90202098</v>
      </c>
      <c r="D6786" s="161" t="s">
        <v>3093</v>
      </c>
      <c r="E6786" s="161" t="s">
        <v>102</v>
      </c>
      <c r="F6786" s="163" t="s">
        <v>3093</v>
      </c>
      <c r="G6786" s="163">
        <v>1.1599999999999999</v>
      </c>
      <c r="H6786" s="161" t="s">
        <v>7138</v>
      </c>
      <c r="I6786" s="161"/>
    </row>
    <row r="6787" spans="1:9">
      <c r="A6787" s="161">
        <v>910200066</v>
      </c>
      <c r="B6787" s="161" t="s">
        <v>7649</v>
      </c>
      <c r="C6787" s="161">
        <v>90202073</v>
      </c>
      <c r="D6787" s="161" t="s">
        <v>3093</v>
      </c>
      <c r="E6787" s="161" t="s">
        <v>1620</v>
      </c>
      <c r="F6787" s="163" t="s">
        <v>3093</v>
      </c>
      <c r="G6787" s="163">
        <v>0.79</v>
      </c>
      <c r="H6787" s="161" t="s">
        <v>7138</v>
      </c>
      <c r="I6787" s="161"/>
    </row>
    <row r="6788" spans="1:9">
      <c r="A6788" s="161">
        <v>910200067</v>
      </c>
      <c r="B6788" s="161" t="s">
        <v>2379</v>
      </c>
      <c r="C6788" s="161">
        <v>90202021</v>
      </c>
      <c r="D6788" s="161" t="s">
        <v>3093</v>
      </c>
      <c r="E6788" s="161" t="s">
        <v>102</v>
      </c>
      <c r="F6788" s="163" t="s">
        <v>3093</v>
      </c>
      <c r="G6788" s="163">
        <v>2.95</v>
      </c>
      <c r="H6788" s="161" t="s">
        <v>7138</v>
      </c>
      <c r="I6788" s="161"/>
    </row>
    <row r="6789" spans="1:9">
      <c r="A6789" s="161">
        <v>910200068</v>
      </c>
      <c r="B6789" s="161" t="s">
        <v>7650</v>
      </c>
      <c r="C6789" s="161">
        <v>90202129</v>
      </c>
      <c r="D6789" s="161" t="s">
        <v>3093</v>
      </c>
      <c r="E6789" s="161" t="s">
        <v>102</v>
      </c>
      <c r="F6789" s="163" t="s">
        <v>3093</v>
      </c>
      <c r="G6789" s="163">
        <v>0.69</v>
      </c>
      <c r="H6789" s="161" t="s">
        <v>7138</v>
      </c>
      <c r="I6789" s="161"/>
    </row>
    <row r="6790" spans="1:9">
      <c r="A6790" s="161">
        <v>910200069</v>
      </c>
      <c r="B6790" s="161" t="s">
        <v>7651</v>
      </c>
      <c r="C6790" s="161">
        <v>90202132</v>
      </c>
      <c r="D6790" s="161" t="s">
        <v>2380</v>
      </c>
      <c r="E6790" s="161" t="s">
        <v>102</v>
      </c>
      <c r="F6790" s="163" t="s">
        <v>3093</v>
      </c>
      <c r="G6790" s="163">
        <v>5.31</v>
      </c>
      <c r="H6790" s="161" t="s">
        <v>7138</v>
      </c>
      <c r="I6790" s="161"/>
    </row>
    <row r="6791" spans="1:9">
      <c r="A6791" s="161">
        <v>910200070</v>
      </c>
      <c r="B6791" s="161" t="s">
        <v>2342</v>
      </c>
      <c r="C6791" s="161">
        <v>90102019</v>
      </c>
      <c r="D6791" s="161" t="s">
        <v>3093</v>
      </c>
      <c r="E6791" s="161" t="s">
        <v>102</v>
      </c>
      <c r="F6791" s="163" t="s">
        <v>3093</v>
      </c>
      <c r="G6791" s="163">
        <v>5.7</v>
      </c>
      <c r="H6791" s="161" t="s">
        <v>7138</v>
      </c>
      <c r="I6791" s="161"/>
    </row>
    <row r="6792" spans="1:9">
      <c r="A6792" s="161">
        <v>910200071</v>
      </c>
      <c r="B6792" s="161" t="s">
        <v>7652</v>
      </c>
      <c r="C6792" s="161">
        <v>90202100</v>
      </c>
      <c r="D6792" s="161" t="s">
        <v>3093</v>
      </c>
      <c r="E6792" s="161" t="s">
        <v>8112</v>
      </c>
      <c r="F6792" s="163" t="s">
        <v>3093</v>
      </c>
      <c r="G6792" s="163">
        <v>75</v>
      </c>
      <c r="H6792" s="161" t="s">
        <v>7138</v>
      </c>
      <c r="I6792" s="161"/>
    </row>
    <row r="6793" spans="1:9">
      <c r="A6793" s="161">
        <v>910200072</v>
      </c>
      <c r="B6793" s="161" t="s">
        <v>7653</v>
      </c>
      <c r="C6793" s="161">
        <v>90201018</v>
      </c>
      <c r="D6793" s="161" t="s">
        <v>3093</v>
      </c>
      <c r="E6793" s="161" t="s">
        <v>102</v>
      </c>
      <c r="F6793" s="163" t="s">
        <v>3093</v>
      </c>
      <c r="G6793" s="163">
        <v>19.399999999999999</v>
      </c>
      <c r="H6793" s="161" t="s">
        <v>7138</v>
      </c>
      <c r="I6793" s="161"/>
    </row>
    <row r="6794" spans="1:9">
      <c r="A6794" s="161">
        <v>910200073</v>
      </c>
      <c r="B6794" s="161" t="s">
        <v>2381</v>
      </c>
      <c r="C6794" s="161">
        <v>90202027</v>
      </c>
      <c r="D6794" s="161" t="s">
        <v>3093</v>
      </c>
      <c r="E6794" s="161" t="s">
        <v>7143</v>
      </c>
      <c r="F6794" s="163" t="s">
        <v>3093</v>
      </c>
      <c r="G6794" s="163">
        <v>4.8499999999999996</v>
      </c>
      <c r="H6794" s="161" t="s">
        <v>7138</v>
      </c>
      <c r="I6794" s="161"/>
    </row>
    <row r="6795" spans="1:9">
      <c r="A6795" s="161">
        <v>910200074</v>
      </c>
      <c r="B6795" s="161" t="s">
        <v>2382</v>
      </c>
      <c r="C6795" s="161">
        <v>90202107</v>
      </c>
      <c r="D6795" s="161" t="s">
        <v>3093</v>
      </c>
      <c r="E6795" s="161" t="s">
        <v>7143</v>
      </c>
      <c r="F6795" s="163" t="s">
        <v>3093</v>
      </c>
      <c r="G6795" s="163">
        <v>2.9</v>
      </c>
      <c r="H6795" s="161" t="s">
        <v>7138</v>
      </c>
      <c r="I6795" s="161"/>
    </row>
    <row r="6796" spans="1:9">
      <c r="A6796" s="161">
        <v>910200075</v>
      </c>
      <c r="B6796" s="161" t="s">
        <v>2383</v>
      </c>
      <c r="C6796" s="161">
        <v>90202092</v>
      </c>
      <c r="D6796" s="161" t="s">
        <v>3093</v>
      </c>
      <c r="E6796" s="161" t="s">
        <v>102</v>
      </c>
      <c r="F6796" s="163" t="s">
        <v>3093</v>
      </c>
      <c r="G6796" s="163">
        <v>6.18</v>
      </c>
      <c r="H6796" s="161" t="s">
        <v>7138</v>
      </c>
      <c r="I6796" s="161"/>
    </row>
    <row r="6797" spans="1:9">
      <c r="A6797" s="161">
        <v>910200076</v>
      </c>
      <c r="B6797" s="161" t="s">
        <v>7654</v>
      </c>
      <c r="C6797" s="161">
        <v>90202080</v>
      </c>
      <c r="D6797" s="161" t="s">
        <v>3093</v>
      </c>
      <c r="E6797" s="161" t="s">
        <v>1620</v>
      </c>
      <c r="F6797" s="163" t="s">
        <v>3093</v>
      </c>
      <c r="G6797" s="163">
        <v>7.0000000000000007E-2</v>
      </c>
      <c r="H6797" s="161" t="s">
        <v>7138</v>
      </c>
      <c r="I6797" s="161"/>
    </row>
    <row r="6798" spans="1:9">
      <c r="A6798" s="161">
        <v>910200077</v>
      </c>
      <c r="B6798" s="161" t="s">
        <v>2384</v>
      </c>
      <c r="C6798" s="161">
        <v>90202095</v>
      </c>
      <c r="D6798" s="161" t="s">
        <v>3093</v>
      </c>
      <c r="E6798" s="161" t="s">
        <v>102</v>
      </c>
      <c r="F6798" s="163" t="s">
        <v>3093</v>
      </c>
      <c r="G6798" s="163">
        <v>0.45</v>
      </c>
      <c r="H6798" s="161" t="s">
        <v>7138</v>
      </c>
      <c r="I6798" s="161"/>
    </row>
    <row r="6799" spans="1:9">
      <c r="A6799" s="161">
        <v>910200078</v>
      </c>
      <c r="B6799" s="161" t="s">
        <v>7655</v>
      </c>
      <c r="C6799" s="161">
        <v>90202079</v>
      </c>
      <c r="D6799" s="161" t="s">
        <v>3093</v>
      </c>
      <c r="E6799" s="161" t="s">
        <v>1620</v>
      </c>
      <c r="F6799" s="163" t="s">
        <v>3093</v>
      </c>
      <c r="G6799" s="163">
        <v>0.11</v>
      </c>
      <c r="H6799" s="161" t="s">
        <v>7138</v>
      </c>
      <c r="I6799" s="161"/>
    </row>
    <row r="6800" spans="1:9">
      <c r="A6800" s="161">
        <v>910200079</v>
      </c>
      <c r="B6800" s="161" t="s">
        <v>2385</v>
      </c>
      <c r="C6800" s="161">
        <v>90202102</v>
      </c>
      <c r="D6800" s="161" t="s">
        <v>3093</v>
      </c>
      <c r="E6800" s="161" t="s">
        <v>102</v>
      </c>
      <c r="F6800" s="163" t="s">
        <v>3093</v>
      </c>
      <c r="G6800" s="163">
        <v>6.95</v>
      </c>
      <c r="H6800" s="161" t="s">
        <v>7138</v>
      </c>
      <c r="I6800" s="161"/>
    </row>
    <row r="6801" spans="1:9">
      <c r="A6801" s="161">
        <v>910200080</v>
      </c>
      <c r="B6801" s="161" t="s">
        <v>7656</v>
      </c>
      <c r="C6801" s="161">
        <v>90305064</v>
      </c>
      <c r="D6801" s="161" t="s">
        <v>3093</v>
      </c>
      <c r="E6801" s="161" t="s">
        <v>102</v>
      </c>
      <c r="F6801" s="163" t="s">
        <v>3093</v>
      </c>
      <c r="G6801" s="163">
        <v>1.25</v>
      </c>
      <c r="H6801" s="161" t="s">
        <v>7138</v>
      </c>
      <c r="I6801" s="161"/>
    </row>
    <row r="6802" spans="1:9">
      <c r="A6802" s="161">
        <v>910200081</v>
      </c>
      <c r="B6802" s="161" t="s">
        <v>7657</v>
      </c>
      <c r="C6802" s="161">
        <v>90202077</v>
      </c>
      <c r="D6802" s="161" t="s">
        <v>3093</v>
      </c>
      <c r="E6802" s="161" t="s">
        <v>102</v>
      </c>
      <c r="F6802" s="163" t="s">
        <v>3093</v>
      </c>
      <c r="G6802" s="163">
        <v>1.56</v>
      </c>
      <c r="H6802" s="161" t="s">
        <v>7138</v>
      </c>
      <c r="I6802" s="161"/>
    </row>
    <row r="6803" spans="1:9">
      <c r="A6803" s="161">
        <v>910200082</v>
      </c>
      <c r="B6803" s="161" t="s">
        <v>2386</v>
      </c>
      <c r="C6803" s="161">
        <v>90202072</v>
      </c>
      <c r="D6803" s="161" t="s">
        <v>3093</v>
      </c>
      <c r="E6803" s="161" t="s">
        <v>1620</v>
      </c>
      <c r="F6803" s="163" t="s">
        <v>3093</v>
      </c>
      <c r="G6803" s="163">
        <v>1.39</v>
      </c>
      <c r="H6803" s="161" t="s">
        <v>7138</v>
      </c>
      <c r="I6803" s="161"/>
    </row>
    <row r="6804" spans="1:9">
      <c r="A6804" s="161">
        <v>910200083</v>
      </c>
      <c r="B6804" s="161" t="s">
        <v>2387</v>
      </c>
      <c r="C6804" s="161">
        <v>90202090</v>
      </c>
      <c r="D6804" s="161" t="s">
        <v>3093</v>
      </c>
      <c r="E6804" s="161" t="s">
        <v>1620</v>
      </c>
      <c r="F6804" s="163" t="s">
        <v>3093</v>
      </c>
      <c r="G6804" s="163">
        <v>5.15</v>
      </c>
      <c r="H6804" s="161" t="s">
        <v>7138</v>
      </c>
      <c r="I6804" s="161"/>
    </row>
    <row r="6805" spans="1:9">
      <c r="A6805" s="161">
        <v>910200084</v>
      </c>
      <c r="B6805" s="161" t="s">
        <v>7658</v>
      </c>
      <c r="C6805" s="161">
        <v>90202126</v>
      </c>
      <c r="D6805" s="161" t="s">
        <v>3093</v>
      </c>
      <c r="E6805" s="161" t="s">
        <v>1778</v>
      </c>
      <c r="F6805" s="163" t="s">
        <v>3093</v>
      </c>
      <c r="G6805" s="163">
        <v>13</v>
      </c>
      <c r="H6805" s="161" t="s">
        <v>7138</v>
      </c>
      <c r="I6805" s="161"/>
    </row>
    <row r="6806" spans="1:9">
      <c r="A6806" s="161">
        <v>910200085</v>
      </c>
      <c r="B6806" s="161" t="s">
        <v>7659</v>
      </c>
      <c r="C6806" s="161">
        <v>90202110</v>
      </c>
      <c r="D6806" s="161" t="s">
        <v>3093</v>
      </c>
      <c r="E6806" s="161" t="s">
        <v>102</v>
      </c>
      <c r="F6806" s="163" t="s">
        <v>3093</v>
      </c>
      <c r="G6806" s="163">
        <v>17.95</v>
      </c>
      <c r="H6806" s="161" t="s">
        <v>7138</v>
      </c>
      <c r="I6806" s="161"/>
    </row>
    <row r="6807" spans="1:9">
      <c r="A6807" s="161">
        <v>910200086</v>
      </c>
      <c r="B6807" s="161" t="s">
        <v>2388</v>
      </c>
      <c r="C6807" s="161">
        <v>90202104</v>
      </c>
      <c r="D6807" s="161" t="s">
        <v>3093</v>
      </c>
      <c r="E6807" s="161" t="s">
        <v>102</v>
      </c>
      <c r="F6807" s="163" t="s">
        <v>3093</v>
      </c>
      <c r="G6807" s="163">
        <v>7.2</v>
      </c>
      <c r="H6807" s="161" t="s">
        <v>7138</v>
      </c>
      <c r="I6807" s="161"/>
    </row>
    <row r="6808" spans="1:9">
      <c r="A6808" s="161">
        <v>910200087</v>
      </c>
      <c r="B6808" s="161" t="s">
        <v>7660</v>
      </c>
      <c r="C6808" s="161">
        <v>90202065</v>
      </c>
      <c r="D6808" s="161" t="s">
        <v>3093</v>
      </c>
      <c r="E6808" s="161" t="s">
        <v>1620</v>
      </c>
      <c r="F6808" s="163" t="s">
        <v>3093</v>
      </c>
      <c r="G6808" s="163">
        <v>0.48</v>
      </c>
      <c r="H6808" s="161" t="s">
        <v>7138</v>
      </c>
      <c r="I6808" s="161"/>
    </row>
    <row r="6809" spans="1:9">
      <c r="A6809" s="161">
        <v>910200088</v>
      </c>
      <c r="B6809" s="161" t="s">
        <v>2389</v>
      </c>
      <c r="C6809" s="161">
        <v>90202052</v>
      </c>
      <c r="D6809" s="161" t="s">
        <v>3093</v>
      </c>
      <c r="E6809" s="161" t="s">
        <v>102</v>
      </c>
      <c r="F6809" s="163" t="s">
        <v>3093</v>
      </c>
      <c r="G6809" s="163">
        <v>0.08</v>
      </c>
      <c r="H6809" s="161" t="s">
        <v>7138</v>
      </c>
      <c r="I6809" s="161"/>
    </row>
    <row r="6810" spans="1:9">
      <c r="A6810" s="161">
        <v>910200089</v>
      </c>
      <c r="B6810" s="161" t="s">
        <v>7661</v>
      </c>
      <c r="C6810" s="161">
        <v>90202122</v>
      </c>
      <c r="D6810" s="161" t="s">
        <v>3093</v>
      </c>
      <c r="E6810" s="161" t="s">
        <v>102</v>
      </c>
      <c r="F6810" s="163" t="s">
        <v>3093</v>
      </c>
      <c r="G6810" s="163">
        <v>0</v>
      </c>
      <c r="H6810" s="161" t="s">
        <v>7138</v>
      </c>
      <c r="I6810" s="161"/>
    </row>
    <row r="6811" spans="1:9">
      <c r="A6811" s="161">
        <v>910200090</v>
      </c>
      <c r="B6811" s="161" t="s">
        <v>2390</v>
      </c>
      <c r="C6811" s="161">
        <v>90202087</v>
      </c>
      <c r="D6811" s="161" t="s">
        <v>3093</v>
      </c>
      <c r="E6811" s="161" t="s">
        <v>1620</v>
      </c>
      <c r="F6811" s="163" t="s">
        <v>3093</v>
      </c>
      <c r="G6811" s="163">
        <v>5.82</v>
      </c>
      <c r="H6811" s="161" t="s">
        <v>7138</v>
      </c>
      <c r="I6811" s="161"/>
    </row>
    <row r="6812" spans="1:9">
      <c r="A6812" s="161">
        <v>910200091</v>
      </c>
      <c r="B6812" s="161" t="s">
        <v>2391</v>
      </c>
      <c r="C6812" s="161">
        <v>90202081</v>
      </c>
      <c r="D6812" s="161" t="s">
        <v>3093</v>
      </c>
      <c r="E6812" s="161" t="s">
        <v>1620</v>
      </c>
      <c r="F6812" s="163" t="s">
        <v>3093</v>
      </c>
      <c r="G6812" s="163">
        <v>17.5</v>
      </c>
      <c r="H6812" s="161" t="s">
        <v>7138</v>
      </c>
      <c r="I6812" s="161"/>
    </row>
    <row r="6813" spans="1:9">
      <c r="A6813" s="161">
        <v>910200092</v>
      </c>
      <c r="B6813" s="161" t="s">
        <v>2392</v>
      </c>
      <c r="C6813" s="161">
        <v>90202093</v>
      </c>
      <c r="D6813" s="161" t="s">
        <v>3093</v>
      </c>
      <c r="E6813" s="161" t="s">
        <v>102</v>
      </c>
      <c r="F6813" s="163" t="s">
        <v>3093</v>
      </c>
      <c r="G6813" s="163">
        <v>5.5</v>
      </c>
      <c r="H6813" s="161" t="s">
        <v>7138</v>
      </c>
      <c r="I6813" s="161"/>
    </row>
    <row r="6814" spans="1:9">
      <c r="A6814" s="161">
        <v>910200093</v>
      </c>
      <c r="B6814" s="161" t="s">
        <v>7662</v>
      </c>
      <c r="C6814" s="161">
        <v>90202033</v>
      </c>
      <c r="D6814" s="161" t="s">
        <v>3093</v>
      </c>
      <c r="E6814" s="161" t="s">
        <v>102</v>
      </c>
      <c r="F6814" s="163" t="s">
        <v>3093</v>
      </c>
      <c r="G6814" s="163">
        <v>4.95</v>
      </c>
      <c r="H6814" s="161" t="s">
        <v>7138</v>
      </c>
      <c r="I6814" s="161"/>
    </row>
    <row r="6815" spans="1:9">
      <c r="A6815" s="161">
        <v>910200094</v>
      </c>
      <c r="B6815" s="161" t="s">
        <v>2393</v>
      </c>
      <c r="C6815" s="161">
        <v>90202034</v>
      </c>
      <c r="D6815" s="161" t="s">
        <v>3093</v>
      </c>
      <c r="E6815" s="161" t="s">
        <v>102</v>
      </c>
      <c r="F6815" s="163" t="s">
        <v>3093</v>
      </c>
      <c r="G6815" s="163">
        <v>4.05</v>
      </c>
      <c r="H6815" s="161" t="s">
        <v>7138</v>
      </c>
      <c r="I6815" s="161"/>
    </row>
    <row r="6816" spans="1:9">
      <c r="A6816" s="161">
        <v>910200095</v>
      </c>
      <c r="B6816" s="161" t="s">
        <v>2394</v>
      </c>
      <c r="C6816" s="161">
        <v>90202113</v>
      </c>
      <c r="D6816" s="161" t="s">
        <v>3093</v>
      </c>
      <c r="E6816" s="161" t="s">
        <v>8113</v>
      </c>
      <c r="F6816" s="163" t="s">
        <v>3093</v>
      </c>
      <c r="G6816" s="163">
        <v>2.95</v>
      </c>
      <c r="H6816" s="161" t="s">
        <v>7138</v>
      </c>
      <c r="I6816" s="161"/>
    </row>
    <row r="6817" spans="1:9">
      <c r="A6817" s="161">
        <v>910200096</v>
      </c>
      <c r="B6817" s="161" t="s">
        <v>7663</v>
      </c>
      <c r="C6817" s="161">
        <v>90202130</v>
      </c>
      <c r="D6817" s="161" t="s">
        <v>3093</v>
      </c>
      <c r="E6817" s="161" t="s">
        <v>2074</v>
      </c>
      <c r="F6817" s="163" t="s">
        <v>3093</v>
      </c>
      <c r="G6817" s="163">
        <v>0</v>
      </c>
      <c r="H6817" s="161" t="s">
        <v>7138</v>
      </c>
      <c r="I6817" s="161"/>
    </row>
    <row r="6818" spans="1:9">
      <c r="A6818" s="161">
        <v>910200097</v>
      </c>
      <c r="B6818" s="161" t="s">
        <v>7664</v>
      </c>
      <c r="C6818" s="161">
        <v>90201004</v>
      </c>
      <c r="D6818" s="161" t="s">
        <v>3093</v>
      </c>
      <c r="E6818" s="161" t="s">
        <v>7143</v>
      </c>
      <c r="F6818" s="163" t="s">
        <v>3093</v>
      </c>
      <c r="G6818" s="163">
        <v>27.68</v>
      </c>
      <c r="H6818" s="161" t="s">
        <v>7138</v>
      </c>
      <c r="I6818" s="161"/>
    </row>
    <row r="6819" spans="1:9">
      <c r="A6819" s="161">
        <v>910200098</v>
      </c>
      <c r="B6819" s="161" t="s">
        <v>7665</v>
      </c>
      <c r="C6819" s="161">
        <v>90201011</v>
      </c>
      <c r="D6819" s="161" t="s">
        <v>8126</v>
      </c>
      <c r="E6819" s="161" t="s">
        <v>1620</v>
      </c>
      <c r="F6819" s="163" t="s">
        <v>3093</v>
      </c>
      <c r="G6819" s="163">
        <v>2.4</v>
      </c>
      <c r="H6819" s="161" t="s">
        <v>7138</v>
      </c>
      <c r="I6819" s="161"/>
    </row>
    <row r="6820" spans="1:9">
      <c r="A6820" s="161">
        <v>910200099</v>
      </c>
      <c r="B6820" s="161" t="s">
        <v>7666</v>
      </c>
      <c r="C6820" s="161">
        <v>90202036</v>
      </c>
      <c r="D6820" s="161" t="s">
        <v>3093</v>
      </c>
      <c r="E6820" s="161" t="s">
        <v>102</v>
      </c>
      <c r="F6820" s="163" t="s">
        <v>3093</v>
      </c>
      <c r="G6820" s="163">
        <v>5.75</v>
      </c>
      <c r="H6820" s="161" t="s">
        <v>7138</v>
      </c>
      <c r="I6820" s="161"/>
    </row>
    <row r="6821" spans="1:9">
      <c r="A6821" s="161">
        <v>910200100</v>
      </c>
      <c r="B6821" s="161" t="s">
        <v>2395</v>
      </c>
      <c r="C6821" s="161">
        <v>90202124</v>
      </c>
      <c r="D6821" s="161" t="s">
        <v>3093</v>
      </c>
      <c r="E6821" s="161" t="s">
        <v>1620</v>
      </c>
      <c r="F6821" s="163" t="s">
        <v>3093</v>
      </c>
      <c r="G6821" s="163">
        <v>4.5</v>
      </c>
      <c r="H6821" s="161" t="s">
        <v>7138</v>
      </c>
      <c r="I6821" s="161"/>
    </row>
    <row r="6822" spans="1:9">
      <c r="A6822" s="161">
        <v>910200101</v>
      </c>
      <c r="B6822" s="161" t="s">
        <v>7667</v>
      </c>
      <c r="C6822" s="161">
        <v>90202108</v>
      </c>
      <c r="D6822" s="161" t="s">
        <v>3093</v>
      </c>
      <c r="E6822" s="161" t="s">
        <v>1620</v>
      </c>
      <c r="F6822" s="163" t="s">
        <v>3093</v>
      </c>
      <c r="G6822" s="163">
        <v>0.8</v>
      </c>
      <c r="H6822" s="161" t="s">
        <v>7138</v>
      </c>
      <c r="I6822" s="161"/>
    </row>
    <row r="6823" spans="1:9">
      <c r="A6823" s="161">
        <v>910200102</v>
      </c>
      <c r="B6823" s="161" t="s">
        <v>7668</v>
      </c>
      <c r="C6823" s="161">
        <v>90202086</v>
      </c>
      <c r="D6823" s="161" t="s">
        <v>3093</v>
      </c>
      <c r="E6823" s="161" t="s">
        <v>1620</v>
      </c>
      <c r="F6823" s="163" t="s">
        <v>3093</v>
      </c>
      <c r="G6823" s="163">
        <v>4</v>
      </c>
      <c r="H6823" s="161" t="s">
        <v>7138</v>
      </c>
      <c r="I6823" s="161"/>
    </row>
    <row r="6824" spans="1:9">
      <c r="A6824" s="161">
        <v>910200103</v>
      </c>
      <c r="B6824" s="161" t="s">
        <v>7669</v>
      </c>
      <c r="C6824" s="161">
        <v>90202088</v>
      </c>
      <c r="D6824" s="161" t="s">
        <v>3093</v>
      </c>
      <c r="E6824" s="161" t="s">
        <v>1620</v>
      </c>
      <c r="F6824" s="163" t="s">
        <v>3093</v>
      </c>
      <c r="G6824" s="163">
        <v>6.26</v>
      </c>
      <c r="H6824" s="161" t="s">
        <v>7138</v>
      </c>
      <c r="I6824" s="161"/>
    </row>
    <row r="6825" spans="1:9">
      <c r="A6825" s="161">
        <v>910200104</v>
      </c>
      <c r="B6825" s="161" t="s">
        <v>2396</v>
      </c>
      <c r="C6825" s="161">
        <v>90202038</v>
      </c>
      <c r="D6825" s="161" t="s">
        <v>3093</v>
      </c>
      <c r="E6825" s="161" t="s">
        <v>102</v>
      </c>
      <c r="F6825" s="163" t="s">
        <v>3093</v>
      </c>
      <c r="G6825" s="163">
        <v>6.78</v>
      </c>
      <c r="H6825" s="161" t="s">
        <v>7138</v>
      </c>
      <c r="I6825" s="161"/>
    </row>
    <row r="6826" spans="1:9">
      <c r="A6826" s="161">
        <v>910200105</v>
      </c>
      <c r="B6826" s="161" t="s">
        <v>7670</v>
      </c>
      <c r="C6826" s="161">
        <v>90202057</v>
      </c>
      <c r="D6826" s="161" t="s">
        <v>3093</v>
      </c>
      <c r="E6826" s="161" t="s">
        <v>1620</v>
      </c>
      <c r="F6826" s="163" t="s">
        <v>3093</v>
      </c>
      <c r="G6826" s="163">
        <v>2.56</v>
      </c>
      <c r="H6826" s="161" t="s">
        <v>7138</v>
      </c>
      <c r="I6826" s="161"/>
    </row>
    <row r="6827" spans="1:9">
      <c r="A6827" s="161">
        <v>910299001</v>
      </c>
      <c r="B6827" s="161" t="s">
        <v>2669</v>
      </c>
      <c r="C6827" s="161">
        <v>90202032</v>
      </c>
      <c r="D6827" s="161" t="s">
        <v>3093</v>
      </c>
      <c r="E6827" s="161" t="s">
        <v>1620</v>
      </c>
      <c r="F6827" s="163" t="s">
        <v>3093</v>
      </c>
      <c r="G6827" s="163">
        <v>0</v>
      </c>
      <c r="H6827" s="161" t="s">
        <v>7138</v>
      </c>
      <c r="I6827" s="161"/>
    </row>
    <row r="6828" spans="1:9">
      <c r="A6828" s="161">
        <v>910300001</v>
      </c>
      <c r="B6828" s="161" t="s">
        <v>7671</v>
      </c>
      <c r="C6828" s="161">
        <v>90302003</v>
      </c>
      <c r="D6828" s="161" t="s">
        <v>3093</v>
      </c>
      <c r="E6828" s="161" t="s">
        <v>102</v>
      </c>
      <c r="F6828" s="163" t="s">
        <v>3093</v>
      </c>
      <c r="G6828" s="163">
        <v>0</v>
      </c>
      <c r="H6828" s="161" t="s">
        <v>7138</v>
      </c>
      <c r="I6828" s="161"/>
    </row>
    <row r="6829" spans="1:9">
      <c r="A6829" s="161">
        <v>910300002</v>
      </c>
      <c r="B6829" s="161" t="s">
        <v>7672</v>
      </c>
      <c r="C6829" s="161">
        <v>90304013</v>
      </c>
      <c r="D6829" s="161" t="s">
        <v>8127</v>
      </c>
      <c r="E6829" s="161" t="s">
        <v>102</v>
      </c>
      <c r="F6829" s="163" t="s">
        <v>3093</v>
      </c>
      <c r="G6829" s="163">
        <v>0.05</v>
      </c>
      <c r="H6829" s="161" t="s">
        <v>7138</v>
      </c>
      <c r="I6829" s="161"/>
    </row>
    <row r="6830" spans="1:9">
      <c r="A6830" s="161">
        <v>910300003</v>
      </c>
      <c r="B6830" s="161" t="s">
        <v>7673</v>
      </c>
      <c r="C6830" s="161">
        <v>90304050</v>
      </c>
      <c r="D6830" s="161" t="s">
        <v>8127</v>
      </c>
      <c r="E6830" s="161" t="s">
        <v>102</v>
      </c>
      <c r="F6830" s="163" t="s">
        <v>3093</v>
      </c>
      <c r="G6830" s="163">
        <v>0.25</v>
      </c>
      <c r="H6830" s="161" t="s">
        <v>7138</v>
      </c>
      <c r="I6830" s="161"/>
    </row>
    <row r="6831" spans="1:9">
      <c r="A6831" s="161">
        <v>910300004</v>
      </c>
      <c r="B6831" s="161" t="s">
        <v>2440</v>
      </c>
      <c r="C6831" s="161">
        <v>90303013</v>
      </c>
      <c r="D6831" s="161" t="s">
        <v>3093</v>
      </c>
      <c r="E6831" s="161" t="s">
        <v>102</v>
      </c>
      <c r="F6831" s="163" t="s">
        <v>3093</v>
      </c>
      <c r="G6831" s="163">
        <v>0</v>
      </c>
      <c r="H6831" s="161" t="s">
        <v>7138</v>
      </c>
      <c r="I6831" s="161"/>
    </row>
    <row r="6832" spans="1:9">
      <c r="A6832" s="161">
        <v>910300005</v>
      </c>
      <c r="B6832" s="161" t="s">
        <v>7674</v>
      </c>
      <c r="C6832" s="161">
        <v>90304010</v>
      </c>
      <c r="D6832" s="161" t="s">
        <v>3093</v>
      </c>
      <c r="E6832" s="161" t="s">
        <v>102</v>
      </c>
      <c r="F6832" s="163" t="s">
        <v>3093</v>
      </c>
      <c r="G6832" s="163">
        <v>1.1200000000000001</v>
      </c>
      <c r="H6832" s="161" t="s">
        <v>7138</v>
      </c>
      <c r="I6832" s="161"/>
    </row>
    <row r="6833" spans="1:9">
      <c r="A6833" s="161">
        <v>910300006</v>
      </c>
      <c r="B6833" s="161" t="s">
        <v>7675</v>
      </c>
      <c r="C6833" s="161">
        <v>90305138</v>
      </c>
      <c r="D6833" s="161" t="s">
        <v>2380</v>
      </c>
      <c r="E6833" s="161" t="s">
        <v>102</v>
      </c>
      <c r="F6833" s="163" t="s">
        <v>3093</v>
      </c>
      <c r="G6833" s="163">
        <v>3</v>
      </c>
      <c r="H6833" s="161" t="s">
        <v>7138</v>
      </c>
      <c r="I6833" s="161"/>
    </row>
    <row r="6834" spans="1:9">
      <c r="A6834" s="161">
        <v>910300007</v>
      </c>
      <c r="B6834" s="161" t="s">
        <v>7676</v>
      </c>
      <c r="C6834" s="161">
        <v>90303000</v>
      </c>
      <c r="D6834" s="161" t="s">
        <v>3093</v>
      </c>
      <c r="E6834" s="161" t="s">
        <v>102</v>
      </c>
      <c r="F6834" s="163" t="s">
        <v>3093</v>
      </c>
      <c r="G6834" s="163">
        <v>0.17</v>
      </c>
      <c r="H6834" s="161" t="s">
        <v>7138</v>
      </c>
      <c r="I6834" s="161"/>
    </row>
    <row r="6835" spans="1:9">
      <c r="A6835" s="161">
        <v>910300008</v>
      </c>
      <c r="B6835" s="161" t="s">
        <v>7677</v>
      </c>
      <c r="C6835" s="161">
        <v>90303012</v>
      </c>
      <c r="D6835" s="161" t="s">
        <v>3093</v>
      </c>
      <c r="E6835" s="161" t="s">
        <v>102</v>
      </c>
      <c r="F6835" s="163" t="s">
        <v>3093</v>
      </c>
      <c r="G6835" s="163">
        <v>0.2</v>
      </c>
      <c r="H6835" s="161" t="s">
        <v>7138</v>
      </c>
      <c r="I6835" s="161"/>
    </row>
    <row r="6836" spans="1:9">
      <c r="A6836" s="161">
        <v>910300009</v>
      </c>
      <c r="B6836" s="161" t="s">
        <v>7678</v>
      </c>
      <c r="C6836" s="161">
        <v>90303018</v>
      </c>
      <c r="D6836" s="161" t="s">
        <v>3093</v>
      </c>
      <c r="E6836" s="161" t="s">
        <v>102</v>
      </c>
      <c r="F6836" s="163" t="s">
        <v>3093</v>
      </c>
      <c r="G6836" s="163">
        <v>0.12</v>
      </c>
      <c r="H6836" s="161" t="s">
        <v>7138</v>
      </c>
      <c r="I6836" s="161"/>
    </row>
    <row r="6837" spans="1:9">
      <c r="A6837" s="161">
        <v>910300010</v>
      </c>
      <c r="B6837" s="161" t="s">
        <v>7679</v>
      </c>
      <c r="C6837" s="161">
        <v>90303016</v>
      </c>
      <c r="D6837" s="161" t="s">
        <v>3093</v>
      </c>
      <c r="E6837" s="161" t="s">
        <v>102</v>
      </c>
      <c r="F6837" s="163" t="s">
        <v>3093</v>
      </c>
      <c r="G6837" s="163">
        <v>0.1171</v>
      </c>
      <c r="H6837" s="161" t="s">
        <v>7138</v>
      </c>
      <c r="I6837" s="161"/>
    </row>
    <row r="6838" spans="1:9">
      <c r="A6838" s="161">
        <v>910300011</v>
      </c>
      <c r="B6838" s="161" t="s">
        <v>7680</v>
      </c>
      <c r="C6838" s="161">
        <v>90303017</v>
      </c>
      <c r="D6838" s="161" t="s">
        <v>3093</v>
      </c>
      <c r="E6838" s="161" t="s">
        <v>102</v>
      </c>
      <c r="F6838" s="163" t="s">
        <v>3093</v>
      </c>
      <c r="G6838" s="163">
        <v>0.14000000000000001</v>
      </c>
      <c r="H6838" s="161" t="s">
        <v>7138</v>
      </c>
      <c r="I6838" s="161"/>
    </row>
    <row r="6839" spans="1:9">
      <c r="A6839" s="161">
        <v>910300012</v>
      </c>
      <c r="B6839" s="161" t="s">
        <v>2449</v>
      </c>
      <c r="C6839" s="161">
        <v>90305015</v>
      </c>
      <c r="D6839" s="161" t="s">
        <v>3093</v>
      </c>
      <c r="E6839" s="161" t="s">
        <v>102</v>
      </c>
      <c r="F6839" s="163" t="s">
        <v>3093</v>
      </c>
      <c r="G6839" s="163">
        <v>0</v>
      </c>
      <c r="H6839" s="161" t="s">
        <v>7138</v>
      </c>
      <c r="I6839" s="161"/>
    </row>
    <row r="6840" spans="1:9">
      <c r="A6840" s="161">
        <v>910300013</v>
      </c>
      <c r="B6840" s="161" t="s">
        <v>7681</v>
      </c>
      <c r="C6840" s="161">
        <v>90305038</v>
      </c>
      <c r="D6840" s="161" t="s">
        <v>3093</v>
      </c>
      <c r="E6840" s="161" t="s">
        <v>102</v>
      </c>
      <c r="F6840" s="163" t="s">
        <v>3093</v>
      </c>
      <c r="G6840" s="163">
        <v>0.99168800000000001</v>
      </c>
      <c r="H6840" s="161" t="s">
        <v>7138</v>
      </c>
      <c r="I6840" s="161"/>
    </row>
    <row r="6841" spans="1:9">
      <c r="A6841" s="161">
        <v>910300014</v>
      </c>
      <c r="B6841" s="161" t="s">
        <v>7682</v>
      </c>
      <c r="C6841" s="161">
        <v>90303011</v>
      </c>
      <c r="D6841" s="161" t="s">
        <v>3093</v>
      </c>
      <c r="E6841" s="161" t="s">
        <v>102</v>
      </c>
      <c r="F6841" s="163" t="s">
        <v>3093</v>
      </c>
      <c r="G6841" s="163">
        <v>0.05</v>
      </c>
      <c r="H6841" s="161" t="s">
        <v>7138</v>
      </c>
      <c r="I6841" s="161"/>
    </row>
    <row r="6842" spans="1:9">
      <c r="A6842" s="161">
        <v>910300015</v>
      </c>
      <c r="B6842" s="161" t="s">
        <v>7683</v>
      </c>
      <c r="C6842" s="161">
        <v>90303008</v>
      </c>
      <c r="D6842" s="161" t="s">
        <v>3093</v>
      </c>
      <c r="E6842" s="161" t="s">
        <v>102</v>
      </c>
      <c r="F6842" s="163" t="s">
        <v>3093</v>
      </c>
      <c r="G6842" s="163">
        <v>0.09</v>
      </c>
      <c r="H6842" s="161" t="s">
        <v>7138</v>
      </c>
      <c r="I6842" s="161"/>
    </row>
    <row r="6843" spans="1:9">
      <c r="A6843" s="161">
        <v>910300016</v>
      </c>
      <c r="B6843" s="161" t="s">
        <v>1770</v>
      </c>
      <c r="C6843" s="161">
        <v>90303009</v>
      </c>
      <c r="D6843" s="161" t="s">
        <v>3093</v>
      </c>
      <c r="E6843" s="161" t="s">
        <v>102</v>
      </c>
      <c r="F6843" s="163" t="s">
        <v>3093</v>
      </c>
      <c r="G6843" s="163">
        <v>2.2000000000000001E-3</v>
      </c>
      <c r="H6843" s="161" t="s">
        <v>7138</v>
      </c>
      <c r="I6843" s="161"/>
    </row>
    <row r="6844" spans="1:9">
      <c r="A6844" s="161">
        <v>910300017</v>
      </c>
      <c r="B6844" s="161" t="s">
        <v>7684</v>
      </c>
      <c r="C6844" s="161">
        <v>90303024</v>
      </c>
      <c r="D6844" s="161" t="s">
        <v>3093</v>
      </c>
      <c r="E6844" s="161" t="s">
        <v>102</v>
      </c>
      <c r="F6844" s="163" t="s">
        <v>3093</v>
      </c>
      <c r="G6844" s="163">
        <v>0.05</v>
      </c>
      <c r="H6844" s="161" t="s">
        <v>7138</v>
      </c>
      <c r="I6844" s="161"/>
    </row>
    <row r="6845" spans="1:9">
      <c r="A6845" s="161">
        <v>910300018</v>
      </c>
      <c r="B6845" s="161" t="s">
        <v>7685</v>
      </c>
      <c r="C6845" s="161">
        <v>90303022</v>
      </c>
      <c r="D6845" s="161" t="s">
        <v>3093</v>
      </c>
      <c r="E6845" s="161" t="s">
        <v>102</v>
      </c>
      <c r="F6845" s="163" t="s">
        <v>3093</v>
      </c>
      <c r="G6845" s="163">
        <v>0.02</v>
      </c>
      <c r="H6845" s="161" t="s">
        <v>7138</v>
      </c>
      <c r="I6845" s="161"/>
    </row>
    <row r="6846" spans="1:9">
      <c r="A6846" s="161">
        <v>910300019</v>
      </c>
      <c r="B6846" s="161" t="s">
        <v>7686</v>
      </c>
      <c r="C6846" s="161">
        <v>90303023</v>
      </c>
      <c r="D6846" s="161" t="s">
        <v>3093</v>
      </c>
      <c r="E6846" s="161" t="s">
        <v>102</v>
      </c>
      <c r="F6846" s="163" t="s">
        <v>3093</v>
      </c>
      <c r="G6846" s="163">
        <v>0.06</v>
      </c>
      <c r="H6846" s="161" t="s">
        <v>7138</v>
      </c>
      <c r="I6846" s="161"/>
    </row>
    <row r="6847" spans="1:9">
      <c r="A6847" s="161">
        <v>910300020</v>
      </c>
      <c r="B6847" s="161" t="s">
        <v>7687</v>
      </c>
      <c r="C6847" s="161">
        <v>90303025</v>
      </c>
      <c r="D6847" s="161" t="s">
        <v>3093</v>
      </c>
      <c r="E6847" s="161" t="s">
        <v>102</v>
      </c>
      <c r="F6847" s="163" t="s">
        <v>3093</v>
      </c>
      <c r="G6847" s="163">
        <v>0.24</v>
      </c>
      <c r="H6847" s="161" t="s">
        <v>7138</v>
      </c>
      <c r="I6847" s="161"/>
    </row>
    <row r="6848" spans="1:9">
      <c r="A6848" s="161">
        <v>910300021</v>
      </c>
      <c r="B6848" s="161" t="s">
        <v>7688</v>
      </c>
      <c r="C6848" s="161">
        <v>90303001</v>
      </c>
      <c r="D6848" s="161" t="s">
        <v>3093</v>
      </c>
      <c r="E6848" s="161" t="s">
        <v>102</v>
      </c>
      <c r="F6848" s="163" t="s">
        <v>3093</v>
      </c>
      <c r="G6848" s="163">
        <v>0.04</v>
      </c>
      <c r="H6848" s="161" t="s">
        <v>7138</v>
      </c>
      <c r="I6848" s="161"/>
    </row>
    <row r="6849" spans="1:9">
      <c r="A6849" s="161">
        <v>910300022</v>
      </c>
      <c r="B6849" s="161" t="s">
        <v>7689</v>
      </c>
      <c r="C6849" s="161">
        <v>90305016</v>
      </c>
      <c r="D6849" s="161" t="s">
        <v>3093</v>
      </c>
      <c r="E6849" s="161" t="s">
        <v>102</v>
      </c>
      <c r="F6849" s="163" t="s">
        <v>3093</v>
      </c>
      <c r="G6849" s="163">
        <v>1.19</v>
      </c>
      <c r="H6849" s="161" t="s">
        <v>7138</v>
      </c>
      <c r="I6849" s="161"/>
    </row>
    <row r="6850" spans="1:9">
      <c r="A6850" s="161">
        <v>910300023</v>
      </c>
      <c r="B6850" s="161" t="s">
        <v>7690</v>
      </c>
      <c r="C6850" s="161">
        <v>90303027</v>
      </c>
      <c r="D6850" s="161" t="s">
        <v>3093</v>
      </c>
      <c r="E6850" s="161" t="s">
        <v>102</v>
      </c>
      <c r="F6850" s="163" t="s">
        <v>3093</v>
      </c>
      <c r="G6850" s="163">
        <v>0.11</v>
      </c>
      <c r="H6850" s="161" t="s">
        <v>7138</v>
      </c>
      <c r="I6850" s="161"/>
    </row>
    <row r="6851" spans="1:9">
      <c r="A6851" s="161">
        <v>910300024</v>
      </c>
      <c r="B6851" s="161" t="s">
        <v>7691</v>
      </c>
      <c r="C6851" s="161">
        <v>90303026</v>
      </c>
      <c r="D6851" s="161" t="s">
        <v>3093</v>
      </c>
      <c r="E6851" s="161" t="s">
        <v>102</v>
      </c>
      <c r="F6851" s="163" t="s">
        <v>3093</v>
      </c>
      <c r="G6851" s="163">
        <v>0.11</v>
      </c>
      <c r="H6851" s="161" t="s">
        <v>7138</v>
      </c>
      <c r="I6851" s="161"/>
    </row>
    <row r="6852" spans="1:9">
      <c r="A6852" s="161">
        <v>910300025</v>
      </c>
      <c r="B6852" s="161" t="s">
        <v>7692</v>
      </c>
      <c r="C6852" s="161">
        <v>90303015</v>
      </c>
      <c r="D6852" s="161" t="s">
        <v>3093</v>
      </c>
      <c r="E6852" s="161" t="s">
        <v>102</v>
      </c>
      <c r="F6852" s="163" t="s">
        <v>3093</v>
      </c>
      <c r="G6852" s="163">
        <v>0.01</v>
      </c>
      <c r="H6852" s="161" t="s">
        <v>7138</v>
      </c>
      <c r="I6852" s="161"/>
    </row>
    <row r="6853" spans="1:9">
      <c r="A6853" s="161">
        <v>910300026</v>
      </c>
      <c r="B6853" s="161" t="s">
        <v>2441</v>
      </c>
      <c r="C6853" s="161">
        <v>90303014</v>
      </c>
      <c r="D6853" s="161" t="s">
        <v>3093</v>
      </c>
      <c r="E6853" s="161" t="s">
        <v>102</v>
      </c>
      <c r="F6853" s="163" t="s">
        <v>3093</v>
      </c>
      <c r="G6853" s="163">
        <v>0.03</v>
      </c>
      <c r="H6853" s="161" t="s">
        <v>7138</v>
      </c>
      <c r="I6853" s="161"/>
    </row>
    <row r="6854" spans="1:9">
      <c r="A6854" s="161">
        <v>910300027</v>
      </c>
      <c r="B6854" s="161" t="s">
        <v>2442</v>
      </c>
      <c r="C6854" s="161">
        <v>90303003</v>
      </c>
      <c r="D6854" s="161" t="s">
        <v>3093</v>
      </c>
      <c r="E6854" s="161" t="s">
        <v>102</v>
      </c>
      <c r="F6854" s="163" t="s">
        <v>3093</v>
      </c>
      <c r="G6854" s="163">
        <v>7.9000000000000008E-3</v>
      </c>
      <c r="H6854" s="161" t="s">
        <v>7138</v>
      </c>
      <c r="I6854" s="161"/>
    </row>
    <row r="6855" spans="1:9">
      <c r="A6855" s="161">
        <v>910300028</v>
      </c>
      <c r="B6855" s="161" t="s">
        <v>7693</v>
      </c>
      <c r="C6855" s="161">
        <v>90303020</v>
      </c>
      <c r="D6855" s="161" t="s">
        <v>3093</v>
      </c>
      <c r="E6855" s="161" t="s">
        <v>102</v>
      </c>
      <c r="F6855" s="163" t="s">
        <v>3093</v>
      </c>
      <c r="G6855" s="163">
        <v>0.01</v>
      </c>
      <c r="H6855" s="161" t="s">
        <v>7138</v>
      </c>
      <c r="I6855" s="161"/>
    </row>
    <row r="6856" spans="1:9">
      <c r="A6856" s="161">
        <v>910300029</v>
      </c>
      <c r="B6856" s="161" t="s">
        <v>7694</v>
      </c>
      <c r="C6856" s="161">
        <v>90303010</v>
      </c>
      <c r="D6856" s="161" t="s">
        <v>3093</v>
      </c>
      <c r="E6856" s="161" t="s">
        <v>102</v>
      </c>
      <c r="F6856" s="163" t="s">
        <v>3093</v>
      </c>
      <c r="G6856" s="163">
        <v>0.03</v>
      </c>
      <c r="H6856" s="161" t="s">
        <v>7138</v>
      </c>
      <c r="I6856" s="161"/>
    </row>
    <row r="6857" spans="1:9">
      <c r="A6857" s="161">
        <v>910300030</v>
      </c>
      <c r="B6857" s="161" t="s">
        <v>7695</v>
      </c>
      <c r="C6857" s="161">
        <v>90303021</v>
      </c>
      <c r="D6857" s="161" t="s">
        <v>3093</v>
      </c>
      <c r="E6857" s="161" t="s">
        <v>102</v>
      </c>
      <c r="F6857" s="163" t="s">
        <v>3093</v>
      </c>
      <c r="G6857" s="163">
        <v>0.04</v>
      </c>
      <c r="H6857" s="161" t="s">
        <v>7138</v>
      </c>
      <c r="I6857" s="161"/>
    </row>
    <row r="6858" spans="1:9">
      <c r="A6858" s="161">
        <v>910300031</v>
      </c>
      <c r="B6858" s="161" t="s">
        <v>7696</v>
      </c>
      <c r="C6858" s="161">
        <v>90303019</v>
      </c>
      <c r="D6858" s="161" t="s">
        <v>3093</v>
      </c>
      <c r="E6858" s="161" t="s">
        <v>102</v>
      </c>
      <c r="F6858" s="163" t="s">
        <v>3093</v>
      </c>
      <c r="G6858" s="163">
        <v>3.0000000000000001E-3</v>
      </c>
      <c r="H6858" s="161" t="s">
        <v>7138</v>
      </c>
      <c r="I6858" s="161"/>
    </row>
    <row r="6859" spans="1:9">
      <c r="A6859" s="161">
        <v>910300032</v>
      </c>
      <c r="B6859" s="161" t="s">
        <v>7697</v>
      </c>
      <c r="C6859" s="161">
        <v>90308004</v>
      </c>
      <c r="D6859" s="161" t="s">
        <v>3093</v>
      </c>
      <c r="E6859" s="161" t="s">
        <v>102</v>
      </c>
      <c r="F6859" s="163" t="s">
        <v>3093</v>
      </c>
      <c r="G6859" s="163">
        <v>0.1</v>
      </c>
      <c r="H6859" s="161" t="s">
        <v>7138</v>
      </c>
      <c r="I6859" s="161"/>
    </row>
    <row r="6860" spans="1:9">
      <c r="A6860" s="161">
        <v>910300033</v>
      </c>
      <c r="B6860" s="161" t="s">
        <v>2474</v>
      </c>
      <c r="C6860" s="161">
        <v>90308005</v>
      </c>
      <c r="D6860" s="161" t="s">
        <v>3093</v>
      </c>
      <c r="E6860" s="161" t="s">
        <v>102</v>
      </c>
      <c r="F6860" s="163" t="s">
        <v>3093</v>
      </c>
      <c r="G6860" s="163">
        <v>7.7700000000000005E-2</v>
      </c>
      <c r="H6860" s="161" t="s">
        <v>7138</v>
      </c>
      <c r="I6860" s="161"/>
    </row>
    <row r="6861" spans="1:9">
      <c r="A6861" s="161">
        <v>910300034</v>
      </c>
      <c r="B6861" s="161" t="s">
        <v>7698</v>
      </c>
      <c r="C6861" s="161">
        <v>90308003</v>
      </c>
      <c r="D6861" s="161" t="s">
        <v>3093</v>
      </c>
      <c r="E6861" s="161" t="s">
        <v>102</v>
      </c>
      <c r="F6861" s="163" t="s">
        <v>3093</v>
      </c>
      <c r="G6861" s="163">
        <v>0.1</v>
      </c>
      <c r="H6861" s="161" t="s">
        <v>7138</v>
      </c>
      <c r="I6861" s="161"/>
    </row>
    <row r="6862" spans="1:9">
      <c r="A6862" s="161">
        <v>910300035</v>
      </c>
      <c r="B6862" s="161" t="s">
        <v>7699</v>
      </c>
      <c r="C6862" s="161">
        <v>90304024</v>
      </c>
      <c r="D6862" s="161" t="s">
        <v>3093</v>
      </c>
      <c r="E6862" s="161" t="s">
        <v>102</v>
      </c>
      <c r="F6862" s="163" t="s">
        <v>3093</v>
      </c>
      <c r="G6862" s="163">
        <v>0</v>
      </c>
      <c r="H6862" s="161" t="s">
        <v>7138</v>
      </c>
      <c r="I6862" s="161"/>
    </row>
    <row r="6863" spans="1:9">
      <c r="A6863" s="161">
        <v>910300036</v>
      </c>
      <c r="B6863" s="161" t="s">
        <v>7700</v>
      </c>
      <c r="C6863" s="161">
        <v>90305066</v>
      </c>
      <c r="D6863" s="161" t="s">
        <v>3093</v>
      </c>
      <c r="E6863" s="161" t="s">
        <v>102</v>
      </c>
      <c r="F6863" s="163" t="s">
        <v>3093</v>
      </c>
      <c r="G6863" s="163">
        <v>0.18</v>
      </c>
      <c r="H6863" s="161" t="s">
        <v>7138</v>
      </c>
      <c r="I6863" s="161"/>
    </row>
    <row r="6864" spans="1:9">
      <c r="A6864" s="161">
        <v>910300037</v>
      </c>
      <c r="B6864" s="161" t="s">
        <v>7701</v>
      </c>
      <c r="C6864" s="161">
        <v>90305067</v>
      </c>
      <c r="D6864" s="161" t="s">
        <v>3093</v>
      </c>
      <c r="E6864" s="161" t="s">
        <v>102</v>
      </c>
      <c r="F6864" s="163" t="s">
        <v>3093</v>
      </c>
      <c r="G6864" s="163">
        <v>1.1299999999999999</v>
      </c>
      <c r="H6864" s="161" t="s">
        <v>7138</v>
      </c>
      <c r="I6864" s="161"/>
    </row>
    <row r="6865" spans="1:9">
      <c r="A6865" s="161">
        <v>910300038</v>
      </c>
      <c r="B6865" s="161" t="s">
        <v>2450</v>
      </c>
      <c r="C6865" s="161">
        <v>90305026</v>
      </c>
      <c r="D6865" s="161" t="s">
        <v>3093</v>
      </c>
      <c r="E6865" s="161" t="s">
        <v>102</v>
      </c>
      <c r="F6865" s="163" t="s">
        <v>3093</v>
      </c>
      <c r="G6865" s="163">
        <v>0.32</v>
      </c>
      <c r="H6865" s="161" t="s">
        <v>7138</v>
      </c>
      <c r="I6865" s="161"/>
    </row>
    <row r="6866" spans="1:9">
      <c r="A6866" s="161">
        <v>910300039</v>
      </c>
      <c r="B6866" s="161" t="s">
        <v>7702</v>
      </c>
      <c r="C6866" s="161">
        <v>90305077</v>
      </c>
      <c r="D6866" s="161" t="s">
        <v>3093</v>
      </c>
      <c r="E6866" s="161" t="s">
        <v>102</v>
      </c>
      <c r="F6866" s="163" t="s">
        <v>3093</v>
      </c>
      <c r="G6866" s="163">
        <v>1.37</v>
      </c>
      <c r="H6866" s="161" t="s">
        <v>7138</v>
      </c>
      <c r="I6866" s="161"/>
    </row>
    <row r="6867" spans="1:9">
      <c r="A6867" s="161">
        <v>910300040</v>
      </c>
      <c r="B6867" s="161" t="s">
        <v>7703</v>
      </c>
      <c r="C6867" s="161">
        <v>90305082</v>
      </c>
      <c r="D6867" s="161" t="s">
        <v>3093</v>
      </c>
      <c r="E6867" s="161" t="s">
        <v>102</v>
      </c>
      <c r="F6867" s="163" t="s">
        <v>3093</v>
      </c>
      <c r="G6867" s="163">
        <v>0.93</v>
      </c>
      <c r="H6867" s="161" t="s">
        <v>7138</v>
      </c>
      <c r="I6867" s="161"/>
    </row>
    <row r="6868" spans="1:9">
      <c r="A6868" s="161">
        <v>910300041</v>
      </c>
      <c r="B6868" s="161" t="s">
        <v>7704</v>
      </c>
      <c r="C6868" s="161">
        <v>90305028</v>
      </c>
      <c r="D6868" s="161" t="s">
        <v>3093</v>
      </c>
      <c r="E6868" s="161" t="s">
        <v>102</v>
      </c>
      <c r="F6868" s="163" t="s">
        <v>3093</v>
      </c>
      <c r="G6868" s="163">
        <v>0.17</v>
      </c>
      <c r="H6868" s="161" t="s">
        <v>7138</v>
      </c>
      <c r="I6868" s="161"/>
    </row>
    <row r="6869" spans="1:9">
      <c r="A6869" s="161">
        <v>910300042</v>
      </c>
      <c r="B6869" s="161" t="s">
        <v>7705</v>
      </c>
      <c r="C6869" s="161">
        <v>90305001</v>
      </c>
      <c r="D6869" s="161" t="s">
        <v>3093</v>
      </c>
      <c r="E6869" s="161" t="s">
        <v>102</v>
      </c>
      <c r="F6869" s="163" t="s">
        <v>3093</v>
      </c>
      <c r="G6869" s="163">
        <v>0.14000000000000001</v>
      </c>
      <c r="H6869" s="161" t="s">
        <v>7138</v>
      </c>
      <c r="I6869" s="161"/>
    </row>
    <row r="6870" spans="1:9">
      <c r="A6870" s="161">
        <v>910300043</v>
      </c>
      <c r="B6870" s="161" t="s">
        <v>2461</v>
      </c>
      <c r="C6870" s="161">
        <v>90307006</v>
      </c>
      <c r="D6870" s="161" t="s">
        <v>3093</v>
      </c>
      <c r="E6870" s="161" t="s">
        <v>102</v>
      </c>
      <c r="F6870" s="163" t="s">
        <v>3093</v>
      </c>
      <c r="G6870" s="163">
        <v>2.5000000000000001E-2</v>
      </c>
      <c r="H6870" s="161" t="s">
        <v>7138</v>
      </c>
      <c r="I6870" s="161"/>
    </row>
    <row r="6871" spans="1:9">
      <c r="A6871" s="161">
        <v>910300044</v>
      </c>
      <c r="B6871" s="161" t="s">
        <v>7706</v>
      </c>
      <c r="C6871" s="161">
        <v>90305072</v>
      </c>
      <c r="D6871" s="161" t="s">
        <v>3093</v>
      </c>
      <c r="E6871" s="161" t="s">
        <v>102</v>
      </c>
      <c r="F6871" s="163" t="s">
        <v>3093</v>
      </c>
      <c r="G6871" s="163">
        <v>1.7999999999999999E-2</v>
      </c>
      <c r="H6871" s="161" t="s">
        <v>7138</v>
      </c>
      <c r="I6871" s="161"/>
    </row>
    <row r="6872" spans="1:9">
      <c r="A6872" s="161">
        <v>910300045</v>
      </c>
      <c r="B6872" s="161" t="s">
        <v>7707</v>
      </c>
      <c r="C6872" s="161">
        <v>90304022</v>
      </c>
      <c r="D6872" s="161" t="s">
        <v>3093</v>
      </c>
      <c r="E6872" s="161" t="s">
        <v>102</v>
      </c>
      <c r="F6872" s="163" t="s">
        <v>3093</v>
      </c>
      <c r="G6872" s="163">
        <v>0.53</v>
      </c>
      <c r="H6872" s="161" t="s">
        <v>7138</v>
      </c>
      <c r="I6872" s="161"/>
    </row>
    <row r="6873" spans="1:9">
      <c r="A6873" s="161">
        <v>910300046</v>
      </c>
      <c r="B6873" s="161" t="s">
        <v>7708</v>
      </c>
      <c r="C6873" s="161">
        <v>90304023</v>
      </c>
      <c r="D6873" s="161" t="s">
        <v>3093</v>
      </c>
      <c r="E6873" s="161" t="s">
        <v>102</v>
      </c>
      <c r="F6873" s="163" t="s">
        <v>3093</v>
      </c>
      <c r="G6873" s="163">
        <v>0.44</v>
      </c>
      <c r="H6873" s="161" t="s">
        <v>7138</v>
      </c>
      <c r="I6873" s="161"/>
    </row>
    <row r="6874" spans="1:9">
      <c r="A6874" s="161">
        <v>910300047</v>
      </c>
      <c r="B6874" s="161" t="s">
        <v>7709</v>
      </c>
      <c r="C6874" s="161">
        <v>90304005</v>
      </c>
      <c r="D6874" s="161" t="s">
        <v>3093</v>
      </c>
      <c r="E6874" s="161" t="s">
        <v>102</v>
      </c>
      <c r="F6874" s="163" t="s">
        <v>3093</v>
      </c>
      <c r="G6874" s="163">
        <v>0.54</v>
      </c>
      <c r="H6874" s="161" t="s">
        <v>7138</v>
      </c>
      <c r="I6874" s="161"/>
    </row>
    <row r="6875" spans="1:9">
      <c r="A6875" s="161">
        <v>910300048</v>
      </c>
      <c r="B6875" s="161" t="s">
        <v>7710</v>
      </c>
      <c r="C6875" s="161">
        <v>90304007</v>
      </c>
      <c r="D6875" s="161" t="s">
        <v>3093</v>
      </c>
      <c r="E6875" s="161" t="s">
        <v>102</v>
      </c>
      <c r="F6875" s="163" t="s">
        <v>3093</v>
      </c>
      <c r="G6875" s="163">
        <v>0.81</v>
      </c>
      <c r="H6875" s="161" t="s">
        <v>7138</v>
      </c>
      <c r="I6875" s="161"/>
    </row>
    <row r="6876" spans="1:9">
      <c r="A6876" s="161">
        <v>910300049</v>
      </c>
      <c r="B6876" s="161" t="s">
        <v>2154</v>
      </c>
      <c r="C6876" s="161">
        <v>90304012</v>
      </c>
      <c r="D6876" s="161" t="s">
        <v>3093</v>
      </c>
      <c r="E6876" s="161" t="s">
        <v>102</v>
      </c>
      <c r="F6876" s="163" t="s">
        <v>3093</v>
      </c>
      <c r="G6876" s="163">
        <v>0.22</v>
      </c>
      <c r="H6876" s="161" t="s">
        <v>7138</v>
      </c>
      <c r="I6876" s="161"/>
    </row>
    <row r="6877" spans="1:9">
      <c r="A6877" s="161">
        <v>910300050</v>
      </c>
      <c r="B6877" s="161" t="s">
        <v>2443</v>
      </c>
      <c r="C6877" s="161">
        <v>90304011</v>
      </c>
      <c r="D6877" s="161" t="s">
        <v>3093</v>
      </c>
      <c r="E6877" s="161" t="s">
        <v>102</v>
      </c>
      <c r="F6877" s="163" t="s">
        <v>3093</v>
      </c>
      <c r="G6877" s="163">
        <v>0.24</v>
      </c>
      <c r="H6877" s="161" t="s">
        <v>7138</v>
      </c>
      <c r="I6877" s="161"/>
    </row>
    <row r="6878" spans="1:9">
      <c r="A6878" s="161">
        <v>910300051</v>
      </c>
      <c r="B6878" s="161" t="s">
        <v>2444</v>
      </c>
      <c r="C6878" s="161">
        <v>90304004</v>
      </c>
      <c r="D6878" s="161" t="s">
        <v>3093</v>
      </c>
      <c r="E6878" s="161" t="s">
        <v>102</v>
      </c>
      <c r="F6878" s="163" t="s">
        <v>3093</v>
      </c>
      <c r="G6878" s="163">
        <v>0.15</v>
      </c>
      <c r="H6878" s="161" t="s">
        <v>7138</v>
      </c>
      <c r="I6878" s="161"/>
    </row>
    <row r="6879" spans="1:9">
      <c r="A6879" s="161">
        <v>910300052</v>
      </c>
      <c r="B6879" s="161" t="s">
        <v>7711</v>
      </c>
      <c r="C6879" s="161">
        <v>90304021</v>
      </c>
      <c r="D6879" s="161" t="s">
        <v>3093</v>
      </c>
      <c r="E6879" s="161" t="s">
        <v>102</v>
      </c>
      <c r="F6879" s="163" t="s">
        <v>3093</v>
      </c>
      <c r="G6879" s="163">
        <v>0</v>
      </c>
      <c r="H6879" s="161" t="s">
        <v>7138</v>
      </c>
      <c r="I6879" s="161"/>
    </row>
    <row r="6880" spans="1:9">
      <c r="A6880" s="161">
        <v>910300053</v>
      </c>
      <c r="B6880" s="161" t="s">
        <v>7712</v>
      </c>
      <c r="C6880" s="161">
        <v>90302000</v>
      </c>
      <c r="D6880" s="161" t="s">
        <v>3093</v>
      </c>
      <c r="E6880" s="161" t="s">
        <v>102</v>
      </c>
      <c r="F6880" s="163" t="s">
        <v>3093</v>
      </c>
      <c r="G6880" s="163">
        <v>0</v>
      </c>
      <c r="H6880" s="161" t="s">
        <v>7138</v>
      </c>
      <c r="I6880" s="161"/>
    </row>
    <row r="6881" spans="1:9">
      <c r="A6881" s="161">
        <v>910300054</v>
      </c>
      <c r="B6881" s="161" t="s">
        <v>2439</v>
      </c>
      <c r="C6881" s="161">
        <v>90302002</v>
      </c>
      <c r="D6881" s="161" t="s">
        <v>8127</v>
      </c>
      <c r="E6881" s="161" t="s">
        <v>102</v>
      </c>
      <c r="F6881" s="163" t="s">
        <v>3093</v>
      </c>
      <c r="G6881" s="163">
        <v>0.03</v>
      </c>
      <c r="H6881" s="161" t="s">
        <v>7138</v>
      </c>
      <c r="I6881" s="161"/>
    </row>
    <row r="6882" spans="1:9">
      <c r="A6882" s="161">
        <v>910300055</v>
      </c>
      <c r="B6882" s="161" t="s">
        <v>7713</v>
      </c>
      <c r="C6882" s="161">
        <v>90304040</v>
      </c>
      <c r="D6882" s="161" t="s">
        <v>8127</v>
      </c>
      <c r="E6882" s="161" t="s">
        <v>102</v>
      </c>
      <c r="F6882" s="163" t="s">
        <v>3093</v>
      </c>
      <c r="G6882" s="163">
        <v>0</v>
      </c>
      <c r="H6882" s="161" t="s">
        <v>7138</v>
      </c>
      <c r="I6882" s="161"/>
    </row>
    <row r="6883" spans="1:9">
      <c r="A6883" s="161">
        <v>910300056</v>
      </c>
      <c r="B6883" s="161" t="s">
        <v>7714</v>
      </c>
      <c r="C6883" s="161">
        <v>90304006</v>
      </c>
      <c r="D6883" s="161" t="s">
        <v>3093</v>
      </c>
      <c r="E6883" s="161" t="s">
        <v>102</v>
      </c>
      <c r="F6883" s="163" t="s">
        <v>3093</v>
      </c>
      <c r="G6883" s="163">
        <v>0.91600000000000004</v>
      </c>
      <c r="H6883" s="161" t="s">
        <v>7138</v>
      </c>
      <c r="I6883" s="161"/>
    </row>
    <row r="6884" spans="1:9">
      <c r="A6884" s="161">
        <v>910300057</v>
      </c>
      <c r="B6884" s="161" t="s">
        <v>2475</v>
      </c>
      <c r="C6884" s="161">
        <v>90308006</v>
      </c>
      <c r="D6884" s="161" t="s">
        <v>3093</v>
      </c>
      <c r="E6884" s="161" t="s">
        <v>8112</v>
      </c>
      <c r="F6884" s="163" t="s">
        <v>3093</v>
      </c>
      <c r="G6884" s="163">
        <v>0</v>
      </c>
      <c r="H6884" s="161" t="s">
        <v>7138</v>
      </c>
      <c r="I6884" s="161"/>
    </row>
    <row r="6885" spans="1:9">
      <c r="A6885" s="161">
        <v>910300058</v>
      </c>
      <c r="B6885" s="161" t="s">
        <v>2430</v>
      </c>
      <c r="C6885" s="161">
        <v>90301001</v>
      </c>
      <c r="D6885" s="161" t="s">
        <v>8127</v>
      </c>
      <c r="E6885" s="161" t="s">
        <v>102</v>
      </c>
      <c r="F6885" s="163" t="s">
        <v>3093</v>
      </c>
      <c r="G6885" s="163">
        <v>0.05</v>
      </c>
      <c r="H6885" s="161" t="s">
        <v>7138</v>
      </c>
      <c r="I6885" s="161"/>
    </row>
    <row r="6886" spans="1:9">
      <c r="A6886" s="161">
        <v>910300059</v>
      </c>
      <c r="B6886" s="161" t="s">
        <v>7715</v>
      </c>
      <c r="C6886" s="161">
        <v>90307000</v>
      </c>
      <c r="D6886" s="161" t="s">
        <v>8127</v>
      </c>
      <c r="E6886" s="161" t="s">
        <v>102</v>
      </c>
      <c r="F6886" s="163" t="s">
        <v>3093</v>
      </c>
      <c r="G6886" s="163">
        <v>0.02</v>
      </c>
      <c r="H6886" s="161" t="s">
        <v>7138</v>
      </c>
      <c r="I6886" s="161"/>
    </row>
    <row r="6887" spans="1:9">
      <c r="A6887" s="161">
        <v>910300060</v>
      </c>
      <c r="B6887" s="161" t="s">
        <v>7716</v>
      </c>
      <c r="C6887" s="161">
        <v>90202111</v>
      </c>
      <c r="D6887" s="161" t="s">
        <v>3093</v>
      </c>
      <c r="E6887" s="161" t="s">
        <v>8120</v>
      </c>
      <c r="F6887" s="163" t="s">
        <v>3093</v>
      </c>
      <c r="G6887" s="163">
        <v>3.05</v>
      </c>
      <c r="H6887" s="161" t="s">
        <v>7138</v>
      </c>
      <c r="I6887" s="161"/>
    </row>
    <row r="6888" spans="1:9">
      <c r="A6888" s="161">
        <v>910300061</v>
      </c>
      <c r="B6888" s="161" t="s">
        <v>7717</v>
      </c>
      <c r="C6888" s="161">
        <v>90202128</v>
      </c>
      <c r="D6888" s="161" t="s">
        <v>3093</v>
      </c>
      <c r="E6888" s="161" t="s">
        <v>8120</v>
      </c>
      <c r="F6888" s="163" t="s">
        <v>3093</v>
      </c>
      <c r="G6888" s="163">
        <v>5.28</v>
      </c>
      <c r="H6888" s="161" t="s">
        <v>7138</v>
      </c>
      <c r="I6888" s="161"/>
    </row>
    <row r="6889" spans="1:9">
      <c r="A6889" s="161">
        <v>910300062</v>
      </c>
      <c r="B6889" s="161" t="s">
        <v>2399</v>
      </c>
      <c r="C6889" s="161">
        <v>90202109</v>
      </c>
      <c r="D6889" s="161" t="s">
        <v>3093</v>
      </c>
      <c r="E6889" s="161" t="s">
        <v>1620</v>
      </c>
      <c r="F6889" s="163" t="s">
        <v>3093</v>
      </c>
      <c r="G6889" s="163">
        <v>0.2</v>
      </c>
      <c r="H6889" s="161" t="s">
        <v>7138</v>
      </c>
      <c r="I6889" s="161"/>
    </row>
    <row r="6890" spans="1:9">
      <c r="A6890" s="161">
        <v>910300063</v>
      </c>
      <c r="B6890" s="161" t="s">
        <v>7718</v>
      </c>
      <c r="C6890" s="161">
        <v>90301007</v>
      </c>
      <c r="D6890" s="161" t="s">
        <v>3093</v>
      </c>
      <c r="E6890" s="161" t="s">
        <v>102</v>
      </c>
      <c r="F6890" s="163" t="s">
        <v>3093</v>
      </c>
      <c r="G6890" s="163">
        <v>7.0000000000000007E-2</v>
      </c>
      <c r="H6890" s="161" t="s">
        <v>7138</v>
      </c>
      <c r="I6890" s="161"/>
    </row>
    <row r="6891" spans="1:9">
      <c r="A6891" s="161">
        <v>910300064</v>
      </c>
      <c r="B6891" s="161" t="s">
        <v>7719</v>
      </c>
      <c r="C6891" s="161">
        <v>90304048</v>
      </c>
      <c r="D6891" s="161" t="s">
        <v>3093</v>
      </c>
      <c r="E6891" s="161" t="s">
        <v>102</v>
      </c>
      <c r="F6891" s="163" t="s">
        <v>3093</v>
      </c>
      <c r="G6891" s="163">
        <v>0</v>
      </c>
      <c r="H6891" s="161" t="s">
        <v>7138</v>
      </c>
      <c r="I6891" s="161"/>
    </row>
    <row r="6892" spans="1:9">
      <c r="A6892" s="161">
        <v>910300065</v>
      </c>
      <c r="B6892" s="161" t="s">
        <v>7720</v>
      </c>
      <c r="C6892" s="161">
        <v>90304037</v>
      </c>
      <c r="D6892" s="161" t="s">
        <v>3093</v>
      </c>
      <c r="E6892" s="161" t="s">
        <v>102</v>
      </c>
      <c r="F6892" s="163" t="s">
        <v>3093</v>
      </c>
      <c r="G6892" s="163">
        <v>0</v>
      </c>
      <c r="H6892" s="161" t="s">
        <v>7138</v>
      </c>
      <c r="I6892" s="161"/>
    </row>
    <row r="6893" spans="1:9">
      <c r="A6893" s="161">
        <v>910300066</v>
      </c>
      <c r="B6893" s="161" t="s">
        <v>7721</v>
      </c>
      <c r="C6893" s="161">
        <v>90304036</v>
      </c>
      <c r="D6893" s="161" t="s">
        <v>3093</v>
      </c>
      <c r="E6893" s="161" t="s">
        <v>102</v>
      </c>
      <c r="F6893" s="163" t="s">
        <v>3093</v>
      </c>
      <c r="G6893" s="163">
        <v>0</v>
      </c>
      <c r="H6893" s="161" t="s">
        <v>7138</v>
      </c>
      <c r="I6893" s="161"/>
    </row>
    <row r="6894" spans="1:9">
      <c r="A6894" s="161">
        <v>910300067</v>
      </c>
      <c r="B6894" s="161" t="s">
        <v>7722</v>
      </c>
      <c r="C6894" s="161">
        <v>90304038</v>
      </c>
      <c r="D6894" s="161" t="s">
        <v>3093</v>
      </c>
      <c r="E6894" s="161" t="s">
        <v>102</v>
      </c>
      <c r="F6894" s="163" t="s">
        <v>3093</v>
      </c>
      <c r="G6894" s="163">
        <v>0</v>
      </c>
      <c r="H6894" s="161" t="s">
        <v>7138</v>
      </c>
      <c r="I6894" s="161"/>
    </row>
    <row r="6895" spans="1:9">
      <c r="A6895" s="161">
        <v>910300068</v>
      </c>
      <c r="B6895" s="161" t="s">
        <v>7723</v>
      </c>
      <c r="C6895" s="161">
        <v>90304041</v>
      </c>
      <c r="D6895" s="161" t="s">
        <v>3093</v>
      </c>
      <c r="E6895" s="161" t="s">
        <v>102</v>
      </c>
      <c r="F6895" s="163" t="s">
        <v>3093</v>
      </c>
      <c r="G6895" s="163">
        <v>0</v>
      </c>
      <c r="H6895" s="161" t="s">
        <v>7138</v>
      </c>
      <c r="I6895" s="161"/>
    </row>
    <row r="6896" spans="1:9">
      <c r="A6896" s="161">
        <v>910300069</v>
      </c>
      <c r="B6896" s="161" t="s">
        <v>7724</v>
      </c>
      <c r="C6896" s="161">
        <v>90304049</v>
      </c>
      <c r="D6896" s="161" t="s">
        <v>3093</v>
      </c>
      <c r="E6896" s="161" t="s">
        <v>102</v>
      </c>
      <c r="F6896" s="163" t="s">
        <v>3093</v>
      </c>
      <c r="G6896" s="163">
        <v>0</v>
      </c>
      <c r="H6896" s="161" t="s">
        <v>7138</v>
      </c>
      <c r="I6896" s="161"/>
    </row>
    <row r="6897" spans="1:9">
      <c r="A6897" s="161">
        <v>910300070</v>
      </c>
      <c r="B6897" s="161" t="s">
        <v>2431</v>
      </c>
      <c r="C6897" s="161">
        <v>90301000</v>
      </c>
      <c r="D6897" s="161" t="s">
        <v>3093</v>
      </c>
      <c r="E6897" s="161" t="s">
        <v>8121</v>
      </c>
      <c r="F6897" s="163" t="s">
        <v>3093</v>
      </c>
      <c r="G6897" s="163">
        <v>1.72</v>
      </c>
      <c r="H6897" s="161" t="s">
        <v>7138</v>
      </c>
      <c r="I6897" s="161"/>
    </row>
    <row r="6898" spans="1:9">
      <c r="A6898" s="161">
        <v>910300071</v>
      </c>
      <c r="B6898" s="161" t="s">
        <v>7725</v>
      </c>
      <c r="C6898" s="161">
        <v>90301008</v>
      </c>
      <c r="D6898" s="161" t="s">
        <v>8127</v>
      </c>
      <c r="E6898" s="161" t="s">
        <v>102</v>
      </c>
      <c r="F6898" s="163" t="s">
        <v>3093</v>
      </c>
      <c r="G6898" s="163">
        <v>0.04</v>
      </c>
      <c r="H6898" s="161" t="s">
        <v>7138</v>
      </c>
      <c r="I6898" s="161"/>
    </row>
    <row r="6899" spans="1:9">
      <c r="A6899" s="161">
        <v>910300072</v>
      </c>
      <c r="B6899" s="161" t="s">
        <v>7726</v>
      </c>
      <c r="C6899" s="161">
        <v>90301005</v>
      </c>
      <c r="D6899" s="161" t="s">
        <v>3093</v>
      </c>
      <c r="E6899" s="161" t="s">
        <v>102</v>
      </c>
      <c r="F6899" s="163" t="s">
        <v>3093</v>
      </c>
      <c r="G6899" s="163">
        <v>0.06</v>
      </c>
      <c r="H6899" s="161" t="s">
        <v>7138</v>
      </c>
      <c r="I6899" s="161"/>
    </row>
    <row r="6900" spans="1:9">
      <c r="A6900" s="161">
        <v>910300073</v>
      </c>
      <c r="B6900" s="161" t="s">
        <v>7727</v>
      </c>
      <c r="C6900" s="161">
        <v>90301004</v>
      </c>
      <c r="D6900" s="161" t="s">
        <v>8127</v>
      </c>
      <c r="E6900" s="161" t="s">
        <v>102</v>
      </c>
      <c r="F6900" s="163" t="s">
        <v>3093</v>
      </c>
      <c r="G6900" s="163">
        <v>0.04</v>
      </c>
      <c r="H6900" s="161" t="s">
        <v>7138</v>
      </c>
      <c r="I6900" s="161"/>
    </row>
    <row r="6901" spans="1:9">
      <c r="A6901" s="161">
        <v>910300074</v>
      </c>
      <c r="B6901" s="161" t="s">
        <v>7728</v>
      </c>
      <c r="C6901" s="161">
        <v>90301009</v>
      </c>
      <c r="D6901" s="161" t="s">
        <v>3093</v>
      </c>
      <c r="E6901" s="161" t="s">
        <v>102</v>
      </c>
      <c r="F6901" s="163" t="s">
        <v>3093</v>
      </c>
      <c r="G6901" s="163">
        <v>0</v>
      </c>
      <c r="H6901" s="161" t="s">
        <v>7138</v>
      </c>
      <c r="I6901" s="161"/>
    </row>
    <row r="6902" spans="1:9">
      <c r="A6902" s="161">
        <v>910300075</v>
      </c>
      <c r="B6902" s="161" t="s">
        <v>2432</v>
      </c>
      <c r="C6902" s="161">
        <v>90301003</v>
      </c>
      <c r="D6902" s="161" t="s">
        <v>8127</v>
      </c>
      <c r="E6902" s="161" t="s">
        <v>102</v>
      </c>
      <c r="F6902" s="163" t="s">
        <v>3093</v>
      </c>
      <c r="G6902" s="163">
        <v>0.03</v>
      </c>
      <c r="H6902" s="161" t="s">
        <v>7138</v>
      </c>
      <c r="I6902" s="161"/>
    </row>
    <row r="6903" spans="1:9">
      <c r="A6903" s="161">
        <v>910300076</v>
      </c>
      <c r="B6903" s="161" t="s">
        <v>7729</v>
      </c>
      <c r="C6903" s="161">
        <v>90301019</v>
      </c>
      <c r="D6903" s="161" t="s">
        <v>3093</v>
      </c>
      <c r="E6903" s="161" t="s">
        <v>102</v>
      </c>
      <c r="F6903" s="163" t="s">
        <v>3093</v>
      </c>
      <c r="G6903" s="163">
        <v>0.2</v>
      </c>
      <c r="H6903" s="161" t="s">
        <v>7138</v>
      </c>
      <c r="I6903" s="161"/>
    </row>
    <row r="6904" spans="1:9">
      <c r="A6904" s="161">
        <v>910300077</v>
      </c>
      <c r="B6904" s="161" t="s">
        <v>2433</v>
      </c>
      <c r="C6904" s="161">
        <v>90301011</v>
      </c>
      <c r="D6904" s="161" t="s">
        <v>3093</v>
      </c>
      <c r="E6904" s="161" t="s">
        <v>102</v>
      </c>
      <c r="F6904" s="163" t="s">
        <v>3093</v>
      </c>
      <c r="G6904" s="163">
        <v>0.02</v>
      </c>
      <c r="H6904" s="161" t="s">
        <v>7138</v>
      </c>
      <c r="I6904" s="161"/>
    </row>
    <row r="6905" spans="1:9">
      <c r="A6905" s="161">
        <v>910300078</v>
      </c>
      <c r="B6905" s="161" t="s">
        <v>7730</v>
      </c>
      <c r="C6905" s="161">
        <v>90304039</v>
      </c>
      <c r="D6905" s="161" t="s">
        <v>8127</v>
      </c>
      <c r="E6905" s="161" t="s">
        <v>102</v>
      </c>
      <c r="F6905" s="163" t="s">
        <v>3093</v>
      </c>
      <c r="G6905" s="163">
        <v>0</v>
      </c>
      <c r="H6905" s="161" t="s">
        <v>7138</v>
      </c>
      <c r="I6905" s="161"/>
    </row>
    <row r="6906" spans="1:9">
      <c r="A6906" s="161">
        <v>910300079</v>
      </c>
      <c r="B6906" s="161" t="s">
        <v>7731</v>
      </c>
      <c r="C6906" s="161">
        <v>90304046</v>
      </c>
      <c r="D6906" s="161" t="s">
        <v>8127</v>
      </c>
      <c r="E6906" s="161" t="s">
        <v>102</v>
      </c>
      <c r="F6906" s="163" t="s">
        <v>3093</v>
      </c>
      <c r="G6906" s="163">
        <v>0</v>
      </c>
      <c r="H6906" s="161" t="s">
        <v>7138</v>
      </c>
      <c r="I6906" s="161"/>
    </row>
    <row r="6907" spans="1:9">
      <c r="A6907" s="161">
        <v>910300080</v>
      </c>
      <c r="B6907" s="161" t="s">
        <v>7732</v>
      </c>
      <c r="C6907" s="161">
        <v>90304047</v>
      </c>
      <c r="D6907" s="161" t="s">
        <v>8127</v>
      </c>
      <c r="E6907" s="161" t="s">
        <v>102</v>
      </c>
      <c r="F6907" s="163" t="s">
        <v>3093</v>
      </c>
      <c r="G6907" s="163">
        <v>0.03</v>
      </c>
      <c r="H6907" s="161" t="s">
        <v>7138</v>
      </c>
      <c r="I6907" s="161"/>
    </row>
    <row r="6908" spans="1:9">
      <c r="A6908" s="161">
        <v>910300081</v>
      </c>
      <c r="B6908" s="161" t="s">
        <v>7733</v>
      </c>
      <c r="C6908" s="161">
        <v>90305082</v>
      </c>
      <c r="D6908" s="161" t="s">
        <v>3093</v>
      </c>
      <c r="E6908" s="161" t="s">
        <v>102</v>
      </c>
      <c r="F6908" s="163" t="s">
        <v>3093</v>
      </c>
      <c r="G6908" s="163">
        <v>0</v>
      </c>
      <c r="H6908" s="161" t="s">
        <v>7138</v>
      </c>
      <c r="I6908" s="161"/>
    </row>
    <row r="6909" spans="1:9">
      <c r="A6909" s="161">
        <v>910300082</v>
      </c>
      <c r="B6909" s="161" t="s">
        <v>7734</v>
      </c>
      <c r="C6909" s="161">
        <v>90303024</v>
      </c>
      <c r="D6909" s="161" t="s">
        <v>3093</v>
      </c>
      <c r="E6909" s="161" t="s">
        <v>102</v>
      </c>
      <c r="F6909" s="163" t="s">
        <v>3093</v>
      </c>
      <c r="G6909" s="163">
        <v>0</v>
      </c>
      <c r="H6909" s="161" t="s">
        <v>7138</v>
      </c>
      <c r="I6909" s="161"/>
    </row>
    <row r="6910" spans="1:9">
      <c r="A6910" s="161">
        <v>910399001</v>
      </c>
      <c r="B6910" s="161" t="s">
        <v>2670</v>
      </c>
      <c r="C6910" s="161">
        <v>90305000</v>
      </c>
      <c r="D6910" s="161" t="s">
        <v>3093</v>
      </c>
      <c r="E6910" s="161" t="s">
        <v>102</v>
      </c>
      <c r="F6910" s="163" t="s">
        <v>3093</v>
      </c>
      <c r="G6910" s="163">
        <v>0</v>
      </c>
      <c r="H6910" s="161" t="s">
        <v>7138</v>
      </c>
      <c r="I6910" s="161"/>
    </row>
    <row r="6911" spans="1:9">
      <c r="A6911" s="161">
        <v>910400001</v>
      </c>
      <c r="B6911" s="161" t="s">
        <v>2632</v>
      </c>
      <c r="C6911" s="161">
        <v>90112000</v>
      </c>
      <c r="D6911" s="161" t="s">
        <v>3093</v>
      </c>
      <c r="E6911" s="161" t="s">
        <v>102</v>
      </c>
      <c r="F6911" s="163" t="s">
        <v>3093</v>
      </c>
      <c r="G6911" s="163">
        <v>0</v>
      </c>
      <c r="H6911" s="161" t="s">
        <v>7138</v>
      </c>
      <c r="I6911" s="161"/>
    </row>
    <row r="6912" spans="1:9">
      <c r="A6912" s="161">
        <v>910400002</v>
      </c>
      <c r="B6912" s="161" t="s">
        <v>2633</v>
      </c>
      <c r="C6912" s="161">
        <v>90112001</v>
      </c>
      <c r="D6912" s="161" t="s">
        <v>3093</v>
      </c>
      <c r="E6912" s="161" t="s">
        <v>102</v>
      </c>
      <c r="F6912" s="163" t="s">
        <v>3093</v>
      </c>
      <c r="G6912" s="163">
        <v>0</v>
      </c>
      <c r="H6912" s="161" t="s">
        <v>7138</v>
      </c>
      <c r="I6912" s="161"/>
    </row>
    <row r="6913" spans="1:9">
      <c r="A6913" s="161">
        <v>910400003</v>
      </c>
      <c r="B6913" s="161" t="s">
        <v>2634</v>
      </c>
      <c r="C6913" s="161">
        <v>90112002</v>
      </c>
      <c r="D6913" s="161" t="s">
        <v>3093</v>
      </c>
      <c r="E6913" s="161" t="s">
        <v>102</v>
      </c>
      <c r="F6913" s="163" t="s">
        <v>3093</v>
      </c>
      <c r="G6913" s="163">
        <v>0</v>
      </c>
      <c r="H6913" s="161" t="s">
        <v>7138</v>
      </c>
      <c r="I6913" s="161"/>
    </row>
    <row r="6914" spans="1:9">
      <c r="A6914" s="161">
        <v>910400004</v>
      </c>
      <c r="B6914" s="161" t="s">
        <v>2635</v>
      </c>
      <c r="C6914" s="161">
        <v>90112003</v>
      </c>
      <c r="D6914" s="161" t="s">
        <v>3093</v>
      </c>
      <c r="E6914" s="161" t="s">
        <v>102</v>
      </c>
      <c r="F6914" s="163" t="s">
        <v>3093</v>
      </c>
      <c r="G6914" s="163">
        <v>6.96</v>
      </c>
      <c r="H6914" s="161" t="s">
        <v>7138</v>
      </c>
      <c r="I6914" s="161"/>
    </row>
    <row r="6915" spans="1:9">
      <c r="A6915" s="161">
        <v>910400005</v>
      </c>
      <c r="B6915" s="161" t="s">
        <v>2636</v>
      </c>
      <c r="C6915" s="161">
        <v>90112004</v>
      </c>
      <c r="D6915" s="161" t="s">
        <v>3093</v>
      </c>
      <c r="E6915" s="161" t="s">
        <v>102</v>
      </c>
      <c r="F6915" s="163" t="s">
        <v>3093</v>
      </c>
      <c r="G6915" s="163">
        <v>0</v>
      </c>
      <c r="H6915" s="161" t="s">
        <v>7138</v>
      </c>
      <c r="I6915" s="161"/>
    </row>
    <row r="6916" spans="1:9">
      <c r="A6916" s="161">
        <v>910400006</v>
      </c>
      <c r="B6916" s="161" t="s">
        <v>2637</v>
      </c>
      <c r="C6916" s="161">
        <v>90112005</v>
      </c>
      <c r="D6916" s="161" t="s">
        <v>3093</v>
      </c>
      <c r="E6916" s="161" t="s">
        <v>102</v>
      </c>
      <c r="F6916" s="163" t="s">
        <v>3093</v>
      </c>
      <c r="G6916" s="163">
        <v>0</v>
      </c>
      <c r="H6916" s="161" t="s">
        <v>7138</v>
      </c>
      <c r="I6916" s="161"/>
    </row>
    <row r="6917" spans="1:9">
      <c r="A6917" s="161">
        <v>910400007</v>
      </c>
      <c r="B6917" s="161" t="s">
        <v>2638</v>
      </c>
      <c r="C6917" s="161">
        <v>90112006</v>
      </c>
      <c r="D6917" s="161" t="s">
        <v>3093</v>
      </c>
      <c r="E6917" s="161" t="s">
        <v>102</v>
      </c>
      <c r="F6917" s="163" t="s">
        <v>3093</v>
      </c>
      <c r="G6917" s="163">
        <v>0</v>
      </c>
      <c r="H6917" s="161" t="s">
        <v>7138</v>
      </c>
      <c r="I6917" s="161"/>
    </row>
    <row r="6918" spans="1:9">
      <c r="A6918" s="161">
        <v>910400008</v>
      </c>
      <c r="B6918" s="161" t="s">
        <v>7735</v>
      </c>
      <c r="C6918" s="161">
        <v>90102023</v>
      </c>
      <c r="D6918" s="161" t="s">
        <v>3093</v>
      </c>
      <c r="E6918" s="161" t="s">
        <v>102</v>
      </c>
      <c r="F6918" s="163" t="s">
        <v>3093</v>
      </c>
      <c r="G6918" s="163">
        <v>0.14000000000000001</v>
      </c>
      <c r="H6918" s="161" t="s">
        <v>7138</v>
      </c>
      <c r="I6918" s="161"/>
    </row>
    <row r="6919" spans="1:9">
      <c r="A6919" s="161">
        <v>910400009</v>
      </c>
      <c r="B6919" s="161" t="s">
        <v>7736</v>
      </c>
      <c r="C6919" s="161">
        <v>90102001</v>
      </c>
      <c r="D6919" s="161" t="s">
        <v>3093</v>
      </c>
      <c r="E6919" s="161" t="s">
        <v>102</v>
      </c>
      <c r="F6919" s="163" t="s">
        <v>3093</v>
      </c>
      <c r="G6919" s="163">
        <v>0.15</v>
      </c>
      <c r="H6919" s="161" t="s">
        <v>7138</v>
      </c>
      <c r="I6919" s="161"/>
    </row>
    <row r="6920" spans="1:9">
      <c r="A6920" s="161">
        <v>910400010</v>
      </c>
      <c r="B6920" s="161" t="s">
        <v>7737</v>
      </c>
      <c r="C6920" s="161">
        <v>90102029</v>
      </c>
      <c r="D6920" s="161" t="s">
        <v>3093</v>
      </c>
      <c r="E6920" s="161" t="s">
        <v>102</v>
      </c>
      <c r="F6920" s="163" t="s">
        <v>3093</v>
      </c>
      <c r="G6920" s="163">
        <v>0.11</v>
      </c>
      <c r="H6920" s="161" t="s">
        <v>7138</v>
      </c>
      <c r="I6920" s="161"/>
    </row>
    <row r="6921" spans="1:9">
      <c r="A6921" s="161">
        <v>910400011</v>
      </c>
      <c r="B6921" s="161" t="s">
        <v>7738</v>
      </c>
      <c r="C6921" s="161">
        <v>90102002</v>
      </c>
      <c r="D6921" s="161" t="s">
        <v>3093</v>
      </c>
      <c r="E6921" s="161" t="s">
        <v>102</v>
      </c>
      <c r="F6921" s="163" t="s">
        <v>3093</v>
      </c>
      <c r="G6921" s="163">
        <v>0.15</v>
      </c>
      <c r="H6921" s="161" t="s">
        <v>7138</v>
      </c>
      <c r="I6921" s="161"/>
    </row>
    <row r="6922" spans="1:9">
      <c r="A6922" s="161">
        <v>910400012</v>
      </c>
      <c r="B6922" s="161" t="s">
        <v>7739</v>
      </c>
      <c r="C6922" s="161">
        <v>90102004</v>
      </c>
      <c r="D6922" s="161" t="s">
        <v>3093</v>
      </c>
      <c r="E6922" s="161" t="s">
        <v>102</v>
      </c>
      <c r="F6922" s="163" t="s">
        <v>3093</v>
      </c>
      <c r="G6922" s="163">
        <v>0.11</v>
      </c>
      <c r="H6922" s="161" t="s">
        <v>7138</v>
      </c>
      <c r="I6922" s="161"/>
    </row>
    <row r="6923" spans="1:9">
      <c r="A6923" s="161">
        <v>910400013</v>
      </c>
      <c r="B6923" s="161" t="s">
        <v>7740</v>
      </c>
      <c r="C6923" s="161">
        <v>90304019</v>
      </c>
      <c r="D6923" s="161" t="s">
        <v>3093</v>
      </c>
      <c r="E6923" s="161" t="s">
        <v>8112</v>
      </c>
      <c r="F6923" s="163" t="s">
        <v>3093</v>
      </c>
      <c r="G6923" s="163">
        <v>0.39500000000000002</v>
      </c>
      <c r="H6923" s="161" t="s">
        <v>7138</v>
      </c>
      <c r="I6923" s="161"/>
    </row>
    <row r="6924" spans="1:9">
      <c r="A6924" s="161">
        <v>910400014</v>
      </c>
      <c r="B6924" s="161" t="s">
        <v>7741</v>
      </c>
      <c r="C6924" s="161">
        <v>90304025</v>
      </c>
      <c r="D6924" s="161" t="s">
        <v>3093</v>
      </c>
      <c r="E6924" s="161" t="s">
        <v>102</v>
      </c>
      <c r="F6924" s="163" t="s">
        <v>3093</v>
      </c>
      <c r="G6924" s="163">
        <v>1.58</v>
      </c>
      <c r="H6924" s="161" t="s">
        <v>7138</v>
      </c>
      <c r="I6924" s="161"/>
    </row>
    <row r="6925" spans="1:9">
      <c r="A6925" s="161">
        <v>910400015</v>
      </c>
      <c r="B6925" s="161" t="s">
        <v>7742</v>
      </c>
      <c r="C6925" s="161">
        <v>90304051</v>
      </c>
      <c r="D6925" s="161" t="s">
        <v>3093</v>
      </c>
      <c r="E6925" s="161" t="s">
        <v>8112</v>
      </c>
      <c r="F6925" s="163" t="s">
        <v>3093</v>
      </c>
      <c r="G6925" s="163">
        <v>0.5</v>
      </c>
      <c r="H6925" s="161" t="s">
        <v>7138</v>
      </c>
      <c r="I6925" s="161"/>
    </row>
    <row r="6926" spans="1:9">
      <c r="A6926" s="161">
        <v>910400016</v>
      </c>
      <c r="B6926" s="161" t="s">
        <v>7743</v>
      </c>
      <c r="C6926" s="161">
        <v>90304001</v>
      </c>
      <c r="D6926" s="161" t="s">
        <v>3093</v>
      </c>
      <c r="E6926" s="161" t="s">
        <v>102</v>
      </c>
      <c r="F6926" s="163" t="s">
        <v>3093</v>
      </c>
      <c r="G6926" s="163">
        <v>0.03</v>
      </c>
      <c r="H6926" s="161" t="s">
        <v>7138</v>
      </c>
      <c r="I6926" s="161"/>
    </row>
    <row r="6927" spans="1:9">
      <c r="A6927" s="161">
        <v>910400017</v>
      </c>
      <c r="B6927" s="161" t="s">
        <v>7744</v>
      </c>
      <c r="C6927" s="161">
        <v>90304000</v>
      </c>
      <c r="D6927" s="161" t="s">
        <v>3093</v>
      </c>
      <c r="E6927" s="161" t="s">
        <v>102</v>
      </c>
      <c r="F6927" s="163" t="s">
        <v>3093</v>
      </c>
      <c r="G6927" s="163">
        <v>0.05</v>
      </c>
      <c r="H6927" s="161" t="s">
        <v>7138</v>
      </c>
      <c r="I6927" s="161"/>
    </row>
    <row r="6928" spans="1:9">
      <c r="A6928" s="161">
        <v>910400018</v>
      </c>
      <c r="B6928" s="161" t="s">
        <v>7745</v>
      </c>
      <c r="C6928" s="161">
        <v>90304002</v>
      </c>
      <c r="D6928" s="161" t="s">
        <v>3093</v>
      </c>
      <c r="E6928" s="161" t="s">
        <v>102</v>
      </c>
      <c r="F6928" s="163" t="s">
        <v>3093</v>
      </c>
      <c r="G6928" s="163">
        <v>0.02</v>
      </c>
      <c r="H6928" s="161" t="s">
        <v>7138</v>
      </c>
      <c r="I6928" s="161"/>
    </row>
    <row r="6929" spans="1:9">
      <c r="A6929" s="161">
        <v>910400019</v>
      </c>
      <c r="B6929" s="161" t="s">
        <v>7746</v>
      </c>
      <c r="C6929" s="161">
        <v>90104020</v>
      </c>
      <c r="D6929" s="161" t="s">
        <v>3093</v>
      </c>
      <c r="E6929" s="161" t="s">
        <v>102</v>
      </c>
      <c r="F6929" s="163" t="s">
        <v>3093</v>
      </c>
      <c r="G6929" s="163">
        <v>0</v>
      </c>
      <c r="H6929" s="161" t="s">
        <v>7138</v>
      </c>
      <c r="I6929" s="161"/>
    </row>
    <row r="6930" spans="1:9">
      <c r="A6930" s="161">
        <v>910400020</v>
      </c>
      <c r="B6930" s="161" t="s">
        <v>7747</v>
      </c>
      <c r="C6930" s="161">
        <v>90102057</v>
      </c>
      <c r="D6930" s="161" t="s">
        <v>3093</v>
      </c>
      <c r="E6930" s="161" t="s">
        <v>102</v>
      </c>
      <c r="F6930" s="163" t="s">
        <v>3093</v>
      </c>
      <c r="G6930" s="163">
        <v>0</v>
      </c>
      <c r="H6930" s="161" t="s">
        <v>7138</v>
      </c>
      <c r="I6930" s="161"/>
    </row>
    <row r="6931" spans="1:9">
      <c r="A6931" s="161">
        <v>910400021</v>
      </c>
      <c r="B6931" s="161" t="s">
        <v>7748</v>
      </c>
      <c r="C6931" s="161">
        <v>90102053</v>
      </c>
      <c r="D6931" s="161" t="s">
        <v>3093</v>
      </c>
      <c r="E6931" s="161" t="s">
        <v>102</v>
      </c>
      <c r="F6931" s="163" t="s">
        <v>3093</v>
      </c>
      <c r="G6931" s="163">
        <v>0</v>
      </c>
      <c r="H6931" s="161" t="s">
        <v>7138</v>
      </c>
      <c r="I6931" s="161"/>
    </row>
    <row r="6932" spans="1:9">
      <c r="A6932" s="161">
        <v>910400022</v>
      </c>
      <c r="B6932" s="161" t="s">
        <v>1699</v>
      </c>
      <c r="C6932" s="161">
        <v>90105035</v>
      </c>
      <c r="D6932" s="161" t="s">
        <v>3093</v>
      </c>
      <c r="E6932" s="161" t="s">
        <v>102</v>
      </c>
      <c r="F6932" s="163" t="s">
        <v>3093</v>
      </c>
      <c r="G6932" s="163">
        <v>0.09</v>
      </c>
      <c r="H6932" s="161" t="s">
        <v>7138</v>
      </c>
      <c r="I6932" s="161"/>
    </row>
    <row r="6933" spans="1:9">
      <c r="A6933" s="161">
        <v>910400023</v>
      </c>
      <c r="B6933" s="161" t="s">
        <v>2356</v>
      </c>
      <c r="C6933" s="161">
        <v>90105057</v>
      </c>
      <c r="D6933" s="161" t="s">
        <v>3093</v>
      </c>
      <c r="E6933" s="161" t="s">
        <v>1620</v>
      </c>
      <c r="F6933" s="163" t="s">
        <v>3093</v>
      </c>
      <c r="G6933" s="163">
        <v>0.06</v>
      </c>
      <c r="H6933" s="161" t="s">
        <v>7138</v>
      </c>
      <c r="I6933" s="161"/>
    </row>
    <row r="6934" spans="1:9">
      <c r="A6934" s="161">
        <v>910400024</v>
      </c>
      <c r="B6934" s="161" t="s">
        <v>7749</v>
      </c>
      <c r="C6934" s="161">
        <v>90105036</v>
      </c>
      <c r="D6934" s="161" t="s">
        <v>3093</v>
      </c>
      <c r="E6934" s="161" t="s">
        <v>102</v>
      </c>
      <c r="F6934" s="163" t="s">
        <v>3093</v>
      </c>
      <c r="G6934" s="163">
        <v>0.05</v>
      </c>
      <c r="H6934" s="161" t="s">
        <v>7138</v>
      </c>
      <c r="I6934" s="161"/>
    </row>
    <row r="6935" spans="1:9">
      <c r="A6935" s="161">
        <v>910400025</v>
      </c>
      <c r="B6935" s="161" t="s">
        <v>1698</v>
      </c>
      <c r="C6935" s="161">
        <v>90102024</v>
      </c>
      <c r="D6935" s="161" t="s">
        <v>3093</v>
      </c>
      <c r="E6935" s="161" t="s">
        <v>102</v>
      </c>
      <c r="F6935" s="163" t="s">
        <v>3093</v>
      </c>
      <c r="G6935" s="163">
        <v>0.9</v>
      </c>
      <c r="H6935" s="161" t="s">
        <v>7138</v>
      </c>
      <c r="I6935" s="161"/>
    </row>
    <row r="6936" spans="1:9">
      <c r="A6936" s="161">
        <v>910400026</v>
      </c>
      <c r="B6936" s="161" t="s">
        <v>7750</v>
      </c>
      <c r="C6936" s="161">
        <v>90107001</v>
      </c>
      <c r="D6936" s="161" t="s">
        <v>3093</v>
      </c>
      <c r="E6936" s="161" t="s">
        <v>8122</v>
      </c>
      <c r="F6936" s="163" t="s">
        <v>3093</v>
      </c>
      <c r="G6936" s="163">
        <v>0.48</v>
      </c>
      <c r="H6936" s="161" t="s">
        <v>7138</v>
      </c>
      <c r="I6936" s="161"/>
    </row>
    <row r="6937" spans="1:9">
      <c r="A6937" s="161">
        <v>910400027</v>
      </c>
      <c r="B6937" s="161" t="s">
        <v>2594</v>
      </c>
      <c r="C6937" s="161">
        <v>90107051</v>
      </c>
      <c r="D6937" s="161" t="s">
        <v>3093</v>
      </c>
      <c r="E6937" s="161" t="s">
        <v>8115</v>
      </c>
      <c r="F6937" s="163" t="s">
        <v>3093</v>
      </c>
      <c r="G6937" s="163">
        <v>0.44</v>
      </c>
      <c r="H6937" s="161" t="s">
        <v>7138</v>
      </c>
      <c r="I6937" s="161"/>
    </row>
    <row r="6938" spans="1:9">
      <c r="A6938" s="161">
        <v>910400028</v>
      </c>
      <c r="B6938" s="161" t="s">
        <v>7751</v>
      </c>
      <c r="C6938" s="161">
        <v>90107002</v>
      </c>
      <c r="D6938" s="161" t="s">
        <v>3093</v>
      </c>
      <c r="E6938" s="161" t="s">
        <v>8115</v>
      </c>
      <c r="F6938" s="163" t="s">
        <v>3093</v>
      </c>
      <c r="G6938" s="163">
        <v>1.1200000000000001</v>
      </c>
      <c r="H6938" s="161" t="s">
        <v>7138</v>
      </c>
      <c r="I6938" s="161"/>
    </row>
    <row r="6939" spans="1:9">
      <c r="A6939" s="161">
        <v>910400029</v>
      </c>
      <c r="B6939" s="161" t="s">
        <v>7752</v>
      </c>
      <c r="C6939" s="161">
        <v>90107003</v>
      </c>
      <c r="D6939" s="161" t="s">
        <v>3093</v>
      </c>
      <c r="E6939" s="161" t="s">
        <v>8115</v>
      </c>
      <c r="F6939" s="163" t="s">
        <v>3093</v>
      </c>
      <c r="G6939" s="163">
        <v>1.1200000000000001</v>
      </c>
      <c r="H6939" s="161" t="s">
        <v>7138</v>
      </c>
      <c r="I6939" s="161"/>
    </row>
    <row r="6940" spans="1:9">
      <c r="A6940" s="161">
        <v>910400030</v>
      </c>
      <c r="B6940" s="161" t="s">
        <v>7753</v>
      </c>
      <c r="C6940" s="161">
        <v>90107004</v>
      </c>
      <c r="D6940" s="161" t="s">
        <v>3093</v>
      </c>
      <c r="E6940" s="161" t="s">
        <v>8115</v>
      </c>
      <c r="F6940" s="163" t="s">
        <v>3093</v>
      </c>
      <c r="G6940" s="163">
        <v>0.24</v>
      </c>
      <c r="H6940" s="161" t="s">
        <v>7138</v>
      </c>
      <c r="I6940" s="161"/>
    </row>
    <row r="6941" spans="1:9">
      <c r="A6941" s="161">
        <v>910400031</v>
      </c>
      <c r="B6941" s="161" t="s">
        <v>7754</v>
      </c>
      <c r="C6941" s="161">
        <v>90107005</v>
      </c>
      <c r="D6941" s="161" t="s">
        <v>3093</v>
      </c>
      <c r="E6941" s="161" t="s">
        <v>8115</v>
      </c>
      <c r="F6941" s="163" t="s">
        <v>3093</v>
      </c>
      <c r="G6941" s="163">
        <v>1.1200000000000001</v>
      </c>
      <c r="H6941" s="161" t="s">
        <v>7138</v>
      </c>
      <c r="I6941" s="161"/>
    </row>
    <row r="6942" spans="1:9">
      <c r="A6942" s="161">
        <v>910400032</v>
      </c>
      <c r="B6942" s="161" t="s">
        <v>7755</v>
      </c>
      <c r="C6942" s="161">
        <v>90107006</v>
      </c>
      <c r="D6942" s="161" t="s">
        <v>3093</v>
      </c>
      <c r="E6942" s="161" t="s">
        <v>8115</v>
      </c>
      <c r="F6942" s="163" t="s">
        <v>3093</v>
      </c>
      <c r="G6942" s="163">
        <v>0.42699999999999999</v>
      </c>
      <c r="H6942" s="161" t="s">
        <v>7138</v>
      </c>
      <c r="I6942" s="161"/>
    </row>
    <row r="6943" spans="1:9">
      <c r="A6943" s="161">
        <v>910400033</v>
      </c>
      <c r="B6943" s="161" t="s">
        <v>7756</v>
      </c>
      <c r="C6943" s="161">
        <v>90107009</v>
      </c>
      <c r="D6943" s="161" t="s">
        <v>3093</v>
      </c>
      <c r="E6943" s="161" t="s">
        <v>8115</v>
      </c>
      <c r="F6943" s="163" t="s">
        <v>3093</v>
      </c>
      <c r="G6943" s="163">
        <v>0.38</v>
      </c>
      <c r="H6943" s="161" t="s">
        <v>7138</v>
      </c>
      <c r="I6943" s="161"/>
    </row>
    <row r="6944" spans="1:9">
      <c r="A6944" s="161">
        <v>910400034</v>
      </c>
      <c r="B6944" s="161" t="s">
        <v>7757</v>
      </c>
      <c r="C6944" s="161">
        <v>90111037</v>
      </c>
      <c r="D6944" s="161" t="s">
        <v>3093</v>
      </c>
      <c r="E6944" s="161" t="s">
        <v>102</v>
      </c>
      <c r="F6944" s="163" t="s">
        <v>3093</v>
      </c>
      <c r="G6944" s="163">
        <v>0.02</v>
      </c>
      <c r="H6944" s="161" t="s">
        <v>7138</v>
      </c>
      <c r="I6944" s="161"/>
    </row>
    <row r="6945" spans="1:9">
      <c r="A6945" s="161">
        <v>910400035</v>
      </c>
      <c r="B6945" s="161" t="s">
        <v>7758</v>
      </c>
      <c r="C6945" s="161">
        <v>90112039</v>
      </c>
      <c r="D6945" s="161" t="s">
        <v>3093</v>
      </c>
      <c r="E6945" s="161" t="s">
        <v>102</v>
      </c>
      <c r="F6945" s="163" t="s">
        <v>3093</v>
      </c>
      <c r="G6945" s="163">
        <v>0</v>
      </c>
      <c r="H6945" s="161" t="s">
        <v>7138</v>
      </c>
      <c r="I6945" s="161"/>
    </row>
    <row r="6946" spans="1:9">
      <c r="A6946" s="161">
        <v>910400036</v>
      </c>
      <c r="B6946" s="161" t="s">
        <v>7759</v>
      </c>
      <c r="C6946" s="161">
        <v>90112034</v>
      </c>
      <c r="D6946" s="161" t="s">
        <v>3093</v>
      </c>
      <c r="E6946" s="161" t="s">
        <v>102</v>
      </c>
      <c r="F6946" s="163" t="s">
        <v>3093</v>
      </c>
      <c r="G6946" s="163">
        <v>0</v>
      </c>
      <c r="H6946" s="161" t="s">
        <v>7138</v>
      </c>
      <c r="I6946" s="161"/>
    </row>
    <row r="6947" spans="1:9">
      <c r="A6947" s="161">
        <v>910400037</v>
      </c>
      <c r="B6947" s="161" t="s">
        <v>7760</v>
      </c>
      <c r="C6947" s="161">
        <v>90112035</v>
      </c>
      <c r="D6947" s="161" t="s">
        <v>3093</v>
      </c>
      <c r="E6947" s="161" t="s">
        <v>102</v>
      </c>
      <c r="F6947" s="163" t="s">
        <v>3093</v>
      </c>
      <c r="G6947" s="163">
        <v>0</v>
      </c>
      <c r="H6947" s="161" t="s">
        <v>7138</v>
      </c>
      <c r="I6947" s="161"/>
    </row>
    <row r="6948" spans="1:9">
      <c r="A6948" s="161">
        <v>910400038</v>
      </c>
      <c r="B6948" s="161" t="s">
        <v>7761</v>
      </c>
      <c r="C6948" s="161">
        <v>90112040</v>
      </c>
      <c r="D6948" s="161" t="s">
        <v>3093</v>
      </c>
      <c r="E6948" s="161" t="s">
        <v>102</v>
      </c>
      <c r="F6948" s="163" t="s">
        <v>3093</v>
      </c>
      <c r="G6948" s="163">
        <v>0</v>
      </c>
      <c r="H6948" s="161" t="s">
        <v>7138</v>
      </c>
      <c r="I6948" s="161"/>
    </row>
    <row r="6949" spans="1:9">
      <c r="A6949" s="161">
        <v>910400039</v>
      </c>
      <c r="B6949" s="161" t="s">
        <v>7762</v>
      </c>
      <c r="C6949" s="161">
        <v>90102041</v>
      </c>
      <c r="D6949" s="161" t="s">
        <v>3093</v>
      </c>
      <c r="E6949" s="161" t="s">
        <v>102</v>
      </c>
      <c r="F6949" s="163" t="s">
        <v>3093</v>
      </c>
      <c r="G6949" s="163">
        <v>6.4999999999999997E-3</v>
      </c>
      <c r="H6949" s="161" t="s">
        <v>7138</v>
      </c>
      <c r="I6949" s="161"/>
    </row>
    <row r="6950" spans="1:9">
      <c r="A6950" s="161">
        <v>910400040</v>
      </c>
      <c r="B6950" s="161" t="s">
        <v>7763</v>
      </c>
      <c r="C6950" s="161">
        <v>90102027</v>
      </c>
      <c r="D6950" s="161" t="s">
        <v>3093</v>
      </c>
      <c r="E6950" s="161" t="s">
        <v>1778</v>
      </c>
      <c r="F6950" s="163" t="s">
        <v>3093</v>
      </c>
      <c r="G6950" s="163">
        <v>0.03</v>
      </c>
      <c r="H6950" s="161" t="s">
        <v>7138</v>
      </c>
      <c r="I6950" s="161"/>
    </row>
    <row r="6951" spans="1:9">
      <c r="A6951" s="161">
        <v>910400041</v>
      </c>
      <c r="B6951" s="161" t="s">
        <v>1681</v>
      </c>
      <c r="C6951" s="161">
        <v>90104007</v>
      </c>
      <c r="D6951" s="161" t="s">
        <v>3093</v>
      </c>
      <c r="E6951" s="161" t="s">
        <v>1778</v>
      </c>
      <c r="F6951" s="163" t="s">
        <v>3093</v>
      </c>
      <c r="G6951" s="163">
        <v>0.5</v>
      </c>
      <c r="H6951" s="161" t="s">
        <v>7138</v>
      </c>
      <c r="I6951" s="161"/>
    </row>
    <row r="6952" spans="1:9">
      <c r="A6952" s="161">
        <v>910400042</v>
      </c>
      <c r="B6952" s="161" t="s">
        <v>7764</v>
      </c>
      <c r="C6952" s="161">
        <v>90105044</v>
      </c>
      <c r="D6952" s="161" t="s">
        <v>3093</v>
      </c>
      <c r="E6952" s="161" t="s">
        <v>102</v>
      </c>
      <c r="F6952" s="163" t="s">
        <v>3093</v>
      </c>
      <c r="G6952" s="163">
        <v>0</v>
      </c>
      <c r="H6952" s="161" t="s">
        <v>7138</v>
      </c>
      <c r="I6952" s="161"/>
    </row>
    <row r="6953" spans="1:9">
      <c r="A6953" s="161">
        <v>910400043</v>
      </c>
      <c r="B6953" s="161" t="s">
        <v>7765</v>
      </c>
      <c r="C6953" s="161">
        <v>90112032</v>
      </c>
      <c r="D6953" s="161" t="s">
        <v>3093</v>
      </c>
      <c r="E6953" s="161" t="s">
        <v>102</v>
      </c>
      <c r="F6953" s="163" t="s">
        <v>3093</v>
      </c>
      <c r="G6953" s="163">
        <v>0</v>
      </c>
      <c r="H6953" s="161" t="s">
        <v>7138</v>
      </c>
      <c r="I6953" s="161"/>
    </row>
    <row r="6954" spans="1:9">
      <c r="A6954" s="161">
        <v>910400044</v>
      </c>
      <c r="B6954" s="161" t="s">
        <v>7766</v>
      </c>
      <c r="C6954" s="161">
        <v>90111018</v>
      </c>
      <c r="D6954" s="161" t="s">
        <v>3093</v>
      </c>
      <c r="E6954" s="161" t="s">
        <v>102</v>
      </c>
      <c r="F6954" s="163" t="s">
        <v>3093</v>
      </c>
      <c r="G6954" s="163">
        <v>0.20180000000000001</v>
      </c>
      <c r="H6954" s="161" t="s">
        <v>7138</v>
      </c>
      <c r="I6954" s="161"/>
    </row>
    <row r="6955" spans="1:9">
      <c r="A6955" s="161">
        <v>910400045</v>
      </c>
      <c r="B6955" s="161" t="s">
        <v>7767</v>
      </c>
      <c r="C6955" s="161">
        <v>90111019</v>
      </c>
      <c r="D6955" s="161" t="s">
        <v>3093</v>
      </c>
      <c r="E6955" s="161" t="s">
        <v>102</v>
      </c>
      <c r="F6955" s="163" t="s">
        <v>3093</v>
      </c>
      <c r="G6955" s="163">
        <v>1.1200000000000001</v>
      </c>
      <c r="H6955" s="161" t="s">
        <v>7138</v>
      </c>
      <c r="I6955" s="161"/>
    </row>
    <row r="6956" spans="1:9">
      <c r="A6956" s="161">
        <v>910400046</v>
      </c>
      <c r="B6956" s="161" t="s">
        <v>7768</v>
      </c>
      <c r="C6956" s="161">
        <v>90111020</v>
      </c>
      <c r="D6956" s="161" t="s">
        <v>3093</v>
      </c>
      <c r="E6956" s="161" t="s">
        <v>102</v>
      </c>
      <c r="F6956" s="163" t="s">
        <v>3093</v>
      </c>
      <c r="G6956" s="163">
        <v>0</v>
      </c>
      <c r="H6956" s="161" t="s">
        <v>7138</v>
      </c>
      <c r="I6956" s="161"/>
    </row>
    <row r="6957" spans="1:9">
      <c r="A6957" s="161">
        <v>910400047</v>
      </c>
      <c r="B6957" s="161" t="s">
        <v>7769</v>
      </c>
      <c r="C6957" s="161">
        <v>90111021</v>
      </c>
      <c r="D6957" s="161" t="s">
        <v>3093</v>
      </c>
      <c r="E6957" s="161" t="s">
        <v>102</v>
      </c>
      <c r="F6957" s="163" t="s">
        <v>3093</v>
      </c>
      <c r="G6957" s="163">
        <v>0</v>
      </c>
      <c r="H6957" s="161" t="s">
        <v>7138</v>
      </c>
      <c r="I6957" s="161"/>
    </row>
    <row r="6958" spans="1:9">
      <c r="A6958" s="161">
        <v>910400048</v>
      </c>
      <c r="B6958" s="161" t="s">
        <v>7770</v>
      </c>
      <c r="C6958" s="161">
        <v>90111023</v>
      </c>
      <c r="D6958" s="161" t="s">
        <v>3093</v>
      </c>
      <c r="E6958" s="161" t="s">
        <v>102</v>
      </c>
      <c r="F6958" s="163" t="s">
        <v>3093</v>
      </c>
      <c r="G6958" s="163">
        <v>0</v>
      </c>
      <c r="H6958" s="161" t="s">
        <v>7138</v>
      </c>
      <c r="I6958" s="161"/>
    </row>
    <row r="6959" spans="1:9">
      <c r="A6959" s="161">
        <v>910400049</v>
      </c>
      <c r="B6959" s="161" t="s">
        <v>7771</v>
      </c>
      <c r="C6959" s="161">
        <v>90111004</v>
      </c>
      <c r="D6959" s="161" t="s">
        <v>3093</v>
      </c>
      <c r="E6959" s="161" t="s">
        <v>102</v>
      </c>
      <c r="F6959" s="163" t="s">
        <v>3093</v>
      </c>
      <c r="G6959" s="163">
        <v>8.8999999999999999E-3</v>
      </c>
      <c r="H6959" s="161" t="s">
        <v>7138</v>
      </c>
      <c r="I6959" s="161"/>
    </row>
    <row r="6960" spans="1:9">
      <c r="A6960" s="161">
        <v>910400050</v>
      </c>
      <c r="B6960" s="161" t="s">
        <v>7772</v>
      </c>
      <c r="C6960" s="161">
        <v>90111007</v>
      </c>
      <c r="D6960" s="161" t="s">
        <v>3093</v>
      </c>
      <c r="E6960" s="161" t="s">
        <v>102</v>
      </c>
      <c r="F6960" s="163" t="s">
        <v>3093</v>
      </c>
      <c r="G6960" s="163">
        <v>0</v>
      </c>
      <c r="H6960" s="161" t="s">
        <v>7138</v>
      </c>
      <c r="I6960" s="161"/>
    </row>
    <row r="6961" spans="1:9">
      <c r="A6961" s="161">
        <v>910400051</v>
      </c>
      <c r="B6961" s="161" t="s">
        <v>7773</v>
      </c>
      <c r="C6961" s="161">
        <v>90111008</v>
      </c>
      <c r="D6961" s="161" t="s">
        <v>3093</v>
      </c>
      <c r="E6961" s="161" t="s">
        <v>102</v>
      </c>
      <c r="F6961" s="163" t="s">
        <v>3093</v>
      </c>
      <c r="G6961" s="163">
        <v>1.1200000000000001</v>
      </c>
      <c r="H6961" s="161" t="s">
        <v>7138</v>
      </c>
      <c r="I6961" s="161"/>
    </row>
    <row r="6962" spans="1:9">
      <c r="A6962" s="161">
        <v>910400052</v>
      </c>
      <c r="B6962" s="161" t="s">
        <v>7774</v>
      </c>
      <c r="C6962" s="161">
        <v>90111010</v>
      </c>
      <c r="D6962" s="161" t="s">
        <v>3093</v>
      </c>
      <c r="E6962" s="161" t="s">
        <v>102</v>
      </c>
      <c r="F6962" s="163" t="s">
        <v>3093</v>
      </c>
      <c r="G6962" s="163">
        <v>0</v>
      </c>
      <c r="H6962" s="161" t="s">
        <v>7138</v>
      </c>
      <c r="I6962" s="161"/>
    </row>
    <row r="6963" spans="1:9">
      <c r="A6963" s="161">
        <v>910400053</v>
      </c>
      <c r="B6963" s="161" t="s">
        <v>7775</v>
      </c>
      <c r="C6963" s="161">
        <v>90111011</v>
      </c>
      <c r="D6963" s="161" t="s">
        <v>3093</v>
      </c>
      <c r="E6963" s="161" t="s">
        <v>102</v>
      </c>
      <c r="F6963" s="163" t="s">
        <v>3093</v>
      </c>
      <c r="G6963" s="163">
        <v>0.03</v>
      </c>
      <c r="H6963" s="161" t="s">
        <v>7138</v>
      </c>
      <c r="I6963" s="161"/>
    </row>
    <row r="6964" spans="1:9">
      <c r="A6964" s="161">
        <v>910400054</v>
      </c>
      <c r="B6964" s="161" t="s">
        <v>7776</v>
      </c>
      <c r="C6964" s="161">
        <v>90111012</v>
      </c>
      <c r="D6964" s="161" t="s">
        <v>3093</v>
      </c>
      <c r="E6964" s="161" t="s">
        <v>102</v>
      </c>
      <c r="F6964" s="163" t="s">
        <v>3093</v>
      </c>
      <c r="G6964" s="163">
        <v>0</v>
      </c>
      <c r="H6964" s="161" t="s">
        <v>7138</v>
      </c>
      <c r="I6964" s="161"/>
    </row>
    <row r="6965" spans="1:9">
      <c r="A6965" s="161">
        <v>910400055</v>
      </c>
      <c r="B6965" s="161" t="s">
        <v>7777</v>
      </c>
      <c r="C6965" s="161">
        <v>90111014</v>
      </c>
      <c r="D6965" s="161" t="s">
        <v>3093</v>
      </c>
      <c r="E6965" s="161" t="s">
        <v>102</v>
      </c>
      <c r="F6965" s="163" t="s">
        <v>3093</v>
      </c>
      <c r="G6965" s="163">
        <v>57.69</v>
      </c>
      <c r="H6965" s="161" t="s">
        <v>7138</v>
      </c>
      <c r="I6965" s="161"/>
    </row>
    <row r="6966" spans="1:9">
      <c r="A6966" s="161">
        <v>910400056</v>
      </c>
      <c r="B6966" s="161" t="s">
        <v>7778</v>
      </c>
      <c r="C6966" s="161">
        <v>90111017</v>
      </c>
      <c r="D6966" s="161" t="s">
        <v>3093</v>
      </c>
      <c r="E6966" s="161" t="s">
        <v>102</v>
      </c>
      <c r="F6966" s="163" t="s">
        <v>3093</v>
      </c>
      <c r="G6966" s="163">
        <v>1.1200000000000001</v>
      </c>
      <c r="H6966" s="161" t="s">
        <v>7138</v>
      </c>
      <c r="I6966" s="161"/>
    </row>
    <row r="6967" spans="1:9">
      <c r="A6967" s="161">
        <v>910400057</v>
      </c>
      <c r="B6967" s="161" t="s">
        <v>7779</v>
      </c>
      <c r="C6967" s="161">
        <v>90111027</v>
      </c>
      <c r="D6967" s="161" t="s">
        <v>3093</v>
      </c>
      <c r="E6967" s="161" t="s">
        <v>102</v>
      </c>
      <c r="F6967" s="163" t="s">
        <v>3093</v>
      </c>
      <c r="G6967" s="163">
        <v>1.2999999999999999E-2</v>
      </c>
      <c r="H6967" s="161" t="s">
        <v>7138</v>
      </c>
      <c r="I6967" s="161"/>
    </row>
    <row r="6968" spans="1:9">
      <c r="A6968" s="161">
        <v>910400058</v>
      </c>
      <c r="B6968" s="161" t="s">
        <v>7780</v>
      </c>
      <c r="C6968" s="161">
        <v>90111026</v>
      </c>
      <c r="D6968" s="161" t="s">
        <v>3093</v>
      </c>
      <c r="E6968" s="161" t="s">
        <v>102</v>
      </c>
      <c r="F6968" s="163" t="s">
        <v>3093</v>
      </c>
      <c r="G6968" s="163">
        <v>0</v>
      </c>
      <c r="H6968" s="161" t="s">
        <v>7138</v>
      </c>
      <c r="I6968" s="161"/>
    </row>
    <row r="6969" spans="1:9">
      <c r="A6969" s="161">
        <v>910400059</v>
      </c>
      <c r="B6969" s="161" t="s">
        <v>7781</v>
      </c>
      <c r="C6969" s="161">
        <v>90111030</v>
      </c>
      <c r="D6969" s="161" t="s">
        <v>3093</v>
      </c>
      <c r="E6969" s="161" t="s">
        <v>102</v>
      </c>
      <c r="F6969" s="163" t="s">
        <v>3093</v>
      </c>
      <c r="G6969" s="163">
        <v>0.02</v>
      </c>
      <c r="H6969" s="161" t="s">
        <v>7138</v>
      </c>
      <c r="I6969" s="161"/>
    </row>
    <row r="6970" spans="1:9">
      <c r="A6970" s="161">
        <v>910400060</v>
      </c>
      <c r="B6970" s="161" t="s">
        <v>7782</v>
      </c>
      <c r="C6970" s="161">
        <v>90112038</v>
      </c>
      <c r="D6970" s="161" t="s">
        <v>3093</v>
      </c>
      <c r="E6970" s="161" t="s">
        <v>102</v>
      </c>
      <c r="F6970" s="163" t="s">
        <v>3093</v>
      </c>
      <c r="G6970" s="163">
        <v>0</v>
      </c>
      <c r="H6970" s="161" t="s">
        <v>7138</v>
      </c>
      <c r="I6970" s="161"/>
    </row>
    <row r="6971" spans="1:9">
      <c r="A6971" s="161">
        <v>910400061</v>
      </c>
      <c r="B6971" s="161" t="s">
        <v>7783</v>
      </c>
      <c r="C6971" s="161">
        <v>90112036</v>
      </c>
      <c r="D6971" s="161" t="s">
        <v>3093</v>
      </c>
      <c r="E6971" s="161" t="s">
        <v>102</v>
      </c>
      <c r="F6971" s="163" t="s">
        <v>3093</v>
      </c>
      <c r="G6971" s="163">
        <v>0</v>
      </c>
      <c r="H6971" s="161" t="s">
        <v>7138</v>
      </c>
      <c r="I6971" s="161"/>
    </row>
    <row r="6972" spans="1:9">
      <c r="A6972" s="161">
        <v>910400062</v>
      </c>
      <c r="B6972" s="161" t="s">
        <v>7784</v>
      </c>
      <c r="C6972" s="161">
        <v>90112037</v>
      </c>
      <c r="D6972" s="161" t="s">
        <v>3093</v>
      </c>
      <c r="E6972" s="161" t="s">
        <v>102</v>
      </c>
      <c r="F6972" s="163" t="s">
        <v>3093</v>
      </c>
      <c r="G6972" s="163">
        <v>0</v>
      </c>
      <c r="H6972" s="161" t="s">
        <v>7138</v>
      </c>
      <c r="I6972" s="161"/>
    </row>
    <row r="6973" spans="1:9">
      <c r="A6973" s="161">
        <v>910400063</v>
      </c>
      <c r="B6973" s="161" t="s">
        <v>7785</v>
      </c>
      <c r="C6973" s="161">
        <v>90111036</v>
      </c>
      <c r="D6973" s="161" t="s">
        <v>3093</v>
      </c>
      <c r="E6973" s="161" t="s">
        <v>1620</v>
      </c>
      <c r="F6973" s="163" t="s">
        <v>3093</v>
      </c>
      <c r="G6973" s="163">
        <v>0.02</v>
      </c>
      <c r="H6973" s="161" t="s">
        <v>7138</v>
      </c>
      <c r="I6973" s="161"/>
    </row>
    <row r="6974" spans="1:9">
      <c r="A6974" s="161">
        <v>910400064</v>
      </c>
      <c r="B6974" s="161" t="s">
        <v>7786</v>
      </c>
      <c r="C6974" s="161">
        <v>90102070</v>
      </c>
      <c r="D6974" s="161" t="s">
        <v>3093</v>
      </c>
      <c r="E6974" s="161" t="s">
        <v>102</v>
      </c>
      <c r="F6974" s="163" t="s">
        <v>3093</v>
      </c>
      <c r="G6974" s="163">
        <v>0</v>
      </c>
      <c r="H6974" s="161" t="s">
        <v>7138</v>
      </c>
      <c r="I6974" s="161"/>
    </row>
    <row r="6975" spans="1:9">
      <c r="A6975" s="161">
        <v>910400065</v>
      </c>
      <c r="B6975" s="161" t="s">
        <v>7787</v>
      </c>
      <c r="C6975" s="161">
        <v>90102069</v>
      </c>
      <c r="D6975" s="161" t="s">
        <v>3093</v>
      </c>
      <c r="E6975" s="161" t="s">
        <v>102</v>
      </c>
      <c r="F6975" s="163" t="s">
        <v>3093</v>
      </c>
      <c r="G6975" s="163">
        <v>0</v>
      </c>
      <c r="H6975" s="161" t="s">
        <v>7138</v>
      </c>
      <c r="I6975" s="161"/>
    </row>
    <row r="6976" spans="1:9">
      <c r="A6976" s="161">
        <v>910400066</v>
      </c>
      <c r="B6976" s="161" t="s">
        <v>7788</v>
      </c>
      <c r="C6976" s="161">
        <v>90107010</v>
      </c>
      <c r="D6976" s="161" t="s">
        <v>3093</v>
      </c>
      <c r="E6976" s="161" t="s">
        <v>102</v>
      </c>
      <c r="F6976" s="163" t="s">
        <v>3093</v>
      </c>
      <c r="G6976" s="163">
        <v>0</v>
      </c>
      <c r="H6976" s="161" t="s">
        <v>7138</v>
      </c>
      <c r="I6976" s="161"/>
    </row>
    <row r="6977" spans="1:9">
      <c r="A6977" s="161">
        <v>910400067</v>
      </c>
      <c r="B6977" s="161" t="s">
        <v>7789</v>
      </c>
      <c r="C6977" s="161">
        <v>90107011</v>
      </c>
      <c r="D6977" s="161" t="s">
        <v>3093</v>
      </c>
      <c r="E6977" s="161" t="s">
        <v>102</v>
      </c>
      <c r="F6977" s="163" t="s">
        <v>3093</v>
      </c>
      <c r="G6977" s="163">
        <v>0</v>
      </c>
      <c r="H6977" s="161" t="s">
        <v>7138</v>
      </c>
      <c r="I6977" s="161"/>
    </row>
    <row r="6978" spans="1:9">
      <c r="A6978" s="161">
        <v>910400068</v>
      </c>
      <c r="B6978" s="161" t="s">
        <v>7790</v>
      </c>
      <c r="C6978" s="161">
        <v>90102039</v>
      </c>
      <c r="D6978" s="161" t="s">
        <v>3093</v>
      </c>
      <c r="E6978" s="161" t="s">
        <v>102</v>
      </c>
      <c r="F6978" s="163" t="s">
        <v>3093</v>
      </c>
      <c r="G6978" s="163">
        <v>0</v>
      </c>
      <c r="H6978" s="161" t="s">
        <v>7138</v>
      </c>
      <c r="I6978" s="161"/>
    </row>
    <row r="6979" spans="1:9">
      <c r="A6979" s="161">
        <v>910400069</v>
      </c>
      <c r="B6979" s="161" t="s">
        <v>7791</v>
      </c>
      <c r="C6979" s="161">
        <v>90112022</v>
      </c>
      <c r="D6979" s="161" t="s">
        <v>3093</v>
      </c>
      <c r="E6979" s="161" t="s">
        <v>102</v>
      </c>
      <c r="F6979" s="163" t="s">
        <v>3093</v>
      </c>
      <c r="G6979" s="163">
        <v>1.1200000000000001</v>
      </c>
      <c r="H6979" s="161" t="s">
        <v>7138</v>
      </c>
      <c r="I6979" s="161"/>
    </row>
    <row r="6980" spans="1:9">
      <c r="A6980" s="161">
        <v>910400070</v>
      </c>
      <c r="B6980" s="161" t="s">
        <v>1739</v>
      </c>
      <c r="C6980" s="161">
        <v>90112011</v>
      </c>
      <c r="D6980" s="161" t="s">
        <v>3093</v>
      </c>
      <c r="E6980" s="161" t="s">
        <v>102</v>
      </c>
      <c r="F6980" s="163" t="s">
        <v>3093</v>
      </c>
      <c r="G6980" s="163">
        <v>0.35</v>
      </c>
      <c r="H6980" s="161" t="s">
        <v>7138</v>
      </c>
      <c r="I6980" s="161"/>
    </row>
    <row r="6981" spans="1:9">
      <c r="A6981" s="161">
        <v>910400071</v>
      </c>
      <c r="B6981" s="161" t="s">
        <v>1740</v>
      </c>
      <c r="C6981" s="161">
        <v>90112013</v>
      </c>
      <c r="D6981" s="161" t="s">
        <v>3093</v>
      </c>
      <c r="E6981" s="161" t="s">
        <v>102</v>
      </c>
      <c r="F6981" s="163" t="s">
        <v>3093</v>
      </c>
      <c r="G6981" s="163">
        <v>12</v>
      </c>
      <c r="H6981" s="161" t="s">
        <v>7138</v>
      </c>
      <c r="I6981" s="161"/>
    </row>
    <row r="6982" spans="1:9">
      <c r="A6982" s="161">
        <v>910400072</v>
      </c>
      <c r="B6982" s="161" t="s">
        <v>7792</v>
      </c>
      <c r="C6982" s="161">
        <v>90112021</v>
      </c>
      <c r="D6982" s="161" t="s">
        <v>3093</v>
      </c>
      <c r="E6982" s="161" t="s">
        <v>102</v>
      </c>
      <c r="F6982" s="163" t="s">
        <v>3093</v>
      </c>
      <c r="G6982" s="163">
        <v>17.38</v>
      </c>
      <c r="H6982" s="161" t="s">
        <v>7138</v>
      </c>
      <c r="I6982" s="161"/>
    </row>
    <row r="6983" spans="1:9">
      <c r="A6983" s="161">
        <v>910400073</v>
      </c>
      <c r="B6983" s="161" t="s">
        <v>2639</v>
      </c>
      <c r="C6983" s="161">
        <v>90112015</v>
      </c>
      <c r="D6983" s="161" t="s">
        <v>3093</v>
      </c>
      <c r="E6983" s="161" t="s">
        <v>102</v>
      </c>
      <c r="F6983" s="163" t="s">
        <v>3093</v>
      </c>
      <c r="G6983" s="163">
        <v>41.04</v>
      </c>
      <c r="H6983" s="161" t="s">
        <v>7138</v>
      </c>
      <c r="I6983" s="161"/>
    </row>
    <row r="6984" spans="1:9">
      <c r="A6984" s="161">
        <v>910400074</v>
      </c>
      <c r="B6984" s="161" t="s">
        <v>7793</v>
      </c>
      <c r="C6984" s="161">
        <v>90112020</v>
      </c>
      <c r="D6984" s="161" t="s">
        <v>3093</v>
      </c>
      <c r="E6984" s="161" t="s">
        <v>102</v>
      </c>
      <c r="F6984" s="163" t="s">
        <v>3093</v>
      </c>
      <c r="G6984" s="163">
        <v>21.03</v>
      </c>
      <c r="H6984" s="161" t="s">
        <v>7138</v>
      </c>
      <c r="I6984" s="161"/>
    </row>
    <row r="6985" spans="1:9">
      <c r="A6985" s="161">
        <v>910400075</v>
      </c>
      <c r="B6985" s="161" t="s">
        <v>7794</v>
      </c>
      <c r="C6985" s="161">
        <v>90112025</v>
      </c>
      <c r="D6985" s="161" t="s">
        <v>3093</v>
      </c>
      <c r="E6985" s="161" t="s">
        <v>1620</v>
      </c>
      <c r="F6985" s="163" t="s">
        <v>3093</v>
      </c>
      <c r="G6985" s="163">
        <v>1.1200000000000001</v>
      </c>
      <c r="H6985" s="161" t="s">
        <v>7138</v>
      </c>
      <c r="I6985" s="161"/>
    </row>
    <row r="6986" spans="1:9">
      <c r="A6986" s="161">
        <v>910400076</v>
      </c>
      <c r="B6986" s="161" t="s">
        <v>7795</v>
      </c>
      <c r="C6986" s="161">
        <v>90112024</v>
      </c>
      <c r="D6986" s="161" t="s">
        <v>3093</v>
      </c>
      <c r="E6986" s="161" t="s">
        <v>1620</v>
      </c>
      <c r="F6986" s="163" t="s">
        <v>3093</v>
      </c>
      <c r="G6986" s="163">
        <v>15.65</v>
      </c>
      <c r="H6986" s="161" t="s">
        <v>7138</v>
      </c>
      <c r="I6986" s="161"/>
    </row>
    <row r="6987" spans="1:9">
      <c r="A6987" s="161">
        <v>910400077</v>
      </c>
      <c r="B6987" s="161" t="s">
        <v>2640</v>
      </c>
      <c r="C6987" s="161">
        <v>90112017</v>
      </c>
      <c r="D6987" s="161" t="s">
        <v>3093</v>
      </c>
      <c r="E6987" s="161" t="s">
        <v>102</v>
      </c>
      <c r="F6987" s="163" t="s">
        <v>3093</v>
      </c>
      <c r="G6987" s="163">
        <v>3.35</v>
      </c>
      <c r="H6987" s="161" t="s">
        <v>7138</v>
      </c>
      <c r="I6987" s="161"/>
    </row>
    <row r="6988" spans="1:9">
      <c r="A6988" s="161">
        <v>910400078</v>
      </c>
      <c r="B6988" s="161" t="s">
        <v>7796</v>
      </c>
      <c r="C6988" s="161">
        <v>90112043</v>
      </c>
      <c r="D6988" s="161" t="s">
        <v>3093</v>
      </c>
      <c r="E6988" s="161" t="s">
        <v>1620</v>
      </c>
      <c r="F6988" s="163" t="s">
        <v>3093</v>
      </c>
      <c r="G6988" s="163">
        <v>15</v>
      </c>
      <c r="H6988" s="161" t="s">
        <v>7138</v>
      </c>
      <c r="I6988" s="161"/>
    </row>
    <row r="6989" spans="1:9">
      <c r="A6989" s="161">
        <v>910400079</v>
      </c>
      <c r="B6989" s="161" t="s">
        <v>7797</v>
      </c>
      <c r="C6989" s="161">
        <v>90112050</v>
      </c>
      <c r="D6989" s="161" t="s">
        <v>3093</v>
      </c>
      <c r="E6989" s="161" t="s">
        <v>102</v>
      </c>
      <c r="F6989" s="163" t="s">
        <v>3093</v>
      </c>
      <c r="G6989" s="163">
        <v>0</v>
      </c>
      <c r="H6989" s="161" t="s">
        <v>7138</v>
      </c>
      <c r="I6989" s="161"/>
    </row>
    <row r="6990" spans="1:9">
      <c r="A6990" s="161">
        <v>910400080</v>
      </c>
      <c r="B6990" s="161" t="s">
        <v>2641</v>
      </c>
      <c r="C6990" s="161">
        <v>90112018</v>
      </c>
      <c r="D6990" s="161" t="s">
        <v>3093</v>
      </c>
      <c r="E6990" s="161" t="s">
        <v>102</v>
      </c>
      <c r="F6990" s="163" t="s">
        <v>3093</v>
      </c>
      <c r="G6990" s="163">
        <v>1.0900000000000001</v>
      </c>
      <c r="H6990" s="161" t="s">
        <v>7138</v>
      </c>
      <c r="I6990" s="161"/>
    </row>
    <row r="6991" spans="1:9">
      <c r="A6991" s="161">
        <v>910400081</v>
      </c>
      <c r="B6991" s="161" t="s">
        <v>7798</v>
      </c>
      <c r="C6991" s="161">
        <v>90107044</v>
      </c>
      <c r="D6991" s="161" t="s">
        <v>3093</v>
      </c>
      <c r="E6991" s="161" t="s">
        <v>102</v>
      </c>
      <c r="F6991" s="163" t="s">
        <v>3093</v>
      </c>
      <c r="G6991" s="163">
        <v>10.5</v>
      </c>
      <c r="H6991" s="161" t="s">
        <v>7138</v>
      </c>
      <c r="I6991" s="161"/>
    </row>
    <row r="6992" spans="1:9">
      <c r="A6992" s="161">
        <v>910400082</v>
      </c>
      <c r="B6992" s="161" t="s">
        <v>7799</v>
      </c>
      <c r="C6992" s="161">
        <v>90107012</v>
      </c>
      <c r="D6992" s="161" t="s">
        <v>3093</v>
      </c>
      <c r="E6992" s="161" t="s">
        <v>8122</v>
      </c>
      <c r="F6992" s="163" t="s">
        <v>3093</v>
      </c>
      <c r="G6992" s="163">
        <v>0</v>
      </c>
      <c r="H6992" s="161" t="s">
        <v>7138</v>
      </c>
      <c r="I6992" s="161"/>
    </row>
    <row r="6993" spans="1:9">
      <c r="A6993" s="161">
        <v>910400083</v>
      </c>
      <c r="B6993" s="161" t="s">
        <v>2595</v>
      </c>
      <c r="C6993" s="161">
        <v>90107015</v>
      </c>
      <c r="D6993" s="161" t="s">
        <v>3093</v>
      </c>
      <c r="E6993" s="161" t="s">
        <v>102</v>
      </c>
      <c r="F6993" s="163" t="s">
        <v>3093</v>
      </c>
      <c r="G6993" s="163">
        <v>0.31</v>
      </c>
      <c r="H6993" s="161" t="s">
        <v>7138</v>
      </c>
      <c r="I6993" s="161"/>
    </row>
    <row r="6994" spans="1:9">
      <c r="A6994" s="161">
        <v>910400084</v>
      </c>
      <c r="B6994" s="161" t="s">
        <v>7800</v>
      </c>
      <c r="C6994" s="161">
        <v>90107019</v>
      </c>
      <c r="D6994" s="161" t="s">
        <v>3093</v>
      </c>
      <c r="E6994" s="161" t="s">
        <v>8122</v>
      </c>
      <c r="F6994" s="163" t="s">
        <v>3093</v>
      </c>
      <c r="G6994" s="163">
        <v>0.01</v>
      </c>
      <c r="H6994" s="161" t="s">
        <v>7138</v>
      </c>
      <c r="I6994" s="161"/>
    </row>
    <row r="6995" spans="1:9">
      <c r="A6995" s="161">
        <v>910400085</v>
      </c>
      <c r="B6995" s="161" t="s">
        <v>7801</v>
      </c>
      <c r="C6995" s="161">
        <v>90107020</v>
      </c>
      <c r="D6995" s="161" t="s">
        <v>3093</v>
      </c>
      <c r="E6995" s="161" t="s">
        <v>8122</v>
      </c>
      <c r="F6995" s="163" t="s">
        <v>3093</v>
      </c>
      <c r="G6995" s="163">
        <v>0.01</v>
      </c>
      <c r="H6995" s="161" t="s">
        <v>7138</v>
      </c>
      <c r="I6995" s="161"/>
    </row>
    <row r="6996" spans="1:9">
      <c r="A6996" s="161">
        <v>910400086</v>
      </c>
      <c r="B6996" s="161" t="s">
        <v>2596</v>
      </c>
      <c r="C6996" s="161">
        <v>90107054</v>
      </c>
      <c r="D6996" s="161" t="s">
        <v>3093</v>
      </c>
      <c r="E6996" s="161" t="s">
        <v>8122</v>
      </c>
      <c r="F6996" s="163" t="s">
        <v>3093</v>
      </c>
      <c r="G6996" s="163">
        <v>0.03</v>
      </c>
      <c r="H6996" s="161" t="s">
        <v>7138</v>
      </c>
      <c r="I6996" s="161"/>
    </row>
    <row r="6997" spans="1:9">
      <c r="A6997" s="161">
        <v>910400087</v>
      </c>
      <c r="B6997" s="161" t="s">
        <v>7802</v>
      </c>
      <c r="C6997" s="161">
        <v>90107024</v>
      </c>
      <c r="D6997" s="161" t="s">
        <v>3093</v>
      </c>
      <c r="E6997" s="161" t="s">
        <v>8112</v>
      </c>
      <c r="F6997" s="163" t="s">
        <v>3093</v>
      </c>
      <c r="G6997" s="163">
        <v>4.5999999999999996</v>
      </c>
      <c r="H6997" s="161" t="s">
        <v>7138</v>
      </c>
      <c r="I6997" s="161"/>
    </row>
    <row r="6998" spans="1:9">
      <c r="A6998" s="161">
        <v>910400088</v>
      </c>
      <c r="B6998" s="161" t="s">
        <v>7803</v>
      </c>
      <c r="C6998" s="161">
        <v>90107025</v>
      </c>
      <c r="D6998" s="161" t="s">
        <v>3093</v>
      </c>
      <c r="E6998" s="161" t="s">
        <v>8112</v>
      </c>
      <c r="F6998" s="163" t="s">
        <v>3093</v>
      </c>
      <c r="G6998" s="163">
        <v>4.0999999999999996</v>
      </c>
      <c r="H6998" s="161" t="s">
        <v>7138</v>
      </c>
      <c r="I6998" s="161"/>
    </row>
    <row r="6999" spans="1:9">
      <c r="A6999" s="161">
        <v>910400089</v>
      </c>
      <c r="B6999" s="161" t="s">
        <v>7804</v>
      </c>
      <c r="C6999" s="161">
        <v>90111013</v>
      </c>
      <c r="D6999" s="161" t="s">
        <v>3093</v>
      </c>
      <c r="E6999" s="161" t="s">
        <v>102</v>
      </c>
      <c r="F6999" s="163" t="s">
        <v>3093</v>
      </c>
      <c r="G6999" s="163">
        <v>0</v>
      </c>
      <c r="H6999" s="161" t="s">
        <v>7138</v>
      </c>
      <c r="I6999" s="161"/>
    </row>
    <row r="7000" spans="1:9">
      <c r="A7000" s="161">
        <v>910400090</v>
      </c>
      <c r="B7000" s="161" t="s">
        <v>7805</v>
      </c>
      <c r="C7000" s="161">
        <v>90111015</v>
      </c>
      <c r="D7000" s="161" t="s">
        <v>3093</v>
      </c>
      <c r="E7000" s="161" t="s">
        <v>102</v>
      </c>
      <c r="F7000" s="163" t="s">
        <v>3093</v>
      </c>
      <c r="G7000" s="163">
        <v>1.1200000000000001</v>
      </c>
      <c r="H7000" s="161" t="s">
        <v>7138</v>
      </c>
      <c r="I7000" s="161"/>
    </row>
    <row r="7001" spans="1:9">
      <c r="A7001" s="161">
        <v>910400091</v>
      </c>
      <c r="B7001" s="161" t="s">
        <v>7806</v>
      </c>
      <c r="C7001" s="161">
        <v>90111001</v>
      </c>
      <c r="D7001" s="161" t="s">
        <v>3093</v>
      </c>
      <c r="E7001" s="161" t="s">
        <v>102</v>
      </c>
      <c r="F7001" s="163" t="s">
        <v>3093</v>
      </c>
      <c r="G7001" s="163">
        <v>1.34E-2</v>
      </c>
      <c r="H7001" s="161" t="s">
        <v>7138</v>
      </c>
      <c r="I7001" s="161"/>
    </row>
    <row r="7002" spans="1:9">
      <c r="A7002" s="161">
        <v>910400092</v>
      </c>
      <c r="B7002" s="161" t="s">
        <v>7807</v>
      </c>
      <c r="C7002" s="161">
        <v>90111005</v>
      </c>
      <c r="D7002" s="161" t="s">
        <v>3093</v>
      </c>
      <c r="E7002" s="161" t="s">
        <v>102</v>
      </c>
      <c r="F7002" s="163" t="s">
        <v>3093</v>
      </c>
      <c r="G7002" s="163">
        <v>4.1599999999999998E-2</v>
      </c>
      <c r="H7002" s="161" t="s">
        <v>7138</v>
      </c>
      <c r="I7002" s="161"/>
    </row>
    <row r="7003" spans="1:9">
      <c r="A7003" s="161">
        <v>910400093</v>
      </c>
      <c r="B7003" s="161" t="s">
        <v>7808</v>
      </c>
      <c r="C7003" s="161">
        <v>90111009</v>
      </c>
      <c r="D7003" s="161" t="s">
        <v>3093</v>
      </c>
      <c r="E7003" s="161" t="s">
        <v>102</v>
      </c>
      <c r="F7003" s="163" t="s">
        <v>3093</v>
      </c>
      <c r="G7003" s="163">
        <v>0.17</v>
      </c>
      <c r="H7003" s="161" t="s">
        <v>7138</v>
      </c>
      <c r="I7003" s="161"/>
    </row>
    <row r="7004" spans="1:9">
      <c r="A7004" s="161">
        <v>910400094</v>
      </c>
      <c r="B7004" s="161" t="s">
        <v>7809</v>
      </c>
      <c r="C7004" s="161">
        <v>90111003</v>
      </c>
      <c r="D7004" s="161" t="s">
        <v>3093</v>
      </c>
      <c r="E7004" s="161" t="s">
        <v>102</v>
      </c>
      <c r="F7004" s="163" t="s">
        <v>3093</v>
      </c>
      <c r="G7004" s="163">
        <v>7.4999999999999997E-3</v>
      </c>
      <c r="H7004" s="161" t="s">
        <v>7138</v>
      </c>
      <c r="I7004" s="161"/>
    </row>
    <row r="7005" spans="1:9">
      <c r="A7005" s="161">
        <v>910400095</v>
      </c>
      <c r="B7005" s="161" t="s">
        <v>7810</v>
      </c>
      <c r="C7005" s="161">
        <v>90111024</v>
      </c>
      <c r="D7005" s="161" t="s">
        <v>3093</v>
      </c>
      <c r="E7005" s="161" t="s">
        <v>8117</v>
      </c>
      <c r="F7005" s="163" t="s">
        <v>3093</v>
      </c>
      <c r="G7005" s="163">
        <v>0.05</v>
      </c>
      <c r="H7005" s="161" t="s">
        <v>7138</v>
      </c>
      <c r="I7005" s="161"/>
    </row>
    <row r="7006" spans="1:9">
      <c r="A7006" s="161">
        <v>910400096</v>
      </c>
      <c r="B7006" s="161" t="s">
        <v>7811</v>
      </c>
      <c r="C7006" s="161">
        <v>90111028</v>
      </c>
      <c r="D7006" s="161" t="s">
        <v>3093</v>
      </c>
      <c r="E7006" s="161" t="s">
        <v>102</v>
      </c>
      <c r="F7006" s="163" t="s">
        <v>3093</v>
      </c>
      <c r="G7006" s="163">
        <v>0.05</v>
      </c>
      <c r="H7006" s="161" t="s">
        <v>7138</v>
      </c>
      <c r="I7006" s="161"/>
    </row>
    <row r="7007" spans="1:9">
      <c r="A7007" s="161">
        <v>910400097</v>
      </c>
      <c r="B7007" s="161" t="s">
        <v>7812</v>
      </c>
      <c r="C7007" s="161">
        <v>90111025</v>
      </c>
      <c r="D7007" s="161" t="s">
        <v>3093</v>
      </c>
      <c r="E7007" s="161" t="s">
        <v>8117</v>
      </c>
      <c r="F7007" s="163" t="s">
        <v>3093</v>
      </c>
      <c r="G7007" s="163">
        <v>6.2E-2</v>
      </c>
      <c r="H7007" s="161" t="s">
        <v>7138</v>
      </c>
      <c r="I7007" s="161"/>
    </row>
    <row r="7008" spans="1:9">
      <c r="A7008" s="161">
        <v>910400098</v>
      </c>
      <c r="B7008" s="161" t="s">
        <v>7813</v>
      </c>
      <c r="C7008" s="161">
        <v>90111006</v>
      </c>
      <c r="D7008" s="161" t="s">
        <v>3093</v>
      </c>
      <c r="E7008" s="161" t="s">
        <v>8117</v>
      </c>
      <c r="F7008" s="163" t="s">
        <v>3093</v>
      </c>
      <c r="G7008" s="163">
        <v>5.9200000000000003E-2</v>
      </c>
      <c r="H7008" s="161" t="s">
        <v>7138</v>
      </c>
      <c r="I7008" s="161"/>
    </row>
    <row r="7009" spans="1:9">
      <c r="A7009" s="161">
        <v>910400099</v>
      </c>
      <c r="B7009" s="161" t="s">
        <v>7814</v>
      </c>
      <c r="C7009" s="161">
        <v>90111022</v>
      </c>
      <c r="D7009" s="161" t="s">
        <v>3093</v>
      </c>
      <c r="E7009" s="161" t="s">
        <v>8117</v>
      </c>
      <c r="F7009" s="163" t="s">
        <v>3093</v>
      </c>
      <c r="G7009" s="163">
        <v>5.3414000000000003E-2</v>
      </c>
      <c r="H7009" s="161" t="s">
        <v>7138</v>
      </c>
      <c r="I7009" s="161"/>
    </row>
    <row r="7010" spans="1:9">
      <c r="A7010" s="161">
        <v>910400100</v>
      </c>
      <c r="B7010" s="161" t="s">
        <v>7815</v>
      </c>
      <c r="C7010" s="161">
        <v>90107042</v>
      </c>
      <c r="D7010" s="161" t="s">
        <v>3093</v>
      </c>
      <c r="E7010" s="161" t="s">
        <v>8115</v>
      </c>
      <c r="F7010" s="163" t="s">
        <v>3093</v>
      </c>
      <c r="G7010" s="163">
        <v>0.12</v>
      </c>
      <c r="H7010" s="161" t="s">
        <v>7138</v>
      </c>
      <c r="I7010" s="161"/>
    </row>
    <row r="7011" spans="1:9">
      <c r="A7011" s="161">
        <v>910400101</v>
      </c>
      <c r="B7011" s="161" t="s">
        <v>7816</v>
      </c>
      <c r="C7011" s="161">
        <v>90107026</v>
      </c>
      <c r="D7011" s="161" t="s">
        <v>3093</v>
      </c>
      <c r="E7011" s="161" t="s">
        <v>8115</v>
      </c>
      <c r="F7011" s="163" t="s">
        <v>3093</v>
      </c>
      <c r="G7011" s="163">
        <v>0.12</v>
      </c>
      <c r="H7011" s="161" t="s">
        <v>7138</v>
      </c>
      <c r="I7011" s="161"/>
    </row>
    <row r="7012" spans="1:9">
      <c r="A7012" s="161">
        <v>910400102</v>
      </c>
      <c r="B7012" s="161" t="s">
        <v>2597</v>
      </c>
      <c r="C7012" s="161">
        <v>90107056</v>
      </c>
      <c r="D7012" s="161" t="s">
        <v>3093</v>
      </c>
      <c r="E7012" s="161" t="s">
        <v>8115</v>
      </c>
      <c r="F7012" s="163" t="s">
        <v>3093</v>
      </c>
      <c r="G7012" s="163">
        <v>0.68</v>
      </c>
      <c r="H7012" s="161" t="s">
        <v>7138</v>
      </c>
      <c r="I7012" s="161"/>
    </row>
    <row r="7013" spans="1:9">
      <c r="A7013" s="161">
        <v>910400103</v>
      </c>
      <c r="B7013" s="161" t="s">
        <v>7817</v>
      </c>
      <c r="C7013" s="161">
        <v>90107030</v>
      </c>
      <c r="D7013" s="161" t="s">
        <v>3093</v>
      </c>
      <c r="E7013" s="161" t="s">
        <v>102</v>
      </c>
      <c r="F7013" s="163" t="s">
        <v>3093</v>
      </c>
      <c r="G7013" s="163">
        <v>0.12</v>
      </c>
      <c r="H7013" s="161" t="s">
        <v>7138</v>
      </c>
      <c r="I7013" s="161"/>
    </row>
    <row r="7014" spans="1:9">
      <c r="A7014" s="161">
        <v>910400104</v>
      </c>
      <c r="B7014" s="161" t="s">
        <v>7818</v>
      </c>
      <c r="C7014" s="161">
        <v>90107031</v>
      </c>
      <c r="D7014" s="161" t="s">
        <v>3093</v>
      </c>
      <c r="E7014" s="161" t="s">
        <v>8112</v>
      </c>
      <c r="F7014" s="163" t="s">
        <v>3093</v>
      </c>
      <c r="G7014" s="163">
        <v>6.25</v>
      </c>
      <c r="H7014" s="161" t="s">
        <v>7138</v>
      </c>
      <c r="I7014" s="161"/>
    </row>
    <row r="7015" spans="1:9">
      <c r="A7015" s="161">
        <v>910400105</v>
      </c>
      <c r="B7015" s="161" t="s">
        <v>2598</v>
      </c>
      <c r="C7015" s="161">
        <v>90107050</v>
      </c>
      <c r="D7015" s="161" t="s">
        <v>3093</v>
      </c>
      <c r="E7015" s="161" t="s">
        <v>8115</v>
      </c>
      <c r="F7015" s="163" t="s">
        <v>3093</v>
      </c>
      <c r="G7015" s="163">
        <v>4.7500000000000001E-2</v>
      </c>
      <c r="H7015" s="161" t="s">
        <v>7138</v>
      </c>
      <c r="I7015" s="161"/>
    </row>
    <row r="7016" spans="1:9">
      <c r="A7016" s="161">
        <v>910400106</v>
      </c>
      <c r="B7016" s="161" t="s">
        <v>2599</v>
      </c>
      <c r="C7016" s="161">
        <v>90107032</v>
      </c>
      <c r="D7016" s="161" t="s">
        <v>3093</v>
      </c>
      <c r="E7016" s="161" t="s">
        <v>8115</v>
      </c>
      <c r="F7016" s="163" t="s">
        <v>3093</v>
      </c>
      <c r="G7016" s="163">
        <v>0.2</v>
      </c>
      <c r="H7016" s="161" t="s">
        <v>7138</v>
      </c>
      <c r="I7016" s="161"/>
    </row>
    <row r="7017" spans="1:9">
      <c r="A7017" s="161">
        <v>910400107</v>
      </c>
      <c r="B7017" s="161" t="s">
        <v>7819</v>
      </c>
      <c r="C7017" s="161">
        <v>90107045</v>
      </c>
      <c r="D7017" s="161" t="s">
        <v>3093</v>
      </c>
      <c r="E7017" s="161" t="s">
        <v>1778</v>
      </c>
      <c r="F7017" s="163" t="s">
        <v>3093</v>
      </c>
      <c r="G7017" s="163">
        <v>26.55</v>
      </c>
      <c r="H7017" s="161" t="s">
        <v>7138</v>
      </c>
      <c r="I7017" s="161"/>
    </row>
    <row r="7018" spans="1:9">
      <c r="A7018" s="161">
        <v>910400108</v>
      </c>
      <c r="B7018" s="161" t="s">
        <v>7820</v>
      </c>
      <c r="C7018" s="161">
        <v>90107048</v>
      </c>
      <c r="D7018" s="161" t="s">
        <v>3093</v>
      </c>
      <c r="E7018" s="161" t="s">
        <v>1778</v>
      </c>
      <c r="F7018" s="163" t="s">
        <v>3093</v>
      </c>
      <c r="G7018" s="163">
        <v>2.6</v>
      </c>
      <c r="H7018" s="161" t="s">
        <v>7138</v>
      </c>
      <c r="I7018" s="161"/>
    </row>
    <row r="7019" spans="1:9">
      <c r="A7019" s="161">
        <v>910400109</v>
      </c>
      <c r="B7019" s="161" t="s">
        <v>7821</v>
      </c>
      <c r="C7019" s="161">
        <v>90107052</v>
      </c>
      <c r="D7019" s="161" t="s">
        <v>3093</v>
      </c>
      <c r="E7019" s="161" t="s">
        <v>8115</v>
      </c>
      <c r="F7019" s="163" t="s">
        <v>3093</v>
      </c>
      <c r="G7019" s="163">
        <v>0.35</v>
      </c>
      <c r="H7019" s="161" t="s">
        <v>7138</v>
      </c>
      <c r="I7019" s="161"/>
    </row>
    <row r="7020" spans="1:9">
      <c r="A7020" s="161">
        <v>910400110</v>
      </c>
      <c r="B7020" s="161" t="s">
        <v>7822</v>
      </c>
      <c r="C7020" s="161">
        <v>90111034</v>
      </c>
      <c r="D7020" s="161" t="s">
        <v>3093</v>
      </c>
      <c r="E7020" s="161" t="s">
        <v>8112</v>
      </c>
      <c r="F7020" s="163" t="s">
        <v>3093</v>
      </c>
      <c r="G7020" s="163">
        <v>0</v>
      </c>
      <c r="H7020" s="161" t="s">
        <v>7138</v>
      </c>
      <c r="I7020" s="161"/>
    </row>
    <row r="7021" spans="1:9">
      <c r="A7021" s="161">
        <v>910400111</v>
      </c>
      <c r="B7021" s="161" t="s">
        <v>7823</v>
      </c>
      <c r="C7021" s="161">
        <v>90111032</v>
      </c>
      <c r="D7021" s="161" t="s">
        <v>3093</v>
      </c>
      <c r="E7021" s="161" t="s">
        <v>102</v>
      </c>
      <c r="F7021" s="163" t="s">
        <v>3093</v>
      </c>
      <c r="G7021" s="163">
        <v>0</v>
      </c>
      <c r="H7021" s="161" t="s">
        <v>7138</v>
      </c>
      <c r="I7021" s="161"/>
    </row>
    <row r="7022" spans="1:9">
      <c r="A7022" s="161">
        <v>910400112</v>
      </c>
      <c r="B7022" s="161" t="s">
        <v>7824</v>
      </c>
      <c r="C7022" s="161">
        <v>90111033</v>
      </c>
      <c r="D7022" s="161" t="s">
        <v>3093</v>
      </c>
      <c r="E7022" s="161" t="s">
        <v>8112</v>
      </c>
      <c r="F7022" s="163" t="s">
        <v>3093</v>
      </c>
      <c r="G7022" s="163">
        <v>6.9000000000000006E-2</v>
      </c>
      <c r="H7022" s="161" t="s">
        <v>7138</v>
      </c>
      <c r="I7022" s="161"/>
    </row>
    <row r="7023" spans="1:9">
      <c r="A7023" s="161">
        <v>910400113</v>
      </c>
      <c r="B7023" s="161" t="s">
        <v>7825</v>
      </c>
      <c r="C7023" s="161">
        <v>90111035</v>
      </c>
      <c r="D7023" s="161" t="s">
        <v>3093</v>
      </c>
      <c r="E7023" s="161" t="s">
        <v>102</v>
      </c>
      <c r="F7023" s="163" t="s">
        <v>3093</v>
      </c>
      <c r="G7023" s="163">
        <v>0</v>
      </c>
      <c r="H7023" s="161" t="s">
        <v>7138</v>
      </c>
      <c r="I7023" s="161"/>
    </row>
    <row r="7024" spans="1:9">
      <c r="A7024" s="161">
        <v>910400114</v>
      </c>
      <c r="B7024" s="161" t="s">
        <v>7826</v>
      </c>
      <c r="C7024" s="161">
        <v>90107049</v>
      </c>
      <c r="D7024" s="161" t="s">
        <v>3093</v>
      </c>
      <c r="E7024" s="161" t="s">
        <v>1778</v>
      </c>
      <c r="F7024" s="163" t="s">
        <v>3093</v>
      </c>
      <c r="G7024" s="163">
        <v>305</v>
      </c>
      <c r="H7024" s="161" t="s">
        <v>7138</v>
      </c>
      <c r="I7024" s="161"/>
    </row>
    <row r="7025" spans="1:9">
      <c r="A7025" s="161">
        <v>910400115</v>
      </c>
      <c r="B7025" s="161" t="s">
        <v>7827</v>
      </c>
      <c r="C7025" s="161">
        <v>90107033</v>
      </c>
      <c r="D7025" s="161" t="s">
        <v>3093</v>
      </c>
      <c r="E7025" s="161" t="s">
        <v>8112</v>
      </c>
      <c r="F7025" s="163" t="s">
        <v>3093</v>
      </c>
      <c r="G7025" s="163">
        <v>150</v>
      </c>
      <c r="H7025" s="161" t="s">
        <v>7138</v>
      </c>
      <c r="I7025" s="161"/>
    </row>
    <row r="7026" spans="1:9">
      <c r="A7026" s="161">
        <v>910400116</v>
      </c>
      <c r="B7026" s="161" t="s">
        <v>1781</v>
      </c>
      <c r="C7026" s="161">
        <v>90305003</v>
      </c>
      <c r="D7026" s="161" t="s">
        <v>3093</v>
      </c>
      <c r="E7026" s="161" t="s">
        <v>1778</v>
      </c>
      <c r="F7026" s="163" t="s">
        <v>3093</v>
      </c>
      <c r="G7026" s="163">
        <v>0.4</v>
      </c>
      <c r="H7026" s="161" t="s">
        <v>7138</v>
      </c>
      <c r="I7026" s="161"/>
    </row>
    <row r="7027" spans="1:9">
      <c r="A7027" s="161">
        <v>910400117</v>
      </c>
      <c r="B7027" s="161" t="s">
        <v>7828</v>
      </c>
      <c r="C7027" s="161">
        <v>90305148</v>
      </c>
      <c r="D7027" s="161" t="s">
        <v>3093</v>
      </c>
      <c r="E7027" s="161" t="s">
        <v>1778</v>
      </c>
      <c r="F7027" s="163" t="s">
        <v>3093</v>
      </c>
      <c r="G7027" s="163">
        <v>2.65</v>
      </c>
      <c r="H7027" s="161" t="s">
        <v>7138</v>
      </c>
      <c r="I7027" s="161"/>
    </row>
    <row r="7028" spans="1:9">
      <c r="A7028" s="161">
        <v>910400118</v>
      </c>
      <c r="B7028" s="161" t="s">
        <v>2451</v>
      </c>
      <c r="C7028" s="161">
        <v>90305007</v>
      </c>
      <c r="D7028" s="161" t="s">
        <v>3093</v>
      </c>
      <c r="E7028" s="161" t="s">
        <v>1778</v>
      </c>
      <c r="F7028" s="163" t="s">
        <v>3093</v>
      </c>
      <c r="G7028" s="163">
        <v>1.76</v>
      </c>
      <c r="H7028" s="161" t="s">
        <v>7138</v>
      </c>
      <c r="I7028" s="161"/>
    </row>
    <row r="7029" spans="1:9">
      <c r="A7029" s="161">
        <v>910400119</v>
      </c>
      <c r="B7029" s="161" t="s">
        <v>7829</v>
      </c>
      <c r="C7029" s="161">
        <v>90107037</v>
      </c>
      <c r="D7029" s="161" t="s">
        <v>3093</v>
      </c>
      <c r="E7029" s="161" t="s">
        <v>8115</v>
      </c>
      <c r="F7029" s="163" t="s">
        <v>3093</v>
      </c>
      <c r="G7029" s="163">
        <v>0.16</v>
      </c>
      <c r="H7029" s="161" t="s">
        <v>7138</v>
      </c>
      <c r="I7029" s="161"/>
    </row>
    <row r="7030" spans="1:9">
      <c r="A7030" s="161">
        <v>910400120</v>
      </c>
      <c r="B7030" s="161" t="s">
        <v>2600</v>
      </c>
      <c r="C7030" s="161">
        <v>90107046</v>
      </c>
      <c r="D7030" s="161" t="s">
        <v>3093</v>
      </c>
      <c r="E7030" s="161" t="s">
        <v>1778</v>
      </c>
      <c r="F7030" s="163" t="s">
        <v>3093</v>
      </c>
      <c r="G7030" s="163">
        <v>0</v>
      </c>
      <c r="H7030" s="161" t="s">
        <v>7138</v>
      </c>
      <c r="I7030" s="161"/>
    </row>
    <row r="7031" spans="1:9">
      <c r="A7031" s="161">
        <v>910400121</v>
      </c>
      <c r="B7031" s="161" t="s">
        <v>2601</v>
      </c>
      <c r="C7031" s="161">
        <v>90107055</v>
      </c>
      <c r="D7031" s="161" t="s">
        <v>3093</v>
      </c>
      <c r="E7031" s="161" t="s">
        <v>1778</v>
      </c>
      <c r="F7031" s="163" t="s">
        <v>3093</v>
      </c>
      <c r="G7031" s="163">
        <v>0.44</v>
      </c>
      <c r="H7031" s="161" t="s">
        <v>7138</v>
      </c>
      <c r="I7031" s="161"/>
    </row>
    <row r="7032" spans="1:9">
      <c r="A7032" s="161">
        <v>910400122</v>
      </c>
      <c r="B7032" s="161" t="s">
        <v>7830</v>
      </c>
      <c r="C7032" s="161">
        <v>90107039</v>
      </c>
      <c r="D7032" s="161" t="s">
        <v>3093</v>
      </c>
      <c r="E7032" s="161" t="s">
        <v>1778</v>
      </c>
      <c r="F7032" s="163" t="s">
        <v>3093</v>
      </c>
      <c r="G7032" s="163">
        <v>1.1000000000000001</v>
      </c>
      <c r="H7032" s="161" t="s">
        <v>7138</v>
      </c>
      <c r="I7032" s="161"/>
    </row>
    <row r="7033" spans="1:9">
      <c r="A7033" s="161">
        <v>910400123</v>
      </c>
      <c r="B7033" s="161" t="s">
        <v>2602</v>
      </c>
      <c r="C7033" s="161">
        <v>90107057</v>
      </c>
      <c r="D7033" s="161" t="s">
        <v>3093</v>
      </c>
      <c r="E7033" s="161" t="s">
        <v>8115</v>
      </c>
      <c r="F7033" s="163" t="s">
        <v>3093</v>
      </c>
      <c r="G7033" s="163">
        <v>0.62</v>
      </c>
      <c r="H7033" s="161" t="s">
        <v>7138</v>
      </c>
      <c r="I7033" s="161"/>
    </row>
    <row r="7034" spans="1:9">
      <c r="A7034" s="161">
        <v>910400124</v>
      </c>
      <c r="B7034" s="161" t="s">
        <v>7831</v>
      </c>
      <c r="C7034" s="161">
        <v>90305055</v>
      </c>
      <c r="D7034" s="161" t="s">
        <v>8127</v>
      </c>
      <c r="E7034" s="161" t="s">
        <v>1778</v>
      </c>
      <c r="F7034" s="163" t="s">
        <v>3093</v>
      </c>
      <c r="G7034" s="163">
        <v>25.47</v>
      </c>
      <c r="H7034" s="161" t="s">
        <v>7138</v>
      </c>
      <c r="I7034" s="161"/>
    </row>
    <row r="7035" spans="1:9">
      <c r="A7035" s="161">
        <v>910400125</v>
      </c>
      <c r="B7035" s="161" t="s">
        <v>2642</v>
      </c>
      <c r="C7035" s="161">
        <v>90112019</v>
      </c>
      <c r="D7035" s="161" t="s">
        <v>3093</v>
      </c>
      <c r="E7035" s="161" t="s">
        <v>102</v>
      </c>
      <c r="F7035" s="163" t="s">
        <v>3093</v>
      </c>
      <c r="G7035" s="163">
        <v>0.12</v>
      </c>
      <c r="H7035" s="161" t="s">
        <v>7138</v>
      </c>
      <c r="I7035" s="161"/>
    </row>
    <row r="7036" spans="1:9">
      <c r="A7036" s="161">
        <v>910400126</v>
      </c>
      <c r="B7036" s="161" t="s">
        <v>2603</v>
      </c>
      <c r="C7036" s="161">
        <v>90107040</v>
      </c>
      <c r="D7036" s="161" t="s">
        <v>3093</v>
      </c>
      <c r="E7036" s="161" t="s">
        <v>8122</v>
      </c>
      <c r="F7036" s="163" t="s">
        <v>3093</v>
      </c>
      <c r="G7036" s="163">
        <v>0.11</v>
      </c>
      <c r="H7036" s="161" t="s">
        <v>7138</v>
      </c>
      <c r="I7036" s="161"/>
    </row>
    <row r="7037" spans="1:9">
      <c r="A7037" s="161">
        <v>910400127</v>
      </c>
      <c r="B7037" s="161" t="s">
        <v>7832</v>
      </c>
      <c r="C7037" s="161">
        <v>90107047</v>
      </c>
      <c r="D7037" s="161" t="s">
        <v>3093</v>
      </c>
      <c r="E7037" s="161" t="s">
        <v>1778</v>
      </c>
      <c r="F7037" s="163" t="s">
        <v>3093</v>
      </c>
      <c r="G7037" s="163">
        <v>2.25</v>
      </c>
      <c r="H7037" s="161" t="s">
        <v>7138</v>
      </c>
      <c r="I7037" s="161"/>
    </row>
    <row r="7038" spans="1:9">
      <c r="A7038" s="161">
        <v>910400128</v>
      </c>
      <c r="B7038" s="161" t="s">
        <v>7833</v>
      </c>
      <c r="C7038" s="161">
        <v>90305153</v>
      </c>
      <c r="D7038" s="161" t="s">
        <v>3093</v>
      </c>
      <c r="E7038" s="161" t="s">
        <v>8120</v>
      </c>
      <c r="F7038" s="163" t="s">
        <v>3093</v>
      </c>
      <c r="G7038" s="163">
        <v>1.19</v>
      </c>
      <c r="H7038" s="161" t="s">
        <v>7138</v>
      </c>
      <c r="I7038" s="161"/>
    </row>
    <row r="7039" spans="1:9">
      <c r="A7039" s="161">
        <v>910400129</v>
      </c>
      <c r="B7039" s="161" t="s">
        <v>2604</v>
      </c>
      <c r="C7039" s="161">
        <v>90107058</v>
      </c>
      <c r="D7039" s="161" t="s">
        <v>3093</v>
      </c>
      <c r="E7039" s="161" t="s">
        <v>8115</v>
      </c>
      <c r="F7039" s="163" t="s">
        <v>3093</v>
      </c>
      <c r="G7039" s="163">
        <v>2</v>
      </c>
      <c r="H7039" s="161" t="s">
        <v>7138</v>
      </c>
      <c r="I7039" s="161"/>
    </row>
    <row r="7040" spans="1:9">
      <c r="A7040" s="161">
        <v>910400130</v>
      </c>
      <c r="B7040" s="161" t="s">
        <v>7834</v>
      </c>
      <c r="C7040" s="161">
        <v>90104015</v>
      </c>
      <c r="D7040" s="161" t="s">
        <v>3093</v>
      </c>
      <c r="E7040" s="161" t="s">
        <v>1778</v>
      </c>
      <c r="F7040" s="163" t="s">
        <v>3093</v>
      </c>
      <c r="G7040" s="163">
        <v>0</v>
      </c>
      <c r="H7040" s="161" t="s">
        <v>7138</v>
      </c>
      <c r="I7040" s="161"/>
    </row>
    <row r="7041" spans="1:9">
      <c r="A7041" s="161">
        <v>910400131</v>
      </c>
      <c r="B7041" s="161" t="s">
        <v>7835</v>
      </c>
      <c r="C7041" s="161">
        <v>90104014</v>
      </c>
      <c r="D7041" s="161" t="s">
        <v>3093</v>
      </c>
      <c r="E7041" s="161" t="s">
        <v>1778</v>
      </c>
      <c r="F7041" s="163" t="s">
        <v>3093</v>
      </c>
      <c r="G7041" s="163">
        <v>6.29</v>
      </c>
      <c r="H7041" s="161" t="s">
        <v>7138</v>
      </c>
      <c r="I7041" s="161"/>
    </row>
    <row r="7042" spans="1:9">
      <c r="A7042" s="161">
        <v>910400132</v>
      </c>
      <c r="B7042" s="161" t="s">
        <v>7836</v>
      </c>
      <c r="C7042" s="161">
        <v>90104016</v>
      </c>
      <c r="D7042" s="161" t="s">
        <v>3093</v>
      </c>
      <c r="E7042" s="161" t="s">
        <v>1778</v>
      </c>
      <c r="F7042" s="163" t="s">
        <v>3093</v>
      </c>
      <c r="G7042" s="163">
        <v>1.65</v>
      </c>
      <c r="H7042" s="161" t="s">
        <v>7138</v>
      </c>
      <c r="I7042" s="161"/>
    </row>
    <row r="7043" spans="1:9">
      <c r="A7043" s="161">
        <v>910400133</v>
      </c>
      <c r="B7043" s="161" t="s">
        <v>1782</v>
      </c>
      <c r="C7043" s="161">
        <v>90305004</v>
      </c>
      <c r="D7043" s="161" t="s">
        <v>8127</v>
      </c>
      <c r="E7043" s="161" t="s">
        <v>8120</v>
      </c>
      <c r="F7043" s="163" t="s">
        <v>3093</v>
      </c>
      <c r="G7043" s="163">
        <v>0.63</v>
      </c>
      <c r="H7043" s="161" t="s">
        <v>7138</v>
      </c>
      <c r="I7043" s="161"/>
    </row>
    <row r="7044" spans="1:9">
      <c r="A7044" s="161">
        <v>910400134</v>
      </c>
      <c r="B7044" s="161" t="s">
        <v>7837</v>
      </c>
      <c r="C7044" s="161">
        <v>90102037</v>
      </c>
      <c r="D7044" s="161" t="s">
        <v>3093</v>
      </c>
      <c r="E7044" s="161" t="s">
        <v>102</v>
      </c>
      <c r="F7044" s="163" t="s">
        <v>3093</v>
      </c>
      <c r="G7044" s="163">
        <v>2.2599999999999999E-2</v>
      </c>
      <c r="H7044" s="161" t="s">
        <v>7138</v>
      </c>
      <c r="I7044" s="161"/>
    </row>
    <row r="7045" spans="1:9">
      <c r="A7045" s="161">
        <v>910400135</v>
      </c>
      <c r="B7045" s="161" t="s">
        <v>7838</v>
      </c>
      <c r="C7045" s="161">
        <v>90102054</v>
      </c>
      <c r="D7045" s="161" t="s">
        <v>3093</v>
      </c>
      <c r="E7045" s="161" t="s">
        <v>102</v>
      </c>
      <c r="F7045" s="163" t="s">
        <v>3093</v>
      </c>
      <c r="G7045" s="163">
        <v>0</v>
      </c>
      <c r="H7045" s="161" t="s">
        <v>7138</v>
      </c>
      <c r="I7045" s="161"/>
    </row>
    <row r="7046" spans="1:9">
      <c r="A7046" s="161">
        <v>910400136</v>
      </c>
      <c r="B7046" s="161" t="s">
        <v>7839</v>
      </c>
      <c r="C7046" s="161">
        <v>90104017</v>
      </c>
      <c r="D7046" s="161" t="s">
        <v>3093</v>
      </c>
      <c r="E7046" s="161" t="s">
        <v>102</v>
      </c>
      <c r="F7046" s="163" t="s">
        <v>3093</v>
      </c>
      <c r="G7046" s="163">
        <v>0</v>
      </c>
      <c r="H7046" s="161" t="s">
        <v>7138</v>
      </c>
      <c r="I7046" s="161"/>
    </row>
    <row r="7047" spans="1:9">
      <c r="A7047" s="161">
        <v>910400137</v>
      </c>
      <c r="B7047" s="161" t="s">
        <v>7840</v>
      </c>
      <c r="C7047" s="161">
        <v>90102030</v>
      </c>
      <c r="D7047" s="161" t="s">
        <v>3093</v>
      </c>
      <c r="E7047" s="161" t="s">
        <v>1778</v>
      </c>
      <c r="F7047" s="163" t="s">
        <v>3093</v>
      </c>
      <c r="G7047" s="163">
        <v>7</v>
      </c>
      <c r="H7047" s="161" t="s">
        <v>7138</v>
      </c>
      <c r="I7047" s="161"/>
    </row>
    <row r="7048" spans="1:9">
      <c r="A7048" s="161">
        <v>910400138</v>
      </c>
      <c r="B7048" s="161" t="s">
        <v>7841</v>
      </c>
      <c r="C7048" s="161">
        <v>90102043</v>
      </c>
      <c r="D7048" s="161" t="s">
        <v>3093</v>
      </c>
      <c r="E7048" s="161" t="s">
        <v>1778</v>
      </c>
      <c r="F7048" s="163" t="s">
        <v>3093</v>
      </c>
      <c r="G7048" s="163">
        <v>0</v>
      </c>
      <c r="H7048" s="161" t="s">
        <v>7138</v>
      </c>
      <c r="I7048" s="161"/>
    </row>
    <row r="7049" spans="1:9">
      <c r="A7049" s="161">
        <v>910400139</v>
      </c>
      <c r="B7049" s="161" t="s">
        <v>7842</v>
      </c>
      <c r="C7049" s="161">
        <v>90305039</v>
      </c>
      <c r="D7049" s="161"/>
      <c r="E7049" s="161" t="s">
        <v>8120</v>
      </c>
      <c r="F7049" s="163" t="s">
        <v>3093</v>
      </c>
      <c r="G7049" s="163">
        <v>1.49</v>
      </c>
      <c r="H7049" s="161" t="s">
        <v>7138</v>
      </c>
      <c r="I7049" s="161"/>
    </row>
    <row r="7050" spans="1:9">
      <c r="A7050" s="161">
        <v>910400140</v>
      </c>
      <c r="B7050" s="161" t="s">
        <v>1777</v>
      </c>
      <c r="C7050" s="161">
        <v>90305006</v>
      </c>
      <c r="D7050" s="161" t="s">
        <v>3093</v>
      </c>
      <c r="E7050" s="161" t="s">
        <v>1778</v>
      </c>
      <c r="F7050" s="163" t="s">
        <v>3093</v>
      </c>
      <c r="G7050" s="163">
        <v>1.05</v>
      </c>
      <c r="H7050" s="161" t="s">
        <v>7138</v>
      </c>
      <c r="I7050" s="161"/>
    </row>
    <row r="7051" spans="1:9">
      <c r="A7051" s="161">
        <v>910400141</v>
      </c>
      <c r="B7051" s="161" t="s">
        <v>7843</v>
      </c>
      <c r="C7051" s="161">
        <v>90102040</v>
      </c>
      <c r="D7051" s="161" t="s">
        <v>3093</v>
      </c>
      <c r="E7051" s="161" t="s">
        <v>102</v>
      </c>
      <c r="F7051" s="163" t="s">
        <v>3093</v>
      </c>
      <c r="G7051" s="163">
        <v>0.1</v>
      </c>
      <c r="H7051" s="161" t="s">
        <v>7138</v>
      </c>
      <c r="I7051" s="161"/>
    </row>
    <row r="7052" spans="1:9">
      <c r="A7052" s="161">
        <v>910400142</v>
      </c>
      <c r="B7052" s="161" t="s">
        <v>7844</v>
      </c>
      <c r="C7052" s="161">
        <v>90102004</v>
      </c>
      <c r="D7052" s="161" t="s">
        <v>3093</v>
      </c>
      <c r="E7052" s="161" t="s">
        <v>102</v>
      </c>
      <c r="F7052" s="163" t="s">
        <v>3093</v>
      </c>
      <c r="G7052" s="163">
        <v>0</v>
      </c>
      <c r="H7052" s="161" t="s">
        <v>7138</v>
      </c>
      <c r="I7052" s="161"/>
    </row>
    <row r="7053" spans="1:9">
      <c r="A7053" s="161">
        <v>910400143</v>
      </c>
      <c r="B7053" s="161" t="s">
        <v>7845</v>
      </c>
      <c r="C7053" s="161">
        <v>90104007</v>
      </c>
      <c r="D7053" s="161" t="s">
        <v>3093</v>
      </c>
      <c r="E7053" s="161" t="s">
        <v>1778</v>
      </c>
      <c r="F7053" s="163" t="s">
        <v>3093</v>
      </c>
      <c r="G7053" s="163">
        <v>0</v>
      </c>
      <c r="H7053" s="161" t="s">
        <v>7138</v>
      </c>
      <c r="I7053" s="161"/>
    </row>
    <row r="7054" spans="1:9">
      <c r="A7054" s="161">
        <v>910400152</v>
      </c>
      <c r="B7054" s="161" t="s">
        <v>7846</v>
      </c>
      <c r="C7054" s="161">
        <v>90305006</v>
      </c>
      <c r="D7054" s="161" t="s">
        <v>3093</v>
      </c>
      <c r="E7054" s="161" t="s">
        <v>1778</v>
      </c>
      <c r="F7054" s="163" t="s">
        <v>3093</v>
      </c>
      <c r="G7054" s="163">
        <v>60.1</v>
      </c>
      <c r="H7054" s="161" t="s">
        <v>7138</v>
      </c>
      <c r="I7054" s="161"/>
    </row>
    <row r="7055" spans="1:9">
      <c r="A7055" s="161">
        <v>910400153</v>
      </c>
      <c r="B7055" s="161" t="s">
        <v>7847</v>
      </c>
      <c r="C7055" s="161">
        <v>90104017</v>
      </c>
      <c r="D7055" s="161" t="s">
        <v>3093</v>
      </c>
      <c r="E7055" s="161" t="s">
        <v>102</v>
      </c>
      <c r="F7055" s="163" t="s">
        <v>3093</v>
      </c>
      <c r="G7055" s="163">
        <v>0</v>
      </c>
      <c r="H7055" s="161" t="s">
        <v>7138</v>
      </c>
      <c r="I7055" s="161"/>
    </row>
    <row r="7056" spans="1:9">
      <c r="A7056" s="161">
        <v>910400154</v>
      </c>
      <c r="B7056" s="161" t="s">
        <v>7848</v>
      </c>
      <c r="C7056" s="161">
        <v>90102057</v>
      </c>
      <c r="D7056" s="161" t="s">
        <v>3093</v>
      </c>
      <c r="E7056" s="161" t="s">
        <v>102</v>
      </c>
      <c r="F7056" s="163" t="s">
        <v>3093</v>
      </c>
      <c r="G7056" s="163">
        <v>0</v>
      </c>
      <c r="H7056" s="161" t="s">
        <v>7138</v>
      </c>
      <c r="I7056" s="161"/>
    </row>
    <row r="7057" spans="1:9">
      <c r="A7057" s="161">
        <v>910500001</v>
      </c>
      <c r="B7057" s="161" t="s">
        <v>2402</v>
      </c>
      <c r="C7057" s="161">
        <v>90203021</v>
      </c>
      <c r="D7057" s="161" t="s">
        <v>3093</v>
      </c>
      <c r="E7057" s="161" t="s">
        <v>2522</v>
      </c>
      <c r="F7057" s="163" t="s">
        <v>3093</v>
      </c>
      <c r="G7057" s="163">
        <v>0</v>
      </c>
      <c r="H7057" s="161" t="s">
        <v>7138</v>
      </c>
      <c r="I7057" s="161"/>
    </row>
    <row r="7058" spans="1:9">
      <c r="A7058" s="161">
        <v>910500002</v>
      </c>
      <c r="B7058" s="161" t="s">
        <v>2403</v>
      </c>
      <c r="C7058" s="161">
        <v>90203028</v>
      </c>
      <c r="D7058" s="161" t="s">
        <v>3093</v>
      </c>
      <c r="E7058" s="161" t="s">
        <v>1778</v>
      </c>
      <c r="F7058" s="163" t="s">
        <v>3093</v>
      </c>
      <c r="G7058" s="163">
        <v>1.1200000000000001</v>
      </c>
      <c r="H7058" s="161" t="s">
        <v>7138</v>
      </c>
      <c r="I7058" s="161"/>
    </row>
    <row r="7059" spans="1:9">
      <c r="A7059" s="161">
        <v>910500003</v>
      </c>
      <c r="B7059" s="161" t="s">
        <v>2404</v>
      </c>
      <c r="C7059" s="161">
        <v>90203020</v>
      </c>
      <c r="D7059" s="161" t="s">
        <v>3093</v>
      </c>
      <c r="E7059" s="161" t="s">
        <v>102</v>
      </c>
      <c r="F7059" s="163" t="s">
        <v>3093</v>
      </c>
      <c r="G7059" s="163">
        <v>0</v>
      </c>
      <c r="H7059" s="161" t="s">
        <v>7138</v>
      </c>
      <c r="I7059" s="161"/>
    </row>
    <row r="7060" spans="1:9">
      <c r="A7060" s="161">
        <v>910500004</v>
      </c>
      <c r="B7060" s="161" t="s">
        <v>7849</v>
      </c>
      <c r="C7060" s="161">
        <v>90103101</v>
      </c>
      <c r="D7060" s="161" t="s">
        <v>3093</v>
      </c>
      <c r="E7060" s="161" t="s">
        <v>8115</v>
      </c>
      <c r="F7060" s="163" t="s">
        <v>3093</v>
      </c>
      <c r="G7060" s="163">
        <v>0</v>
      </c>
      <c r="H7060" s="161" t="s">
        <v>7138</v>
      </c>
      <c r="I7060" s="161"/>
    </row>
    <row r="7061" spans="1:9">
      <c r="A7061" s="161">
        <v>910500005</v>
      </c>
      <c r="B7061" s="161" t="s">
        <v>7850</v>
      </c>
      <c r="C7061" s="161">
        <v>90105065</v>
      </c>
      <c r="D7061" s="161" t="s">
        <v>3093</v>
      </c>
      <c r="E7061" s="161" t="s">
        <v>8115</v>
      </c>
      <c r="F7061" s="163" t="s">
        <v>3093</v>
      </c>
      <c r="G7061" s="163">
        <v>0</v>
      </c>
      <c r="H7061" s="161" t="s">
        <v>7138</v>
      </c>
      <c r="I7061" s="161"/>
    </row>
    <row r="7062" spans="1:9">
      <c r="A7062" s="161">
        <v>910500006</v>
      </c>
      <c r="B7062" s="161" t="s">
        <v>7851</v>
      </c>
      <c r="C7062" s="161">
        <v>90105000</v>
      </c>
      <c r="D7062" s="161" t="s">
        <v>3093</v>
      </c>
      <c r="E7062" s="161" t="s">
        <v>8115</v>
      </c>
      <c r="F7062" s="163" t="s">
        <v>3093</v>
      </c>
      <c r="G7062" s="163">
        <v>0.19</v>
      </c>
      <c r="H7062" s="161" t="s">
        <v>7138</v>
      </c>
      <c r="I7062" s="161"/>
    </row>
    <row r="7063" spans="1:9">
      <c r="A7063" s="161">
        <v>910500007</v>
      </c>
      <c r="B7063" s="161" t="s">
        <v>7852</v>
      </c>
      <c r="C7063" s="161">
        <v>90105067</v>
      </c>
      <c r="D7063" s="161" t="s">
        <v>8128</v>
      </c>
      <c r="E7063" s="161" t="s">
        <v>8115</v>
      </c>
      <c r="F7063" s="163" t="s">
        <v>3093</v>
      </c>
      <c r="G7063" s="163">
        <v>0.13</v>
      </c>
      <c r="H7063" s="161" t="s">
        <v>7138</v>
      </c>
      <c r="I7063" s="161"/>
    </row>
    <row r="7064" spans="1:9">
      <c r="A7064" s="161">
        <v>910500008</v>
      </c>
      <c r="B7064" s="161" t="s">
        <v>7853</v>
      </c>
      <c r="C7064" s="161">
        <v>90105066</v>
      </c>
      <c r="D7064" s="161" t="s">
        <v>8128</v>
      </c>
      <c r="E7064" s="161" t="s">
        <v>8115</v>
      </c>
      <c r="F7064" s="163" t="s">
        <v>3093</v>
      </c>
      <c r="G7064" s="163">
        <v>0.18</v>
      </c>
      <c r="H7064" s="161" t="s">
        <v>7138</v>
      </c>
      <c r="I7064" s="161"/>
    </row>
    <row r="7065" spans="1:9">
      <c r="A7065" s="161">
        <v>910500009</v>
      </c>
      <c r="B7065" s="161" t="s">
        <v>2357</v>
      </c>
      <c r="C7065" s="161">
        <v>90105054</v>
      </c>
      <c r="D7065" s="161" t="s">
        <v>3093</v>
      </c>
      <c r="E7065" s="161" t="s">
        <v>1620</v>
      </c>
      <c r="F7065" s="163" t="s">
        <v>3093</v>
      </c>
      <c r="G7065" s="163">
        <v>0.24</v>
      </c>
      <c r="H7065" s="161" t="s">
        <v>7138</v>
      </c>
      <c r="I7065" s="161"/>
    </row>
    <row r="7066" spans="1:9">
      <c r="A7066" s="161">
        <v>910500010</v>
      </c>
      <c r="B7066" s="161" t="s">
        <v>7854</v>
      </c>
      <c r="C7066" s="161">
        <v>90105069</v>
      </c>
      <c r="D7066" s="161" t="s">
        <v>8128</v>
      </c>
      <c r="E7066" s="161" t="s">
        <v>8115</v>
      </c>
      <c r="F7066" s="163" t="s">
        <v>3093</v>
      </c>
      <c r="G7066" s="163">
        <v>0.13</v>
      </c>
      <c r="H7066" s="161" t="s">
        <v>7138</v>
      </c>
      <c r="I7066" s="161"/>
    </row>
    <row r="7067" spans="1:9">
      <c r="A7067" s="161">
        <v>910500011</v>
      </c>
      <c r="B7067" s="161" t="s">
        <v>7855</v>
      </c>
      <c r="C7067" s="161">
        <v>90105001</v>
      </c>
      <c r="D7067" s="161" t="s">
        <v>3093</v>
      </c>
      <c r="E7067" s="161" t="s">
        <v>8115</v>
      </c>
      <c r="F7067" s="163" t="s">
        <v>3093</v>
      </c>
      <c r="G7067" s="163">
        <v>0.35</v>
      </c>
      <c r="H7067" s="161" t="s">
        <v>7138</v>
      </c>
      <c r="I7067" s="161"/>
    </row>
    <row r="7068" spans="1:9">
      <c r="A7068" s="161">
        <v>910500012</v>
      </c>
      <c r="B7068" s="161" t="s">
        <v>7856</v>
      </c>
      <c r="C7068" s="161">
        <v>90105059</v>
      </c>
      <c r="D7068" s="161" t="s">
        <v>3093</v>
      </c>
      <c r="E7068" s="161" t="s">
        <v>8115</v>
      </c>
      <c r="F7068" s="163" t="s">
        <v>3093</v>
      </c>
      <c r="G7068" s="163">
        <v>0.3</v>
      </c>
      <c r="H7068" s="161" t="s">
        <v>7138</v>
      </c>
      <c r="I7068" s="161"/>
    </row>
    <row r="7069" spans="1:9">
      <c r="A7069" s="161">
        <v>910500013</v>
      </c>
      <c r="B7069" s="161" t="s">
        <v>7857</v>
      </c>
      <c r="C7069" s="161">
        <v>90105058</v>
      </c>
      <c r="D7069" s="161" t="s">
        <v>3093</v>
      </c>
      <c r="E7069" s="161" t="s">
        <v>8115</v>
      </c>
      <c r="F7069" s="163" t="s">
        <v>3093</v>
      </c>
      <c r="G7069" s="163">
        <v>2.5</v>
      </c>
      <c r="H7069" s="161" t="s">
        <v>7138</v>
      </c>
      <c r="I7069" s="161"/>
    </row>
    <row r="7070" spans="1:9">
      <c r="A7070" s="161">
        <v>910500014</v>
      </c>
      <c r="B7070" s="161" t="s">
        <v>7858</v>
      </c>
      <c r="C7070" s="161">
        <v>90105004</v>
      </c>
      <c r="D7070" s="161" t="s">
        <v>3093</v>
      </c>
      <c r="E7070" s="161" t="s">
        <v>8115</v>
      </c>
      <c r="F7070" s="163" t="s">
        <v>3093</v>
      </c>
      <c r="G7070" s="163">
        <v>0.2</v>
      </c>
      <c r="H7070" s="161" t="s">
        <v>7138</v>
      </c>
      <c r="I7070" s="161"/>
    </row>
    <row r="7071" spans="1:9">
      <c r="A7071" s="161">
        <v>910500015</v>
      </c>
      <c r="B7071" s="161" t="s">
        <v>7859</v>
      </c>
      <c r="C7071" s="161">
        <v>90105061</v>
      </c>
      <c r="D7071" s="161" t="s">
        <v>3093</v>
      </c>
      <c r="E7071" s="161" t="s">
        <v>8115</v>
      </c>
      <c r="F7071" s="163" t="s">
        <v>3093</v>
      </c>
      <c r="G7071" s="163">
        <v>0.11</v>
      </c>
      <c r="H7071" s="161" t="s">
        <v>7138</v>
      </c>
      <c r="I7071" s="161"/>
    </row>
    <row r="7072" spans="1:9">
      <c r="A7072" s="161">
        <v>910500016</v>
      </c>
      <c r="B7072" s="161" t="s">
        <v>7860</v>
      </c>
      <c r="C7072" s="161">
        <v>90105002</v>
      </c>
      <c r="D7072" s="161" t="s">
        <v>3093</v>
      </c>
      <c r="E7072" s="161" t="s">
        <v>8115</v>
      </c>
      <c r="F7072" s="163" t="s">
        <v>3093</v>
      </c>
      <c r="G7072" s="163">
        <v>0.19</v>
      </c>
      <c r="H7072" s="161" t="s">
        <v>7138</v>
      </c>
      <c r="I7072" s="161"/>
    </row>
    <row r="7073" spans="1:9">
      <c r="A7073" s="161">
        <v>910500017</v>
      </c>
      <c r="B7073" s="161" t="s">
        <v>7861</v>
      </c>
      <c r="C7073" s="161">
        <v>90105064</v>
      </c>
      <c r="D7073" s="161" t="s">
        <v>3093</v>
      </c>
      <c r="E7073" s="161" t="s">
        <v>8115</v>
      </c>
      <c r="F7073" s="163" t="s">
        <v>3093</v>
      </c>
      <c r="G7073" s="163">
        <v>0.24</v>
      </c>
      <c r="H7073" s="161" t="s">
        <v>7138</v>
      </c>
      <c r="I7073" s="161"/>
    </row>
    <row r="7074" spans="1:9">
      <c r="A7074" s="161">
        <v>910500018</v>
      </c>
      <c r="B7074" s="161" t="s">
        <v>7862</v>
      </c>
      <c r="C7074" s="161">
        <v>90105060</v>
      </c>
      <c r="D7074" s="161" t="s">
        <v>3093</v>
      </c>
      <c r="E7074" s="161" t="s">
        <v>8115</v>
      </c>
      <c r="F7074" s="163" t="s">
        <v>3093</v>
      </c>
      <c r="G7074" s="163">
        <v>0.24</v>
      </c>
      <c r="H7074" s="161" t="s">
        <v>7138</v>
      </c>
      <c r="I7074" s="161"/>
    </row>
    <row r="7075" spans="1:9">
      <c r="A7075" s="161">
        <v>910500019</v>
      </c>
      <c r="B7075" s="161" t="s">
        <v>7863</v>
      </c>
      <c r="C7075" s="161">
        <v>90105003</v>
      </c>
      <c r="D7075" s="161" t="s">
        <v>3093</v>
      </c>
      <c r="E7075" s="161" t="s">
        <v>8115</v>
      </c>
      <c r="F7075" s="163" t="s">
        <v>3093</v>
      </c>
      <c r="G7075" s="163">
        <v>0.37</v>
      </c>
      <c r="H7075" s="161" t="s">
        <v>7138</v>
      </c>
      <c r="I7075" s="161"/>
    </row>
    <row r="7076" spans="1:9">
      <c r="A7076" s="161">
        <v>910500020</v>
      </c>
      <c r="B7076" s="161" t="s">
        <v>7864</v>
      </c>
      <c r="C7076" s="161">
        <v>90105017</v>
      </c>
      <c r="D7076" s="161" t="s">
        <v>3093</v>
      </c>
      <c r="E7076" s="161" t="s">
        <v>8115</v>
      </c>
      <c r="F7076" s="163" t="s">
        <v>3093</v>
      </c>
      <c r="G7076" s="163">
        <v>0.36</v>
      </c>
      <c r="H7076" s="161" t="s">
        <v>7138</v>
      </c>
      <c r="I7076" s="161"/>
    </row>
    <row r="7077" spans="1:9">
      <c r="A7077" s="161">
        <v>910500021</v>
      </c>
      <c r="B7077" s="161" t="s">
        <v>7865</v>
      </c>
      <c r="C7077" s="161">
        <v>90105006</v>
      </c>
      <c r="D7077" s="161" t="s">
        <v>3093</v>
      </c>
      <c r="E7077" s="161" t="s">
        <v>8115</v>
      </c>
      <c r="F7077" s="163" t="s">
        <v>3093</v>
      </c>
      <c r="G7077" s="163">
        <v>0.33</v>
      </c>
      <c r="H7077" s="161" t="s">
        <v>7138</v>
      </c>
      <c r="I7077" s="161"/>
    </row>
    <row r="7078" spans="1:9">
      <c r="A7078" s="161">
        <v>910500022</v>
      </c>
      <c r="B7078" s="161" t="s">
        <v>7866</v>
      </c>
      <c r="C7078" s="161">
        <v>90105062</v>
      </c>
      <c r="D7078" s="161" t="s">
        <v>8128</v>
      </c>
      <c r="E7078" s="161" t="s">
        <v>8115</v>
      </c>
      <c r="F7078" s="163" t="s">
        <v>3093</v>
      </c>
      <c r="G7078" s="163">
        <v>0.47</v>
      </c>
      <c r="H7078" s="161" t="s">
        <v>7138</v>
      </c>
      <c r="I7078" s="161"/>
    </row>
    <row r="7079" spans="1:9">
      <c r="A7079" s="161">
        <v>910500023</v>
      </c>
      <c r="B7079" s="161" t="s">
        <v>7867</v>
      </c>
      <c r="C7079" s="161">
        <v>90105070</v>
      </c>
      <c r="D7079" s="161" t="s">
        <v>8128</v>
      </c>
      <c r="E7079" s="161" t="s">
        <v>8115</v>
      </c>
      <c r="F7079" s="163" t="s">
        <v>3093</v>
      </c>
      <c r="G7079" s="163">
        <v>0.15</v>
      </c>
      <c r="H7079" s="161" t="s">
        <v>7138</v>
      </c>
      <c r="I7079" s="161"/>
    </row>
    <row r="7080" spans="1:9">
      <c r="A7080" s="161">
        <v>910500024</v>
      </c>
      <c r="B7080" s="161" t="s">
        <v>7868</v>
      </c>
      <c r="C7080" s="161">
        <v>90105068</v>
      </c>
      <c r="D7080" s="161" t="s">
        <v>8128</v>
      </c>
      <c r="E7080" s="161" t="s">
        <v>8115</v>
      </c>
      <c r="F7080" s="163" t="s">
        <v>3093</v>
      </c>
      <c r="G7080" s="163">
        <v>0.14000000000000001</v>
      </c>
      <c r="H7080" s="161" t="s">
        <v>7138</v>
      </c>
      <c r="I7080" s="161"/>
    </row>
    <row r="7081" spans="1:9">
      <c r="A7081" s="161">
        <v>910500025</v>
      </c>
      <c r="B7081" s="161" t="s">
        <v>2405</v>
      </c>
      <c r="C7081" s="161">
        <v>90203044</v>
      </c>
      <c r="D7081" s="161" t="s">
        <v>3093</v>
      </c>
      <c r="E7081" s="161" t="s">
        <v>1778</v>
      </c>
      <c r="F7081" s="163" t="s">
        <v>3093</v>
      </c>
      <c r="G7081" s="163">
        <v>0</v>
      </c>
      <c r="H7081" s="161" t="s">
        <v>7138</v>
      </c>
      <c r="I7081" s="161"/>
    </row>
    <row r="7082" spans="1:9">
      <c r="A7082" s="161">
        <v>910500026</v>
      </c>
      <c r="B7082" s="161" t="s">
        <v>2406</v>
      </c>
      <c r="C7082" s="161">
        <v>90203035</v>
      </c>
      <c r="D7082" s="161" t="s">
        <v>3093</v>
      </c>
      <c r="E7082" s="161" t="s">
        <v>102</v>
      </c>
      <c r="F7082" s="163" t="s">
        <v>3093</v>
      </c>
      <c r="G7082" s="163">
        <v>1.4</v>
      </c>
      <c r="H7082" s="161" t="s">
        <v>7138</v>
      </c>
      <c r="I7082" s="161"/>
    </row>
    <row r="7083" spans="1:9">
      <c r="A7083" s="161">
        <v>910500027</v>
      </c>
      <c r="B7083" s="161" t="s">
        <v>2407</v>
      </c>
      <c r="C7083" s="161">
        <v>90203030</v>
      </c>
      <c r="D7083" s="161" t="s">
        <v>3093</v>
      </c>
      <c r="E7083" s="161" t="s">
        <v>7143</v>
      </c>
      <c r="F7083" s="163" t="s">
        <v>3093</v>
      </c>
      <c r="G7083" s="163">
        <v>22.6</v>
      </c>
      <c r="H7083" s="161" t="s">
        <v>7138</v>
      </c>
      <c r="I7083" s="161"/>
    </row>
    <row r="7084" spans="1:9">
      <c r="A7084" s="161">
        <v>910500028</v>
      </c>
      <c r="B7084" s="161" t="s">
        <v>2408</v>
      </c>
      <c r="C7084" s="161">
        <v>90203042</v>
      </c>
      <c r="D7084" s="161" t="s">
        <v>3093</v>
      </c>
      <c r="E7084" s="161" t="s">
        <v>7143</v>
      </c>
      <c r="F7084" s="163" t="s">
        <v>3093</v>
      </c>
      <c r="G7084" s="163">
        <v>29.8</v>
      </c>
      <c r="H7084" s="161" t="s">
        <v>7138</v>
      </c>
      <c r="I7084" s="161"/>
    </row>
    <row r="7085" spans="1:9">
      <c r="A7085" s="161">
        <v>910500029</v>
      </c>
      <c r="B7085" s="161" t="s">
        <v>7869</v>
      </c>
      <c r="C7085" s="161">
        <v>90203033</v>
      </c>
      <c r="D7085" s="161" t="s">
        <v>3093</v>
      </c>
      <c r="E7085" s="161" t="s">
        <v>2583</v>
      </c>
      <c r="F7085" s="163" t="s">
        <v>3093</v>
      </c>
      <c r="G7085" s="163">
        <v>0</v>
      </c>
      <c r="H7085" s="161" t="s">
        <v>7138</v>
      </c>
      <c r="I7085" s="161"/>
    </row>
    <row r="7086" spans="1:9">
      <c r="A7086" s="161">
        <v>910500030</v>
      </c>
      <c r="B7086" s="161" t="s">
        <v>2409</v>
      </c>
      <c r="C7086" s="161">
        <v>90203032</v>
      </c>
      <c r="D7086" s="161" t="s">
        <v>3093</v>
      </c>
      <c r="E7086" s="161" t="s">
        <v>2583</v>
      </c>
      <c r="F7086" s="163" t="s">
        <v>3093</v>
      </c>
      <c r="G7086" s="163">
        <v>8.48</v>
      </c>
      <c r="H7086" s="161" t="s">
        <v>7138</v>
      </c>
      <c r="I7086" s="161"/>
    </row>
    <row r="7087" spans="1:9">
      <c r="A7087" s="161">
        <v>910500031</v>
      </c>
      <c r="B7087" s="161" t="s">
        <v>2410</v>
      </c>
      <c r="C7087" s="161">
        <v>90203016</v>
      </c>
      <c r="D7087" s="161" t="s">
        <v>3093</v>
      </c>
      <c r="E7087" s="161" t="s">
        <v>7143</v>
      </c>
      <c r="F7087" s="163" t="s">
        <v>3093</v>
      </c>
      <c r="G7087" s="163">
        <v>1.1200000000000001</v>
      </c>
      <c r="H7087" s="161" t="s">
        <v>7138</v>
      </c>
      <c r="I7087" s="161"/>
    </row>
    <row r="7088" spans="1:9">
      <c r="A7088" s="161">
        <v>910500032</v>
      </c>
      <c r="B7088" s="161" t="s">
        <v>2411</v>
      </c>
      <c r="C7088" s="161">
        <v>90203018</v>
      </c>
      <c r="D7088" s="161" t="s">
        <v>3093</v>
      </c>
      <c r="E7088" s="161" t="s">
        <v>7143</v>
      </c>
      <c r="F7088" s="163" t="s">
        <v>3093</v>
      </c>
      <c r="G7088" s="163">
        <v>23.73</v>
      </c>
      <c r="H7088" s="161" t="s">
        <v>7138</v>
      </c>
      <c r="I7088" s="161"/>
    </row>
    <row r="7089" spans="1:9">
      <c r="A7089" s="161">
        <v>910500033</v>
      </c>
      <c r="B7089" s="161" t="s">
        <v>2412</v>
      </c>
      <c r="C7089" s="161">
        <v>90203043</v>
      </c>
      <c r="D7089" s="161" t="s">
        <v>3093</v>
      </c>
      <c r="E7089" s="161" t="s">
        <v>102</v>
      </c>
      <c r="F7089" s="163" t="s">
        <v>3093</v>
      </c>
      <c r="G7089" s="163">
        <v>1.46</v>
      </c>
      <c r="H7089" s="161" t="s">
        <v>7138</v>
      </c>
      <c r="I7089" s="161"/>
    </row>
    <row r="7090" spans="1:9">
      <c r="A7090" s="161">
        <v>910500034</v>
      </c>
      <c r="B7090" s="161" t="s">
        <v>7870</v>
      </c>
      <c r="C7090" s="161">
        <v>90203009</v>
      </c>
      <c r="D7090" s="161" t="s">
        <v>3093</v>
      </c>
      <c r="E7090" s="161" t="s">
        <v>2522</v>
      </c>
      <c r="F7090" s="163" t="s">
        <v>3093</v>
      </c>
      <c r="G7090" s="163">
        <v>6.78</v>
      </c>
      <c r="H7090" s="161" t="s">
        <v>7138</v>
      </c>
      <c r="I7090" s="161"/>
    </row>
    <row r="7091" spans="1:9">
      <c r="A7091" s="161">
        <v>910500035</v>
      </c>
      <c r="B7091" s="161" t="s">
        <v>2413</v>
      </c>
      <c r="C7091" s="161">
        <v>90203017</v>
      </c>
      <c r="D7091" s="161" t="s">
        <v>3093</v>
      </c>
      <c r="E7091" s="161" t="s">
        <v>102</v>
      </c>
      <c r="F7091" s="163" t="s">
        <v>3093</v>
      </c>
      <c r="G7091" s="163">
        <v>3.16</v>
      </c>
      <c r="H7091" s="161" t="s">
        <v>7138</v>
      </c>
      <c r="I7091" s="161"/>
    </row>
    <row r="7092" spans="1:9">
      <c r="A7092" s="161">
        <v>910500036</v>
      </c>
      <c r="B7092" s="161" t="s">
        <v>7871</v>
      </c>
      <c r="C7092" s="161">
        <v>90203059</v>
      </c>
      <c r="D7092" s="161" t="s">
        <v>3093</v>
      </c>
      <c r="E7092" s="161" t="s">
        <v>102</v>
      </c>
      <c r="F7092" s="163" t="s">
        <v>3093</v>
      </c>
      <c r="G7092" s="163">
        <v>4.58</v>
      </c>
      <c r="H7092" s="161" t="s">
        <v>7138</v>
      </c>
      <c r="I7092" s="161"/>
    </row>
    <row r="7093" spans="1:9">
      <c r="A7093" s="161">
        <v>910500037</v>
      </c>
      <c r="B7093" s="161" t="s">
        <v>2414</v>
      </c>
      <c r="C7093" s="161">
        <v>90203011</v>
      </c>
      <c r="D7093" s="161" t="s">
        <v>3093</v>
      </c>
      <c r="E7093" s="161" t="s">
        <v>102</v>
      </c>
      <c r="F7093" s="163" t="s">
        <v>3093</v>
      </c>
      <c r="G7093" s="163">
        <v>0</v>
      </c>
      <c r="H7093" s="161" t="s">
        <v>7138</v>
      </c>
      <c r="I7093" s="161"/>
    </row>
    <row r="7094" spans="1:9">
      <c r="A7094" s="161">
        <v>910500038</v>
      </c>
      <c r="B7094" s="161" t="s">
        <v>2415</v>
      </c>
      <c r="C7094" s="161">
        <v>90203013</v>
      </c>
      <c r="D7094" s="161" t="s">
        <v>3093</v>
      </c>
      <c r="E7094" s="161" t="s">
        <v>102</v>
      </c>
      <c r="F7094" s="163" t="s">
        <v>3093</v>
      </c>
      <c r="G7094" s="163">
        <v>0</v>
      </c>
      <c r="H7094" s="161" t="s">
        <v>7138</v>
      </c>
      <c r="I7094" s="161"/>
    </row>
    <row r="7095" spans="1:9">
      <c r="A7095" s="161">
        <v>910500039</v>
      </c>
      <c r="B7095" s="161" t="s">
        <v>2416</v>
      </c>
      <c r="C7095" s="161">
        <v>90203031</v>
      </c>
      <c r="D7095" s="161" t="s">
        <v>3093</v>
      </c>
      <c r="E7095" s="161" t="s">
        <v>102</v>
      </c>
      <c r="F7095" s="163" t="s">
        <v>3093</v>
      </c>
      <c r="G7095" s="163">
        <v>0</v>
      </c>
      <c r="H7095" s="161" t="s">
        <v>7138</v>
      </c>
      <c r="I7095" s="161"/>
    </row>
    <row r="7096" spans="1:9">
      <c r="A7096" s="161">
        <v>910500040</v>
      </c>
      <c r="B7096" s="161" t="s">
        <v>2417</v>
      </c>
      <c r="C7096" s="161">
        <v>90203012</v>
      </c>
      <c r="D7096" s="161" t="s">
        <v>3093</v>
      </c>
      <c r="E7096" s="161" t="s">
        <v>102</v>
      </c>
      <c r="F7096" s="163" t="s">
        <v>3093</v>
      </c>
      <c r="G7096" s="163">
        <v>36.159999999999997</v>
      </c>
      <c r="H7096" s="161" t="s">
        <v>7138</v>
      </c>
      <c r="I7096" s="161"/>
    </row>
    <row r="7097" spans="1:9">
      <c r="A7097" s="161">
        <v>910500041</v>
      </c>
      <c r="B7097" s="161" t="s">
        <v>2418</v>
      </c>
      <c r="C7097" s="161">
        <v>90203015</v>
      </c>
      <c r="D7097" s="161" t="s">
        <v>3093</v>
      </c>
      <c r="E7097" s="161" t="s">
        <v>102</v>
      </c>
      <c r="F7097" s="163" t="s">
        <v>3093</v>
      </c>
      <c r="G7097" s="163">
        <v>45.2</v>
      </c>
      <c r="H7097" s="161" t="s">
        <v>7138</v>
      </c>
      <c r="I7097" s="161"/>
    </row>
    <row r="7098" spans="1:9">
      <c r="A7098" s="161">
        <v>910500042</v>
      </c>
      <c r="B7098" s="161" t="s">
        <v>7872</v>
      </c>
      <c r="C7098" s="161">
        <v>90203014</v>
      </c>
      <c r="D7098" s="161" t="s">
        <v>3093</v>
      </c>
      <c r="E7098" s="161" t="s">
        <v>102</v>
      </c>
      <c r="F7098" s="163" t="s">
        <v>3093</v>
      </c>
      <c r="G7098" s="163">
        <v>0</v>
      </c>
      <c r="H7098" s="161" t="s">
        <v>7138</v>
      </c>
      <c r="I7098" s="161"/>
    </row>
    <row r="7099" spans="1:9">
      <c r="A7099" s="161">
        <v>910500043</v>
      </c>
      <c r="B7099" s="161" t="s">
        <v>7873</v>
      </c>
      <c r="C7099" s="161">
        <v>90105012</v>
      </c>
      <c r="D7099" s="161" t="s">
        <v>3093</v>
      </c>
      <c r="E7099" s="161" t="s">
        <v>8115</v>
      </c>
      <c r="F7099" s="163" t="s">
        <v>3093</v>
      </c>
      <c r="G7099" s="163">
        <v>5.9437999999999998E-2</v>
      </c>
      <c r="H7099" s="161" t="s">
        <v>7138</v>
      </c>
      <c r="I7099" s="161"/>
    </row>
    <row r="7100" spans="1:9">
      <c r="A7100" s="161">
        <v>910500044</v>
      </c>
      <c r="B7100" s="161" t="s">
        <v>7874</v>
      </c>
      <c r="C7100" s="161">
        <v>90105084</v>
      </c>
      <c r="D7100" s="161" t="s">
        <v>8128</v>
      </c>
      <c r="E7100" s="161" t="s">
        <v>8115</v>
      </c>
      <c r="F7100" s="163" t="s">
        <v>3093</v>
      </c>
      <c r="G7100" s="163">
        <v>0.11</v>
      </c>
      <c r="H7100" s="161" t="s">
        <v>7138</v>
      </c>
      <c r="I7100" s="161"/>
    </row>
    <row r="7101" spans="1:9">
      <c r="A7101" s="161">
        <v>910500045</v>
      </c>
      <c r="B7101" s="161" t="s">
        <v>7875</v>
      </c>
      <c r="C7101" s="161">
        <v>90103100</v>
      </c>
      <c r="D7101" s="161" t="s">
        <v>3093</v>
      </c>
      <c r="E7101" s="161" t="s">
        <v>8115</v>
      </c>
      <c r="F7101" s="163" t="s">
        <v>3093</v>
      </c>
      <c r="G7101" s="163">
        <v>0.14000000000000001</v>
      </c>
      <c r="H7101" s="161" t="s">
        <v>7138</v>
      </c>
      <c r="I7101" s="161"/>
    </row>
    <row r="7102" spans="1:9">
      <c r="A7102" s="161">
        <v>910500046</v>
      </c>
      <c r="B7102" s="161" t="s">
        <v>7876</v>
      </c>
      <c r="C7102" s="161">
        <v>90105008</v>
      </c>
      <c r="D7102" s="161" t="s">
        <v>3093</v>
      </c>
      <c r="E7102" s="161" t="s">
        <v>8115</v>
      </c>
      <c r="F7102" s="163" t="s">
        <v>3093</v>
      </c>
      <c r="G7102" s="163">
        <v>4.9494000000000003E-2</v>
      </c>
      <c r="H7102" s="161" t="s">
        <v>7138</v>
      </c>
      <c r="I7102" s="161"/>
    </row>
    <row r="7103" spans="1:9">
      <c r="A7103" s="161">
        <v>910500047</v>
      </c>
      <c r="B7103" s="161" t="s">
        <v>2358</v>
      </c>
      <c r="C7103" s="161">
        <v>90105055</v>
      </c>
      <c r="D7103" s="161" t="s">
        <v>3093</v>
      </c>
      <c r="E7103" s="161" t="s">
        <v>1620</v>
      </c>
      <c r="F7103" s="163" t="s">
        <v>3093</v>
      </c>
      <c r="G7103" s="163">
        <v>0.01</v>
      </c>
      <c r="H7103" s="161" t="s">
        <v>7138</v>
      </c>
      <c r="I7103" s="161"/>
    </row>
    <row r="7104" spans="1:9">
      <c r="A7104" s="161">
        <v>910500048</v>
      </c>
      <c r="B7104" s="161" t="s">
        <v>7877</v>
      </c>
      <c r="C7104" s="161">
        <v>90105080</v>
      </c>
      <c r="D7104" s="161" t="s">
        <v>8128</v>
      </c>
      <c r="E7104" s="161" t="s">
        <v>8115</v>
      </c>
      <c r="F7104" s="163" t="s">
        <v>3093</v>
      </c>
      <c r="G7104" s="163">
        <v>7.0000000000000007E-2</v>
      </c>
      <c r="H7104" s="161" t="s">
        <v>7138</v>
      </c>
      <c r="I7104" s="161"/>
    </row>
    <row r="7105" spans="1:9">
      <c r="A7105" s="161">
        <v>910500049</v>
      </c>
      <c r="B7105" s="161" t="s">
        <v>7878</v>
      </c>
      <c r="C7105" s="161">
        <v>90105007</v>
      </c>
      <c r="D7105" s="161" t="s">
        <v>8128</v>
      </c>
      <c r="E7105" s="161" t="s">
        <v>8115</v>
      </c>
      <c r="F7105" s="163" t="s">
        <v>3093</v>
      </c>
      <c r="G7105" s="163">
        <v>0.09</v>
      </c>
      <c r="H7105" s="161" t="s">
        <v>7138</v>
      </c>
      <c r="I7105" s="161"/>
    </row>
    <row r="7106" spans="1:9">
      <c r="A7106" s="161">
        <v>910500050</v>
      </c>
      <c r="B7106" s="161" t="s">
        <v>7879</v>
      </c>
      <c r="C7106" s="161">
        <v>90105011</v>
      </c>
      <c r="D7106" s="161" t="s">
        <v>3093</v>
      </c>
      <c r="E7106" s="161" t="s">
        <v>8115</v>
      </c>
      <c r="F7106" s="163" t="s">
        <v>3093</v>
      </c>
      <c r="G7106" s="163">
        <v>5.9437999999999998E-2</v>
      </c>
      <c r="H7106" s="161" t="s">
        <v>7138</v>
      </c>
      <c r="I7106" s="161"/>
    </row>
    <row r="7107" spans="1:9">
      <c r="A7107" s="161">
        <v>910500051</v>
      </c>
      <c r="B7107" s="161" t="s">
        <v>7880</v>
      </c>
      <c r="C7107" s="161">
        <v>90105082</v>
      </c>
      <c r="D7107" s="161" t="s">
        <v>8128</v>
      </c>
      <c r="E7107" s="161" t="s">
        <v>8115</v>
      </c>
      <c r="F7107" s="163" t="s">
        <v>3093</v>
      </c>
      <c r="G7107" s="163">
        <v>0.11</v>
      </c>
      <c r="H7107" s="161" t="s">
        <v>7138</v>
      </c>
      <c r="I7107" s="161"/>
    </row>
    <row r="7108" spans="1:9">
      <c r="A7108" s="161">
        <v>910500052</v>
      </c>
      <c r="B7108" s="161" t="s">
        <v>7881</v>
      </c>
      <c r="C7108" s="161">
        <v>90105015</v>
      </c>
      <c r="D7108" s="161" t="s">
        <v>3093</v>
      </c>
      <c r="E7108" s="161" t="s">
        <v>8115</v>
      </c>
      <c r="F7108" s="163" t="s">
        <v>3093</v>
      </c>
      <c r="G7108" s="163">
        <v>0.12</v>
      </c>
      <c r="H7108" s="161" t="s">
        <v>7138</v>
      </c>
      <c r="I7108" s="161"/>
    </row>
    <row r="7109" spans="1:9">
      <c r="A7109" s="161">
        <v>910500053</v>
      </c>
      <c r="B7109" s="161" t="s">
        <v>7882</v>
      </c>
      <c r="C7109" s="161">
        <v>90105010</v>
      </c>
      <c r="D7109" s="161" t="s">
        <v>3093</v>
      </c>
      <c r="E7109" s="161" t="s">
        <v>8115</v>
      </c>
      <c r="F7109" s="163" t="s">
        <v>3093</v>
      </c>
      <c r="G7109" s="163">
        <v>5.9437999999999998E-2</v>
      </c>
      <c r="H7109" s="161" t="s">
        <v>7138</v>
      </c>
      <c r="I7109" s="161"/>
    </row>
    <row r="7110" spans="1:9">
      <c r="A7110" s="161">
        <v>910500054</v>
      </c>
      <c r="B7110" s="161" t="s">
        <v>7883</v>
      </c>
      <c r="C7110" s="161">
        <v>90105083</v>
      </c>
      <c r="D7110" s="161" t="s">
        <v>8128</v>
      </c>
      <c r="E7110" s="161" t="s">
        <v>8115</v>
      </c>
      <c r="F7110" s="163" t="s">
        <v>3093</v>
      </c>
      <c r="G7110" s="163">
        <v>0.11</v>
      </c>
      <c r="H7110" s="161" t="s">
        <v>7138</v>
      </c>
      <c r="I7110" s="161"/>
    </row>
    <row r="7111" spans="1:9">
      <c r="A7111" s="161">
        <v>910500055</v>
      </c>
      <c r="B7111" s="161" t="s">
        <v>7884</v>
      </c>
      <c r="C7111" s="161">
        <v>90105009</v>
      </c>
      <c r="D7111" s="161" t="s">
        <v>3093</v>
      </c>
      <c r="E7111" s="161" t="s">
        <v>8115</v>
      </c>
      <c r="F7111" s="163" t="s">
        <v>3093</v>
      </c>
      <c r="G7111" s="163">
        <v>5.9437999999999998E-2</v>
      </c>
      <c r="H7111" s="161" t="s">
        <v>7138</v>
      </c>
      <c r="I7111" s="161"/>
    </row>
    <row r="7112" spans="1:9">
      <c r="A7112" s="161">
        <v>910500056</v>
      </c>
      <c r="B7112" s="161" t="s">
        <v>7885</v>
      </c>
      <c r="C7112" s="161">
        <v>90105081</v>
      </c>
      <c r="D7112" s="161" t="s">
        <v>8128</v>
      </c>
      <c r="E7112" s="161" t="s">
        <v>8115</v>
      </c>
      <c r="F7112" s="163" t="s">
        <v>3093</v>
      </c>
      <c r="G7112" s="163">
        <v>0.11</v>
      </c>
      <c r="H7112" s="161" t="s">
        <v>7138</v>
      </c>
      <c r="I7112" s="161"/>
    </row>
    <row r="7113" spans="1:9">
      <c r="A7113" s="161">
        <v>910500057</v>
      </c>
      <c r="B7113" s="161" t="s">
        <v>2359</v>
      </c>
      <c r="C7113" s="161">
        <v>90105016</v>
      </c>
      <c r="D7113" s="161" t="s">
        <v>3093</v>
      </c>
      <c r="E7113" s="161" t="s">
        <v>8115</v>
      </c>
      <c r="F7113" s="163" t="s">
        <v>3093</v>
      </c>
      <c r="G7113" s="163">
        <v>1.2</v>
      </c>
      <c r="H7113" s="161" t="s">
        <v>7138</v>
      </c>
      <c r="I7113" s="161"/>
    </row>
    <row r="7114" spans="1:9">
      <c r="A7114" s="161">
        <v>910500058</v>
      </c>
      <c r="B7114" s="161" t="s">
        <v>7886</v>
      </c>
      <c r="C7114" s="161">
        <v>90103103</v>
      </c>
      <c r="D7114" s="161" t="s">
        <v>3093</v>
      </c>
      <c r="E7114" s="161" t="s">
        <v>8115</v>
      </c>
      <c r="F7114" s="163" t="s">
        <v>3093</v>
      </c>
      <c r="G7114" s="163">
        <v>1.55</v>
      </c>
      <c r="H7114" s="161" t="s">
        <v>7138</v>
      </c>
      <c r="I7114" s="161"/>
    </row>
    <row r="7115" spans="1:9">
      <c r="A7115" s="161">
        <v>910500059</v>
      </c>
      <c r="B7115" s="161" t="s">
        <v>7887</v>
      </c>
      <c r="C7115" s="161">
        <v>90105063</v>
      </c>
      <c r="D7115" s="161" t="s">
        <v>8128</v>
      </c>
      <c r="E7115" s="161" t="s">
        <v>8115</v>
      </c>
      <c r="F7115" s="163" t="s">
        <v>3093</v>
      </c>
      <c r="G7115" s="163">
        <v>0.14000000000000001</v>
      </c>
      <c r="H7115" s="161" t="s">
        <v>7138</v>
      </c>
      <c r="I7115" s="161"/>
    </row>
    <row r="7116" spans="1:9">
      <c r="A7116" s="161">
        <v>910500060</v>
      </c>
      <c r="B7116" s="161" t="s">
        <v>2360</v>
      </c>
      <c r="C7116" s="161">
        <v>90105056</v>
      </c>
      <c r="D7116" s="161" t="s">
        <v>3093</v>
      </c>
      <c r="E7116" s="161" t="s">
        <v>1620</v>
      </c>
      <c r="F7116" s="163" t="s">
        <v>3093</v>
      </c>
      <c r="G7116" s="163">
        <v>0</v>
      </c>
      <c r="H7116" s="161" t="s">
        <v>7138</v>
      </c>
      <c r="I7116" s="161"/>
    </row>
    <row r="7117" spans="1:9">
      <c r="A7117" s="161">
        <v>910500061</v>
      </c>
      <c r="B7117" s="161" t="s">
        <v>2361</v>
      </c>
      <c r="C7117" s="161">
        <v>90105014</v>
      </c>
      <c r="D7117" s="161" t="s">
        <v>3093</v>
      </c>
      <c r="E7117" s="161" t="s">
        <v>8115</v>
      </c>
      <c r="F7117" s="163" t="s">
        <v>3093</v>
      </c>
      <c r="G7117" s="163">
        <v>0.5</v>
      </c>
      <c r="H7117" s="161" t="s">
        <v>7138</v>
      </c>
      <c r="I7117" s="161"/>
    </row>
    <row r="7118" spans="1:9">
      <c r="A7118" s="161">
        <v>910500062</v>
      </c>
      <c r="B7118" s="161" t="s">
        <v>7888</v>
      </c>
      <c r="C7118" s="161">
        <v>90105013</v>
      </c>
      <c r="D7118" s="161" t="s">
        <v>8128</v>
      </c>
      <c r="E7118" s="161" t="s">
        <v>8115</v>
      </c>
      <c r="F7118" s="163" t="s">
        <v>3093</v>
      </c>
      <c r="G7118" s="163">
        <v>0.06</v>
      </c>
      <c r="H7118" s="161" t="s">
        <v>7138</v>
      </c>
      <c r="I7118" s="161"/>
    </row>
    <row r="7119" spans="1:9">
      <c r="A7119" s="161">
        <v>910500063</v>
      </c>
      <c r="B7119" s="161" t="s">
        <v>2419</v>
      </c>
      <c r="C7119" s="161">
        <v>90203039</v>
      </c>
      <c r="D7119" s="161" t="s">
        <v>3093</v>
      </c>
      <c r="E7119" s="161" t="s">
        <v>102</v>
      </c>
      <c r="F7119" s="163" t="s">
        <v>3093</v>
      </c>
      <c r="G7119" s="163">
        <v>0</v>
      </c>
      <c r="H7119" s="161" t="s">
        <v>7138</v>
      </c>
      <c r="I7119" s="161"/>
    </row>
    <row r="7120" spans="1:9">
      <c r="A7120" s="161">
        <v>910500064</v>
      </c>
      <c r="B7120" s="161" t="s">
        <v>2420</v>
      </c>
      <c r="C7120" s="161">
        <v>90203027</v>
      </c>
      <c r="D7120" s="161" t="s">
        <v>3093</v>
      </c>
      <c r="E7120" s="161" t="s">
        <v>1778</v>
      </c>
      <c r="F7120" s="163" t="s">
        <v>3093</v>
      </c>
      <c r="G7120" s="163">
        <v>0</v>
      </c>
      <c r="H7120" s="161" t="s">
        <v>7138</v>
      </c>
      <c r="I7120" s="161"/>
    </row>
    <row r="7121" spans="1:9">
      <c r="A7121" s="161">
        <v>910500065</v>
      </c>
      <c r="B7121" s="161" t="s">
        <v>7889</v>
      </c>
      <c r="C7121" s="161">
        <v>90203026</v>
      </c>
      <c r="D7121" s="161" t="s">
        <v>3093</v>
      </c>
      <c r="E7121" s="161" t="s">
        <v>102</v>
      </c>
      <c r="F7121" s="163" t="s">
        <v>3093</v>
      </c>
      <c r="G7121" s="163">
        <v>5.54</v>
      </c>
      <c r="H7121" s="161" t="s">
        <v>7138</v>
      </c>
      <c r="I7121" s="161"/>
    </row>
    <row r="7122" spans="1:9">
      <c r="A7122" s="161">
        <v>910500066</v>
      </c>
      <c r="B7122" s="161" t="s">
        <v>7890</v>
      </c>
      <c r="C7122" s="161">
        <v>90203025</v>
      </c>
      <c r="D7122" s="161" t="s">
        <v>3093</v>
      </c>
      <c r="E7122" s="161" t="s">
        <v>102</v>
      </c>
      <c r="F7122" s="163" t="s">
        <v>3093</v>
      </c>
      <c r="G7122" s="163">
        <v>0</v>
      </c>
      <c r="H7122" s="161" t="s">
        <v>7138</v>
      </c>
      <c r="I7122" s="161"/>
    </row>
    <row r="7123" spans="1:9">
      <c r="A7123" s="161">
        <v>910500067</v>
      </c>
      <c r="B7123" s="161" t="s">
        <v>2421</v>
      </c>
      <c r="C7123" s="161">
        <v>90203024</v>
      </c>
      <c r="D7123" s="161" t="s">
        <v>3093</v>
      </c>
      <c r="E7123" s="161" t="s">
        <v>102</v>
      </c>
      <c r="F7123" s="163" t="s">
        <v>3093</v>
      </c>
      <c r="G7123" s="163">
        <v>5.42</v>
      </c>
      <c r="H7123" s="161" t="s">
        <v>7138</v>
      </c>
      <c r="I7123" s="161"/>
    </row>
    <row r="7124" spans="1:9">
      <c r="A7124" s="161">
        <v>910500068</v>
      </c>
      <c r="B7124" s="161" t="s">
        <v>2422</v>
      </c>
      <c r="C7124" s="161">
        <v>90203057</v>
      </c>
      <c r="D7124" s="161" t="s">
        <v>3093</v>
      </c>
      <c r="E7124" s="161" t="s">
        <v>8115</v>
      </c>
      <c r="F7124" s="163" t="s">
        <v>3093</v>
      </c>
      <c r="G7124" s="163">
        <v>5</v>
      </c>
      <c r="H7124" s="161" t="s">
        <v>7138</v>
      </c>
      <c r="I7124" s="161"/>
    </row>
    <row r="7125" spans="1:9">
      <c r="A7125" s="161">
        <v>910500069</v>
      </c>
      <c r="B7125" s="161" t="s">
        <v>7891</v>
      </c>
      <c r="C7125" s="161">
        <v>90203051</v>
      </c>
      <c r="D7125" s="161" t="s">
        <v>3093</v>
      </c>
      <c r="E7125" s="161" t="s">
        <v>7143</v>
      </c>
      <c r="F7125" s="163" t="s">
        <v>3093</v>
      </c>
      <c r="G7125" s="163">
        <v>0</v>
      </c>
      <c r="H7125" s="161" t="s">
        <v>7138</v>
      </c>
      <c r="I7125" s="161"/>
    </row>
    <row r="7126" spans="1:9">
      <c r="A7126" s="161">
        <v>910500070</v>
      </c>
      <c r="B7126" s="161" t="s">
        <v>7892</v>
      </c>
      <c r="C7126" s="161">
        <v>90203050</v>
      </c>
      <c r="D7126" s="161" t="s">
        <v>3093</v>
      </c>
      <c r="E7126" s="161" t="s">
        <v>7143</v>
      </c>
      <c r="F7126" s="163" t="s">
        <v>3093</v>
      </c>
      <c r="G7126" s="163">
        <v>0</v>
      </c>
      <c r="H7126" s="161" t="s">
        <v>7138</v>
      </c>
      <c r="I7126" s="161"/>
    </row>
    <row r="7127" spans="1:9">
      <c r="A7127" s="161">
        <v>910500071</v>
      </c>
      <c r="B7127" s="161" t="s">
        <v>7893</v>
      </c>
      <c r="C7127" s="161">
        <v>90203022</v>
      </c>
      <c r="D7127" s="161" t="s">
        <v>3093</v>
      </c>
      <c r="E7127" s="161" t="s">
        <v>7143</v>
      </c>
      <c r="F7127" s="163" t="s">
        <v>3093</v>
      </c>
      <c r="G7127" s="163">
        <v>12.88</v>
      </c>
      <c r="H7127" s="161" t="s">
        <v>7138</v>
      </c>
      <c r="I7127" s="161"/>
    </row>
    <row r="7128" spans="1:9">
      <c r="A7128" s="161">
        <v>910500072</v>
      </c>
      <c r="B7128" s="161" t="s">
        <v>7894</v>
      </c>
      <c r="C7128" s="161">
        <v>90203047</v>
      </c>
      <c r="D7128" s="161" t="s">
        <v>3093</v>
      </c>
      <c r="E7128" s="161" t="s">
        <v>102</v>
      </c>
      <c r="F7128" s="163" t="s">
        <v>3093</v>
      </c>
      <c r="G7128" s="163">
        <v>0</v>
      </c>
      <c r="H7128" s="161" t="s">
        <v>7138</v>
      </c>
      <c r="I7128" s="161"/>
    </row>
    <row r="7129" spans="1:9">
      <c r="A7129" s="161">
        <v>910500073</v>
      </c>
      <c r="B7129" s="161" t="s">
        <v>2423</v>
      </c>
      <c r="C7129" s="161">
        <v>90203023</v>
      </c>
      <c r="D7129" s="161" t="s">
        <v>3093</v>
      </c>
      <c r="E7129" s="161" t="s">
        <v>7143</v>
      </c>
      <c r="F7129" s="163" t="s">
        <v>3093</v>
      </c>
      <c r="G7129" s="163">
        <v>22.6</v>
      </c>
      <c r="H7129" s="161" t="s">
        <v>7138</v>
      </c>
      <c r="I7129" s="161"/>
    </row>
    <row r="7130" spans="1:9">
      <c r="A7130" s="161">
        <v>910500074</v>
      </c>
      <c r="B7130" s="161" t="s">
        <v>2424</v>
      </c>
      <c r="C7130" s="161">
        <v>90203037</v>
      </c>
      <c r="D7130" s="161" t="s">
        <v>3093</v>
      </c>
      <c r="E7130" s="161" t="s">
        <v>2522</v>
      </c>
      <c r="F7130" s="163" t="s">
        <v>3093</v>
      </c>
      <c r="G7130" s="163">
        <v>5.54</v>
      </c>
      <c r="H7130" s="161" t="s">
        <v>7138</v>
      </c>
      <c r="I7130" s="161"/>
    </row>
    <row r="7131" spans="1:9">
      <c r="A7131" s="161">
        <v>910500075</v>
      </c>
      <c r="B7131" s="161" t="s">
        <v>2425</v>
      </c>
      <c r="C7131" s="161">
        <v>90203041</v>
      </c>
      <c r="D7131" s="161" t="s">
        <v>3093</v>
      </c>
      <c r="E7131" s="161" t="s">
        <v>7143</v>
      </c>
      <c r="F7131" s="163" t="s">
        <v>3093</v>
      </c>
      <c r="G7131" s="163">
        <v>7.51</v>
      </c>
      <c r="H7131" s="161" t="s">
        <v>7138</v>
      </c>
      <c r="I7131" s="161"/>
    </row>
    <row r="7132" spans="1:9">
      <c r="A7132" s="161">
        <v>910500076</v>
      </c>
      <c r="B7132" s="161" t="s">
        <v>2426</v>
      </c>
      <c r="C7132" s="161">
        <v>90203005</v>
      </c>
      <c r="D7132" s="161" t="s">
        <v>3093</v>
      </c>
      <c r="E7132" s="161" t="s">
        <v>1200</v>
      </c>
      <c r="F7132" s="163" t="s">
        <v>3093</v>
      </c>
      <c r="G7132" s="163">
        <v>7.34</v>
      </c>
      <c r="H7132" s="161" t="s">
        <v>7138</v>
      </c>
      <c r="I7132" s="161"/>
    </row>
    <row r="7133" spans="1:9">
      <c r="A7133" s="161">
        <v>910500077</v>
      </c>
      <c r="B7133" s="161" t="s">
        <v>2427</v>
      </c>
      <c r="C7133" s="161">
        <v>90203006</v>
      </c>
      <c r="D7133" s="161" t="s">
        <v>3093</v>
      </c>
      <c r="E7133" s="161" t="s">
        <v>1200</v>
      </c>
      <c r="F7133" s="163" t="s">
        <v>3093</v>
      </c>
      <c r="G7133" s="163">
        <v>0</v>
      </c>
      <c r="H7133" s="161" t="s">
        <v>7138</v>
      </c>
      <c r="I7133" s="161"/>
    </row>
    <row r="7134" spans="1:9">
      <c r="A7134" s="161">
        <v>910500078</v>
      </c>
      <c r="B7134" s="161" t="s">
        <v>2428</v>
      </c>
      <c r="C7134" s="161">
        <v>90203007</v>
      </c>
      <c r="D7134" s="161" t="s">
        <v>3093</v>
      </c>
      <c r="E7134" s="161" t="s">
        <v>1200</v>
      </c>
      <c r="F7134" s="163" t="s">
        <v>3093</v>
      </c>
      <c r="G7134" s="163">
        <v>0</v>
      </c>
      <c r="H7134" s="161" t="s">
        <v>7138</v>
      </c>
      <c r="I7134" s="161"/>
    </row>
    <row r="7135" spans="1:9">
      <c r="A7135" s="161">
        <v>910500079</v>
      </c>
      <c r="B7135" s="161" t="s">
        <v>2429</v>
      </c>
      <c r="C7135" s="161">
        <v>90203004</v>
      </c>
      <c r="D7135" s="161" t="s">
        <v>3093</v>
      </c>
      <c r="E7135" s="161" t="s">
        <v>1200</v>
      </c>
      <c r="F7135" s="163" t="s">
        <v>3093</v>
      </c>
      <c r="G7135" s="163">
        <v>0</v>
      </c>
      <c r="H7135" s="161" t="s">
        <v>7138</v>
      </c>
      <c r="I7135" s="161"/>
    </row>
    <row r="7136" spans="1:9">
      <c r="A7136" s="161">
        <v>910500080</v>
      </c>
      <c r="B7136" s="161" t="s">
        <v>7895</v>
      </c>
      <c r="C7136" s="161">
        <v>90203000</v>
      </c>
      <c r="D7136" s="161" t="s">
        <v>3093</v>
      </c>
      <c r="E7136" s="161" t="s">
        <v>1200</v>
      </c>
      <c r="F7136" s="163" t="s">
        <v>3093</v>
      </c>
      <c r="G7136" s="163">
        <v>11.76</v>
      </c>
      <c r="H7136" s="161" t="s">
        <v>7138</v>
      </c>
      <c r="I7136" s="161"/>
    </row>
    <row r="7137" spans="1:9">
      <c r="A7137" s="161">
        <v>910500081</v>
      </c>
      <c r="B7137" s="161" t="s">
        <v>7896</v>
      </c>
      <c r="C7137" s="161">
        <v>90203046</v>
      </c>
      <c r="D7137" s="161" t="s">
        <v>3093</v>
      </c>
      <c r="E7137" s="161" t="s">
        <v>102</v>
      </c>
      <c r="F7137" s="163" t="s">
        <v>3093</v>
      </c>
      <c r="G7137" s="163">
        <v>0</v>
      </c>
      <c r="H7137" s="161" t="s">
        <v>7138</v>
      </c>
      <c r="I7137" s="161"/>
    </row>
    <row r="7138" spans="1:9">
      <c r="A7138" s="161">
        <v>910500082</v>
      </c>
      <c r="B7138" s="161" t="s">
        <v>7897</v>
      </c>
      <c r="C7138" s="161">
        <v>90203057</v>
      </c>
      <c r="D7138" s="161" t="s">
        <v>3093</v>
      </c>
      <c r="E7138" s="161" t="s">
        <v>8115</v>
      </c>
      <c r="F7138" s="163" t="s">
        <v>3093</v>
      </c>
      <c r="G7138" s="163">
        <v>0</v>
      </c>
      <c r="H7138" s="161" t="s">
        <v>7138</v>
      </c>
      <c r="I7138" s="161"/>
    </row>
    <row r="7139" spans="1:9">
      <c r="A7139" s="161">
        <v>910500083</v>
      </c>
      <c r="B7139" s="161" t="s">
        <v>7898</v>
      </c>
      <c r="C7139" s="161">
        <v>90203000</v>
      </c>
      <c r="D7139" s="161" t="s">
        <v>3093</v>
      </c>
      <c r="E7139" s="161" t="s">
        <v>1200</v>
      </c>
      <c r="F7139" s="163" t="s">
        <v>3093</v>
      </c>
      <c r="G7139" s="163">
        <v>0</v>
      </c>
      <c r="H7139" s="161" t="s">
        <v>7138</v>
      </c>
      <c r="I7139" s="161"/>
    </row>
    <row r="7140" spans="1:9">
      <c r="A7140" s="161">
        <v>910600001</v>
      </c>
      <c r="B7140" s="161" t="s">
        <v>7899</v>
      </c>
      <c r="C7140" s="161">
        <v>90309007</v>
      </c>
      <c r="D7140" s="161" t="s">
        <v>3093</v>
      </c>
      <c r="E7140" s="161" t="s">
        <v>102</v>
      </c>
      <c r="F7140" s="163" t="s">
        <v>3093</v>
      </c>
      <c r="G7140" s="163">
        <v>35</v>
      </c>
      <c r="H7140" s="161" t="s">
        <v>7138</v>
      </c>
      <c r="I7140" s="161"/>
    </row>
    <row r="7141" spans="1:9">
      <c r="A7141" s="161">
        <v>910600002</v>
      </c>
      <c r="B7141" s="161" t="s">
        <v>7900</v>
      </c>
      <c r="C7141" s="161">
        <v>90110067</v>
      </c>
      <c r="D7141" s="161" t="s">
        <v>3093</v>
      </c>
      <c r="E7141" s="161" t="s">
        <v>102</v>
      </c>
      <c r="F7141" s="163" t="s">
        <v>3093</v>
      </c>
      <c r="G7141" s="163">
        <v>33.9</v>
      </c>
      <c r="H7141" s="161" t="s">
        <v>7138</v>
      </c>
      <c r="I7141" s="161"/>
    </row>
    <row r="7142" spans="1:9">
      <c r="A7142" s="161">
        <v>910600003</v>
      </c>
      <c r="B7142" s="161" t="s">
        <v>7901</v>
      </c>
      <c r="C7142" s="161">
        <v>90504068</v>
      </c>
      <c r="D7142" s="161" t="s">
        <v>3093</v>
      </c>
      <c r="E7142" s="161" t="s">
        <v>8120</v>
      </c>
      <c r="F7142" s="163" t="s">
        <v>3093</v>
      </c>
      <c r="G7142" s="163">
        <v>0</v>
      </c>
      <c r="H7142" s="161" t="s">
        <v>7138</v>
      </c>
      <c r="I7142" s="161"/>
    </row>
    <row r="7143" spans="1:9">
      <c r="A7143" s="161">
        <v>910600004</v>
      </c>
      <c r="B7143" s="161" t="s">
        <v>2645</v>
      </c>
      <c r="C7143" s="161">
        <v>90309003</v>
      </c>
      <c r="D7143" s="161" t="s">
        <v>3093</v>
      </c>
      <c r="E7143" s="161" t="s">
        <v>102</v>
      </c>
      <c r="F7143" s="163" t="s">
        <v>3093</v>
      </c>
      <c r="G7143" s="163">
        <v>22.87</v>
      </c>
      <c r="H7143" s="161" t="s">
        <v>7138</v>
      </c>
      <c r="I7143" s="161"/>
    </row>
    <row r="7144" spans="1:9">
      <c r="A7144" s="161">
        <v>910600005</v>
      </c>
      <c r="B7144" s="161" t="s">
        <v>7902</v>
      </c>
      <c r="C7144" s="161">
        <v>90309005</v>
      </c>
      <c r="D7144" s="161" t="s">
        <v>3093</v>
      </c>
      <c r="E7144" s="161" t="s">
        <v>102</v>
      </c>
      <c r="F7144" s="163" t="s">
        <v>3093</v>
      </c>
      <c r="G7144" s="163">
        <v>0.32</v>
      </c>
      <c r="H7144" s="161" t="s">
        <v>7138</v>
      </c>
      <c r="I7144" s="161"/>
    </row>
    <row r="7145" spans="1:9">
      <c r="A7145" s="161">
        <v>910600006</v>
      </c>
      <c r="B7145" s="161" t="s">
        <v>7903</v>
      </c>
      <c r="C7145" s="161">
        <v>90309006</v>
      </c>
      <c r="D7145" s="161" t="s">
        <v>8129</v>
      </c>
      <c r="E7145" s="161" t="s">
        <v>102</v>
      </c>
      <c r="F7145" s="163" t="s">
        <v>3093</v>
      </c>
      <c r="G7145" s="163">
        <v>8.25</v>
      </c>
      <c r="H7145" s="161" t="s">
        <v>7138</v>
      </c>
      <c r="I7145" s="161"/>
    </row>
    <row r="7146" spans="1:9">
      <c r="A7146" s="161">
        <v>910600007</v>
      </c>
      <c r="B7146" s="161" t="s">
        <v>7904</v>
      </c>
      <c r="C7146" s="161">
        <v>90304035</v>
      </c>
      <c r="D7146" s="161" t="s">
        <v>3093</v>
      </c>
      <c r="E7146" s="161" t="s">
        <v>102</v>
      </c>
      <c r="F7146" s="163" t="s">
        <v>3093</v>
      </c>
      <c r="G7146" s="163">
        <v>77</v>
      </c>
      <c r="H7146" s="161" t="s">
        <v>7138</v>
      </c>
      <c r="I7146" s="161"/>
    </row>
    <row r="7147" spans="1:9">
      <c r="A7147" s="161">
        <v>910600008</v>
      </c>
      <c r="B7147" s="161" t="s">
        <v>7905</v>
      </c>
      <c r="C7147" s="161">
        <v>90309017</v>
      </c>
      <c r="D7147" s="161" t="s">
        <v>8129</v>
      </c>
      <c r="E7147" s="161" t="s">
        <v>102</v>
      </c>
      <c r="F7147" s="163" t="s">
        <v>3093</v>
      </c>
      <c r="G7147" s="163">
        <v>2.5299999999999998</v>
      </c>
      <c r="H7147" s="161" t="s">
        <v>7138</v>
      </c>
      <c r="I7147" s="161"/>
    </row>
    <row r="7148" spans="1:9">
      <c r="A7148" s="161">
        <v>910600009</v>
      </c>
      <c r="B7148" s="161" t="s">
        <v>7906</v>
      </c>
      <c r="C7148" s="161">
        <v>90309004</v>
      </c>
      <c r="D7148" s="161" t="s">
        <v>8129</v>
      </c>
      <c r="E7148" s="161" t="s">
        <v>102</v>
      </c>
      <c r="F7148" s="163" t="s">
        <v>3093</v>
      </c>
      <c r="G7148" s="163">
        <v>4</v>
      </c>
      <c r="H7148" s="161" t="s">
        <v>7138</v>
      </c>
      <c r="I7148" s="161"/>
    </row>
    <row r="7149" spans="1:9">
      <c r="A7149" s="161">
        <v>910600010</v>
      </c>
      <c r="B7149" s="161" t="s">
        <v>7907</v>
      </c>
      <c r="C7149" s="161">
        <v>90309016</v>
      </c>
      <c r="D7149" s="161" t="s">
        <v>8129</v>
      </c>
      <c r="E7149" s="161" t="s">
        <v>102</v>
      </c>
      <c r="F7149" s="163" t="s">
        <v>3093</v>
      </c>
      <c r="G7149" s="163">
        <v>1.05</v>
      </c>
      <c r="H7149" s="161" t="s">
        <v>7138</v>
      </c>
      <c r="I7149" s="161"/>
    </row>
    <row r="7150" spans="1:9">
      <c r="A7150" s="161">
        <v>910600011</v>
      </c>
      <c r="B7150" s="161" t="s">
        <v>7908</v>
      </c>
      <c r="C7150" s="161">
        <v>90309018</v>
      </c>
      <c r="D7150" s="161" t="s">
        <v>8129</v>
      </c>
      <c r="E7150" s="161" t="s">
        <v>102</v>
      </c>
      <c r="F7150" s="163" t="s">
        <v>3093</v>
      </c>
      <c r="G7150" s="163">
        <v>5.48</v>
      </c>
      <c r="H7150" s="161" t="s">
        <v>7138</v>
      </c>
      <c r="I7150" s="161"/>
    </row>
    <row r="7151" spans="1:9">
      <c r="A7151" s="161">
        <v>910600012</v>
      </c>
      <c r="B7151" s="161" t="s">
        <v>7909</v>
      </c>
      <c r="C7151" s="161">
        <v>90304035</v>
      </c>
      <c r="D7151" s="161" t="s">
        <v>3093</v>
      </c>
      <c r="E7151" s="161" t="s">
        <v>102</v>
      </c>
      <c r="F7151" s="163" t="s">
        <v>3093</v>
      </c>
      <c r="G7151" s="163">
        <v>0</v>
      </c>
      <c r="H7151" s="161" t="s">
        <v>7138</v>
      </c>
      <c r="I7151" s="161"/>
    </row>
    <row r="7152" spans="1:9">
      <c r="A7152" s="161">
        <v>910700001</v>
      </c>
      <c r="B7152" s="161" t="s">
        <v>2462</v>
      </c>
      <c r="C7152" s="161">
        <v>90307050</v>
      </c>
      <c r="D7152" s="161" t="s">
        <v>3093</v>
      </c>
      <c r="E7152" s="161" t="s">
        <v>102</v>
      </c>
      <c r="F7152" s="163" t="s">
        <v>3093</v>
      </c>
      <c r="G7152" s="163">
        <v>1.6E-2</v>
      </c>
      <c r="H7152" s="161" t="s">
        <v>7138</v>
      </c>
      <c r="I7152" s="161"/>
    </row>
    <row r="7153" spans="1:9">
      <c r="A7153" s="161">
        <v>910700002</v>
      </c>
      <c r="B7153" s="161" t="s">
        <v>7910</v>
      </c>
      <c r="C7153" s="161">
        <v>90305049</v>
      </c>
      <c r="D7153" s="161" t="s">
        <v>3093</v>
      </c>
      <c r="E7153" s="161" t="s">
        <v>8123</v>
      </c>
      <c r="F7153" s="163" t="s">
        <v>3093</v>
      </c>
      <c r="G7153" s="163">
        <v>0</v>
      </c>
      <c r="H7153" s="161" t="s">
        <v>7138</v>
      </c>
      <c r="I7153" s="161"/>
    </row>
    <row r="7154" spans="1:9">
      <c r="A7154" s="161">
        <v>910700003</v>
      </c>
      <c r="B7154" s="161" t="s">
        <v>7911</v>
      </c>
      <c r="C7154" s="161">
        <v>90305081</v>
      </c>
      <c r="D7154" s="161" t="s">
        <v>3093</v>
      </c>
      <c r="E7154" s="161" t="s">
        <v>102</v>
      </c>
      <c r="F7154" s="163" t="s">
        <v>3093</v>
      </c>
      <c r="G7154" s="163">
        <v>1.1200000000000001</v>
      </c>
      <c r="H7154" s="161" t="s">
        <v>7138</v>
      </c>
      <c r="I7154" s="161"/>
    </row>
    <row r="7155" spans="1:9">
      <c r="A7155" s="161">
        <v>910700004</v>
      </c>
      <c r="B7155" s="161" t="s">
        <v>2400</v>
      </c>
      <c r="C7155" s="161">
        <v>90202145</v>
      </c>
      <c r="D7155" s="161" t="s">
        <v>3093</v>
      </c>
      <c r="E7155" s="161" t="s">
        <v>1620</v>
      </c>
      <c r="F7155" s="163" t="s">
        <v>3093</v>
      </c>
      <c r="G7155" s="163">
        <v>0</v>
      </c>
      <c r="H7155" s="161" t="s">
        <v>7138</v>
      </c>
      <c r="I7155" s="161"/>
    </row>
    <row r="7156" spans="1:9">
      <c r="A7156" s="161">
        <v>910700005</v>
      </c>
      <c r="B7156" s="161" t="s">
        <v>7912</v>
      </c>
      <c r="C7156" s="161">
        <v>90305083</v>
      </c>
      <c r="D7156" s="161" t="s">
        <v>3093</v>
      </c>
      <c r="E7156" s="161" t="s">
        <v>102</v>
      </c>
      <c r="F7156" s="163" t="s">
        <v>3093</v>
      </c>
      <c r="G7156" s="163">
        <v>145.5</v>
      </c>
      <c r="H7156" s="161" t="s">
        <v>7138</v>
      </c>
      <c r="I7156" s="161"/>
    </row>
    <row r="7157" spans="1:9">
      <c r="A7157" s="161">
        <v>910700006</v>
      </c>
      <c r="B7157" s="161" t="s">
        <v>7913</v>
      </c>
      <c r="C7157" s="161">
        <v>90305080</v>
      </c>
      <c r="D7157" s="161" t="s">
        <v>3093</v>
      </c>
      <c r="E7157" s="161" t="s">
        <v>102</v>
      </c>
      <c r="F7157" s="163" t="s">
        <v>3093</v>
      </c>
      <c r="G7157" s="163">
        <v>1.1200000000000001</v>
      </c>
      <c r="H7157" s="161" t="s">
        <v>7138</v>
      </c>
      <c r="I7157" s="161"/>
    </row>
    <row r="7158" spans="1:9">
      <c r="A7158" s="161">
        <v>910700007</v>
      </c>
      <c r="B7158" s="161" t="s">
        <v>7914</v>
      </c>
      <c r="C7158" s="161">
        <v>90305030</v>
      </c>
      <c r="D7158" s="161" t="s">
        <v>3093</v>
      </c>
      <c r="E7158" s="161" t="s">
        <v>102</v>
      </c>
      <c r="F7158" s="163" t="s">
        <v>3093</v>
      </c>
      <c r="G7158" s="163">
        <v>64.98</v>
      </c>
      <c r="H7158" s="161" t="s">
        <v>7138</v>
      </c>
      <c r="I7158" s="161"/>
    </row>
    <row r="7159" spans="1:9">
      <c r="A7159" s="161">
        <v>910700008</v>
      </c>
      <c r="B7159" s="161" t="s">
        <v>7915</v>
      </c>
      <c r="C7159" s="161">
        <v>90305043</v>
      </c>
      <c r="D7159" s="161" t="s">
        <v>3093</v>
      </c>
      <c r="E7159" s="161" t="s">
        <v>102</v>
      </c>
      <c r="F7159" s="163" t="s">
        <v>3093</v>
      </c>
      <c r="G7159" s="163">
        <v>2.5</v>
      </c>
      <c r="H7159" s="161" t="s">
        <v>7138</v>
      </c>
      <c r="I7159" s="161"/>
    </row>
    <row r="7160" spans="1:9">
      <c r="A7160" s="161">
        <v>910700009</v>
      </c>
      <c r="B7160" s="161" t="s">
        <v>7916</v>
      </c>
      <c r="C7160" s="161">
        <v>90305120</v>
      </c>
      <c r="D7160" s="161" t="s">
        <v>3093</v>
      </c>
      <c r="E7160" s="161" t="s">
        <v>102</v>
      </c>
      <c r="F7160" s="163" t="s">
        <v>3093</v>
      </c>
      <c r="G7160" s="163">
        <v>13.5</v>
      </c>
      <c r="H7160" s="161" t="s">
        <v>7138</v>
      </c>
      <c r="I7160" s="161"/>
    </row>
    <row r="7161" spans="1:9">
      <c r="A7161" s="161">
        <v>910700010</v>
      </c>
      <c r="B7161" s="161" t="s">
        <v>7917</v>
      </c>
      <c r="C7161" s="161">
        <v>90305046</v>
      </c>
      <c r="D7161" s="161" t="s">
        <v>3093</v>
      </c>
      <c r="E7161" s="161" t="s">
        <v>102</v>
      </c>
      <c r="F7161" s="163" t="s">
        <v>3093</v>
      </c>
      <c r="G7161" s="163">
        <v>1.35</v>
      </c>
      <c r="H7161" s="161" t="s">
        <v>7138</v>
      </c>
      <c r="I7161" s="161"/>
    </row>
    <row r="7162" spans="1:9">
      <c r="A7162" s="161">
        <v>910700011</v>
      </c>
      <c r="B7162" s="161" t="s">
        <v>7918</v>
      </c>
      <c r="C7162" s="161">
        <v>90307007</v>
      </c>
      <c r="D7162" s="161" t="s">
        <v>3093</v>
      </c>
      <c r="E7162" s="161" t="s">
        <v>102</v>
      </c>
      <c r="F7162" s="163" t="s">
        <v>3093</v>
      </c>
      <c r="G7162" s="163">
        <v>0</v>
      </c>
      <c r="H7162" s="161" t="s">
        <v>7138</v>
      </c>
      <c r="I7162" s="161"/>
    </row>
    <row r="7163" spans="1:9">
      <c r="A7163" s="161">
        <v>910700012</v>
      </c>
      <c r="B7163" s="161" t="s">
        <v>7919</v>
      </c>
      <c r="C7163" s="161">
        <v>90307008</v>
      </c>
      <c r="D7163" s="161" t="s">
        <v>3093</v>
      </c>
      <c r="E7163" s="161" t="s">
        <v>102</v>
      </c>
      <c r="F7163" s="163" t="s">
        <v>3093</v>
      </c>
      <c r="G7163" s="163">
        <v>0</v>
      </c>
      <c r="H7163" s="161" t="s">
        <v>7138</v>
      </c>
      <c r="I7163" s="161"/>
    </row>
    <row r="7164" spans="1:9">
      <c r="A7164" s="161">
        <v>910700013</v>
      </c>
      <c r="B7164" s="161" t="s">
        <v>7920</v>
      </c>
      <c r="C7164" s="161">
        <v>90307062</v>
      </c>
      <c r="D7164" s="161" t="s">
        <v>3093</v>
      </c>
      <c r="E7164" s="161" t="s">
        <v>102</v>
      </c>
      <c r="F7164" s="163" t="s">
        <v>3093</v>
      </c>
      <c r="G7164" s="163">
        <v>9</v>
      </c>
      <c r="H7164" s="161" t="s">
        <v>7138</v>
      </c>
      <c r="I7164" s="161"/>
    </row>
    <row r="7165" spans="1:9">
      <c r="A7165" s="161">
        <v>910700014</v>
      </c>
      <c r="B7165" s="161" t="s">
        <v>7921</v>
      </c>
      <c r="C7165" s="161">
        <v>90307009</v>
      </c>
      <c r="D7165" s="161" t="s">
        <v>3093</v>
      </c>
      <c r="E7165" s="161" t="s">
        <v>102</v>
      </c>
      <c r="F7165" s="163" t="s">
        <v>3093</v>
      </c>
      <c r="G7165" s="163">
        <v>8.9</v>
      </c>
      <c r="H7165" s="161" t="s">
        <v>7138</v>
      </c>
      <c r="I7165" s="161"/>
    </row>
    <row r="7166" spans="1:9">
      <c r="A7166" s="161">
        <v>910700015</v>
      </c>
      <c r="B7166" s="161" t="s">
        <v>7922</v>
      </c>
      <c r="C7166" s="161">
        <v>90307010</v>
      </c>
      <c r="D7166" s="161" t="s">
        <v>3093</v>
      </c>
      <c r="E7166" s="161" t="s">
        <v>102</v>
      </c>
      <c r="F7166" s="163" t="s">
        <v>3093</v>
      </c>
      <c r="G7166" s="163">
        <v>8.9</v>
      </c>
      <c r="H7166" s="161" t="s">
        <v>7138</v>
      </c>
      <c r="I7166" s="161"/>
    </row>
    <row r="7167" spans="1:9">
      <c r="A7167" s="161">
        <v>910700016</v>
      </c>
      <c r="B7167" s="161" t="s">
        <v>7923</v>
      </c>
      <c r="C7167" s="161">
        <v>90307011</v>
      </c>
      <c r="D7167" s="161" t="s">
        <v>3093</v>
      </c>
      <c r="E7167" s="161" t="s">
        <v>102</v>
      </c>
      <c r="F7167" s="163" t="s">
        <v>3093</v>
      </c>
      <c r="G7167" s="163">
        <v>0</v>
      </c>
      <c r="H7167" s="161" t="s">
        <v>7138</v>
      </c>
      <c r="I7167" s="161"/>
    </row>
    <row r="7168" spans="1:9">
      <c r="A7168" s="161">
        <v>910700017</v>
      </c>
      <c r="B7168" s="161" t="s">
        <v>2463</v>
      </c>
      <c r="C7168" s="161">
        <v>90307057</v>
      </c>
      <c r="D7168" s="161" t="s">
        <v>3093</v>
      </c>
      <c r="E7168" s="161" t="s">
        <v>102</v>
      </c>
      <c r="F7168" s="163" t="s">
        <v>3093</v>
      </c>
      <c r="G7168" s="163">
        <v>2</v>
      </c>
      <c r="H7168" s="161" t="s">
        <v>7138</v>
      </c>
      <c r="I7168" s="161"/>
    </row>
    <row r="7169" spans="1:9">
      <c r="A7169" s="161">
        <v>910700018</v>
      </c>
      <c r="B7169" s="161" t="s">
        <v>7924</v>
      </c>
      <c r="C7169" s="161">
        <v>90307059</v>
      </c>
      <c r="D7169" s="161" t="s">
        <v>3093</v>
      </c>
      <c r="E7169" s="161" t="s">
        <v>102</v>
      </c>
      <c r="F7169" s="163" t="s">
        <v>3093</v>
      </c>
      <c r="G7169" s="163">
        <v>0</v>
      </c>
      <c r="H7169" s="161" t="s">
        <v>7138</v>
      </c>
      <c r="I7169" s="161"/>
    </row>
    <row r="7170" spans="1:9">
      <c r="A7170" s="161">
        <v>910700019</v>
      </c>
      <c r="B7170" s="161" t="s">
        <v>7925</v>
      </c>
      <c r="C7170" s="161">
        <v>90307049</v>
      </c>
      <c r="D7170" s="161" t="s">
        <v>3093</v>
      </c>
      <c r="E7170" s="161" t="s">
        <v>102</v>
      </c>
      <c r="F7170" s="163" t="s">
        <v>3093</v>
      </c>
      <c r="G7170" s="163">
        <v>0</v>
      </c>
      <c r="H7170" s="161" t="s">
        <v>7138</v>
      </c>
      <c r="I7170" s="161"/>
    </row>
    <row r="7171" spans="1:9">
      <c r="A7171" s="161">
        <v>910700020</v>
      </c>
      <c r="B7171" s="161" t="s">
        <v>7926</v>
      </c>
      <c r="C7171" s="161">
        <v>90307048</v>
      </c>
      <c r="D7171" s="161" t="s">
        <v>3093</v>
      </c>
      <c r="E7171" s="161" t="s">
        <v>102</v>
      </c>
      <c r="F7171" s="163" t="s">
        <v>3093</v>
      </c>
      <c r="G7171" s="163">
        <v>0</v>
      </c>
      <c r="H7171" s="161" t="s">
        <v>7138</v>
      </c>
      <c r="I7171" s="161"/>
    </row>
    <row r="7172" spans="1:9">
      <c r="A7172" s="161">
        <v>910700021</v>
      </c>
      <c r="B7172" s="161" t="s">
        <v>7927</v>
      </c>
      <c r="C7172" s="161">
        <v>90307005</v>
      </c>
      <c r="D7172" s="161" t="s">
        <v>8127</v>
      </c>
      <c r="E7172" s="161" t="s">
        <v>102</v>
      </c>
      <c r="F7172" s="163" t="s">
        <v>3093</v>
      </c>
      <c r="G7172" s="163">
        <v>0.12</v>
      </c>
      <c r="H7172" s="161" t="s">
        <v>7138</v>
      </c>
      <c r="I7172" s="161"/>
    </row>
    <row r="7173" spans="1:9">
      <c r="A7173" s="161">
        <v>910700022</v>
      </c>
      <c r="B7173" s="161" t="s">
        <v>7928</v>
      </c>
      <c r="C7173" s="161">
        <v>90110049</v>
      </c>
      <c r="D7173" s="161" t="s">
        <v>3093</v>
      </c>
      <c r="E7173" s="161" t="s">
        <v>102</v>
      </c>
      <c r="F7173" s="163" t="s">
        <v>3093</v>
      </c>
      <c r="G7173" s="163">
        <v>3.5</v>
      </c>
      <c r="H7173" s="161" t="s">
        <v>7138</v>
      </c>
      <c r="I7173" s="161"/>
    </row>
    <row r="7174" spans="1:9">
      <c r="A7174" s="161">
        <v>910700023</v>
      </c>
      <c r="B7174" s="161" t="s">
        <v>2452</v>
      </c>
      <c r="C7174" s="161">
        <v>90305017</v>
      </c>
      <c r="D7174" s="161" t="s">
        <v>3093</v>
      </c>
      <c r="E7174" s="161" t="s">
        <v>102</v>
      </c>
      <c r="F7174" s="163" t="s">
        <v>3093</v>
      </c>
      <c r="G7174" s="163">
        <v>0</v>
      </c>
      <c r="H7174" s="161" t="s">
        <v>7138</v>
      </c>
      <c r="I7174" s="161"/>
    </row>
    <row r="7175" spans="1:9">
      <c r="A7175" s="161">
        <v>910700024</v>
      </c>
      <c r="B7175" s="161" t="s">
        <v>7929</v>
      </c>
      <c r="C7175" s="161">
        <v>90307045</v>
      </c>
      <c r="D7175" s="161" t="s">
        <v>3093</v>
      </c>
      <c r="E7175" s="161" t="s">
        <v>102</v>
      </c>
      <c r="F7175" s="163" t="s">
        <v>3093</v>
      </c>
      <c r="G7175" s="163">
        <v>0</v>
      </c>
      <c r="H7175" s="161" t="s">
        <v>7138</v>
      </c>
      <c r="I7175" s="161"/>
    </row>
    <row r="7176" spans="1:9">
      <c r="A7176" s="161">
        <v>910700025</v>
      </c>
      <c r="B7176" s="161" t="s">
        <v>7930</v>
      </c>
      <c r="C7176" s="161">
        <v>90110029</v>
      </c>
      <c r="D7176" s="161" t="s">
        <v>3093</v>
      </c>
      <c r="E7176" s="161" t="s">
        <v>102</v>
      </c>
      <c r="F7176" s="163" t="s">
        <v>3093</v>
      </c>
      <c r="G7176" s="163">
        <v>0.52</v>
      </c>
      <c r="H7176" s="161" t="s">
        <v>7138</v>
      </c>
      <c r="I7176" s="161"/>
    </row>
    <row r="7177" spans="1:9">
      <c r="A7177" s="161">
        <v>910700026</v>
      </c>
      <c r="B7177" s="161" t="s">
        <v>2618</v>
      </c>
      <c r="C7177" s="161">
        <v>90110031</v>
      </c>
      <c r="D7177" s="161" t="s">
        <v>3093</v>
      </c>
      <c r="E7177" s="161" t="s">
        <v>102</v>
      </c>
      <c r="F7177" s="163" t="s">
        <v>3093</v>
      </c>
      <c r="G7177" s="163">
        <v>1.75</v>
      </c>
      <c r="H7177" s="161" t="s">
        <v>7138</v>
      </c>
      <c r="I7177" s="161"/>
    </row>
    <row r="7178" spans="1:9">
      <c r="A7178" s="161">
        <v>910700027</v>
      </c>
      <c r="B7178" s="161" t="s">
        <v>7931</v>
      </c>
      <c r="C7178" s="161">
        <v>90110033</v>
      </c>
      <c r="D7178" s="161" t="s">
        <v>3093</v>
      </c>
      <c r="E7178" s="161" t="s">
        <v>102</v>
      </c>
      <c r="F7178" s="163" t="s">
        <v>3093</v>
      </c>
      <c r="G7178" s="163">
        <v>0</v>
      </c>
      <c r="H7178" s="161" t="s">
        <v>7138</v>
      </c>
      <c r="I7178" s="161"/>
    </row>
    <row r="7179" spans="1:9">
      <c r="A7179" s="161">
        <v>910700028</v>
      </c>
      <c r="B7179" s="161" t="s">
        <v>7932</v>
      </c>
      <c r="C7179" s="161">
        <v>90110060</v>
      </c>
      <c r="D7179" s="161" t="s">
        <v>3093</v>
      </c>
      <c r="E7179" s="161" t="s">
        <v>1620</v>
      </c>
      <c r="F7179" s="163" t="s">
        <v>3093</v>
      </c>
      <c r="G7179" s="163">
        <v>81.36</v>
      </c>
      <c r="H7179" s="161" t="s">
        <v>7138</v>
      </c>
      <c r="I7179" s="161"/>
    </row>
    <row r="7180" spans="1:9">
      <c r="A7180" s="161">
        <v>910700029</v>
      </c>
      <c r="B7180" s="161" t="s">
        <v>7933</v>
      </c>
      <c r="C7180" s="161">
        <v>90110068</v>
      </c>
      <c r="D7180" s="161" t="s">
        <v>3093</v>
      </c>
      <c r="E7180" s="161" t="s">
        <v>102</v>
      </c>
      <c r="F7180" s="163" t="s">
        <v>3093</v>
      </c>
      <c r="G7180" s="163">
        <v>127.5</v>
      </c>
      <c r="H7180" s="161" t="s">
        <v>7138</v>
      </c>
      <c r="I7180" s="161"/>
    </row>
    <row r="7181" spans="1:9">
      <c r="A7181" s="161">
        <v>910700030</v>
      </c>
      <c r="B7181" s="161" t="s">
        <v>7934</v>
      </c>
      <c r="C7181" s="161">
        <v>90307058</v>
      </c>
      <c r="D7181" s="161" t="s">
        <v>3093</v>
      </c>
      <c r="E7181" s="161" t="s">
        <v>102</v>
      </c>
      <c r="F7181" s="163" t="s">
        <v>3093</v>
      </c>
      <c r="G7181" s="163">
        <v>73.5</v>
      </c>
      <c r="H7181" s="161" t="s">
        <v>7138</v>
      </c>
      <c r="I7181" s="161"/>
    </row>
    <row r="7182" spans="1:9">
      <c r="A7182" s="161">
        <v>910700031</v>
      </c>
      <c r="B7182" s="161" t="s">
        <v>7935</v>
      </c>
      <c r="C7182" s="161">
        <v>90110038</v>
      </c>
      <c r="D7182" s="161" t="s">
        <v>3093</v>
      </c>
      <c r="E7182" s="161" t="s">
        <v>102</v>
      </c>
      <c r="F7182" s="163" t="s">
        <v>3093</v>
      </c>
      <c r="G7182" s="163">
        <v>18.600000000000001</v>
      </c>
      <c r="H7182" s="161" t="s">
        <v>7138</v>
      </c>
      <c r="I7182" s="161"/>
    </row>
    <row r="7183" spans="1:9">
      <c r="A7183" s="161">
        <v>910700032</v>
      </c>
      <c r="B7183" s="161" t="s">
        <v>7936</v>
      </c>
      <c r="C7183" s="161">
        <v>90307019</v>
      </c>
      <c r="D7183" s="161" t="s">
        <v>3093</v>
      </c>
      <c r="E7183" s="161" t="s">
        <v>102</v>
      </c>
      <c r="F7183" s="163" t="s">
        <v>3093</v>
      </c>
      <c r="G7183" s="163">
        <v>6.6</v>
      </c>
      <c r="H7183" s="161" t="s">
        <v>7138</v>
      </c>
      <c r="I7183" s="161"/>
    </row>
    <row r="7184" spans="1:9">
      <c r="A7184" s="161">
        <v>910700033</v>
      </c>
      <c r="B7184" s="161" t="s">
        <v>7937</v>
      </c>
      <c r="C7184" s="161">
        <v>90110064</v>
      </c>
      <c r="D7184" s="161" t="s">
        <v>3093</v>
      </c>
      <c r="E7184" s="161" t="s">
        <v>102</v>
      </c>
      <c r="F7184" s="163" t="s">
        <v>3093</v>
      </c>
      <c r="G7184" s="163">
        <v>34.950000000000003</v>
      </c>
      <c r="H7184" s="161" t="s">
        <v>7138</v>
      </c>
      <c r="I7184" s="161"/>
    </row>
    <row r="7185" spans="1:9">
      <c r="A7185" s="161">
        <v>910700034</v>
      </c>
      <c r="B7185" s="161" t="s">
        <v>7938</v>
      </c>
      <c r="C7185" s="161">
        <v>90305061</v>
      </c>
      <c r="D7185" s="161" t="s">
        <v>3093</v>
      </c>
      <c r="E7185" s="161" t="s">
        <v>102</v>
      </c>
      <c r="F7185" s="163" t="s">
        <v>3093</v>
      </c>
      <c r="G7185" s="163">
        <v>1</v>
      </c>
      <c r="H7185" s="161" t="s">
        <v>7138</v>
      </c>
      <c r="I7185" s="161"/>
    </row>
    <row r="7186" spans="1:9">
      <c r="A7186" s="161">
        <v>910700035</v>
      </c>
      <c r="B7186" s="161" t="s">
        <v>2619</v>
      </c>
      <c r="C7186" s="161">
        <v>90110032</v>
      </c>
      <c r="D7186" s="161" t="s">
        <v>3093</v>
      </c>
      <c r="E7186" s="161" t="s">
        <v>102</v>
      </c>
      <c r="F7186" s="163" t="s">
        <v>3093</v>
      </c>
      <c r="G7186" s="163">
        <v>23.5</v>
      </c>
      <c r="H7186" s="161" t="s">
        <v>7138</v>
      </c>
      <c r="I7186" s="161"/>
    </row>
    <row r="7187" spans="1:9">
      <c r="A7187" s="161">
        <v>910700036</v>
      </c>
      <c r="B7187" s="161" t="s">
        <v>7939</v>
      </c>
      <c r="C7187" s="161">
        <v>90305041</v>
      </c>
      <c r="D7187" s="161" t="s">
        <v>3093</v>
      </c>
      <c r="E7187" s="161" t="s">
        <v>102</v>
      </c>
      <c r="F7187" s="163" t="s">
        <v>3093</v>
      </c>
      <c r="G7187" s="163">
        <v>8.75</v>
      </c>
      <c r="H7187" s="161" t="s">
        <v>7138</v>
      </c>
      <c r="I7187" s="161"/>
    </row>
    <row r="7188" spans="1:9">
      <c r="A7188" s="161">
        <v>910700037</v>
      </c>
      <c r="B7188" s="161" t="s">
        <v>7940</v>
      </c>
      <c r="C7188" s="161">
        <v>90305057</v>
      </c>
      <c r="D7188" s="161" t="s">
        <v>3093</v>
      </c>
      <c r="E7188" s="161" t="s">
        <v>1620</v>
      </c>
      <c r="F7188" s="163" t="s">
        <v>3093</v>
      </c>
      <c r="G7188" s="163">
        <v>4</v>
      </c>
      <c r="H7188" s="161" t="s">
        <v>7138</v>
      </c>
      <c r="I7188" s="161"/>
    </row>
    <row r="7189" spans="1:9">
      <c r="A7189" s="161">
        <v>910700038</v>
      </c>
      <c r="B7189" s="161" t="s">
        <v>7941</v>
      </c>
      <c r="C7189" s="161">
        <v>90307027</v>
      </c>
      <c r="D7189" s="161" t="s">
        <v>3093</v>
      </c>
      <c r="E7189" s="161" t="s">
        <v>102</v>
      </c>
      <c r="F7189" s="163" t="s">
        <v>3093</v>
      </c>
      <c r="G7189" s="163">
        <v>2.5</v>
      </c>
      <c r="H7189" s="161" t="s">
        <v>7138</v>
      </c>
      <c r="I7189" s="161"/>
    </row>
    <row r="7190" spans="1:9">
      <c r="A7190" s="161">
        <v>910700039</v>
      </c>
      <c r="B7190" s="161" t="s">
        <v>7942</v>
      </c>
      <c r="C7190" s="161">
        <v>90305121</v>
      </c>
      <c r="D7190" s="161" t="s">
        <v>3093</v>
      </c>
      <c r="E7190" s="161" t="s">
        <v>102</v>
      </c>
      <c r="F7190" s="163" t="s">
        <v>3093</v>
      </c>
      <c r="G7190" s="163">
        <v>48</v>
      </c>
      <c r="H7190" s="161" t="s">
        <v>7138</v>
      </c>
      <c r="I7190" s="161"/>
    </row>
    <row r="7191" spans="1:9">
      <c r="A7191" s="161">
        <v>910700040</v>
      </c>
      <c r="B7191" s="161" t="s">
        <v>7943</v>
      </c>
      <c r="C7191" s="161">
        <v>90307033</v>
      </c>
      <c r="D7191" s="161" t="s">
        <v>3093</v>
      </c>
      <c r="E7191" s="161" t="s">
        <v>102</v>
      </c>
      <c r="F7191" s="163" t="s">
        <v>3093</v>
      </c>
      <c r="G7191" s="163">
        <v>12.89</v>
      </c>
      <c r="H7191" s="161" t="s">
        <v>7138</v>
      </c>
      <c r="I7191" s="161"/>
    </row>
    <row r="7192" spans="1:9">
      <c r="A7192" s="161">
        <v>910700041</v>
      </c>
      <c r="B7192" s="161" t="s">
        <v>7944</v>
      </c>
      <c r="C7192" s="161">
        <v>90307012</v>
      </c>
      <c r="D7192" s="161" t="s">
        <v>3093</v>
      </c>
      <c r="E7192" s="161" t="s">
        <v>102</v>
      </c>
      <c r="F7192" s="163" t="s">
        <v>3093</v>
      </c>
      <c r="G7192" s="163">
        <v>0</v>
      </c>
      <c r="H7192" s="161" t="s">
        <v>7138</v>
      </c>
      <c r="I7192" s="161"/>
    </row>
    <row r="7193" spans="1:9">
      <c r="A7193" s="161">
        <v>910700042</v>
      </c>
      <c r="B7193" s="161" t="s">
        <v>7945</v>
      </c>
      <c r="C7193" s="161">
        <v>90307030</v>
      </c>
      <c r="D7193" s="161" t="s">
        <v>3093</v>
      </c>
      <c r="E7193" s="161" t="s">
        <v>102</v>
      </c>
      <c r="F7193" s="163" t="s">
        <v>3093</v>
      </c>
      <c r="G7193" s="163">
        <v>0.96</v>
      </c>
      <c r="H7193" s="161" t="s">
        <v>7138</v>
      </c>
      <c r="I7193" s="161"/>
    </row>
    <row r="7194" spans="1:9">
      <c r="A7194" s="161">
        <v>910700043</v>
      </c>
      <c r="B7194" s="161" t="s">
        <v>7946</v>
      </c>
      <c r="C7194" s="161">
        <v>90307029</v>
      </c>
      <c r="D7194" s="161" t="s">
        <v>3093</v>
      </c>
      <c r="E7194" s="161" t="s">
        <v>102</v>
      </c>
      <c r="F7194" s="163" t="s">
        <v>3093</v>
      </c>
      <c r="G7194" s="163">
        <v>5.25</v>
      </c>
      <c r="H7194" s="161" t="s">
        <v>7138</v>
      </c>
      <c r="I7194" s="161"/>
    </row>
    <row r="7195" spans="1:9">
      <c r="A7195" s="161">
        <v>910700044</v>
      </c>
      <c r="B7195" s="161" t="s">
        <v>7947</v>
      </c>
      <c r="C7195" s="161">
        <v>90110074</v>
      </c>
      <c r="D7195" s="161" t="s">
        <v>3093</v>
      </c>
      <c r="E7195" s="161" t="s">
        <v>102</v>
      </c>
      <c r="F7195" s="163" t="s">
        <v>3093</v>
      </c>
      <c r="G7195" s="163">
        <v>0</v>
      </c>
      <c r="H7195" s="161" t="s">
        <v>7138</v>
      </c>
      <c r="I7195" s="161"/>
    </row>
    <row r="7196" spans="1:9">
      <c r="A7196" s="161">
        <v>910700045</v>
      </c>
      <c r="B7196" s="161" t="s">
        <v>7948</v>
      </c>
      <c r="C7196" s="161">
        <v>90110044</v>
      </c>
      <c r="D7196" s="161" t="s">
        <v>3093</v>
      </c>
      <c r="E7196" s="161" t="s">
        <v>102</v>
      </c>
      <c r="F7196" s="163" t="s">
        <v>3093</v>
      </c>
      <c r="G7196" s="163">
        <v>100</v>
      </c>
      <c r="H7196" s="161" t="s">
        <v>7138</v>
      </c>
      <c r="I7196" s="161"/>
    </row>
    <row r="7197" spans="1:9">
      <c r="A7197" s="161">
        <v>910700046</v>
      </c>
      <c r="B7197" s="161" t="s">
        <v>7949</v>
      </c>
      <c r="C7197" s="161">
        <v>90110054</v>
      </c>
      <c r="D7197" s="161" t="s">
        <v>3093</v>
      </c>
      <c r="E7197" s="161" t="s">
        <v>102</v>
      </c>
      <c r="F7197" s="163" t="s">
        <v>3093</v>
      </c>
      <c r="G7197" s="163">
        <v>81</v>
      </c>
      <c r="H7197" s="161" t="s">
        <v>7138</v>
      </c>
      <c r="I7197" s="161"/>
    </row>
    <row r="7198" spans="1:9">
      <c r="A7198" s="161">
        <v>910700047</v>
      </c>
      <c r="B7198" s="161" t="s">
        <v>7950</v>
      </c>
      <c r="C7198" s="161">
        <v>90110072</v>
      </c>
      <c r="D7198" s="161" t="s">
        <v>3093</v>
      </c>
      <c r="E7198" s="161" t="s">
        <v>102</v>
      </c>
      <c r="F7198" s="163" t="s">
        <v>3093</v>
      </c>
      <c r="G7198" s="163">
        <v>0</v>
      </c>
      <c r="H7198" s="161" t="s">
        <v>7138</v>
      </c>
      <c r="I7198" s="161"/>
    </row>
    <row r="7199" spans="1:9">
      <c r="A7199" s="161">
        <v>910700048</v>
      </c>
      <c r="B7199" s="161" t="s">
        <v>7951</v>
      </c>
      <c r="C7199" s="161">
        <v>90110075</v>
      </c>
      <c r="D7199" s="161" t="s">
        <v>3093</v>
      </c>
      <c r="E7199" s="161" t="s">
        <v>102</v>
      </c>
      <c r="F7199" s="163" t="s">
        <v>3093</v>
      </c>
      <c r="G7199" s="163">
        <v>0</v>
      </c>
      <c r="H7199" s="161" t="s">
        <v>7138</v>
      </c>
      <c r="I7199" s="161"/>
    </row>
    <row r="7200" spans="1:9">
      <c r="A7200" s="161">
        <v>910700049</v>
      </c>
      <c r="B7200" s="161" t="s">
        <v>7952</v>
      </c>
      <c r="C7200" s="161">
        <v>90110076</v>
      </c>
      <c r="D7200" s="161" t="s">
        <v>3093</v>
      </c>
      <c r="E7200" s="161" t="s">
        <v>102</v>
      </c>
      <c r="F7200" s="163" t="s">
        <v>3093</v>
      </c>
      <c r="G7200" s="163">
        <v>0</v>
      </c>
      <c r="H7200" s="161" t="s">
        <v>7138</v>
      </c>
      <c r="I7200" s="161"/>
    </row>
    <row r="7201" spans="1:9">
      <c r="A7201" s="161">
        <v>910700050</v>
      </c>
      <c r="B7201" s="161" t="s">
        <v>7953</v>
      </c>
      <c r="C7201" s="161">
        <v>90305053</v>
      </c>
      <c r="D7201" s="161" t="s">
        <v>3093</v>
      </c>
      <c r="E7201" s="161" t="s">
        <v>102</v>
      </c>
      <c r="F7201" s="163" t="s">
        <v>3093</v>
      </c>
      <c r="G7201" s="163">
        <v>11.65</v>
      </c>
      <c r="H7201" s="161" t="s">
        <v>7138</v>
      </c>
      <c r="I7201" s="161"/>
    </row>
    <row r="7202" spans="1:9">
      <c r="A7202" s="161">
        <v>910700051</v>
      </c>
      <c r="B7202" s="161" t="s">
        <v>7954</v>
      </c>
      <c r="C7202" s="161">
        <v>90110061</v>
      </c>
      <c r="D7202" s="161" t="s">
        <v>3093</v>
      </c>
      <c r="E7202" s="161" t="s">
        <v>1620</v>
      </c>
      <c r="F7202" s="163" t="s">
        <v>3093</v>
      </c>
      <c r="G7202" s="163">
        <v>0</v>
      </c>
      <c r="H7202" s="161" t="s">
        <v>7138</v>
      </c>
      <c r="I7202" s="161"/>
    </row>
    <row r="7203" spans="1:9">
      <c r="A7203" s="161">
        <v>910700052</v>
      </c>
      <c r="B7203" s="161" t="s">
        <v>7955</v>
      </c>
      <c r="C7203" s="161">
        <v>90110077</v>
      </c>
      <c r="D7203" s="161" t="s">
        <v>3093</v>
      </c>
      <c r="E7203" s="161" t="s">
        <v>102</v>
      </c>
      <c r="F7203" s="163" t="s">
        <v>3093</v>
      </c>
      <c r="G7203" s="163">
        <v>0</v>
      </c>
      <c r="H7203" s="161" t="s">
        <v>7138</v>
      </c>
      <c r="I7203" s="161"/>
    </row>
    <row r="7204" spans="1:9">
      <c r="A7204" s="161">
        <v>910700053</v>
      </c>
      <c r="B7204" s="161" t="s">
        <v>7956</v>
      </c>
      <c r="C7204" s="161">
        <v>90202005</v>
      </c>
      <c r="D7204" s="161" t="s">
        <v>3093</v>
      </c>
      <c r="E7204" s="161" t="s">
        <v>102</v>
      </c>
      <c r="F7204" s="163" t="s">
        <v>3093</v>
      </c>
      <c r="G7204" s="163">
        <v>11.21</v>
      </c>
      <c r="H7204" s="161" t="s">
        <v>7138</v>
      </c>
      <c r="I7204" s="161"/>
    </row>
    <row r="7205" spans="1:9">
      <c r="A7205" s="161">
        <v>910700054</v>
      </c>
      <c r="B7205" s="161" t="s">
        <v>7957</v>
      </c>
      <c r="C7205" s="161">
        <v>90305108</v>
      </c>
      <c r="D7205" s="161" t="s">
        <v>3093</v>
      </c>
      <c r="E7205" s="161" t="s">
        <v>102</v>
      </c>
      <c r="F7205" s="163" t="s">
        <v>3093</v>
      </c>
      <c r="G7205" s="163">
        <v>0</v>
      </c>
      <c r="H7205" s="161" t="s">
        <v>7138</v>
      </c>
      <c r="I7205" s="161"/>
    </row>
    <row r="7206" spans="1:9">
      <c r="A7206" s="161">
        <v>910700055</v>
      </c>
      <c r="B7206" s="161" t="s">
        <v>7958</v>
      </c>
      <c r="C7206" s="161">
        <v>90307017</v>
      </c>
      <c r="D7206" s="161" t="s">
        <v>3093</v>
      </c>
      <c r="E7206" s="161" t="s">
        <v>102</v>
      </c>
      <c r="F7206" s="163" t="s">
        <v>3093</v>
      </c>
      <c r="G7206" s="163">
        <v>0</v>
      </c>
      <c r="H7206" s="161" t="s">
        <v>7138</v>
      </c>
      <c r="I7206" s="161"/>
    </row>
    <row r="7207" spans="1:9">
      <c r="A7207" s="161">
        <v>910700056</v>
      </c>
      <c r="B7207" s="161" t="s">
        <v>7959</v>
      </c>
      <c r="C7207" s="161">
        <v>90307001</v>
      </c>
      <c r="D7207" s="161" t="s">
        <v>3093</v>
      </c>
      <c r="E7207" s="161" t="s">
        <v>102</v>
      </c>
      <c r="F7207" s="163" t="s">
        <v>3093</v>
      </c>
      <c r="G7207" s="163">
        <v>0.02</v>
      </c>
      <c r="H7207" s="161" t="s">
        <v>7138</v>
      </c>
      <c r="I7207" s="161"/>
    </row>
    <row r="7208" spans="1:9">
      <c r="A7208" s="161">
        <v>910700057</v>
      </c>
      <c r="B7208" s="161" t="s">
        <v>7960</v>
      </c>
      <c r="C7208" s="161">
        <v>90307015</v>
      </c>
      <c r="D7208" s="161" t="s">
        <v>3093</v>
      </c>
      <c r="E7208" s="161" t="s">
        <v>102</v>
      </c>
      <c r="F7208" s="163" t="s">
        <v>3093</v>
      </c>
      <c r="G7208" s="163">
        <v>1.8</v>
      </c>
      <c r="H7208" s="161" t="s">
        <v>7138</v>
      </c>
      <c r="I7208" s="161"/>
    </row>
    <row r="7209" spans="1:9">
      <c r="A7209" s="161">
        <v>910700058</v>
      </c>
      <c r="B7209" s="161" t="s">
        <v>7961</v>
      </c>
      <c r="C7209" s="161">
        <v>90307043</v>
      </c>
      <c r="D7209" s="161" t="s">
        <v>3093</v>
      </c>
      <c r="E7209" s="161" t="s">
        <v>102</v>
      </c>
      <c r="F7209" s="163" t="s">
        <v>3093</v>
      </c>
      <c r="G7209" s="163">
        <v>3.25</v>
      </c>
      <c r="H7209" s="161" t="s">
        <v>7138</v>
      </c>
      <c r="I7209" s="161"/>
    </row>
    <row r="7210" spans="1:9">
      <c r="A7210" s="161">
        <v>910700059</v>
      </c>
      <c r="B7210" s="161" t="s">
        <v>7962</v>
      </c>
      <c r="C7210" s="161">
        <v>90307013</v>
      </c>
      <c r="D7210" s="161" t="s">
        <v>3093</v>
      </c>
      <c r="E7210" s="161" t="s">
        <v>102</v>
      </c>
      <c r="F7210" s="163" t="s">
        <v>3093</v>
      </c>
      <c r="G7210" s="163">
        <v>2.04</v>
      </c>
      <c r="H7210" s="161" t="s">
        <v>7138</v>
      </c>
      <c r="I7210" s="161"/>
    </row>
    <row r="7211" spans="1:9">
      <c r="A7211" s="161">
        <v>910700060</v>
      </c>
      <c r="B7211" s="161" t="s">
        <v>7963</v>
      </c>
      <c r="C7211" s="161">
        <v>90307014</v>
      </c>
      <c r="D7211" s="161" t="s">
        <v>3093</v>
      </c>
      <c r="E7211" s="161" t="s">
        <v>102</v>
      </c>
      <c r="F7211" s="163" t="s">
        <v>3093</v>
      </c>
      <c r="G7211" s="163">
        <v>8</v>
      </c>
      <c r="H7211" s="161" t="s">
        <v>7138</v>
      </c>
      <c r="I7211" s="161"/>
    </row>
    <row r="7212" spans="1:9">
      <c r="A7212" s="161">
        <v>910700061</v>
      </c>
      <c r="B7212" s="161" t="s">
        <v>7964</v>
      </c>
      <c r="C7212" s="161">
        <v>90307023</v>
      </c>
      <c r="D7212" s="161" t="s">
        <v>8127</v>
      </c>
      <c r="E7212" s="161" t="s">
        <v>102</v>
      </c>
      <c r="F7212" s="163" t="s">
        <v>3093</v>
      </c>
      <c r="G7212" s="163">
        <v>0.02</v>
      </c>
      <c r="H7212" s="161" t="s">
        <v>7138</v>
      </c>
      <c r="I7212" s="161"/>
    </row>
    <row r="7213" spans="1:9">
      <c r="A7213" s="161">
        <v>910700062</v>
      </c>
      <c r="B7213" s="161" t="s">
        <v>2464</v>
      </c>
      <c r="C7213" s="161">
        <v>90307024</v>
      </c>
      <c r="D7213" s="161" t="s">
        <v>3093</v>
      </c>
      <c r="E7213" s="161" t="s">
        <v>102</v>
      </c>
      <c r="F7213" s="163" t="s">
        <v>3093</v>
      </c>
      <c r="G7213" s="163">
        <v>6.7000000000000002E-3</v>
      </c>
      <c r="H7213" s="161" t="s">
        <v>7138</v>
      </c>
      <c r="I7213" s="161"/>
    </row>
    <row r="7214" spans="1:9">
      <c r="A7214" s="161">
        <v>910700063</v>
      </c>
      <c r="B7214" s="161" t="s">
        <v>7965</v>
      </c>
      <c r="C7214" s="161">
        <v>90307016</v>
      </c>
      <c r="D7214" s="161" t="s">
        <v>3093</v>
      </c>
      <c r="E7214" s="161" t="s">
        <v>102</v>
      </c>
      <c r="F7214" s="163" t="s">
        <v>3093</v>
      </c>
      <c r="G7214" s="163">
        <v>4.55</v>
      </c>
      <c r="H7214" s="161" t="s">
        <v>7138</v>
      </c>
      <c r="I7214" s="161"/>
    </row>
    <row r="7215" spans="1:9">
      <c r="A7215" s="161">
        <v>910700064</v>
      </c>
      <c r="B7215" s="161" t="s">
        <v>7966</v>
      </c>
      <c r="C7215" s="161">
        <v>90307037</v>
      </c>
      <c r="D7215" s="161" t="s">
        <v>3093</v>
      </c>
      <c r="E7215" s="161" t="s">
        <v>102</v>
      </c>
      <c r="F7215" s="163" t="s">
        <v>3093</v>
      </c>
      <c r="G7215" s="163">
        <v>0</v>
      </c>
      <c r="H7215" s="161" t="s">
        <v>7138</v>
      </c>
      <c r="I7215" s="161"/>
    </row>
    <row r="7216" spans="1:9">
      <c r="A7216" s="161">
        <v>910700065</v>
      </c>
      <c r="B7216" s="161" t="s">
        <v>7967</v>
      </c>
      <c r="C7216" s="161">
        <v>90307051</v>
      </c>
      <c r="D7216" s="161" t="s">
        <v>3093</v>
      </c>
      <c r="E7216" s="161" t="s">
        <v>102</v>
      </c>
      <c r="F7216" s="163" t="s">
        <v>3093</v>
      </c>
      <c r="G7216" s="163">
        <v>0</v>
      </c>
      <c r="H7216" s="161" t="s">
        <v>7138</v>
      </c>
      <c r="I7216" s="161"/>
    </row>
    <row r="7217" spans="1:9">
      <c r="A7217" s="161">
        <v>910700066</v>
      </c>
      <c r="B7217" s="161" t="s">
        <v>2465</v>
      </c>
      <c r="C7217" s="161">
        <v>90307041</v>
      </c>
      <c r="D7217" s="161" t="s">
        <v>3093</v>
      </c>
      <c r="E7217" s="161" t="s">
        <v>102</v>
      </c>
      <c r="F7217" s="163" t="s">
        <v>3093</v>
      </c>
      <c r="G7217" s="163">
        <v>7.25</v>
      </c>
      <c r="H7217" s="161" t="s">
        <v>7138</v>
      </c>
      <c r="I7217" s="161"/>
    </row>
    <row r="7218" spans="1:9">
      <c r="A7218" s="161">
        <v>910700067</v>
      </c>
      <c r="B7218" s="161" t="s">
        <v>2466</v>
      </c>
      <c r="C7218" s="161">
        <v>90307042</v>
      </c>
      <c r="D7218" s="161" t="s">
        <v>3093</v>
      </c>
      <c r="E7218" s="161" t="s">
        <v>102</v>
      </c>
      <c r="F7218" s="163" t="s">
        <v>3093</v>
      </c>
      <c r="G7218" s="163">
        <v>17.2</v>
      </c>
      <c r="H7218" s="161" t="s">
        <v>7138</v>
      </c>
      <c r="I7218" s="161"/>
    </row>
    <row r="7219" spans="1:9">
      <c r="A7219" s="161">
        <v>910700068</v>
      </c>
      <c r="B7219" s="161" t="s">
        <v>7968</v>
      </c>
      <c r="C7219" s="161">
        <v>90307052</v>
      </c>
      <c r="D7219" s="161" t="s">
        <v>8127</v>
      </c>
      <c r="E7219" s="161" t="s">
        <v>102</v>
      </c>
      <c r="F7219" s="163" t="s">
        <v>3093</v>
      </c>
      <c r="G7219" s="163">
        <v>0.01</v>
      </c>
      <c r="H7219" s="161" t="s">
        <v>7138</v>
      </c>
      <c r="I7219" s="161"/>
    </row>
    <row r="7220" spans="1:9">
      <c r="A7220" s="161">
        <v>910700069</v>
      </c>
      <c r="B7220" s="161" t="s">
        <v>7969</v>
      </c>
      <c r="C7220" s="161">
        <v>90307018</v>
      </c>
      <c r="D7220" s="161" t="s">
        <v>3093</v>
      </c>
      <c r="E7220" s="161" t="s">
        <v>102</v>
      </c>
      <c r="F7220" s="163" t="s">
        <v>3093</v>
      </c>
      <c r="G7220" s="163">
        <v>12</v>
      </c>
      <c r="H7220" s="161" t="s">
        <v>7138</v>
      </c>
      <c r="I7220" s="161"/>
    </row>
    <row r="7221" spans="1:9">
      <c r="A7221" s="161">
        <v>910700070</v>
      </c>
      <c r="B7221" s="161" t="s">
        <v>7970</v>
      </c>
      <c r="C7221" s="161">
        <v>90307032</v>
      </c>
      <c r="D7221" s="161" t="s">
        <v>3093</v>
      </c>
      <c r="E7221" s="161" t="s">
        <v>102</v>
      </c>
      <c r="F7221" s="163" t="s">
        <v>3093</v>
      </c>
      <c r="G7221" s="163">
        <v>44.9</v>
      </c>
      <c r="H7221" s="161" t="s">
        <v>7138</v>
      </c>
      <c r="I7221" s="161"/>
    </row>
    <row r="7222" spans="1:9">
      <c r="A7222" s="161">
        <v>910700071</v>
      </c>
      <c r="B7222" s="161" t="s">
        <v>7971</v>
      </c>
      <c r="C7222" s="161">
        <v>90305069</v>
      </c>
      <c r="D7222" s="161" t="s">
        <v>3093</v>
      </c>
      <c r="E7222" s="161" t="s">
        <v>102</v>
      </c>
      <c r="F7222" s="163" t="s">
        <v>3093</v>
      </c>
      <c r="G7222" s="163">
        <v>7.09</v>
      </c>
      <c r="H7222" s="161" t="s">
        <v>7138</v>
      </c>
      <c r="I7222" s="161"/>
    </row>
    <row r="7223" spans="1:9">
      <c r="A7223" s="161">
        <v>910700072</v>
      </c>
      <c r="B7223" s="161" t="s">
        <v>7972</v>
      </c>
      <c r="C7223" s="161">
        <v>90305068</v>
      </c>
      <c r="D7223" s="161" t="s">
        <v>3093</v>
      </c>
      <c r="E7223" s="161" t="s">
        <v>102</v>
      </c>
      <c r="F7223" s="163" t="s">
        <v>3093</v>
      </c>
      <c r="G7223" s="163">
        <v>5.13</v>
      </c>
      <c r="H7223" s="161" t="s">
        <v>7138</v>
      </c>
      <c r="I7223" s="161"/>
    </row>
    <row r="7224" spans="1:9">
      <c r="A7224" s="161">
        <v>910700073</v>
      </c>
      <c r="B7224" s="161" t="s">
        <v>7973</v>
      </c>
      <c r="C7224" s="161">
        <v>90305156</v>
      </c>
      <c r="D7224" s="161" t="s">
        <v>3093</v>
      </c>
      <c r="E7224" s="161" t="s">
        <v>1620</v>
      </c>
      <c r="F7224" s="163" t="s">
        <v>3093</v>
      </c>
      <c r="G7224" s="163">
        <v>18</v>
      </c>
      <c r="H7224" s="161" t="s">
        <v>7138</v>
      </c>
      <c r="I7224" s="161"/>
    </row>
    <row r="7225" spans="1:9">
      <c r="A7225" s="161">
        <v>910700074</v>
      </c>
      <c r="B7225" s="161" t="s">
        <v>2620</v>
      </c>
      <c r="C7225" s="161">
        <v>90110055</v>
      </c>
      <c r="D7225" s="161" t="s">
        <v>3093</v>
      </c>
      <c r="E7225" s="161" t="s">
        <v>102</v>
      </c>
      <c r="F7225" s="163" t="s">
        <v>3093</v>
      </c>
      <c r="G7225" s="163">
        <v>6.67</v>
      </c>
      <c r="H7225" s="161" t="s">
        <v>7138</v>
      </c>
      <c r="I7225" s="161"/>
    </row>
    <row r="7226" spans="1:9">
      <c r="A7226" s="161">
        <v>910700075</v>
      </c>
      <c r="B7226" s="161" t="s">
        <v>7974</v>
      </c>
      <c r="C7226" s="161">
        <v>90307047</v>
      </c>
      <c r="D7226" s="161" t="s">
        <v>3093</v>
      </c>
      <c r="E7226" s="161" t="s">
        <v>102</v>
      </c>
      <c r="F7226" s="163" t="s">
        <v>3093</v>
      </c>
      <c r="G7226" s="163">
        <v>5</v>
      </c>
      <c r="H7226" s="161" t="s">
        <v>7138</v>
      </c>
      <c r="I7226" s="161"/>
    </row>
    <row r="7227" spans="1:9">
      <c r="A7227" s="161">
        <v>910700076</v>
      </c>
      <c r="B7227" s="161" t="s">
        <v>7975</v>
      </c>
      <c r="C7227" s="161">
        <v>90307020</v>
      </c>
      <c r="D7227" s="161" t="s">
        <v>3093</v>
      </c>
      <c r="E7227" s="161" t="s">
        <v>102</v>
      </c>
      <c r="F7227" s="163" t="s">
        <v>3093</v>
      </c>
      <c r="G7227" s="163">
        <v>0</v>
      </c>
      <c r="H7227" s="161" t="s">
        <v>7138</v>
      </c>
      <c r="I7227" s="161"/>
    </row>
    <row r="7228" spans="1:9">
      <c r="A7228" s="161">
        <v>910700077</v>
      </c>
      <c r="B7228" s="161" t="s">
        <v>7976</v>
      </c>
      <c r="C7228" s="161">
        <v>90110036</v>
      </c>
      <c r="D7228" s="161" t="s">
        <v>3093</v>
      </c>
      <c r="E7228" s="161" t="s">
        <v>102</v>
      </c>
      <c r="F7228" s="163" t="s">
        <v>3093</v>
      </c>
      <c r="G7228" s="163">
        <v>43.88</v>
      </c>
      <c r="H7228" s="161" t="s">
        <v>7138</v>
      </c>
      <c r="I7228" s="161"/>
    </row>
    <row r="7229" spans="1:9">
      <c r="A7229" s="161">
        <v>910700078</v>
      </c>
      <c r="B7229" s="161" t="s">
        <v>7977</v>
      </c>
      <c r="C7229" s="161">
        <v>90307040</v>
      </c>
      <c r="D7229" s="161" t="s">
        <v>3093</v>
      </c>
      <c r="E7229" s="161" t="s">
        <v>102</v>
      </c>
      <c r="F7229" s="163" t="s">
        <v>3093</v>
      </c>
      <c r="G7229" s="163">
        <v>0</v>
      </c>
      <c r="H7229" s="161" t="s">
        <v>7138</v>
      </c>
      <c r="I7229" s="161"/>
    </row>
    <row r="7230" spans="1:9">
      <c r="A7230" s="161">
        <v>910700079</v>
      </c>
      <c r="B7230" s="161" t="s">
        <v>7978</v>
      </c>
      <c r="C7230" s="161">
        <v>90306001</v>
      </c>
      <c r="D7230" s="161" t="s">
        <v>3093</v>
      </c>
      <c r="E7230" s="161" t="s">
        <v>102</v>
      </c>
      <c r="F7230" s="163" t="s">
        <v>3093</v>
      </c>
      <c r="G7230" s="163">
        <v>0.98</v>
      </c>
      <c r="H7230" s="161" t="s">
        <v>7138</v>
      </c>
      <c r="I7230" s="161"/>
    </row>
    <row r="7231" spans="1:9">
      <c r="A7231" s="161">
        <v>910700080</v>
      </c>
      <c r="B7231" s="161" t="s">
        <v>7979</v>
      </c>
      <c r="C7231" s="161">
        <v>90110053</v>
      </c>
      <c r="D7231" s="161" t="s">
        <v>3093</v>
      </c>
      <c r="E7231" s="161" t="s">
        <v>102</v>
      </c>
      <c r="F7231" s="163" t="s">
        <v>3093</v>
      </c>
      <c r="G7231" s="163">
        <v>0.65</v>
      </c>
      <c r="H7231" s="161" t="s">
        <v>7138</v>
      </c>
      <c r="I7231" s="161"/>
    </row>
    <row r="7232" spans="1:9">
      <c r="A7232" s="161">
        <v>910700081</v>
      </c>
      <c r="B7232" s="161" t="s">
        <v>7980</v>
      </c>
      <c r="C7232" s="161">
        <v>90306000</v>
      </c>
      <c r="D7232" s="161" t="s">
        <v>3093</v>
      </c>
      <c r="E7232" s="161" t="s">
        <v>102</v>
      </c>
      <c r="F7232" s="163" t="s">
        <v>3093</v>
      </c>
      <c r="G7232" s="163">
        <v>0.255382</v>
      </c>
      <c r="H7232" s="161" t="s">
        <v>7138</v>
      </c>
      <c r="I7232" s="161"/>
    </row>
    <row r="7233" spans="1:9">
      <c r="A7233" s="161">
        <v>910700082</v>
      </c>
      <c r="B7233" s="161" t="s">
        <v>7981</v>
      </c>
      <c r="C7233" s="161">
        <v>90110045</v>
      </c>
      <c r="D7233" s="161" t="s">
        <v>3093</v>
      </c>
      <c r="E7233" s="161" t="s">
        <v>102</v>
      </c>
      <c r="F7233" s="163" t="s">
        <v>3093</v>
      </c>
      <c r="G7233" s="163">
        <v>4.75</v>
      </c>
      <c r="H7233" s="161" t="s">
        <v>7138</v>
      </c>
      <c r="I7233" s="161"/>
    </row>
    <row r="7234" spans="1:9">
      <c r="A7234" s="161">
        <v>910700083</v>
      </c>
      <c r="B7234" s="161" t="s">
        <v>7982</v>
      </c>
      <c r="C7234" s="161">
        <v>90110034</v>
      </c>
      <c r="D7234" s="161" t="s">
        <v>3093</v>
      </c>
      <c r="E7234" s="161" t="s">
        <v>102</v>
      </c>
      <c r="F7234" s="163" t="s">
        <v>3093</v>
      </c>
      <c r="G7234" s="163">
        <v>0.15</v>
      </c>
      <c r="H7234" s="161" t="s">
        <v>7138</v>
      </c>
      <c r="I7234" s="161"/>
    </row>
    <row r="7235" spans="1:9">
      <c r="A7235" s="161">
        <v>910700084</v>
      </c>
      <c r="B7235" s="161" t="s">
        <v>2621</v>
      </c>
      <c r="C7235" s="161">
        <v>90110041</v>
      </c>
      <c r="D7235" s="161" t="s">
        <v>3093</v>
      </c>
      <c r="E7235" s="161" t="s">
        <v>1620</v>
      </c>
      <c r="F7235" s="163" t="s">
        <v>3093</v>
      </c>
      <c r="G7235" s="163">
        <v>0</v>
      </c>
      <c r="H7235" s="161" t="s">
        <v>7138</v>
      </c>
      <c r="I7235" s="161"/>
    </row>
    <row r="7236" spans="1:9">
      <c r="A7236" s="161">
        <v>910700085</v>
      </c>
      <c r="B7236" s="161" t="s">
        <v>7983</v>
      </c>
      <c r="C7236" s="161">
        <v>90305040</v>
      </c>
      <c r="D7236" s="161" t="s">
        <v>3093</v>
      </c>
      <c r="E7236" s="161" t="s">
        <v>8117</v>
      </c>
      <c r="F7236" s="163" t="s">
        <v>3093</v>
      </c>
      <c r="G7236" s="163">
        <v>2.5</v>
      </c>
      <c r="H7236" s="161" t="s">
        <v>7138</v>
      </c>
      <c r="I7236" s="161"/>
    </row>
    <row r="7237" spans="1:9">
      <c r="A7237" s="161">
        <v>910700086</v>
      </c>
      <c r="B7237" s="161" t="s">
        <v>7984</v>
      </c>
      <c r="C7237" s="161">
        <v>90305009</v>
      </c>
      <c r="D7237" s="161" t="s">
        <v>8127</v>
      </c>
      <c r="E7237" s="161" t="s">
        <v>102</v>
      </c>
      <c r="F7237" s="163" t="s">
        <v>3093</v>
      </c>
      <c r="G7237" s="163">
        <v>0.04</v>
      </c>
      <c r="H7237" s="161" t="s">
        <v>7138</v>
      </c>
      <c r="I7237" s="161"/>
    </row>
    <row r="7238" spans="1:9">
      <c r="A7238" s="161">
        <v>910700087</v>
      </c>
      <c r="B7238" s="161" t="s">
        <v>7985</v>
      </c>
      <c r="C7238" s="161">
        <v>90307044</v>
      </c>
      <c r="D7238" s="161" t="s">
        <v>3093</v>
      </c>
      <c r="E7238" s="161" t="s">
        <v>102</v>
      </c>
      <c r="F7238" s="163" t="s">
        <v>3093</v>
      </c>
      <c r="G7238" s="163">
        <v>9</v>
      </c>
      <c r="H7238" s="161" t="s">
        <v>7138</v>
      </c>
      <c r="I7238" s="161"/>
    </row>
    <row r="7239" spans="1:9">
      <c r="A7239" s="161">
        <v>910700088</v>
      </c>
      <c r="B7239" s="161" t="s">
        <v>7986</v>
      </c>
      <c r="C7239" s="161">
        <v>90307038</v>
      </c>
      <c r="D7239" s="161" t="s">
        <v>3093</v>
      </c>
      <c r="E7239" s="161" t="s">
        <v>102</v>
      </c>
      <c r="F7239" s="163" t="s">
        <v>3093</v>
      </c>
      <c r="G7239" s="163">
        <v>62</v>
      </c>
      <c r="H7239" s="161" t="s">
        <v>7138</v>
      </c>
      <c r="I7239" s="161"/>
    </row>
    <row r="7240" spans="1:9">
      <c r="A7240" s="161">
        <v>910700089</v>
      </c>
      <c r="B7240" s="161" t="s">
        <v>7987</v>
      </c>
      <c r="C7240" s="161">
        <v>90110027</v>
      </c>
      <c r="D7240" s="161" t="s">
        <v>3093</v>
      </c>
      <c r="E7240" s="161" t="s">
        <v>1778</v>
      </c>
      <c r="F7240" s="163" t="s">
        <v>3093</v>
      </c>
      <c r="G7240" s="163">
        <v>3.25</v>
      </c>
      <c r="H7240" s="161" t="s">
        <v>7138</v>
      </c>
      <c r="I7240" s="161"/>
    </row>
    <row r="7241" spans="1:9">
      <c r="A7241" s="161">
        <v>910700090</v>
      </c>
      <c r="B7241" s="161" t="s">
        <v>7988</v>
      </c>
      <c r="C7241" s="161">
        <v>90110056</v>
      </c>
      <c r="D7241" s="161" t="s">
        <v>3093</v>
      </c>
      <c r="E7241" s="161" t="s">
        <v>1620</v>
      </c>
      <c r="F7241" s="163" t="s">
        <v>3093</v>
      </c>
      <c r="G7241" s="163">
        <v>0</v>
      </c>
      <c r="H7241" s="161" t="s">
        <v>7138</v>
      </c>
      <c r="I7241" s="161"/>
    </row>
    <row r="7242" spans="1:9">
      <c r="A7242" s="161">
        <v>910700091</v>
      </c>
      <c r="B7242" s="161" t="s">
        <v>7989</v>
      </c>
      <c r="C7242" s="161">
        <v>90305070</v>
      </c>
      <c r="D7242" s="161" t="s">
        <v>3093</v>
      </c>
      <c r="E7242" s="161" t="s">
        <v>102</v>
      </c>
      <c r="F7242" s="163" t="s">
        <v>3093</v>
      </c>
      <c r="G7242" s="163">
        <v>30.75</v>
      </c>
      <c r="H7242" s="161" t="s">
        <v>7138</v>
      </c>
      <c r="I7242" s="161"/>
    </row>
    <row r="7243" spans="1:9">
      <c r="A7243" s="161">
        <v>910700092</v>
      </c>
      <c r="B7243" s="161" t="s">
        <v>2453</v>
      </c>
      <c r="C7243" s="161">
        <v>90305059</v>
      </c>
      <c r="D7243" s="161" t="s">
        <v>3093</v>
      </c>
      <c r="E7243" s="161" t="s">
        <v>102</v>
      </c>
      <c r="F7243" s="163" t="s">
        <v>3093</v>
      </c>
      <c r="G7243" s="163">
        <v>5.8</v>
      </c>
      <c r="H7243" s="161" t="s">
        <v>7138</v>
      </c>
      <c r="I7243" s="161"/>
    </row>
    <row r="7244" spans="1:9">
      <c r="A7244" s="161">
        <v>910700093</v>
      </c>
      <c r="B7244" s="161" t="s">
        <v>7990</v>
      </c>
      <c r="C7244" s="161">
        <v>90110037</v>
      </c>
      <c r="D7244" s="161" t="s">
        <v>3093</v>
      </c>
      <c r="E7244" s="161" t="s">
        <v>102</v>
      </c>
      <c r="F7244" s="163" t="s">
        <v>3093</v>
      </c>
      <c r="G7244" s="163">
        <v>11.85</v>
      </c>
      <c r="H7244" s="161" t="s">
        <v>7138</v>
      </c>
      <c r="I7244" s="161"/>
    </row>
    <row r="7245" spans="1:9">
      <c r="A7245" s="161">
        <v>910700094</v>
      </c>
      <c r="B7245" s="161" t="s">
        <v>2622</v>
      </c>
      <c r="C7245" s="161">
        <v>90110071</v>
      </c>
      <c r="D7245" s="161" t="s">
        <v>3093</v>
      </c>
      <c r="E7245" s="161" t="s">
        <v>1275</v>
      </c>
      <c r="F7245" s="163" t="s">
        <v>3093</v>
      </c>
      <c r="G7245" s="163">
        <v>0</v>
      </c>
      <c r="H7245" s="161" t="s">
        <v>7138</v>
      </c>
      <c r="I7245" s="161"/>
    </row>
    <row r="7246" spans="1:9">
      <c r="A7246" s="161">
        <v>910700095</v>
      </c>
      <c r="B7246" s="161" t="s">
        <v>7991</v>
      </c>
      <c r="C7246" s="161">
        <v>90110021</v>
      </c>
      <c r="D7246" s="161" t="s">
        <v>3093</v>
      </c>
      <c r="E7246" s="161" t="s">
        <v>102</v>
      </c>
      <c r="F7246" s="163" t="s">
        <v>3093</v>
      </c>
      <c r="G7246" s="163">
        <v>0.32500000000000001</v>
      </c>
      <c r="H7246" s="161" t="s">
        <v>7138</v>
      </c>
      <c r="I7246" s="161"/>
    </row>
    <row r="7247" spans="1:9">
      <c r="A7247" s="161">
        <v>910700096</v>
      </c>
      <c r="B7247" s="161" t="s">
        <v>7992</v>
      </c>
      <c r="C7247" s="161">
        <v>90110069</v>
      </c>
      <c r="D7247" s="161" t="s">
        <v>3093</v>
      </c>
      <c r="E7247" s="161" t="s">
        <v>102</v>
      </c>
      <c r="F7247" s="163" t="s">
        <v>3093</v>
      </c>
      <c r="G7247" s="163">
        <v>10.95</v>
      </c>
      <c r="H7247" s="161" t="s">
        <v>7138</v>
      </c>
      <c r="I7247" s="161"/>
    </row>
    <row r="7248" spans="1:9">
      <c r="A7248" s="161">
        <v>910700097</v>
      </c>
      <c r="B7248" s="161" t="s">
        <v>7993</v>
      </c>
      <c r="C7248" s="161">
        <v>90307061</v>
      </c>
      <c r="D7248" s="161" t="s">
        <v>3093</v>
      </c>
      <c r="E7248" s="161" t="s">
        <v>102</v>
      </c>
      <c r="F7248" s="163" t="s">
        <v>3093</v>
      </c>
      <c r="G7248" s="163">
        <v>30.5</v>
      </c>
      <c r="H7248" s="161" t="s">
        <v>7138</v>
      </c>
      <c r="I7248" s="161"/>
    </row>
    <row r="7249" spans="1:9">
      <c r="A7249" s="161">
        <v>910700098</v>
      </c>
      <c r="B7249" s="161" t="s">
        <v>7994</v>
      </c>
      <c r="C7249" s="161">
        <v>90307060</v>
      </c>
      <c r="D7249" s="161" t="s">
        <v>3093</v>
      </c>
      <c r="E7249" s="161" t="s">
        <v>102</v>
      </c>
      <c r="F7249" s="163" t="s">
        <v>3093</v>
      </c>
      <c r="G7249" s="163">
        <v>25.75</v>
      </c>
      <c r="H7249" s="161" t="s">
        <v>7138</v>
      </c>
      <c r="I7249" s="161"/>
    </row>
    <row r="7250" spans="1:9">
      <c r="A7250" s="161">
        <v>910700099</v>
      </c>
      <c r="B7250" s="161" t="s">
        <v>7995</v>
      </c>
      <c r="C7250" s="161">
        <v>90305048</v>
      </c>
      <c r="D7250" s="161" t="s">
        <v>3093</v>
      </c>
      <c r="E7250" s="161" t="s">
        <v>102</v>
      </c>
      <c r="F7250" s="163" t="s">
        <v>3093</v>
      </c>
      <c r="G7250" s="163">
        <v>0</v>
      </c>
      <c r="H7250" s="161" t="s">
        <v>7138</v>
      </c>
      <c r="I7250" s="161"/>
    </row>
    <row r="7251" spans="1:9">
      <c r="A7251" s="161">
        <v>910700100</v>
      </c>
      <c r="B7251" s="161" t="s">
        <v>2401</v>
      </c>
      <c r="C7251" s="161">
        <v>90202082</v>
      </c>
      <c r="D7251" s="161" t="s">
        <v>3093</v>
      </c>
      <c r="E7251" s="161" t="s">
        <v>1778</v>
      </c>
      <c r="F7251" s="163" t="s">
        <v>3093</v>
      </c>
      <c r="G7251" s="163">
        <v>0</v>
      </c>
      <c r="H7251" s="161" t="s">
        <v>7138</v>
      </c>
      <c r="I7251" s="161"/>
    </row>
    <row r="7252" spans="1:9">
      <c r="A7252" s="161">
        <v>910700101</v>
      </c>
      <c r="B7252" s="161" t="s">
        <v>7996</v>
      </c>
      <c r="C7252" s="161">
        <v>90305094</v>
      </c>
      <c r="D7252" s="161" t="s">
        <v>3093</v>
      </c>
      <c r="E7252" s="161" t="s">
        <v>1620</v>
      </c>
      <c r="F7252" s="163" t="s">
        <v>3093</v>
      </c>
      <c r="G7252" s="163">
        <v>0.24</v>
      </c>
      <c r="H7252" s="161" t="s">
        <v>7138</v>
      </c>
      <c r="I7252" s="161"/>
    </row>
    <row r="7253" spans="1:9">
      <c r="A7253" s="161">
        <v>910700102</v>
      </c>
      <c r="B7253" s="161" t="s">
        <v>7997</v>
      </c>
      <c r="C7253" s="161">
        <v>90305050</v>
      </c>
      <c r="D7253" s="161" t="s">
        <v>3093</v>
      </c>
      <c r="E7253" s="161" t="s">
        <v>8123</v>
      </c>
      <c r="F7253" s="163" t="s">
        <v>3093</v>
      </c>
      <c r="G7253" s="163">
        <v>0</v>
      </c>
      <c r="H7253" s="161" t="s">
        <v>7138</v>
      </c>
      <c r="I7253" s="161"/>
    </row>
    <row r="7254" spans="1:9">
      <c r="A7254" s="161">
        <v>910700103</v>
      </c>
      <c r="B7254" s="161" t="s">
        <v>7998</v>
      </c>
      <c r="C7254" s="161">
        <v>90305051</v>
      </c>
      <c r="D7254" s="161" t="s">
        <v>3093</v>
      </c>
      <c r="E7254" s="161" t="s">
        <v>8123</v>
      </c>
      <c r="F7254" s="163" t="s">
        <v>3093</v>
      </c>
      <c r="G7254" s="163">
        <v>0</v>
      </c>
      <c r="H7254" s="161" t="s">
        <v>7138</v>
      </c>
      <c r="I7254" s="161"/>
    </row>
    <row r="7255" spans="1:9">
      <c r="A7255" s="161">
        <v>910700104</v>
      </c>
      <c r="B7255" s="161" t="s">
        <v>2623</v>
      </c>
      <c r="C7255" s="161">
        <v>90110039</v>
      </c>
      <c r="D7255" s="161" t="s">
        <v>3093</v>
      </c>
      <c r="E7255" s="161" t="s">
        <v>102</v>
      </c>
      <c r="F7255" s="163" t="s">
        <v>3093</v>
      </c>
      <c r="G7255" s="163">
        <v>0</v>
      </c>
      <c r="H7255" s="161" t="s">
        <v>7138</v>
      </c>
      <c r="I7255" s="161"/>
    </row>
    <row r="7256" spans="1:9">
      <c r="A7256" s="161">
        <v>910700105</v>
      </c>
      <c r="B7256" s="161" t="s">
        <v>7999</v>
      </c>
      <c r="C7256" s="161">
        <v>90307031</v>
      </c>
      <c r="D7256" s="161" t="s">
        <v>3093</v>
      </c>
      <c r="E7256" s="161" t="s">
        <v>102</v>
      </c>
      <c r="F7256" s="163" t="s">
        <v>3093</v>
      </c>
      <c r="G7256" s="163">
        <v>0</v>
      </c>
      <c r="H7256" s="161" t="s">
        <v>7138</v>
      </c>
      <c r="I7256" s="161"/>
    </row>
    <row r="7257" spans="1:9">
      <c r="A7257" s="161">
        <v>910700106</v>
      </c>
      <c r="B7257" s="161" t="s">
        <v>8000</v>
      </c>
      <c r="C7257" s="161">
        <v>90305157</v>
      </c>
      <c r="D7257" s="161" t="s">
        <v>3093</v>
      </c>
      <c r="E7257" s="161" t="s">
        <v>1620</v>
      </c>
      <c r="F7257" s="163" t="s">
        <v>3093</v>
      </c>
      <c r="G7257" s="163">
        <v>38</v>
      </c>
      <c r="H7257" s="161" t="s">
        <v>7138</v>
      </c>
      <c r="I7257" s="161"/>
    </row>
    <row r="7258" spans="1:9">
      <c r="A7258" s="161">
        <v>910700107</v>
      </c>
      <c r="B7258" s="161" t="s">
        <v>8001</v>
      </c>
      <c r="C7258" s="161">
        <v>90305158</v>
      </c>
      <c r="D7258" s="161" t="s">
        <v>3093</v>
      </c>
      <c r="E7258" s="161" t="s">
        <v>1620</v>
      </c>
      <c r="F7258" s="163" t="s">
        <v>3093</v>
      </c>
      <c r="G7258" s="163">
        <v>325</v>
      </c>
      <c r="H7258" s="161" t="s">
        <v>7138</v>
      </c>
      <c r="I7258" s="161"/>
    </row>
    <row r="7259" spans="1:9">
      <c r="A7259" s="161">
        <v>910700108</v>
      </c>
      <c r="B7259" s="161" t="s">
        <v>8002</v>
      </c>
      <c r="C7259" s="161">
        <v>90305152</v>
      </c>
      <c r="D7259" s="161" t="s">
        <v>3093</v>
      </c>
      <c r="E7259" s="161" t="s">
        <v>1620</v>
      </c>
      <c r="F7259" s="163" t="s">
        <v>3093</v>
      </c>
      <c r="G7259" s="163">
        <v>149.9</v>
      </c>
      <c r="H7259" s="161" t="s">
        <v>7138</v>
      </c>
      <c r="I7259" s="161"/>
    </row>
    <row r="7260" spans="1:9">
      <c r="A7260" s="161">
        <v>910700109</v>
      </c>
      <c r="B7260" s="161" t="s">
        <v>2467</v>
      </c>
      <c r="C7260" s="161">
        <v>90307055</v>
      </c>
      <c r="D7260" s="161" t="s">
        <v>3093</v>
      </c>
      <c r="E7260" s="161" t="s">
        <v>102</v>
      </c>
      <c r="F7260" s="163" t="s">
        <v>3093</v>
      </c>
      <c r="G7260" s="163">
        <v>16.25</v>
      </c>
      <c r="H7260" s="161" t="s">
        <v>7138</v>
      </c>
      <c r="I7260" s="161"/>
    </row>
    <row r="7261" spans="1:9">
      <c r="A7261" s="161">
        <v>910700110</v>
      </c>
      <c r="B7261" s="161" t="s">
        <v>2468</v>
      </c>
      <c r="C7261" s="161">
        <v>90307056</v>
      </c>
      <c r="D7261" s="161" t="s">
        <v>3093</v>
      </c>
      <c r="E7261" s="161" t="s">
        <v>102</v>
      </c>
      <c r="F7261" s="163" t="s">
        <v>3093</v>
      </c>
      <c r="G7261" s="163">
        <v>1.1200000000000001</v>
      </c>
      <c r="H7261" s="161" t="s">
        <v>7138</v>
      </c>
      <c r="I7261" s="161"/>
    </row>
    <row r="7262" spans="1:9">
      <c r="A7262" s="161">
        <v>910700111</v>
      </c>
      <c r="B7262" s="161" t="s">
        <v>8003</v>
      </c>
      <c r="C7262" s="161">
        <v>90305029</v>
      </c>
      <c r="D7262" s="161" t="s">
        <v>3093</v>
      </c>
      <c r="E7262" s="161" t="s">
        <v>102</v>
      </c>
      <c r="F7262" s="163" t="s">
        <v>3093</v>
      </c>
      <c r="G7262" s="163">
        <v>2.13</v>
      </c>
      <c r="H7262" s="161" t="s">
        <v>7138</v>
      </c>
      <c r="I7262" s="161"/>
    </row>
    <row r="7263" spans="1:9">
      <c r="A7263" s="161">
        <v>910700112</v>
      </c>
      <c r="B7263" s="161" t="s">
        <v>2624</v>
      </c>
      <c r="C7263" s="161">
        <v>90110073</v>
      </c>
      <c r="D7263" s="161" t="s">
        <v>3093</v>
      </c>
      <c r="E7263" s="161" t="s">
        <v>102</v>
      </c>
      <c r="F7263" s="163" t="s">
        <v>3093</v>
      </c>
      <c r="G7263" s="163">
        <v>0</v>
      </c>
      <c r="H7263" s="161" t="s">
        <v>7138</v>
      </c>
      <c r="I7263" s="161"/>
    </row>
    <row r="7264" spans="1:9">
      <c r="A7264" s="161">
        <v>910700113</v>
      </c>
      <c r="B7264" s="161" t="s">
        <v>2469</v>
      </c>
      <c r="C7264" s="161">
        <v>90307035</v>
      </c>
      <c r="D7264" s="161" t="s">
        <v>3093</v>
      </c>
      <c r="E7264" s="161" t="s">
        <v>102</v>
      </c>
      <c r="F7264" s="163" t="s">
        <v>3093</v>
      </c>
      <c r="G7264" s="163">
        <v>1.55</v>
      </c>
      <c r="H7264" s="161" t="s">
        <v>7138</v>
      </c>
      <c r="I7264" s="161"/>
    </row>
    <row r="7265" spans="1:9">
      <c r="A7265" s="161">
        <v>910700114</v>
      </c>
      <c r="B7265" s="161" t="s">
        <v>8004</v>
      </c>
      <c r="C7265" s="161">
        <v>90305159</v>
      </c>
      <c r="D7265" s="161" t="s">
        <v>3093</v>
      </c>
      <c r="E7265" s="161" t="s">
        <v>1620</v>
      </c>
      <c r="F7265" s="163" t="s">
        <v>3093</v>
      </c>
      <c r="G7265" s="163">
        <v>3</v>
      </c>
      <c r="H7265" s="161" t="s">
        <v>7138</v>
      </c>
      <c r="I7265" s="161"/>
    </row>
    <row r="7266" spans="1:9">
      <c r="A7266" s="161">
        <v>910700115</v>
      </c>
      <c r="B7266" s="161" t="s">
        <v>2454</v>
      </c>
      <c r="C7266" s="161">
        <v>90305160</v>
      </c>
      <c r="D7266" s="161" t="s">
        <v>3093</v>
      </c>
      <c r="E7266" s="161" t="s">
        <v>1620</v>
      </c>
      <c r="F7266" s="163" t="s">
        <v>3093</v>
      </c>
      <c r="G7266" s="163">
        <v>5</v>
      </c>
      <c r="H7266" s="161" t="s">
        <v>7138</v>
      </c>
      <c r="I7266" s="161"/>
    </row>
    <row r="7267" spans="1:9">
      <c r="A7267" s="161">
        <v>910700116</v>
      </c>
      <c r="B7267" s="161" t="s">
        <v>8005</v>
      </c>
      <c r="C7267" s="161">
        <v>90305047</v>
      </c>
      <c r="D7267" s="161" t="s">
        <v>3093</v>
      </c>
      <c r="E7267" s="161" t="s">
        <v>102</v>
      </c>
      <c r="F7267" s="163" t="s">
        <v>3093</v>
      </c>
      <c r="G7267" s="163">
        <v>27.5</v>
      </c>
      <c r="H7267" s="161" t="s">
        <v>7138</v>
      </c>
      <c r="I7267" s="161"/>
    </row>
    <row r="7268" spans="1:9">
      <c r="A7268" s="161">
        <v>910700117</v>
      </c>
      <c r="B7268" s="161" t="s">
        <v>8006</v>
      </c>
      <c r="C7268" s="161">
        <v>90305118</v>
      </c>
      <c r="D7268" s="161" t="s">
        <v>3093</v>
      </c>
      <c r="E7268" s="161" t="s">
        <v>102</v>
      </c>
      <c r="F7268" s="163" t="s">
        <v>3093</v>
      </c>
      <c r="G7268" s="163">
        <v>107.35</v>
      </c>
      <c r="H7268" s="161" t="s">
        <v>7138</v>
      </c>
      <c r="I7268" s="161"/>
    </row>
    <row r="7269" spans="1:9">
      <c r="A7269" s="161">
        <v>910700118</v>
      </c>
      <c r="B7269" s="161" t="s">
        <v>8007</v>
      </c>
      <c r="C7269" s="161">
        <v>90305075</v>
      </c>
      <c r="D7269" s="161" t="s">
        <v>3093</v>
      </c>
      <c r="E7269" s="161" t="s">
        <v>102</v>
      </c>
      <c r="F7269" s="163" t="s">
        <v>3093</v>
      </c>
      <c r="G7269" s="163">
        <v>0.75</v>
      </c>
      <c r="H7269" s="161" t="s">
        <v>7138</v>
      </c>
      <c r="I7269" s="161"/>
    </row>
    <row r="7270" spans="1:9">
      <c r="A7270" s="161">
        <v>910700119</v>
      </c>
      <c r="B7270" s="161" t="s">
        <v>2455</v>
      </c>
      <c r="C7270" s="161">
        <v>90305076</v>
      </c>
      <c r="D7270" s="161" t="s">
        <v>3093</v>
      </c>
      <c r="E7270" s="161" t="s">
        <v>102</v>
      </c>
      <c r="F7270" s="163" t="s">
        <v>3093</v>
      </c>
      <c r="G7270" s="163">
        <v>0</v>
      </c>
      <c r="H7270" s="161" t="s">
        <v>7138</v>
      </c>
      <c r="I7270" s="161"/>
    </row>
    <row r="7271" spans="1:9">
      <c r="A7271" s="161">
        <v>910700120</v>
      </c>
      <c r="B7271" s="161" t="s">
        <v>8008</v>
      </c>
      <c r="C7271" s="161">
        <v>90401017</v>
      </c>
      <c r="D7271" s="161" t="s">
        <v>3093</v>
      </c>
      <c r="E7271" s="161" t="s">
        <v>102</v>
      </c>
      <c r="F7271" s="163" t="s">
        <v>3093</v>
      </c>
      <c r="G7271" s="163">
        <v>23.29</v>
      </c>
      <c r="H7271" s="161" t="s">
        <v>7138</v>
      </c>
      <c r="I7271" s="161"/>
    </row>
    <row r="7272" spans="1:9">
      <c r="A7272" s="161">
        <v>910700121</v>
      </c>
      <c r="B7272" s="161" t="s">
        <v>8009</v>
      </c>
      <c r="C7272" s="161">
        <v>90307054</v>
      </c>
      <c r="D7272" s="161" t="s">
        <v>3093</v>
      </c>
      <c r="E7272" s="161" t="s">
        <v>102</v>
      </c>
      <c r="F7272" s="163" t="s">
        <v>3093</v>
      </c>
      <c r="G7272" s="163">
        <v>0</v>
      </c>
      <c r="H7272" s="161" t="s">
        <v>7138</v>
      </c>
      <c r="I7272" s="161"/>
    </row>
    <row r="7273" spans="1:9">
      <c r="A7273" s="161">
        <v>910700122</v>
      </c>
      <c r="B7273" s="161" t="s">
        <v>2434</v>
      </c>
      <c r="C7273" s="161">
        <v>90301015</v>
      </c>
      <c r="D7273" s="161" t="s">
        <v>3093</v>
      </c>
      <c r="E7273" s="161" t="s">
        <v>102</v>
      </c>
      <c r="F7273" s="163" t="s">
        <v>3093</v>
      </c>
      <c r="G7273" s="163">
        <v>1.5</v>
      </c>
      <c r="H7273" s="161" t="s">
        <v>7138</v>
      </c>
      <c r="I7273" s="161"/>
    </row>
    <row r="7274" spans="1:9">
      <c r="A7274" s="161">
        <v>910700123</v>
      </c>
      <c r="B7274" s="161" t="s">
        <v>8010</v>
      </c>
      <c r="C7274" s="161">
        <v>90307039</v>
      </c>
      <c r="D7274" s="161" t="s">
        <v>3093</v>
      </c>
      <c r="E7274" s="161" t="s">
        <v>102</v>
      </c>
      <c r="F7274" s="163" t="s">
        <v>3093</v>
      </c>
      <c r="G7274" s="163">
        <v>2.8</v>
      </c>
      <c r="H7274" s="161" t="s">
        <v>7138</v>
      </c>
      <c r="I7274" s="161"/>
    </row>
    <row r="7275" spans="1:9">
      <c r="A7275" s="161">
        <v>910700124</v>
      </c>
      <c r="B7275" s="161" t="s">
        <v>8011</v>
      </c>
      <c r="C7275" s="161">
        <v>90307021</v>
      </c>
      <c r="D7275" s="161" t="s">
        <v>3093</v>
      </c>
      <c r="E7275" s="161" t="s">
        <v>102</v>
      </c>
      <c r="F7275" s="163" t="s">
        <v>3093</v>
      </c>
      <c r="G7275" s="163">
        <v>13</v>
      </c>
      <c r="H7275" s="161" t="s">
        <v>7138</v>
      </c>
      <c r="I7275" s="161"/>
    </row>
    <row r="7276" spans="1:9">
      <c r="A7276" s="161">
        <v>910700125</v>
      </c>
      <c r="B7276" s="161" t="s">
        <v>8012</v>
      </c>
      <c r="C7276" s="161">
        <v>90305119</v>
      </c>
      <c r="D7276" s="161" t="s">
        <v>3093</v>
      </c>
      <c r="E7276" s="161" t="s">
        <v>102</v>
      </c>
      <c r="F7276" s="163" t="s">
        <v>3093</v>
      </c>
      <c r="G7276" s="163">
        <v>30</v>
      </c>
      <c r="H7276" s="161" t="s">
        <v>7138</v>
      </c>
      <c r="I7276" s="161"/>
    </row>
    <row r="7277" spans="1:9">
      <c r="A7277" s="161">
        <v>910700126</v>
      </c>
      <c r="B7277" s="161" t="s">
        <v>2456</v>
      </c>
      <c r="C7277" s="161">
        <v>90305092</v>
      </c>
      <c r="D7277" s="161" t="s">
        <v>3093</v>
      </c>
      <c r="E7277" s="161" t="s">
        <v>102</v>
      </c>
      <c r="F7277" s="163" t="s">
        <v>3093</v>
      </c>
      <c r="G7277" s="163">
        <v>2.75</v>
      </c>
      <c r="H7277" s="161" t="s">
        <v>7138</v>
      </c>
      <c r="I7277" s="161"/>
    </row>
    <row r="7278" spans="1:9">
      <c r="A7278" s="161">
        <v>910700127</v>
      </c>
      <c r="B7278" s="161" t="s">
        <v>8013</v>
      </c>
      <c r="C7278" s="161">
        <v>90110063</v>
      </c>
      <c r="D7278" s="161" t="s">
        <v>3093</v>
      </c>
      <c r="E7278" s="161" t="s">
        <v>102</v>
      </c>
      <c r="F7278" s="163" t="s">
        <v>3093</v>
      </c>
      <c r="G7278" s="163">
        <v>0</v>
      </c>
      <c r="H7278" s="161" t="s">
        <v>7138</v>
      </c>
      <c r="I7278" s="161"/>
    </row>
    <row r="7279" spans="1:9">
      <c r="A7279" s="161">
        <v>910700128</v>
      </c>
      <c r="B7279" s="161" t="s">
        <v>8014</v>
      </c>
      <c r="C7279" s="161">
        <v>90307002</v>
      </c>
      <c r="D7279" s="161" t="s">
        <v>8127</v>
      </c>
      <c r="E7279" s="161" t="s">
        <v>102</v>
      </c>
      <c r="F7279" s="163" t="s">
        <v>3093</v>
      </c>
      <c r="G7279" s="163">
        <v>0.03</v>
      </c>
      <c r="H7279" s="161" t="s">
        <v>7138</v>
      </c>
      <c r="I7279" s="161"/>
    </row>
    <row r="7280" spans="1:9">
      <c r="A7280" s="161">
        <v>910700129</v>
      </c>
      <c r="B7280" s="161" t="s">
        <v>2470</v>
      </c>
      <c r="C7280" s="161">
        <v>90307003</v>
      </c>
      <c r="D7280" s="161" t="s">
        <v>3093</v>
      </c>
      <c r="E7280" s="161" t="s">
        <v>102</v>
      </c>
      <c r="F7280" s="163" t="s">
        <v>3093</v>
      </c>
      <c r="G7280" s="163">
        <v>0.01</v>
      </c>
      <c r="H7280" s="161" t="s">
        <v>7138</v>
      </c>
      <c r="I7280" s="161"/>
    </row>
    <row r="7281" spans="1:9">
      <c r="A7281" s="161">
        <v>910700130</v>
      </c>
      <c r="B7281" s="161" t="s">
        <v>8015</v>
      </c>
      <c r="C7281" s="161">
        <v>90307004</v>
      </c>
      <c r="D7281" s="161" t="s">
        <v>8127</v>
      </c>
      <c r="E7281" s="161" t="s">
        <v>102</v>
      </c>
      <c r="F7281" s="163" t="s">
        <v>3093</v>
      </c>
      <c r="G7281" s="163">
        <v>0.21</v>
      </c>
      <c r="H7281" s="161" t="s">
        <v>7138</v>
      </c>
      <c r="I7281" s="161"/>
    </row>
    <row r="7282" spans="1:9">
      <c r="A7282" s="161">
        <v>910700131</v>
      </c>
      <c r="B7282" s="161" t="s">
        <v>2435</v>
      </c>
      <c r="C7282" s="161">
        <v>90301017</v>
      </c>
      <c r="D7282" s="161" t="s">
        <v>3093</v>
      </c>
      <c r="E7282" s="161" t="s">
        <v>8117</v>
      </c>
      <c r="F7282" s="163" t="s">
        <v>3093</v>
      </c>
      <c r="G7282" s="163">
        <v>0</v>
      </c>
      <c r="H7282" s="161" t="s">
        <v>7138</v>
      </c>
      <c r="I7282" s="161"/>
    </row>
    <row r="7283" spans="1:9">
      <c r="A7283" s="161">
        <v>910700132</v>
      </c>
      <c r="B7283" s="161" t="s">
        <v>2471</v>
      </c>
      <c r="C7283" s="161">
        <v>90307065</v>
      </c>
      <c r="D7283" s="161" t="s">
        <v>3093</v>
      </c>
      <c r="E7283" s="161" t="s">
        <v>102</v>
      </c>
      <c r="F7283" s="163" t="s">
        <v>3093</v>
      </c>
      <c r="G7283" s="163">
        <v>5.95</v>
      </c>
      <c r="H7283" s="161" t="s">
        <v>7138</v>
      </c>
      <c r="I7283" s="161"/>
    </row>
    <row r="7284" spans="1:9">
      <c r="A7284" s="161">
        <v>910700133</v>
      </c>
      <c r="B7284" s="161" t="s">
        <v>8016</v>
      </c>
      <c r="C7284" s="161">
        <v>90110057</v>
      </c>
      <c r="D7284" s="161" t="s">
        <v>3093</v>
      </c>
      <c r="E7284" s="161" t="s">
        <v>1620</v>
      </c>
      <c r="F7284" s="163" t="s">
        <v>3093</v>
      </c>
      <c r="G7284" s="163">
        <v>0</v>
      </c>
      <c r="H7284" s="161" t="s">
        <v>7138</v>
      </c>
      <c r="I7284" s="161"/>
    </row>
    <row r="7285" spans="1:9">
      <c r="A7285" s="161">
        <v>910700134</v>
      </c>
      <c r="B7285" s="161" t="s">
        <v>8017</v>
      </c>
      <c r="C7285" s="161">
        <v>90110059</v>
      </c>
      <c r="D7285" s="161" t="s">
        <v>3093</v>
      </c>
      <c r="E7285" s="161" t="s">
        <v>1620</v>
      </c>
      <c r="F7285" s="163" t="s">
        <v>3093</v>
      </c>
      <c r="G7285" s="163">
        <v>0</v>
      </c>
      <c r="H7285" s="161" t="s">
        <v>7138</v>
      </c>
      <c r="I7285" s="161"/>
    </row>
    <row r="7286" spans="1:9">
      <c r="A7286" s="161">
        <v>910700135</v>
      </c>
      <c r="B7286" s="161" t="s">
        <v>8018</v>
      </c>
      <c r="C7286" s="161">
        <v>90110058</v>
      </c>
      <c r="D7286" s="161" t="s">
        <v>3093</v>
      </c>
      <c r="E7286" s="161" t="s">
        <v>1620</v>
      </c>
      <c r="F7286" s="163" t="s">
        <v>3093</v>
      </c>
      <c r="G7286" s="163">
        <v>0</v>
      </c>
      <c r="H7286" s="161" t="s">
        <v>7138</v>
      </c>
      <c r="I7286" s="161"/>
    </row>
    <row r="7287" spans="1:9">
      <c r="A7287" s="161">
        <v>910700136</v>
      </c>
      <c r="B7287" s="161" t="s">
        <v>8019</v>
      </c>
      <c r="C7287" s="161">
        <v>90305035</v>
      </c>
      <c r="D7287" s="161" t="s">
        <v>3093</v>
      </c>
      <c r="E7287" s="161" t="s">
        <v>102</v>
      </c>
      <c r="F7287" s="163" t="s">
        <v>3093</v>
      </c>
      <c r="G7287" s="163">
        <v>1.65</v>
      </c>
      <c r="H7287" s="161" t="s">
        <v>7138</v>
      </c>
      <c r="I7287" s="161"/>
    </row>
    <row r="7288" spans="1:9">
      <c r="A7288" s="161">
        <v>910700137</v>
      </c>
      <c r="B7288" s="161" t="s">
        <v>8020</v>
      </c>
      <c r="C7288" s="161">
        <v>90305034</v>
      </c>
      <c r="D7288" s="161" t="s">
        <v>3093</v>
      </c>
      <c r="E7288" s="161" t="s">
        <v>102</v>
      </c>
      <c r="F7288" s="163" t="s">
        <v>3093</v>
      </c>
      <c r="G7288" s="163">
        <v>0.32</v>
      </c>
      <c r="H7288" s="161" t="s">
        <v>7138</v>
      </c>
      <c r="I7288" s="161"/>
    </row>
    <row r="7289" spans="1:9">
      <c r="A7289" s="161">
        <v>910700138</v>
      </c>
      <c r="B7289" s="161" t="s">
        <v>8021</v>
      </c>
      <c r="C7289" s="161">
        <v>90305033</v>
      </c>
      <c r="D7289" s="161" t="s">
        <v>3093</v>
      </c>
      <c r="E7289" s="161" t="s">
        <v>102</v>
      </c>
      <c r="F7289" s="163" t="s">
        <v>3093</v>
      </c>
      <c r="G7289" s="163">
        <v>0.27</v>
      </c>
      <c r="H7289" s="161" t="s">
        <v>7138</v>
      </c>
      <c r="I7289" s="161"/>
    </row>
    <row r="7290" spans="1:9">
      <c r="A7290" s="161">
        <v>910700139</v>
      </c>
      <c r="B7290" s="161" t="s">
        <v>2625</v>
      </c>
      <c r="C7290" s="161">
        <v>90110030</v>
      </c>
      <c r="D7290" s="161" t="s">
        <v>3093</v>
      </c>
      <c r="E7290" s="161" t="s">
        <v>7144</v>
      </c>
      <c r="F7290" s="163" t="s">
        <v>3093</v>
      </c>
      <c r="G7290" s="163">
        <v>6.5000000000000002E-2</v>
      </c>
      <c r="H7290" s="161" t="s">
        <v>7138</v>
      </c>
      <c r="I7290" s="161"/>
    </row>
    <row r="7291" spans="1:9">
      <c r="A7291" s="161">
        <v>910700140</v>
      </c>
      <c r="B7291" s="161" t="s">
        <v>8022</v>
      </c>
      <c r="C7291" s="161">
        <v>90305107</v>
      </c>
      <c r="D7291" s="161" t="s">
        <v>3093</v>
      </c>
      <c r="E7291" s="161" t="s">
        <v>102</v>
      </c>
      <c r="F7291" s="163" t="s">
        <v>3093</v>
      </c>
      <c r="G7291" s="163">
        <v>14.95</v>
      </c>
      <c r="H7291" s="161" t="s">
        <v>7138</v>
      </c>
      <c r="I7291" s="161"/>
    </row>
    <row r="7292" spans="1:9">
      <c r="A7292" s="161">
        <v>910700141</v>
      </c>
      <c r="B7292" s="161" t="s">
        <v>8023</v>
      </c>
      <c r="C7292" s="161">
        <v>90110062</v>
      </c>
      <c r="D7292" s="161" t="s">
        <v>3093</v>
      </c>
      <c r="E7292" s="161" t="s">
        <v>102</v>
      </c>
      <c r="F7292" s="163" t="s">
        <v>3093</v>
      </c>
      <c r="G7292" s="163">
        <v>0.35</v>
      </c>
      <c r="H7292" s="161" t="s">
        <v>7138</v>
      </c>
      <c r="I7292" s="161"/>
    </row>
    <row r="7293" spans="1:9">
      <c r="A7293" s="161">
        <v>910700142</v>
      </c>
      <c r="B7293" s="161" t="s">
        <v>8024</v>
      </c>
      <c r="C7293" s="161">
        <v>90307034</v>
      </c>
      <c r="D7293" s="161" t="s">
        <v>3093</v>
      </c>
      <c r="E7293" s="161" t="s">
        <v>516</v>
      </c>
      <c r="F7293" s="163" t="s">
        <v>3093</v>
      </c>
      <c r="G7293" s="163">
        <v>1.5</v>
      </c>
      <c r="H7293" s="161" t="s">
        <v>7138</v>
      </c>
      <c r="I7293" s="161"/>
    </row>
    <row r="7294" spans="1:9">
      <c r="A7294" s="161">
        <v>910700143</v>
      </c>
      <c r="B7294" s="161" t="s">
        <v>8025</v>
      </c>
      <c r="C7294" s="161">
        <v>90307063</v>
      </c>
      <c r="D7294" s="161" t="s">
        <v>3093</v>
      </c>
      <c r="E7294" s="161" t="s">
        <v>516</v>
      </c>
      <c r="F7294" s="163" t="s">
        <v>3093</v>
      </c>
      <c r="G7294" s="163">
        <v>60</v>
      </c>
      <c r="H7294" s="161" t="s">
        <v>7138</v>
      </c>
      <c r="I7294" s="161"/>
    </row>
    <row r="7295" spans="1:9">
      <c r="A7295" s="161">
        <v>910700144</v>
      </c>
      <c r="B7295" s="161" t="s">
        <v>2457</v>
      </c>
      <c r="C7295" s="161">
        <v>90305044</v>
      </c>
      <c r="D7295" s="161" t="s">
        <v>3093</v>
      </c>
      <c r="E7295" s="161" t="s">
        <v>102</v>
      </c>
      <c r="F7295" s="163" t="s">
        <v>3093</v>
      </c>
      <c r="G7295" s="163">
        <v>0.1</v>
      </c>
      <c r="H7295" s="161" t="s">
        <v>7138</v>
      </c>
      <c r="I7295" s="161"/>
    </row>
    <row r="7296" spans="1:9">
      <c r="A7296" s="161">
        <v>910700145</v>
      </c>
      <c r="B7296" s="161" t="s">
        <v>2215</v>
      </c>
      <c r="C7296" s="161">
        <v>90305036</v>
      </c>
      <c r="D7296" s="161" t="s">
        <v>3093</v>
      </c>
      <c r="E7296" s="161" t="s">
        <v>102</v>
      </c>
      <c r="F7296" s="163" t="s">
        <v>3093</v>
      </c>
      <c r="G7296" s="163">
        <v>2.25</v>
      </c>
      <c r="H7296" s="161" t="s">
        <v>7138</v>
      </c>
      <c r="I7296" s="161"/>
    </row>
    <row r="7297" spans="1:9">
      <c r="A7297" s="161">
        <v>910700146</v>
      </c>
      <c r="B7297" s="161" t="s">
        <v>8026</v>
      </c>
      <c r="C7297" s="161">
        <v>90305074</v>
      </c>
      <c r="D7297" s="161" t="s">
        <v>3093</v>
      </c>
      <c r="E7297" s="161" t="s">
        <v>102</v>
      </c>
      <c r="F7297" s="163" t="s">
        <v>3093</v>
      </c>
      <c r="G7297" s="163">
        <v>0</v>
      </c>
      <c r="H7297" s="161" t="s">
        <v>7138</v>
      </c>
      <c r="I7297" s="161"/>
    </row>
    <row r="7298" spans="1:9">
      <c r="A7298" s="161">
        <v>910700147</v>
      </c>
      <c r="B7298" s="161" t="s">
        <v>8027</v>
      </c>
      <c r="C7298" s="161">
        <v>90307026</v>
      </c>
      <c r="D7298" s="161" t="s">
        <v>3093</v>
      </c>
      <c r="E7298" s="161" t="s">
        <v>102</v>
      </c>
      <c r="F7298" s="163" t="s">
        <v>3093</v>
      </c>
      <c r="G7298" s="163">
        <v>18.2</v>
      </c>
      <c r="H7298" s="161" t="s">
        <v>7138</v>
      </c>
      <c r="I7298" s="161"/>
    </row>
    <row r="7299" spans="1:9">
      <c r="A7299" s="161">
        <v>910700148</v>
      </c>
      <c r="B7299" s="161" t="s">
        <v>8028</v>
      </c>
      <c r="C7299" s="161">
        <v>90307053</v>
      </c>
      <c r="D7299" s="161" t="s">
        <v>3093</v>
      </c>
      <c r="E7299" s="161" t="s">
        <v>102</v>
      </c>
      <c r="F7299" s="163" t="s">
        <v>3093</v>
      </c>
      <c r="G7299" s="163">
        <v>0</v>
      </c>
      <c r="H7299" s="161" t="s">
        <v>7138</v>
      </c>
      <c r="I7299" s="161"/>
    </row>
    <row r="7300" spans="1:9">
      <c r="A7300" s="161">
        <v>910700149</v>
      </c>
      <c r="B7300" s="161" t="s">
        <v>2436</v>
      </c>
      <c r="C7300" s="161">
        <v>90301014</v>
      </c>
      <c r="D7300" s="161" t="s">
        <v>3093</v>
      </c>
      <c r="E7300" s="161" t="s">
        <v>102</v>
      </c>
      <c r="F7300" s="163" t="s">
        <v>3093</v>
      </c>
      <c r="G7300" s="163">
        <v>0</v>
      </c>
      <c r="H7300" s="161" t="s">
        <v>7138</v>
      </c>
      <c r="I7300" s="161"/>
    </row>
    <row r="7301" spans="1:9">
      <c r="A7301" s="161">
        <v>910700150</v>
      </c>
      <c r="B7301" s="161" t="s">
        <v>8029</v>
      </c>
      <c r="C7301" s="161">
        <v>90307022</v>
      </c>
      <c r="D7301" s="161" t="s">
        <v>3093</v>
      </c>
      <c r="E7301" s="161" t="s">
        <v>102</v>
      </c>
      <c r="F7301" s="163" t="s">
        <v>3093</v>
      </c>
      <c r="G7301" s="163">
        <v>0</v>
      </c>
      <c r="H7301" s="161" t="s">
        <v>7138</v>
      </c>
      <c r="I7301" s="161"/>
    </row>
    <row r="7302" spans="1:9">
      <c r="A7302" s="161">
        <v>910700151</v>
      </c>
      <c r="B7302" s="161" t="s">
        <v>2472</v>
      </c>
      <c r="C7302" s="161">
        <v>90307046</v>
      </c>
      <c r="D7302" s="161" t="s">
        <v>3093</v>
      </c>
      <c r="E7302" s="161" t="s">
        <v>102</v>
      </c>
      <c r="F7302" s="163" t="s">
        <v>3093</v>
      </c>
      <c r="G7302" s="163">
        <v>18.55</v>
      </c>
      <c r="H7302" s="161" t="s">
        <v>7138</v>
      </c>
      <c r="I7302" s="161"/>
    </row>
    <row r="7303" spans="1:9">
      <c r="A7303" s="161">
        <v>910700152</v>
      </c>
      <c r="B7303" s="161" t="s">
        <v>2473</v>
      </c>
      <c r="C7303" s="161">
        <v>90307036</v>
      </c>
      <c r="D7303" s="161" t="s">
        <v>3093</v>
      </c>
      <c r="E7303" s="161" t="s">
        <v>102</v>
      </c>
      <c r="F7303" s="163" t="s">
        <v>3093</v>
      </c>
      <c r="G7303" s="163">
        <v>19.25</v>
      </c>
      <c r="H7303" s="161" t="s">
        <v>7138</v>
      </c>
      <c r="I7303" s="161"/>
    </row>
    <row r="7304" spans="1:9">
      <c r="A7304" s="161">
        <v>910700153</v>
      </c>
      <c r="B7304" s="161" t="s">
        <v>2458</v>
      </c>
      <c r="C7304" s="161">
        <v>90305078</v>
      </c>
      <c r="D7304" s="161" t="s">
        <v>3093</v>
      </c>
      <c r="E7304" s="161" t="s">
        <v>102</v>
      </c>
      <c r="F7304" s="163" t="s">
        <v>3093</v>
      </c>
      <c r="G7304" s="163">
        <v>0</v>
      </c>
      <c r="H7304" s="161" t="s">
        <v>7138</v>
      </c>
      <c r="I7304" s="161"/>
    </row>
    <row r="7305" spans="1:9">
      <c r="A7305" s="161">
        <v>910700154</v>
      </c>
      <c r="B7305" s="161" t="s">
        <v>8030</v>
      </c>
      <c r="C7305" s="161">
        <v>90305019</v>
      </c>
      <c r="D7305" s="161" t="s">
        <v>3093</v>
      </c>
      <c r="E7305" s="161" t="s">
        <v>102</v>
      </c>
      <c r="F7305" s="163" t="s">
        <v>3093</v>
      </c>
      <c r="G7305" s="163">
        <v>360</v>
      </c>
      <c r="H7305" s="161" t="s">
        <v>7138</v>
      </c>
      <c r="I7305" s="161"/>
    </row>
    <row r="7306" spans="1:9">
      <c r="A7306" s="161">
        <v>910700155</v>
      </c>
      <c r="B7306" s="161" t="s">
        <v>8031</v>
      </c>
      <c r="C7306" s="161">
        <v>90305150</v>
      </c>
      <c r="D7306" s="161" t="s">
        <v>3093</v>
      </c>
      <c r="E7306" s="161" t="s">
        <v>102</v>
      </c>
      <c r="F7306" s="163" t="s">
        <v>3093</v>
      </c>
      <c r="G7306" s="163">
        <v>100</v>
      </c>
      <c r="H7306" s="161" t="s">
        <v>7138</v>
      </c>
      <c r="I7306" s="161"/>
    </row>
    <row r="7307" spans="1:9">
      <c r="A7307" s="161">
        <v>910700156</v>
      </c>
      <c r="B7307" s="161" t="s">
        <v>8032</v>
      </c>
      <c r="C7307" s="161">
        <v>90301016</v>
      </c>
      <c r="D7307" s="161" t="s">
        <v>3093</v>
      </c>
      <c r="E7307" s="161" t="s">
        <v>102</v>
      </c>
      <c r="F7307" s="163" t="s">
        <v>3093</v>
      </c>
      <c r="G7307" s="163">
        <v>0</v>
      </c>
      <c r="H7307" s="161" t="s">
        <v>7138</v>
      </c>
      <c r="I7307" s="161"/>
    </row>
    <row r="7308" spans="1:9">
      <c r="A7308" s="161">
        <v>910700157</v>
      </c>
      <c r="B7308" s="161" t="s">
        <v>2460</v>
      </c>
      <c r="C7308" s="161">
        <v>90306002</v>
      </c>
      <c r="D7308" s="161" t="s">
        <v>3093</v>
      </c>
      <c r="E7308" s="161" t="s">
        <v>102</v>
      </c>
      <c r="F7308" s="163" t="s">
        <v>3093</v>
      </c>
      <c r="G7308" s="163">
        <v>0</v>
      </c>
      <c r="H7308" s="161" t="s">
        <v>7138</v>
      </c>
      <c r="I7308" s="161"/>
    </row>
    <row r="7309" spans="1:9">
      <c r="A7309" s="161">
        <v>910700158</v>
      </c>
      <c r="B7309" s="161" t="s">
        <v>2437</v>
      </c>
      <c r="C7309" s="161">
        <v>90301018</v>
      </c>
      <c r="D7309" s="161" t="s">
        <v>3093</v>
      </c>
      <c r="E7309" s="161" t="s">
        <v>102</v>
      </c>
      <c r="F7309" s="163" t="s">
        <v>3093</v>
      </c>
      <c r="G7309" s="163">
        <v>0</v>
      </c>
      <c r="H7309" s="161" t="s">
        <v>7138</v>
      </c>
      <c r="I7309" s="161"/>
    </row>
    <row r="7310" spans="1:9">
      <c r="A7310" s="161">
        <v>910700159</v>
      </c>
      <c r="B7310" s="161" t="s">
        <v>2438</v>
      </c>
      <c r="C7310" s="161">
        <v>90301013</v>
      </c>
      <c r="D7310" s="161" t="s">
        <v>3093</v>
      </c>
      <c r="E7310" s="161" t="s">
        <v>102</v>
      </c>
      <c r="F7310" s="163" t="s">
        <v>3093</v>
      </c>
      <c r="G7310" s="163">
        <v>0</v>
      </c>
      <c r="H7310" s="161" t="s">
        <v>7138</v>
      </c>
      <c r="I7310" s="161"/>
    </row>
    <row r="7311" spans="1:9">
      <c r="A7311" s="161">
        <v>910700160</v>
      </c>
      <c r="B7311" s="161" t="s">
        <v>8033</v>
      </c>
      <c r="C7311" s="161">
        <v>90306003</v>
      </c>
      <c r="D7311" s="161" t="s">
        <v>3093</v>
      </c>
      <c r="E7311" s="161" t="s">
        <v>102</v>
      </c>
      <c r="F7311" s="163" t="s">
        <v>3093</v>
      </c>
      <c r="G7311" s="163">
        <v>0</v>
      </c>
      <c r="H7311" s="161" t="s">
        <v>7138</v>
      </c>
      <c r="I7311" s="161"/>
    </row>
    <row r="7312" spans="1:9">
      <c r="A7312" s="161">
        <v>910700161</v>
      </c>
      <c r="B7312" s="161" t="s">
        <v>8034</v>
      </c>
      <c r="C7312" s="161">
        <v>90110035</v>
      </c>
      <c r="D7312" s="161" t="s">
        <v>3093</v>
      </c>
      <c r="E7312" s="161" t="s">
        <v>8124</v>
      </c>
      <c r="F7312" s="163" t="s">
        <v>3093</v>
      </c>
      <c r="G7312" s="163">
        <v>3.65</v>
      </c>
      <c r="H7312" s="161" t="s">
        <v>7138</v>
      </c>
      <c r="I7312" s="161"/>
    </row>
    <row r="7313" spans="1:9">
      <c r="A7313" s="161">
        <v>910700162</v>
      </c>
      <c r="B7313" s="161" t="s">
        <v>8035</v>
      </c>
      <c r="C7313" s="161">
        <v>90110065</v>
      </c>
      <c r="D7313" s="161" t="s">
        <v>3093</v>
      </c>
      <c r="E7313" s="161" t="s">
        <v>102</v>
      </c>
      <c r="F7313" s="163" t="s">
        <v>3093</v>
      </c>
      <c r="G7313" s="163">
        <v>0</v>
      </c>
      <c r="H7313" s="161" t="s">
        <v>7138</v>
      </c>
      <c r="I7313" s="161"/>
    </row>
    <row r="7314" spans="1:9">
      <c r="A7314" s="161">
        <v>910700182</v>
      </c>
      <c r="B7314" s="161" t="s">
        <v>8036</v>
      </c>
      <c r="C7314" s="161">
        <v>90307041</v>
      </c>
      <c r="D7314" s="161" t="s">
        <v>3093</v>
      </c>
      <c r="E7314" s="161" t="s">
        <v>102</v>
      </c>
      <c r="F7314" s="163" t="s">
        <v>3093</v>
      </c>
      <c r="G7314" s="163">
        <v>0</v>
      </c>
      <c r="H7314" s="161" t="s">
        <v>7138</v>
      </c>
      <c r="I7314" s="161"/>
    </row>
    <row r="7315" spans="1:9">
      <c r="A7315" s="161">
        <v>910700192</v>
      </c>
      <c r="B7315" s="161" t="s">
        <v>8037</v>
      </c>
      <c r="C7315" s="161"/>
      <c r="D7315" s="161" t="s">
        <v>3093</v>
      </c>
      <c r="E7315" s="161" t="s">
        <v>102</v>
      </c>
      <c r="F7315" s="163" t="s">
        <v>3093</v>
      </c>
      <c r="G7315" s="163">
        <v>0</v>
      </c>
      <c r="H7315" s="161" t="s">
        <v>7138</v>
      </c>
      <c r="I7315" s="161"/>
    </row>
    <row r="7316" spans="1:9">
      <c r="A7316" s="161">
        <v>910800001</v>
      </c>
      <c r="B7316" s="161" t="s">
        <v>8038</v>
      </c>
      <c r="C7316" s="161">
        <v>90401003</v>
      </c>
      <c r="D7316" s="161" t="s">
        <v>3093</v>
      </c>
      <c r="E7316" s="161" t="s">
        <v>102</v>
      </c>
      <c r="F7316" s="163" t="s">
        <v>3093</v>
      </c>
      <c r="G7316" s="163">
        <v>104</v>
      </c>
      <c r="H7316" s="161" t="s">
        <v>7138</v>
      </c>
      <c r="I7316" s="161"/>
    </row>
    <row r="7317" spans="1:9">
      <c r="A7317" s="161">
        <v>910800002</v>
      </c>
      <c r="B7317" s="161" t="s">
        <v>8039</v>
      </c>
      <c r="C7317" s="161">
        <v>90401000</v>
      </c>
      <c r="D7317" s="161" t="s">
        <v>3093</v>
      </c>
      <c r="E7317" s="161" t="s">
        <v>102</v>
      </c>
      <c r="F7317" s="163" t="s">
        <v>3093</v>
      </c>
      <c r="G7317" s="163">
        <v>15.82</v>
      </c>
      <c r="H7317" s="161" t="s">
        <v>7138</v>
      </c>
      <c r="I7317" s="161"/>
    </row>
    <row r="7318" spans="1:9">
      <c r="A7318" s="161">
        <v>910800003</v>
      </c>
      <c r="B7318" s="161" t="s">
        <v>8040</v>
      </c>
      <c r="C7318" s="161">
        <v>90401002</v>
      </c>
      <c r="D7318" s="161" t="s">
        <v>3093</v>
      </c>
      <c r="E7318" s="161" t="s">
        <v>102</v>
      </c>
      <c r="F7318" s="163" t="s">
        <v>3093</v>
      </c>
      <c r="G7318" s="163">
        <v>15.97</v>
      </c>
      <c r="H7318" s="161" t="s">
        <v>7138</v>
      </c>
      <c r="I7318" s="161"/>
    </row>
    <row r="7319" spans="1:9">
      <c r="A7319" s="161">
        <v>910800004</v>
      </c>
      <c r="B7319" s="161" t="s">
        <v>8041</v>
      </c>
      <c r="C7319" s="161">
        <v>90401004</v>
      </c>
      <c r="D7319" s="161" t="s">
        <v>3093</v>
      </c>
      <c r="E7319" s="161" t="s">
        <v>102</v>
      </c>
      <c r="F7319" s="163" t="s">
        <v>3093</v>
      </c>
      <c r="G7319" s="163">
        <v>11.9</v>
      </c>
      <c r="H7319" s="161" t="s">
        <v>7138</v>
      </c>
      <c r="I7319" s="161"/>
    </row>
    <row r="7320" spans="1:9">
      <c r="A7320" s="161">
        <v>910800005</v>
      </c>
      <c r="B7320" s="161" t="s">
        <v>8042</v>
      </c>
      <c r="C7320" s="161">
        <v>90401014</v>
      </c>
      <c r="D7320" s="161" t="s">
        <v>3093</v>
      </c>
      <c r="E7320" s="161" t="s">
        <v>102</v>
      </c>
      <c r="F7320" s="163" t="s">
        <v>3093</v>
      </c>
      <c r="G7320" s="163">
        <v>0</v>
      </c>
      <c r="H7320" s="161" t="s">
        <v>7138</v>
      </c>
      <c r="I7320" s="161"/>
    </row>
    <row r="7321" spans="1:9">
      <c r="A7321" s="161">
        <v>910800006</v>
      </c>
      <c r="B7321" s="161" t="s">
        <v>8043</v>
      </c>
      <c r="C7321" s="161">
        <v>111403051</v>
      </c>
      <c r="D7321" s="161" t="s">
        <v>3093</v>
      </c>
      <c r="E7321" s="161" t="s">
        <v>102</v>
      </c>
      <c r="F7321" s="163" t="s">
        <v>3093</v>
      </c>
      <c r="G7321" s="163">
        <v>0</v>
      </c>
      <c r="H7321" s="161" t="s">
        <v>7138</v>
      </c>
      <c r="I7321" s="161"/>
    </row>
    <row r="7322" spans="1:9">
      <c r="A7322" s="161">
        <v>910900001</v>
      </c>
      <c r="B7322" s="161" t="s">
        <v>8044</v>
      </c>
      <c r="C7322" s="161">
        <v>90701006</v>
      </c>
      <c r="D7322" s="161" t="s">
        <v>3093</v>
      </c>
      <c r="E7322" s="161" t="s">
        <v>2522</v>
      </c>
      <c r="F7322" s="163" t="s">
        <v>3093</v>
      </c>
      <c r="G7322" s="163">
        <v>0</v>
      </c>
      <c r="H7322" s="161" t="s">
        <v>7138</v>
      </c>
      <c r="I7322" s="161"/>
    </row>
    <row r="7323" spans="1:9">
      <c r="A7323" s="161">
        <v>910900002</v>
      </c>
      <c r="B7323" s="161" t="s">
        <v>8045</v>
      </c>
      <c r="C7323" s="161">
        <v>90701003</v>
      </c>
      <c r="D7323" s="161" t="s">
        <v>3093</v>
      </c>
      <c r="E7323" s="161" t="s">
        <v>1200</v>
      </c>
      <c r="F7323" s="163" t="s">
        <v>3093</v>
      </c>
      <c r="G7323" s="163">
        <v>0</v>
      </c>
      <c r="H7323" s="161" t="s">
        <v>7138</v>
      </c>
      <c r="I7323" s="161"/>
    </row>
    <row r="7324" spans="1:9">
      <c r="A7324" s="161">
        <v>910900003</v>
      </c>
      <c r="B7324" s="161" t="s">
        <v>2646</v>
      </c>
      <c r="C7324" s="161">
        <v>90701005</v>
      </c>
      <c r="D7324" s="161" t="s">
        <v>3093</v>
      </c>
      <c r="E7324" s="161" t="s">
        <v>1200</v>
      </c>
      <c r="F7324" s="163" t="s">
        <v>3093</v>
      </c>
      <c r="G7324" s="163">
        <v>0</v>
      </c>
      <c r="H7324" s="161" t="s">
        <v>7138</v>
      </c>
      <c r="I7324" s="161"/>
    </row>
    <row r="7325" spans="1:9">
      <c r="A7325" s="161">
        <v>910900004</v>
      </c>
      <c r="B7325" s="161" t="s">
        <v>2647</v>
      </c>
      <c r="C7325" s="161">
        <v>90701000</v>
      </c>
      <c r="D7325" s="161" t="s">
        <v>3093</v>
      </c>
      <c r="E7325" s="161" t="s">
        <v>1620</v>
      </c>
      <c r="F7325" s="163" t="s">
        <v>3093</v>
      </c>
      <c r="G7325" s="163">
        <v>0</v>
      </c>
      <c r="H7325" s="161" t="s">
        <v>7138</v>
      </c>
      <c r="I7325" s="161"/>
    </row>
    <row r="7326" spans="1:9">
      <c r="A7326" s="161">
        <v>910900005</v>
      </c>
      <c r="B7326" s="161" t="s">
        <v>2648</v>
      </c>
      <c r="C7326" s="161">
        <v>90701008</v>
      </c>
      <c r="D7326" s="161" t="s">
        <v>3093</v>
      </c>
      <c r="E7326" s="161" t="s">
        <v>2522</v>
      </c>
      <c r="F7326" s="163" t="s">
        <v>3093</v>
      </c>
      <c r="G7326" s="163">
        <v>5</v>
      </c>
      <c r="H7326" s="161" t="s">
        <v>7138</v>
      </c>
      <c r="I7326" s="161"/>
    </row>
    <row r="7327" spans="1:9">
      <c r="A7327" s="161">
        <v>910900006</v>
      </c>
      <c r="B7327" s="161" t="s">
        <v>8046</v>
      </c>
      <c r="C7327" s="161">
        <v>90701007</v>
      </c>
      <c r="D7327" s="161" t="s">
        <v>3093</v>
      </c>
      <c r="E7327" s="161" t="s">
        <v>7144</v>
      </c>
      <c r="F7327" s="163" t="s">
        <v>3093</v>
      </c>
      <c r="G7327" s="163">
        <v>1.5</v>
      </c>
      <c r="H7327" s="161" t="s">
        <v>7138</v>
      </c>
      <c r="I7327" s="161"/>
    </row>
    <row r="7328" spans="1:9">
      <c r="A7328" s="161">
        <v>910900007</v>
      </c>
      <c r="B7328" s="161" t="s">
        <v>2649</v>
      </c>
      <c r="C7328" s="161">
        <v>90701001</v>
      </c>
      <c r="D7328" s="161" t="s">
        <v>3093</v>
      </c>
      <c r="E7328" s="161" t="s">
        <v>1620</v>
      </c>
      <c r="F7328" s="163" t="s">
        <v>3093</v>
      </c>
      <c r="G7328" s="163">
        <v>0</v>
      </c>
      <c r="H7328" s="161" t="s">
        <v>7138</v>
      </c>
      <c r="I7328" s="161"/>
    </row>
    <row r="7329" spans="1:9">
      <c r="A7329" s="161">
        <v>910900008</v>
      </c>
      <c r="B7329" s="161" t="s">
        <v>8047</v>
      </c>
      <c r="C7329" s="161">
        <v>90701017</v>
      </c>
      <c r="D7329" s="161" t="s">
        <v>3093</v>
      </c>
      <c r="E7329" s="161" t="s">
        <v>1620</v>
      </c>
      <c r="F7329" s="163" t="s">
        <v>3093</v>
      </c>
      <c r="G7329" s="163">
        <v>0</v>
      </c>
      <c r="H7329" s="161" t="s">
        <v>7138</v>
      </c>
      <c r="I7329" s="161"/>
    </row>
    <row r="7330" spans="1:9">
      <c r="A7330" s="161">
        <v>910900009</v>
      </c>
      <c r="B7330" s="161" t="s">
        <v>2650</v>
      </c>
      <c r="C7330" s="161">
        <v>90701019</v>
      </c>
      <c r="D7330" s="161" t="s">
        <v>3093</v>
      </c>
      <c r="E7330" s="161" t="s">
        <v>1620</v>
      </c>
      <c r="F7330" s="163" t="s">
        <v>3093</v>
      </c>
      <c r="G7330" s="163">
        <v>0</v>
      </c>
      <c r="H7330" s="161" t="s">
        <v>7138</v>
      </c>
      <c r="I7330" s="161"/>
    </row>
    <row r="7331" spans="1:9">
      <c r="A7331" s="161">
        <v>910900010</v>
      </c>
      <c r="B7331" s="161" t="s">
        <v>2651</v>
      </c>
      <c r="C7331" s="161">
        <v>90701002</v>
      </c>
      <c r="D7331" s="161" t="s">
        <v>3093</v>
      </c>
      <c r="E7331" s="161" t="s">
        <v>1620</v>
      </c>
      <c r="F7331" s="163" t="s">
        <v>3093</v>
      </c>
      <c r="G7331" s="163">
        <v>1.25</v>
      </c>
      <c r="H7331" s="161" t="s">
        <v>7138</v>
      </c>
      <c r="I7331" s="161"/>
    </row>
    <row r="7332" spans="1:9">
      <c r="A7332" s="161">
        <v>910900011</v>
      </c>
      <c r="B7332" s="161" t="s">
        <v>8048</v>
      </c>
      <c r="C7332" s="161">
        <v>90202141</v>
      </c>
      <c r="D7332" s="161" t="s">
        <v>3093</v>
      </c>
      <c r="E7332" s="161" t="s">
        <v>102</v>
      </c>
      <c r="F7332" s="163" t="s">
        <v>3093</v>
      </c>
      <c r="G7332" s="163">
        <v>1.55</v>
      </c>
      <c r="H7332" s="161" t="s">
        <v>7138</v>
      </c>
      <c r="I7332" s="161"/>
    </row>
    <row r="7333" spans="1:9">
      <c r="A7333" s="161">
        <v>910900012</v>
      </c>
      <c r="B7333" s="161" t="s">
        <v>8049</v>
      </c>
      <c r="C7333" s="161">
        <v>90701018</v>
      </c>
      <c r="D7333" s="161" t="s">
        <v>3093</v>
      </c>
      <c r="E7333" s="161" t="s">
        <v>1620</v>
      </c>
      <c r="F7333" s="163" t="s">
        <v>3093</v>
      </c>
      <c r="G7333" s="163">
        <v>0</v>
      </c>
      <c r="H7333" s="161" t="s">
        <v>7138</v>
      </c>
      <c r="I7333" s="161"/>
    </row>
    <row r="7334" spans="1:9">
      <c r="A7334" s="161">
        <v>910900013</v>
      </c>
      <c r="B7334" s="161" t="s">
        <v>2652</v>
      </c>
      <c r="C7334" s="161">
        <v>90701004</v>
      </c>
      <c r="D7334" s="161" t="s">
        <v>3093</v>
      </c>
      <c r="E7334" s="161" t="s">
        <v>1200</v>
      </c>
      <c r="F7334" s="163" t="s">
        <v>3093</v>
      </c>
      <c r="G7334" s="163">
        <v>0</v>
      </c>
      <c r="H7334" s="161" t="s">
        <v>7138</v>
      </c>
      <c r="I7334" s="161"/>
    </row>
    <row r="7335" spans="1:9">
      <c r="A7335" s="161">
        <v>910900014</v>
      </c>
      <c r="B7335" s="161" t="s">
        <v>8050</v>
      </c>
      <c r="C7335" s="161">
        <v>90702000</v>
      </c>
      <c r="D7335" s="161" t="s">
        <v>3093</v>
      </c>
      <c r="E7335" s="161" t="s">
        <v>7144</v>
      </c>
      <c r="F7335" s="163" t="s">
        <v>3093</v>
      </c>
      <c r="G7335" s="163">
        <v>1</v>
      </c>
      <c r="H7335" s="161" t="s">
        <v>7138</v>
      </c>
      <c r="I7335" s="161"/>
    </row>
    <row r="7336" spans="1:9">
      <c r="A7336" s="161">
        <v>910900016</v>
      </c>
      <c r="B7336" s="161" t="s">
        <v>2377</v>
      </c>
      <c r="C7336" s="161">
        <v>90202014</v>
      </c>
      <c r="D7336" s="161" t="s">
        <v>3093</v>
      </c>
      <c r="E7336" s="161" t="s">
        <v>102</v>
      </c>
      <c r="F7336" s="163" t="s">
        <v>3093</v>
      </c>
      <c r="G7336" s="163">
        <v>2.89</v>
      </c>
      <c r="H7336" s="161" t="s">
        <v>7138</v>
      </c>
      <c r="I7336" s="161"/>
    </row>
    <row r="7337" spans="1:9">
      <c r="A7337" s="161">
        <v>910900017</v>
      </c>
      <c r="B7337" s="161" t="s">
        <v>8051</v>
      </c>
      <c r="C7337" s="161">
        <v>90202015</v>
      </c>
      <c r="D7337" s="161" t="s">
        <v>3093</v>
      </c>
      <c r="E7337" s="161" t="s">
        <v>7143</v>
      </c>
      <c r="F7337" s="163" t="s">
        <v>3093</v>
      </c>
      <c r="G7337" s="163">
        <v>1.1200000000000001</v>
      </c>
      <c r="H7337" s="161" t="s">
        <v>7138</v>
      </c>
      <c r="I7337" s="161"/>
    </row>
    <row r="7338" spans="1:9">
      <c r="A7338" s="161">
        <v>910900018</v>
      </c>
      <c r="B7338" s="161" t="s">
        <v>8052</v>
      </c>
      <c r="C7338" s="161">
        <v>90202016</v>
      </c>
      <c r="D7338" s="161" t="s">
        <v>3093</v>
      </c>
      <c r="E7338" s="161" t="s">
        <v>102</v>
      </c>
      <c r="F7338" s="163" t="s">
        <v>3093</v>
      </c>
      <c r="G7338" s="163">
        <v>1.1200000000000001</v>
      </c>
      <c r="H7338" s="161" t="s">
        <v>7138</v>
      </c>
      <c r="I7338" s="161"/>
    </row>
    <row r="7339" spans="1:9">
      <c r="A7339" s="161">
        <v>910900019</v>
      </c>
      <c r="B7339" s="161" t="s">
        <v>8053</v>
      </c>
      <c r="C7339" s="161">
        <v>90202060</v>
      </c>
      <c r="D7339" s="161" t="s">
        <v>3093</v>
      </c>
      <c r="E7339" s="161" t="s">
        <v>1620</v>
      </c>
      <c r="F7339" s="163" t="s">
        <v>3093</v>
      </c>
      <c r="G7339" s="163">
        <v>0</v>
      </c>
      <c r="H7339" s="161" t="s">
        <v>7138</v>
      </c>
      <c r="I7339" s="161"/>
    </row>
    <row r="7340" spans="1:9">
      <c r="A7340" s="161">
        <v>910900020</v>
      </c>
      <c r="B7340" s="161" t="s">
        <v>8054</v>
      </c>
      <c r="C7340" s="161">
        <v>90202019</v>
      </c>
      <c r="D7340" s="161" t="s">
        <v>3093</v>
      </c>
      <c r="E7340" s="161" t="s">
        <v>2522</v>
      </c>
      <c r="F7340" s="163" t="s">
        <v>3093</v>
      </c>
      <c r="G7340" s="163">
        <v>77.25</v>
      </c>
      <c r="H7340" s="161" t="s">
        <v>7138</v>
      </c>
      <c r="I7340" s="161"/>
    </row>
    <row r="7341" spans="1:9">
      <c r="A7341" s="161">
        <v>910900021</v>
      </c>
      <c r="B7341" s="161" t="s">
        <v>8055</v>
      </c>
      <c r="C7341" s="161">
        <v>90202083</v>
      </c>
      <c r="D7341" s="161" t="s">
        <v>3093</v>
      </c>
      <c r="E7341" s="161" t="s">
        <v>8125</v>
      </c>
      <c r="F7341" s="163" t="s">
        <v>3093</v>
      </c>
      <c r="G7341" s="163">
        <v>0</v>
      </c>
      <c r="H7341" s="161" t="s">
        <v>7138</v>
      </c>
      <c r="I7341" s="161"/>
    </row>
    <row r="7342" spans="1:9">
      <c r="A7342" s="161">
        <v>910900022</v>
      </c>
      <c r="B7342" s="161" t="s">
        <v>8056</v>
      </c>
      <c r="C7342" s="161">
        <v>90202039</v>
      </c>
      <c r="D7342" s="161" t="s">
        <v>3093</v>
      </c>
      <c r="E7342" s="161" t="s">
        <v>102</v>
      </c>
      <c r="F7342" s="163" t="s">
        <v>3093</v>
      </c>
      <c r="G7342" s="163">
        <v>1.5</v>
      </c>
      <c r="H7342" s="161" t="s">
        <v>7138</v>
      </c>
      <c r="I7342" s="161"/>
    </row>
    <row r="7343" spans="1:9">
      <c r="A7343" s="161">
        <v>910900023</v>
      </c>
      <c r="B7343" s="161" t="s">
        <v>2397</v>
      </c>
      <c r="C7343" s="161">
        <v>90202097</v>
      </c>
      <c r="D7343" s="161" t="s">
        <v>3093</v>
      </c>
      <c r="E7343" s="161" t="s">
        <v>1200</v>
      </c>
      <c r="F7343" s="163" t="s">
        <v>3093</v>
      </c>
      <c r="G7343" s="163">
        <v>0</v>
      </c>
      <c r="H7343" s="161" t="s">
        <v>7138</v>
      </c>
      <c r="I7343" s="161"/>
    </row>
    <row r="7344" spans="1:9">
      <c r="A7344" s="161">
        <v>910900024</v>
      </c>
      <c r="B7344" s="161" t="s">
        <v>2398</v>
      </c>
      <c r="C7344" s="161">
        <v>90202084</v>
      </c>
      <c r="D7344" s="161" t="s">
        <v>3093</v>
      </c>
      <c r="E7344" s="161" t="s">
        <v>2522</v>
      </c>
      <c r="F7344" s="163" t="s">
        <v>3093</v>
      </c>
      <c r="G7344" s="163">
        <v>0</v>
      </c>
      <c r="H7344" s="161" t="s">
        <v>7138</v>
      </c>
      <c r="I7344" s="161"/>
    </row>
    <row r="7345" spans="1:9">
      <c r="A7345" s="161">
        <v>911000001</v>
      </c>
      <c r="B7345" s="161" t="s">
        <v>2626</v>
      </c>
      <c r="C7345" s="161">
        <v>90110024</v>
      </c>
      <c r="D7345" s="161" t="s">
        <v>3093</v>
      </c>
      <c r="E7345" s="161" t="s">
        <v>102</v>
      </c>
      <c r="F7345" s="163" t="s">
        <v>3093</v>
      </c>
      <c r="G7345" s="163">
        <v>0.27</v>
      </c>
      <c r="H7345" s="161" t="s">
        <v>7138</v>
      </c>
      <c r="I7345" s="161"/>
    </row>
    <row r="7346" spans="1:9">
      <c r="A7346" s="161">
        <v>911000002</v>
      </c>
      <c r="B7346" s="161" t="s">
        <v>2627</v>
      </c>
      <c r="C7346" s="161">
        <v>90110025</v>
      </c>
      <c r="D7346" s="161" t="s">
        <v>3093</v>
      </c>
      <c r="E7346" s="161" t="s">
        <v>102</v>
      </c>
      <c r="F7346" s="163" t="s">
        <v>3093</v>
      </c>
      <c r="G7346" s="163">
        <v>0</v>
      </c>
      <c r="H7346" s="161" t="s">
        <v>7138</v>
      </c>
      <c r="I7346" s="161"/>
    </row>
    <row r="7347" spans="1:9">
      <c r="A7347" s="161">
        <v>911000003</v>
      </c>
      <c r="B7347" s="161" t="s">
        <v>2628</v>
      </c>
      <c r="C7347" s="161">
        <v>90110026</v>
      </c>
      <c r="D7347" s="161" t="s">
        <v>3093</v>
      </c>
      <c r="E7347" s="161" t="s">
        <v>102</v>
      </c>
      <c r="F7347" s="163" t="s">
        <v>3093</v>
      </c>
      <c r="G7347" s="163">
        <v>0</v>
      </c>
      <c r="H7347" s="161" t="s">
        <v>7138</v>
      </c>
      <c r="I7347" s="161"/>
    </row>
    <row r="7348" spans="1:9">
      <c r="A7348" s="161">
        <v>911000004</v>
      </c>
      <c r="B7348" s="161" t="s">
        <v>8057</v>
      </c>
      <c r="C7348" s="161">
        <v>90110028</v>
      </c>
      <c r="D7348" s="161" t="s">
        <v>3093</v>
      </c>
      <c r="E7348" s="161" t="s">
        <v>102</v>
      </c>
      <c r="F7348" s="163" t="s">
        <v>3093</v>
      </c>
      <c r="G7348" s="163">
        <v>0.15</v>
      </c>
      <c r="H7348" s="161" t="s">
        <v>7138</v>
      </c>
      <c r="I7348" s="161"/>
    </row>
    <row r="7349" spans="1:9">
      <c r="A7349" s="161">
        <v>911000005</v>
      </c>
      <c r="B7349" s="161" t="s">
        <v>2629</v>
      </c>
      <c r="C7349" s="161">
        <v>90110042</v>
      </c>
      <c r="D7349" s="161" t="s">
        <v>3093</v>
      </c>
      <c r="E7349" s="161" t="s">
        <v>8112</v>
      </c>
      <c r="F7349" s="163" t="s">
        <v>3093</v>
      </c>
      <c r="G7349" s="163">
        <v>1.25</v>
      </c>
      <c r="H7349" s="161" t="s">
        <v>7138</v>
      </c>
      <c r="I7349" s="161"/>
    </row>
    <row r="7350" spans="1:9">
      <c r="A7350" s="161">
        <v>911000006</v>
      </c>
      <c r="B7350" s="161" t="s">
        <v>2653</v>
      </c>
      <c r="C7350" s="161">
        <v>90113014</v>
      </c>
      <c r="D7350" s="161" t="s">
        <v>3093</v>
      </c>
      <c r="E7350" s="161" t="s">
        <v>7140</v>
      </c>
      <c r="F7350" s="163" t="s">
        <v>3093</v>
      </c>
      <c r="G7350" s="163">
        <v>1.5</v>
      </c>
      <c r="H7350" s="161" t="s">
        <v>7138</v>
      </c>
      <c r="I7350" s="161"/>
    </row>
    <row r="7351" spans="1:9">
      <c r="A7351" s="161">
        <v>911000007</v>
      </c>
      <c r="B7351" s="161" t="s">
        <v>2654</v>
      </c>
      <c r="C7351" s="161">
        <v>90113008</v>
      </c>
      <c r="D7351" s="161" t="s">
        <v>3093</v>
      </c>
      <c r="E7351" s="161" t="s">
        <v>7144</v>
      </c>
      <c r="F7351" s="163" t="s">
        <v>3093</v>
      </c>
      <c r="G7351" s="163">
        <v>0</v>
      </c>
      <c r="H7351" s="161" t="s">
        <v>7138</v>
      </c>
      <c r="I7351" s="161"/>
    </row>
    <row r="7352" spans="1:9">
      <c r="A7352" s="161">
        <v>911000008</v>
      </c>
      <c r="B7352" s="161" t="s">
        <v>8058</v>
      </c>
      <c r="C7352" s="161">
        <v>90113006</v>
      </c>
      <c r="D7352" s="161" t="s">
        <v>3093</v>
      </c>
      <c r="E7352" s="161" t="s">
        <v>8115</v>
      </c>
      <c r="F7352" s="163" t="s">
        <v>3093</v>
      </c>
      <c r="G7352" s="163">
        <v>6</v>
      </c>
      <c r="H7352" s="161" t="s">
        <v>7138</v>
      </c>
      <c r="I7352" s="161"/>
    </row>
    <row r="7353" spans="1:9">
      <c r="A7353" s="161">
        <v>911000009</v>
      </c>
      <c r="B7353" s="161" t="s">
        <v>2655</v>
      </c>
      <c r="C7353" s="161">
        <v>90113028</v>
      </c>
      <c r="D7353" s="161" t="s">
        <v>3093</v>
      </c>
      <c r="E7353" s="161" t="s">
        <v>8115</v>
      </c>
      <c r="F7353" s="163" t="s">
        <v>3093</v>
      </c>
      <c r="G7353" s="163">
        <v>25</v>
      </c>
      <c r="H7353" s="161" t="s">
        <v>7138</v>
      </c>
      <c r="I7353" s="161"/>
    </row>
    <row r="7354" spans="1:9">
      <c r="A7354" s="161">
        <v>911000010</v>
      </c>
      <c r="B7354" s="161" t="s">
        <v>8059</v>
      </c>
      <c r="C7354" s="161">
        <v>90113032</v>
      </c>
      <c r="D7354" s="161" t="s">
        <v>3093</v>
      </c>
      <c r="E7354" s="161" t="s">
        <v>1620</v>
      </c>
      <c r="F7354" s="163" t="s">
        <v>3093</v>
      </c>
      <c r="G7354" s="163">
        <v>3</v>
      </c>
      <c r="H7354" s="161" t="s">
        <v>7138</v>
      </c>
      <c r="I7354" s="161"/>
    </row>
    <row r="7355" spans="1:9">
      <c r="A7355" s="161">
        <v>911000011</v>
      </c>
      <c r="B7355" s="161" t="s">
        <v>2656</v>
      </c>
      <c r="C7355" s="161">
        <v>90113012</v>
      </c>
      <c r="D7355" s="161" t="s">
        <v>3093</v>
      </c>
      <c r="E7355" s="161" t="s">
        <v>7140</v>
      </c>
      <c r="F7355" s="163" t="s">
        <v>3093</v>
      </c>
      <c r="G7355" s="163">
        <v>4.4000000000000004</v>
      </c>
      <c r="H7355" s="161" t="s">
        <v>7138</v>
      </c>
      <c r="I7355" s="161"/>
    </row>
    <row r="7356" spans="1:9">
      <c r="A7356" s="161">
        <v>911000012</v>
      </c>
      <c r="B7356" s="161" t="s">
        <v>2657</v>
      </c>
      <c r="C7356" s="161">
        <v>90113013</v>
      </c>
      <c r="D7356" s="161" t="s">
        <v>3093</v>
      </c>
      <c r="E7356" s="161" t="s">
        <v>7140</v>
      </c>
      <c r="F7356" s="163" t="s">
        <v>3093</v>
      </c>
      <c r="G7356" s="163">
        <v>4.3499999999999996</v>
      </c>
      <c r="H7356" s="161" t="s">
        <v>7138</v>
      </c>
      <c r="I7356" s="161"/>
    </row>
    <row r="7357" spans="1:9">
      <c r="A7357" s="161">
        <v>911000013</v>
      </c>
      <c r="B7357" s="161" t="s">
        <v>2658</v>
      </c>
      <c r="C7357" s="161">
        <v>90113027</v>
      </c>
      <c r="D7357" s="161" t="s">
        <v>3093</v>
      </c>
      <c r="E7357" s="161" t="s">
        <v>7140</v>
      </c>
      <c r="F7357" s="163" t="s">
        <v>3093</v>
      </c>
      <c r="G7357" s="163">
        <v>3.98</v>
      </c>
      <c r="H7357" s="161" t="s">
        <v>7138</v>
      </c>
      <c r="I7357" s="161"/>
    </row>
    <row r="7358" spans="1:9">
      <c r="A7358" s="161">
        <v>911000014</v>
      </c>
      <c r="B7358" s="161" t="s">
        <v>2659</v>
      </c>
      <c r="C7358" s="161">
        <v>90113000</v>
      </c>
      <c r="D7358" s="161" t="s">
        <v>3093</v>
      </c>
      <c r="E7358" s="161" t="s">
        <v>1620</v>
      </c>
      <c r="F7358" s="163" t="s">
        <v>3093</v>
      </c>
      <c r="G7358" s="163">
        <v>3.26</v>
      </c>
      <c r="H7358" s="161" t="s">
        <v>7138</v>
      </c>
      <c r="I7358" s="161"/>
    </row>
    <row r="7359" spans="1:9">
      <c r="A7359" s="161">
        <v>911000015</v>
      </c>
      <c r="B7359" s="161" t="s">
        <v>2660</v>
      </c>
      <c r="C7359" s="161">
        <v>90113011</v>
      </c>
      <c r="D7359" s="161" t="s">
        <v>3093</v>
      </c>
      <c r="E7359" s="161" t="s">
        <v>7140</v>
      </c>
      <c r="F7359" s="163" t="s">
        <v>3093</v>
      </c>
      <c r="G7359" s="163">
        <v>3.05</v>
      </c>
      <c r="H7359" s="161" t="s">
        <v>7138</v>
      </c>
      <c r="I7359" s="161"/>
    </row>
    <row r="7360" spans="1:9">
      <c r="A7360" s="161">
        <v>911000016</v>
      </c>
      <c r="B7360" s="161" t="s">
        <v>8060</v>
      </c>
      <c r="C7360" s="161">
        <v>90113001</v>
      </c>
      <c r="D7360" s="161" t="s">
        <v>3093</v>
      </c>
      <c r="E7360" s="161" t="s">
        <v>1620</v>
      </c>
      <c r="F7360" s="163" t="s">
        <v>3093</v>
      </c>
      <c r="G7360" s="163">
        <v>12</v>
      </c>
      <c r="H7360" s="161" t="s">
        <v>7138</v>
      </c>
      <c r="I7360" s="161"/>
    </row>
    <row r="7361" spans="1:9">
      <c r="A7361" s="161">
        <v>911000017</v>
      </c>
      <c r="B7361" s="161" t="s">
        <v>8061</v>
      </c>
      <c r="C7361" s="161">
        <v>90113022</v>
      </c>
      <c r="D7361" s="161" t="s">
        <v>3093</v>
      </c>
      <c r="E7361" s="161" t="s">
        <v>8115</v>
      </c>
      <c r="F7361" s="163" t="s">
        <v>3093</v>
      </c>
      <c r="G7361" s="163">
        <v>33.35</v>
      </c>
      <c r="H7361" s="161" t="s">
        <v>7138</v>
      </c>
      <c r="I7361" s="161"/>
    </row>
    <row r="7362" spans="1:9">
      <c r="A7362" s="161">
        <v>911000018</v>
      </c>
      <c r="B7362" s="161" t="s">
        <v>8062</v>
      </c>
      <c r="C7362" s="161">
        <v>90113019</v>
      </c>
      <c r="D7362" s="161" t="s">
        <v>3093</v>
      </c>
      <c r="E7362" s="161" t="s">
        <v>8115</v>
      </c>
      <c r="F7362" s="163" t="s">
        <v>3093</v>
      </c>
      <c r="G7362" s="163">
        <v>34</v>
      </c>
      <c r="H7362" s="161" t="s">
        <v>7138</v>
      </c>
      <c r="I7362" s="161"/>
    </row>
    <row r="7363" spans="1:9">
      <c r="A7363" s="161">
        <v>911000019</v>
      </c>
      <c r="B7363" s="161" t="s">
        <v>8063</v>
      </c>
      <c r="C7363" s="161">
        <v>90113026</v>
      </c>
      <c r="D7363" s="161" t="s">
        <v>3093</v>
      </c>
      <c r="E7363" s="161" t="s">
        <v>8115</v>
      </c>
      <c r="F7363" s="163" t="s">
        <v>3093</v>
      </c>
      <c r="G7363" s="163">
        <v>8</v>
      </c>
      <c r="H7363" s="161" t="s">
        <v>7138</v>
      </c>
      <c r="I7363" s="161"/>
    </row>
    <row r="7364" spans="1:9">
      <c r="A7364" s="161">
        <v>911000020</v>
      </c>
      <c r="B7364" s="161" t="s">
        <v>8064</v>
      </c>
      <c r="C7364" s="161">
        <v>90113023</v>
      </c>
      <c r="D7364" s="161" t="s">
        <v>3093</v>
      </c>
      <c r="E7364" s="161" t="s">
        <v>8115</v>
      </c>
      <c r="F7364" s="163" t="s">
        <v>3093</v>
      </c>
      <c r="G7364" s="163">
        <v>33.35</v>
      </c>
      <c r="H7364" s="161" t="s">
        <v>7138</v>
      </c>
      <c r="I7364" s="161"/>
    </row>
    <row r="7365" spans="1:9">
      <c r="A7365" s="161">
        <v>911000021</v>
      </c>
      <c r="B7365" s="161" t="s">
        <v>8065</v>
      </c>
      <c r="C7365" s="161">
        <v>90113018</v>
      </c>
      <c r="D7365" s="161" t="s">
        <v>3093</v>
      </c>
      <c r="E7365" s="161" t="s">
        <v>8115</v>
      </c>
      <c r="F7365" s="163" t="s">
        <v>3093</v>
      </c>
      <c r="G7365" s="163">
        <v>34</v>
      </c>
      <c r="H7365" s="161" t="s">
        <v>7138</v>
      </c>
      <c r="I7365" s="161"/>
    </row>
    <row r="7366" spans="1:9">
      <c r="A7366" s="161">
        <v>911000022</v>
      </c>
      <c r="B7366" s="161" t="s">
        <v>8066</v>
      </c>
      <c r="C7366" s="161">
        <v>90113007</v>
      </c>
      <c r="D7366" s="161" t="s">
        <v>3093</v>
      </c>
      <c r="E7366" s="161" t="s">
        <v>8115</v>
      </c>
      <c r="F7366" s="163" t="s">
        <v>3093</v>
      </c>
      <c r="G7366" s="163">
        <v>65</v>
      </c>
      <c r="H7366" s="161" t="s">
        <v>7138</v>
      </c>
      <c r="I7366" s="161"/>
    </row>
    <row r="7367" spans="1:9">
      <c r="A7367" s="161">
        <v>911000023</v>
      </c>
      <c r="B7367" s="161" t="s">
        <v>8067</v>
      </c>
      <c r="C7367" s="161">
        <v>90113010</v>
      </c>
      <c r="D7367" s="161" t="s">
        <v>3093</v>
      </c>
      <c r="E7367" s="161" t="s">
        <v>2074</v>
      </c>
      <c r="F7367" s="163" t="s">
        <v>3093</v>
      </c>
      <c r="G7367" s="163">
        <v>0</v>
      </c>
      <c r="H7367" s="161" t="s">
        <v>7138</v>
      </c>
      <c r="I7367" s="161"/>
    </row>
    <row r="7368" spans="1:9">
      <c r="A7368" s="161">
        <v>911000024</v>
      </c>
      <c r="B7368" s="161" t="s">
        <v>8068</v>
      </c>
      <c r="C7368" s="161">
        <v>90113003</v>
      </c>
      <c r="D7368" s="161" t="s">
        <v>3093</v>
      </c>
      <c r="E7368" s="161" t="s">
        <v>102</v>
      </c>
      <c r="F7368" s="163" t="s">
        <v>3093</v>
      </c>
      <c r="G7368" s="163">
        <v>4.25</v>
      </c>
      <c r="H7368" s="161" t="s">
        <v>7138</v>
      </c>
      <c r="I7368" s="161"/>
    </row>
    <row r="7369" spans="1:9">
      <c r="A7369" s="161">
        <v>911000025</v>
      </c>
      <c r="B7369" s="161" t="s">
        <v>8069</v>
      </c>
      <c r="C7369" s="161">
        <v>90113035</v>
      </c>
      <c r="D7369" s="161" t="s">
        <v>3093</v>
      </c>
      <c r="E7369" s="161" t="s">
        <v>8115</v>
      </c>
      <c r="F7369" s="163" t="s">
        <v>3093</v>
      </c>
      <c r="G7369" s="163">
        <v>0</v>
      </c>
      <c r="H7369" s="161" t="s">
        <v>7138</v>
      </c>
      <c r="I7369" s="161"/>
    </row>
    <row r="7370" spans="1:9">
      <c r="A7370" s="161">
        <v>911000026</v>
      </c>
      <c r="B7370" s="161" t="s">
        <v>8070</v>
      </c>
      <c r="C7370" s="161">
        <v>90113034</v>
      </c>
      <c r="D7370" s="161" t="s">
        <v>3093</v>
      </c>
      <c r="E7370" s="161" t="s">
        <v>8115</v>
      </c>
      <c r="F7370" s="163" t="s">
        <v>3093</v>
      </c>
      <c r="G7370" s="163">
        <v>0</v>
      </c>
      <c r="H7370" s="161" t="s">
        <v>7138</v>
      </c>
      <c r="I7370" s="161"/>
    </row>
    <row r="7371" spans="1:9">
      <c r="A7371" s="161">
        <v>911000027</v>
      </c>
      <c r="B7371" s="161" t="s">
        <v>8071</v>
      </c>
      <c r="C7371" s="161">
        <v>90113036</v>
      </c>
      <c r="D7371" s="161" t="s">
        <v>3093</v>
      </c>
      <c r="E7371" s="161" t="s">
        <v>8115</v>
      </c>
      <c r="F7371" s="163" t="s">
        <v>3093</v>
      </c>
      <c r="G7371" s="163">
        <v>0</v>
      </c>
      <c r="H7371" s="161" t="s">
        <v>7138</v>
      </c>
      <c r="I7371" s="161"/>
    </row>
    <row r="7372" spans="1:9">
      <c r="A7372" s="161">
        <v>911000028</v>
      </c>
      <c r="B7372" s="161" t="s">
        <v>8072</v>
      </c>
      <c r="C7372" s="161">
        <v>90113004</v>
      </c>
      <c r="D7372" s="161" t="s">
        <v>3093</v>
      </c>
      <c r="E7372" s="161" t="s">
        <v>8115</v>
      </c>
      <c r="F7372" s="163" t="s">
        <v>3093</v>
      </c>
      <c r="G7372" s="163">
        <v>0</v>
      </c>
      <c r="H7372" s="161" t="s">
        <v>7138</v>
      </c>
      <c r="I7372" s="161"/>
    </row>
    <row r="7373" spans="1:9">
      <c r="A7373" s="161">
        <v>911000029</v>
      </c>
      <c r="B7373" s="161" t="s">
        <v>8073</v>
      </c>
      <c r="C7373" s="161">
        <v>90113009</v>
      </c>
      <c r="D7373" s="161" t="s">
        <v>3093</v>
      </c>
      <c r="E7373" s="161" t="s">
        <v>102</v>
      </c>
      <c r="F7373" s="163" t="s">
        <v>3093</v>
      </c>
      <c r="G7373" s="163">
        <v>2.29</v>
      </c>
      <c r="H7373" s="161" t="s">
        <v>7138</v>
      </c>
      <c r="I7373" s="161"/>
    </row>
    <row r="7374" spans="1:9">
      <c r="A7374" s="161">
        <v>911000030</v>
      </c>
      <c r="B7374" s="161" t="s">
        <v>2661</v>
      </c>
      <c r="C7374" s="161">
        <v>90113031</v>
      </c>
      <c r="D7374" s="161" t="s">
        <v>3093</v>
      </c>
      <c r="E7374" s="161" t="s">
        <v>7143</v>
      </c>
      <c r="F7374" s="163" t="s">
        <v>3093</v>
      </c>
      <c r="G7374" s="163">
        <v>20</v>
      </c>
      <c r="H7374" s="161" t="s">
        <v>7138</v>
      </c>
      <c r="I7374" s="161"/>
    </row>
    <row r="7375" spans="1:9">
      <c r="A7375" s="161">
        <v>911000031</v>
      </c>
      <c r="B7375" s="161" t="s">
        <v>8074</v>
      </c>
      <c r="C7375" s="161">
        <v>90113024</v>
      </c>
      <c r="D7375" s="161" t="s">
        <v>3093</v>
      </c>
      <c r="E7375" s="161" t="s">
        <v>7143</v>
      </c>
      <c r="F7375" s="163" t="s">
        <v>3093</v>
      </c>
      <c r="G7375" s="163">
        <v>22.95</v>
      </c>
      <c r="H7375" s="161" t="s">
        <v>7138</v>
      </c>
      <c r="I7375" s="161"/>
    </row>
    <row r="7376" spans="1:9">
      <c r="A7376" s="161">
        <v>911000032</v>
      </c>
      <c r="B7376" s="161" t="s">
        <v>8075</v>
      </c>
      <c r="C7376" s="161">
        <v>90113005</v>
      </c>
      <c r="D7376" s="161" t="s">
        <v>3093</v>
      </c>
      <c r="E7376" s="161" t="s">
        <v>8115</v>
      </c>
      <c r="F7376" s="163" t="s">
        <v>3093</v>
      </c>
      <c r="G7376" s="163">
        <v>60</v>
      </c>
      <c r="H7376" s="161" t="s">
        <v>7138</v>
      </c>
      <c r="I7376" s="161"/>
    </row>
    <row r="7377" spans="1:9">
      <c r="A7377" s="161">
        <v>911000033</v>
      </c>
      <c r="B7377" s="161" t="s">
        <v>8076</v>
      </c>
      <c r="C7377" s="161">
        <v>90113002</v>
      </c>
      <c r="D7377" s="161" t="s">
        <v>3093</v>
      </c>
      <c r="E7377" s="161" t="s">
        <v>1620</v>
      </c>
      <c r="F7377" s="163" t="s">
        <v>3093</v>
      </c>
      <c r="G7377" s="163">
        <v>100</v>
      </c>
      <c r="H7377" s="161" t="s">
        <v>7138</v>
      </c>
      <c r="I7377" s="161"/>
    </row>
    <row r="7378" spans="1:9">
      <c r="A7378" s="161">
        <v>911000034</v>
      </c>
      <c r="B7378" s="161" t="s">
        <v>2662</v>
      </c>
      <c r="C7378" s="161">
        <v>90113015</v>
      </c>
      <c r="D7378" s="161" t="s">
        <v>3093</v>
      </c>
      <c r="E7378" s="161" t="s">
        <v>7144</v>
      </c>
      <c r="F7378" s="163" t="s">
        <v>3093</v>
      </c>
      <c r="G7378" s="163">
        <v>12.35</v>
      </c>
      <c r="H7378" s="161" t="s">
        <v>7138</v>
      </c>
      <c r="I7378" s="161"/>
    </row>
    <row r="7379" spans="1:9">
      <c r="A7379" s="161">
        <v>911000035</v>
      </c>
      <c r="B7379" s="161" t="s">
        <v>2663</v>
      </c>
      <c r="C7379" s="161">
        <v>90113017</v>
      </c>
      <c r="D7379" s="161" t="s">
        <v>3093</v>
      </c>
      <c r="E7379" s="161" t="s">
        <v>7144</v>
      </c>
      <c r="F7379" s="163" t="s">
        <v>3093</v>
      </c>
      <c r="G7379" s="163">
        <v>8.6999999999999993</v>
      </c>
      <c r="H7379" s="161" t="s">
        <v>7138</v>
      </c>
      <c r="I7379" s="161"/>
    </row>
    <row r="7380" spans="1:9">
      <c r="A7380" s="161">
        <v>911000036</v>
      </c>
      <c r="B7380" s="161" t="s">
        <v>2664</v>
      </c>
      <c r="C7380" s="161">
        <v>90113030</v>
      </c>
      <c r="D7380" s="161" t="s">
        <v>3093</v>
      </c>
      <c r="E7380" s="161" t="s">
        <v>7144</v>
      </c>
      <c r="F7380" s="163" t="s">
        <v>3093</v>
      </c>
      <c r="G7380" s="163">
        <v>6.6</v>
      </c>
      <c r="H7380" s="161" t="s">
        <v>7138</v>
      </c>
      <c r="I7380" s="161"/>
    </row>
    <row r="7381" spans="1:9">
      <c r="A7381" s="161">
        <v>911000037</v>
      </c>
      <c r="B7381" s="161" t="s">
        <v>8077</v>
      </c>
      <c r="C7381" s="161">
        <v>90113021</v>
      </c>
      <c r="D7381" s="161" t="s">
        <v>3093</v>
      </c>
      <c r="E7381" s="161" t="s">
        <v>2074</v>
      </c>
      <c r="F7381" s="163" t="s">
        <v>3093</v>
      </c>
      <c r="G7381" s="163">
        <v>2.58</v>
      </c>
      <c r="H7381" s="161" t="s">
        <v>7138</v>
      </c>
      <c r="I7381" s="161"/>
    </row>
    <row r="7382" spans="1:9">
      <c r="A7382" s="161">
        <v>911000038</v>
      </c>
      <c r="B7382" s="161" t="s">
        <v>8078</v>
      </c>
      <c r="C7382" s="161">
        <v>90113020</v>
      </c>
      <c r="D7382" s="161" t="s">
        <v>3093</v>
      </c>
      <c r="E7382" s="161" t="s">
        <v>2074</v>
      </c>
      <c r="F7382" s="163" t="s">
        <v>3093</v>
      </c>
      <c r="G7382" s="163">
        <v>2.63</v>
      </c>
      <c r="H7382" s="161" t="s">
        <v>7138</v>
      </c>
      <c r="I7382" s="161"/>
    </row>
    <row r="7383" spans="1:9">
      <c r="A7383" s="161">
        <v>911000039</v>
      </c>
      <c r="B7383" s="161" t="s">
        <v>2665</v>
      </c>
      <c r="C7383" s="161">
        <v>90113033</v>
      </c>
      <c r="D7383" s="161" t="s">
        <v>3093</v>
      </c>
      <c r="E7383" s="161" t="s">
        <v>8113</v>
      </c>
      <c r="F7383" s="163" t="s">
        <v>3093</v>
      </c>
      <c r="G7383" s="163">
        <v>0</v>
      </c>
      <c r="H7383" s="161" t="s">
        <v>7138</v>
      </c>
      <c r="I7383" s="161"/>
    </row>
    <row r="7384" spans="1:9">
      <c r="A7384" s="161">
        <v>911000040</v>
      </c>
      <c r="B7384" s="161" t="s">
        <v>2666</v>
      </c>
      <c r="C7384" s="161">
        <v>90113016</v>
      </c>
      <c r="D7384" s="161" t="s">
        <v>3093</v>
      </c>
      <c r="E7384" s="161" t="s">
        <v>8118</v>
      </c>
      <c r="F7384" s="163" t="s">
        <v>3093</v>
      </c>
      <c r="G7384" s="163">
        <v>4</v>
      </c>
      <c r="H7384" s="161" t="s">
        <v>7138</v>
      </c>
      <c r="I7384" s="161"/>
    </row>
    <row r="7385" spans="1:9">
      <c r="A7385" s="161">
        <v>911000041</v>
      </c>
      <c r="B7385" s="161" t="s">
        <v>8079</v>
      </c>
      <c r="C7385" s="161">
        <v>90113025</v>
      </c>
      <c r="D7385" s="161" t="s">
        <v>3093</v>
      </c>
      <c r="E7385" s="161" t="s">
        <v>8118</v>
      </c>
      <c r="F7385" s="163" t="s">
        <v>3093</v>
      </c>
      <c r="G7385" s="163">
        <v>0.9</v>
      </c>
      <c r="H7385" s="161" t="s">
        <v>7138</v>
      </c>
      <c r="I7385" s="161"/>
    </row>
    <row r="7386" spans="1:9">
      <c r="A7386" s="161">
        <v>911000042</v>
      </c>
      <c r="B7386" s="161" t="s">
        <v>2667</v>
      </c>
      <c r="C7386" s="161">
        <v>90113029</v>
      </c>
      <c r="D7386" s="161" t="s">
        <v>3093</v>
      </c>
      <c r="E7386" s="161" t="s">
        <v>7144</v>
      </c>
      <c r="F7386" s="163" t="s">
        <v>3093</v>
      </c>
      <c r="G7386" s="163">
        <v>0</v>
      </c>
      <c r="H7386" s="161" t="s">
        <v>7138</v>
      </c>
      <c r="I7386" s="161"/>
    </row>
    <row r="7387" spans="1:9">
      <c r="A7387" s="161">
        <v>911000043</v>
      </c>
      <c r="B7387" s="161" t="s">
        <v>8080</v>
      </c>
      <c r="C7387" s="161">
        <v>90113024</v>
      </c>
      <c r="D7387" s="161" t="s">
        <v>3093</v>
      </c>
      <c r="E7387" s="161" t="s">
        <v>8115</v>
      </c>
      <c r="F7387" s="163" t="s">
        <v>3093</v>
      </c>
      <c r="G7387" s="163">
        <v>0</v>
      </c>
      <c r="H7387" s="161" t="s">
        <v>7138</v>
      </c>
      <c r="I7387" s="161"/>
    </row>
    <row r="7388" spans="1:9">
      <c r="A7388" s="161">
        <v>911000044</v>
      </c>
      <c r="B7388" s="161" t="s">
        <v>8081</v>
      </c>
      <c r="C7388" s="161">
        <v>90113028</v>
      </c>
      <c r="D7388" s="161" t="s">
        <v>3093</v>
      </c>
      <c r="E7388" s="161" t="s">
        <v>8115</v>
      </c>
      <c r="F7388" s="163" t="s">
        <v>3093</v>
      </c>
      <c r="G7388" s="163">
        <v>0</v>
      </c>
      <c r="H7388" s="161" t="s">
        <v>7138</v>
      </c>
      <c r="I7388" s="161"/>
    </row>
    <row r="7389" spans="1:9">
      <c r="A7389" s="161">
        <v>911000045</v>
      </c>
      <c r="B7389" s="161" t="s">
        <v>8082</v>
      </c>
      <c r="C7389" s="161">
        <v>90113028</v>
      </c>
      <c r="D7389" s="161" t="s">
        <v>3093</v>
      </c>
      <c r="E7389" s="161" t="s">
        <v>8115</v>
      </c>
      <c r="F7389" s="163" t="s">
        <v>3093</v>
      </c>
      <c r="G7389" s="163">
        <v>0</v>
      </c>
      <c r="H7389" s="161" t="s">
        <v>7138</v>
      </c>
      <c r="I7389" s="161"/>
    </row>
    <row r="7390" spans="1:9">
      <c r="A7390" s="161">
        <v>911000046</v>
      </c>
      <c r="B7390" s="161" t="s">
        <v>8083</v>
      </c>
      <c r="C7390" s="161">
        <v>90113005</v>
      </c>
      <c r="D7390" s="161" t="s">
        <v>3093</v>
      </c>
      <c r="E7390" s="161" t="s">
        <v>8115</v>
      </c>
      <c r="F7390" s="163" t="s">
        <v>3093</v>
      </c>
      <c r="G7390" s="163">
        <v>0</v>
      </c>
      <c r="H7390" s="161" t="s">
        <v>7138</v>
      </c>
      <c r="I7390" s="161"/>
    </row>
    <row r="7391" spans="1:9">
      <c r="A7391" s="161">
        <v>911000047</v>
      </c>
      <c r="B7391" s="161" t="s">
        <v>8084</v>
      </c>
      <c r="C7391" s="161">
        <v>90113005</v>
      </c>
      <c r="D7391" s="161" t="s">
        <v>3093</v>
      </c>
      <c r="E7391" s="161" t="s">
        <v>8115</v>
      </c>
      <c r="F7391" s="163" t="s">
        <v>3093</v>
      </c>
      <c r="G7391" s="163">
        <v>0</v>
      </c>
      <c r="H7391" s="161" t="s">
        <v>7138</v>
      </c>
      <c r="I7391" s="161"/>
    </row>
    <row r="7392" spans="1:9">
      <c r="A7392" s="161">
        <v>911000048</v>
      </c>
      <c r="B7392" s="161" t="s">
        <v>8085</v>
      </c>
      <c r="C7392" s="161">
        <v>90113001</v>
      </c>
      <c r="D7392" s="161" t="s">
        <v>3093</v>
      </c>
      <c r="E7392" s="161" t="s">
        <v>8115</v>
      </c>
      <c r="F7392" s="163" t="s">
        <v>3093</v>
      </c>
      <c r="G7392" s="163">
        <v>0</v>
      </c>
      <c r="H7392" s="161" t="s">
        <v>7138</v>
      </c>
      <c r="I7392" s="161"/>
    </row>
    <row r="7393" spans="1:9">
      <c r="A7393" s="161">
        <v>911000049</v>
      </c>
      <c r="B7393" s="161" t="s">
        <v>8086</v>
      </c>
      <c r="C7393" s="161">
        <v>90113001</v>
      </c>
      <c r="D7393" s="161" t="s">
        <v>3093</v>
      </c>
      <c r="E7393" s="161" t="s">
        <v>8115</v>
      </c>
      <c r="F7393" s="163" t="s">
        <v>3093</v>
      </c>
      <c r="G7393" s="163">
        <v>0</v>
      </c>
      <c r="H7393" s="161" t="s">
        <v>7138</v>
      </c>
      <c r="I7393" s="161"/>
    </row>
    <row r="7394" spans="1:9">
      <c r="A7394" s="161">
        <v>912000001</v>
      </c>
      <c r="B7394" s="161" t="s">
        <v>2459</v>
      </c>
      <c r="C7394" s="161">
        <v>90305054</v>
      </c>
      <c r="D7394" s="161" t="s">
        <v>3093</v>
      </c>
      <c r="E7394" s="161" t="s">
        <v>2074</v>
      </c>
      <c r="F7394" s="163" t="s">
        <v>3093</v>
      </c>
      <c r="G7394" s="163">
        <v>10.53</v>
      </c>
      <c r="H7394" s="161" t="s">
        <v>7138</v>
      </c>
      <c r="I7394" s="161"/>
    </row>
    <row r="7395" spans="1:9">
      <c r="A7395" s="161">
        <v>912000002</v>
      </c>
      <c r="B7395" s="161" t="s">
        <v>8087</v>
      </c>
      <c r="C7395" s="161">
        <v>90102035</v>
      </c>
      <c r="D7395" s="161" t="s">
        <v>3093</v>
      </c>
      <c r="E7395" s="161" t="s">
        <v>2074</v>
      </c>
      <c r="F7395" s="163" t="s">
        <v>3093</v>
      </c>
      <c r="G7395" s="163">
        <v>0</v>
      </c>
      <c r="H7395" s="161" t="s">
        <v>7138</v>
      </c>
      <c r="I7395" s="161"/>
    </row>
    <row r="7396" spans="1:9">
      <c r="A7396" s="161">
        <v>912000003</v>
      </c>
      <c r="B7396" s="161" t="s">
        <v>8088</v>
      </c>
      <c r="C7396" s="161">
        <v>90114015</v>
      </c>
      <c r="D7396" s="161" t="s">
        <v>3093</v>
      </c>
      <c r="E7396" s="161" t="s">
        <v>102</v>
      </c>
      <c r="F7396" s="163" t="s">
        <v>3093</v>
      </c>
      <c r="G7396" s="163">
        <v>0</v>
      </c>
      <c r="H7396" s="161" t="s">
        <v>7138</v>
      </c>
      <c r="I7396" s="161"/>
    </row>
    <row r="7397" spans="1:9">
      <c r="A7397" s="161">
        <v>912000004</v>
      </c>
      <c r="B7397" s="161" t="s">
        <v>8089</v>
      </c>
      <c r="C7397" s="161">
        <v>90401015</v>
      </c>
      <c r="D7397" s="161" t="s">
        <v>3093</v>
      </c>
      <c r="E7397" s="161" t="s">
        <v>102</v>
      </c>
      <c r="F7397" s="163" t="s">
        <v>3093</v>
      </c>
      <c r="G7397" s="163">
        <v>27</v>
      </c>
      <c r="H7397" s="161" t="s">
        <v>7138</v>
      </c>
      <c r="I7397" s="161"/>
    </row>
    <row r="7398" spans="1:9">
      <c r="A7398" s="161">
        <v>912000005</v>
      </c>
      <c r="B7398" s="161" t="s">
        <v>8090</v>
      </c>
      <c r="C7398" s="161">
        <v>90114000</v>
      </c>
      <c r="D7398" s="161" t="s">
        <v>3093</v>
      </c>
      <c r="E7398" s="161" t="s">
        <v>102</v>
      </c>
      <c r="F7398" s="163" t="s">
        <v>3093</v>
      </c>
      <c r="G7398" s="163">
        <v>0</v>
      </c>
      <c r="H7398" s="161" t="s">
        <v>7138</v>
      </c>
      <c r="I7398" s="161"/>
    </row>
    <row r="7399" spans="1:9">
      <c r="A7399" s="161">
        <v>912000006</v>
      </c>
      <c r="B7399" s="161" t="s">
        <v>8091</v>
      </c>
      <c r="C7399" s="161">
        <v>90114004</v>
      </c>
      <c r="D7399" s="161" t="s">
        <v>3093</v>
      </c>
      <c r="E7399" s="161" t="s">
        <v>102</v>
      </c>
      <c r="F7399" s="163" t="s">
        <v>3093</v>
      </c>
      <c r="G7399" s="163">
        <v>0</v>
      </c>
      <c r="H7399" s="161" t="s">
        <v>7138</v>
      </c>
      <c r="I7399" s="161"/>
    </row>
    <row r="7400" spans="1:9">
      <c r="A7400" s="161">
        <v>912000007</v>
      </c>
      <c r="B7400" s="161" t="s">
        <v>8092</v>
      </c>
      <c r="C7400" s="161">
        <v>90114011</v>
      </c>
      <c r="D7400" s="161" t="s">
        <v>3093</v>
      </c>
      <c r="E7400" s="161" t="s">
        <v>102</v>
      </c>
      <c r="F7400" s="163" t="s">
        <v>3093</v>
      </c>
      <c r="G7400" s="163">
        <v>0</v>
      </c>
      <c r="H7400" s="161" t="s">
        <v>7138</v>
      </c>
      <c r="I7400" s="161"/>
    </row>
    <row r="7401" spans="1:9">
      <c r="A7401" s="161">
        <v>912000008</v>
      </c>
      <c r="B7401" s="161" t="s">
        <v>8093</v>
      </c>
      <c r="C7401" s="161">
        <v>90114012</v>
      </c>
      <c r="D7401" s="161" t="s">
        <v>3093</v>
      </c>
      <c r="E7401" s="161" t="s">
        <v>102</v>
      </c>
      <c r="F7401" s="163" t="s">
        <v>3093</v>
      </c>
      <c r="G7401" s="163">
        <v>0</v>
      </c>
      <c r="H7401" s="161" t="s">
        <v>7138</v>
      </c>
      <c r="I7401" s="161"/>
    </row>
    <row r="7402" spans="1:9">
      <c r="A7402" s="161">
        <v>912000009</v>
      </c>
      <c r="B7402" s="161" t="s">
        <v>8094</v>
      </c>
      <c r="C7402" s="161">
        <v>90114014</v>
      </c>
      <c r="D7402" s="161" t="s">
        <v>3093</v>
      </c>
      <c r="E7402" s="161" t="s">
        <v>102</v>
      </c>
      <c r="F7402" s="163" t="s">
        <v>3093</v>
      </c>
      <c r="G7402" s="163">
        <v>0</v>
      </c>
      <c r="H7402" s="161" t="s">
        <v>7138</v>
      </c>
      <c r="I7402" s="161"/>
    </row>
    <row r="7403" spans="1:9">
      <c r="A7403" s="161">
        <v>912000010</v>
      </c>
      <c r="B7403" s="161" t="s">
        <v>8095</v>
      </c>
      <c r="C7403" s="161">
        <v>90114013</v>
      </c>
      <c r="D7403" s="161" t="s">
        <v>3093</v>
      </c>
      <c r="E7403" s="161" t="s">
        <v>102</v>
      </c>
      <c r="F7403" s="163" t="s">
        <v>3093</v>
      </c>
      <c r="G7403" s="163">
        <v>0</v>
      </c>
      <c r="H7403" s="161" t="s">
        <v>7138</v>
      </c>
      <c r="I7403" s="161"/>
    </row>
    <row r="7404" spans="1:9">
      <c r="A7404" s="161">
        <v>912000011</v>
      </c>
      <c r="B7404" s="161" t="s">
        <v>8096</v>
      </c>
      <c r="C7404" s="161">
        <v>90114002</v>
      </c>
      <c r="D7404" s="161" t="s">
        <v>3093</v>
      </c>
      <c r="E7404" s="161" t="s">
        <v>102</v>
      </c>
      <c r="F7404" s="163" t="s">
        <v>3093</v>
      </c>
      <c r="G7404" s="163">
        <v>0</v>
      </c>
      <c r="H7404" s="161" t="s">
        <v>7138</v>
      </c>
      <c r="I7404" s="161"/>
    </row>
    <row r="7405" spans="1:9">
      <c r="A7405" s="161">
        <v>912000012</v>
      </c>
      <c r="B7405" s="161" t="s">
        <v>2630</v>
      </c>
      <c r="C7405" s="161">
        <v>90110050</v>
      </c>
      <c r="D7405" s="161" t="s">
        <v>3093</v>
      </c>
      <c r="E7405" s="161" t="s">
        <v>102</v>
      </c>
      <c r="F7405" s="163" t="s">
        <v>3093</v>
      </c>
      <c r="G7405" s="163">
        <v>12</v>
      </c>
      <c r="H7405" s="161" t="s">
        <v>7138</v>
      </c>
      <c r="I7405" s="161"/>
    </row>
    <row r="7406" spans="1:9">
      <c r="A7406" s="161">
        <v>912000013</v>
      </c>
      <c r="B7406" s="161" t="s">
        <v>8097</v>
      </c>
      <c r="C7406" s="161">
        <v>90114001</v>
      </c>
      <c r="D7406" s="161" t="s">
        <v>3093</v>
      </c>
      <c r="E7406" s="161" t="s">
        <v>102</v>
      </c>
      <c r="F7406" s="163" t="s">
        <v>3093</v>
      </c>
      <c r="G7406" s="163">
        <v>0</v>
      </c>
      <c r="H7406" s="161" t="s">
        <v>7138</v>
      </c>
      <c r="I7406" s="161"/>
    </row>
    <row r="7407" spans="1:9">
      <c r="A7407" s="161">
        <v>912000014</v>
      </c>
      <c r="B7407" s="161" t="s">
        <v>8098</v>
      </c>
      <c r="C7407" s="161">
        <v>90110051</v>
      </c>
      <c r="D7407" s="161" t="s">
        <v>3093</v>
      </c>
      <c r="E7407" s="161" t="s">
        <v>1778</v>
      </c>
      <c r="F7407" s="163" t="s">
        <v>3093</v>
      </c>
      <c r="G7407" s="163">
        <v>4.33</v>
      </c>
      <c r="H7407" s="161" t="s">
        <v>7138</v>
      </c>
      <c r="I7407" s="161"/>
    </row>
    <row r="7408" spans="1:9">
      <c r="A7408" s="161">
        <v>912000015</v>
      </c>
      <c r="B7408" s="161" t="s">
        <v>8099</v>
      </c>
      <c r="C7408" s="161">
        <v>90114005</v>
      </c>
      <c r="D7408" s="161" t="s">
        <v>3093</v>
      </c>
      <c r="E7408" s="161" t="s">
        <v>102</v>
      </c>
      <c r="F7408" s="163" t="s">
        <v>3093</v>
      </c>
      <c r="G7408" s="163">
        <v>0</v>
      </c>
      <c r="H7408" s="161" t="s">
        <v>7138</v>
      </c>
      <c r="I7408" s="161"/>
    </row>
    <row r="7409" spans="1:9">
      <c r="A7409" s="161">
        <v>912000016</v>
      </c>
      <c r="B7409" s="161" t="s">
        <v>8100</v>
      </c>
      <c r="C7409" s="161">
        <v>90114007</v>
      </c>
      <c r="D7409" s="161" t="s">
        <v>3093</v>
      </c>
      <c r="E7409" s="161" t="s">
        <v>102</v>
      </c>
      <c r="F7409" s="163" t="s">
        <v>3093</v>
      </c>
      <c r="G7409" s="163">
        <v>0</v>
      </c>
      <c r="H7409" s="161" t="s">
        <v>7138</v>
      </c>
      <c r="I7409" s="161"/>
    </row>
    <row r="7410" spans="1:9">
      <c r="A7410" s="161">
        <v>912000017</v>
      </c>
      <c r="B7410" s="161" t="s">
        <v>8101</v>
      </c>
      <c r="C7410" s="161">
        <v>90114003</v>
      </c>
      <c r="D7410" s="161" t="s">
        <v>3093</v>
      </c>
      <c r="E7410" s="161" t="s">
        <v>102</v>
      </c>
      <c r="F7410" s="163" t="s">
        <v>3093</v>
      </c>
      <c r="G7410" s="163">
        <v>0</v>
      </c>
      <c r="H7410" s="161" t="s">
        <v>7138</v>
      </c>
      <c r="I7410" s="161"/>
    </row>
    <row r="7411" spans="1:9">
      <c r="A7411" s="161">
        <v>912000018</v>
      </c>
      <c r="B7411" s="161" t="s">
        <v>8102</v>
      </c>
      <c r="C7411" s="161">
        <v>90305024</v>
      </c>
      <c r="D7411" s="161" t="s">
        <v>3093</v>
      </c>
      <c r="E7411" s="161" t="s">
        <v>102</v>
      </c>
      <c r="F7411" s="163" t="s">
        <v>3093</v>
      </c>
      <c r="G7411" s="163">
        <v>3.75</v>
      </c>
      <c r="H7411" s="161" t="s">
        <v>7138</v>
      </c>
      <c r="I7411" s="161"/>
    </row>
    <row r="7412" spans="1:9">
      <c r="A7412" s="161">
        <v>912000019</v>
      </c>
      <c r="B7412" s="161" t="s">
        <v>2631</v>
      </c>
      <c r="C7412" s="161">
        <v>90110048</v>
      </c>
      <c r="D7412" s="161" t="s">
        <v>3093</v>
      </c>
      <c r="E7412" s="161" t="s">
        <v>102</v>
      </c>
      <c r="F7412" s="163" t="s">
        <v>3093</v>
      </c>
      <c r="G7412" s="163">
        <v>6.1</v>
      </c>
      <c r="H7412" s="161" t="s">
        <v>7138</v>
      </c>
      <c r="I7412" s="161"/>
    </row>
    <row r="7413" spans="1:9">
      <c r="A7413" s="161">
        <v>912000020</v>
      </c>
      <c r="B7413" s="161" t="s">
        <v>8103</v>
      </c>
      <c r="C7413" s="161">
        <v>90110047</v>
      </c>
      <c r="D7413" s="161" t="s">
        <v>3093</v>
      </c>
      <c r="E7413" s="161" t="s">
        <v>102</v>
      </c>
      <c r="F7413" s="163" t="s">
        <v>3093</v>
      </c>
      <c r="G7413" s="163">
        <v>13.5</v>
      </c>
      <c r="H7413" s="161" t="s">
        <v>7138</v>
      </c>
      <c r="I7413" s="161"/>
    </row>
    <row r="7414" spans="1:9">
      <c r="A7414" s="161">
        <v>912000021</v>
      </c>
      <c r="B7414" s="161" t="s">
        <v>8104</v>
      </c>
      <c r="C7414" s="161">
        <v>90110046</v>
      </c>
      <c r="D7414" s="161" t="s">
        <v>3093</v>
      </c>
      <c r="E7414" s="161" t="s">
        <v>102</v>
      </c>
      <c r="F7414" s="163" t="s">
        <v>3093</v>
      </c>
      <c r="G7414" s="163">
        <v>5.57</v>
      </c>
      <c r="H7414" s="161" t="s">
        <v>7138</v>
      </c>
      <c r="I7414" s="161"/>
    </row>
    <row r="7415" spans="1:9">
      <c r="A7415" s="161">
        <v>912000022</v>
      </c>
      <c r="B7415" s="161" t="s">
        <v>8105</v>
      </c>
      <c r="C7415" s="161">
        <v>90114009</v>
      </c>
      <c r="D7415" s="161" t="s">
        <v>3093</v>
      </c>
      <c r="E7415" s="161" t="s">
        <v>102</v>
      </c>
      <c r="F7415" s="163" t="s">
        <v>3093</v>
      </c>
      <c r="G7415" s="163">
        <v>0</v>
      </c>
      <c r="H7415" s="161" t="s">
        <v>7138</v>
      </c>
      <c r="I7415" s="161"/>
    </row>
    <row r="7416" spans="1:9">
      <c r="A7416" s="161">
        <v>912000023</v>
      </c>
      <c r="B7416" s="161" t="s">
        <v>8106</v>
      </c>
      <c r="C7416" s="161">
        <v>90114010</v>
      </c>
      <c r="D7416" s="161" t="s">
        <v>3093</v>
      </c>
      <c r="E7416" s="161" t="s">
        <v>102</v>
      </c>
      <c r="F7416" s="163" t="s">
        <v>3093</v>
      </c>
      <c r="G7416" s="163">
        <v>0</v>
      </c>
      <c r="H7416" s="161" t="s">
        <v>7138</v>
      </c>
      <c r="I7416" s="161"/>
    </row>
    <row r="7417" spans="1:9">
      <c r="A7417" s="161">
        <v>912000024</v>
      </c>
      <c r="B7417" s="161" t="s">
        <v>8107</v>
      </c>
      <c r="C7417" s="161">
        <v>90114006</v>
      </c>
      <c r="D7417" s="161" t="s">
        <v>3093</v>
      </c>
      <c r="E7417" s="161" t="s">
        <v>102</v>
      </c>
      <c r="F7417" s="163" t="s">
        <v>3093</v>
      </c>
      <c r="G7417" s="163">
        <v>0</v>
      </c>
      <c r="H7417" s="161" t="s">
        <v>7138</v>
      </c>
      <c r="I7417" s="161"/>
    </row>
    <row r="7418" spans="1:9">
      <c r="A7418" s="161">
        <v>912000025</v>
      </c>
      <c r="B7418" s="161" t="s">
        <v>8108</v>
      </c>
      <c r="C7418" s="161">
        <v>90114008</v>
      </c>
      <c r="D7418" s="161" t="s">
        <v>3093</v>
      </c>
      <c r="E7418" s="161" t="s">
        <v>102</v>
      </c>
      <c r="F7418" s="163" t="s">
        <v>3093</v>
      </c>
      <c r="G7418" s="163">
        <v>0</v>
      </c>
      <c r="H7418" s="161" t="s">
        <v>7138</v>
      </c>
      <c r="I7418" s="161"/>
    </row>
    <row r="7419" spans="1:9">
      <c r="A7419" s="161">
        <v>912000037</v>
      </c>
      <c r="B7419" s="161" t="s">
        <v>8109</v>
      </c>
      <c r="C7419" s="161"/>
      <c r="D7419" s="161" t="s">
        <v>3093</v>
      </c>
      <c r="E7419" s="161" t="s">
        <v>102</v>
      </c>
      <c r="F7419" s="163" t="s">
        <v>3093</v>
      </c>
      <c r="G7419" s="163">
        <v>0</v>
      </c>
      <c r="H7419" s="161" t="s">
        <v>7138</v>
      </c>
      <c r="I7419" s="161"/>
    </row>
    <row r="7420" spans="1:9">
      <c r="A7420" s="161">
        <v>170100036</v>
      </c>
      <c r="B7420" s="161" t="s">
        <v>8110</v>
      </c>
      <c r="C7420" s="161">
        <v>150121011</v>
      </c>
      <c r="D7420" s="161" t="s">
        <v>8129</v>
      </c>
      <c r="E7420" s="161" t="s">
        <v>102</v>
      </c>
      <c r="F7420" s="163"/>
      <c r="G7420" s="163">
        <v>2.5099999999999998</v>
      </c>
      <c r="H7420" s="161" t="s">
        <v>7138</v>
      </c>
      <c r="I7420" s="161"/>
    </row>
    <row r="7421" spans="1:9">
      <c r="A7421" s="161">
        <v>170400002</v>
      </c>
      <c r="B7421" s="161" t="s">
        <v>8111</v>
      </c>
      <c r="C7421" s="161">
        <v>150116002</v>
      </c>
      <c r="D7421" s="161" t="s">
        <v>8129</v>
      </c>
      <c r="E7421" s="161" t="s">
        <v>1620</v>
      </c>
      <c r="F7421" s="163"/>
      <c r="G7421" s="163">
        <v>0.91</v>
      </c>
      <c r="H7421" s="161" t="s">
        <v>7138</v>
      </c>
      <c r="I7421" s="161"/>
    </row>
    <row r="7422" spans="1:9">
      <c r="A7422" s="161">
        <v>130100001</v>
      </c>
      <c r="B7422" s="161" t="s">
        <v>8130</v>
      </c>
      <c r="C7422" s="161"/>
      <c r="D7422" s="161"/>
      <c r="E7422" s="161" t="s">
        <v>8577</v>
      </c>
      <c r="F7422" s="163"/>
      <c r="G7422" s="163"/>
      <c r="H7422" s="161"/>
      <c r="I7422" s="161"/>
    </row>
    <row r="7423" spans="1:9">
      <c r="A7423" s="161">
        <v>130100002</v>
      </c>
      <c r="B7423" s="161" t="s">
        <v>8131</v>
      </c>
      <c r="C7423" s="161"/>
      <c r="D7423" s="161"/>
      <c r="E7423" s="161" t="s">
        <v>8577</v>
      </c>
      <c r="F7423" s="163"/>
      <c r="G7423" s="163"/>
      <c r="H7423" s="161"/>
      <c r="I7423" s="161"/>
    </row>
    <row r="7424" spans="1:9">
      <c r="A7424" s="161">
        <v>130100003</v>
      </c>
      <c r="B7424" s="161" t="s">
        <v>2523</v>
      </c>
      <c r="C7424" s="161"/>
      <c r="D7424" s="161"/>
      <c r="E7424" s="161" t="s">
        <v>1620</v>
      </c>
      <c r="F7424" s="163"/>
      <c r="G7424" s="163"/>
      <c r="H7424" s="161"/>
      <c r="I7424" s="161"/>
    </row>
    <row r="7425" spans="1:9">
      <c r="A7425" s="161">
        <v>130100004</v>
      </c>
      <c r="B7425" s="161" t="s">
        <v>8132</v>
      </c>
      <c r="C7425" s="161"/>
      <c r="D7425" s="161"/>
      <c r="E7425" s="161" t="s">
        <v>8577</v>
      </c>
      <c r="F7425" s="163"/>
      <c r="G7425" s="163"/>
      <c r="H7425" s="161"/>
      <c r="I7425" s="161"/>
    </row>
    <row r="7426" spans="1:9">
      <c r="A7426" s="161">
        <v>130100005</v>
      </c>
      <c r="B7426" s="161" t="s">
        <v>8133</v>
      </c>
      <c r="C7426" s="161"/>
      <c r="D7426" s="161"/>
      <c r="E7426" s="161" t="s">
        <v>8577</v>
      </c>
      <c r="F7426" s="163"/>
      <c r="G7426" s="163"/>
      <c r="H7426" s="161"/>
      <c r="I7426" s="161"/>
    </row>
    <row r="7427" spans="1:9">
      <c r="A7427" s="161">
        <v>130100006</v>
      </c>
      <c r="B7427" s="161" t="s">
        <v>8134</v>
      </c>
      <c r="C7427" s="161"/>
      <c r="D7427" s="161"/>
      <c r="E7427" s="161" t="s">
        <v>8577</v>
      </c>
      <c r="F7427" s="163"/>
      <c r="G7427" s="163"/>
      <c r="H7427" s="161"/>
      <c r="I7427" s="161"/>
    </row>
    <row r="7428" spans="1:9">
      <c r="A7428" s="161">
        <v>130100007</v>
      </c>
      <c r="B7428" s="161" t="s">
        <v>2524</v>
      </c>
      <c r="C7428" s="161"/>
      <c r="D7428" s="161"/>
      <c r="E7428" s="161" t="s">
        <v>8577</v>
      </c>
      <c r="F7428" s="163"/>
      <c r="G7428" s="163"/>
      <c r="H7428" s="161"/>
      <c r="I7428" s="161"/>
    </row>
    <row r="7429" spans="1:9">
      <c r="A7429" s="161">
        <v>130100008</v>
      </c>
      <c r="B7429" s="161" t="s">
        <v>8135</v>
      </c>
      <c r="C7429" s="161"/>
      <c r="D7429" s="161"/>
      <c r="E7429" s="161" t="s">
        <v>8577</v>
      </c>
      <c r="F7429" s="163"/>
      <c r="G7429" s="163"/>
      <c r="H7429" s="161"/>
      <c r="I7429" s="161"/>
    </row>
    <row r="7430" spans="1:9">
      <c r="A7430" s="161">
        <v>130100010</v>
      </c>
      <c r="B7430" s="161" t="s">
        <v>1920</v>
      </c>
      <c r="C7430" s="161"/>
      <c r="D7430" s="161"/>
      <c r="E7430" s="161" t="s">
        <v>8577</v>
      </c>
      <c r="F7430" s="163"/>
      <c r="G7430" s="163"/>
      <c r="H7430" s="161"/>
      <c r="I7430" s="161"/>
    </row>
    <row r="7431" spans="1:9">
      <c r="A7431" s="161">
        <v>130100011</v>
      </c>
      <c r="B7431" s="161" t="s">
        <v>8136</v>
      </c>
      <c r="C7431" s="161"/>
      <c r="D7431" s="161"/>
      <c r="E7431" s="161" t="s">
        <v>8577</v>
      </c>
      <c r="F7431" s="163"/>
      <c r="G7431" s="163"/>
      <c r="H7431" s="161"/>
      <c r="I7431" s="161"/>
    </row>
    <row r="7432" spans="1:9">
      <c r="A7432" s="161">
        <v>130100014</v>
      </c>
      <c r="B7432" s="161" t="s">
        <v>8137</v>
      </c>
      <c r="C7432" s="161"/>
      <c r="D7432" s="161"/>
      <c r="E7432" s="161" t="s">
        <v>8577</v>
      </c>
      <c r="F7432" s="163"/>
      <c r="G7432" s="163"/>
      <c r="H7432" s="161"/>
      <c r="I7432" s="161"/>
    </row>
    <row r="7433" spans="1:9">
      <c r="A7433" s="161">
        <v>130100016</v>
      </c>
      <c r="B7433" s="161" t="s">
        <v>8138</v>
      </c>
      <c r="C7433" s="161"/>
      <c r="D7433" s="161"/>
      <c r="E7433" s="161" t="s">
        <v>8577</v>
      </c>
      <c r="F7433" s="163"/>
      <c r="G7433" s="163"/>
      <c r="H7433" s="161"/>
      <c r="I7433" s="161"/>
    </row>
    <row r="7434" spans="1:9">
      <c r="A7434" s="161">
        <v>130100017</v>
      </c>
      <c r="B7434" s="161" t="s">
        <v>8139</v>
      </c>
      <c r="C7434" s="161"/>
      <c r="D7434" s="161"/>
      <c r="E7434" s="161" t="s">
        <v>8577</v>
      </c>
      <c r="F7434" s="163"/>
      <c r="G7434" s="163"/>
      <c r="H7434" s="161"/>
      <c r="I7434" s="161"/>
    </row>
    <row r="7435" spans="1:9">
      <c r="A7435" s="161">
        <v>130100018</v>
      </c>
      <c r="B7435" s="161" t="s">
        <v>2525</v>
      </c>
      <c r="C7435" s="161"/>
      <c r="D7435" s="161"/>
      <c r="E7435" s="161" t="s">
        <v>8577</v>
      </c>
      <c r="F7435" s="163"/>
      <c r="G7435" s="163"/>
      <c r="H7435" s="161"/>
      <c r="I7435" s="161"/>
    </row>
    <row r="7436" spans="1:9">
      <c r="A7436" s="161">
        <v>130100019</v>
      </c>
      <c r="B7436" s="161" t="s">
        <v>1844</v>
      </c>
      <c r="C7436" s="161"/>
      <c r="D7436" s="161"/>
      <c r="E7436" s="161" t="s">
        <v>8577</v>
      </c>
      <c r="F7436" s="163"/>
      <c r="G7436" s="163"/>
      <c r="H7436" s="161"/>
      <c r="I7436" s="161"/>
    </row>
    <row r="7437" spans="1:9">
      <c r="A7437" s="161">
        <v>130100020</v>
      </c>
      <c r="B7437" s="161" t="s">
        <v>8140</v>
      </c>
      <c r="C7437" s="161"/>
      <c r="D7437" s="161"/>
      <c r="E7437" s="161" t="s">
        <v>8577</v>
      </c>
      <c r="F7437" s="163"/>
      <c r="G7437" s="163"/>
      <c r="H7437" s="161"/>
      <c r="I7437" s="161"/>
    </row>
    <row r="7438" spans="1:9">
      <c r="A7438" s="161">
        <v>130100022</v>
      </c>
      <c r="B7438" s="161" t="s">
        <v>1845</v>
      </c>
      <c r="C7438" s="161"/>
      <c r="D7438" s="161"/>
      <c r="E7438" s="161" t="s">
        <v>8577</v>
      </c>
      <c r="F7438" s="163"/>
      <c r="G7438" s="163"/>
      <c r="H7438" s="161"/>
      <c r="I7438" s="161"/>
    </row>
    <row r="7439" spans="1:9">
      <c r="A7439" s="161">
        <v>130100023</v>
      </c>
      <c r="B7439" s="161" t="s">
        <v>8141</v>
      </c>
      <c r="C7439" s="161"/>
      <c r="D7439" s="161"/>
      <c r="E7439" s="161" t="s">
        <v>8577</v>
      </c>
      <c r="F7439" s="163"/>
      <c r="G7439" s="163"/>
      <c r="H7439" s="161"/>
      <c r="I7439" s="161"/>
    </row>
    <row r="7440" spans="1:9">
      <c r="A7440" s="161">
        <v>130100024</v>
      </c>
      <c r="B7440" s="161" t="s">
        <v>8142</v>
      </c>
      <c r="C7440" s="161"/>
      <c r="D7440" s="161"/>
      <c r="E7440" s="161" t="s">
        <v>8577</v>
      </c>
      <c r="F7440" s="163"/>
      <c r="G7440" s="163"/>
      <c r="H7440" s="161"/>
      <c r="I7440" s="161"/>
    </row>
    <row r="7441" spans="1:9">
      <c r="A7441" s="161">
        <v>130100025</v>
      </c>
      <c r="B7441" s="161" t="s">
        <v>8143</v>
      </c>
      <c r="C7441" s="161"/>
      <c r="D7441" s="161"/>
      <c r="E7441" s="161" t="s">
        <v>8116</v>
      </c>
      <c r="F7441" s="163"/>
      <c r="G7441" s="163"/>
      <c r="H7441" s="161"/>
      <c r="I7441" s="161"/>
    </row>
    <row r="7442" spans="1:9">
      <c r="A7442" s="161">
        <v>130100027</v>
      </c>
      <c r="B7442" s="161" t="s">
        <v>1846</v>
      </c>
      <c r="C7442" s="161"/>
      <c r="D7442" s="161"/>
      <c r="E7442" s="161" t="s">
        <v>8117</v>
      </c>
      <c r="F7442" s="163"/>
      <c r="G7442" s="163"/>
      <c r="H7442" s="161"/>
      <c r="I7442" s="161"/>
    </row>
    <row r="7443" spans="1:9">
      <c r="A7443" s="161">
        <v>130100028</v>
      </c>
      <c r="B7443" s="161" t="s">
        <v>1847</v>
      </c>
      <c r="C7443" s="161"/>
      <c r="D7443" s="161"/>
      <c r="E7443" s="161" t="s">
        <v>8117</v>
      </c>
      <c r="F7443" s="163"/>
      <c r="G7443" s="163"/>
      <c r="H7443" s="161"/>
      <c r="I7443" s="161"/>
    </row>
    <row r="7444" spans="1:9">
      <c r="A7444" s="161">
        <v>130100030</v>
      </c>
      <c r="B7444" s="161" t="s">
        <v>2087</v>
      </c>
      <c r="C7444" s="161"/>
      <c r="D7444" s="161"/>
      <c r="E7444" s="161" t="s">
        <v>1620</v>
      </c>
      <c r="F7444" s="163"/>
      <c r="G7444" s="163"/>
      <c r="H7444" s="161"/>
      <c r="I7444" s="161"/>
    </row>
    <row r="7445" spans="1:9">
      <c r="A7445" s="161">
        <v>130100031</v>
      </c>
      <c r="B7445" s="161" t="s">
        <v>8144</v>
      </c>
      <c r="C7445" s="161"/>
      <c r="D7445" s="161"/>
      <c r="E7445" s="161" t="s">
        <v>1620</v>
      </c>
      <c r="F7445" s="163"/>
      <c r="G7445" s="163"/>
      <c r="H7445" s="161"/>
      <c r="I7445" s="161"/>
    </row>
    <row r="7446" spans="1:9">
      <c r="A7446" s="161">
        <v>130100033</v>
      </c>
      <c r="B7446" s="161" t="s">
        <v>8145</v>
      </c>
      <c r="C7446" s="161"/>
      <c r="D7446" s="161"/>
      <c r="E7446" s="161" t="s">
        <v>8116</v>
      </c>
      <c r="F7446" s="163"/>
      <c r="G7446" s="163"/>
      <c r="H7446" s="161"/>
      <c r="I7446" s="161"/>
    </row>
    <row r="7447" spans="1:9">
      <c r="A7447" s="161">
        <v>130100035</v>
      </c>
      <c r="B7447" s="161" t="s">
        <v>1958</v>
      </c>
      <c r="C7447" s="161"/>
      <c r="D7447" s="161"/>
      <c r="E7447" s="161" t="s">
        <v>8116</v>
      </c>
      <c r="F7447" s="163"/>
      <c r="G7447" s="163"/>
      <c r="H7447" s="161"/>
      <c r="I7447" s="161"/>
    </row>
    <row r="7448" spans="1:9">
      <c r="A7448" s="161">
        <v>130100036</v>
      </c>
      <c r="B7448" s="161" t="s">
        <v>8146</v>
      </c>
      <c r="C7448" s="161"/>
      <c r="D7448" s="161"/>
      <c r="E7448" s="161" t="s">
        <v>8116</v>
      </c>
      <c r="F7448" s="163"/>
      <c r="G7448" s="163"/>
      <c r="H7448" s="161"/>
      <c r="I7448" s="161"/>
    </row>
    <row r="7449" spans="1:9">
      <c r="A7449" s="161">
        <v>130100038</v>
      </c>
      <c r="B7449" s="161" t="s">
        <v>8147</v>
      </c>
      <c r="C7449" s="161"/>
      <c r="D7449" s="161"/>
      <c r="E7449" s="161" t="s">
        <v>8577</v>
      </c>
      <c r="F7449" s="163"/>
      <c r="G7449" s="163"/>
      <c r="H7449" s="161"/>
      <c r="I7449" s="161"/>
    </row>
    <row r="7450" spans="1:9">
      <c r="A7450" s="161">
        <v>130100040</v>
      </c>
      <c r="B7450" s="161" t="s">
        <v>8148</v>
      </c>
      <c r="C7450" s="161"/>
      <c r="D7450" s="161"/>
      <c r="E7450" s="161" t="s">
        <v>8577</v>
      </c>
      <c r="F7450" s="163"/>
      <c r="G7450" s="163"/>
      <c r="H7450" s="161"/>
      <c r="I7450" s="161"/>
    </row>
    <row r="7451" spans="1:9">
      <c r="A7451" s="161">
        <v>130100041</v>
      </c>
      <c r="B7451" s="161" t="s">
        <v>8149</v>
      </c>
      <c r="C7451" s="161"/>
      <c r="D7451" s="161"/>
      <c r="E7451" s="161" t="s">
        <v>8577</v>
      </c>
      <c r="F7451" s="163"/>
      <c r="G7451" s="163"/>
      <c r="H7451" s="161"/>
      <c r="I7451" s="161"/>
    </row>
    <row r="7452" spans="1:9">
      <c r="A7452" s="161">
        <v>130100042</v>
      </c>
      <c r="B7452" s="161" t="s">
        <v>8150</v>
      </c>
      <c r="C7452" s="161"/>
      <c r="D7452" s="161"/>
      <c r="E7452" s="161" t="s">
        <v>8577</v>
      </c>
      <c r="F7452" s="163"/>
      <c r="G7452" s="163"/>
      <c r="H7452" s="161"/>
      <c r="I7452" s="161"/>
    </row>
    <row r="7453" spans="1:9">
      <c r="A7453" s="161">
        <v>130100043</v>
      </c>
      <c r="B7453" s="161" t="s">
        <v>2526</v>
      </c>
      <c r="C7453" s="161"/>
      <c r="D7453" s="161"/>
      <c r="E7453" s="161" t="s">
        <v>8577</v>
      </c>
      <c r="F7453" s="163"/>
      <c r="G7453" s="163"/>
      <c r="H7453" s="161"/>
      <c r="I7453" s="161"/>
    </row>
    <row r="7454" spans="1:9">
      <c r="A7454" s="161">
        <v>130100044</v>
      </c>
      <c r="B7454" s="161" t="s">
        <v>8151</v>
      </c>
      <c r="C7454" s="161"/>
      <c r="D7454" s="161"/>
      <c r="E7454" s="161" t="s">
        <v>8577</v>
      </c>
      <c r="F7454" s="163"/>
      <c r="G7454" s="163"/>
      <c r="H7454" s="161"/>
      <c r="I7454" s="161"/>
    </row>
    <row r="7455" spans="1:9">
      <c r="A7455" s="161">
        <v>130100045</v>
      </c>
      <c r="B7455" s="161" t="s">
        <v>2527</v>
      </c>
      <c r="C7455" s="161"/>
      <c r="D7455" s="161"/>
      <c r="E7455" s="161" t="s">
        <v>1620</v>
      </c>
      <c r="F7455" s="163"/>
      <c r="G7455" s="163"/>
      <c r="H7455" s="161"/>
      <c r="I7455" s="161"/>
    </row>
    <row r="7456" spans="1:9">
      <c r="A7456" s="161">
        <v>130100046</v>
      </c>
      <c r="B7456" s="161" t="s">
        <v>8152</v>
      </c>
      <c r="C7456" s="161"/>
      <c r="D7456" s="161"/>
      <c r="E7456" s="161" t="s">
        <v>8577</v>
      </c>
      <c r="F7456" s="163"/>
      <c r="G7456" s="163"/>
      <c r="H7456" s="161"/>
      <c r="I7456" s="161"/>
    </row>
    <row r="7457" spans="1:9">
      <c r="A7457" s="161">
        <v>130100047</v>
      </c>
      <c r="B7457" s="161" t="s">
        <v>8153</v>
      </c>
      <c r="C7457" s="161"/>
      <c r="D7457" s="161"/>
      <c r="E7457" s="161" t="s">
        <v>8577</v>
      </c>
      <c r="F7457" s="163"/>
      <c r="G7457" s="163"/>
      <c r="H7457" s="161"/>
      <c r="I7457" s="161"/>
    </row>
    <row r="7458" spans="1:9">
      <c r="A7458" s="161">
        <v>130100048</v>
      </c>
      <c r="B7458" s="161" t="s">
        <v>8154</v>
      </c>
      <c r="C7458" s="161"/>
      <c r="D7458" s="161"/>
      <c r="E7458" s="161" t="s">
        <v>8116</v>
      </c>
      <c r="F7458" s="163"/>
      <c r="G7458" s="163"/>
      <c r="H7458" s="161"/>
      <c r="I7458" s="161"/>
    </row>
    <row r="7459" spans="1:9">
      <c r="A7459" s="161">
        <v>130100049</v>
      </c>
      <c r="B7459" s="161" t="s">
        <v>1980</v>
      </c>
      <c r="C7459" s="161"/>
      <c r="D7459" s="161"/>
      <c r="E7459" s="161" t="s">
        <v>8577</v>
      </c>
      <c r="F7459" s="163"/>
      <c r="G7459" s="163"/>
      <c r="H7459" s="161"/>
      <c r="I7459" s="161"/>
    </row>
    <row r="7460" spans="1:9">
      <c r="A7460" s="161">
        <v>130100050</v>
      </c>
      <c r="B7460" s="161" t="s">
        <v>8155</v>
      </c>
      <c r="C7460" s="161"/>
      <c r="D7460" s="161"/>
      <c r="E7460" s="161" t="s">
        <v>8577</v>
      </c>
      <c r="F7460" s="163"/>
      <c r="G7460" s="163"/>
      <c r="H7460" s="161"/>
      <c r="I7460" s="161"/>
    </row>
    <row r="7461" spans="1:9">
      <c r="A7461" s="161">
        <v>130100051</v>
      </c>
      <c r="B7461" s="161" t="s">
        <v>1914</v>
      </c>
      <c r="C7461" s="161"/>
      <c r="D7461" s="161"/>
      <c r="E7461" s="161" t="s">
        <v>8577</v>
      </c>
      <c r="F7461" s="163"/>
      <c r="G7461" s="163"/>
      <c r="H7461" s="161"/>
      <c r="I7461" s="161"/>
    </row>
    <row r="7462" spans="1:9">
      <c r="A7462" s="161">
        <v>130100052</v>
      </c>
      <c r="B7462" s="161" t="s">
        <v>8156</v>
      </c>
      <c r="C7462" s="161"/>
      <c r="D7462" s="161"/>
      <c r="E7462" s="161" t="s">
        <v>8577</v>
      </c>
      <c r="F7462" s="163"/>
      <c r="G7462" s="163"/>
      <c r="H7462" s="161"/>
      <c r="I7462" s="161"/>
    </row>
    <row r="7463" spans="1:9">
      <c r="A7463" s="161">
        <v>130100053</v>
      </c>
      <c r="B7463" s="161" t="s">
        <v>8157</v>
      </c>
      <c r="C7463" s="161"/>
      <c r="D7463" s="161"/>
      <c r="E7463" s="161" t="s">
        <v>8116</v>
      </c>
      <c r="F7463" s="163"/>
      <c r="G7463" s="163"/>
      <c r="H7463" s="161"/>
      <c r="I7463" s="161"/>
    </row>
    <row r="7464" spans="1:9">
      <c r="A7464" s="161">
        <v>130100054</v>
      </c>
      <c r="B7464" s="161" t="s">
        <v>8158</v>
      </c>
      <c r="C7464" s="161"/>
      <c r="D7464" s="161"/>
      <c r="E7464" s="161" t="s">
        <v>8577</v>
      </c>
      <c r="F7464" s="163"/>
      <c r="G7464" s="163"/>
      <c r="H7464" s="161"/>
      <c r="I7464" s="161"/>
    </row>
    <row r="7465" spans="1:9">
      <c r="A7465" s="161">
        <v>130100058</v>
      </c>
      <c r="B7465" s="161" t="s">
        <v>8159</v>
      </c>
      <c r="C7465" s="161"/>
      <c r="D7465" s="161"/>
      <c r="E7465" s="161" t="s">
        <v>8577</v>
      </c>
      <c r="F7465" s="163"/>
      <c r="G7465" s="163"/>
      <c r="H7465" s="161"/>
      <c r="I7465" s="161"/>
    </row>
    <row r="7466" spans="1:9">
      <c r="A7466" s="161">
        <v>130100059</v>
      </c>
      <c r="B7466" s="161" t="s">
        <v>8160</v>
      </c>
      <c r="C7466" s="161"/>
      <c r="D7466" s="161"/>
      <c r="E7466" s="161" t="s">
        <v>8577</v>
      </c>
      <c r="F7466" s="163"/>
      <c r="G7466" s="163"/>
      <c r="H7466" s="161"/>
      <c r="I7466" s="161"/>
    </row>
    <row r="7467" spans="1:9">
      <c r="A7467" s="161">
        <v>130100060</v>
      </c>
      <c r="B7467" s="161" t="s">
        <v>8161</v>
      </c>
      <c r="C7467" s="161"/>
      <c r="D7467" s="161"/>
      <c r="E7467" s="161" t="s">
        <v>8577</v>
      </c>
      <c r="F7467" s="163"/>
      <c r="G7467" s="163"/>
      <c r="H7467" s="161"/>
      <c r="I7467" s="161"/>
    </row>
    <row r="7468" spans="1:9">
      <c r="A7468" s="161">
        <v>130100061</v>
      </c>
      <c r="B7468" s="161" t="s">
        <v>8162</v>
      </c>
      <c r="C7468" s="161"/>
      <c r="D7468" s="161"/>
      <c r="E7468" s="161" t="s">
        <v>8577</v>
      </c>
      <c r="F7468" s="163"/>
      <c r="G7468" s="163"/>
      <c r="H7468" s="161"/>
      <c r="I7468" s="161"/>
    </row>
    <row r="7469" spans="1:9">
      <c r="A7469" s="161">
        <v>130100063</v>
      </c>
      <c r="B7469" s="161" t="s">
        <v>8163</v>
      </c>
      <c r="C7469" s="161"/>
      <c r="D7469" s="161"/>
      <c r="E7469" s="161" t="s">
        <v>8577</v>
      </c>
      <c r="F7469" s="163"/>
      <c r="G7469" s="163"/>
      <c r="H7469" s="161"/>
      <c r="I7469" s="161"/>
    </row>
    <row r="7470" spans="1:9">
      <c r="A7470" s="161">
        <v>130100065</v>
      </c>
      <c r="B7470" s="161" t="s">
        <v>8164</v>
      </c>
      <c r="C7470" s="161"/>
      <c r="D7470" s="161"/>
      <c r="E7470" s="161" t="s">
        <v>102</v>
      </c>
      <c r="F7470" s="163"/>
      <c r="G7470" s="163"/>
      <c r="H7470" s="161"/>
      <c r="I7470" s="161"/>
    </row>
    <row r="7471" spans="1:9">
      <c r="A7471" s="161">
        <v>130100066</v>
      </c>
      <c r="B7471" s="161" t="s">
        <v>8165</v>
      </c>
      <c r="C7471" s="161"/>
      <c r="D7471" s="161"/>
      <c r="E7471" s="161" t="s">
        <v>8577</v>
      </c>
      <c r="F7471" s="163"/>
      <c r="G7471" s="163"/>
      <c r="H7471" s="161"/>
      <c r="I7471" s="161"/>
    </row>
    <row r="7472" spans="1:9">
      <c r="A7472" s="161">
        <v>130100067</v>
      </c>
      <c r="B7472" s="161" t="s">
        <v>8166</v>
      </c>
      <c r="C7472" s="161"/>
      <c r="D7472" s="161"/>
      <c r="E7472" s="161" t="s">
        <v>8577</v>
      </c>
      <c r="F7472" s="163"/>
      <c r="G7472" s="163"/>
      <c r="H7472" s="161"/>
      <c r="I7472" s="161"/>
    </row>
    <row r="7473" spans="1:9">
      <c r="A7473" s="161">
        <v>130100068</v>
      </c>
      <c r="B7473" s="161" t="s">
        <v>2189</v>
      </c>
      <c r="C7473" s="161"/>
      <c r="D7473" s="161"/>
      <c r="E7473" s="161" t="s">
        <v>8577</v>
      </c>
      <c r="F7473" s="163"/>
      <c r="G7473" s="163"/>
      <c r="H7473" s="161"/>
      <c r="I7473" s="161"/>
    </row>
    <row r="7474" spans="1:9">
      <c r="A7474" s="161">
        <v>130100069</v>
      </c>
      <c r="B7474" s="161" t="s">
        <v>2004</v>
      </c>
      <c r="C7474" s="161"/>
      <c r="D7474" s="161"/>
      <c r="E7474" s="161" t="s">
        <v>8577</v>
      </c>
      <c r="F7474" s="163"/>
      <c r="G7474" s="163"/>
      <c r="H7474" s="161"/>
      <c r="I7474" s="161"/>
    </row>
    <row r="7475" spans="1:9">
      <c r="A7475" s="161">
        <v>130100073</v>
      </c>
      <c r="B7475" s="161" t="s">
        <v>8167</v>
      </c>
      <c r="C7475" s="161"/>
      <c r="D7475" s="161"/>
      <c r="E7475" s="161" t="s">
        <v>8577</v>
      </c>
      <c r="F7475" s="163"/>
      <c r="G7475" s="163"/>
      <c r="H7475" s="161"/>
      <c r="I7475" s="161"/>
    </row>
    <row r="7476" spans="1:9">
      <c r="A7476" s="161">
        <v>130100074</v>
      </c>
      <c r="B7476" s="161" t="s">
        <v>8168</v>
      </c>
      <c r="C7476" s="161"/>
      <c r="D7476" s="161"/>
      <c r="E7476" s="161" t="s">
        <v>8577</v>
      </c>
      <c r="F7476" s="163"/>
      <c r="G7476" s="163"/>
      <c r="H7476" s="161"/>
      <c r="I7476" s="161"/>
    </row>
    <row r="7477" spans="1:9">
      <c r="A7477" s="161">
        <v>130100075</v>
      </c>
      <c r="B7477" s="161" t="s">
        <v>1930</v>
      </c>
      <c r="C7477" s="161"/>
      <c r="D7477" s="161"/>
      <c r="E7477" s="161" t="s">
        <v>8577</v>
      </c>
      <c r="F7477" s="163"/>
      <c r="G7477" s="163"/>
      <c r="H7477" s="161"/>
      <c r="I7477" s="161"/>
    </row>
    <row r="7478" spans="1:9">
      <c r="A7478" s="161">
        <v>130100077</v>
      </c>
      <c r="B7478" s="161" t="s">
        <v>1932</v>
      </c>
      <c r="C7478" s="161"/>
      <c r="D7478" s="161"/>
      <c r="E7478" s="161" t="s">
        <v>8577</v>
      </c>
      <c r="F7478" s="163"/>
      <c r="G7478" s="163"/>
      <c r="H7478" s="161"/>
      <c r="I7478" s="161"/>
    </row>
    <row r="7479" spans="1:9">
      <c r="A7479" s="161">
        <v>130100078</v>
      </c>
      <c r="B7479" s="161" t="s">
        <v>8169</v>
      </c>
      <c r="C7479" s="161"/>
      <c r="D7479" s="161"/>
      <c r="E7479" s="161" t="s">
        <v>8577</v>
      </c>
      <c r="F7479" s="163"/>
      <c r="G7479" s="163"/>
      <c r="H7479" s="161"/>
      <c r="I7479" s="161"/>
    </row>
    <row r="7480" spans="1:9">
      <c r="A7480" s="161">
        <v>130100079</v>
      </c>
      <c r="B7480" s="161" t="s">
        <v>1856</v>
      </c>
      <c r="C7480" s="161"/>
      <c r="D7480" s="161"/>
      <c r="E7480" s="161" t="s">
        <v>8577</v>
      </c>
      <c r="F7480" s="163"/>
      <c r="G7480" s="163"/>
      <c r="H7480" s="161"/>
      <c r="I7480" s="161"/>
    </row>
    <row r="7481" spans="1:9">
      <c r="A7481" s="161">
        <v>130100081</v>
      </c>
      <c r="B7481" s="161" t="s">
        <v>1853</v>
      </c>
      <c r="C7481" s="161"/>
      <c r="D7481" s="161"/>
      <c r="E7481" s="161" t="s">
        <v>8577</v>
      </c>
      <c r="F7481" s="163"/>
      <c r="G7481" s="163"/>
      <c r="H7481" s="161"/>
      <c r="I7481" s="161"/>
    </row>
    <row r="7482" spans="1:9">
      <c r="A7482" s="161">
        <v>130100084</v>
      </c>
      <c r="B7482" s="161" t="s">
        <v>8170</v>
      </c>
      <c r="C7482" s="161"/>
      <c r="D7482" s="161"/>
      <c r="E7482" s="161" t="s">
        <v>8116</v>
      </c>
      <c r="F7482" s="163"/>
      <c r="G7482" s="163"/>
      <c r="H7482" s="161"/>
      <c r="I7482" s="161"/>
    </row>
    <row r="7483" spans="1:9">
      <c r="A7483" s="161">
        <v>130100085</v>
      </c>
      <c r="B7483" s="161" t="s">
        <v>8171</v>
      </c>
      <c r="C7483" s="161"/>
      <c r="D7483" s="161"/>
      <c r="E7483" s="161" t="s">
        <v>8116</v>
      </c>
      <c r="F7483" s="163"/>
      <c r="G7483" s="163"/>
      <c r="H7483" s="161"/>
      <c r="I7483" s="161"/>
    </row>
    <row r="7484" spans="1:9">
      <c r="A7484" s="161">
        <v>130100086</v>
      </c>
      <c r="B7484" s="161" t="s">
        <v>8172</v>
      </c>
      <c r="C7484" s="161"/>
      <c r="D7484" s="161"/>
      <c r="E7484" s="161" t="s">
        <v>8577</v>
      </c>
      <c r="F7484" s="163"/>
      <c r="G7484" s="163"/>
      <c r="H7484" s="161"/>
      <c r="I7484" s="161"/>
    </row>
    <row r="7485" spans="1:9">
      <c r="A7485" s="161">
        <v>130100087</v>
      </c>
      <c r="B7485" s="161" t="s">
        <v>8173</v>
      </c>
      <c r="C7485" s="161"/>
      <c r="D7485" s="161"/>
      <c r="E7485" s="161" t="s">
        <v>8577</v>
      </c>
      <c r="F7485" s="163"/>
      <c r="G7485" s="163"/>
      <c r="H7485" s="161"/>
      <c r="I7485" s="161"/>
    </row>
    <row r="7486" spans="1:9">
      <c r="A7486" s="161">
        <v>130100088</v>
      </c>
      <c r="B7486" s="161" t="s">
        <v>8174</v>
      </c>
      <c r="C7486" s="161"/>
      <c r="D7486" s="161"/>
      <c r="E7486" s="161" t="s">
        <v>8577</v>
      </c>
      <c r="F7486" s="163"/>
      <c r="G7486" s="163"/>
      <c r="H7486" s="161"/>
      <c r="I7486" s="161"/>
    </row>
    <row r="7487" spans="1:9">
      <c r="A7487" s="161">
        <v>130100089</v>
      </c>
      <c r="B7487" s="161" t="s">
        <v>2528</v>
      </c>
      <c r="C7487" s="161"/>
      <c r="D7487" s="161"/>
      <c r="E7487" s="161" t="s">
        <v>8577</v>
      </c>
      <c r="F7487" s="163"/>
      <c r="G7487" s="163"/>
      <c r="H7487" s="161"/>
      <c r="I7487" s="161"/>
    </row>
    <row r="7488" spans="1:9">
      <c r="A7488" s="161">
        <v>130100090</v>
      </c>
      <c r="B7488" s="161" t="s">
        <v>8175</v>
      </c>
      <c r="C7488" s="161"/>
      <c r="D7488" s="161"/>
      <c r="E7488" s="161" t="s">
        <v>8577</v>
      </c>
      <c r="F7488" s="163"/>
      <c r="G7488" s="163"/>
      <c r="H7488" s="161"/>
      <c r="I7488" s="161"/>
    </row>
    <row r="7489" spans="1:9">
      <c r="A7489" s="161">
        <v>130100092</v>
      </c>
      <c r="B7489" s="161" t="s">
        <v>1864</v>
      </c>
      <c r="C7489" s="161"/>
      <c r="D7489" s="161"/>
      <c r="E7489" s="161" t="s">
        <v>102</v>
      </c>
      <c r="F7489" s="163"/>
      <c r="G7489" s="163"/>
      <c r="H7489" s="161"/>
      <c r="I7489" s="161"/>
    </row>
    <row r="7490" spans="1:9">
      <c r="A7490" s="161">
        <v>130100093</v>
      </c>
      <c r="B7490" s="161" t="s">
        <v>8176</v>
      </c>
      <c r="C7490" s="161"/>
      <c r="D7490" s="161"/>
      <c r="E7490" s="161" t="s">
        <v>102</v>
      </c>
      <c r="F7490" s="163"/>
      <c r="G7490" s="163"/>
      <c r="H7490" s="161"/>
      <c r="I7490" s="161"/>
    </row>
    <row r="7491" spans="1:9">
      <c r="A7491" s="161">
        <v>130100095</v>
      </c>
      <c r="B7491" s="161" t="s">
        <v>8177</v>
      </c>
      <c r="C7491" s="161"/>
      <c r="D7491" s="161"/>
      <c r="E7491" s="161" t="s">
        <v>8577</v>
      </c>
      <c r="F7491" s="163"/>
      <c r="G7491" s="163"/>
      <c r="H7491" s="161"/>
      <c r="I7491" s="161"/>
    </row>
    <row r="7492" spans="1:9">
      <c r="A7492" s="161">
        <v>130100097</v>
      </c>
      <c r="B7492" s="161" t="s">
        <v>2529</v>
      </c>
      <c r="C7492" s="161"/>
      <c r="D7492" s="161"/>
      <c r="E7492" s="161" t="s">
        <v>8577</v>
      </c>
      <c r="F7492" s="163"/>
      <c r="G7492" s="163"/>
      <c r="H7492" s="161"/>
      <c r="I7492" s="161"/>
    </row>
    <row r="7493" spans="1:9">
      <c r="A7493" s="161">
        <v>130100098</v>
      </c>
      <c r="B7493" s="161" t="s">
        <v>8178</v>
      </c>
      <c r="C7493" s="161"/>
      <c r="D7493" s="161"/>
      <c r="E7493" s="161" t="s">
        <v>8577</v>
      </c>
      <c r="F7493" s="163"/>
      <c r="G7493" s="163"/>
      <c r="H7493" s="161"/>
      <c r="I7493" s="161"/>
    </row>
    <row r="7494" spans="1:9">
      <c r="A7494" s="161">
        <v>130100099</v>
      </c>
      <c r="B7494" s="161" t="s">
        <v>8179</v>
      </c>
      <c r="C7494" s="161"/>
      <c r="D7494" s="161"/>
      <c r="E7494" s="161" t="s">
        <v>8116</v>
      </c>
      <c r="F7494" s="163"/>
      <c r="G7494" s="163"/>
      <c r="H7494" s="161"/>
      <c r="I7494" s="161"/>
    </row>
    <row r="7495" spans="1:9">
      <c r="A7495" s="161">
        <v>130100101</v>
      </c>
      <c r="B7495" s="161" t="s">
        <v>2043</v>
      </c>
      <c r="C7495" s="161"/>
      <c r="D7495" s="161"/>
      <c r="E7495" s="161" t="s">
        <v>8577</v>
      </c>
      <c r="F7495" s="163"/>
      <c r="G7495" s="163"/>
      <c r="H7495" s="161"/>
      <c r="I7495" s="161"/>
    </row>
    <row r="7496" spans="1:9">
      <c r="A7496" s="161">
        <v>130100102</v>
      </c>
      <c r="B7496" s="161" t="s">
        <v>8180</v>
      </c>
      <c r="C7496" s="161"/>
      <c r="D7496" s="161"/>
      <c r="E7496" s="161" t="s">
        <v>8577</v>
      </c>
      <c r="F7496" s="163"/>
      <c r="G7496" s="163"/>
      <c r="H7496" s="161"/>
      <c r="I7496" s="161"/>
    </row>
    <row r="7497" spans="1:9">
      <c r="A7497" s="161">
        <v>130100103</v>
      </c>
      <c r="B7497" s="161" t="s">
        <v>8181</v>
      </c>
      <c r="C7497" s="161"/>
      <c r="D7497" s="161"/>
      <c r="E7497" s="161" t="s">
        <v>8577</v>
      </c>
      <c r="F7497" s="163"/>
      <c r="G7497" s="163"/>
      <c r="H7497" s="161"/>
      <c r="I7497" s="161"/>
    </row>
    <row r="7498" spans="1:9">
      <c r="A7498" s="161">
        <v>130100104</v>
      </c>
      <c r="B7498" s="161" t="s">
        <v>8182</v>
      </c>
      <c r="C7498" s="161"/>
      <c r="D7498" s="161"/>
      <c r="E7498" s="161" t="s">
        <v>8577</v>
      </c>
      <c r="F7498" s="163"/>
      <c r="G7498" s="163"/>
      <c r="H7498" s="161"/>
      <c r="I7498" s="161"/>
    </row>
    <row r="7499" spans="1:9">
      <c r="A7499" s="161">
        <v>130100105</v>
      </c>
      <c r="B7499" s="161" t="s">
        <v>1862</v>
      </c>
      <c r="C7499" s="161"/>
      <c r="D7499" s="161"/>
      <c r="E7499" s="161" t="s">
        <v>8116</v>
      </c>
      <c r="F7499" s="163"/>
      <c r="G7499" s="163"/>
      <c r="H7499" s="161"/>
      <c r="I7499" s="161"/>
    </row>
    <row r="7500" spans="1:9">
      <c r="A7500" s="161">
        <v>130100106</v>
      </c>
      <c r="B7500" s="161" t="s">
        <v>8183</v>
      </c>
      <c r="C7500" s="161"/>
      <c r="D7500" s="161"/>
      <c r="E7500" s="161" t="s">
        <v>1620</v>
      </c>
      <c r="F7500" s="163"/>
      <c r="G7500" s="163"/>
      <c r="H7500" s="161"/>
      <c r="I7500" s="161"/>
    </row>
    <row r="7501" spans="1:9">
      <c r="A7501" s="161">
        <v>130100107</v>
      </c>
      <c r="B7501" s="161" t="s">
        <v>8184</v>
      </c>
      <c r="C7501" s="161"/>
      <c r="D7501" s="161"/>
      <c r="E7501" s="161" t="s">
        <v>8577</v>
      </c>
      <c r="F7501" s="163"/>
      <c r="G7501" s="163"/>
      <c r="H7501" s="161"/>
      <c r="I7501" s="161"/>
    </row>
    <row r="7502" spans="1:9">
      <c r="A7502" s="161">
        <v>130100110</v>
      </c>
      <c r="B7502" s="161" t="s">
        <v>8185</v>
      </c>
      <c r="C7502" s="161"/>
      <c r="D7502" s="161"/>
      <c r="E7502" s="161" t="s">
        <v>8116</v>
      </c>
      <c r="F7502" s="163"/>
      <c r="G7502" s="163"/>
      <c r="H7502" s="161"/>
      <c r="I7502" s="161"/>
    </row>
    <row r="7503" spans="1:9">
      <c r="A7503" s="161">
        <v>130100111</v>
      </c>
      <c r="B7503" s="161" t="s">
        <v>8186</v>
      </c>
      <c r="C7503" s="161"/>
      <c r="D7503" s="161"/>
      <c r="E7503" s="161" t="s">
        <v>102</v>
      </c>
      <c r="F7503" s="163"/>
      <c r="G7503" s="163"/>
      <c r="H7503" s="161"/>
      <c r="I7503" s="161"/>
    </row>
    <row r="7504" spans="1:9">
      <c r="A7504" s="161">
        <v>130100112</v>
      </c>
      <c r="B7504" s="161" t="s">
        <v>8187</v>
      </c>
      <c r="C7504" s="161"/>
      <c r="D7504" s="161"/>
      <c r="E7504" s="161" t="s">
        <v>102</v>
      </c>
      <c r="F7504" s="163"/>
      <c r="G7504" s="163"/>
      <c r="H7504" s="161"/>
      <c r="I7504" s="161"/>
    </row>
    <row r="7505" spans="1:9">
      <c r="A7505" s="161">
        <v>130100115</v>
      </c>
      <c r="B7505" s="161" t="s">
        <v>8188</v>
      </c>
      <c r="C7505" s="161"/>
      <c r="D7505" s="161"/>
      <c r="E7505" s="161" t="s">
        <v>1620</v>
      </c>
      <c r="F7505" s="163"/>
      <c r="G7505" s="163"/>
      <c r="H7505" s="161"/>
      <c r="I7505" s="161"/>
    </row>
    <row r="7506" spans="1:9">
      <c r="A7506" s="161">
        <v>130100116</v>
      </c>
      <c r="B7506" s="161" t="s">
        <v>8189</v>
      </c>
      <c r="C7506" s="161"/>
      <c r="D7506" s="161"/>
      <c r="E7506" s="161" t="s">
        <v>8577</v>
      </c>
      <c r="F7506" s="163"/>
      <c r="G7506" s="163"/>
      <c r="H7506" s="161"/>
      <c r="I7506" s="161"/>
    </row>
    <row r="7507" spans="1:9">
      <c r="A7507" s="161">
        <v>130100117</v>
      </c>
      <c r="B7507" s="161" t="s">
        <v>8190</v>
      </c>
      <c r="C7507" s="161"/>
      <c r="D7507" s="161"/>
      <c r="E7507" s="161" t="s">
        <v>8116</v>
      </c>
      <c r="F7507" s="163"/>
      <c r="G7507" s="163"/>
      <c r="H7507" s="161"/>
      <c r="I7507" s="161"/>
    </row>
    <row r="7508" spans="1:9">
      <c r="A7508" s="161">
        <v>130100118</v>
      </c>
      <c r="B7508" s="161" t="s">
        <v>8191</v>
      </c>
      <c r="C7508" s="161"/>
      <c r="D7508" s="161"/>
      <c r="E7508" s="161" t="s">
        <v>8577</v>
      </c>
      <c r="F7508" s="163"/>
      <c r="G7508" s="163"/>
      <c r="H7508" s="161"/>
      <c r="I7508" s="161"/>
    </row>
    <row r="7509" spans="1:9">
      <c r="A7509" s="161">
        <v>130100119</v>
      </c>
      <c r="B7509" s="161" t="s">
        <v>8192</v>
      </c>
      <c r="C7509" s="161"/>
      <c r="D7509" s="161"/>
      <c r="E7509" s="161" t="s">
        <v>8577</v>
      </c>
      <c r="F7509" s="163"/>
      <c r="G7509" s="163"/>
      <c r="H7509" s="161"/>
      <c r="I7509" s="161"/>
    </row>
    <row r="7510" spans="1:9">
      <c r="A7510" s="161">
        <v>130100121</v>
      </c>
      <c r="B7510" s="161" t="s">
        <v>2530</v>
      </c>
      <c r="C7510" s="161"/>
      <c r="D7510" s="161"/>
      <c r="E7510" s="161" t="s">
        <v>8577</v>
      </c>
      <c r="F7510" s="163"/>
      <c r="G7510" s="163"/>
      <c r="H7510" s="161"/>
      <c r="I7510" s="161"/>
    </row>
    <row r="7511" spans="1:9">
      <c r="A7511" s="161">
        <v>130100122</v>
      </c>
      <c r="B7511" s="161" t="s">
        <v>8193</v>
      </c>
      <c r="C7511" s="161"/>
      <c r="D7511" s="161"/>
      <c r="E7511" s="161" t="s">
        <v>8577</v>
      </c>
      <c r="F7511" s="163"/>
      <c r="G7511" s="163"/>
      <c r="H7511" s="161"/>
      <c r="I7511" s="161"/>
    </row>
    <row r="7512" spans="1:9">
      <c r="A7512" s="161">
        <v>130100123</v>
      </c>
      <c r="B7512" s="161" t="s">
        <v>8194</v>
      </c>
      <c r="C7512" s="161"/>
      <c r="D7512" s="161"/>
      <c r="E7512" s="161" t="s">
        <v>8577</v>
      </c>
      <c r="F7512" s="163"/>
      <c r="G7512" s="163"/>
      <c r="H7512" s="161"/>
      <c r="I7512" s="161"/>
    </row>
    <row r="7513" spans="1:9">
      <c r="A7513" s="161">
        <v>130100124</v>
      </c>
      <c r="B7513" s="161" t="s">
        <v>8195</v>
      </c>
      <c r="C7513" s="161"/>
      <c r="D7513" s="161"/>
      <c r="E7513" s="161" t="s">
        <v>8577</v>
      </c>
      <c r="F7513" s="163"/>
      <c r="G7513" s="163"/>
      <c r="H7513" s="161"/>
      <c r="I7513" s="161"/>
    </row>
    <row r="7514" spans="1:9">
      <c r="A7514" s="161">
        <v>130100125</v>
      </c>
      <c r="B7514" s="161" t="s">
        <v>8196</v>
      </c>
      <c r="C7514" s="161"/>
      <c r="D7514" s="161"/>
      <c r="E7514" s="161" t="s">
        <v>8577</v>
      </c>
      <c r="F7514" s="163"/>
      <c r="G7514" s="163"/>
      <c r="H7514" s="161"/>
      <c r="I7514" s="161"/>
    </row>
    <row r="7515" spans="1:9">
      <c r="A7515" s="161">
        <v>130100126</v>
      </c>
      <c r="B7515" s="161" t="s">
        <v>8197</v>
      </c>
      <c r="C7515" s="161"/>
      <c r="D7515" s="161"/>
      <c r="E7515" s="161" t="s">
        <v>8577</v>
      </c>
      <c r="F7515" s="163"/>
      <c r="G7515" s="163"/>
      <c r="H7515" s="161"/>
      <c r="I7515" s="161"/>
    </row>
    <row r="7516" spans="1:9">
      <c r="A7516" s="161">
        <v>130100127</v>
      </c>
      <c r="B7516" s="161" t="s">
        <v>8198</v>
      </c>
      <c r="C7516" s="161"/>
      <c r="D7516" s="161"/>
      <c r="E7516" s="161" t="s">
        <v>8577</v>
      </c>
      <c r="F7516" s="163"/>
      <c r="G7516" s="163"/>
      <c r="H7516" s="161"/>
      <c r="I7516" s="161"/>
    </row>
    <row r="7517" spans="1:9">
      <c r="A7517" s="161">
        <v>130100128</v>
      </c>
      <c r="B7517" s="161" t="s">
        <v>8199</v>
      </c>
      <c r="C7517" s="161"/>
      <c r="D7517" s="161"/>
      <c r="E7517" s="161" t="s">
        <v>8577</v>
      </c>
      <c r="F7517" s="163"/>
      <c r="G7517" s="163"/>
      <c r="H7517" s="161"/>
      <c r="I7517" s="161"/>
    </row>
    <row r="7518" spans="1:9">
      <c r="A7518" s="161">
        <v>130100129</v>
      </c>
      <c r="B7518" s="161" t="s">
        <v>8200</v>
      </c>
      <c r="C7518" s="161"/>
      <c r="D7518" s="161"/>
      <c r="E7518" s="161" t="s">
        <v>8577</v>
      </c>
      <c r="F7518" s="163"/>
      <c r="G7518" s="163"/>
      <c r="H7518" s="161"/>
      <c r="I7518" s="161"/>
    </row>
    <row r="7519" spans="1:9">
      <c r="A7519" s="161">
        <v>130100130</v>
      </c>
      <c r="B7519" s="161" t="s">
        <v>8201</v>
      </c>
      <c r="C7519" s="161"/>
      <c r="D7519" s="161"/>
      <c r="E7519" s="161" t="s">
        <v>8577</v>
      </c>
      <c r="F7519" s="163"/>
      <c r="G7519" s="163"/>
      <c r="H7519" s="161"/>
      <c r="I7519" s="161"/>
    </row>
    <row r="7520" spans="1:9">
      <c r="A7520" s="161">
        <v>130100138</v>
      </c>
      <c r="B7520" s="161" t="s">
        <v>8202</v>
      </c>
      <c r="C7520" s="161"/>
      <c r="D7520" s="161"/>
      <c r="E7520" s="161" t="s">
        <v>8577</v>
      </c>
      <c r="F7520" s="163"/>
      <c r="G7520" s="163"/>
      <c r="H7520" s="161"/>
      <c r="I7520" s="161"/>
    </row>
    <row r="7521" spans="1:9">
      <c r="A7521" s="161">
        <v>130100139</v>
      </c>
      <c r="B7521" s="161" t="s">
        <v>8203</v>
      </c>
      <c r="C7521" s="161"/>
      <c r="D7521" s="161"/>
      <c r="E7521" s="161" t="s">
        <v>8577</v>
      </c>
      <c r="F7521" s="163"/>
      <c r="G7521" s="163"/>
      <c r="H7521" s="161"/>
      <c r="I7521" s="161"/>
    </row>
    <row r="7522" spans="1:9">
      <c r="A7522" s="161">
        <v>130100140</v>
      </c>
      <c r="B7522" s="161" t="s">
        <v>1910</v>
      </c>
      <c r="C7522" s="161"/>
      <c r="D7522" s="161"/>
      <c r="E7522" s="161" t="s">
        <v>8577</v>
      </c>
      <c r="F7522" s="163"/>
      <c r="G7522" s="163"/>
      <c r="H7522" s="161"/>
      <c r="I7522" s="161"/>
    </row>
    <row r="7523" spans="1:9">
      <c r="A7523" s="161">
        <v>130100141</v>
      </c>
      <c r="B7523" s="161" t="s">
        <v>8204</v>
      </c>
      <c r="C7523" s="161"/>
      <c r="D7523" s="161"/>
      <c r="E7523" s="161" t="s">
        <v>8577</v>
      </c>
      <c r="F7523" s="163"/>
      <c r="G7523" s="163"/>
      <c r="H7523" s="161"/>
      <c r="I7523" s="161"/>
    </row>
    <row r="7524" spans="1:9">
      <c r="A7524" s="161">
        <v>130100142</v>
      </c>
      <c r="B7524" s="161" t="s">
        <v>1909</v>
      </c>
      <c r="C7524" s="161"/>
      <c r="D7524" s="161"/>
      <c r="E7524" s="161" t="s">
        <v>8577</v>
      </c>
      <c r="F7524" s="163"/>
      <c r="G7524" s="163"/>
      <c r="H7524" s="161"/>
      <c r="I7524" s="161"/>
    </row>
    <row r="7525" spans="1:9">
      <c r="A7525" s="161">
        <v>130100144</v>
      </c>
      <c r="B7525" s="161" t="s">
        <v>8205</v>
      </c>
      <c r="C7525" s="161"/>
      <c r="D7525" s="161"/>
      <c r="E7525" s="161" t="s">
        <v>8577</v>
      </c>
      <c r="F7525" s="163"/>
      <c r="G7525" s="163"/>
      <c r="H7525" s="161"/>
      <c r="I7525" s="161"/>
    </row>
    <row r="7526" spans="1:9">
      <c r="A7526" s="161">
        <v>130100145</v>
      </c>
      <c r="B7526" s="161" t="s">
        <v>2531</v>
      </c>
      <c r="C7526" s="161"/>
      <c r="D7526" s="161"/>
      <c r="E7526" s="161" t="s">
        <v>8577</v>
      </c>
      <c r="F7526" s="163"/>
      <c r="G7526" s="163"/>
      <c r="H7526" s="161"/>
      <c r="I7526" s="161"/>
    </row>
    <row r="7527" spans="1:9">
      <c r="A7527" s="161">
        <v>130100148</v>
      </c>
      <c r="B7527" s="161" t="s">
        <v>8206</v>
      </c>
      <c r="C7527" s="161"/>
      <c r="D7527" s="161"/>
      <c r="E7527" s="161" t="s">
        <v>8577</v>
      </c>
      <c r="F7527" s="163"/>
      <c r="G7527" s="163"/>
      <c r="H7527" s="161"/>
      <c r="I7527" s="161"/>
    </row>
    <row r="7528" spans="1:9">
      <c r="A7528" s="161">
        <v>130100149</v>
      </c>
      <c r="B7528" s="161" t="s">
        <v>8207</v>
      </c>
      <c r="C7528" s="161"/>
      <c r="D7528" s="161"/>
      <c r="E7528" s="161" t="s">
        <v>8577</v>
      </c>
      <c r="F7528" s="163"/>
      <c r="G7528" s="163"/>
      <c r="H7528" s="161"/>
      <c r="I7528" s="161"/>
    </row>
    <row r="7529" spans="1:9">
      <c r="A7529" s="161">
        <v>130100150</v>
      </c>
      <c r="B7529" s="161" t="s">
        <v>8208</v>
      </c>
      <c r="C7529" s="161"/>
      <c r="D7529" s="161"/>
      <c r="E7529" s="161" t="s">
        <v>8577</v>
      </c>
      <c r="F7529" s="163"/>
      <c r="G7529" s="163"/>
      <c r="H7529" s="161"/>
      <c r="I7529" s="161"/>
    </row>
    <row r="7530" spans="1:9">
      <c r="A7530" s="161">
        <v>130100151</v>
      </c>
      <c r="B7530" s="161" t="s">
        <v>2532</v>
      </c>
      <c r="C7530" s="161"/>
      <c r="D7530" s="161"/>
      <c r="E7530" s="161" t="s">
        <v>8577</v>
      </c>
      <c r="F7530" s="163"/>
      <c r="G7530" s="163"/>
      <c r="H7530" s="161"/>
      <c r="I7530" s="161"/>
    </row>
    <row r="7531" spans="1:9">
      <c r="A7531" s="161">
        <v>130100152</v>
      </c>
      <c r="B7531" s="161" t="s">
        <v>8209</v>
      </c>
      <c r="C7531" s="161"/>
      <c r="D7531" s="161"/>
      <c r="E7531" s="161" t="s">
        <v>8577</v>
      </c>
      <c r="F7531" s="163"/>
      <c r="G7531" s="163"/>
      <c r="H7531" s="161"/>
      <c r="I7531" s="161"/>
    </row>
    <row r="7532" spans="1:9">
      <c r="A7532" s="161">
        <v>130100153</v>
      </c>
      <c r="B7532" s="161" t="s">
        <v>8210</v>
      </c>
      <c r="C7532" s="161"/>
      <c r="D7532" s="161"/>
      <c r="E7532" s="161" t="s">
        <v>1620</v>
      </c>
      <c r="F7532" s="163"/>
      <c r="G7532" s="163"/>
      <c r="H7532" s="161"/>
      <c r="I7532" s="161"/>
    </row>
    <row r="7533" spans="1:9">
      <c r="A7533" s="161">
        <v>130100154</v>
      </c>
      <c r="B7533" s="161" t="s">
        <v>2533</v>
      </c>
      <c r="C7533" s="161"/>
      <c r="D7533" s="161"/>
      <c r="E7533" s="161" t="s">
        <v>8577</v>
      </c>
      <c r="F7533" s="163"/>
      <c r="G7533" s="163"/>
      <c r="H7533" s="161"/>
      <c r="I7533" s="161"/>
    </row>
    <row r="7534" spans="1:9">
      <c r="A7534" s="161">
        <v>130100155</v>
      </c>
      <c r="B7534" s="161" t="s">
        <v>8211</v>
      </c>
      <c r="C7534" s="161"/>
      <c r="D7534" s="161"/>
      <c r="E7534" s="161" t="s">
        <v>8577</v>
      </c>
      <c r="F7534" s="163"/>
      <c r="G7534" s="163"/>
      <c r="H7534" s="161"/>
      <c r="I7534" s="161"/>
    </row>
    <row r="7535" spans="1:9">
      <c r="A7535" s="161">
        <v>130100156</v>
      </c>
      <c r="B7535" s="161" t="s">
        <v>1870</v>
      </c>
      <c r="C7535" s="161"/>
      <c r="D7535" s="161"/>
      <c r="E7535" s="161" t="s">
        <v>8577</v>
      </c>
      <c r="F7535" s="163"/>
      <c r="G7535" s="163"/>
      <c r="H7535" s="161"/>
      <c r="I7535" s="161"/>
    </row>
    <row r="7536" spans="1:9">
      <c r="A7536" s="161">
        <v>130100157</v>
      </c>
      <c r="B7536" s="161" t="s">
        <v>1956</v>
      </c>
      <c r="C7536" s="161"/>
      <c r="D7536" s="161"/>
      <c r="E7536" s="161" t="s">
        <v>8117</v>
      </c>
      <c r="F7536" s="163"/>
      <c r="G7536" s="163"/>
      <c r="H7536" s="161"/>
      <c r="I7536" s="161"/>
    </row>
    <row r="7537" spans="1:9">
      <c r="A7537" s="161">
        <v>130100160</v>
      </c>
      <c r="B7537" s="161" t="s">
        <v>2320</v>
      </c>
      <c r="C7537" s="161"/>
      <c r="D7537" s="161"/>
      <c r="E7537" s="161" t="s">
        <v>102</v>
      </c>
      <c r="F7537" s="163"/>
      <c r="G7537" s="163"/>
      <c r="H7537" s="161"/>
      <c r="I7537" s="161"/>
    </row>
    <row r="7538" spans="1:9">
      <c r="A7538" s="161">
        <v>130100161</v>
      </c>
      <c r="B7538" s="161" t="s">
        <v>2534</v>
      </c>
      <c r="C7538" s="161"/>
      <c r="D7538" s="161"/>
      <c r="E7538" s="161" t="s">
        <v>8577</v>
      </c>
      <c r="F7538" s="163"/>
      <c r="G7538" s="163"/>
      <c r="H7538" s="161"/>
      <c r="I7538" s="161"/>
    </row>
    <row r="7539" spans="1:9">
      <c r="A7539" s="161">
        <v>130100162</v>
      </c>
      <c r="B7539" s="161" t="s">
        <v>2535</v>
      </c>
      <c r="C7539" s="161"/>
      <c r="D7539" s="161"/>
      <c r="E7539" s="161" t="s">
        <v>8577</v>
      </c>
      <c r="F7539" s="163"/>
      <c r="G7539" s="163"/>
      <c r="H7539" s="161"/>
      <c r="I7539" s="161"/>
    </row>
    <row r="7540" spans="1:9">
      <c r="A7540" s="161">
        <v>130100163</v>
      </c>
      <c r="B7540" s="161" t="s">
        <v>8212</v>
      </c>
      <c r="C7540" s="161"/>
      <c r="D7540" s="161"/>
      <c r="E7540" s="161" t="s">
        <v>8116</v>
      </c>
      <c r="F7540" s="163"/>
      <c r="G7540" s="163"/>
      <c r="H7540" s="161"/>
      <c r="I7540" s="161"/>
    </row>
    <row r="7541" spans="1:9">
      <c r="A7541" s="161">
        <v>130100165</v>
      </c>
      <c r="B7541" s="161" t="s">
        <v>8213</v>
      </c>
      <c r="C7541" s="161"/>
      <c r="D7541" s="161"/>
      <c r="E7541" s="161" t="s">
        <v>102</v>
      </c>
      <c r="F7541" s="163"/>
      <c r="G7541" s="163"/>
      <c r="H7541" s="161"/>
      <c r="I7541" s="161"/>
    </row>
    <row r="7542" spans="1:9">
      <c r="A7542" s="161">
        <v>130100166</v>
      </c>
      <c r="B7542" s="161" t="s">
        <v>2536</v>
      </c>
      <c r="C7542" s="161"/>
      <c r="D7542" s="161"/>
      <c r="E7542" s="161" t="s">
        <v>102</v>
      </c>
      <c r="F7542" s="163"/>
      <c r="G7542" s="163"/>
      <c r="H7542" s="161"/>
      <c r="I7542" s="161"/>
    </row>
    <row r="7543" spans="1:9">
      <c r="A7543" s="161">
        <v>130100167</v>
      </c>
      <c r="B7543" s="161" t="s">
        <v>1871</v>
      </c>
      <c r="C7543" s="161"/>
      <c r="D7543" s="161"/>
      <c r="E7543" s="161" t="s">
        <v>8116</v>
      </c>
      <c r="F7543" s="163"/>
      <c r="G7543" s="163"/>
      <c r="H7543" s="161"/>
      <c r="I7543" s="161"/>
    </row>
    <row r="7544" spans="1:9">
      <c r="A7544" s="161">
        <v>130100171</v>
      </c>
      <c r="B7544" s="161" t="s">
        <v>1938</v>
      </c>
      <c r="C7544" s="161"/>
      <c r="D7544" s="161"/>
      <c r="E7544" s="161" t="s">
        <v>8116</v>
      </c>
      <c r="F7544" s="163"/>
      <c r="G7544" s="163"/>
      <c r="H7544" s="161"/>
      <c r="I7544" s="161"/>
    </row>
    <row r="7545" spans="1:9">
      <c r="A7545" s="161">
        <v>130100172</v>
      </c>
      <c r="B7545" s="161" t="s">
        <v>8214</v>
      </c>
      <c r="C7545" s="161"/>
      <c r="D7545" s="161"/>
      <c r="E7545" s="161" t="s">
        <v>102</v>
      </c>
      <c r="F7545" s="163"/>
      <c r="G7545" s="163"/>
      <c r="H7545" s="161"/>
      <c r="I7545" s="161"/>
    </row>
    <row r="7546" spans="1:9">
      <c r="A7546" s="161">
        <v>130100173</v>
      </c>
      <c r="B7546" s="161" t="s">
        <v>8215</v>
      </c>
      <c r="C7546" s="161"/>
      <c r="D7546" s="161"/>
      <c r="E7546" s="161" t="s">
        <v>1620</v>
      </c>
      <c r="F7546" s="163"/>
      <c r="G7546" s="163"/>
      <c r="H7546" s="161"/>
      <c r="I7546" s="161"/>
    </row>
    <row r="7547" spans="1:9">
      <c r="A7547" s="161">
        <v>130100174</v>
      </c>
      <c r="B7547" s="161" t="s">
        <v>8216</v>
      </c>
      <c r="C7547" s="161"/>
      <c r="D7547" s="161"/>
      <c r="E7547" s="161" t="s">
        <v>8577</v>
      </c>
      <c r="F7547" s="163"/>
      <c r="G7547" s="163"/>
      <c r="H7547" s="161"/>
      <c r="I7547" s="161"/>
    </row>
    <row r="7548" spans="1:9">
      <c r="A7548" s="161">
        <v>130100175</v>
      </c>
      <c r="B7548" s="161" t="s">
        <v>8217</v>
      </c>
      <c r="C7548" s="161"/>
      <c r="D7548" s="161"/>
      <c r="E7548" s="161" t="s">
        <v>8577</v>
      </c>
      <c r="F7548" s="163"/>
      <c r="G7548" s="163"/>
      <c r="H7548" s="161"/>
      <c r="I7548" s="161"/>
    </row>
    <row r="7549" spans="1:9">
      <c r="A7549" s="161">
        <v>130100176</v>
      </c>
      <c r="B7549" s="161" t="s">
        <v>8218</v>
      </c>
      <c r="C7549" s="161"/>
      <c r="D7549" s="161"/>
      <c r="E7549" s="161" t="s">
        <v>8577</v>
      </c>
      <c r="F7549" s="163"/>
      <c r="G7549" s="163"/>
      <c r="H7549" s="161"/>
      <c r="I7549" s="161"/>
    </row>
    <row r="7550" spans="1:9">
      <c r="A7550" s="161">
        <v>130100177</v>
      </c>
      <c r="B7550" s="161" t="s">
        <v>8219</v>
      </c>
      <c r="C7550" s="161"/>
      <c r="D7550" s="161"/>
      <c r="E7550" s="161" t="s">
        <v>8577</v>
      </c>
      <c r="F7550" s="163"/>
      <c r="G7550" s="163"/>
      <c r="H7550" s="161"/>
      <c r="I7550" s="161"/>
    </row>
    <row r="7551" spans="1:9">
      <c r="A7551" s="161">
        <v>130100178</v>
      </c>
      <c r="B7551" s="161" t="s">
        <v>8220</v>
      </c>
      <c r="C7551" s="161"/>
      <c r="D7551" s="161"/>
      <c r="E7551" s="161" t="s">
        <v>8577</v>
      </c>
      <c r="F7551" s="163"/>
      <c r="G7551" s="163"/>
      <c r="H7551" s="161"/>
      <c r="I7551" s="161"/>
    </row>
    <row r="7552" spans="1:9">
      <c r="A7552" s="161">
        <v>130100179</v>
      </c>
      <c r="B7552" s="161" t="s">
        <v>8221</v>
      </c>
      <c r="C7552" s="161"/>
      <c r="D7552" s="161"/>
      <c r="E7552" s="161" t="s">
        <v>8577</v>
      </c>
      <c r="F7552" s="163"/>
      <c r="G7552" s="163"/>
      <c r="H7552" s="161"/>
      <c r="I7552" s="161"/>
    </row>
    <row r="7553" spans="1:9">
      <c r="A7553" s="161">
        <v>130100180</v>
      </c>
      <c r="B7553" s="161" t="s">
        <v>8222</v>
      </c>
      <c r="C7553" s="161"/>
      <c r="D7553" s="161"/>
      <c r="E7553" s="161" t="s">
        <v>102</v>
      </c>
      <c r="F7553" s="163"/>
      <c r="G7553" s="163"/>
      <c r="H7553" s="161"/>
      <c r="I7553" s="161"/>
    </row>
    <row r="7554" spans="1:9">
      <c r="A7554" s="161">
        <v>130100181</v>
      </c>
      <c r="B7554" s="161" t="s">
        <v>8223</v>
      </c>
      <c r="C7554" s="161"/>
      <c r="D7554" s="161"/>
      <c r="E7554" s="161" t="s">
        <v>102</v>
      </c>
      <c r="F7554" s="163"/>
      <c r="G7554" s="163"/>
      <c r="H7554" s="161"/>
      <c r="I7554" s="161"/>
    </row>
    <row r="7555" spans="1:9">
      <c r="A7555" s="161">
        <v>130100185</v>
      </c>
      <c r="B7555" s="161" t="s">
        <v>8224</v>
      </c>
      <c r="C7555" s="161"/>
      <c r="D7555" s="161"/>
      <c r="E7555" s="161" t="s">
        <v>8577</v>
      </c>
      <c r="F7555" s="163"/>
      <c r="G7555" s="163"/>
      <c r="H7555" s="161"/>
      <c r="I7555" s="161"/>
    </row>
    <row r="7556" spans="1:9">
      <c r="A7556" s="161">
        <v>130100186</v>
      </c>
      <c r="B7556" s="161" t="s">
        <v>2537</v>
      </c>
      <c r="C7556" s="161"/>
      <c r="D7556" s="161"/>
      <c r="E7556" s="161" t="s">
        <v>8577</v>
      </c>
      <c r="F7556" s="163"/>
      <c r="G7556" s="163"/>
      <c r="H7556" s="161"/>
      <c r="I7556" s="161"/>
    </row>
    <row r="7557" spans="1:9">
      <c r="A7557" s="161">
        <v>130100187</v>
      </c>
      <c r="B7557" s="161" t="s">
        <v>8225</v>
      </c>
      <c r="C7557" s="161"/>
      <c r="D7557" s="161"/>
      <c r="E7557" s="161" t="s">
        <v>8577</v>
      </c>
      <c r="F7557" s="163"/>
      <c r="G7557" s="163"/>
      <c r="H7557" s="161"/>
      <c r="I7557" s="161"/>
    </row>
    <row r="7558" spans="1:9">
      <c r="A7558" s="161">
        <v>130100188</v>
      </c>
      <c r="B7558" s="161" t="s">
        <v>2538</v>
      </c>
      <c r="C7558" s="161"/>
      <c r="D7558" s="161"/>
      <c r="E7558" s="161" t="s">
        <v>8577</v>
      </c>
      <c r="F7558" s="163"/>
      <c r="G7558" s="163"/>
      <c r="H7558" s="161"/>
      <c r="I7558" s="161"/>
    </row>
    <row r="7559" spans="1:9">
      <c r="A7559" s="161">
        <v>130100189</v>
      </c>
      <c r="B7559" s="161" t="s">
        <v>8226</v>
      </c>
      <c r="C7559" s="161"/>
      <c r="D7559" s="161"/>
      <c r="E7559" s="161" t="s">
        <v>8577</v>
      </c>
      <c r="F7559" s="163"/>
      <c r="G7559" s="163"/>
      <c r="H7559" s="161"/>
      <c r="I7559" s="161"/>
    </row>
    <row r="7560" spans="1:9">
      <c r="A7560" s="161">
        <v>130100190</v>
      </c>
      <c r="B7560" s="161" t="s">
        <v>8227</v>
      </c>
      <c r="C7560" s="161"/>
      <c r="D7560" s="161"/>
      <c r="E7560" s="161" t="s">
        <v>8577</v>
      </c>
      <c r="F7560" s="163"/>
      <c r="G7560" s="163"/>
      <c r="H7560" s="161"/>
      <c r="I7560" s="161"/>
    </row>
    <row r="7561" spans="1:9">
      <c r="A7561" s="161">
        <v>130100191</v>
      </c>
      <c r="B7561" s="161" t="s">
        <v>2086</v>
      </c>
      <c r="C7561" s="161"/>
      <c r="D7561" s="161"/>
      <c r="E7561" s="161" t="s">
        <v>8577</v>
      </c>
      <c r="F7561" s="163"/>
      <c r="G7561" s="163"/>
      <c r="H7561" s="161"/>
      <c r="I7561" s="161"/>
    </row>
    <row r="7562" spans="1:9">
      <c r="A7562" s="161">
        <v>130100193</v>
      </c>
      <c r="B7562" s="161" t="s">
        <v>2539</v>
      </c>
      <c r="C7562" s="161"/>
      <c r="D7562" s="161"/>
      <c r="E7562" s="161" t="s">
        <v>8577</v>
      </c>
      <c r="F7562" s="163"/>
      <c r="G7562" s="163"/>
      <c r="H7562" s="161"/>
      <c r="I7562" s="161"/>
    </row>
    <row r="7563" spans="1:9">
      <c r="A7563" s="161">
        <v>130100194</v>
      </c>
      <c r="B7563" s="161" t="s">
        <v>8228</v>
      </c>
      <c r="C7563" s="161"/>
      <c r="D7563" s="161"/>
      <c r="E7563" s="161" t="s">
        <v>8577</v>
      </c>
      <c r="F7563" s="163"/>
      <c r="G7563" s="163"/>
      <c r="H7563" s="161"/>
      <c r="I7563" s="161"/>
    </row>
    <row r="7564" spans="1:9">
      <c r="A7564" s="161">
        <v>130100195</v>
      </c>
      <c r="B7564" s="161" t="s">
        <v>8229</v>
      </c>
      <c r="C7564" s="161"/>
      <c r="D7564" s="161"/>
      <c r="E7564" s="161" t="s">
        <v>8577</v>
      </c>
      <c r="F7564" s="163"/>
      <c r="G7564" s="163"/>
      <c r="H7564" s="161"/>
      <c r="I7564" s="161"/>
    </row>
    <row r="7565" spans="1:9">
      <c r="A7565" s="161">
        <v>130100197</v>
      </c>
      <c r="B7565" s="161" t="s">
        <v>1872</v>
      </c>
      <c r="C7565" s="161"/>
      <c r="D7565" s="161"/>
      <c r="E7565" s="161" t="s">
        <v>8577</v>
      </c>
      <c r="F7565" s="163"/>
      <c r="G7565" s="163"/>
      <c r="H7565" s="161"/>
      <c r="I7565" s="161"/>
    </row>
    <row r="7566" spans="1:9">
      <c r="A7566" s="161">
        <v>130100198</v>
      </c>
      <c r="B7566" s="161" t="s">
        <v>8230</v>
      </c>
      <c r="C7566" s="161"/>
      <c r="D7566" s="161"/>
      <c r="E7566" s="161" t="s">
        <v>8577</v>
      </c>
      <c r="F7566" s="163"/>
      <c r="G7566" s="163"/>
      <c r="H7566" s="161"/>
      <c r="I7566" s="161"/>
    </row>
    <row r="7567" spans="1:9">
      <c r="A7567" s="161">
        <v>130100199</v>
      </c>
      <c r="B7567" s="161" t="s">
        <v>8231</v>
      </c>
      <c r="C7567" s="161"/>
      <c r="D7567" s="161"/>
      <c r="E7567" s="161" t="s">
        <v>8577</v>
      </c>
      <c r="F7567" s="163"/>
      <c r="G7567" s="163"/>
      <c r="H7567" s="161"/>
      <c r="I7567" s="161"/>
    </row>
    <row r="7568" spans="1:9">
      <c r="A7568" s="161">
        <v>130100200</v>
      </c>
      <c r="B7568" s="161" t="s">
        <v>8232</v>
      </c>
      <c r="C7568" s="161"/>
      <c r="D7568" s="161"/>
      <c r="E7568" s="161" t="s">
        <v>8577</v>
      </c>
      <c r="F7568" s="163"/>
      <c r="G7568" s="163"/>
      <c r="H7568" s="161"/>
      <c r="I7568" s="161"/>
    </row>
    <row r="7569" spans="1:9">
      <c r="A7569" s="161">
        <v>130100201</v>
      </c>
      <c r="B7569" s="161" t="s">
        <v>8233</v>
      </c>
      <c r="C7569" s="161"/>
      <c r="D7569" s="161"/>
      <c r="E7569" s="161" t="s">
        <v>8577</v>
      </c>
      <c r="F7569" s="163"/>
      <c r="G7569" s="163"/>
      <c r="H7569" s="161"/>
      <c r="I7569" s="161"/>
    </row>
    <row r="7570" spans="1:9">
      <c r="A7570" s="161">
        <v>130100203</v>
      </c>
      <c r="B7570" s="161" t="s">
        <v>8234</v>
      </c>
      <c r="C7570" s="161"/>
      <c r="D7570" s="161"/>
      <c r="E7570" s="161" t="s">
        <v>1620</v>
      </c>
      <c r="F7570" s="163"/>
      <c r="G7570" s="163"/>
      <c r="H7570" s="161"/>
      <c r="I7570" s="161"/>
    </row>
    <row r="7571" spans="1:9">
      <c r="A7571" s="161">
        <v>130100204</v>
      </c>
      <c r="B7571" s="161" t="s">
        <v>8235</v>
      </c>
      <c r="C7571" s="161"/>
      <c r="D7571" s="161"/>
      <c r="E7571" s="161" t="s">
        <v>8577</v>
      </c>
      <c r="F7571" s="163"/>
      <c r="G7571" s="163"/>
      <c r="H7571" s="161"/>
      <c r="I7571" s="161"/>
    </row>
    <row r="7572" spans="1:9">
      <c r="A7572" s="161">
        <v>130100205</v>
      </c>
      <c r="B7572" s="161" t="s">
        <v>8236</v>
      </c>
      <c r="C7572" s="161"/>
      <c r="D7572" s="161"/>
      <c r="E7572" s="161" t="s">
        <v>8577</v>
      </c>
      <c r="F7572" s="163"/>
      <c r="G7572" s="163"/>
      <c r="H7572" s="161"/>
      <c r="I7572" s="161"/>
    </row>
    <row r="7573" spans="1:9">
      <c r="A7573" s="161">
        <v>130100208</v>
      </c>
      <c r="B7573" s="161" t="s">
        <v>8237</v>
      </c>
      <c r="C7573" s="161"/>
      <c r="D7573" s="161"/>
      <c r="E7573" s="161" t="s">
        <v>8577</v>
      </c>
      <c r="F7573" s="163"/>
      <c r="G7573" s="163"/>
      <c r="H7573" s="161"/>
      <c r="I7573" s="161"/>
    </row>
    <row r="7574" spans="1:9">
      <c r="A7574" s="161">
        <v>130100211</v>
      </c>
      <c r="B7574" s="161" t="s">
        <v>8238</v>
      </c>
      <c r="C7574" s="161"/>
      <c r="D7574" s="161"/>
      <c r="E7574" s="161" t="s">
        <v>8577</v>
      </c>
      <c r="F7574" s="163"/>
      <c r="G7574" s="163"/>
      <c r="H7574" s="161"/>
      <c r="I7574" s="161"/>
    </row>
    <row r="7575" spans="1:9">
      <c r="A7575" s="161">
        <v>130100213</v>
      </c>
      <c r="B7575" s="161" t="s">
        <v>8239</v>
      </c>
      <c r="C7575" s="161"/>
      <c r="D7575" s="161"/>
      <c r="E7575" s="161" t="s">
        <v>8577</v>
      </c>
      <c r="F7575" s="163"/>
      <c r="G7575" s="163"/>
      <c r="H7575" s="161"/>
      <c r="I7575" s="161"/>
    </row>
    <row r="7576" spans="1:9">
      <c r="A7576" s="161">
        <v>130100215</v>
      </c>
      <c r="B7576" s="161" t="s">
        <v>8240</v>
      </c>
      <c r="C7576" s="161"/>
      <c r="D7576" s="161"/>
      <c r="E7576" s="161" t="s">
        <v>1620</v>
      </c>
      <c r="F7576" s="163"/>
      <c r="G7576" s="163"/>
      <c r="H7576" s="161"/>
      <c r="I7576" s="161"/>
    </row>
    <row r="7577" spans="1:9">
      <c r="A7577" s="161">
        <v>130100216</v>
      </c>
      <c r="B7577" s="161" t="s">
        <v>8241</v>
      </c>
      <c r="C7577" s="161"/>
      <c r="D7577" s="161"/>
      <c r="E7577" s="161" t="s">
        <v>1620</v>
      </c>
      <c r="F7577" s="163"/>
      <c r="G7577" s="163"/>
      <c r="H7577" s="161"/>
      <c r="I7577" s="161"/>
    </row>
    <row r="7578" spans="1:9">
      <c r="A7578" s="161">
        <v>130100217</v>
      </c>
      <c r="B7578" s="161" t="s">
        <v>8242</v>
      </c>
      <c r="C7578" s="161"/>
      <c r="D7578" s="161"/>
      <c r="E7578" s="161" t="s">
        <v>8577</v>
      </c>
      <c r="F7578" s="163"/>
      <c r="G7578" s="163"/>
      <c r="H7578" s="161"/>
      <c r="I7578" s="161"/>
    </row>
    <row r="7579" spans="1:9">
      <c r="A7579" s="161">
        <v>130100218</v>
      </c>
      <c r="B7579" s="161" t="s">
        <v>8243</v>
      </c>
      <c r="C7579" s="161"/>
      <c r="D7579" s="161"/>
      <c r="E7579" s="161" t="s">
        <v>8577</v>
      </c>
      <c r="F7579" s="163"/>
      <c r="G7579" s="163"/>
      <c r="H7579" s="161"/>
      <c r="I7579" s="161"/>
    </row>
    <row r="7580" spans="1:9">
      <c r="A7580" s="161">
        <v>130100219</v>
      </c>
      <c r="B7580" s="161" t="s">
        <v>8244</v>
      </c>
      <c r="C7580" s="161"/>
      <c r="D7580" s="161"/>
      <c r="E7580" s="161" t="s">
        <v>8577</v>
      </c>
      <c r="F7580" s="163"/>
      <c r="G7580" s="163"/>
      <c r="H7580" s="161"/>
      <c r="I7580" s="161"/>
    </row>
    <row r="7581" spans="1:9">
      <c r="A7581" s="161">
        <v>130100220</v>
      </c>
      <c r="B7581" s="161" t="s">
        <v>1873</v>
      </c>
      <c r="C7581" s="161"/>
      <c r="D7581" s="161"/>
      <c r="E7581" s="161" t="s">
        <v>8577</v>
      </c>
      <c r="F7581" s="163"/>
      <c r="G7581" s="163"/>
      <c r="H7581" s="161"/>
      <c r="I7581" s="161"/>
    </row>
    <row r="7582" spans="1:9">
      <c r="A7582" s="161">
        <v>130100221</v>
      </c>
      <c r="B7582" s="161" t="s">
        <v>8245</v>
      </c>
      <c r="C7582" s="161"/>
      <c r="D7582" s="161"/>
      <c r="E7582" s="161" t="s">
        <v>8577</v>
      </c>
      <c r="F7582" s="163"/>
      <c r="G7582" s="163"/>
      <c r="H7582" s="161"/>
      <c r="I7582" s="161"/>
    </row>
    <row r="7583" spans="1:9">
      <c r="A7583" s="161">
        <v>130100222</v>
      </c>
      <c r="B7583" s="161" t="s">
        <v>1919</v>
      </c>
      <c r="C7583" s="161"/>
      <c r="D7583" s="161"/>
      <c r="E7583" s="161" t="s">
        <v>8577</v>
      </c>
      <c r="F7583" s="163"/>
      <c r="G7583" s="163"/>
      <c r="H7583" s="161"/>
      <c r="I7583" s="161"/>
    </row>
    <row r="7584" spans="1:9">
      <c r="A7584" s="161">
        <v>130100223</v>
      </c>
      <c r="B7584" s="161" t="s">
        <v>8246</v>
      </c>
      <c r="C7584" s="161"/>
      <c r="D7584" s="161"/>
      <c r="E7584" s="161" t="s">
        <v>8577</v>
      </c>
      <c r="F7584" s="163"/>
      <c r="G7584" s="163"/>
      <c r="H7584" s="161"/>
      <c r="I7584" s="161"/>
    </row>
    <row r="7585" spans="1:9">
      <c r="A7585" s="161">
        <v>130100224</v>
      </c>
      <c r="B7585" s="161" t="s">
        <v>8247</v>
      </c>
      <c r="C7585" s="161"/>
      <c r="D7585" s="161"/>
      <c r="E7585" s="161" t="s">
        <v>8577</v>
      </c>
      <c r="F7585" s="163"/>
      <c r="G7585" s="163"/>
      <c r="H7585" s="161"/>
      <c r="I7585" s="161"/>
    </row>
    <row r="7586" spans="1:9">
      <c r="A7586" s="161">
        <v>130100225</v>
      </c>
      <c r="B7586" s="161" t="s">
        <v>2540</v>
      </c>
      <c r="C7586" s="161"/>
      <c r="D7586" s="161"/>
      <c r="E7586" s="161" t="s">
        <v>8577</v>
      </c>
      <c r="F7586" s="163"/>
      <c r="G7586" s="163"/>
      <c r="H7586" s="161"/>
      <c r="I7586" s="161"/>
    </row>
    <row r="7587" spans="1:9">
      <c r="A7587" s="161">
        <v>130100226</v>
      </c>
      <c r="B7587" s="161" t="s">
        <v>8248</v>
      </c>
      <c r="C7587" s="161"/>
      <c r="D7587" s="161"/>
      <c r="E7587" s="161" t="s">
        <v>8577</v>
      </c>
      <c r="F7587" s="163"/>
      <c r="G7587" s="163"/>
      <c r="H7587" s="161"/>
      <c r="I7587" s="161"/>
    </row>
    <row r="7588" spans="1:9">
      <c r="A7588" s="161">
        <v>130100228</v>
      </c>
      <c r="B7588" s="161" t="s">
        <v>2541</v>
      </c>
      <c r="C7588" s="161"/>
      <c r="D7588" s="161"/>
      <c r="E7588" s="161" t="s">
        <v>8577</v>
      </c>
      <c r="F7588" s="163"/>
      <c r="G7588" s="163"/>
      <c r="H7588" s="161"/>
      <c r="I7588" s="161"/>
    </row>
    <row r="7589" spans="1:9">
      <c r="A7589" s="161">
        <v>130100229</v>
      </c>
      <c r="B7589" s="161" t="s">
        <v>8249</v>
      </c>
      <c r="C7589" s="161"/>
      <c r="D7589" s="161"/>
      <c r="E7589" s="161" t="s">
        <v>8577</v>
      </c>
      <c r="F7589" s="163"/>
      <c r="G7589" s="163"/>
      <c r="H7589" s="161"/>
      <c r="I7589" s="161"/>
    </row>
    <row r="7590" spans="1:9">
      <c r="A7590" s="161">
        <v>130100230</v>
      </c>
      <c r="B7590" s="161" t="s">
        <v>2542</v>
      </c>
      <c r="C7590" s="161"/>
      <c r="D7590" s="161"/>
      <c r="E7590" s="161" t="s">
        <v>8577</v>
      </c>
      <c r="F7590" s="163"/>
      <c r="G7590" s="163"/>
      <c r="H7590" s="161"/>
      <c r="I7590" s="161"/>
    </row>
    <row r="7591" spans="1:9">
      <c r="A7591" s="161">
        <v>130100231</v>
      </c>
      <c r="B7591" s="161" t="s">
        <v>8250</v>
      </c>
      <c r="C7591" s="161"/>
      <c r="D7591" s="161"/>
      <c r="E7591" s="161" t="s">
        <v>1620</v>
      </c>
      <c r="F7591" s="163"/>
      <c r="G7591" s="163"/>
      <c r="H7591" s="161"/>
      <c r="I7591" s="161"/>
    </row>
    <row r="7592" spans="1:9">
      <c r="A7592" s="161">
        <v>130100232</v>
      </c>
      <c r="B7592" s="161" t="s">
        <v>8251</v>
      </c>
      <c r="C7592" s="161"/>
      <c r="D7592" s="161"/>
      <c r="E7592" s="161" t="s">
        <v>8577</v>
      </c>
      <c r="F7592" s="163"/>
      <c r="G7592" s="163"/>
      <c r="H7592" s="161"/>
      <c r="I7592" s="161"/>
    </row>
    <row r="7593" spans="1:9">
      <c r="A7593" s="161">
        <v>130100233</v>
      </c>
      <c r="B7593" s="161" t="s">
        <v>8252</v>
      </c>
      <c r="C7593" s="161"/>
      <c r="D7593" s="161"/>
      <c r="E7593" s="161" t="s">
        <v>8577</v>
      </c>
      <c r="F7593" s="163"/>
      <c r="G7593" s="163"/>
      <c r="H7593" s="161"/>
      <c r="I7593" s="161"/>
    </row>
    <row r="7594" spans="1:9">
      <c r="A7594" s="161">
        <v>130100234</v>
      </c>
      <c r="B7594" s="161" t="s">
        <v>8253</v>
      </c>
      <c r="C7594" s="161"/>
      <c r="D7594" s="161"/>
      <c r="E7594" s="161" t="s">
        <v>8577</v>
      </c>
      <c r="F7594" s="163"/>
      <c r="G7594" s="163"/>
      <c r="H7594" s="161"/>
      <c r="I7594" s="161"/>
    </row>
    <row r="7595" spans="1:9">
      <c r="A7595" s="161">
        <v>130100235</v>
      </c>
      <c r="B7595" s="161" t="s">
        <v>1925</v>
      </c>
      <c r="C7595" s="161"/>
      <c r="D7595" s="161"/>
      <c r="E7595" s="161" t="s">
        <v>8577</v>
      </c>
      <c r="F7595" s="163"/>
      <c r="G7595" s="163"/>
      <c r="H7595" s="161"/>
      <c r="I7595" s="161"/>
    </row>
    <row r="7596" spans="1:9">
      <c r="A7596" s="161">
        <v>130100236</v>
      </c>
      <c r="B7596" s="161" t="s">
        <v>1916</v>
      </c>
      <c r="C7596" s="161"/>
      <c r="D7596" s="161"/>
      <c r="E7596" s="161" t="s">
        <v>8577</v>
      </c>
      <c r="F7596" s="163"/>
      <c r="G7596" s="163"/>
      <c r="H7596" s="161"/>
      <c r="I7596" s="161"/>
    </row>
    <row r="7597" spans="1:9">
      <c r="A7597" s="161">
        <v>130100238</v>
      </c>
      <c r="B7597" s="161" t="s">
        <v>1926</v>
      </c>
      <c r="C7597" s="161"/>
      <c r="D7597" s="161"/>
      <c r="E7597" s="161" t="s">
        <v>8577</v>
      </c>
      <c r="F7597" s="163"/>
      <c r="G7597" s="163"/>
      <c r="H7597" s="161"/>
      <c r="I7597" s="161"/>
    </row>
    <row r="7598" spans="1:9">
      <c r="A7598" s="161">
        <v>130100239</v>
      </c>
      <c r="B7598" s="161" t="s">
        <v>1978</v>
      </c>
      <c r="C7598" s="161"/>
      <c r="D7598" s="161"/>
      <c r="E7598" s="161" t="s">
        <v>8577</v>
      </c>
      <c r="F7598" s="163"/>
      <c r="G7598" s="163"/>
      <c r="H7598" s="161"/>
      <c r="I7598" s="161"/>
    </row>
    <row r="7599" spans="1:9">
      <c r="A7599" s="161">
        <v>130100241</v>
      </c>
      <c r="B7599" s="161" t="s">
        <v>8254</v>
      </c>
      <c r="C7599" s="161"/>
      <c r="D7599" s="161"/>
      <c r="E7599" s="161" t="s">
        <v>8577</v>
      </c>
      <c r="F7599" s="163"/>
      <c r="G7599" s="163"/>
      <c r="H7599" s="161"/>
      <c r="I7599" s="161"/>
    </row>
    <row r="7600" spans="1:9">
      <c r="A7600" s="161">
        <v>130100243</v>
      </c>
      <c r="B7600" s="161" t="s">
        <v>8255</v>
      </c>
      <c r="C7600" s="161"/>
      <c r="D7600" s="161"/>
      <c r="E7600" s="161" t="s">
        <v>8577</v>
      </c>
      <c r="F7600" s="163"/>
      <c r="G7600" s="163"/>
      <c r="H7600" s="161"/>
      <c r="I7600" s="161"/>
    </row>
    <row r="7601" spans="1:9">
      <c r="A7601" s="161">
        <v>130100244</v>
      </c>
      <c r="B7601" s="161" t="s">
        <v>2543</v>
      </c>
      <c r="C7601" s="161"/>
      <c r="D7601" s="161"/>
      <c r="E7601" s="161" t="s">
        <v>8577</v>
      </c>
      <c r="F7601" s="163"/>
      <c r="G7601" s="163"/>
      <c r="H7601" s="161"/>
      <c r="I7601" s="161"/>
    </row>
    <row r="7602" spans="1:9">
      <c r="A7602" s="161">
        <v>130100245</v>
      </c>
      <c r="B7602" s="161" t="s">
        <v>2544</v>
      </c>
      <c r="C7602" s="161"/>
      <c r="D7602" s="161"/>
      <c r="E7602" s="161" t="s">
        <v>8577</v>
      </c>
      <c r="F7602" s="163"/>
      <c r="G7602" s="163"/>
      <c r="H7602" s="161"/>
      <c r="I7602" s="161"/>
    </row>
    <row r="7603" spans="1:9">
      <c r="A7603" s="161">
        <v>130100248</v>
      </c>
      <c r="B7603" s="161" t="s">
        <v>8256</v>
      </c>
      <c r="C7603" s="161"/>
      <c r="D7603" s="161"/>
      <c r="E7603" s="161" t="s">
        <v>8577</v>
      </c>
      <c r="F7603" s="163"/>
      <c r="G7603" s="163"/>
      <c r="H7603" s="161"/>
      <c r="I7603" s="161"/>
    </row>
    <row r="7604" spans="1:9">
      <c r="A7604" s="161">
        <v>130100249</v>
      </c>
      <c r="B7604" s="161" t="s">
        <v>8257</v>
      </c>
      <c r="C7604" s="161"/>
      <c r="D7604" s="161"/>
      <c r="E7604" s="161" t="s">
        <v>8577</v>
      </c>
      <c r="F7604" s="163"/>
      <c r="G7604" s="163"/>
      <c r="H7604" s="161"/>
      <c r="I7604" s="161"/>
    </row>
    <row r="7605" spans="1:9">
      <c r="A7605" s="161">
        <v>130100250</v>
      </c>
      <c r="B7605" s="161" t="s">
        <v>8258</v>
      </c>
      <c r="C7605" s="161"/>
      <c r="D7605" s="161"/>
      <c r="E7605" s="161" t="s">
        <v>8577</v>
      </c>
      <c r="F7605" s="163"/>
      <c r="G7605" s="163"/>
      <c r="H7605" s="161"/>
      <c r="I7605" s="161"/>
    </row>
    <row r="7606" spans="1:9">
      <c r="A7606" s="161">
        <v>130100251</v>
      </c>
      <c r="B7606" s="161" t="s">
        <v>2545</v>
      </c>
      <c r="C7606" s="161"/>
      <c r="D7606" s="161"/>
      <c r="E7606" s="161" t="s">
        <v>1620</v>
      </c>
      <c r="F7606" s="163"/>
      <c r="G7606" s="163"/>
      <c r="H7606" s="161"/>
      <c r="I7606" s="161"/>
    </row>
    <row r="7607" spans="1:9">
      <c r="A7607" s="161">
        <v>130100252</v>
      </c>
      <c r="B7607" s="161" t="s">
        <v>8259</v>
      </c>
      <c r="C7607" s="161"/>
      <c r="D7607" s="161"/>
      <c r="E7607" s="161" t="s">
        <v>8577</v>
      </c>
      <c r="F7607" s="163"/>
      <c r="G7607" s="163"/>
      <c r="H7607" s="161"/>
      <c r="I7607" s="161"/>
    </row>
    <row r="7608" spans="1:9">
      <c r="A7608" s="161">
        <v>130100253</v>
      </c>
      <c r="B7608" s="161" t="s">
        <v>1949</v>
      </c>
      <c r="C7608" s="161"/>
      <c r="D7608" s="161"/>
      <c r="E7608" s="161" t="s">
        <v>8577</v>
      </c>
      <c r="F7608" s="163"/>
      <c r="G7608" s="163"/>
      <c r="H7608" s="161"/>
      <c r="I7608" s="161"/>
    </row>
    <row r="7609" spans="1:9">
      <c r="A7609" s="161">
        <v>130100255</v>
      </c>
      <c r="B7609" s="161" t="s">
        <v>8260</v>
      </c>
      <c r="C7609" s="161"/>
      <c r="D7609" s="161"/>
      <c r="E7609" s="161" t="s">
        <v>8577</v>
      </c>
      <c r="F7609" s="163"/>
      <c r="G7609" s="163"/>
      <c r="H7609" s="161"/>
      <c r="I7609" s="161"/>
    </row>
    <row r="7610" spans="1:9">
      <c r="A7610" s="161">
        <v>130100256</v>
      </c>
      <c r="B7610" s="161" t="s">
        <v>8261</v>
      </c>
      <c r="C7610" s="161"/>
      <c r="D7610" s="161"/>
      <c r="E7610" s="161" t="s">
        <v>8577</v>
      </c>
      <c r="F7610" s="163"/>
      <c r="G7610" s="163"/>
      <c r="H7610" s="161"/>
      <c r="I7610" s="161"/>
    </row>
    <row r="7611" spans="1:9">
      <c r="A7611" s="161">
        <v>130100257</v>
      </c>
      <c r="B7611" s="161" t="s">
        <v>8262</v>
      </c>
      <c r="C7611" s="161"/>
      <c r="D7611" s="161"/>
      <c r="E7611" s="161" t="s">
        <v>8577</v>
      </c>
      <c r="F7611" s="163"/>
      <c r="G7611" s="163"/>
      <c r="H7611" s="161"/>
      <c r="I7611" s="161"/>
    </row>
    <row r="7612" spans="1:9">
      <c r="A7612" s="161">
        <v>130100258</v>
      </c>
      <c r="B7612" s="161" t="s">
        <v>8263</v>
      </c>
      <c r="C7612" s="161"/>
      <c r="D7612" s="161"/>
      <c r="E7612" s="161" t="s">
        <v>8577</v>
      </c>
      <c r="F7612" s="163"/>
      <c r="G7612" s="163"/>
      <c r="H7612" s="161"/>
      <c r="I7612" s="161"/>
    </row>
    <row r="7613" spans="1:9">
      <c r="A7613" s="161">
        <v>130100259</v>
      </c>
      <c r="B7613" s="161" t="s">
        <v>8264</v>
      </c>
      <c r="C7613" s="161"/>
      <c r="D7613" s="161"/>
      <c r="E7613" s="161" t="s">
        <v>8577</v>
      </c>
      <c r="F7613" s="163"/>
      <c r="G7613" s="163"/>
      <c r="H7613" s="161"/>
      <c r="I7613" s="161"/>
    </row>
    <row r="7614" spans="1:9">
      <c r="A7614" s="161">
        <v>130100261</v>
      </c>
      <c r="B7614" s="161" t="s">
        <v>8265</v>
      </c>
      <c r="C7614" s="161"/>
      <c r="D7614" s="161"/>
      <c r="E7614" s="161" t="s">
        <v>8577</v>
      </c>
      <c r="F7614" s="163"/>
      <c r="G7614" s="163"/>
      <c r="H7614" s="161"/>
      <c r="I7614" s="161"/>
    </row>
    <row r="7615" spans="1:9">
      <c r="A7615" s="161">
        <v>130100264</v>
      </c>
      <c r="B7615" s="161" t="s">
        <v>8266</v>
      </c>
      <c r="C7615" s="161"/>
      <c r="D7615" s="161"/>
      <c r="E7615" s="161" t="s">
        <v>8577</v>
      </c>
      <c r="F7615" s="163"/>
      <c r="G7615" s="163"/>
      <c r="H7615" s="161"/>
      <c r="I7615" s="161"/>
    </row>
    <row r="7616" spans="1:9">
      <c r="A7616" s="161">
        <v>130100265</v>
      </c>
      <c r="B7616" s="161" t="s">
        <v>8267</v>
      </c>
      <c r="C7616" s="161"/>
      <c r="D7616" s="161"/>
      <c r="E7616" s="161" t="s">
        <v>8577</v>
      </c>
      <c r="F7616" s="163"/>
      <c r="G7616" s="163"/>
      <c r="H7616" s="161"/>
      <c r="I7616" s="161"/>
    </row>
    <row r="7617" spans="1:9">
      <c r="A7617" s="161">
        <v>130100266</v>
      </c>
      <c r="B7617" s="161" t="s">
        <v>8268</v>
      </c>
      <c r="C7617" s="161"/>
      <c r="D7617" s="161"/>
      <c r="E7617" s="161" t="s">
        <v>8577</v>
      </c>
      <c r="F7617" s="163"/>
      <c r="G7617" s="163"/>
      <c r="H7617" s="161"/>
      <c r="I7617" s="161"/>
    </row>
    <row r="7618" spans="1:9">
      <c r="A7618" s="161">
        <v>130100267</v>
      </c>
      <c r="B7618" s="161" t="s">
        <v>8269</v>
      </c>
      <c r="C7618" s="161"/>
      <c r="D7618" s="161"/>
      <c r="E7618" s="161" t="s">
        <v>8577</v>
      </c>
      <c r="F7618" s="163"/>
      <c r="G7618" s="163"/>
      <c r="H7618" s="161"/>
      <c r="I7618" s="161"/>
    </row>
    <row r="7619" spans="1:9">
      <c r="A7619" s="161">
        <v>130100268</v>
      </c>
      <c r="B7619" s="161" t="s">
        <v>1954</v>
      </c>
      <c r="C7619" s="161"/>
      <c r="D7619" s="161"/>
      <c r="E7619" s="161" t="s">
        <v>8577</v>
      </c>
      <c r="F7619" s="163"/>
      <c r="G7619" s="163"/>
      <c r="H7619" s="161"/>
      <c r="I7619" s="161"/>
    </row>
    <row r="7620" spans="1:9">
      <c r="A7620" s="161">
        <v>130100269</v>
      </c>
      <c r="B7620" s="161" t="s">
        <v>8270</v>
      </c>
      <c r="C7620" s="161"/>
      <c r="D7620" s="161"/>
      <c r="E7620" s="161" t="s">
        <v>8577</v>
      </c>
      <c r="F7620" s="163"/>
      <c r="G7620" s="163"/>
      <c r="H7620" s="161"/>
      <c r="I7620" s="161"/>
    </row>
    <row r="7621" spans="1:9">
      <c r="A7621" s="161">
        <v>130100270</v>
      </c>
      <c r="B7621" s="161" t="s">
        <v>1955</v>
      </c>
      <c r="C7621" s="161"/>
      <c r="D7621" s="161"/>
      <c r="E7621" s="161" t="s">
        <v>8577</v>
      </c>
      <c r="F7621" s="163"/>
      <c r="G7621" s="163"/>
      <c r="H7621" s="161"/>
      <c r="I7621" s="161"/>
    </row>
    <row r="7622" spans="1:9">
      <c r="A7622" s="161">
        <v>130100271</v>
      </c>
      <c r="B7622" s="161" t="s">
        <v>8271</v>
      </c>
      <c r="C7622" s="161"/>
      <c r="D7622" s="161"/>
      <c r="E7622" s="161" t="s">
        <v>8577</v>
      </c>
      <c r="F7622" s="163"/>
      <c r="G7622" s="163"/>
      <c r="H7622" s="161"/>
      <c r="I7622" s="161"/>
    </row>
    <row r="7623" spans="1:9">
      <c r="A7623" s="161">
        <v>130100272</v>
      </c>
      <c r="B7623" s="161" t="s">
        <v>8272</v>
      </c>
      <c r="C7623" s="161"/>
      <c r="D7623" s="161"/>
      <c r="E7623" s="161" t="s">
        <v>8577</v>
      </c>
      <c r="F7623" s="163"/>
      <c r="G7623" s="163"/>
      <c r="H7623" s="161"/>
      <c r="I7623" s="161"/>
    </row>
    <row r="7624" spans="1:9">
      <c r="A7624" s="161">
        <v>130100274</v>
      </c>
      <c r="B7624" s="161" t="s">
        <v>8273</v>
      </c>
      <c r="C7624" s="161"/>
      <c r="D7624" s="161"/>
      <c r="E7624" s="161" t="s">
        <v>8577</v>
      </c>
      <c r="F7624" s="163"/>
      <c r="G7624" s="163"/>
      <c r="H7624" s="161"/>
      <c r="I7624" s="161"/>
    </row>
    <row r="7625" spans="1:9">
      <c r="A7625" s="161">
        <v>130100275</v>
      </c>
      <c r="B7625" s="161" t="s">
        <v>8274</v>
      </c>
      <c r="C7625" s="161"/>
      <c r="D7625" s="161"/>
      <c r="E7625" s="161" t="s">
        <v>8577</v>
      </c>
      <c r="F7625" s="163"/>
      <c r="G7625" s="163"/>
      <c r="H7625" s="161"/>
      <c r="I7625" s="161"/>
    </row>
    <row r="7626" spans="1:9">
      <c r="A7626" s="161">
        <v>130100276</v>
      </c>
      <c r="B7626" s="161" t="s">
        <v>8275</v>
      </c>
      <c r="C7626" s="161"/>
      <c r="D7626" s="161"/>
      <c r="E7626" s="161" t="s">
        <v>8577</v>
      </c>
      <c r="F7626" s="163"/>
      <c r="G7626" s="163"/>
      <c r="H7626" s="161"/>
      <c r="I7626" s="161"/>
    </row>
    <row r="7627" spans="1:9">
      <c r="A7627" s="161">
        <v>130100277</v>
      </c>
      <c r="B7627" s="161" t="s">
        <v>8276</v>
      </c>
      <c r="C7627" s="161"/>
      <c r="D7627" s="161"/>
      <c r="E7627" s="161" t="s">
        <v>8577</v>
      </c>
      <c r="F7627" s="163"/>
      <c r="G7627" s="163"/>
      <c r="H7627" s="161"/>
      <c r="I7627" s="161"/>
    </row>
    <row r="7628" spans="1:9">
      <c r="A7628" s="161">
        <v>130100279</v>
      </c>
      <c r="B7628" s="161" t="s">
        <v>2546</v>
      </c>
      <c r="C7628" s="161"/>
      <c r="D7628" s="161"/>
      <c r="E7628" s="161" t="s">
        <v>8577</v>
      </c>
      <c r="F7628" s="163"/>
      <c r="G7628" s="163"/>
      <c r="H7628" s="161"/>
      <c r="I7628" s="161"/>
    </row>
    <row r="7629" spans="1:9">
      <c r="A7629" s="161">
        <v>130100280</v>
      </c>
      <c r="B7629" s="161" t="s">
        <v>8277</v>
      </c>
      <c r="C7629" s="161"/>
      <c r="D7629" s="161"/>
      <c r="E7629" s="161" t="s">
        <v>8577</v>
      </c>
      <c r="F7629" s="163"/>
      <c r="G7629" s="163"/>
      <c r="H7629" s="161"/>
      <c r="I7629" s="161"/>
    </row>
    <row r="7630" spans="1:9">
      <c r="A7630" s="161">
        <v>130100281</v>
      </c>
      <c r="B7630" s="161" t="s">
        <v>8278</v>
      </c>
      <c r="C7630" s="161"/>
      <c r="D7630" s="161"/>
      <c r="E7630" s="161" t="s">
        <v>8116</v>
      </c>
      <c r="F7630" s="163"/>
      <c r="G7630" s="163"/>
      <c r="H7630" s="161"/>
      <c r="I7630" s="161"/>
    </row>
    <row r="7631" spans="1:9">
      <c r="A7631" s="161">
        <v>130100282</v>
      </c>
      <c r="B7631" s="161" t="s">
        <v>8279</v>
      </c>
      <c r="C7631" s="161"/>
      <c r="D7631" s="161"/>
      <c r="E7631" s="161" t="s">
        <v>8116</v>
      </c>
      <c r="F7631" s="163"/>
      <c r="G7631" s="163"/>
      <c r="H7631" s="161"/>
      <c r="I7631" s="161"/>
    </row>
    <row r="7632" spans="1:9">
      <c r="A7632" s="161">
        <v>130100283</v>
      </c>
      <c r="B7632" s="161" t="s">
        <v>8280</v>
      </c>
      <c r="C7632" s="161"/>
      <c r="D7632" s="161"/>
      <c r="E7632" s="161" t="s">
        <v>8577</v>
      </c>
      <c r="F7632" s="163"/>
      <c r="G7632" s="163"/>
      <c r="H7632" s="161"/>
      <c r="I7632" s="161"/>
    </row>
    <row r="7633" spans="1:9">
      <c r="A7633" s="161">
        <v>130100285</v>
      </c>
      <c r="B7633" s="161" t="s">
        <v>8281</v>
      </c>
      <c r="C7633" s="161"/>
      <c r="D7633" s="161"/>
      <c r="E7633" s="161" t="s">
        <v>8577</v>
      </c>
      <c r="F7633" s="163"/>
      <c r="G7633" s="163"/>
      <c r="H7633" s="161"/>
      <c r="I7633" s="161"/>
    </row>
    <row r="7634" spans="1:9">
      <c r="A7634" s="161">
        <v>130100286</v>
      </c>
      <c r="B7634" s="161" t="s">
        <v>8282</v>
      </c>
      <c r="C7634" s="161"/>
      <c r="D7634" s="161"/>
      <c r="E7634" s="161" t="s">
        <v>8577</v>
      </c>
      <c r="F7634" s="163"/>
      <c r="G7634" s="163"/>
      <c r="H7634" s="161"/>
      <c r="I7634" s="161"/>
    </row>
    <row r="7635" spans="1:9">
      <c r="A7635" s="161">
        <v>130100287</v>
      </c>
      <c r="B7635" s="161" t="s">
        <v>8283</v>
      </c>
      <c r="C7635" s="161"/>
      <c r="D7635" s="161"/>
      <c r="E7635" s="161" t="s">
        <v>8577</v>
      </c>
      <c r="F7635" s="163"/>
      <c r="G7635" s="163"/>
      <c r="H7635" s="161"/>
      <c r="I7635" s="161"/>
    </row>
    <row r="7636" spans="1:9">
      <c r="A7636" s="161">
        <v>130100288</v>
      </c>
      <c r="B7636" s="161" t="s">
        <v>8284</v>
      </c>
      <c r="C7636" s="161"/>
      <c r="D7636" s="161"/>
      <c r="E7636" s="161" t="s">
        <v>102</v>
      </c>
      <c r="F7636" s="163"/>
      <c r="G7636" s="163"/>
      <c r="H7636" s="161"/>
      <c r="I7636" s="161"/>
    </row>
    <row r="7637" spans="1:9">
      <c r="A7637" s="161">
        <v>130100289</v>
      </c>
      <c r="B7637" s="161" t="s">
        <v>8285</v>
      </c>
      <c r="C7637" s="161"/>
      <c r="D7637" s="161"/>
      <c r="E7637" s="161" t="s">
        <v>8577</v>
      </c>
      <c r="F7637" s="163"/>
      <c r="G7637" s="163"/>
      <c r="H7637" s="161"/>
      <c r="I7637" s="161"/>
    </row>
    <row r="7638" spans="1:9">
      <c r="A7638" s="161">
        <v>130100291</v>
      </c>
      <c r="B7638" s="161" t="s">
        <v>8286</v>
      </c>
      <c r="C7638" s="161"/>
      <c r="D7638" s="161"/>
      <c r="E7638" s="161" t="s">
        <v>8577</v>
      </c>
      <c r="F7638" s="163"/>
      <c r="G7638" s="163"/>
      <c r="H7638" s="161"/>
      <c r="I7638" s="161"/>
    </row>
    <row r="7639" spans="1:9">
      <c r="A7639" s="161">
        <v>130100292</v>
      </c>
      <c r="B7639" s="161" t="s">
        <v>8287</v>
      </c>
      <c r="C7639" s="161"/>
      <c r="D7639" s="161"/>
      <c r="E7639" s="161" t="s">
        <v>8577</v>
      </c>
      <c r="F7639" s="163"/>
      <c r="G7639" s="163"/>
      <c r="H7639" s="161"/>
      <c r="I7639" s="161"/>
    </row>
    <row r="7640" spans="1:9">
      <c r="A7640" s="161">
        <v>130100293</v>
      </c>
      <c r="B7640" s="161" t="s">
        <v>2547</v>
      </c>
      <c r="C7640" s="161"/>
      <c r="D7640" s="161"/>
      <c r="E7640" s="161" t="s">
        <v>8577</v>
      </c>
      <c r="F7640" s="163"/>
      <c r="G7640" s="163"/>
      <c r="H7640" s="161"/>
      <c r="I7640" s="161"/>
    </row>
    <row r="7641" spans="1:9">
      <c r="A7641" s="161">
        <v>130100294</v>
      </c>
      <c r="B7641" s="161" t="s">
        <v>8288</v>
      </c>
      <c r="C7641" s="161"/>
      <c r="D7641" s="161"/>
      <c r="E7641" s="161" t="s">
        <v>1620</v>
      </c>
      <c r="F7641" s="163"/>
      <c r="G7641" s="163"/>
      <c r="H7641" s="161"/>
      <c r="I7641" s="161"/>
    </row>
    <row r="7642" spans="1:9">
      <c r="A7642" s="161">
        <v>130100295</v>
      </c>
      <c r="B7642" s="161" t="s">
        <v>8289</v>
      </c>
      <c r="C7642" s="161"/>
      <c r="D7642" s="161"/>
      <c r="E7642" s="161" t="s">
        <v>8577</v>
      </c>
      <c r="F7642" s="163"/>
      <c r="G7642" s="163"/>
      <c r="H7642" s="161"/>
      <c r="I7642" s="161"/>
    </row>
    <row r="7643" spans="1:9">
      <c r="A7643" s="161">
        <v>130100296</v>
      </c>
      <c r="B7643" s="161" t="s">
        <v>1961</v>
      </c>
      <c r="C7643" s="161"/>
      <c r="D7643" s="161"/>
      <c r="E7643" s="161" t="s">
        <v>102</v>
      </c>
      <c r="F7643" s="163"/>
      <c r="G7643" s="163"/>
      <c r="H7643" s="161"/>
      <c r="I7643" s="161"/>
    </row>
    <row r="7644" spans="1:9">
      <c r="A7644" s="161">
        <v>130100297</v>
      </c>
      <c r="B7644" s="161" t="s">
        <v>8290</v>
      </c>
      <c r="C7644" s="161"/>
      <c r="D7644" s="161"/>
      <c r="E7644" s="161" t="s">
        <v>8577</v>
      </c>
      <c r="F7644" s="163"/>
      <c r="G7644" s="163"/>
      <c r="H7644" s="161"/>
      <c r="I7644" s="161"/>
    </row>
    <row r="7645" spans="1:9">
      <c r="A7645" s="161">
        <v>130100298</v>
      </c>
      <c r="B7645" s="161" t="s">
        <v>8291</v>
      </c>
      <c r="C7645" s="161"/>
      <c r="D7645" s="161"/>
      <c r="E7645" s="161" t="s">
        <v>8577</v>
      </c>
      <c r="F7645" s="163"/>
      <c r="G7645" s="163"/>
      <c r="H7645" s="161"/>
      <c r="I7645" s="161"/>
    </row>
    <row r="7646" spans="1:9">
      <c r="A7646" s="161">
        <v>130100299</v>
      </c>
      <c r="B7646" s="161" t="s">
        <v>8292</v>
      </c>
      <c r="C7646" s="161"/>
      <c r="D7646" s="161"/>
      <c r="E7646" s="161" t="s">
        <v>8577</v>
      </c>
      <c r="F7646" s="163"/>
      <c r="G7646" s="163"/>
      <c r="H7646" s="161"/>
      <c r="I7646" s="161"/>
    </row>
    <row r="7647" spans="1:9">
      <c r="A7647" s="161">
        <v>130100301</v>
      </c>
      <c r="B7647" s="161" t="s">
        <v>1918</v>
      </c>
      <c r="C7647" s="161"/>
      <c r="D7647" s="161"/>
      <c r="E7647" s="161" t="s">
        <v>8577</v>
      </c>
      <c r="F7647" s="163"/>
      <c r="G7647" s="163"/>
      <c r="H7647" s="161"/>
      <c r="I7647" s="161"/>
    </row>
    <row r="7648" spans="1:9">
      <c r="A7648" s="161">
        <v>130100302</v>
      </c>
      <c r="B7648" s="161" t="s">
        <v>8293</v>
      </c>
      <c r="C7648" s="161"/>
      <c r="D7648" s="161"/>
      <c r="E7648" s="161" t="s">
        <v>8577</v>
      </c>
      <c r="F7648" s="163"/>
      <c r="G7648" s="163"/>
      <c r="H7648" s="161"/>
      <c r="I7648" s="161"/>
    </row>
    <row r="7649" spans="1:9">
      <c r="A7649" s="161">
        <v>130100303</v>
      </c>
      <c r="B7649" s="161" t="s">
        <v>8294</v>
      </c>
      <c r="C7649" s="161"/>
      <c r="D7649" s="161"/>
      <c r="E7649" s="161" t="s">
        <v>8577</v>
      </c>
      <c r="F7649" s="163"/>
      <c r="G7649" s="163"/>
      <c r="H7649" s="161"/>
      <c r="I7649" s="161"/>
    </row>
    <row r="7650" spans="1:9">
      <c r="A7650" s="161">
        <v>130100304</v>
      </c>
      <c r="B7650" s="161" t="s">
        <v>1972</v>
      </c>
      <c r="C7650" s="161"/>
      <c r="D7650" s="161"/>
      <c r="E7650" s="161" t="s">
        <v>8577</v>
      </c>
      <c r="F7650" s="163"/>
      <c r="G7650" s="163"/>
      <c r="H7650" s="161"/>
      <c r="I7650" s="161"/>
    </row>
    <row r="7651" spans="1:9">
      <c r="A7651" s="161">
        <v>130100306</v>
      </c>
      <c r="B7651" s="161" t="s">
        <v>8295</v>
      </c>
      <c r="C7651" s="161"/>
      <c r="D7651" s="161"/>
      <c r="E7651" s="161" t="s">
        <v>8577</v>
      </c>
      <c r="F7651" s="163"/>
      <c r="G7651" s="163"/>
      <c r="H7651" s="161"/>
      <c r="I7651" s="161"/>
    </row>
    <row r="7652" spans="1:9">
      <c r="A7652" s="161">
        <v>130100307</v>
      </c>
      <c r="B7652" s="161" t="s">
        <v>8296</v>
      </c>
      <c r="C7652" s="161"/>
      <c r="D7652" s="161"/>
      <c r="E7652" s="161" t="s">
        <v>8577</v>
      </c>
      <c r="F7652" s="163"/>
      <c r="G7652" s="163"/>
      <c r="H7652" s="161"/>
      <c r="I7652" s="161"/>
    </row>
    <row r="7653" spans="1:9">
      <c r="A7653" s="161">
        <v>130100308</v>
      </c>
      <c r="B7653" s="161" t="s">
        <v>8297</v>
      </c>
      <c r="C7653" s="161"/>
      <c r="D7653" s="161"/>
      <c r="E7653" s="161" t="s">
        <v>8577</v>
      </c>
      <c r="F7653" s="163"/>
      <c r="G7653" s="163"/>
      <c r="H7653" s="161"/>
      <c r="I7653" s="161"/>
    </row>
    <row r="7654" spans="1:9">
      <c r="A7654" s="161">
        <v>130100309</v>
      </c>
      <c r="B7654" s="161" t="s">
        <v>2548</v>
      </c>
      <c r="C7654" s="161"/>
      <c r="D7654" s="161"/>
      <c r="E7654" s="161" t="s">
        <v>8577</v>
      </c>
      <c r="F7654" s="163"/>
      <c r="G7654" s="163"/>
      <c r="H7654" s="161"/>
      <c r="I7654" s="161"/>
    </row>
    <row r="7655" spans="1:9">
      <c r="A7655" s="161">
        <v>130100311</v>
      </c>
      <c r="B7655" s="161" t="s">
        <v>8298</v>
      </c>
      <c r="C7655" s="161"/>
      <c r="D7655" s="161"/>
      <c r="E7655" s="161" t="s">
        <v>8577</v>
      </c>
      <c r="F7655" s="163"/>
      <c r="G7655" s="163"/>
      <c r="H7655" s="161"/>
      <c r="I7655" s="161"/>
    </row>
    <row r="7656" spans="1:9">
      <c r="A7656" s="161">
        <v>130100312</v>
      </c>
      <c r="B7656" s="161" t="s">
        <v>8299</v>
      </c>
      <c r="C7656" s="161"/>
      <c r="D7656" s="161"/>
      <c r="E7656" s="161" t="s">
        <v>8577</v>
      </c>
      <c r="F7656" s="163"/>
      <c r="G7656" s="163"/>
      <c r="H7656" s="161"/>
      <c r="I7656" s="161"/>
    </row>
    <row r="7657" spans="1:9">
      <c r="A7657" s="161">
        <v>130100313</v>
      </c>
      <c r="B7657" s="161" t="s">
        <v>8300</v>
      </c>
      <c r="C7657" s="161"/>
      <c r="D7657" s="161"/>
      <c r="E7657" s="161" t="s">
        <v>8577</v>
      </c>
      <c r="F7657" s="163"/>
      <c r="G7657" s="163"/>
      <c r="H7657" s="161"/>
      <c r="I7657" s="161"/>
    </row>
    <row r="7658" spans="1:9">
      <c r="A7658" s="161">
        <v>130100314</v>
      </c>
      <c r="B7658" s="161" t="s">
        <v>8301</v>
      </c>
      <c r="C7658" s="161"/>
      <c r="D7658" s="161"/>
      <c r="E7658" s="161" t="s">
        <v>8577</v>
      </c>
      <c r="F7658" s="163"/>
      <c r="G7658" s="163"/>
      <c r="H7658" s="161"/>
      <c r="I7658" s="161"/>
    </row>
    <row r="7659" spans="1:9">
      <c r="A7659" s="161">
        <v>130100316</v>
      </c>
      <c r="B7659" s="161" t="s">
        <v>8302</v>
      </c>
      <c r="C7659" s="161"/>
      <c r="D7659" s="161"/>
      <c r="E7659" s="161" t="s">
        <v>1620</v>
      </c>
      <c r="F7659" s="163"/>
      <c r="G7659" s="163"/>
      <c r="H7659" s="161"/>
      <c r="I7659" s="161"/>
    </row>
    <row r="7660" spans="1:9">
      <c r="A7660" s="161">
        <v>130100317</v>
      </c>
      <c r="B7660" s="161" t="s">
        <v>8303</v>
      </c>
      <c r="C7660" s="161"/>
      <c r="D7660" s="161"/>
      <c r="E7660" s="161" t="s">
        <v>102</v>
      </c>
      <c r="F7660" s="163"/>
      <c r="G7660" s="163"/>
      <c r="H7660" s="161"/>
      <c r="I7660" s="161"/>
    </row>
    <row r="7661" spans="1:9">
      <c r="A7661" s="161">
        <v>130100318</v>
      </c>
      <c r="B7661" s="161" t="s">
        <v>1976</v>
      </c>
      <c r="C7661" s="161"/>
      <c r="D7661" s="161"/>
      <c r="E7661" s="161" t="s">
        <v>8577</v>
      </c>
      <c r="F7661" s="163"/>
      <c r="G7661" s="163"/>
      <c r="H7661" s="161"/>
      <c r="I7661" s="161"/>
    </row>
    <row r="7662" spans="1:9">
      <c r="A7662" s="161">
        <v>130100319</v>
      </c>
      <c r="B7662" s="161" t="s">
        <v>2549</v>
      </c>
      <c r="C7662" s="161"/>
      <c r="D7662" s="161"/>
      <c r="E7662" s="161" t="s">
        <v>8577</v>
      </c>
      <c r="F7662" s="163"/>
      <c r="G7662" s="163"/>
      <c r="H7662" s="161"/>
      <c r="I7662" s="161"/>
    </row>
    <row r="7663" spans="1:9">
      <c r="A7663" s="161">
        <v>130100320</v>
      </c>
      <c r="B7663" s="161" t="s">
        <v>1883</v>
      </c>
      <c r="C7663" s="161"/>
      <c r="D7663" s="161"/>
      <c r="E7663" s="161" t="s">
        <v>8577</v>
      </c>
      <c r="F7663" s="163"/>
      <c r="G7663" s="163"/>
      <c r="H7663" s="161"/>
      <c r="I7663" s="161"/>
    </row>
    <row r="7664" spans="1:9">
      <c r="A7664" s="161">
        <v>130100321</v>
      </c>
      <c r="B7664" s="161" t="s">
        <v>8304</v>
      </c>
      <c r="C7664" s="161"/>
      <c r="D7664" s="161"/>
      <c r="E7664" s="161" t="s">
        <v>8577</v>
      </c>
      <c r="F7664" s="163"/>
      <c r="G7664" s="163"/>
      <c r="H7664" s="161"/>
      <c r="I7664" s="161"/>
    </row>
    <row r="7665" spans="1:9">
      <c r="A7665" s="161">
        <v>130100322</v>
      </c>
      <c r="B7665" s="161" t="s">
        <v>8305</v>
      </c>
      <c r="C7665" s="161"/>
      <c r="D7665" s="161"/>
      <c r="E7665" s="161" t="s">
        <v>8577</v>
      </c>
      <c r="F7665" s="163"/>
      <c r="G7665" s="163"/>
      <c r="H7665" s="161"/>
      <c r="I7665" s="161"/>
    </row>
    <row r="7666" spans="1:9">
      <c r="A7666" s="161">
        <v>130100323</v>
      </c>
      <c r="B7666" s="161" t="s">
        <v>8306</v>
      </c>
      <c r="C7666" s="161"/>
      <c r="D7666" s="161"/>
      <c r="E7666" s="161" t="s">
        <v>8577</v>
      </c>
      <c r="F7666" s="163"/>
      <c r="G7666" s="163"/>
      <c r="H7666" s="161"/>
      <c r="I7666" s="161"/>
    </row>
    <row r="7667" spans="1:9">
      <c r="A7667" s="161">
        <v>130100324</v>
      </c>
      <c r="B7667" s="161" t="s">
        <v>8307</v>
      </c>
      <c r="C7667" s="161"/>
      <c r="D7667" s="161"/>
      <c r="E7667" s="161" t="s">
        <v>8577</v>
      </c>
      <c r="F7667" s="163"/>
      <c r="G7667" s="163"/>
      <c r="H7667" s="161"/>
      <c r="I7667" s="161"/>
    </row>
    <row r="7668" spans="1:9">
      <c r="A7668" s="161">
        <v>130100325</v>
      </c>
      <c r="B7668" s="161" t="s">
        <v>8308</v>
      </c>
      <c r="C7668" s="161"/>
      <c r="D7668" s="161"/>
      <c r="E7668" s="161" t="s">
        <v>8577</v>
      </c>
      <c r="F7668" s="163"/>
      <c r="G7668" s="163"/>
      <c r="H7668" s="161"/>
      <c r="I7668" s="161"/>
    </row>
    <row r="7669" spans="1:9">
      <c r="A7669" s="161">
        <v>130100327</v>
      </c>
      <c r="B7669" s="161" t="s">
        <v>8309</v>
      </c>
      <c r="C7669" s="161"/>
      <c r="D7669" s="161"/>
      <c r="E7669" s="161" t="s">
        <v>8577</v>
      </c>
      <c r="F7669" s="163"/>
      <c r="G7669" s="163"/>
      <c r="H7669" s="161"/>
      <c r="I7669" s="161"/>
    </row>
    <row r="7670" spans="1:9">
      <c r="A7670" s="161">
        <v>130100328</v>
      </c>
      <c r="B7670" s="161" t="s">
        <v>8310</v>
      </c>
      <c r="C7670" s="161"/>
      <c r="D7670" s="161"/>
      <c r="E7670" s="161" t="s">
        <v>8577</v>
      </c>
      <c r="F7670" s="163"/>
      <c r="G7670" s="163"/>
      <c r="H7670" s="161"/>
      <c r="I7670" s="161"/>
    </row>
    <row r="7671" spans="1:9">
      <c r="A7671" s="161">
        <v>130100329</v>
      </c>
      <c r="B7671" s="161" t="s">
        <v>8311</v>
      </c>
      <c r="C7671" s="161"/>
      <c r="D7671" s="161"/>
      <c r="E7671" s="161" t="s">
        <v>8577</v>
      </c>
      <c r="F7671" s="163"/>
      <c r="G7671" s="163"/>
      <c r="H7671" s="161"/>
      <c r="I7671" s="161"/>
    </row>
    <row r="7672" spans="1:9">
      <c r="A7672" s="161">
        <v>130100331</v>
      </c>
      <c r="B7672" s="161" t="s">
        <v>8312</v>
      </c>
      <c r="C7672" s="161"/>
      <c r="D7672" s="161"/>
      <c r="E7672" s="161" t="s">
        <v>8577</v>
      </c>
      <c r="F7672" s="163"/>
      <c r="G7672" s="163"/>
      <c r="H7672" s="161"/>
      <c r="I7672" s="161"/>
    </row>
    <row r="7673" spans="1:9">
      <c r="A7673" s="161">
        <v>130100332</v>
      </c>
      <c r="B7673" s="161" t="s">
        <v>1886</v>
      </c>
      <c r="C7673" s="161"/>
      <c r="D7673" s="161"/>
      <c r="E7673" s="161" t="s">
        <v>8577</v>
      </c>
      <c r="F7673" s="163"/>
      <c r="G7673" s="163"/>
      <c r="H7673" s="161"/>
      <c r="I7673" s="161"/>
    </row>
    <row r="7674" spans="1:9">
      <c r="A7674" s="161">
        <v>130100333</v>
      </c>
      <c r="B7674" s="161" t="s">
        <v>1887</v>
      </c>
      <c r="C7674" s="161"/>
      <c r="D7674" s="161"/>
      <c r="E7674" s="161" t="s">
        <v>8577</v>
      </c>
      <c r="F7674" s="163"/>
      <c r="G7674" s="163"/>
      <c r="H7674" s="161"/>
      <c r="I7674" s="161"/>
    </row>
    <row r="7675" spans="1:9">
      <c r="A7675" s="161">
        <v>130100334</v>
      </c>
      <c r="B7675" s="161" t="s">
        <v>8313</v>
      </c>
      <c r="C7675" s="161"/>
      <c r="D7675" s="161"/>
      <c r="E7675" s="161" t="s">
        <v>8577</v>
      </c>
      <c r="F7675" s="163"/>
      <c r="G7675" s="163"/>
      <c r="H7675" s="161"/>
      <c r="I7675" s="161"/>
    </row>
    <row r="7676" spans="1:9">
      <c r="A7676" s="161">
        <v>130100335</v>
      </c>
      <c r="B7676" s="161" t="s">
        <v>8314</v>
      </c>
      <c r="C7676" s="161"/>
      <c r="D7676" s="161"/>
      <c r="E7676" s="161" t="s">
        <v>8577</v>
      </c>
      <c r="F7676" s="163"/>
      <c r="G7676" s="163"/>
      <c r="H7676" s="161"/>
      <c r="I7676" s="161"/>
    </row>
    <row r="7677" spans="1:9">
      <c r="A7677" s="161">
        <v>130100336</v>
      </c>
      <c r="B7677" s="161" t="s">
        <v>1888</v>
      </c>
      <c r="C7677" s="161"/>
      <c r="D7677" s="161"/>
      <c r="E7677" s="161" t="s">
        <v>8577</v>
      </c>
      <c r="F7677" s="163"/>
      <c r="G7677" s="163"/>
      <c r="H7677" s="161"/>
      <c r="I7677" s="161"/>
    </row>
    <row r="7678" spans="1:9">
      <c r="A7678" s="161">
        <v>130100337</v>
      </c>
      <c r="B7678" s="161" t="s">
        <v>1889</v>
      </c>
      <c r="C7678" s="161"/>
      <c r="D7678" s="161"/>
      <c r="E7678" s="161" t="s">
        <v>8577</v>
      </c>
      <c r="F7678" s="163"/>
      <c r="G7678" s="163"/>
      <c r="H7678" s="161"/>
      <c r="I7678" s="161"/>
    </row>
    <row r="7679" spans="1:9">
      <c r="A7679" s="161">
        <v>130100338</v>
      </c>
      <c r="B7679" s="161" t="s">
        <v>8315</v>
      </c>
      <c r="C7679" s="161"/>
      <c r="D7679" s="161"/>
      <c r="E7679" s="161" t="s">
        <v>8577</v>
      </c>
      <c r="F7679" s="163"/>
      <c r="G7679" s="163"/>
      <c r="H7679" s="161"/>
      <c r="I7679" s="161"/>
    </row>
    <row r="7680" spans="1:9">
      <c r="A7680" s="161">
        <v>130100339</v>
      </c>
      <c r="B7680" s="161" t="s">
        <v>8316</v>
      </c>
      <c r="C7680" s="161"/>
      <c r="D7680" s="161"/>
      <c r="E7680" s="161" t="s">
        <v>8577</v>
      </c>
      <c r="F7680" s="163"/>
      <c r="G7680" s="163"/>
      <c r="H7680" s="161"/>
      <c r="I7680" s="161"/>
    </row>
    <row r="7681" spans="1:9">
      <c r="A7681" s="161">
        <v>130100340</v>
      </c>
      <c r="B7681" s="161" t="s">
        <v>8317</v>
      </c>
      <c r="C7681" s="161"/>
      <c r="D7681" s="161"/>
      <c r="E7681" s="161" t="s">
        <v>8577</v>
      </c>
      <c r="F7681" s="163"/>
      <c r="G7681" s="163"/>
      <c r="H7681" s="161"/>
      <c r="I7681" s="161"/>
    </row>
    <row r="7682" spans="1:9">
      <c r="A7682" s="161">
        <v>130100341</v>
      </c>
      <c r="B7682" s="161" t="s">
        <v>8318</v>
      </c>
      <c r="C7682" s="161"/>
      <c r="D7682" s="161"/>
      <c r="E7682" s="161" t="s">
        <v>8577</v>
      </c>
      <c r="F7682" s="163"/>
      <c r="G7682" s="163"/>
      <c r="H7682" s="161"/>
      <c r="I7682" s="161"/>
    </row>
    <row r="7683" spans="1:9">
      <c r="A7683" s="161">
        <v>130100342</v>
      </c>
      <c r="B7683" s="161" t="s">
        <v>8319</v>
      </c>
      <c r="C7683" s="161"/>
      <c r="D7683" s="161"/>
      <c r="E7683" s="161" t="s">
        <v>8577</v>
      </c>
      <c r="F7683" s="163"/>
      <c r="G7683" s="163"/>
      <c r="H7683" s="161"/>
      <c r="I7683" s="161"/>
    </row>
    <row r="7684" spans="1:9">
      <c r="A7684" s="161">
        <v>130100343</v>
      </c>
      <c r="B7684" s="161" t="s">
        <v>8320</v>
      </c>
      <c r="C7684" s="161"/>
      <c r="D7684" s="161"/>
      <c r="E7684" s="161" t="s">
        <v>8577</v>
      </c>
      <c r="F7684" s="163"/>
      <c r="G7684" s="163"/>
      <c r="H7684" s="161"/>
      <c r="I7684" s="161"/>
    </row>
    <row r="7685" spans="1:9">
      <c r="A7685" s="161">
        <v>130100344</v>
      </c>
      <c r="B7685" s="161" t="s">
        <v>8321</v>
      </c>
      <c r="C7685" s="161"/>
      <c r="D7685" s="161"/>
      <c r="E7685" s="161" t="s">
        <v>8577</v>
      </c>
      <c r="F7685" s="163"/>
      <c r="G7685" s="163"/>
      <c r="H7685" s="161"/>
      <c r="I7685" s="161"/>
    </row>
    <row r="7686" spans="1:9">
      <c r="A7686" s="161">
        <v>130100346</v>
      </c>
      <c r="B7686" s="161" t="s">
        <v>8322</v>
      </c>
      <c r="C7686" s="161"/>
      <c r="D7686" s="161"/>
      <c r="E7686" s="161" t="s">
        <v>8577</v>
      </c>
      <c r="F7686" s="163"/>
      <c r="G7686" s="163"/>
      <c r="H7686" s="161"/>
      <c r="I7686" s="161"/>
    </row>
    <row r="7687" spans="1:9">
      <c r="A7687" s="161">
        <v>130100349</v>
      </c>
      <c r="B7687" s="161" t="s">
        <v>8323</v>
      </c>
      <c r="C7687" s="161"/>
      <c r="D7687" s="161"/>
      <c r="E7687" s="161" t="s">
        <v>8577</v>
      </c>
      <c r="F7687" s="163"/>
      <c r="G7687" s="163"/>
      <c r="H7687" s="161"/>
      <c r="I7687" s="161"/>
    </row>
    <row r="7688" spans="1:9">
      <c r="A7688" s="161">
        <v>130100350</v>
      </c>
      <c r="B7688" s="161" t="s">
        <v>1965</v>
      </c>
      <c r="C7688" s="161"/>
      <c r="D7688" s="161"/>
      <c r="E7688" s="161" t="s">
        <v>8577</v>
      </c>
      <c r="F7688" s="163"/>
      <c r="G7688" s="163"/>
      <c r="H7688" s="161"/>
      <c r="I7688" s="161"/>
    </row>
    <row r="7689" spans="1:9">
      <c r="A7689" s="161">
        <v>130100351</v>
      </c>
      <c r="B7689" s="161" t="s">
        <v>8324</v>
      </c>
      <c r="C7689" s="161"/>
      <c r="D7689" s="161"/>
      <c r="E7689" s="161" t="s">
        <v>8577</v>
      </c>
      <c r="F7689" s="163"/>
      <c r="G7689" s="163"/>
      <c r="H7689" s="161"/>
      <c r="I7689" s="161"/>
    </row>
    <row r="7690" spans="1:9">
      <c r="A7690" s="161">
        <v>130100352</v>
      </c>
      <c r="B7690" s="161" t="s">
        <v>8325</v>
      </c>
      <c r="C7690" s="161"/>
      <c r="D7690" s="161"/>
      <c r="E7690" s="161" t="s">
        <v>8116</v>
      </c>
      <c r="F7690" s="163"/>
      <c r="G7690" s="163"/>
      <c r="H7690" s="161"/>
      <c r="I7690" s="161"/>
    </row>
    <row r="7691" spans="1:9">
      <c r="A7691" s="161">
        <v>130100353</v>
      </c>
      <c r="B7691" s="161" t="s">
        <v>2550</v>
      </c>
      <c r="C7691" s="161"/>
      <c r="D7691" s="161"/>
      <c r="E7691" s="161" t="s">
        <v>8577</v>
      </c>
      <c r="F7691" s="163"/>
      <c r="G7691" s="163"/>
      <c r="H7691" s="161"/>
      <c r="I7691" s="161"/>
    </row>
    <row r="7692" spans="1:9">
      <c r="A7692" s="161">
        <v>130100355</v>
      </c>
      <c r="B7692" s="161" t="s">
        <v>8326</v>
      </c>
      <c r="C7692" s="161"/>
      <c r="D7692" s="161"/>
      <c r="E7692" s="161" t="s">
        <v>8577</v>
      </c>
      <c r="F7692" s="163"/>
      <c r="G7692" s="163"/>
      <c r="H7692" s="161"/>
      <c r="I7692" s="161"/>
    </row>
    <row r="7693" spans="1:9">
      <c r="A7693" s="161">
        <v>130100356</v>
      </c>
      <c r="B7693" s="161" t="s">
        <v>8327</v>
      </c>
      <c r="C7693" s="161"/>
      <c r="D7693" s="161"/>
      <c r="E7693" s="161" t="s">
        <v>8577</v>
      </c>
      <c r="F7693" s="163"/>
      <c r="G7693" s="163"/>
      <c r="H7693" s="161"/>
      <c r="I7693" s="161"/>
    </row>
    <row r="7694" spans="1:9">
      <c r="A7694" s="161">
        <v>130100357</v>
      </c>
      <c r="B7694" s="161" t="s">
        <v>1913</v>
      </c>
      <c r="C7694" s="161"/>
      <c r="D7694" s="161"/>
      <c r="E7694" s="161" t="s">
        <v>8577</v>
      </c>
      <c r="F7694" s="163"/>
      <c r="G7694" s="163"/>
      <c r="H7694" s="161"/>
      <c r="I7694" s="161"/>
    </row>
    <row r="7695" spans="1:9">
      <c r="A7695" s="161">
        <v>130100358</v>
      </c>
      <c r="B7695" s="161" t="s">
        <v>8328</v>
      </c>
      <c r="C7695" s="161"/>
      <c r="D7695" s="161"/>
      <c r="E7695" s="161" t="s">
        <v>8577</v>
      </c>
      <c r="F7695" s="163"/>
      <c r="G7695" s="163"/>
      <c r="H7695" s="161"/>
      <c r="I7695" s="161"/>
    </row>
    <row r="7696" spans="1:9">
      <c r="A7696" s="161">
        <v>130100359</v>
      </c>
      <c r="B7696" s="161" t="s">
        <v>1960</v>
      </c>
      <c r="C7696" s="161"/>
      <c r="D7696" s="161"/>
      <c r="E7696" s="161" t="s">
        <v>8577</v>
      </c>
      <c r="F7696" s="163"/>
      <c r="G7696" s="163"/>
      <c r="H7696" s="161"/>
      <c r="I7696" s="161"/>
    </row>
    <row r="7697" spans="1:9">
      <c r="A7697" s="161">
        <v>130100360</v>
      </c>
      <c r="B7697" s="161" t="s">
        <v>2551</v>
      </c>
      <c r="C7697" s="161"/>
      <c r="D7697" s="161"/>
      <c r="E7697" s="161" t="s">
        <v>8577</v>
      </c>
      <c r="F7697" s="163"/>
      <c r="G7697" s="163"/>
      <c r="H7697" s="161"/>
      <c r="I7697" s="161"/>
    </row>
    <row r="7698" spans="1:9">
      <c r="A7698" s="161">
        <v>130100361</v>
      </c>
      <c r="B7698" s="161" t="s">
        <v>8329</v>
      </c>
      <c r="C7698" s="161"/>
      <c r="D7698" s="161"/>
      <c r="E7698" s="161" t="s">
        <v>8577</v>
      </c>
      <c r="F7698" s="163"/>
      <c r="G7698" s="163"/>
      <c r="H7698" s="161"/>
      <c r="I7698" s="161"/>
    </row>
    <row r="7699" spans="1:9">
      <c r="A7699" s="161">
        <v>130100362</v>
      </c>
      <c r="B7699" s="161" t="s">
        <v>1893</v>
      </c>
      <c r="C7699" s="161"/>
      <c r="D7699" s="161"/>
      <c r="E7699" s="161" t="s">
        <v>8577</v>
      </c>
      <c r="F7699" s="163"/>
      <c r="G7699" s="163"/>
      <c r="H7699" s="161"/>
      <c r="I7699" s="161"/>
    </row>
    <row r="7700" spans="1:9">
      <c r="A7700" s="161">
        <v>130100363</v>
      </c>
      <c r="B7700" s="161" t="s">
        <v>1892</v>
      </c>
      <c r="C7700" s="161"/>
      <c r="D7700" s="161"/>
      <c r="E7700" s="161" t="s">
        <v>8577</v>
      </c>
      <c r="F7700" s="163"/>
      <c r="G7700" s="163"/>
      <c r="H7700" s="161"/>
      <c r="I7700" s="161"/>
    </row>
    <row r="7701" spans="1:9">
      <c r="A7701" s="161">
        <v>130100364</v>
      </c>
      <c r="B7701" s="161" t="s">
        <v>8330</v>
      </c>
      <c r="C7701" s="161"/>
      <c r="D7701" s="161"/>
      <c r="E7701" s="161" t="s">
        <v>8577</v>
      </c>
      <c r="F7701" s="163"/>
      <c r="G7701" s="163"/>
      <c r="H7701" s="161"/>
      <c r="I7701" s="161"/>
    </row>
    <row r="7702" spans="1:9">
      <c r="A7702" s="161">
        <v>130100365</v>
      </c>
      <c r="B7702" s="161" t="s">
        <v>8331</v>
      </c>
      <c r="C7702" s="161"/>
      <c r="D7702" s="161"/>
      <c r="E7702" s="161" t="s">
        <v>8577</v>
      </c>
      <c r="F7702" s="163"/>
      <c r="G7702" s="163"/>
      <c r="H7702" s="161"/>
      <c r="I7702" s="161"/>
    </row>
    <row r="7703" spans="1:9">
      <c r="A7703" s="161">
        <v>130100367</v>
      </c>
      <c r="B7703" s="161" t="s">
        <v>1952</v>
      </c>
      <c r="C7703" s="161"/>
      <c r="D7703" s="161"/>
      <c r="E7703" s="161" t="s">
        <v>8577</v>
      </c>
      <c r="F7703" s="163"/>
      <c r="G7703" s="163"/>
      <c r="H7703" s="161"/>
      <c r="I7703" s="161"/>
    </row>
    <row r="7704" spans="1:9">
      <c r="A7704" s="161">
        <v>130100369</v>
      </c>
      <c r="B7704" s="161" t="s">
        <v>8332</v>
      </c>
      <c r="C7704" s="161"/>
      <c r="D7704" s="161"/>
      <c r="E7704" s="161" t="s">
        <v>8577</v>
      </c>
      <c r="F7704" s="163"/>
      <c r="G7704" s="163"/>
      <c r="H7704" s="161"/>
      <c r="I7704" s="161"/>
    </row>
    <row r="7705" spans="1:9">
      <c r="A7705" s="161">
        <v>130100370</v>
      </c>
      <c r="B7705" s="161" t="s">
        <v>1894</v>
      </c>
      <c r="C7705" s="161"/>
      <c r="D7705" s="161"/>
      <c r="E7705" s="161" t="s">
        <v>8577</v>
      </c>
      <c r="F7705" s="163"/>
      <c r="G7705" s="163"/>
      <c r="H7705" s="161"/>
      <c r="I7705" s="161"/>
    </row>
    <row r="7706" spans="1:9">
      <c r="A7706" s="161">
        <v>130100371</v>
      </c>
      <c r="B7706" s="161" t="s">
        <v>8333</v>
      </c>
      <c r="C7706" s="161"/>
      <c r="D7706" s="161"/>
      <c r="E7706" s="161" t="s">
        <v>8577</v>
      </c>
      <c r="F7706" s="163"/>
      <c r="G7706" s="163"/>
      <c r="H7706" s="161"/>
      <c r="I7706" s="161"/>
    </row>
    <row r="7707" spans="1:9">
      <c r="A7707" s="161">
        <v>130100374</v>
      </c>
      <c r="B7707" s="161" t="s">
        <v>8334</v>
      </c>
      <c r="C7707" s="161"/>
      <c r="D7707" s="161"/>
      <c r="E7707" s="161" t="s">
        <v>8577</v>
      </c>
      <c r="F7707" s="163"/>
      <c r="G7707" s="163"/>
      <c r="H7707" s="161"/>
      <c r="I7707" s="161"/>
    </row>
    <row r="7708" spans="1:9">
      <c r="A7708" s="161">
        <v>130100375</v>
      </c>
      <c r="B7708" s="161" t="s">
        <v>2552</v>
      </c>
      <c r="C7708" s="161"/>
      <c r="D7708" s="161"/>
      <c r="E7708" s="161" t="s">
        <v>8577</v>
      </c>
      <c r="F7708" s="163"/>
      <c r="G7708" s="163"/>
      <c r="H7708" s="161"/>
      <c r="I7708" s="161"/>
    </row>
    <row r="7709" spans="1:9">
      <c r="A7709" s="161">
        <v>130100376</v>
      </c>
      <c r="B7709" s="161" t="s">
        <v>8335</v>
      </c>
      <c r="C7709" s="161"/>
      <c r="D7709" s="161"/>
      <c r="E7709" s="161" t="s">
        <v>102</v>
      </c>
      <c r="F7709" s="163"/>
      <c r="G7709" s="163"/>
      <c r="H7709" s="161"/>
      <c r="I7709" s="161"/>
    </row>
    <row r="7710" spans="1:9">
      <c r="A7710" s="161">
        <v>130100377</v>
      </c>
      <c r="B7710" s="161" t="s">
        <v>8336</v>
      </c>
      <c r="C7710" s="161"/>
      <c r="D7710" s="161"/>
      <c r="E7710" s="161" t="s">
        <v>8577</v>
      </c>
      <c r="F7710" s="163"/>
      <c r="G7710" s="163"/>
      <c r="H7710" s="161"/>
      <c r="I7710" s="161"/>
    </row>
    <row r="7711" spans="1:9">
      <c r="A7711" s="161">
        <v>130100378</v>
      </c>
      <c r="B7711" s="161" t="s">
        <v>8337</v>
      </c>
      <c r="C7711" s="161"/>
      <c r="D7711" s="161"/>
      <c r="E7711" s="161" t="s">
        <v>8577</v>
      </c>
      <c r="F7711" s="163"/>
      <c r="G7711" s="163"/>
      <c r="H7711" s="161"/>
      <c r="I7711" s="161"/>
    </row>
    <row r="7712" spans="1:9">
      <c r="A7712" s="161">
        <v>130100379</v>
      </c>
      <c r="B7712" s="161" t="s">
        <v>8338</v>
      </c>
      <c r="C7712" s="161"/>
      <c r="D7712" s="161"/>
      <c r="E7712" s="161" t="s">
        <v>8577</v>
      </c>
      <c r="F7712" s="163"/>
      <c r="G7712" s="163"/>
      <c r="H7712" s="161"/>
      <c r="I7712" s="161"/>
    </row>
    <row r="7713" spans="1:9">
      <c r="A7713" s="161">
        <v>130100380</v>
      </c>
      <c r="B7713" s="161" t="s">
        <v>8339</v>
      </c>
      <c r="C7713" s="161"/>
      <c r="D7713" s="161"/>
      <c r="E7713" s="161" t="s">
        <v>8577</v>
      </c>
      <c r="F7713" s="163"/>
      <c r="G7713" s="163"/>
      <c r="H7713" s="161"/>
      <c r="I7713" s="161"/>
    </row>
    <row r="7714" spans="1:9">
      <c r="A7714" s="161">
        <v>130100383</v>
      </c>
      <c r="B7714" s="161" t="s">
        <v>1896</v>
      </c>
      <c r="C7714" s="161"/>
      <c r="D7714" s="161"/>
      <c r="E7714" s="161" t="s">
        <v>8577</v>
      </c>
      <c r="F7714" s="163"/>
      <c r="G7714" s="163"/>
      <c r="H7714" s="161"/>
      <c r="I7714" s="161"/>
    </row>
    <row r="7715" spans="1:9">
      <c r="A7715" s="161">
        <v>130100384</v>
      </c>
      <c r="B7715" s="161" t="s">
        <v>8340</v>
      </c>
      <c r="C7715" s="161"/>
      <c r="D7715" s="161"/>
      <c r="E7715" s="161" t="s">
        <v>8116</v>
      </c>
      <c r="F7715" s="163"/>
      <c r="G7715" s="163"/>
      <c r="H7715" s="161"/>
      <c r="I7715" s="161"/>
    </row>
    <row r="7716" spans="1:9">
      <c r="A7716" s="161">
        <v>130100385</v>
      </c>
      <c r="B7716" s="161" t="s">
        <v>8341</v>
      </c>
      <c r="C7716" s="161"/>
      <c r="D7716" s="161"/>
      <c r="E7716" s="161" t="s">
        <v>8577</v>
      </c>
      <c r="F7716" s="163"/>
      <c r="G7716" s="163"/>
      <c r="H7716" s="161"/>
      <c r="I7716" s="161"/>
    </row>
    <row r="7717" spans="1:9">
      <c r="A7717" s="161">
        <v>130100386</v>
      </c>
      <c r="B7717" s="161" t="s">
        <v>8342</v>
      </c>
      <c r="C7717" s="161"/>
      <c r="D7717" s="161"/>
      <c r="E7717" s="161" t="s">
        <v>8577</v>
      </c>
      <c r="F7717" s="163"/>
      <c r="G7717" s="163"/>
      <c r="H7717" s="161"/>
      <c r="I7717" s="161"/>
    </row>
    <row r="7718" spans="1:9">
      <c r="A7718" s="161">
        <v>130100387</v>
      </c>
      <c r="B7718" s="161" t="s">
        <v>8343</v>
      </c>
      <c r="C7718" s="161"/>
      <c r="D7718" s="161"/>
      <c r="E7718" s="161" t="s">
        <v>8577</v>
      </c>
      <c r="F7718" s="163"/>
      <c r="G7718" s="163"/>
      <c r="H7718" s="161"/>
      <c r="I7718" s="161"/>
    </row>
    <row r="7719" spans="1:9">
      <c r="A7719" s="161">
        <v>130100391</v>
      </c>
      <c r="B7719" s="161" t="s">
        <v>8344</v>
      </c>
      <c r="C7719" s="161"/>
      <c r="D7719" s="161"/>
      <c r="E7719" s="161" t="s">
        <v>8577</v>
      </c>
      <c r="F7719" s="163"/>
      <c r="G7719" s="163"/>
      <c r="H7719" s="161"/>
      <c r="I7719" s="161"/>
    </row>
    <row r="7720" spans="1:9">
      <c r="A7720" s="161">
        <v>130100392</v>
      </c>
      <c r="B7720" s="161" t="s">
        <v>8345</v>
      </c>
      <c r="C7720" s="161"/>
      <c r="D7720" s="161"/>
      <c r="E7720" s="161" t="s">
        <v>8577</v>
      </c>
      <c r="F7720" s="163"/>
      <c r="G7720" s="163"/>
      <c r="H7720" s="161"/>
      <c r="I7720" s="161"/>
    </row>
    <row r="7721" spans="1:9">
      <c r="A7721" s="161">
        <v>130100393</v>
      </c>
      <c r="B7721" s="161" t="s">
        <v>8346</v>
      </c>
      <c r="C7721" s="161"/>
      <c r="D7721" s="161"/>
      <c r="E7721" s="161" t="s">
        <v>8577</v>
      </c>
      <c r="F7721" s="163"/>
      <c r="G7721" s="163"/>
      <c r="H7721" s="161"/>
      <c r="I7721" s="161"/>
    </row>
    <row r="7722" spans="1:9">
      <c r="A7722" s="161">
        <v>130100394</v>
      </c>
      <c r="B7722" s="161" t="s">
        <v>8347</v>
      </c>
      <c r="C7722" s="161"/>
      <c r="D7722" s="161"/>
      <c r="E7722" s="161" t="s">
        <v>8577</v>
      </c>
      <c r="F7722" s="163"/>
      <c r="G7722" s="163"/>
      <c r="H7722" s="161"/>
      <c r="I7722" s="161"/>
    </row>
    <row r="7723" spans="1:9">
      <c r="A7723" s="161">
        <v>130100395</v>
      </c>
      <c r="B7723" s="161" t="s">
        <v>2553</v>
      </c>
      <c r="C7723" s="161"/>
      <c r="D7723" s="161"/>
      <c r="E7723" s="161" t="s">
        <v>8577</v>
      </c>
      <c r="F7723" s="163"/>
      <c r="G7723" s="163"/>
      <c r="H7723" s="161"/>
      <c r="I7723" s="161"/>
    </row>
    <row r="7724" spans="1:9">
      <c r="A7724" s="161">
        <v>130100396</v>
      </c>
      <c r="B7724" s="161" t="s">
        <v>2554</v>
      </c>
      <c r="C7724" s="161"/>
      <c r="D7724" s="161"/>
      <c r="E7724" s="161" t="s">
        <v>8577</v>
      </c>
      <c r="F7724" s="163"/>
      <c r="G7724" s="163"/>
      <c r="H7724" s="161"/>
      <c r="I7724" s="161"/>
    </row>
    <row r="7725" spans="1:9">
      <c r="A7725" s="161">
        <v>130100399</v>
      </c>
      <c r="B7725" s="161" t="s">
        <v>8348</v>
      </c>
      <c r="C7725" s="161"/>
      <c r="D7725" s="161"/>
      <c r="E7725" s="161" t="s">
        <v>8577</v>
      </c>
      <c r="F7725" s="163"/>
      <c r="G7725" s="163"/>
      <c r="H7725" s="161"/>
      <c r="I7725" s="161"/>
    </row>
    <row r="7726" spans="1:9">
      <c r="A7726" s="161">
        <v>130100400</v>
      </c>
      <c r="B7726" s="161" t="s">
        <v>8349</v>
      </c>
      <c r="C7726" s="161"/>
      <c r="D7726" s="161"/>
      <c r="E7726" s="161" t="s">
        <v>8577</v>
      </c>
      <c r="F7726" s="163"/>
      <c r="G7726" s="163"/>
      <c r="H7726" s="161"/>
      <c r="I7726" s="161"/>
    </row>
    <row r="7727" spans="1:9">
      <c r="A7727" s="161">
        <v>130100401</v>
      </c>
      <c r="B7727" s="161" t="s">
        <v>8350</v>
      </c>
      <c r="C7727" s="161"/>
      <c r="D7727" s="161"/>
      <c r="E7727" s="161" t="s">
        <v>8577</v>
      </c>
      <c r="F7727" s="163"/>
      <c r="G7727" s="163"/>
      <c r="H7727" s="161"/>
      <c r="I7727" s="161"/>
    </row>
    <row r="7728" spans="1:9">
      <c r="A7728" s="161">
        <v>130100402</v>
      </c>
      <c r="B7728" s="161" t="s">
        <v>2555</v>
      </c>
      <c r="C7728" s="161"/>
      <c r="D7728" s="161"/>
      <c r="E7728" s="161" t="s">
        <v>1620</v>
      </c>
      <c r="F7728" s="163"/>
      <c r="G7728" s="163"/>
      <c r="H7728" s="161"/>
      <c r="I7728" s="161"/>
    </row>
    <row r="7729" spans="1:9">
      <c r="A7729" s="161">
        <v>130100403</v>
      </c>
      <c r="B7729" s="161" t="s">
        <v>8351</v>
      </c>
      <c r="C7729" s="161"/>
      <c r="D7729" s="161"/>
      <c r="E7729" s="161" t="s">
        <v>8577</v>
      </c>
      <c r="F7729" s="163"/>
      <c r="G7729" s="163"/>
      <c r="H7729" s="161"/>
      <c r="I7729" s="161"/>
    </row>
    <row r="7730" spans="1:9">
      <c r="A7730" s="161">
        <v>130100405</v>
      </c>
      <c r="B7730" s="161" t="s">
        <v>8352</v>
      </c>
      <c r="C7730" s="161"/>
      <c r="D7730" s="161"/>
      <c r="E7730" s="161" t="s">
        <v>8577</v>
      </c>
      <c r="F7730" s="163"/>
      <c r="G7730" s="163"/>
      <c r="H7730" s="161"/>
      <c r="I7730" s="161"/>
    </row>
    <row r="7731" spans="1:9">
      <c r="A7731" s="161">
        <v>130100407</v>
      </c>
      <c r="B7731" s="161" t="s">
        <v>8353</v>
      </c>
      <c r="C7731" s="161"/>
      <c r="D7731" s="161"/>
      <c r="E7731" s="161" t="s">
        <v>8577</v>
      </c>
      <c r="F7731" s="163"/>
      <c r="G7731" s="163"/>
      <c r="H7731" s="161"/>
      <c r="I7731" s="161"/>
    </row>
    <row r="7732" spans="1:9">
      <c r="A7732" s="161">
        <v>130100410</v>
      </c>
      <c r="B7732" s="161" t="s">
        <v>8354</v>
      </c>
      <c r="C7732" s="161"/>
      <c r="D7732" s="161"/>
      <c r="E7732" s="161" t="s">
        <v>8577</v>
      </c>
      <c r="F7732" s="163"/>
      <c r="G7732" s="163"/>
      <c r="H7732" s="161"/>
      <c r="I7732" s="161"/>
    </row>
    <row r="7733" spans="1:9">
      <c r="A7733" s="161">
        <v>130100411</v>
      </c>
      <c r="B7733" s="161" t="s">
        <v>8355</v>
      </c>
      <c r="C7733" s="161"/>
      <c r="D7733" s="161"/>
      <c r="E7733" s="161" t="s">
        <v>8577</v>
      </c>
      <c r="F7733" s="163"/>
      <c r="G7733" s="163"/>
      <c r="H7733" s="161"/>
      <c r="I7733" s="161"/>
    </row>
    <row r="7734" spans="1:9">
      <c r="A7734" s="161">
        <v>130100412</v>
      </c>
      <c r="B7734" s="161" t="s">
        <v>8356</v>
      </c>
      <c r="C7734" s="161"/>
      <c r="D7734" s="161"/>
      <c r="E7734" s="161" t="s">
        <v>102</v>
      </c>
      <c r="F7734" s="163"/>
      <c r="G7734" s="163"/>
      <c r="H7734" s="161"/>
      <c r="I7734" s="161"/>
    </row>
    <row r="7735" spans="1:9">
      <c r="A7735" s="161">
        <v>130100413</v>
      </c>
      <c r="B7735" s="161" t="s">
        <v>8357</v>
      </c>
      <c r="C7735" s="161"/>
      <c r="D7735" s="161"/>
      <c r="E7735" s="161" t="s">
        <v>8577</v>
      </c>
      <c r="F7735" s="163"/>
      <c r="G7735" s="163"/>
      <c r="H7735" s="161"/>
      <c r="I7735" s="161"/>
    </row>
    <row r="7736" spans="1:9">
      <c r="A7736" s="161">
        <v>130100414</v>
      </c>
      <c r="B7736" s="161" t="s">
        <v>8358</v>
      </c>
      <c r="C7736" s="161"/>
      <c r="D7736" s="161"/>
      <c r="E7736" s="161" t="s">
        <v>8577</v>
      </c>
      <c r="F7736" s="163"/>
      <c r="G7736" s="163"/>
      <c r="H7736" s="161"/>
      <c r="I7736" s="161"/>
    </row>
    <row r="7737" spans="1:9">
      <c r="A7737" s="161">
        <v>130100416</v>
      </c>
      <c r="B7737" s="161" t="s">
        <v>2556</v>
      </c>
      <c r="C7737" s="161"/>
      <c r="D7737" s="161"/>
      <c r="E7737" s="161" t="s">
        <v>8577</v>
      </c>
      <c r="F7737" s="163"/>
      <c r="G7737" s="163"/>
      <c r="H7737" s="161"/>
      <c r="I7737" s="161"/>
    </row>
    <row r="7738" spans="1:9">
      <c r="A7738" s="161">
        <v>130100418</v>
      </c>
      <c r="B7738" s="161" t="s">
        <v>2557</v>
      </c>
      <c r="C7738" s="161"/>
      <c r="D7738" s="161"/>
      <c r="E7738" s="161" t="s">
        <v>8577</v>
      </c>
      <c r="F7738" s="163"/>
      <c r="G7738" s="163"/>
      <c r="H7738" s="161"/>
      <c r="I7738" s="161"/>
    </row>
    <row r="7739" spans="1:9">
      <c r="A7739" s="161">
        <v>130100419</v>
      </c>
      <c r="B7739" s="161" t="s">
        <v>8359</v>
      </c>
      <c r="C7739" s="161"/>
      <c r="D7739" s="161"/>
      <c r="E7739" s="161" t="s">
        <v>1620</v>
      </c>
      <c r="F7739" s="163"/>
      <c r="G7739" s="163"/>
      <c r="H7739" s="161"/>
      <c r="I7739" s="161"/>
    </row>
    <row r="7740" spans="1:9">
      <c r="A7740" s="161">
        <v>130100420</v>
      </c>
      <c r="B7740" s="161" t="s">
        <v>2027</v>
      </c>
      <c r="C7740" s="161"/>
      <c r="D7740" s="161"/>
      <c r="E7740" s="161" t="s">
        <v>8577</v>
      </c>
      <c r="F7740" s="163"/>
      <c r="G7740" s="163"/>
      <c r="H7740" s="161"/>
      <c r="I7740" s="161"/>
    </row>
    <row r="7741" spans="1:9">
      <c r="A7741" s="161">
        <v>130100421</v>
      </c>
      <c r="B7741" s="161" t="s">
        <v>8360</v>
      </c>
      <c r="C7741" s="161"/>
      <c r="D7741" s="161"/>
      <c r="E7741" s="161" t="s">
        <v>8577</v>
      </c>
      <c r="F7741" s="163"/>
      <c r="G7741" s="163"/>
      <c r="H7741" s="161"/>
      <c r="I7741" s="161"/>
    </row>
    <row r="7742" spans="1:9">
      <c r="A7742" s="161">
        <v>130100423</v>
      </c>
      <c r="B7742" s="161" t="s">
        <v>1931</v>
      </c>
      <c r="C7742" s="161"/>
      <c r="D7742" s="161"/>
      <c r="E7742" s="161" t="s">
        <v>8577</v>
      </c>
      <c r="F7742" s="163"/>
      <c r="G7742" s="163"/>
      <c r="H7742" s="161"/>
      <c r="I7742" s="161"/>
    </row>
    <row r="7743" spans="1:9">
      <c r="A7743" s="161">
        <v>130100424</v>
      </c>
      <c r="B7743" s="161" t="s">
        <v>8361</v>
      </c>
      <c r="C7743" s="161"/>
      <c r="D7743" s="161"/>
      <c r="E7743" s="161" t="s">
        <v>8577</v>
      </c>
      <c r="F7743" s="163"/>
      <c r="G7743" s="163"/>
      <c r="H7743" s="161"/>
      <c r="I7743" s="161"/>
    </row>
    <row r="7744" spans="1:9">
      <c r="A7744" s="161">
        <v>130100425</v>
      </c>
      <c r="B7744" s="161" t="s">
        <v>1902</v>
      </c>
      <c r="C7744" s="161"/>
      <c r="D7744" s="161"/>
      <c r="E7744" s="161" t="s">
        <v>8577</v>
      </c>
      <c r="F7744" s="163"/>
      <c r="G7744" s="163"/>
      <c r="H7744" s="161"/>
      <c r="I7744" s="161"/>
    </row>
    <row r="7745" spans="1:9">
      <c r="A7745" s="161">
        <v>130100426</v>
      </c>
      <c r="B7745" s="161" t="s">
        <v>2558</v>
      </c>
      <c r="C7745" s="161"/>
      <c r="D7745" s="161"/>
      <c r="E7745" s="161" t="s">
        <v>8577</v>
      </c>
      <c r="F7745" s="163"/>
      <c r="G7745" s="163"/>
      <c r="H7745" s="161"/>
      <c r="I7745" s="161"/>
    </row>
    <row r="7746" spans="1:9">
      <c r="A7746" s="161">
        <v>130100427</v>
      </c>
      <c r="B7746" s="161" t="s">
        <v>8362</v>
      </c>
      <c r="C7746" s="161"/>
      <c r="D7746" s="161"/>
      <c r="E7746" s="161" t="s">
        <v>8577</v>
      </c>
      <c r="F7746" s="163"/>
      <c r="G7746" s="163"/>
      <c r="H7746" s="161"/>
      <c r="I7746" s="161"/>
    </row>
    <row r="7747" spans="1:9">
      <c r="A7747" s="161">
        <v>130100428</v>
      </c>
      <c r="B7747" s="161" t="s">
        <v>8363</v>
      </c>
      <c r="C7747" s="161"/>
      <c r="D7747" s="161"/>
      <c r="E7747" s="161" t="s">
        <v>8577</v>
      </c>
      <c r="F7747" s="163"/>
      <c r="G7747" s="163"/>
      <c r="H7747" s="161"/>
      <c r="I7747" s="161"/>
    </row>
    <row r="7748" spans="1:9">
      <c r="A7748" s="161">
        <v>130100429</v>
      </c>
      <c r="B7748" s="161" t="s">
        <v>8364</v>
      </c>
      <c r="C7748" s="161"/>
      <c r="D7748" s="161"/>
      <c r="E7748" s="161" t="s">
        <v>8577</v>
      </c>
      <c r="F7748" s="163"/>
      <c r="G7748" s="163"/>
      <c r="H7748" s="161"/>
      <c r="I7748" s="161"/>
    </row>
    <row r="7749" spans="1:9">
      <c r="A7749" s="161">
        <v>130100431</v>
      </c>
      <c r="B7749" s="161" t="s">
        <v>8365</v>
      </c>
      <c r="C7749" s="161"/>
      <c r="D7749" s="161"/>
      <c r="E7749" s="161" t="s">
        <v>8577</v>
      </c>
      <c r="F7749" s="163"/>
      <c r="G7749" s="163"/>
      <c r="H7749" s="161"/>
      <c r="I7749" s="161"/>
    </row>
    <row r="7750" spans="1:9">
      <c r="A7750" s="161">
        <v>130100433</v>
      </c>
      <c r="B7750" s="161" t="s">
        <v>8366</v>
      </c>
      <c r="C7750" s="161"/>
      <c r="D7750" s="161"/>
      <c r="E7750" s="161" t="s">
        <v>8577</v>
      </c>
      <c r="F7750" s="163"/>
      <c r="G7750" s="163"/>
      <c r="H7750" s="161"/>
      <c r="I7750" s="161"/>
    </row>
    <row r="7751" spans="1:9">
      <c r="A7751" s="161">
        <v>130100434</v>
      </c>
      <c r="B7751" s="161" t="s">
        <v>1900</v>
      </c>
      <c r="C7751" s="161"/>
      <c r="D7751" s="161"/>
      <c r="E7751" s="161" t="s">
        <v>8577</v>
      </c>
      <c r="F7751" s="163"/>
      <c r="G7751" s="163"/>
      <c r="H7751" s="161"/>
      <c r="I7751" s="161"/>
    </row>
    <row r="7752" spans="1:9">
      <c r="A7752" s="161">
        <v>130100435</v>
      </c>
      <c r="B7752" s="161" t="s">
        <v>1901</v>
      </c>
      <c r="C7752" s="161"/>
      <c r="D7752" s="161"/>
      <c r="E7752" s="161" t="s">
        <v>8577</v>
      </c>
      <c r="F7752" s="163"/>
      <c r="G7752" s="163"/>
      <c r="H7752" s="161"/>
      <c r="I7752" s="161"/>
    </row>
    <row r="7753" spans="1:9">
      <c r="A7753" s="161">
        <v>130100436</v>
      </c>
      <c r="B7753" s="161" t="s">
        <v>8367</v>
      </c>
      <c r="C7753" s="161"/>
      <c r="D7753" s="161"/>
      <c r="E7753" s="161" t="s">
        <v>8577</v>
      </c>
      <c r="F7753" s="163"/>
      <c r="G7753" s="163"/>
      <c r="H7753" s="161"/>
      <c r="I7753" s="161"/>
    </row>
    <row r="7754" spans="1:9">
      <c r="A7754" s="161">
        <v>130100437</v>
      </c>
      <c r="B7754" s="161" t="s">
        <v>8368</v>
      </c>
      <c r="C7754" s="161"/>
      <c r="D7754" s="161"/>
      <c r="E7754" s="161" t="s">
        <v>8577</v>
      </c>
      <c r="F7754" s="163"/>
      <c r="G7754" s="163"/>
      <c r="H7754" s="161"/>
      <c r="I7754" s="161"/>
    </row>
    <row r="7755" spans="1:9">
      <c r="A7755" s="161">
        <v>130100439</v>
      </c>
      <c r="B7755" s="161" t="s">
        <v>8369</v>
      </c>
      <c r="C7755" s="161"/>
      <c r="D7755" s="161"/>
      <c r="E7755" s="161" t="s">
        <v>8577</v>
      </c>
      <c r="F7755" s="163"/>
      <c r="G7755" s="163"/>
      <c r="H7755" s="161"/>
      <c r="I7755" s="161"/>
    </row>
    <row r="7756" spans="1:9">
      <c r="A7756" s="161">
        <v>130100440</v>
      </c>
      <c r="B7756" s="161" t="s">
        <v>8370</v>
      </c>
      <c r="C7756" s="161"/>
      <c r="D7756" s="161"/>
      <c r="E7756" s="161" t="s">
        <v>8577</v>
      </c>
      <c r="F7756" s="163"/>
      <c r="G7756" s="163"/>
      <c r="H7756" s="161"/>
      <c r="I7756" s="161"/>
    </row>
    <row r="7757" spans="1:9">
      <c r="A7757" s="161">
        <v>130100441</v>
      </c>
      <c r="B7757" s="161" t="s">
        <v>8371</v>
      </c>
      <c r="C7757" s="161"/>
      <c r="D7757" s="161"/>
      <c r="E7757" s="161" t="s">
        <v>8577</v>
      </c>
      <c r="F7757" s="163"/>
      <c r="G7757" s="163"/>
      <c r="H7757" s="161"/>
      <c r="I7757" s="161"/>
    </row>
    <row r="7758" spans="1:9">
      <c r="A7758" s="161">
        <v>130100443</v>
      </c>
      <c r="B7758" s="161" t="s">
        <v>8372</v>
      </c>
      <c r="C7758" s="161"/>
      <c r="D7758" s="161"/>
      <c r="E7758" s="161" t="s">
        <v>8577</v>
      </c>
      <c r="F7758" s="163"/>
      <c r="G7758" s="163"/>
      <c r="H7758" s="161"/>
      <c r="I7758" s="161"/>
    </row>
    <row r="7759" spans="1:9">
      <c r="A7759" s="161">
        <v>130100444</v>
      </c>
      <c r="B7759" s="161" t="s">
        <v>1953</v>
      </c>
      <c r="C7759" s="161"/>
      <c r="D7759" s="161"/>
      <c r="E7759" s="161" t="s">
        <v>8577</v>
      </c>
      <c r="F7759" s="163"/>
      <c r="G7759" s="163"/>
      <c r="H7759" s="161"/>
      <c r="I7759" s="161"/>
    </row>
    <row r="7760" spans="1:9">
      <c r="A7760" s="161">
        <v>130100446</v>
      </c>
      <c r="B7760" s="161" t="s">
        <v>8373</v>
      </c>
      <c r="C7760" s="161"/>
      <c r="D7760" s="161"/>
      <c r="E7760" s="161" t="s">
        <v>8577</v>
      </c>
      <c r="F7760" s="163"/>
      <c r="G7760" s="163"/>
      <c r="H7760" s="161"/>
      <c r="I7760" s="161"/>
    </row>
    <row r="7761" spans="1:9">
      <c r="A7761" s="161">
        <v>130100447</v>
      </c>
      <c r="B7761" s="161" t="s">
        <v>8374</v>
      </c>
      <c r="C7761" s="161"/>
      <c r="D7761" s="161"/>
      <c r="E7761" s="161" t="s">
        <v>8577</v>
      </c>
      <c r="F7761" s="163"/>
      <c r="G7761" s="163"/>
      <c r="H7761" s="161"/>
      <c r="I7761" s="161"/>
    </row>
    <row r="7762" spans="1:9">
      <c r="A7762" s="161">
        <v>130100448</v>
      </c>
      <c r="B7762" s="161" t="s">
        <v>8375</v>
      </c>
      <c r="C7762" s="161"/>
      <c r="D7762" s="161"/>
      <c r="E7762" s="161" t="s">
        <v>8577</v>
      </c>
      <c r="F7762" s="163"/>
      <c r="G7762" s="163"/>
      <c r="H7762" s="161"/>
      <c r="I7762" s="161"/>
    </row>
    <row r="7763" spans="1:9">
      <c r="A7763" s="161">
        <v>130100449</v>
      </c>
      <c r="B7763" s="161" t="s">
        <v>1855</v>
      </c>
      <c r="C7763" s="161"/>
      <c r="D7763" s="161"/>
      <c r="E7763" s="161" t="s">
        <v>8577</v>
      </c>
      <c r="F7763" s="163"/>
      <c r="G7763" s="163"/>
      <c r="H7763" s="161"/>
      <c r="I7763" s="161"/>
    </row>
    <row r="7764" spans="1:9">
      <c r="A7764" s="161">
        <v>130100451</v>
      </c>
      <c r="B7764" s="161" t="s">
        <v>1927</v>
      </c>
      <c r="C7764" s="161"/>
      <c r="D7764" s="161"/>
      <c r="E7764" s="161" t="s">
        <v>8577</v>
      </c>
      <c r="F7764" s="163"/>
      <c r="G7764" s="163"/>
      <c r="H7764" s="161"/>
      <c r="I7764" s="161"/>
    </row>
    <row r="7765" spans="1:9">
      <c r="A7765" s="161">
        <v>130100452</v>
      </c>
      <c r="B7765" s="161" t="s">
        <v>8376</v>
      </c>
      <c r="C7765" s="161"/>
      <c r="D7765" s="161"/>
      <c r="E7765" s="161" t="s">
        <v>8577</v>
      </c>
      <c r="F7765" s="163"/>
      <c r="G7765" s="163"/>
      <c r="H7765" s="161"/>
      <c r="I7765" s="161"/>
    </row>
    <row r="7766" spans="1:9">
      <c r="A7766" s="161">
        <v>130100453</v>
      </c>
      <c r="B7766" s="161" t="s">
        <v>8377</v>
      </c>
      <c r="C7766" s="161"/>
      <c r="D7766" s="161"/>
      <c r="E7766" s="161" t="s">
        <v>8577</v>
      </c>
      <c r="F7766" s="163"/>
      <c r="G7766" s="163"/>
      <c r="H7766" s="161"/>
      <c r="I7766" s="161"/>
    </row>
    <row r="7767" spans="1:9">
      <c r="A7767" s="161">
        <v>130100455</v>
      </c>
      <c r="B7767" s="161" t="s">
        <v>8378</v>
      </c>
      <c r="C7767" s="161"/>
      <c r="D7767" s="161"/>
      <c r="E7767" s="161" t="s">
        <v>8577</v>
      </c>
      <c r="F7767" s="163"/>
      <c r="G7767" s="163"/>
      <c r="H7767" s="161"/>
      <c r="I7767" s="161"/>
    </row>
    <row r="7768" spans="1:9">
      <c r="A7768" s="161">
        <v>130100456</v>
      </c>
      <c r="B7768" s="161" t="s">
        <v>8379</v>
      </c>
      <c r="C7768" s="161"/>
      <c r="D7768" s="161"/>
      <c r="E7768" s="161" t="s">
        <v>8577</v>
      </c>
      <c r="F7768" s="163"/>
      <c r="G7768" s="163"/>
      <c r="H7768" s="161"/>
      <c r="I7768" s="161"/>
    </row>
    <row r="7769" spans="1:9">
      <c r="A7769" s="161">
        <v>130100457</v>
      </c>
      <c r="B7769" s="161" t="s">
        <v>8380</v>
      </c>
      <c r="C7769" s="161"/>
      <c r="D7769" s="161"/>
      <c r="E7769" s="161" t="s">
        <v>8577</v>
      </c>
      <c r="F7769" s="163"/>
      <c r="G7769" s="163"/>
      <c r="H7769" s="161"/>
      <c r="I7769" s="161"/>
    </row>
    <row r="7770" spans="1:9">
      <c r="A7770" s="161">
        <v>130100458</v>
      </c>
      <c r="B7770" s="161" t="s">
        <v>8381</v>
      </c>
      <c r="C7770" s="161"/>
      <c r="D7770" s="161"/>
      <c r="E7770" s="161" t="s">
        <v>8577</v>
      </c>
      <c r="F7770" s="163"/>
      <c r="G7770" s="163"/>
      <c r="H7770" s="161"/>
      <c r="I7770" s="161"/>
    </row>
    <row r="7771" spans="1:9">
      <c r="A7771" s="161">
        <v>130100459</v>
      </c>
      <c r="B7771" s="161" t="s">
        <v>8382</v>
      </c>
      <c r="C7771" s="161"/>
      <c r="D7771" s="161"/>
      <c r="E7771" s="161" t="s">
        <v>8577</v>
      </c>
      <c r="F7771" s="163"/>
      <c r="G7771" s="163"/>
      <c r="H7771" s="161"/>
      <c r="I7771" s="161"/>
    </row>
    <row r="7772" spans="1:9">
      <c r="A7772" s="161">
        <v>130100460</v>
      </c>
      <c r="B7772" s="161" t="s">
        <v>8383</v>
      </c>
      <c r="C7772" s="161"/>
      <c r="D7772" s="161"/>
      <c r="E7772" s="161" t="s">
        <v>8577</v>
      </c>
      <c r="F7772" s="163"/>
      <c r="G7772" s="163"/>
      <c r="H7772" s="161"/>
      <c r="I7772" s="161"/>
    </row>
    <row r="7773" spans="1:9">
      <c r="A7773" s="161">
        <v>130100461</v>
      </c>
      <c r="B7773" s="161" t="s">
        <v>8384</v>
      </c>
      <c r="C7773" s="161"/>
      <c r="D7773" s="161"/>
      <c r="E7773" s="161" t="s">
        <v>8577</v>
      </c>
      <c r="F7773" s="163"/>
      <c r="G7773" s="163"/>
      <c r="H7773" s="161"/>
      <c r="I7773" s="161"/>
    </row>
    <row r="7774" spans="1:9">
      <c r="A7774" s="161">
        <v>130100463</v>
      </c>
      <c r="B7774" s="161" t="s">
        <v>1959</v>
      </c>
      <c r="C7774" s="161"/>
      <c r="D7774" s="161"/>
      <c r="E7774" s="161" t="s">
        <v>8116</v>
      </c>
      <c r="F7774" s="163"/>
      <c r="G7774" s="163"/>
      <c r="H7774" s="161"/>
      <c r="I7774" s="161"/>
    </row>
    <row r="7775" spans="1:9">
      <c r="A7775" s="161">
        <v>130100464</v>
      </c>
      <c r="B7775" s="161" t="s">
        <v>8385</v>
      </c>
      <c r="C7775" s="161"/>
      <c r="D7775" s="161"/>
      <c r="E7775" s="161" t="s">
        <v>8116</v>
      </c>
      <c r="F7775" s="163"/>
      <c r="G7775" s="163"/>
      <c r="H7775" s="161"/>
      <c r="I7775" s="161"/>
    </row>
    <row r="7776" spans="1:9">
      <c r="A7776" s="161">
        <v>130100465</v>
      </c>
      <c r="B7776" s="161" t="s">
        <v>8386</v>
      </c>
      <c r="C7776" s="161"/>
      <c r="D7776" s="161"/>
      <c r="E7776" s="161" t="s">
        <v>8116</v>
      </c>
      <c r="F7776" s="163"/>
      <c r="G7776" s="163"/>
      <c r="H7776" s="161"/>
      <c r="I7776" s="161"/>
    </row>
    <row r="7777" spans="1:9">
      <c r="A7777" s="161">
        <v>130100466</v>
      </c>
      <c r="B7777" s="161" t="s">
        <v>8387</v>
      </c>
      <c r="C7777" s="161"/>
      <c r="D7777" s="161"/>
      <c r="E7777" s="161" t="s">
        <v>8116</v>
      </c>
      <c r="F7777" s="163"/>
      <c r="G7777" s="163"/>
      <c r="H7777" s="161"/>
      <c r="I7777" s="161"/>
    </row>
    <row r="7778" spans="1:9">
      <c r="A7778" s="161">
        <v>130100467</v>
      </c>
      <c r="B7778" s="161" t="s">
        <v>1906</v>
      </c>
      <c r="C7778" s="161"/>
      <c r="D7778" s="161"/>
      <c r="E7778" s="161" t="s">
        <v>8116</v>
      </c>
      <c r="F7778" s="163"/>
      <c r="G7778" s="163"/>
      <c r="H7778" s="161"/>
      <c r="I7778" s="161"/>
    </row>
    <row r="7779" spans="1:9">
      <c r="A7779" s="161">
        <v>130100468</v>
      </c>
      <c r="B7779" s="161" t="s">
        <v>8388</v>
      </c>
      <c r="C7779" s="161"/>
      <c r="D7779" s="161"/>
      <c r="E7779" s="161" t="s">
        <v>8116</v>
      </c>
      <c r="F7779" s="163"/>
      <c r="G7779" s="163"/>
      <c r="H7779" s="161"/>
      <c r="I7779" s="161"/>
    </row>
    <row r="7780" spans="1:9">
      <c r="A7780" s="161">
        <v>130100469</v>
      </c>
      <c r="B7780" s="161" t="s">
        <v>8389</v>
      </c>
      <c r="C7780" s="161"/>
      <c r="D7780" s="161"/>
      <c r="E7780" s="161" t="s">
        <v>8116</v>
      </c>
      <c r="F7780" s="163"/>
      <c r="G7780" s="163"/>
      <c r="H7780" s="161"/>
      <c r="I7780" s="161"/>
    </row>
    <row r="7781" spans="1:9">
      <c r="A7781" s="161">
        <v>130100472</v>
      </c>
      <c r="B7781" s="161" t="s">
        <v>2559</v>
      </c>
      <c r="C7781" s="161"/>
      <c r="D7781" s="161"/>
      <c r="E7781" s="161" t="s">
        <v>1620</v>
      </c>
      <c r="F7781" s="163"/>
      <c r="G7781" s="163"/>
      <c r="H7781" s="161"/>
      <c r="I7781" s="161"/>
    </row>
    <row r="7782" spans="1:9">
      <c r="A7782" s="161">
        <v>130100473</v>
      </c>
      <c r="B7782" s="161" t="s">
        <v>8390</v>
      </c>
      <c r="C7782" s="161"/>
      <c r="D7782" s="161"/>
      <c r="E7782" s="161" t="s">
        <v>8577</v>
      </c>
      <c r="F7782" s="163"/>
      <c r="G7782" s="163"/>
      <c r="H7782" s="161"/>
      <c r="I7782" s="161"/>
    </row>
    <row r="7783" spans="1:9">
      <c r="A7783" s="161">
        <v>130100475</v>
      </c>
      <c r="B7783" s="161" t="s">
        <v>8391</v>
      </c>
      <c r="C7783" s="161"/>
      <c r="D7783" s="161"/>
      <c r="E7783" s="161" t="s">
        <v>8577</v>
      </c>
      <c r="F7783" s="163"/>
      <c r="G7783" s="163"/>
      <c r="H7783" s="161"/>
      <c r="I7783" s="161"/>
    </row>
    <row r="7784" spans="1:9">
      <c r="A7784" s="161">
        <v>130100478</v>
      </c>
      <c r="B7784" s="161" t="s">
        <v>8392</v>
      </c>
      <c r="C7784" s="161"/>
      <c r="D7784" s="161"/>
      <c r="E7784" s="161" t="s">
        <v>8577</v>
      </c>
      <c r="F7784" s="163"/>
      <c r="G7784" s="163"/>
      <c r="H7784" s="161"/>
      <c r="I7784" s="161"/>
    </row>
    <row r="7785" spans="1:9">
      <c r="A7785" s="161">
        <v>130100479</v>
      </c>
      <c r="B7785" s="161" t="s">
        <v>8393</v>
      </c>
      <c r="C7785" s="161"/>
      <c r="D7785" s="161"/>
      <c r="E7785" s="161" t="s">
        <v>8577</v>
      </c>
      <c r="F7785" s="163"/>
      <c r="G7785" s="163"/>
      <c r="H7785" s="161"/>
      <c r="I7785" s="161"/>
    </row>
    <row r="7786" spans="1:9">
      <c r="A7786" s="161">
        <v>130100480</v>
      </c>
      <c r="B7786" s="161" t="s">
        <v>8394</v>
      </c>
      <c r="C7786" s="161"/>
      <c r="D7786" s="161"/>
      <c r="E7786" s="161" t="s">
        <v>8577</v>
      </c>
      <c r="F7786" s="163"/>
      <c r="G7786" s="163"/>
      <c r="H7786" s="161"/>
      <c r="I7786" s="161"/>
    </row>
    <row r="7787" spans="1:9">
      <c r="A7787" s="161">
        <v>130100481</v>
      </c>
      <c r="B7787" s="161" t="s">
        <v>8395</v>
      </c>
      <c r="C7787" s="161"/>
      <c r="D7787" s="161"/>
      <c r="E7787" s="161" t="s">
        <v>8577</v>
      </c>
      <c r="F7787" s="163"/>
      <c r="G7787" s="163"/>
      <c r="H7787" s="161"/>
      <c r="I7787" s="161"/>
    </row>
    <row r="7788" spans="1:9">
      <c r="A7788" s="161">
        <v>130100482</v>
      </c>
      <c r="B7788" s="161" t="s">
        <v>8396</v>
      </c>
      <c r="C7788" s="161"/>
      <c r="D7788" s="161"/>
      <c r="E7788" s="161" t="s">
        <v>8577</v>
      </c>
      <c r="F7788" s="163"/>
      <c r="G7788" s="163"/>
      <c r="H7788" s="161"/>
      <c r="I7788" s="161"/>
    </row>
    <row r="7789" spans="1:9">
      <c r="A7789" s="161">
        <v>130100483</v>
      </c>
      <c r="B7789" s="161" t="s">
        <v>8397</v>
      </c>
      <c r="C7789" s="161"/>
      <c r="D7789" s="161"/>
      <c r="E7789" s="161" t="s">
        <v>8577</v>
      </c>
      <c r="F7789" s="163"/>
      <c r="G7789" s="163"/>
      <c r="H7789" s="161"/>
      <c r="I7789" s="161"/>
    </row>
    <row r="7790" spans="1:9">
      <c r="A7790" s="161">
        <v>130100484</v>
      </c>
      <c r="B7790" s="161" t="s">
        <v>8398</v>
      </c>
      <c r="C7790" s="161"/>
      <c r="D7790" s="161"/>
      <c r="E7790" s="161" t="s">
        <v>8577</v>
      </c>
      <c r="F7790" s="163"/>
      <c r="G7790" s="163"/>
      <c r="H7790" s="161"/>
      <c r="I7790" s="161"/>
    </row>
    <row r="7791" spans="1:9">
      <c r="A7791" s="161">
        <v>130100485</v>
      </c>
      <c r="B7791" s="161" t="s">
        <v>8399</v>
      </c>
      <c r="C7791" s="161"/>
      <c r="D7791" s="161"/>
      <c r="E7791" s="161" t="s">
        <v>102</v>
      </c>
      <c r="F7791" s="163"/>
      <c r="G7791" s="163"/>
      <c r="H7791" s="161"/>
      <c r="I7791" s="161"/>
    </row>
    <row r="7792" spans="1:9">
      <c r="A7792" s="161">
        <v>130100486</v>
      </c>
      <c r="B7792" s="161" t="s">
        <v>8400</v>
      </c>
      <c r="C7792" s="161"/>
      <c r="D7792" s="161"/>
      <c r="E7792" s="161" t="s">
        <v>102</v>
      </c>
      <c r="F7792" s="163"/>
      <c r="G7792" s="163"/>
      <c r="H7792" s="161"/>
      <c r="I7792" s="161"/>
    </row>
    <row r="7793" spans="1:9">
      <c r="A7793" s="161">
        <v>130100487</v>
      </c>
      <c r="B7793" s="161" t="s">
        <v>2560</v>
      </c>
      <c r="C7793" s="161"/>
      <c r="D7793" s="161"/>
      <c r="E7793" s="161" t="s">
        <v>8577</v>
      </c>
      <c r="F7793" s="163"/>
      <c r="G7793" s="163"/>
      <c r="H7793" s="161"/>
      <c r="I7793" s="161"/>
    </row>
    <row r="7794" spans="1:9">
      <c r="A7794" s="161">
        <v>130100488</v>
      </c>
      <c r="B7794" s="161" t="s">
        <v>2561</v>
      </c>
      <c r="C7794" s="161"/>
      <c r="D7794" s="161"/>
      <c r="E7794" s="161" t="s">
        <v>8577</v>
      </c>
      <c r="F7794" s="163"/>
      <c r="G7794" s="163"/>
      <c r="H7794" s="161"/>
      <c r="I7794" s="161"/>
    </row>
    <row r="7795" spans="1:9">
      <c r="A7795" s="161">
        <v>130100489</v>
      </c>
      <c r="B7795" s="161" t="s">
        <v>2562</v>
      </c>
      <c r="C7795" s="161"/>
      <c r="D7795" s="161"/>
      <c r="E7795" s="161" t="s">
        <v>8577</v>
      </c>
      <c r="F7795" s="163"/>
      <c r="G7795" s="163"/>
      <c r="H7795" s="161"/>
      <c r="I7795" s="161"/>
    </row>
    <row r="7796" spans="1:9">
      <c r="A7796" s="161">
        <v>130100490</v>
      </c>
      <c r="B7796" s="161" t="s">
        <v>2563</v>
      </c>
      <c r="C7796" s="161"/>
      <c r="D7796" s="161"/>
      <c r="E7796" s="161" t="s">
        <v>8577</v>
      </c>
      <c r="F7796" s="163"/>
      <c r="G7796" s="163"/>
      <c r="H7796" s="161"/>
      <c r="I7796" s="161"/>
    </row>
    <row r="7797" spans="1:9">
      <c r="A7797" s="161">
        <v>130100491</v>
      </c>
      <c r="B7797" s="161" t="s">
        <v>2564</v>
      </c>
      <c r="C7797" s="161"/>
      <c r="D7797" s="161"/>
      <c r="E7797" s="161" t="s">
        <v>8577</v>
      </c>
      <c r="F7797" s="163"/>
      <c r="G7797" s="163"/>
      <c r="H7797" s="161"/>
      <c r="I7797" s="161"/>
    </row>
    <row r="7798" spans="1:9">
      <c r="A7798" s="161">
        <v>130100492</v>
      </c>
      <c r="B7798" s="161" t="s">
        <v>2565</v>
      </c>
      <c r="C7798" s="161"/>
      <c r="D7798" s="161"/>
      <c r="E7798" s="161" t="s">
        <v>8577</v>
      </c>
      <c r="F7798" s="163"/>
      <c r="G7798" s="163"/>
      <c r="H7798" s="161"/>
      <c r="I7798" s="161"/>
    </row>
    <row r="7799" spans="1:9">
      <c r="A7799" s="161">
        <v>130100493</v>
      </c>
      <c r="B7799" s="161" t="s">
        <v>2566</v>
      </c>
      <c r="C7799" s="161"/>
      <c r="D7799" s="161"/>
      <c r="E7799" s="161" t="s">
        <v>8577</v>
      </c>
      <c r="F7799" s="163"/>
      <c r="G7799" s="163"/>
      <c r="H7799" s="161"/>
      <c r="I7799" s="161"/>
    </row>
    <row r="7800" spans="1:9">
      <c r="A7800" s="161">
        <v>130100494</v>
      </c>
      <c r="B7800" s="161" t="s">
        <v>2567</v>
      </c>
      <c r="C7800" s="161"/>
      <c r="D7800" s="161"/>
      <c r="E7800" s="161" t="s">
        <v>8577</v>
      </c>
      <c r="F7800" s="163"/>
      <c r="G7800" s="163"/>
      <c r="H7800" s="161"/>
      <c r="I7800" s="161"/>
    </row>
    <row r="7801" spans="1:9">
      <c r="A7801" s="161">
        <v>130100495</v>
      </c>
      <c r="B7801" s="161" t="s">
        <v>2568</v>
      </c>
      <c r="C7801" s="161"/>
      <c r="D7801" s="161"/>
      <c r="E7801" s="161" t="s">
        <v>8577</v>
      </c>
      <c r="F7801" s="163"/>
      <c r="G7801" s="163"/>
      <c r="H7801" s="161"/>
      <c r="I7801" s="161"/>
    </row>
    <row r="7802" spans="1:9">
      <c r="A7802" s="161">
        <v>130100496</v>
      </c>
      <c r="B7802" s="161" t="s">
        <v>2569</v>
      </c>
      <c r="C7802" s="161"/>
      <c r="D7802" s="161"/>
      <c r="E7802" s="161" t="s">
        <v>8577</v>
      </c>
      <c r="F7802" s="163"/>
      <c r="G7802" s="163"/>
      <c r="H7802" s="161"/>
      <c r="I7802" s="161"/>
    </row>
    <row r="7803" spans="1:9">
      <c r="A7803" s="161">
        <v>130100497</v>
      </c>
      <c r="B7803" s="161" t="s">
        <v>2570</v>
      </c>
      <c r="C7803" s="161"/>
      <c r="D7803" s="161"/>
      <c r="E7803" s="161" t="s">
        <v>8577</v>
      </c>
      <c r="F7803" s="163"/>
      <c r="G7803" s="163"/>
      <c r="H7803" s="161"/>
      <c r="I7803" s="161"/>
    </row>
    <row r="7804" spans="1:9">
      <c r="A7804" s="161">
        <v>130100498</v>
      </c>
      <c r="B7804" s="161" t="s">
        <v>2571</v>
      </c>
      <c r="C7804" s="161"/>
      <c r="D7804" s="161"/>
      <c r="E7804" s="161" t="s">
        <v>8577</v>
      </c>
      <c r="F7804" s="163"/>
      <c r="G7804" s="163"/>
      <c r="H7804" s="161"/>
      <c r="I7804" s="161"/>
    </row>
    <row r="7805" spans="1:9">
      <c r="A7805" s="161">
        <v>130100499</v>
      </c>
      <c r="B7805" s="161" t="s">
        <v>8401</v>
      </c>
      <c r="C7805" s="161"/>
      <c r="D7805" s="161"/>
      <c r="E7805" s="161" t="s">
        <v>1620</v>
      </c>
      <c r="F7805" s="163"/>
      <c r="G7805" s="163"/>
      <c r="H7805" s="161"/>
      <c r="I7805" s="161"/>
    </row>
    <row r="7806" spans="1:9">
      <c r="A7806" s="161">
        <v>130100500</v>
      </c>
      <c r="B7806" s="161" t="s">
        <v>8402</v>
      </c>
      <c r="C7806" s="161"/>
      <c r="D7806" s="161"/>
      <c r="E7806" s="161" t="s">
        <v>1620</v>
      </c>
      <c r="F7806" s="163"/>
      <c r="G7806" s="163"/>
      <c r="H7806" s="161"/>
      <c r="I7806" s="161"/>
    </row>
    <row r="7807" spans="1:9">
      <c r="A7807" s="161">
        <v>130100501</v>
      </c>
      <c r="B7807" s="161" t="s">
        <v>8403</v>
      </c>
      <c r="C7807" s="161"/>
      <c r="D7807" s="161"/>
      <c r="E7807" s="161" t="s">
        <v>1620</v>
      </c>
      <c r="F7807" s="163"/>
      <c r="G7807" s="163"/>
      <c r="H7807" s="161"/>
      <c r="I7807" s="161"/>
    </row>
    <row r="7808" spans="1:9">
      <c r="A7808" s="161">
        <v>130100502</v>
      </c>
      <c r="B7808" s="161" t="s">
        <v>8404</v>
      </c>
      <c r="C7808" s="161"/>
      <c r="D7808" s="161"/>
      <c r="E7808" s="161" t="s">
        <v>1620</v>
      </c>
      <c r="F7808" s="163"/>
      <c r="G7808" s="163"/>
      <c r="H7808" s="161"/>
      <c r="I7808" s="161"/>
    </row>
    <row r="7809" spans="1:9">
      <c r="A7809" s="161">
        <v>130100503</v>
      </c>
      <c r="B7809" s="161" t="s">
        <v>8405</v>
      </c>
      <c r="C7809" s="161"/>
      <c r="D7809" s="161"/>
      <c r="E7809" s="161" t="s">
        <v>1620</v>
      </c>
      <c r="F7809" s="163"/>
      <c r="G7809" s="163"/>
      <c r="H7809" s="161"/>
      <c r="I7809" s="161"/>
    </row>
    <row r="7810" spans="1:9">
      <c r="A7810" s="161">
        <v>130100504</v>
      </c>
      <c r="B7810" s="161" t="s">
        <v>8406</v>
      </c>
      <c r="C7810" s="161"/>
      <c r="D7810" s="161"/>
      <c r="E7810" s="161" t="s">
        <v>1620</v>
      </c>
      <c r="F7810" s="163"/>
      <c r="G7810" s="163"/>
      <c r="H7810" s="161"/>
      <c r="I7810" s="161"/>
    </row>
    <row r="7811" spans="1:9">
      <c r="A7811" s="161">
        <v>130100505</v>
      </c>
      <c r="B7811" s="161" t="s">
        <v>8407</v>
      </c>
      <c r="C7811" s="161"/>
      <c r="D7811" s="161"/>
      <c r="E7811" s="161" t="s">
        <v>1620</v>
      </c>
      <c r="F7811" s="163"/>
      <c r="G7811" s="163"/>
      <c r="H7811" s="161"/>
      <c r="I7811" s="161"/>
    </row>
    <row r="7812" spans="1:9">
      <c r="A7812" s="161">
        <v>130100506</v>
      </c>
      <c r="B7812" s="161" t="s">
        <v>8408</v>
      </c>
      <c r="C7812" s="161"/>
      <c r="D7812" s="161"/>
      <c r="E7812" s="161" t="s">
        <v>8577</v>
      </c>
      <c r="F7812" s="163"/>
      <c r="G7812" s="163"/>
      <c r="H7812" s="161"/>
      <c r="I7812" s="161"/>
    </row>
    <row r="7813" spans="1:9">
      <c r="A7813" s="161">
        <v>130100507</v>
      </c>
      <c r="B7813" s="161" t="s">
        <v>8409</v>
      </c>
      <c r="C7813" s="161"/>
      <c r="D7813" s="161"/>
      <c r="E7813" s="161" t="s">
        <v>8577</v>
      </c>
      <c r="F7813" s="163"/>
      <c r="G7813" s="163"/>
      <c r="H7813" s="161"/>
      <c r="I7813" s="161"/>
    </row>
    <row r="7814" spans="1:9">
      <c r="A7814" s="161">
        <v>130100508</v>
      </c>
      <c r="B7814" s="161" t="s">
        <v>8410</v>
      </c>
      <c r="C7814" s="161"/>
      <c r="D7814" s="161"/>
      <c r="E7814" s="161" t="s">
        <v>8577</v>
      </c>
      <c r="F7814" s="163"/>
      <c r="G7814" s="163"/>
      <c r="H7814" s="161"/>
      <c r="I7814" s="161"/>
    </row>
    <row r="7815" spans="1:9">
      <c r="A7815" s="161">
        <v>130100509</v>
      </c>
      <c r="B7815" s="161" t="s">
        <v>8411</v>
      </c>
      <c r="C7815" s="161"/>
      <c r="D7815" s="161"/>
      <c r="E7815" s="161" t="s">
        <v>8577</v>
      </c>
      <c r="F7815" s="163"/>
      <c r="G7815" s="163"/>
      <c r="H7815" s="161"/>
      <c r="I7815" s="161"/>
    </row>
    <row r="7816" spans="1:9">
      <c r="A7816" s="161">
        <v>130100510</v>
      </c>
      <c r="B7816" s="161" t="s">
        <v>8412</v>
      </c>
      <c r="C7816" s="161"/>
      <c r="D7816" s="161"/>
      <c r="E7816" s="161" t="s">
        <v>8577</v>
      </c>
      <c r="F7816" s="163"/>
      <c r="G7816" s="163"/>
      <c r="H7816" s="161"/>
      <c r="I7816" s="161"/>
    </row>
    <row r="7817" spans="1:9">
      <c r="A7817" s="161">
        <v>130100511</v>
      </c>
      <c r="B7817" s="161" t="s">
        <v>8413</v>
      </c>
      <c r="C7817" s="161"/>
      <c r="D7817" s="161"/>
      <c r="E7817" s="161" t="s">
        <v>8577</v>
      </c>
      <c r="F7817" s="163"/>
      <c r="G7817" s="163"/>
      <c r="H7817" s="161"/>
      <c r="I7817" s="161"/>
    </row>
    <row r="7818" spans="1:9">
      <c r="A7818" s="161">
        <v>130100512</v>
      </c>
      <c r="B7818" s="161" t="s">
        <v>8414</v>
      </c>
      <c r="C7818" s="161"/>
      <c r="D7818" s="161"/>
      <c r="E7818" s="161" t="s">
        <v>8577</v>
      </c>
      <c r="F7818" s="163"/>
      <c r="G7818" s="163"/>
      <c r="H7818" s="161"/>
      <c r="I7818" s="161"/>
    </row>
    <row r="7819" spans="1:9">
      <c r="A7819" s="161">
        <v>130100513</v>
      </c>
      <c r="B7819" s="161" t="s">
        <v>8415</v>
      </c>
      <c r="C7819" s="161"/>
      <c r="D7819" s="161"/>
      <c r="E7819" s="161" t="s">
        <v>8577</v>
      </c>
      <c r="F7819" s="163"/>
      <c r="G7819" s="163"/>
      <c r="H7819" s="161"/>
      <c r="I7819" s="161"/>
    </row>
    <row r="7820" spans="1:9">
      <c r="A7820" s="161">
        <v>130100514</v>
      </c>
      <c r="B7820" s="161" t="s">
        <v>8416</v>
      </c>
      <c r="C7820" s="161"/>
      <c r="D7820" s="161"/>
      <c r="E7820" s="161" t="s">
        <v>8577</v>
      </c>
      <c r="F7820" s="163"/>
      <c r="G7820" s="163"/>
      <c r="H7820" s="161"/>
      <c r="I7820" s="161"/>
    </row>
    <row r="7821" spans="1:9">
      <c r="A7821" s="161">
        <v>130100515</v>
      </c>
      <c r="B7821" s="161" t="s">
        <v>8417</v>
      </c>
      <c r="C7821" s="161"/>
      <c r="D7821" s="161"/>
      <c r="E7821" s="161" t="s">
        <v>8577</v>
      </c>
      <c r="F7821" s="163"/>
      <c r="G7821" s="163"/>
      <c r="H7821" s="161"/>
      <c r="I7821" s="161"/>
    </row>
    <row r="7822" spans="1:9">
      <c r="A7822" s="161">
        <v>130100516</v>
      </c>
      <c r="B7822" s="161" t="s">
        <v>8418</v>
      </c>
      <c r="C7822" s="161"/>
      <c r="D7822" s="161"/>
      <c r="E7822" s="161" t="s">
        <v>8577</v>
      </c>
      <c r="F7822" s="163"/>
      <c r="G7822" s="163"/>
      <c r="H7822" s="161"/>
      <c r="I7822" s="161"/>
    </row>
    <row r="7823" spans="1:9">
      <c r="A7823" s="161">
        <v>130100517</v>
      </c>
      <c r="B7823" s="161" t="s">
        <v>8419</v>
      </c>
      <c r="C7823" s="161"/>
      <c r="D7823" s="161"/>
      <c r="E7823" s="161" t="s">
        <v>8577</v>
      </c>
      <c r="F7823" s="163"/>
      <c r="G7823" s="163"/>
      <c r="H7823" s="161"/>
      <c r="I7823" s="161"/>
    </row>
    <row r="7824" spans="1:9">
      <c r="A7824" s="161">
        <v>130100518</v>
      </c>
      <c r="B7824" s="161" t="s">
        <v>8420</v>
      </c>
      <c r="C7824" s="161"/>
      <c r="D7824" s="161"/>
      <c r="E7824" s="161" t="s">
        <v>8577</v>
      </c>
      <c r="F7824" s="163"/>
      <c r="G7824" s="163"/>
      <c r="H7824" s="161"/>
      <c r="I7824" s="161"/>
    </row>
    <row r="7825" spans="1:9">
      <c r="A7825" s="161">
        <v>130100519</v>
      </c>
      <c r="B7825" s="161" t="s">
        <v>8421</v>
      </c>
      <c r="C7825" s="161"/>
      <c r="D7825" s="161"/>
      <c r="E7825" s="161" t="s">
        <v>8577</v>
      </c>
      <c r="F7825" s="163"/>
      <c r="G7825" s="163"/>
      <c r="H7825" s="161"/>
      <c r="I7825" s="161"/>
    </row>
    <row r="7826" spans="1:9">
      <c r="A7826" s="161">
        <v>130100520</v>
      </c>
      <c r="B7826" s="161" t="s">
        <v>8422</v>
      </c>
      <c r="C7826" s="161"/>
      <c r="D7826" s="161"/>
      <c r="E7826" s="161" t="s">
        <v>8577</v>
      </c>
      <c r="F7826" s="163"/>
      <c r="G7826" s="163"/>
      <c r="H7826" s="161"/>
      <c r="I7826" s="161"/>
    </row>
    <row r="7827" spans="1:9">
      <c r="A7827" s="161">
        <v>130100521</v>
      </c>
      <c r="B7827" s="161" t="s">
        <v>8423</v>
      </c>
      <c r="C7827" s="161"/>
      <c r="D7827" s="161"/>
      <c r="E7827" s="161" t="s">
        <v>8577</v>
      </c>
      <c r="F7827" s="163"/>
      <c r="G7827" s="163"/>
      <c r="H7827" s="161"/>
      <c r="I7827" s="161"/>
    </row>
    <row r="7828" spans="1:9">
      <c r="A7828" s="161">
        <v>130100522</v>
      </c>
      <c r="B7828" s="161" t="s">
        <v>8424</v>
      </c>
      <c r="C7828" s="161"/>
      <c r="D7828" s="161"/>
      <c r="E7828" s="161" t="s">
        <v>8577</v>
      </c>
      <c r="F7828" s="163"/>
      <c r="G7828" s="163"/>
      <c r="H7828" s="161"/>
      <c r="I7828" s="161"/>
    </row>
    <row r="7829" spans="1:9">
      <c r="A7829" s="161">
        <v>130100523</v>
      </c>
      <c r="B7829" s="161" t="s">
        <v>8425</v>
      </c>
      <c r="C7829" s="161"/>
      <c r="D7829" s="161"/>
      <c r="E7829" s="161" t="s">
        <v>8577</v>
      </c>
      <c r="F7829" s="163"/>
      <c r="G7829" s="163"/>
      <c r="H7829" s="161"/>
      <c r="I7829" s="161"/>
    </row>
    <row r="7830" spans="1:9">
      <c r="A7830" s="161">
        <v>130100524</v>
      </c>
      <c r="B7830" s="161" t="s">
        <v>8426</v>
      </c>
      <c r="C7830" s="161"/>
      <c r="D7830" s="161"/>
      <c r="E7830" s="161" t="s">
        <v>8577</v>
      </c>
      <c r="F7830" s="163"/>
      <c r="G7830" s="163"/>
      <c r="H7830" s="161"/>
      <c r="I7830" s="161"/>
    </row>
    <row r="7831" spans="1:9">
      <c r="A7831" s="161">
        <v>130100525</v>
      </c>
      <c r="B7831" s="161" t="s">
        <v>8427</v>
      </c>
      <c r="C7831" s="161"/>
      <c r="D7831" s="161"/>
      <c r="E7831" s="161" t="s">
        <v>8577</v>
      </c>
      <c r="F7831" s="163"/>
      <c r="G7831" s="163"/>
      <c r="H7831" s="161"/>
      <c r="I7831" s="161"/>
    </row>
    <row r="7832" spans="1:9">
      <c r="A7832" s="161">
        <v>130100526</v>
      </c>
      <c r="B7832" s="161" t="s">
        <v>8428</v>
      </c>
      <c r="C7832" s="161"/>
      <c r="D7832" s="161"/>
      <c r="E7832" s="161" t="s">
        <v>8577</v>
      </c>
      <c r="F7832" s="163"/>
      <c r="G7832" s="163"/>
      <c r="H7832" s="161"/>
      <c r="I7832" s="161"/>
    </row>
    <row r="7833" spans="1:9">
      <c r="A7833" s="161">
        <v>130100527</v>
      </c>
      <c r="B7833" s="161" t="s">
        <v>8429</v>
      </c>
      <c r="C7833" s="161"/>
      <c r="D7833" s="161"/>
      <c r="E7833" s="161" t="s">
        <v>8577</v>
      </c>
      <c r="F7833" s="163"/>
      <c r="G7833" s="163"/>
      <c r="H7833" s="161"/>
      <c r="I7833" s="161"/>
    </row>
    <row r="7834" spans="1:9">
      <c r="A7834" s="161">
        <v>130100528</v>
      </c>
      <c r="B7834" s="161" t="s">
        <v>8430</v>
      </c>
      <c r="C7834" s="161"/>
      <c r="D7834" s="161"/>
      <c r="E7834" s="161" t="s">
        <v>8577</v>
      </c>
      <c r="F7834" s="163"/>
      <c r="G7834" s="163"/>
      <c r="H7834" s="161"/>
      <c r="I7834" s="161"/>
    </row>
    <row r="7835" spans="1:9">
      <c r="A7835" s="161">
        <v>130100529</v>
      </c>
      <c r="B7835" s="161" t="s">
        <v>8431</v>
      </c>
      <c r="C7835" s="161"/>
      <c r="D7835" s="161"/>
      <c r="E7835" s="161" t="s">
        <v>8577</v>
      </c>
      <c r="F7835" s="163"/>
      <c r="G7835" s="163"/>
      <c r="H7835" s="161"/>
      <c r="I7835" s="161"/>
    </row>
    <row r="7836" spans="1:9">
      <c r="A7836" s="161">
        <v>130100530</v>
      </c>
      <c r="B7836" s="161" t="s">
        <v>8432</v>
      </c>
      <c r="C7836" s="161"/>
      <c r="D7836" s="161"/>
      <c r="E7836" s="161" t="s">
        <v>8577</v>
      </c>
      <c r="F7836" s="163"/>
      <c r="G7836" s="163"/>
      <c r="H7836" s="161"/>
      <c r="I7836" s="161"/>
    </row>
    <row r="7837" spans="1:9">
      <c r="A7837" s="161">
        <v>130100531</v>
      </c>
      <c r="B7837" s="161" t="s">
        <v>8433</v>
      </c>
      <c r="C7837" s="161"/>
      <c r="D7837" s="161"/>
      <c r="E7837" s="161" t="s">
        <v>8577</v>
      </c>
      <c r="F7837" s="163"/>
      <c r="G7837" s="163"/>
      <c r="H7837" s="161"/>
      <c r="I7837" s="161"/>
    </row>
    <row r="7838" spans="1:9">
      <c r="A7838" s="161">
        <v>130100532</v>
      </c>
      <c r="B7838" s="161" t="s">
        <v>8434</v>
      </c>
      <c r="C7838" s="161"/>
      <c r="D7838" s="161"/>
      <c r="E7838" s="161" t="s">
        <v>8577</v>
      </c>
      <c r="F7838" s="163"/>
      <c r="G7838" s="163"/>
      <c r="H7838" s="161"/>
      <c r="I7838" s="161"/>
    </row>
    <row r="7839" spans="1:9">
      <c r="A7839" s="161">
        <v>130100533</v>
      </c>
      <c r="B7839" s="161" t="s">
        <v>8435</v>
      </c>
      <c r="C7839" s="161"/>
      <c r="D7839" s="161"/>
      <c r="E7839" s="161" t="s">
        <v>8577</v>
      </c>
      <c r="F7839" s="163"/>
      <c r="G7839" s="163"/>
      <c r="H7839" s="161"/>
      <c r="I7839" s="161"/>
    </row>
    <row r="7840" spans="1:9">
      <c r="A7840" s="161">
        <v>130100534</v>
      </c>
      <c r="B7840" s="161" t="s">
        <v>8436</v>
      </c>
      <c r="C7840" s="161"/>
      <c r="D7840" s="161"/>
      <c r="E7840" s="161" t="s">
        <v>8577</v>
      </c>
      <c r="F7840" s="163"/>
      <c r="G7840" s="163"/>
      <c r="H7840" s="161"/>
      <c r="I7840" s="161"/>
    </row>
    <row r="7841" spans="1:9">
      <c r="A7841" s="161">
        <v>130100535</v>
      </c>
      <c r="B7841" s="161" t="s">
        <v>8437</v>
      </c>
      <c r="C7841" s="161"/>
      <c r="D7841" s="161"/>
      <c r="E7841" s="161" t="s">
        <v>8577</v>
      </c>
      <c r="F7841" s="163"/>
      <c r="G7841" s="163"/>
      <c r="H7841" s="161"/>
      <c r="I7841" s="161"/>
    </row>
    <row r="7842" spans="1:9">
      <c r="A7842" s="161">
        <v>130100536</v>
      </c>
      <c r="B7842" s="161" t="s">
        <v>8438</v>
      </c>
      <c r="C7842" s="161"/>
      <c r="D7842" s="161"/>
      <c r="E7842" s="161" t="s">
        <v>8577</v>
      </c>
      <c r="F7842" s="163"/>
      <c r="G7842" s="163"/>
      <c r="H7842" s="161"/>
      <c r="I7842" s="161"/>
    </row>
    <row r="7843" spans="1:9">
      <c r="A7843" s="161">
        <v>130100537</v>
      </c>
      <c r="B7843" s="161" t="s">
        <v>8439</v>
      </c>
      <c r="C7843" s="161"/>
      <c r="D7843" s="161"/>
      <c r="E7843" s="161" t="s">
        <v>8577</v>
      </c>
      <c r="F7843" s="163"/>
      <c r="G7843" s="163"/>
      <c r="H7843" s="161"/>
      <c r="I7843" s="161"/>
    </row>
    <row r="7844" spans="1:9">
      <c r="A7844" s="161">
        <v>130100538</v>
      </c>
      <c r="B7844" s="161" t="s">
        <v>8440</v>
      </c>
      <c r="C7844" s="161"/>
      <c r="D7844" s="161"/>
      <c r="E7844" s="161" t="s">
        <v>8577</v>
      </c>
      <c r="F7844" s="163"/>
      <c r="G7844" s="163"/>
      <c r="H7844" s="161"/>
      <c r="I7844" s="161"/>
    </row>
    <row r="7845" spans="1:9">
      <c r="A7845" s="161">
        <v>130100539</v>
      </c>
      <c r="B7845" s="161" t="s">
        <v>8441</v>
      </c>
      <c r="C7845" s="161"/>
      <c r="D7845" s="161"/>
      <c r="E7845" s="161" t="s">
        <v>8577</v>
      </c>
      <c r="F7845" s="163"/>
      <c r="G7845" s="163"/>
      <c r="H7845" s="161"/>
      <c r="I7845" s="161"/>
    </row>
    <row r="7846" spans="1:9">
      <c r="A7846" s="161">
        <v>130100540</v>
      </c>
      <c r="B7846" s="161" t="s">
        <v>8442</v>
      </c>
      <c r="C7846" s="161"/>
      <c r="D7846" s="161"/>
      <c r="E7846" s="161" t="s">
        <v>8577</v>
      </c>
      <c r="F7846" s="163"/>
      <c r="G7846" s="163"/>
      <c r="H7846" s="161"/>
      <c r="I7846" s="161"/>
    </row>
    <row r="7847" spans="1:9">
      <c r="A7847" s="161">
        <v>130100541</v>
      </c>
      <c r="B7847" s="161" t="s">
        <v>8443</v>
      </c>
      <c r="C7847" s="161"/>
      <c r="D7847" s="161"/>
      <c r="E7847" s="161" t="s">
        <v>8577</v>
      </c>
      <c r="F7847" s="163"/>
      <c r="G7847" s="163"/>
      <c r="H7847" s="161"/>
      <c r="I7847" s="161"/>
    </row>
    <row r="7848" spans="1:9">
      <c r="A7848" s="161">
        <v>130100542</v>
      </c>
      <c r="B7848" s="161" t="s">
        <v>8444</v>
      </c>
      <c r="C7848" s="161"/>
      <c r="D7848" s="161"/>
      <c r="E7848" s="161" t="s">
        <v>8577</v>
      </c>
      <c r="F7848" s="163"/>
      <c r="G7848" s="163"/>
      <c r="H7848" s="161"/>
      <c r="I7848" s="161"/>
    </row>
    <row r="7849" spans="1:9">
      <c r="A7849" s="161">
        <v>130100543</v>
      </c>
      <c r="B7849" s="161" t="s">
        <v>8445</v>
      </c>
      <c r="C7849" s="161"/>
      <c r="D7849" s="161"/>
      <c r="E7849" s="161" t="s">
        <v>8577</v>
      </c>
      <c r="F7849" s="163"/>
      <c r="G7849" s="163"/>
      <c r="H7849" s="161"/>
      <c r="I7849" s="161"/>
    </row>
    <row r="7850" spans="1:9">
      <c r="A7850" s="161">
        <v>130100544</v>
      </c>
      <c r="B7850" s="161" t="s">
        <v>8446</v>
      </c>
      <c r="C7850" s="161"/>
      <c r="D7850" s="161"/>
      <c r="E7850" s="161" t="s">
        <v>8577</v>
      </c>
      <c r="F7850" s="163"/>
      <c r="G7850" s="163"/>
      <c r="H7850" s="161"/>
      <c r="I7850" s="161"/>
    </row>
    <row r="7851" spans="1:9">
      <c r="A7851" s="161">
        <v>130100545</v>
      </c>
      <c r="B7851" s="161" t="s">
        <v>8447</v>
      </c>
      <c r="C7851" s="161"/>
      <c r="D7851" s="161"/>
      <c r="E7851" s="161" t="s">
        <v>8577</v>
      </c>
      <c r="F7851" s="163"/>
      <c r="G7851" s="163"/>
      <c r="H7851" s="161"/>
      <c r="I7851" s="161"/>
    </row>
    <row r="7852" spans="1:9">
      <c r="A7852" s="161">
        <v>130100546</v>
      </c>
      <c r="B7852" s="161" t="s">
        <v>8448</v>
      </c>
      <c r="C7852" s="161"/>
      <c r="D7852" s="161"/>
      <c r="E7852" s="161" t="s">
        <v>8577</v>
      </c>
      <c r="F7852" s="163"/>
      <c r="G7852" s="163"/>
      <c r="H7852" s="161"/>
      <c r="I7852" s="161"/>
    </row>
    <row r="7853" spans="1:9">
      <c r="A7853" s="161">
        <v>130100547</v>
      </c>
      <c r="B7853" s="161" t="s">
        <v>8449</v>
      </c>
      <c r="C7853" s="161"/>
      <c r="D7853" s="161"/>
      <c r="E7853" s="161" t="s">
        <v>8577</v>
      </c>
      <c r="F7853" s="163"/>
      <c r="G7853" s="163"/>
      <c r="H7853" s="161"/>
      <c r="I7853" s="161"/>
    </row>
    <row r="7854" spans="1:9">
      <c r="A7854" s="161">
        <v>130100548</v>
      </c>
      <c r="B7854" s="161" t="s">
        <v>8450</v>
      </c>
      <c r="C7854" s="161"/>
      <c r="D7854" s="161"/>
      <c r="E7854" s="161" t="s">
        <v>8577</v>
      </c>
      <c r="F7854" s="163"/>
      <c r="G7854" s="163"/>
      <c r="H7854" s="161"/>
      <c r="I7854" s="161"/>
    </row>
    <row r="7855" spans="1:9">
      <c r="A7855" s="161">
        <v>130100549</v>
      </c>
      <c r="B7855" s="161" t="s">
        <v>8451</v>
      </c>
      <c r="C7855" s="161"/>
      <c r="D7855" s="161"/>
      <c r="E7855" s="161" t="s">
        <v>8577</v>
      </c>
      <c r="F7855" s="163"/>
      <c r="G7855" s="163"/>
      <c r="H7855" s="161"/>
      <c r="I7855" s="161"/>
    </row>
    <row r="7856" spans="1:9">
      <c r="A7856" s="161">
        <v>130100550</v>
      </c>
      <c r="B7856" s="161" t="s">
        <v>8452</v>
      </c>
      <c r="C7856" s="161"/>
      <c r="D7856" s="161"/>
      <c r="E7856" s="161" t="s">
        <v>8577</v>
      </c>
      <c r="F7856" s="163"/>
      <c r="G7856" s="163"/>
      <c r="H7856" s="161"/>
      <c r="I7856" s="161"/>
    </row>
    <row r="7857" spans="1:9">
      <c r="A7857" s="161">
        <v>130100551</v>
      </c>
      <c r="B7857" s="161" t="s">
        <v>8453</v>
      </c>
      <c r="C7857" s="161"/>
      <c r="D7857" s="161"/>
      <c r="E7857" s="161" t="s">
        <v>8577</v>
      </c>
      <c r="F7857" s="163"/>
      <c r="G7857" s="163"/>
      <c r="H7857" s="161"/>
      <c r="I7857" s="161"/>
    </row>
    <row r="7858" spans="1:9">
      <c r="A7858" s="161">
        <v>130100552</v>
      </c>
      <c r="B7858" s="161" t="s">
        <v>8454</v>
      </c>
      <c r="C7858" s="161"/>
      <c r="D7858" s="161"/>
      <c r="E7858" s="161" t="s">
        <v>8577</v>
      </c>
      <c r="F7858" s="163"/>
      <c r="G7858" s="163"/>
      <c r="H7858" s="161"/>
      <c r="I7858" s="161"/>
    </row>
    <row r="7859" spans="1:9">
      <c r="A7859" s="161">
        <v>130200001</v>
      </c>
      <c r="B7859" s="161" t="s">
        <v>8455</v>
      </c>
      <c r="C7859" s="161"/>
      <c r="D7859" s="161"/>
      <c r="E7859" s="161" t="s">
        <v>102</v>
      </c>
      <c r="F7859" s="163"/>
      <c r="G7859" s="163"/>
      <c r="H7859" s="161"/>
      <c r="I7859" s="161"/>
    </row>
    <row r="7860" spans="1:9">
      <c r="A7860" s="161">
        <v>130200004</v>
      </c>
      <c r="B7860" s="161" t="s">
        <v>1811</v>
      </c>
      <c r="C7860" s="161"/>
      <c r="D7860" s="161"/>
      <c r="E7860" s="161" t="s">
        <v>8577</v>
      </c>
      <c r="F7860" s="163"/>
      <c r="G7860" s="163"/>
      <c r="H7860" s="161"/>
      <c r="I7860" s="161"/>
    </row>
    <row r="7861" spans="1:9">
      <c r="A7861" s="161">
        <v>130200005</v>
      </c>
      <c r="B7861" s="161" t="s">
        <v>8456</v>
      </c>
      <c r="C7861" s="161"/>
      <c r="D7861" s="161"/>
      <c r="E7861" s="161" t="s">
        <v>8577</v>
      </c>
      <c r="F7861" s="163"/>
      <c r="G7861" s="163"/>
      <c r="H7861" s="161"/>
      <c r="I7861" s="161"/>
    </row>
    <row r="7862" spans="1:9">
      <c r="A7862" s="161">
        <v>130200006</v>
      </c>
      <c r="B7862" s="161" t="s">
        <v>1813</v>
      </c>
      <c r="C7862" s="161"/>
      <c r="D7862" s="161"/>
      <c r="E7862" s="161" t="s">
        <v>8577</v>
      </c>
      <c r="F7862" s="163"/>
      <c r="G7862" s="163"/>
      <c r="H7862" s="161"/>
      <c r="I7862" s="161"/>
    </row>
    <row r="7863" spans="1:9">
      <c r="A7863" s="161">
        <v>130200007</v>
      </c>
      <c r="B7863" s="161" t="s">
        <v>8457</v>
      </c>
      <c r="C7863" s="161"/>
      <c r="D7863" s="161"/>
      <c r="E7863" s="161" t="s">
        <v>8577</v>
      </c>
      <c r="F7863" s="163"/>
      <c r="G7863" s="163"/>
      <c r="H7863" s="161"/>
      <c r="I7863" s="161"/>
    </row>
    <row r="7864" spans="1:9">
      <c r="A7864" s="161">
        <v>130200008</v>
      </c>
      <c r="B7864" s="161" t="s">
        <v>8458</v>
      </c>
      <c r="C7864" s="161"/>
      <c r="D7864" s="161"/>
      <c r="E7864" s="161" t="s">
        <v>8116</v>
      </c>
      <c r="F7864" s="163"/>
      <c r="G7864" s="163"/>
      <c r="H7864" s="161"/>
      <c r="I7864" s="161"/>
    </row>
    <row r="7865" spans="1:9">
      <c r="A7865" s="161">
        <v>130200009</v>
      </c>
      <c r="B7865" s="161" t="s">
        <v>8459</v>
      </c>
      <c r="C7865" s="161"/>
      <c r="D7865" s="161"/>
      <c r="E7865" s="161" t="s">
        <v>1620</v>
      </c>
      <c r="F7865" s="163"/>
      <c r="G7865" s="163"/>
      <c r="H7865" s="161"/>
      <c r="I7865" s="161"/>
    </row>
    <row r="7866" spans="1:9">
      <c r="A7866" s="161">
        <v>130200010</v>
      </c>
      <c r="B7866" s="161" t="s">
        <v>8460</v>
      </c>
      <c r="C7866" s="161"/>
      <c r="D7866" s="161"/>
      <c r="E7866" s="161" t="s">
        <v>1620</v>
      </c>
      <c r="F7866" s="163"/>
      <c r="G7866" s="163"/>
      <c r="H7866" s="161"/>
      <c r="I7866" s="161"/>
    </row>
    <row r="7867" spans="1:9">
      <c r="A7867" s="161">
        <v>130200011</v>
      </c>
      <c r="B7867" s="161" t="s">
        <v>8461</v>
      </c>
      <c r="C7867" s="161"/>
      <c r="D7867" s="161"/>
      <c r="E7867" s="161" t="s">
        <v>8577</v>
      </c>
      <c r="F7867" s="163"/>
      <c r="G7867" s="163"/>
      <c r="H7867" s="161"/>
      <c r="I7867" s="161"/>
    </row>
    <row r="7868" spans="1:9">
      <c r="A7868" s="161">
        <v>130200013</v>
      </c>
      <c r="B7868" s="161" t="s">
        <v>8462</v>
      </c>
      <c r="C7868" s="161"/>
      <c r="D7868" s="161"/>
      <c r="E7868" s="161" t="s">
        <v>102</v>
      </c>
      <c r="F7868" s="163"/>
      <c r="G7868" s="163"/>
      <c r="H7868" s="161"/>
      <c r="I7868" s="161"/>
    </row>
    <row r="7869" spans="1:9">
      <c r="A7869" s="161">
        <v>130200014</v>
      </c>
      <c r="B7869" s="161" t="s">
        <v>8463</v>
      </c>
      <c r="C7869" s="161"/>
      <c r="D7869" s="161"/>
      <c r="E7869" s="161" t="s">
        <v>102</v>
      </c>
      <c r="F7869" s="163"/>
      <c r="G7869" s="163"/>
      <c r="H7869" s="161"/>
      <c r="I7869" s="161"/>
    </row>
    <row r="7870" spans="1:9">
      <c r="A7870" s="161">
        <v>130200016</v>
      </c>
      <c r="B7870" s="161" t="s">
        <v>1823</v>
      </c>
      <c r="C7870" s="161"/>
      <c r="D7870" s="161"/>
      <c r="E7870" s="161" t="s">
        <v>8577</v>
      </c>
      <c r="F7870" s="163"/>
      <c r="G7870" s="163"/>
      <c r="H7870" s="161"/>
      <c r="I7870" s="161"/>
    </row>
    <row r="7871" spans="1:9">
      <c r="A7871" s="161">
        <v>130200017</v>
      </c>
      <c r="B7871" s="161" t="s">
        <v>8464</v>
      </c>
      <c r="C7871" s="161"/>
      <c r="D7871" s="161"/>
      <c r="E7871" s="161" t="s">
        <v>8116</v>
      </c>
      <c r="F7871" s="163"/>
      <c r="G7871" s="163"/>
      <c r="H7871" s="161"/>
      <c r="I7871" s="161"/>
    </row>
    <row r="7872" spans="1:9">
      <c r="A7872" s="161">
        <v>130200019</v>
      </c>
      <c r="B7872" s="161" t="s">
        <v>8465</v>
      </c>
      <c r="C7872" s="161"/>
      <c r="D7872" s="161"/>
      <c r="E7872" s="161" t="s">
        <v>8577</v>
      </c>
      <c r="F7872" s="163"/>
      <c r="G7872" s="163"/>
      <c r="H7872" s="161"/>
      <c r="I7872" s="161"/>
    </row>
    <row r="7873" spans="1:9">
      <c r="A7873" s="161">
        <v>130200023</v>
      </c>
      <c r="B7873" s="161" t="s">
        <v>8466</v>
      </c>
      <c r="C7873" s="161"/>
      <c r="D7873" s="161"/>
      <c r="E7873" s="161" t="s">
        <v>102</v>
      </c>
      <c r="F7873" s="163"/>
      <c r="G7873" s="163"/>
      <c r="H7873" s="161"/>
      <c r="I7873" s="161"/>
    </row>
    <row r="7874" spans="1:9">
      <c r="A7874" s="161">
        <v>130200026</v>
      </c>
      <c r="B7874" s="161" t="s">
        <v>8467</v>
      </c>
      <c r="C7874" s="161"/>
      <c r="D7874" s="161"/>
      <c r="E7874" s="161" t="s">
        <v>102</v>
      </c>
      <c r="F7874" s="163"/>
      <c r="G7874" s="163"/>
      <c r="H7874" s="161"/>
      <c r="I7874" s="161"/>
    </row>
    <row r="7875" spans="1:9">
      <c r="A7875" s="161">
        <v>130200027</v>
      </c>
      <c r="B7875" s="161" t="s">
        <v>2572</v>
      </c>
      <c r="C7875" s="161"/>
      <c r="D7875" s="161"/>
      <c r="E7875" s="161" t="s">
        <v>102</v>
      </c>
      <c r="F7875" s="163"/>
      <c r="G7875" s="163"/>
      <c r="H7875" s="161"/>
      <c r="I7875" s="161"/>
    </row>
    <row r="7876" spans="1:9">
      <c r="A7876" s="161">
        <v>130200029</v>
      </c>
      <c r="B7876" s="161" t="s">
        <v>1820</v>
      </c>
      <c r="C7876" s="161"/>
      <c r="D7876" s="161"/>
      <c r="E7876" s="161" t="s">
        <v>8116</v>
      </c>
      <c r="F7876" s="163"/>
      <c r="G7876" s="163"/>
      <c r="H7876" s="161"/>
      <c r="I7876" s="161"/>
    </row>
    <row r="7877" spans="1:9">
      <c r="A7877" s="161">
        <v>130200030</v>
      </c>
      <c r="B7877" s="161" t="s">
        <v>8468</v>
      </c>
      <c r="C7877" s="161"/>
      <c r="D7877" s="161"/>
      <c r="E7877" s="161" t="s">
        <v>102</v>
      </c>
      <c r="F7877" s="163"/>
      <c r="G7877" s="163"/>
      <c r="H7877" s="161"/>
      <c r="I7877" s="161"/>
    </row>
    <row r="7878" spans="1:9">
      <c r="A7878" s="161">
        <v>130200032</v>
      </c>
      <c r="B7878" s="161" t="s">
        <v>8469</v>
      </c>
      <c r="C7878" s="161"/>
      <c r="D7878" s="161"/>
      <c r="E7878" s="161" t="s">
        <v>8577</v>
      </c>
      <c r="F7878" s="163"/>
      <c r="G7878" s="163"/>
      <c r="H7878" s="161"/>
      <c r="I7878" s="161"/>
    </row>
    <row r="7879" spans="1:9">
      <c r="A7879" s="161">
        <v>130200033</v>
      </c>
      <c r="B7879" s="161" t="s">
        <v>1822</v>
      </c>
      <c r="C7879" s="161"/>
      <c r="D7879" s="161"/>
      <c r="E7879" s="161" t="s">
        <v>8577</v>
      </c>
      <c r="F7879" s="163"/>
      <c r="G7879" s="163"/>
      <c r="H7879" s="161"/>
      <c r="I7879" s="161"/>
    </row>
    <row r="7880" spans="1:9">
      <c r="A7880" s="161">
        <v>130200034</v>
      </c>
      <c r="B7880" s="161" t="s">
        <v>8470</v>
      </c>
      <c r="C7880" s="161"/>
      <c r="D7880" s="161"/>
      <c r="E7880" s="161" t="s">
        <v>102</v>
      </c>
      <c r="F7880" s="163"/>
      <c r="G7880" s="163"/>
      <c r="H7880" s="161"/>
      <c r="I7880" s="161"/>
    </row>
    <row r="7881" spans="1:9">
      <c r="A7881" s="161">
        <v>130200037</v>
      </c>
      <c r="B7881" s="161" t="s">
        <v>8471</v>
      </c>
      <c r="C7881" s="161"/>
      <c r="D7881" s="161"/>
      <c r="E7881" s="161" t="s">
        <v>102</v>
      </c>
      <c r="F7881" s="163"/>
      <c r="G7881" s="163"/>
      <c r="H7881" s="161"/>
      <c r="I7881" s="161"/>
    </row>
    <row r="7882" spans="1:9">
      <c r="A7882" s="161">
        <v>130200038</v>
      </c>
      <c r="B7882" s="161" t="s">
        <v>8472</v>
      </c>
      <c r="C7882" s="161"/>
      <c r="D7882" s="161"/>
      <c r="E7882" s="161" t="s">
        <v>102</v>
      </c>
      <c r="F7882" s="163"/>
      <c r="G7882" s="163"/>
      <c r="H7882" s="161"/>
      <c r="I7882" s="161"/>
    </row>
    <row r="7883" spans="1:9">
      <c r="A7883" s="161">
        <v>130200041</v>
      </c>
      <c r="B7883" s="161" t="s">
        <v>8473</v>
      </c>
      <c r="C7883" s="161"/>
      <c r="D7883" s="161"/>
      <c r="E7883" s="161" t="s">
        <v>8116</v>
      </c>
      <c r="F7883" s="163"/>
      <c r="G7883" s="163"/>
      <c r="H7883" s="161"/>
      <c r="I7883" s="161"/>
    </row>
    <row r="7884" spans="1:9">
      <c r="A7884" s="161">
        <v>130200042</v>
      </c>
      <c r="B7884" s="161" t="s">
        <v>8474</v>
      </c>
      <c r="C7884" s="161"/>
      <c r="D7884" s="161"/>
      <c r="E7884" s="161" t="s">
        <v>8577</v>
      </c>
      <c r="F7884" s="163"/>
      <c r="G7884" s="163"/>
      <c r="H7884" s="161"/>
      <c r="I7884" s="161"/>
    </row>
    <row r="7885" spans="1:9">
      <c r="A7885" s="161">
        <v>130200044</v>
      </c>
      <c r="B7885" s="161" t="s">
        <v>8475</v>
      </c>
      <c r="C7885" s="161"/>
      <c r="D7885" s="161"/>
      <c r="E7885" s="161" t="s">
        <v>8577</v>
      </c>
      <c r="F7885" s="163"/>
      <c r="G7885" s="163"/>
      <c r="H7885" s="161"/>
      <c r="I7885" s="161"/>
    </row>
    <row r="7886" spans="1:9">
      <c r="A7886" s="161">
        <v>130200045</v>
      </c>
      <c r="B7886" s="161" t="s">
        <v>8476</v>
      </c>
      <c r="C7886" s="161"/>
      <c r="D7886" s="161"/>
      <c r="E7886" s="161" t="s">
        <v>8117</v>
      </c>
      <c r="F7886" s="163"/>
      <c r="G7886" s="163"/>
      <c r="H7886" s="161"/>
      <c r="I7886" s="161"/>
    </row>
    <row r="7887" spans="1:9">
      <c r="A7887" s="161">
        <v>130200047</v>
      </c>
      <c r="B7887" s="161" t="s">
        <v>8477</v>
      </c>
      <c r="C7887" s="161"/>
      <c r="D7887" s="161"/>
      <c r="E7887" s="161" t="s">
        <v>8577</v>
      </c>
      <c r="F7887" s="163"/>
      <c r="G7887" s="163"/>
      <c r="H7887" s="161"/>
      <c r="I7887" s="161"/>
    </row>
    <row r="7888" spans="1:9">
      <c r="A7888" s="161">
        <v>130200049</v>
      </c>
      <c r="B7888" s="161" t="s">
        <v>8478</v>
      </c>
      <c r="C7888" s="161"/>
      <c r="D7888" s="161"/>
      <c r="E7888" s="161" t="s">
        <v>8577</v>
      </c>
      <c r="F7888" s="163"/>
      <c r="G7888" s="163"/>
      <c r="H7888" s="161"/>
      <c r="I7888" s="161"/>
    </row>
    <row r="7889" spans="1:9">
      <c r="A7889" s="161">
        <v>130200050</v>
      </c>
      <c r="B7889" s="161" t="s">
        <v>8479</v>
      </c>
      <c r="C7889" s="161"/>
      <c r="D7889" s="161"/>
      <c r="E7889" s="161" t="s">
        <v>102</v>
      </c>
      <c r="F7889" s="163"/>
      <c r="G7889" s="163"/>
      <c r="H7889" s="161"/>
      <c r="I7889" s="161"/>
    </row>
    <row r="7890" spans="1:9">
      <c r="A7890" s="161">
        <v>130200051</v>
      </c>
      <c r="B7890" s="161" t="s">
        <v>8480</v>
      </c>
      <c r="C7890" s="161"/>
      <c r="D7890" s="161"/>
      <c r="E7890" s="161" t="s">
        <v>102</v>
      </c>
      <c r="F7890" s="163"/>
      <c r="G7890" s="163"/>
      <c r="H7890" s="161"/>
      <c r="I7890" s="161"/>
    </row>
    <row r="7891" spans="1:9">
      <c r="A7891" s="161">
        <v>130200052</v>
      </c>
      <c r="B7891" s="161" t="s">
        <v>8481</v>
      </c>
      <c r="C7891" s="161"/>
      <c r="D7891" s="161"/>
      <c r="E7891" s="161" t="s">
        <v>102</v>
      </c>
      <c r="F7891" s="163"/>
      <c r="G7891" s="163"/>
      <c r="H7891" s="161"/>
      <c r="I7891" s="161"/>
    </row>
    <row r="7892" spans="1:9">
      <c r="A7892" s="161">
        <v>130200055</v>
      </c>
      <c r="B7892" s="161" t="s">
        <v>2573</v>
      </c>
      <c r="C7892" s="161"/>
      <c r="D7892" s="161"/>
      <c r="E7892" s="161" t="s">
        <v>1620</v>
      </c>
      <c r="F7892" s="163"/>
      <c r="G7892" s="163"/>
      <c r="H7892" s="161"/>
      <c r="I7892" s="161"/>
    </row>
    <row r="7893" spans="1:9">
      <c r="A7893" s="161">
        <v>130200056</v>
      </c>
      <c r="B7893" s="161" t="s">
        <v>8482</v>
      </c>
      <c r="C7893" s="161"/>
      <c r="D7893" s="161"/>
      <c r="E7893" s="161" t="s">
        <v>1620</v>
      </c>
      <c r="F7893" s="163"/>
      <c r="G7893" s="163"/>
      <c r="H7893" s="161"/>
      <c r="I7893" s="161"/>
    </row>
    <row r="7894" spans="1:9">
      <c r="A7894" s="161">
        <v>130200057</v>
      </c>
      <c r="B7894" s="161" t="s">
        <v>2574</v>
      </c>
      <c r="C7894" s="161"/>
      <c r="D7894" s="161"/>
      <c r="E7894" s="161" t="s">
        <v>1620</v>
      </c>
      <c r="F7894" s="163"/>
      <c r="G7894" s="163"/>
      <c r="H7894" s="161"/>
      <c r="I7894" s="161"/>
    </row>
    <row r="7895" spans="1:9">
      <c r="A7895" s="161">
        <v>130200058</v>
      </c>
      <c r="B7895" s="161" t="s">
        <v>8483</v>
      </c>
      <c r="C7895" s="161"/>
      <c r="D7895" s="161"/>
      <c r="E7895" s="161" t="s">
        <v>102</v>
      </c>
      <c r="F7895" s="163"/>
      <c r="G7895" s="163"/>
      <c r="H7895" s="161"/>
      <c r="I7895" s="161"/>
    </row>
    <row r="7896" spans="1:9">
      <c r="A7896" s="161">
        <v>130200059</v>
      </c>
      <c r="B7896" s="161" t="s">
        <v>2575</v>
      </c>
      <c r="C7896" s="161"/>
      <c r="D7896" s="161"/>
      <c r="E7896" s="161" t="s">
        <v>102</v>
      </c>
      <c r="F7896" s="163"/>
      <c r="G7896" s="163"/>
      <c r="H7896" s="161"/>
      <c r="I7896" s="161"/>
    </row>
    <row r="7897" spans="1:9">
      <c r="A7897" s="161">
        <v>130200060</v>
      </c>
      <c r="B7897" s="161" t="s">
        <v>2576</v>
      </c>
      <c r="C7897" s="161"/>
      <c r="D7897" s="161"/>
      <c r="E7897" s="161" t="s">
        <v>102</v>
      </c>
      <c r="F7897" s="163"/>
      <c r="G7897" s="163"/>
      <c r="H7897" s="161"/>
      <c r="I7897" s="161"/>
    </row>
    <row r="7898" spans="1:9">
      <c r="A7898" s="161">
        <v>130200063</v>
      </c>
      <c r="B7898" s="161" t="s">
        <v>1836</v>
      </c>
      <c r="C7898" s="161"/>
      <c r="D7898" s="161"/>
      <c r="E7898" s="161" t="s">
        <v>8577</v>
      </c>
      <c r="F7898" s="163"/>
      <c r="G7898" s="163"/>
      <c r="H7898" s="161"/>
      <c r="I7898" s="161"/>
    </row>
    <row r="7899" spans="1:9">
      <c r="A7899" s="161">
        <v>130200064</v>
      </c>
      <c r="B7899" s="161" t="s">
        <v>8484</v>
      </c>
      <c r="C7899" s="161"/>
      <c r="D7899" s="161"/>
      <c r="E7899" s="161" t="s">
        <v>8577</v>
      </c>
      <c r="F7899" s="163"/>
      <c r="G7899" s="163"/>
      <c r="H7899" s="161"/>
      <c r="I7899" s="161"/>
    </row>
    <row r="7900" spans="1:9">
      <c r="A7900" s="161">
        <v>130200065</v>
      </c>
      <c r="B7900" s="161" t="s">
        <v>8485</v>
      </c>
      <c r="C7900" s="161"/>
      <c r="D7900" s="161"/>
      <c r="E7900" s="161" t="s">
        <v>8578</v>
      </c>
      <c r="F7900" s="163"/>
      <c r="G7900" s="163"/>
      <c r="H7900" s="161"/>
      <c r="I7900" s="161"/>
    </row>
    <row r="7901" spans="1:9">
      <c r="A7901" s="161">
        <v>130200066</v>
      </c>
      <c r="B7901" s="161" t="s">
        <v>8486</v>
      </c>
      <c r="C7901" s="161"/>
      <c r="D7901" s="161"/>
      <c r="E7901" s="161" t="s">
        <v>8577</v>
      </c>
      <c r="F7901" s="163"/>
      <c r="G7901" s="163"/>
      <c r="H7901" s="161"/>
      <c r="I7901" s="161"/>
    </row>
    <row r="7902" spans="1:9">
      <c r="A7902" s="161">
        <v>130200067</v>
      </c>
      <c r="B7902" s="161" t="s">
        <v>8487</v>
      </c>
      <c r="C7902" s="161"/>
      <c r="D7902" s="161"/>
      <c r="E7902" s="161" t="s">
        <v>8578</v>
      </c>
      <c r="F7902" s="163"/>
      <c r="G7902" s="163"/>
      <c r="H7902" s="161"/>
      <c r="I7902" s="161"/>
    </row>
    <row r="7903" spans="1:9">
      <c r="A7903" s="161">
        <v>130300001</v>
      </c>
      <c r="B7903" s="161" t="s">
        <v>8488</v>
      </c>
      <c r="C7903" s="161"/>
      <c r="D7903" s="161"/>
      <c r="E7903" s="161" t="s">
        <v>102</v>
      </c>
      <c r="F7903" s="163"/>
      <c r="G7903" s="163"/>
      <c r="H7903" s="161"/>
      <c r="I7903" s="161"/>
    </row>
    <row r="7904" spans="1:9">
      <c r="A7904" s="161">
        <v>130300002</v>
      </c>
      <c r="B7904" s="161" t="s">
        <v>8489</v>
      </c>
      <c r="C7904" s="161"/>
      <c r="D7904" s="161"/>
      <c r="E7904" s="161" t="s">
        <v>102</v>
      </c>
      <c r="F7904" s="163"/>
      <c r="G7904" s="163"/>
      <c r="H7904" s="161"/>
      <c r="I7904" s="161"/>
    </row>
    <row r="7905" spans="1:9">
      <c r="A7905" s="161">
        <v>130300003</v>
      </c>
      <c r="B7905" s="161" t="s">
        <v>8490</v>
      </c>
      <c r="C7905" s="161"/>
      <c r="D7905" s="161"/>
      <c r="E7905" s="161" t="s">
        <v>102</v>
      </c>
      <c r="F7905" s="163"/>
      <c r="G7905" s="163"/>
      <c r="H7905" s="161"/>
      <c r="I7905" s="161"/>
    </row>
    <row r="7906" spans="1:9">
      <c r="A7906" s="161">
        <v>130300004</v>
      </c>
      <c r="B7906" s="161" t="s">
        <v>8491</v>
      </c>
      <c r="C7906" s="161"/>
      <c r="D7906" s="161"/>
      <c r="E7906" s="161" t="s">
        <v>102</v>
      </c>
      <c r="F7906" s="163"/>
      <c r="G7906" s="163"/>
      <c r="H7906" s="161"/>
      <c r="I7906" s="161"/>
    </row>
    <row r="7907" spans="1:9">
      <c r="A7907" s="161">
        <v>130300005</v>
      </c>
      <c r="B7907" s="161" t="s">
        <v>8492</v>
      </c>
      <c r="C7907" s="161"/>
      <c r="D7907" s="161"/>
      <c r="E7907" s="161" t="s">
        <v>102</v>
      </c>
      <c r="F7907" s="163"/>
      <c r="G7907" s="163"/>
      <c r="H7907" s="161"/>
      <c r="I7907" s="161"/>
    </row>
    <row r="7908" spans="1:9">
      <c r="A7908" s="161">
        <v>130300006</v>
      </c>
      <c r="B7908" s="161" t="s">
        <v>8493</v>
      </c>
      <c r="C7908" s="161"/>
      <c r="D7908" s="161"/>
      <c r="E7908" s="161" t="s">
        <v>102</v>
      </c>
      <c r="F7908" s="163"/>
      <c r="G7908" s="163"/>
      <c r="H7908" s="161"/>
      <c r="I7908" s="161"/>
    </row>
    <row r="7909" spans="1:9">
      <c r="A7909" s="161">
        <v>130300007</v>
      </c>
      <c r="B7909" s="161" t="s">
        <v>8494</v>
      </c>
      <c r="C7909" s="161"/>
      <c r="D7909" s="161"/>
      <c r="E7909" s="161" t="s">
        <v>102</v>
      </c>
      <c r="F7909" s="163"/>
      <c r="G7909" s="163"/>
      <c r="H7909" s="161"/>
      <c r="I7909" s="161"/>
    </row>
    <row r="7910" spans="1:9">
      <c r="A7910" s="161">
        <v>130300008</v>
      </c>
      <c r="B7910" s="161" t="s">
        <v>8495</v>
      </c>
      <c r="C7910" s="161"/>
      <c r="D7910" s="161"/>
      <c r="E7910" s="161" t="s">
        <v>102</v>
      </c>
      <c r="F7910" s="163"/>
      <c r="G7910" s="163"/>
      <c r="H7910" s="161"/>
      <c r="I7910" s="161"/>
    </row>
    <row r="7911" spans="1:9">
      <c r="A7911" s="161">
        <v>130300009</v>
      </c>
      <c r="B7911" s="161" t="s">
        <v>8496</v>
      </c>
      <c r="C7911" s="161"/>
      <c r="D7911" s="161"/>
      <c r="E7911" s="161" t="s">
        <v>102</v>
      </c>
      <c r="F7911" s="163"/>
      <c r="G7911" s="163"/>
      <c r="H7911" s="161"/>
      <c r="I7911" s="161"/>
    </row>
    <row r="7912" spans="1:9">
      <c r="A7912" s="161">
        <v>130300010</v>
      </c>
      <c r="B7912" s="161" t="s">
        <v>8497</v>
      </c>
      <c r="C7912" s="161"/>
      <c r="D7912" s="161"/>
      <c r="E7912" s="161" t="s">
        <v>102</v>
      </c>
      <c r="F7912" s="163"/>
      <c r="G7912" s="163"/>
      <c r="H7912" s="161"/>
      <c r="I7912" s="161"/>
    </row>
    <row r="7913" spans="1:9">
      <c r="A7913" s="161">
        <v>130300011</v>
      </c>
      <c r="B7913" s="161" t="s">
        <v>8498</v>
      </c>
      <c r="C7913" s="161"/>
      <c r="D7913" s="161"/>
      <c r="E7913" s="161" t="s">
        <v>102</v>
      </c>
      <c r="F7913" s="163"/>
      <c r="G7913" s="163"/>
      <c r="H7913" s="161"/>
      <c r="I7913" s="161"/>
    </row>
    <row r="7914" spans="1:9">
      <c r="A7914" s="161">
        <v>130300012</v>
      </c>
      <c r="B7914" s="161" t="s">
        <v>8499</v>
      </c>
      <c r="C7914" s="161"/>
      <c r="D7914" s="161"/>
      <c r="E7914" s="161" t="s">
        <v>102</v>
      </c>
      <c r="F7914" s="163"/>
      <c r="G7914" s="163"/>
      <c r="H7914" s="161"/>
      <c r="I7914" s="161"/>
    </row>
    <row r="7915" spans="1:9">
      <c r="A7915" s="161">
        <v>130300013</v>
      </c>
      <c r="B7915" s="161" t="s">
        <v>8500</v>
      </c>
      <c r="C7915" s="161"/>
      <c r="D7915" s="161"/>
      <c r="E7915" s="161" t="s">
        <v>102</v>
      </c>
      <c r="F7915" s="163"/>
      <c r="G7915" s="163"/>
      <c r="H7915" s="161"/>
      <c r="I7915" s="161"/>
    </row>
    <row r="7916" spans="1:9">
      <c r="A7916" s="161">
        <v>130300014</v>
      </c>
      <c r="B7916" s="161" t="s">
        <v>8501</v>
      </c>
      <c r="C7916" s="161"/>
      <c r="D7916" s="161"/>
      <c r="E7916" s="161" t="s">
        <v>102</v>
      </c>
      <c r="F7916" s="163"/>
      <c r="G7916" s="163"/>
      <c r="H7916" s="161"/>
      <c r="I7916" s="161"/>
    </row>
    <row r="7917" spans="1:9">
      <c r="A7917" s="161">
        <v>130300015</v>
      </c>
      <c r="B7917" s="161" t="s">
        <v>8502</v>
      </c>
      <c r="C7917" s="161"/>
      <c r="D7917" s="161"/>
      <c r="E7917" s="161" t="s">
        <v>102</v>
      </c>
      <c r="F7917" s="163"/>
      <c r="G7917" s="163"/>
      <c r="H7917" s="161"/>
      <c r="I7917" s="161"/>
    </row>
    <row r="7918" spans="1:9">
      <c r="A7918" s="161">
        <v>130300016</v>
      </c>
      <c r="B7918" s="161" t="s">
        <v>8503</v>
      </c>
      <c r="C7918" s="161"/>
      <c r="D7918" s="161"/>
      <c r="E7918" s="161" t="s">
        <v>102</v>
      </c>
      <c r="F7918" s="163"/>
      <c r="G7918" s="163"/>
      <c r="H7918" s="161"/>
      <c r="I7918" s="161"/>
    </row>
    <row r="7919" spans="1:9">
      <c r="A7919" s="161">
        <v>130300017</v>
      </c>
      <c r="B7919" s="161" t="s">
        <v>8504</v>
      </c>
      <c r="C7919" s="161"/>
      <c r="D7919" s="161"/>
      <c r="E7919" s="161" t="s">
        <v>102</v>
      </c>
      <c r="F7919" s="163"/>
      <c r="G7919" s="163"/>
      <c r="H7919" s="161"/>
      <c r="I7919" s="161"/>
    </row>
    <row r="7920" spans="1:9">
      <c r="A7920" s="161">
        <v>130300018</v>
      </c>
      <c r="B7920" s="161" t="s">
        <v>8505</v>
      </c>
      <c r="C7920" s="161"/>
      <c r="D7920" s="161"/>
      <c r="E7920" s="161" t="s">
        <v>102</v>
      </c>
      <c r="F7920" s="163"/>
      <c r="G7920" s="163"/>
      <c r="H7920" s="161"/>
      <c r="I7920" s="161"/>
    </row>
    <row r="7921" spans="1:9">
      <c r="A7921" s="161">
        <v>130300019</v>
      </c>
      <c r="B7921" s="161" t="s">
        <v>8506</v>
      </c>
      <c r="C7921" s="161"/>
      <c r="D7921" s="161"/>
      <c r="E7921" s="161" t="s">
        <v>102</v>
      </c>
      <c r="F7921" s="163"/>
      <c r="G7921" s="163"/>
      <c r="H7921" s="161"/>
      <c r="I7921" s="161"/>
    </row>
    <row r="7922" spans="1:9">
      <c r="A7922" s="161">
        <v>130300020</v>
      </c>
      <c r="B7922" s="161" t="s">
        <v>8507</v>
      </c>
      <c r="C7922" s="161"/>
      <c r="D7922" s="161"/>
      <c r="E7922" s="161" t="s">
        <v>102</v>
      </c>
      <c r="F7922" s="163"/>
      <c r="G7922" s="163"/>
      <c r="H7922" s="161"/>
      <c r="I7922" s="161"/>
    </row>
    <row r="7923" spans="1:9">
      <c r="A7923" s="161">
        <v>130300022</v>
      </c>
      <c r="B7923" s="161" t="s">
        <v>8508</v>
      </c>
      <c r="C7923" s="161"/>
      <c r="D7923" s="161"/>
      <c r="E7923" s="161" t="s">
        <v>102</v>
      </c>
      <c r="F7923" s="163"/>
      <c r="G7923" s="163"/>
      <c r="H7923" s="161"/>
      <c r="I7923" s="161"/>
    </row>
    <row r="7924" spans="1:9">
      <c r="A7924" s="161">
        <v>130300023</v>
      </c>
      <c r="B7924" s="161" t="s">
        <v>8509</v>
      </c>
      <c r="C7924" s="161"/>
      <c r="D7924" s="161"/>
      <c r="E7924" s="161" t="s">
        <v>102</v>
      </c>
      <c r="F7924" s="163"/>
      <c r="G7924" s="163"/>
      <c r="H7924" s="161"/>
      <c r="I7924" s="161"/>
    </row>
    <row r="7925" spans="1:9">
      <c r="A7925" s="161">
        <v>130300024</v>
      </c>
      <c r="B7925" s="161" t="s">
        <v>8510</v>
      </c>
      <c r="C7925" s="161"/>
      <c r="D7925" s="161"/>
      <c r="E7925" s="161" t="s">
        <v>102</v>
      </c>
      <c r="F7925" s="163"/>
      <c r="G7925" s="163"/>
      <c r="H7925" s="161"/>
      <c r="I7925" s="161"/>
    </row>
    <row r="7926" spans="1:9">
      <c r="A7926" s="161">
        <v>130300025</v>
      </c>
      <c r="B7926" s="161" t="s">
        <v>8511</v>
      </c>
      <c r="C7926" s="161"/>
      <c r="D7926" s="161"/>
      <c r="E7926" s="161" t="s">
        <v>102</v>
      </c>
      <c r="F7926" s="163"/>
      <c r="G7926" s="163"/>
      <c r="H7926" s="161"/>
      <c r="I7926" s="161"/>
    </row>
    <row r="7927" spans="1:9">
      <c r="A7927" s="161">
        <v>130300026</v>
      </c>
      <c r="B7927" s="161" t="s">
        <v>8512</v>
      </c>
      <c r="C7927" s="161"/>
      <c r="D7927" s="161"/>
      <c r="E7927" s="161" t="s">
        <v>102</v>
      </c>
      <c r="F7927" s="163"/>
      <c r="G7927" s="163"/>
      <c r="H7927" s="161"/>
      <c r="I7927" s="161"/>
    </row>
    <row r="7928" spans="1:9">
      <c r="A7928" s="161">
        <v>130300027</v>
      </c>
      <c r="B7928" s="161" t="s">
        <v>8513</v>
      </c>
      <c r="C7928" s="161"/>
      <c r="D7928" s="161"/>
      <c r="E7928" s="161" t="s">
        <v>102</v>
      </c>
      <c r="F7928" s="163"/>
      <c r="G7928" s="163"/>
      <c r="H7928" s="161"/>
      <c r="I7928" s="161"/>
    </row>
    <row r="7929" spans="1:9">
      <c r="A7929" s="161">
        <v>130300028</v>
      </c>
      <c r="B7929" s="161" t="s">
        <v>8514</v>
      </c>
      <c r="C7929" s="161"/>
      <c r="D7929" s="161"/>
      <c r="E7929" s="161" t="s">
        <v>102</v>
      </c>
      <c r="F7929" s="163"/>
      <c r="G7929" s="163"/>
      <c r="H7929" s="161"/>
      <c r="I7929" s="161"/>
    </row>
    <row r="7930" spans="1:9">
      <c r="A7930" s="161">
        <v>130300029</v>
      </c>
      <c r="B7930" s="161" t="s">
        <v>8515</v>
      </c>
      <c r="C7930" s="161"/>
      <c r="D7930" s="161"/>
      <c r="E7930" s="161" t="s">
        <v>102</v>
      </c>
      <c r="F7930" s="163"/>
      <c r="G7930" s="163"/>
      <c r="H7930" s="161"/>
      <c r="I7930" s="161"/>
    </row>
    <row r="7931" spans="1:9">
      <c r="A7931" s="161">
        <v>130300030</v>
      </c>
      <c r="B7931" s="161" t="s">
        <v>8516</v>
      </c>
      <c r="C7931" s="161"/>
      <c r="D7931" s="161"/>
      <c r="E7931" s="161" t="s">
        <v>102</v>
      </c>
      <c r="F7931" s="163"/>
      <c r="G7931" s="163"/>
      <c r="H7931" s="161"/>
      <c r="I7931" s="161"/>
    </row>
    <row r="7932" spans="1:9">
      <c r="A7932" s="161">
        <v>130300031</v>
      </c>
      <c r="B7932" s="161" t="s">
        <v>8517</v>
      </c>
      <c r="C7932" s="161"/>
      <c r="D7932" s="161"/>
      <c r="E7932" s="161" t="s">
        <v>102</v>
      </c>
      <c r="F7932" s="163"/>
      <c r="G7932" s="163"/>
      <c r="H7932" s="161"/>
      <c r="I7932" s="161"/>
    </row>
    <row r="7933" spans="1:9">
      <c r="A7933" s="161">
        <v>130300032</v>
      </c>
      <c r="B7933" s="161" t="s">
        <v>8518</v>
      </c>
      <c r="C7933" s="161"/>
      <c r="D7933" s="161"/>
      <c r="E7933" s="161" t="s">
        <v>102</v>
      </c>
      <c r="F7933" s="163"/>
      <c r="G7933" s="163"/>
      <c r="H7933" s="161"/>
      <c r="I7933" s="161"/>
    </row>
    <row r="7934" spans="1:9">
      <c r="A7934" s="161">
        <v>130300033</v>
      </c>
      <c r="B7934" s="161" t="s">
        <v>8519</v>
      </c>
      <c r="C7934" s="161"/>
      <c r="D7934" s="161"/>
      <c r="E7934" s="161" t="s">
        <v>102</v>
      </c>
      <c r="F7934" s="163"/>
      <c r="G7934" s="163"/>
      <c r="H7934" s="161"/>
      <c r="I7934" s="161"/>
    </row>
    <row r="7935" spans="1:9">
      <c r="A7935" s="161">
        <v>130300034</v>
      </c>
      <c r="B7935" s="161" t="s">
        <v>8520</v>
      </c>
      <c r="C7935" s="161"/>
      <c r="D7935" s="161"/>
      <c r="E7935" s="161" t="s">
        <v>102</v>
      </c>
      <c r="F7935" s="163"/>
      <c r="G7935" s="163"/>
      <c r="H7935" s="161"/>
      <c r="I7935" s="161"/>
    </row>
    <row r="7936" spans="1:9">
      <c r="A7936" s="161">
        <v>130300035</v>
      </c>
      <c r="B7936" s="161" t="s">
        <v>8521</v>
      </c>
      <c r="C7936" s="161"/>
      <c r="D7936" s="161"/>
      <c r="E7936" s="161" t="s">
        <v>102</v>
      </c>
      <c r="F7936" s="163"/>
      <c r="G7936" s="163"/>
      <c r="H7936" s="161"/>
      <c r="I7936" s="161"/>
    </row>
    <row r="7937" spans="1:9">
      <c r="A7937" s="161">
        <v>130300036</v>
      </c>
      <c r="B7937" s="161" t="s">
        <v>8522</v>
      </c>
      <c r="C7937" s="161"/>
      <c r="D7937" s="161"/>
      <c r="E7937" s="161" t="s">
        <v>102</v>
      </c>
      <c r="F7937" s="163"/>
      <c r="G7937" s="163"/>
      <c r="H7937" s="161"/>
      <c r="I7937" s="161"/>
    </row>
    <row r="7938" spans="1:9">
      <c r="A7938" s="161">
        <v>130300037</v>
      </c>
      <c r="B7938" s="161" t="s">
        <v>8523</v>
      </c>
      <c r="C7938" s="161"/>
      <c r="D7938" s="161"/>
      <c r="E7938" s="161" t="s">
        <v>102</v>
      </c>
      <c r="F7938" s="163"/>
      <c r="G7938" s="163"/>
      <c r="H7938" s="161"/>
      <c r="I7938" s="161"/>
    </row>
    <row r="7939" spans="1:9">
      <c r="A7939" s="161">
        <v>130300038</v>
      </c>
      <c r="B7939" s="161" t="s">
        <v>8524</v>
      </c>
      <c r="C7939" s="161"/>
      <c r="D7939" s="161"/>
      <c r="E7939" s="161" t="s">
        <v>102</v>
      </c>
      <c r="F7939" s="163"/>
      <c r="G7939" s="163"/>
      <c r="H7939" s="161"/>
      <c r="I7939" s="161"/>
    </row>
    <row r="7940" spans="1:9">
      <c r="A7940" s="161">
        <v>130300039</v>
      </c>
      <c r="B7940" s="161" t="s">
        <v>8525</v>
      </c>
      <c r="C7940" s="161"/>
      <c r="D7940" s="161"/>
      <c r="E7940" s="161" t="s">
        <v>102</v>
      </c>
      <c r="F7940" s="163"/>
      <c r="G7940" s="163"/>
      <c r="H7940" s="161"/>
      <c r="I7940" s="161"/>
    </row>
    <row r="7941" spans="1:9">
      <c r="A7941" s="161">
        <v>130300040</v>
      </c>
      <c r="B7941" s="161" t="s">
        <v>8526</v>
      </c>
      <c r="C7941" s="161"/>
      <c r="D7941" s="161"/>
      <c r="E7941" s="161" t="s">
        <v>102</v>
      </c>
      <c r="F7941" s="163"/>
      <c r="G7941" s="163"/>
      <c r="H7941" s="161"/>
      <c r="I7941" s="161"/>
    </row>
    <row r="7942" spans="1:9">
      <c r="A7942" s="161">
        <v>130300041</v>
      </c>
      <c r="B7942" s="161" t="s">
        <v>8527</v>
      </c>
      <c r="C7942" s="161"/>
      <c r="D7942" s="161"/>
      <c r="E7942" s="161" t="s">
        <v>102</v>
      </c>
      <c r="F7942" s="163"/>
      <c r="G7942" s="163"/>
      <c r="H7942" s="161"/>
      <c r="I7942" s="161"/>
    </row>
    <row r="7943" spans="1:9">
      <c r="A7943" s="161">
        <v>130300042</v>
      </c>
      <c r="B7943" s="161" t="s">
        <v>8528</v>
      </c>
      <c r="C7943" s="161"/>
      <c r="D7943" s="161"/>
      <c r="E7943" s="161" t="s">
        <v>102</v>
      </c>
      <c r="F7943" s="163"/>
      <c r="G7943" s="163"/>
      <c r="H7943" s="161"/>
      <c r="I7943" s="161"/>
    </row>
    <row r="7944" spans="1:9">
      <c r="A7944" s="161">
        <v>130300043</v>
      </c>
      <c r="B7944" s="161" t="s">
        <v>8529</v>
      </c>
      <c r="C7944" s="161"/>
      <c r="D7944" s="161"/>
      <c r="E7944" s="161" t="s">
        <v>102</v>
      </c>
      <c r="F7944" s="163"/>
      <c r="G7944" s="163"/>
      <c r="H7944" s="161"/>
      <c r="I7944" s="161"/>
    </row>
    <row r="7945" spans="1:9">
      <c r="A7945" s="161">
        <v>130300044</v>
      </c>
      <c r="B7945" s="161" t="s">
        <v>8530</v>
      </c>
      <c r="C7945" s="161"/>
      <c r="D7945" s="161"/>
      <c r="E7945" s="161" t="s">
        <v>102</v>
      </c>
      <c r="F7945" s="163"/>
      <c r="G7945" s="163"/>
      <c r="H7945" s="161"/>
      <c r="I7945" s="161"/>
    </row>
    <row r="7946" spans="1:9">
      <c r="A7946" s="161">
        <v>130300045</v>
      </c>
      <c r="B7946" s="161" t="s">
        <v>8531</v>
      </c>
      <c r="C7946" s="161"/>
      <c r="D7946" s="161"/>
      <c r="E7946" s="161" t="s">
        <v>102</v>
      </c>
      <c r="F7946" s="163"/>
      <c r="G7946" s="163"/>
      <c r="H7946" s="161"/>
      <c r="I7946" s="161"/>
    </row>
    <row r="7947" spans="1:9">
      <c r="A7947" s="161">
        <v>130300046</v>
      </c>
      <c r="B7947" s="161" t="s">
        <v>8532</v>
      </c>
      <c r="C7947" s="161"/>
      <c r="D7947" s="161"/>
      <c r="E7947" s="161" t="s">
        <v>102</v>
      </c>
      <c r="F7947" s="163"/>
      <c r="G7947" s="163"/>
      <c r="H7947" s="161"/>
      <c r="I7947" s="161"/>
    </row>
    <row r="7948" spans="1:9">
      <c r="A7948" s="161">
        <v>130300047</v>
      </c>
      <c r="B7948" s="161" t="s">
        <v>8533</v>
      </c>
      <c r="C7948" s="161"/>
      <c r="D7948" s="161"/>
      <c r="E7948" s="161" t="s">
        <v>102</v>
      </c>
      <c r="F7948" s="163"/>
      <c r="G7948" s="163"/>
      <c r="H7948" s="161"/>
      <c r="I7948" s="161"/>
    </row>
    <row r="7949" spans="1:9">
      <c r="A7949" s="161">
        <v>130300048</v>
      </c>
      <c r="B7949" s="161" t="s">
        <v>8534</v>
      </c>
      <c r="C7949" s="161"/>
      <c r="D7949" s="161"/>
      <c r="E7949" s="161" t="s">
        <v>102</v>
      </c>
      <c r="F7949" s="163"/>
      <c r="G7949" s="163"/>
      <c r="H7949" s="161"/>
      <c r="I7949" s="161"/>
    </row>
    <row r="7950" spans="1:9">
      <c r="A7950" s="161">
        <v>130300049</v>
      </c>
      <c r="B7950" s="161" t="s">
        <v>8535</v>
      </c>
      <c r="C7950" s="161"/>
      <c r="D7950" s="161"/>
      <c r="E7950" s="161" t="s">
        <v>102</v>
      </c>
      <c r="F7950" s="163"/>
      <c r="G7950" s="163"/>
      <c r="H7950" s="161"/>
      <c r="I7950" s="161"/>
    </row>
    <row r="7951" spans="1:9">
      <c r="A7951" s="161">
        <v>130300050</v>
      </c>
      <c r="B7951" s="161" t="s">
        <v>8536</v>
      </c>
      <c r="C7951" s="161"/>
      <c r="D7951" s="161"/>
      <c r="E7951" s="161" t="s">
        <v>102</v>
      </c>
      <c r="F7951" s="163"/>
      <c r="G7951" s="163"/>
      <c r="H7951" s="161"/>
      <c r="I7951" s="161"/>
    </row>
    <row r="7952" spans="1:9">
      <c r="A7952" s="161">
        <v>130300051</v>
      </c>
      <c r="B7952" s="161" t="s">
        <v>8537</v>
      </c>
      <c r="C7952" s="161"/>
      <c r="D7952" s="161"/>
      <c r="E7952" s="161" t="s">
        <v>102</v>
      </c>
      <c r="F7952" s="163"/>
      <c r="G7952" s="163"/>
      <c r="H7952" s="161"/>
      <c r="I7952" s="161"/>
    </row>
    <row r="7953" spans="1:9">
      <c r="A7953" s="161">
        <v>130300052</v>
      </c>
      <c r="B7953" s="161" t="s">
        <v>8538</v>
      </c>
      <c r="C7953" s="161"/>
      <c r="D7953" s="161"/>
      <c r="E7953" s="161" t="s">
        <v>102</v>
      </c>
      <c r="F7953" s="163"/>
      <c r="G7953" s="163"/>
      <c r="H7953" s="161"/>
      <c r="I7953" s="161"/>
    </row>
    <row r="7954" spans="1:9">
      <c r="A7954" s="161">
        <v>130300053</v>
      </c>
      <c r="B7954" s="161" t="s">
        <v>8539</v>
      </c>
      <c r="C7954" s="161"/>
      <c r="D7954" s="161"/>
      <c r="E7954" s="161" t="s">
        <v>102</v>
      </c>
      <c r="F7954" s="163"/>
      <c r="G7954" s="163"/>
      <c r="H7954" s="161"/>
      <c r="I7954" s="161"/>
    </row>
    <row r="7955" spans="1:9">
      <c r="A7955" s="161">
        <v>130300054</v>
      </c>
      <c r="B7955" s="161" t="s">
        <v>8540</v>
      </c>
      <c r="C7955" s="161"/>
      <c r="D7955" s="161"/>
      <c r="E7955" s="161" t="s">
        <v>102</v>
      </c>
      <c r="F7955" s="163"/>
      <c r="G7955" s="163"/>
      <c r="H7955" s="161"/>
      <c r="I7955" s="161"/>
    </row>
    <row r="7956" spans="1:9">
      <c r="A7956" s="161">
        <v>130300055</v>
      </c>
      <c r="B7956" s="161" t="s">
        <v>8541</v>
      </c>
      <c r="C7956" s="161"/>
      <c r="D7956" s="161"/>
      <c r="E7956" s="161" t="s">
        <v>102</v>
      </c>
      <c r="F7956" s="163"/>
      <c r="G7956" s="163"/>
      <c r="H7956" s="161"/>
      <c r="I7956" s="161"/>
    </row>
    <row r="7957" spans="1:9">
      <c r="A7957" s="161">
        <v>130300056</v>
      </c>
      <c r="B7957" s="161" t="s">
        <v>8542</v>
      </c>
      <c r="C7957" s="161"/>
      <c r="D7957" s="161"/>
      <c r="E7957" s="161" t="s">
        <v>102</v>
      </c>
      <c r="F7957" s="163"/>
      <c r="G7957" s="163"/>
      <c r="H7957" s="161"/>
      <c r="I7957" s="161"/>
    </row>
    <row r="7958" spans="1:9">
      <c r="A7958" s="161">
        <v>130300057</v>
      </c>
      <c r="B7958" s="161" t="s">
        <v>8543</v>
      </c>
      <c r="C7958" s="161"/>
      <c r="D7958" s="161"/>
      <c r="E7958" s="161" t="s">
        <v>102</v>
      </c>
      <c r="F7958" s="163"/>
      <c r="G7958" s="163"/>
      <c r="H7958" s="161"/>
      <c r="I7958" s="161"/>
    </row>
    <row r="7959" spans="1:9">
      <c r="A7959" s="161">
        <v>130300058</v>
      </c>
      <c r="B7959" s="161" t="s">
        <v>8544</v>
      </c>
      <c r="C7959" s="161"/>
      <c r="D7959" s="161"/>
      <c r="E7959" s="161" t="s">
        <v>102</v>
      </c>
      <c r="F7959" s="163"/>
      <c r="G7959" s="163"/>
      <c r="H7959" s="161"/>
      <c r="I7959" s="161"/>
    </row>
    <row r="7960" spans="1:9">
      <c r="A7960" s="161">
        <v>130300059</v>
      </c>
      <c r="B7960" s="161" t="s">
        <v>8545</v>
      </c>
      <c r="C7960" s="161"/>
      <c r="D7960" s="161"/>
      <c r="E7960" s="161" t="s">
        <v>102</v>
      </c>
      <c r="F7960" s="163"/>
      <c r="G7960" s="163"/>
      <c r="H7960" s="161"/>
      <c r="I7960" s="161"/>
    </row>
    <row r="7961" spans="1:9">
      <c r="A7961" s="161">
        <v>130300060</v>
      </c>
      <c r="B7961" s="161" t="s">
        <v>8546</v>
      </c>
      <c r="C7961" s="161"/>
      <c r="D7961" s="161"/>
      <c r="E7961" s="161" t="s">
        <v>102</v>
      </c>
      <c r="F7961" s="163"/>
      <c r="G7961" s="163"/>
      <c r="H7961" s="161"/>
      <c r="I7961" s="161"/>
    </row>
    <row r="7962" spans="1:9">
      <c r="A7962" s="161">
        <v>130300061</v>
      </c>
      <c r="B7962" s="161" t="s">
        <v>8547</v>
      </c>
      <c r="C7962" s="161"/>
      <c r="D7962" s="161"/>
      <c r="E7962" s="161" t="s">
        <v>102</v>
      </c>
      <c r="F7962" s="163"/>
      <c r="G7962" s="163"/>
      <c r="H7962" s="161"/>
      <c r="I7962" s="161"/>
    </row>
    <row r="7963" spans="1:9">
      <c r="A7963" s="161">
        <v>130300062</v>
      </c>
      <c r="B7963" s="161" t="s">
        <v>8548</v>
      </c>
      <c r="C7963" s="161"/>
      <c r="D7963" s="161"/>
      <c r="E7963" s="161" t="s">
        <v>102</v>
      </c>
      <c r="F7963" s="163"/>
      <c r="G7963" s="163"/>
      <c r="H7963" s="161"/>
      <c r="I7963" s="161"/>
    </row>
    <row r="7964" spans="1:9">
      <c r="A7964" s="161">
        <v>130300063</v>
      </c>
      <c r="B7964" s="161" t="s">
        <v>8549</v>
      </c>
      <c r="C7964" s="161"/>
      <c r="D7964" s="161"/>
      <c r="E7964" s="161" t="s">
        <v>102</v>
      </c>
      <c r="F7964" s="163"/>
      <c r="G7964" s="163"/>
      <c r="H7964" s="161"/>
      <c r="I7964" s="161"/>
    </row>
    <row r="7965" spans="1:9">
      <c r="A7965" s="161">
        <v>130300064</v>
      </c>
      <c r="B7965" s="161" t="s">
        <v>8550</v>
      </c>
      <c r="C7965" s="161"/>
      <c r="D7965" s="161"/>
      <c r="E7965" s="161" t="s">
        <v>102</v>
      </c>
      <c r="F7965" s="163"/>
      <c r="G7965" s="163"/>
      <c r="H7965" s="161"/>
      <c r="I7965" s="161"/>
    </row>
    <row r="7966" spans="1:9">
      <c r="A7966" s="161">
        <v>130300065</v>
      </c>
      <c r="B7966" s="161" t="s">
        <v>8551</v>
      </c>
      <c r="C7966" s="161"/>
      <c r="D7966" s="161"/>
      <c r="E7966" s="161" t="s">
        <v>102</v>
      </c>
      <c r="F7966" s="163"/>
      <c r="G7966" s="163"/>
      <c r="H7966" s="161"/>
      <c r="I7966" s="161"/>
    </row>
    <row r="7967" spans="1:9">
      <c r="A7967" s="161">
        <v>130300066</v>
      </c>
      <c r="B7967" s="161" t="s">
        <v>8552</v>
      </c>
      <c r="C7967" s="161"/>
      <c r="D7967" s="161"/>
      <c r="E7967" s="161" t="s">
        <v>102</v>
      </c>
      <c r="F7967" s="163"/>
      <c r="G7967" s="163"/>
      <c r="H7967" s="161"/>
      <c r="I7967" s="161"/>
    </row>
    <row r="7968" spans="1:9">
      <c r="A7968" s="161">
        <v>130300067</v>
      </c>
      <c r="B7968" s="161" t="s">
        <v>8553</v>
      </c>
      <c r="C7968" s="161"/>
      <c r="D7968" s="161"/>
      <c r="E7968" s="161" t="s">
        <v>102</v>
      </c>
      <c r="F7968" s="163"/>
      <c r="G7968" s="163"/>
      <c r="H7968" s="161"/>
      <c r="I7968" s="161"/>
    </row>
    <row r="7969" spans="1:9">
      <c r="A7969" s="161">
        <v>130400001</v>
      </c>
      <c r="B7969" s="161" t="s">
        <v>8554</v>
      </c>
      <c r="C7969" s="161"/>
      <c r="D7969" s="161"/>
      <c r="E7969" s="161" t="s">
        <v>8120</v>
      </c>
      <c r="F7969" s="163"/>
      <c r="G7969" s="163"/>
      <c r="H7969" s="161"/>
      <c r="I7969" s="161"/>
    </row>
    <row r="7970" spans="1:9">
      <c r="A7970" s="161">
        <v>130400002</v>
      </c>
      <c r="B7970" s="161" t="s">
        <v>8555</v>
      </c>
      <c r="C7970" s="161"/>
      <c r="D7970" s="161"/>
      <c r="E7970" s="161" t="s">
        <v>8120</v>
      </c>
      <c r="F7970" s="163"/>
      <c r="G7970" s="163"/>
      <c r="H7970" s="161"/>
      <c r="I7970" s="161"/>
    </row>
    <row r="7971" spans="1:9">
      <c r="A7971" s="161">
        <v>130400003</v>
      </c>
      <c r="B7971" s="161" t="s">
        <v>8556</v>
      </c>
      <c r="C7971" s="161"/>
      <c r="D7971" s="161"/>
      <c r="E7971" s="161" t="s">
        <v>8120</v>
      </c>
      <c r="F7971" s="163"/>
      <c r="G7971" s="163"/>
      <c r="H7971" s="161"/>
      <c r="I7971" s="161"/>
    </row>
    <row r="7972" spans="1:9">
      <c r="A7972" s="161">
        <v>130400004</v>
      </c>
      <c r="B7972" s="161" t="s">
        <v>8557</v>
      </c>
      <c r="C7972" s="161"/>
      <c r="D7972" s="161"/>
      <c r="E7972" s="161" t="s">
        <v>8120</v>
      </c>
      <c r="F7972" s="163"/>
      <c r="G7972" s="163"/>
      <c r="H7972" s="161"/>
      <c r="I7972" s="161"/>
    </row>
    <row r="7973" spans="1:9">
      <c r="A7973" s="161">
        <v>130400005</v>
      </c>
      <c r="B7973" s="161" t="s">
        <v>8558</v>
      </c>
      <c r="C7973" s="161"/>
      <c r="D7973" s="161"/>
      <c r="E7973" s="161" t="s">
        <v>8120</v>
      </c>
      <c r="F7973" s="163"/>
      <c r="G7973" s="163"/>
      <c r="H7973" s="161"/>
      <c r="I7973" s="161"/>
    </row>
    <row r="7974" spans="1:9">
      <c r="A7974" s="161">
        <v>130400006</v>
      </c>
      <c r="B7974" s="161" t="s">
        <v>8559</v>
      </c>
      <c r="C7974" s="161"/>
      <c r="D7974" s="161"/>
      <c r="E7974" s="161" t="s">
        <v>8120</v>
      </c>
      <c r="F7974" s="163"/>
      <c r="G7974" s="163"/>
      <c r="H7974" s="161"/>
      <c r="I7974" s="161"/>
    </row>
    <row r="7975" spans="1:9">
      <c r="A7975" s="161">
        <v>130400007</v>
      </c>
      <c r="B7975" s="161" t="s">
        <v>8560</v>
      </c>
      <c r="C7975" s="161"/>
      <c r="D7975" s="161"/>
      <c r="E7975" s="161" t="s">
        <v>8120</v>
      </c>
      <c r="F7975" s="163"/>
      <c r="G7975" s="163"/>
      <c r="H7975" s="161"/>
      <c r="I7975" s="161"/>
    </row>
    <row r="7976" spans="1:9">
      <c r="A7976" s="161">
        <v>130400008</v>
      </c>
      <c r="B7976" s="161" t="s">
        <v>8561</v>
      </c>
      <c r="C7976" s="161"/>
      <c r="D7976" s="161"/>
      <c r="E7976" s="161" t="s">
        <v>8120</v>
      </c>
      <c r="F7976" s="163"/>
      <c r="G7976" s="163"/>
      <c r="H7976" s="161"/>
      <c r="I7976" s="161"/>
    </row>
    <row r="7977" spans="1:9">
      <c r="A7977" s="161">
        <v>130400009</v>
      </c>
      <c r="B7977" s="161" t="s">
        <v>8562</v>
      </c>
      <c r="C7977" s="161"/>
      <c r="D7977" s="161"/>
      <c r="E7977" s="161" t="s">
        <v>8120</v>
      </c>
      <c r="F7977" s="163"/>
      <c r="G7977" s="163"/>
      <c r="H7977" s="161"/>
      <c r="I7977" s="161"/>
    </row>
    <row r="7978" spans="1:9">
      <c r="A7978" s="161">
        <v>130400010</v>
      </c>
      <c r="B7978" s="161" t="s">
        <v>8563</v>
      </c>
      <c r="C7978" s="161"/>
      <c r="D7978" s="161"/>
      <c r="E7978" s="161" t="s">
        <v>8120</v>
      </c>
      <c r="F7978" s="163"/>
      <c r="G7978" s="163"/>
      <c r="H7978" s="161"/>
      <c r="I7978" s="161"/>
    </row>
    <row r="7979" spans="1:9">
      <c r="A7979" s="161">
        <v>130400011</v>
      </c>
      <c r="B7979" s="161" t="s">
        <v>8564</v>
      </c>
      <c r="C7979" s="161"/>
      <c r="D7979" s="161"/>
      <c r="E7979" s="161" t="s">
        <v>8120</v>
      </c>
      <c r="F7979" s="163"/>
      <c r="G7979" s="163"/>
      <c r="H7979" s="161"/>
      <c r="I7979" s="161"/>
    </row>
    <row r="7980" spans="1:9">
      <c r="A7980" s="161">
        <v>130400012</v>
      </c>
      <c r="B7980" s="161" t="s">
        <v>8565</v>
      </c>
      <c r="C7980" s="161"/>
      <c r="D7980" s="161"/>
      <c r="E7980" s="161" t="s">
        <v>8120</v>
      </c>
      <c r="F7980" s="163"/>
      <c r="G7980" s="163"/>
      <c r="H7980" s="161"/>
      <c r="I7980" s="161"/>
    </row>
    <row r="7981" spans="1:9">
      <c r="A7981" s="161">
        <v>130400013</v>
      </c>
      <c r="B7981" s="161" t="s">
        <v>8566</v>
      </c>
      <c r="C7981" s="161"/>
      <c r="D7981" s="161"/>
      <c r="E7981" s="161" t="s">
        <v>8120</v>
      </c>
      <c r="F7981" s="163"/>
      <c r="G7981" s="163"/>
      <c r="H7981" s="161"/>
      <c r="I7981" s="161"/>
    </row>
    <row r="7982" spans="1:9">
      <c r="A7982" s="161">
        <v>130400014</v>
      </c>
      <c r="B7982" s="161" t="s">
        <v>8567</v>
      </c>
      <c r="C7982" s="161"/>
      <c r="D7982" s="161"/>
      <c r="E7982" s="161" t="s">
        <v>8120</v>
      </c>
      <c r="F7982" s="163"/>
      <c r="G7982" s="163"/>
      <c r="H7982" s="161"/>
      <c r="I7982" s="161"/>
    </row>
    <row r="7983" spans="1:9">
      <c r="A7983" s="161">
        <v>130400015</v>
      </c>
      <c r="B7983" s="161" t="s">
        <v>8568</v>
      </c>
      <c r="C7983" s="161"/>
      <c r="D7983" s="161"/>
      <c r="E7983" s="161" t="s">
        <v>8120</v>
      </c>
      <c r="F7983" s="163"/>
      <c r="G7983" s="163"/>
      <c r="H7983" s="161"/>
      <c r="I7983" s="161"/>
    </row>
    <row r="7984" spans="1:9">
      <c r="A7984" s="161">
        <v>130400016</v>
      </c>
      <c r="B7984" s="161" t="s">
        <v>8569</v>
      </c>
      <c r="C7984" s="161"/>
      <c r="D7984" s="161"/>
      <c r="E7984" s="161" t="s">
        <v>8120</v>
      </c>
      <c r="F7984" s="163"/>
      <c r="G7984" s="163"/>
      <c r="H7984" s="161"/>
      <c r="I7984" s="161"/>
    </row>
    <row r="7985" spans="1:9">
      <c r="A7985" s="161">
        <v>130400017</v>
      </c>
      <c r="B7985" s="161" t="s">
        <v>8570</v>
      </c>
      <c r="C7985" s="161"/>
      <c r="D7985" s="161"/>
      <c r="E7985" s="161" t="s">
        <v>8120</v>
      </c>
      <c r="F7985" s="163"/>
      <c r="G7985" s="163"/>
      <c r="H7985" s="161"/>
      <c r="I7985" s="161"/>
    </row>
    <row r="7986" spans="1:9">
      <c r="A7986" s="161">
        <v>130400018</v>
      </c>
      <c r="B7986" s="161" t="s">
        <v>8571</v>
      </c>
      <c r="C7986" s="161"/>
      <c r="D7986" s="161"/>
      <c r="E7986" s="161" t="s">
        <v>8120</v>
      </c>
      <c r="F7986" s="163"/>
      <c r="G7986" s="163"/>
      <c r="H7986" s="161"/>
      <c r="I7986" s="161"/>
    </row>
    <row r="7987" spans="1:9">
      <c r="A7987" s="161">
        <v>130400019</v>
      </c>
      <c r="B7987" s="161" t="s">
        <v>8572</v>
      </c>
      <c r="C7987" s="161"/>
      <c r="D7987" s="161"/>
      <c r="E7987" s="161" t="s">
        <v>8120</v>
      </c>
      <c r="F7987" s="163"/>
      <c r="G7987" s="163"/>
      <c r="H7987" s="161"/>
      <c r="I7987" s="161"/>
    </row>
    <row r="7988" spans="1:9">
      <c r="A7988" s="161">
        <v>130400020</v>
      </c>
      <c r="B7988" s="161" t="s">
        <v>8573</v>
      </c>
      <c r="C7988" s="161"/>
      <c r="D7988" s="161"/>
      <c r="E7988" s="161" t="s">
        <v>8120</v>
      </c>
      <c r="F7988" s="163"/>
      <c r="G7988" s="163"/>
      <c r="H7988" s="161"/>
      <c r="I7988" s="161"/>
    </row>
    <row r="7989" spans="1:9">
      <c r="A7989" s="161">
        <v>130400021</v>
      </c>
      <c r="B7989" s="161" t="s">
        <v>8574</v>
      </c>
      <c r="C7989" s="161"/>
      <c r="D7989" s="161"/>
      <c r="E7989" s="161" t="s">
        <v>8120</v>
      </c>
      <c r="F7989" s="163"/>
      <c r="G7989" s="163"/>
      <c r="H7989" s="161"/>
      <c r="I7989" s="161"/>
    </row>
    <row r="7990" spans="1:9">
      <c r="A7990" s="161">
        <v>130400022</v>
      </c>
      <c r="B7990" s="161" t="s">
        <v>8575</v>
      </c>
      <c r="C7990" s="161"/>
      <c r="D7990" s="161"/>
      <c r="E7990" s="161" t="s">
        <v>8120</v>
      </c>
      <c r="F7990" s="163"/>
      <c r="G7990" s="163"/>
      <c r="H7990" s="161"/>
      <c r="I7990" s="161"/>
    </row>
    <row r="7991" spans="1:9">
      <c r="A7991" s="161">
        <v>130400023</v>
      </c>
      <c r="B7991" s="161" t="s">
        <v>8576</v>
      </c>
      <c r="C7991" s="161"/>
      <c r="D7991" s="161"/>
      <c r="E7991" s="161" t="s">
        <v>8120</v>
      </c>
      <c r="F7991" s="163"/>
      <c r="G7991" s="163"/>
      <c r="H7991" s="161"/>
      <c r="I7991" s="161"/>
    </row>
    <row r="7992" spans="1:9">
      <c r="A7992" s="113">
        <v>170100002</v>
      </c>
      <c r="B7992" s="113" t="s">
        <v>8579</v>
      </c>
      <c r="E7992" s="113" t="s">
        <v>1620</v>
      </c>
      <c r="F7992" s="114" t="e">
        <f>VLOOKUP(ListadoOficial2023[[#This Row],[Codigo ]],CuadroBasicoGral,3,FALSE)</f>
        <v>#N/A</v>
      </c>
      <c r="G7992" s="164">
        <v>5.14</v>
      </c>
      <c r="H7992" s="113"/>
      <c r="I7992" s="113"/>
    </row>
    <row r="7993" spans="1:9">
      <c r="A7993" s="113">
        <v>170100003</v>
      </c>
      <c r="B7993" s="113" t="s">
        <v>8580</v>
      </c>
      <c r="E7993" s="113" t="s">
        <v>1620</v>
      </c>
      <c r="F7993" s="114" t="e">
        <f>VLOOKUP(ListadoOficial2023[[#This Row],[Codigo ]],CuadroBasicoGral,3,FALSE)</f>
        <v>#N/A</v>
      </c>
      <c r="G7993" s="164">
        <v>5.86</v>
      </c>
      <c r="H7993" s="113"/>
      <c r="I7993" s="113"/>
    </row>
    <row r="7994" spans="1:9">
      <c r="A7994" s="113">
        <v>170100004</v>
      </c>
      <c r="B7994" s="113" t="s">
        <v>8581</v>
      </c>
      <c r="E7994" s="113" t="s">
        <v>1620</v>
      </c>
      <c r="F7994" s="114" t="e">
        <f>VLOOKUP(ListadoOficial2023[[#This Row],[Codigo ]],CuadroBasicoGral,3,FALSE)</f>
        <v>#N/A</v>
      </c>
      <c r="G7994" s="164">
        <v>10.1</v>
      </c>
      <c r="H7994" s="113"/>
      <c r="I7994" s="113"/>
    </row>
    <row r="7995" spans="1:9">
      <c r="A7995" s="113">
        <v>170100005</v>
      </c>
      <c r="B7995" s="113" t="s">
        <v>8582</v>
      </c>
      <c r="E7995" s="113" t="s">
        <v>1620</v>
      </c>
      <c r="F7995" s="114" t="e">
        <f>VLOOKUP(ListadoOficial2023[[#This Row],[Codigo ]],CuadroBasicoGral,3,FALSE)</f>
        <v>#N/A</v>
      </c>
      <c r="G7995" s="164">
        <v>6.56</v>
      </c>
      <c r="H7995" s="113"/>
      <c r="I7995" s="113"/>
    </row>
    <row r="7996" spans="1:9">
      <c r="A7996" s="113">
        <v>170100006</v>
      </c>
      <c r="B7996" s="113" t="s">
        <v>2577</v>
      </c>
      <c r="E7996" s="113" t="s">
        <v>1620</v>
      </c>
      <c r="F7996" s="114" t="e">
        <f>VLOOKUP(ListadoOficial2023[[#This Row],[Codigo ]],CuadroBasicoGral,3,FALSE)</f>
        <v>#N/A</v>
      </c>
      <c r="G7996" s="164">
        <v>9.3000000000000007</v>
      </c>
      <c r="H7996" s="113"/>
      <c r="I7996" s="113"/>
    </row>
    <row r="7997" spans="1:9">
      <c r="A7997" s="113">
        <v>170100016</v>
      </c>
      <c r="B7997" s="113" t="s">
        <v>8583</v>
      </c>
      <c r="E7997" s="113" t="s">
        <v>1620</v>
      </c>
      <c r="F7997" s="114" t="e">
        <f>VLOOKUP(ListadoOficial2023[[#This Row],[Codigo ]],CuadroBasicoGral,3,FALSE)</f>
        <v>#N/A</v>
      </c>
      <c r="G7997" s="164">
        <v>6.95</v>
      </c>
      <c r="H7997" s="113"/>
      <c r="I7997" s="113"/>
    </row>
    <row r="7998" spans="1:9">
      <c r="A7998" s="113">
        <v>170100017</v>
      </c>
      <c r="B7998" s="113" t="s">
        <v>8584</v>
      </c>
      <c r="E7998" s="113" t="s">
        <v>1620</v>
      </c>
      <c r="F7998" s="114" t="e">
        <f>VLOOKUP(ListadoOficial2023[[#This Row],[Codigo ]],CuadroBasicoGral,3,FALSE)</f>
        <v>#N/A</v>
      </c>
      <c r="G7998" s="164">
        <v>7.55</v>
      </c>
      <c r="H7998" s="113"/>
      <c r="I7998" s="113"/>
    </row>
    <row r="7999" spans="1:9">
      <c r="A7999" s="113">
        <v>170100019</v>
      </c>
      <c r="B7999" s="113" t="s">
        <v>8585</v>
      </c>
      <c r="E7999" s="113" t="s">
        <v>1620</v>
      </c>
      <c r="F7999" s="114" t="e">
        <f>VLOOKUP(ListadoOficial2023[[#This Row],[Codigo ]],CuadroBasicoGral,3,FALSE)</f>
        <v>#N/A</v>
      </c>
      <c r="G7999" s="164">
        <v>5.55</v>
      </c>
      <c r="H7999" s="113"/>
      <c r="I7999" s="113"/>
    </row>
    <row r="8000" spans="1:9">
      <c r="A8000" s="113">
        <v>170100020</v>
      </c>
      <c r="B8000" s="113" t="s">
        <v>8586</v>
      </c>
      <c r="E8000" s="113" t="s">
        <v>1620</v>
      </c>
      <c r="F8000" s="114" t="e">
        <f>VLOOKUP(ListadoOficial2023[[#This Row],[Codigo ]],CuadroBasicoGral,3,FALSE)</f>
        <v>#N/A</v>
      </c>
      <c r="G8000" s="164">
        <v>5.85</v>
      </c>
      <c r="H8000" s="113"/>
      <c r="I8000" s="113"/>
    </row>
    <row r="8001" spans="1:9">
      <c r="A8001" s="113">
        <v>170100040</v>
      </c>
      <c r="B8001" s="113" t="s">
        <v>8587</v>
      </c>
      <c r="E8001" s="113" t="s">
        <v>1620</v>
      </c>
      <c r="F8001" s="114" t="e">
        <f>VLOOKUP(ListadoOficial2023[[#This Row],[Codigo ]],CuadroBasicoGral,3,FALSE)</f>
        <v>#N/A</v>
      </c>
      <c r="G8001" s="164">
        <v>1.93</v>
      </c>
      <c r="H8001" s="113"/>
      <c r="I8001" s="113"/>
    </row>
    <row r="8002" spans="1:9">
      <c r="A8002" s="113">
        <v>170100043</v>
      </c>
      <c r="B8002" s="113" t="s">
        <v>2104</v>
      </c>
      <c r="E8002" s="113" t="s">
        <v>1620</v>
      </c>
      <c r="F8002" s="114" t="e">
        <f>VLOOKUP(ListadoOficial2023[[#This Row],[Codigo ]],CuadroBasicoGral,3,FALSE)</f>
        <v>#N/A</v>
      </c>
      <c r="G8002" s="164">
        <v>5.99</v>
      </c>
      <c r="H8002" s="113"/>
      <c r="I8002" s="113"/>
    </row>
    <row r="8003" spans="1:9">
      <c r="A8003" s="113">
        <v>170100044</v>
      </c>
      <c r="B8003" s="113" t="s">
        <v>2105</v>
      </c>
      <c r="E8003" s="113" t="s">
        <v>1620</v>
      </c>
      <c r="F8003" s="114" t="e">
        <f>VLOOKUP(ListadoOficial2023[[#This Row],[Codigo ]],CuadroBasicoGral,3,FALSE)</f>
        <v>#N/A</v>
      </c>
      <c r="G8003" s="164">
        <v>6.53</v>
      </c>
      <c r="H8003" s="113"/>
      <c r="I8003" s="113"/>
    </row>
    <row r="8004" spans="1:9">
      <c r="A8004" s="113">
        <v>170100045</v>
      </c>
      <c r="B8004" s="113" t="s">
        <v>8588</v>
      </c>
      <c r="E8004" s="113" t="s">
        <v>1620</v>
      </c>
      <c r="F8004" s="114" t="e">
        <f>VLOOKUP(ListadoOficial2023[[#This Row],[Codigo ]],CuadroBasicoGral,3,FALSE)</f>
        <v>#N/A</v>
      </c>
      <c r="G8004" s="164">
        <v>6.95</v>
      </c>
      <c r="H8004" s="113"/>
      <c r="I8004" s="113"/>
    </row>
    <row r="8005" spans="1:9">
      <c r="A8005" s="113">
        <v>170100046</v>
      </c>
      <c r="B8005" s="113" t="s">
        <v>8589</v>
      </c>
      <c r="E8005" s="113" t="s">
        <v>1620</v>
      </c>
      <c r="F8005" s="114" t="e">
        <f>VLOOKUP(ListadoOficial2023[[#This Row],[Codigo ]],CuadroBasicoGral,3,FALSE)</f>
        <v>#N/A</v>
      </c>
      <c r="G8005" s="164">
        <v>8.25</v>
      </c>
      <c r="H8005" s="113"/>
      <c r="I8005" s="113"/>
    </row>
    <row r="8006" spans="1:9">
      <c r="A8006" s="113">
        <v>170100060</v>
      </c>
      <c r="B8006" s="113" t="s">
        <v>8590</v>
      </c>
      <c r="E8006" s="113" t="s">
        <v>1620</v>
      </c>
      <c r="F8006" s="114" t="e">
        <f>VLOOKUP(ListadoOficial2023[[#This Row],[Codigo ]],CuadroBasicoGral,3,FALSE)</f>
        <v>#N/A</v>
      </c>
      <c r="G8006" s="164">
        <v>6.34</v>
      </c>
      <c r="H8006" s="113"/>
      <c r="I8006" s="113"/>
    </row>
    <row r="8007" spans="1:9">
      <c r="A8007" s="113">
        <v>170100061</v>
      </c>
      <c r="B8007" s="113" t="s">
        <v>8591</v>
      </c>
      <c r="E8007" s="113" t="s">
        <v>1620</v>
      </c>
      <c r="F8007" s="114" t="e">
        <f>VLOOKUP(ListadoOficial2023[[#This Row],[Codigo ]],CuadroBasicoGral,3,FALSE)</f>
        <v>#N/A</v>
      </c>
      <c r="G8007" s="164">
        <v>7.2</v>
      </c>
      <c r="H8007" s="113"/>
      <c r="I8007" s="113"/>
    </row>
    <row r="8008" spans="1:9">
      <c r="A8008" s="113">
        <v>170100062</v>
      </c>
      <c r="B8008" s="113" t="s">
        <v>8592</v>
      </c>
      <c r="E8008" s="113" t="s">
        <v>1620</v>
      </c>
      <c r="F8008" s="114" t="e">
        <f>VLOOKUP(ListadoOficial2023[[#This Row],[Codigo ]],CuadroBasicoGral,3,FALSE)</f>
        <v>#N/A</v>
      </c>
      <c r="G8008" s="164">
        <v>8.2799999999999994</v>
      </c>
      <c r="H8008" s="113"/>
      <c r="I8008" s="113"/>
    </row>
    <row r="8009" spans="1:9">
      <c r="A8009" s="113">
        <v>170100063</v>
      </c>
      <c r="B8009" s="113" t="s">
        <v>8593</v>
      </c>
      <c r="E8009" s="113" t="s">
        <v>1620</v>
      </c>
      <c r="F8009" s="114" t="e">
        <f>VLOOKUP(ListadoOficial2023[[#This Row],[Codigo ]],CuadroBasicoGral,3,FALSE)</f>
        <v>#N/A</v>
      </c>
      <c r="G8009" s="164">
        <v>8.2200000000000006</v>
      </c>
      <c r="H8009" s="113"/>
      <c r="I8009" s="113"/>
    </row>
    <row r="8010" spans="1:9">
      <c r="A8010" s="113">
        <v>170200018</v>
      </c>
      <c r="B8010" s="113" t="s">
        <v>8594</v>
      </c>
      <c r="E8010" s="113" t="s">
        <v>1620</v>
      </c>
      <c r="F8010" s="114" t="e">
        <f>VLOOKUP(ListadoOficial2023[[#This Row],[Codigo ]],CuadroBasicoGral,3,FALSE)</f>
        <v>#N/A</v>
      </c>
      <c r="G8010" s="164">
        <v>11.38</v>
      </c>
      <c r="H8010" s="113"/>
      <c r="I8010" s="113"/>
    </row>
    <row r="8011" spans="1:9">
      <c r="A8011" s="113">
        <v>170200019</v>
      </c>
      <c r="B8011" s="113" t="s">
        <v>8595</v>
      </c>
      <c r="E8011" s="113" t="s">
        <v>1620</v>
      </c>
      <c r="F8011" s="114" t="e">
        <f>VLOOKUP(ListadoOficial2023[[#This Row],[Codigo ]],CuadroBasicoGral,3,FALSE)</f>
        <v>#N/A</v>
      </c>
      <c r="G8011" s="164">
        <v>9.9499999999999993</v>
      </c>
      <c r="H8011" s="113"/>
      <c r="I8011" s="113"/>
    </row>
    <row r="8012" spans="1:9">
      <c r="A8012" s="113">
        <v>170200020</v>
      </c>
      <c r="B8012" s="113" t="s">
        <v>8596</v>
      </c>
      <c r="E8012" s="113" t="s">
        <v>1620</v>
      </c>
      <c r="F8012" s="114" t="e">
        <f>VLOOKUP(ListadoOficial2023[[#This Row],[Codigo ]],CuadroBasicoGral,3,FALSE)</f>
        <v>#N/A</v>
      </c>
      <c r="G8012" s="164">
        <v>11.99</v>
      </c>
      <c r="H8012" s="113"/>
      <c r="I8012" s="113"/>
    </row>
    <row r="8013" spans="1:9">
      <c r="A8013" s="113">
        <v>170200021</v>
      </c>
      <c r="B8013" s="113" t="s">
        <v>8597</v>
      </c>
      <c r="E8013" s="113" t="s">
        <v>1620</v>
      </c>
      <c r="F8013" s="114" t="e">
        <f>VLOOKUP(ListadoOficial2023[[#This Row],[Codigo ]],CuadroBasicoGral,3,FALSE)</f>
        <v>#N/A</v>
      </c>
      <c r="G8013" s="164">
        <v>13.09</v>
      </c>
      <c r="H8013" s="113"/>
      <c r="I8013" s="113"/>
    </row>
    <row r="8014" spans="1:9">
      <c r="A8014" s="113">
        <v>170200022</v>
      </c>
      <c r="B8014" s="113" t="s">
        <v>8598</v>
      </c>
      <c r="E8014" s="113" t="s">
        <v>1620</v>
      </c>
      <c r="F8014" s="114" t="e">
        <f>VLOOKUP(ListadoOficial2023[[#This Row],[Codigo ]],CuadroBasicoGral,3,FALSE)</f>
        <v>#N/A</v>
      </c>
      <c r="G8014" s="164">
        <v>7.89</v>
      </c>
      <c r="H8014" s="113"/>
      <c r="I8014" s="113"/>
    </row>
    <row r="8015" spans="1:9">
      <c r="A8015" s="113">
        <v>170200023</v>
      </c>
      <c r="B8015" s="113" t="s">
        <v>8599</v>
      </c>
      <c r="E8015" s="113" t="s">
        <v>1620</v>
      </c>
      <c r="F8015" s="114" t="e">
        <f>VLOOKUP(ListadoOficial2023[[#This Row],[Codigo ]],CuadroBasicoGral,3,FALSE)</f>
        <v>#N/A</v>
      </c>
      <c r="G8015" s="164">
        <v>8.49</v>
      </c>
      <c r="H8015" s="113"/>
      <c r="I8015" s="113"/>
    </row>
    <row r="8016" spans="1:9">
      <c r="A8016" s="113">
        <v>170300001</v>
      </c>
      <c r="B8016" s="113" t="s">
        <v>2053</v>
      </c>
      <c r="E8016" s="113" t="s">
        <v>1620</v>
      </c>
      <c r="F8016" s="114" t="e">
        <f>VLOOKUP(ListadoOficial2023[[#This Row],[Codigo ]],CuadroBasicoGral,3,FALSE)</f>
        <v>#N/A</v>
      </c>
      <c r="G8016" s="164">
        <v>1.47</v>
      </c>
      <c r="H8016" s="113"/>
      <c r="I8016" s="113"/>
    </row>
    <row r="8017" spans="1:9">
      <c r="A8017" s="113">
        <v>170300003</v>
      </c>
      <c r="B8017" s="113" t="s">
        <v>8600</v>
      </c>
      <c r="E8017" s="113" t="s">
        <v>1620</v>
      </c>
      <c r="F8017" s="114" t="e">
        <f>VLOOKUP(ListadoOficial2023[[#This Row],[Codigo ]],CuadroBasicoGral,3,FALSE)</f>
        <v>#N/A</v>
      </c>
      <c r="G8017" s="164">
        <v>3</v>
      </c>
      <c r="H8017" s="113"/>
      <c r="I8017" s="113"/>
    </row>
    <row r="8018" spans="1:9">
      <c r="A8018" s="113">
        <v>170400001</v>
      </c>
      <c r="B8018" s="113" t="s">
        <v>8601</v>
      </c>
      <c r="E8018" s="113" t="s">
        <v>1620</v>
      </c>
      <c r="F8018" s="114" t="e">
        <f>VLOOKUP(ListadoOficial2023[[#This Row],[Codigo ]],CuadroBasicoGral,3,FALSE)</f>
        <v>#N/A</v>
      </c>
      <c r="G8018" s="164">
        <v>14.98</v>
      </c>
      <c r="H8018" s="113"/>
      <c r="I8018" s="113"/>
    </row>
    <row r="8019" spans="1:9">
      <c r="A8019" s="113">
        <v>170400003</v>
      </c>
      <c r="B8019" s="113" t="s">
        <v>8602</v>
      </c>
      <c r="E8019" s="113" t="s">
        <v>1620</v>
      </c>
      <c r="F8019" s="114" t="e">
        <f>VLOOKUP(ListadoOficial2023[[#This Row],[Codigo ]],CuadroBasicoGral,3,FALSE)</f>
        <v>#N/A</v>
      </c>
      <c r="G8019" s="164">
        <v>14.98</v>
      </c>
      <c r="H8019" s="113"/>
      <c r="I8019" s="113"/>
    </row>
    <row r="8020" spans="1:9">
      <c r="A8020" s="113">
        <v>170400004</v>
      </c>
      <c r="B8020" s="113" t="s">
        <v>8603</v>
      </c>
      <c r="E8020" s="113" t="s">
        <v>1620</v>
      </c>
      <c r="F8020" s="114" t="e">
        <f>VLOOKUP(ListadoOficial2023[[#This Row],[Codigo ]],CuadroBasicoGral,3,FALSE)</f>
        <v>#N/A</v>
      </c>
      <c r="G8020" s="164">
        <v>2.58</v>
      </c>
      <c r="H8020" s="113"/>
      <c r="I8020" s="113"/>
    </row>
    <row r="8021" spans="1:9">
      <c r="A8021" s="113">
        <v>170400005</v>
      </c>
      <c r="B8021" s="113" t="s">
        <v>8604</v>
      </c>
      <c r="E8021" s="113" t="s">
        <v>1620</v>
      </c>
      <c r="F8021" s="114" t="e">
        <f>VLOOKUP(ListadoOficial2023[[#This Row],[Codigo ]],CuadroBasicoGral,3,FALSE)</f>
        <v>#N/A</v>
      </c>
      <c r="G8021" s="164">
        <v>3.6</v>
      </c>
      <c r="H8021" s="113"/>
      <c r="I8021" s="113"/>
    </row>
    <row r="8022" spans="1:9">
      <c r="A8022" s="113">
        <v>170400006</v>
      </c>
      <c r="B8022" s="113" t="s">
        <v>8605</v>
      </c>
      <c r="E8022" s="113" t="s">
        <v>1620</v>
      </c>
      <c r="F8022" s="114" t="e">
        <f>VLOOKUP(ListadoOficial2023[[#This Row],[Codigo ]],CuadroBasicoGral,3,FALSE)</f>
        <v>#N/A</v>
      </c>
      <c r="G8022" s="164">
        <v>3.32</v>
      </c>
      <c r="H8022" s="113"/>
      <c r="I8022" s="113"/>
    </row>
    <row r="8023" spans="1:9">
      <c r="A8023" s="113">
        <v>170400007</v>
      </c>
      <c r="B8023" s="113" t="s">
        <v>8606</v>
      </c>
      <c r="E8023" s="113" t="s">
        <v>1620</v>
      </c>
      <c r="F8023" s="114" t="e">
        <f>VLOOKUP(ListadoOficial2023[[#This Row],[Codigo ]],CuadroBasicoGral,3,FALSE)</f>
        <v>#N/A</v>
      </c>
      <c r="G8023" s="164">
        <v>3.4</v>
      </c>
      <c r="H8023" s="113"/>
      <c r="I8023" s="113"/>
    </row>
    <row r="8024" spans="1:9">
      <c r="A8024" s="113">
        <v>170400009</v>
      </c>
      <c r="B8024" s="113" t="s">
        <v>8607</v>
      </c>
      <c r="E8024" s="113" t="s">
        <v>1620</v>
      </c>
      <c r="F8024" s="114" t="e">
        <f>VLOOKUP(ListadoOficial2023[[#This Row],[Codigo ]],CuadroBasicoGral,3,FALSE)</f>
        <v>#N/A</v>
      </c>
      <c r="G8024" s="164">
        <v>1.17</v>
      </c>
      <c r="H8024" s="113"/>
      <c r="I8024" s="113"/>
    </row>
    <row r="8025" spans="1:9">
      <c r="A8025" s="113">
        <v>170400010</v>
      </c>
      <c r="B8025" s="113" t="s">
        <v>8608</v>
      </c>
      <c r="E8025" s="113" t="s">
        <v>1620</v>
      </c>
      <c r="F8025" s="114" t="e">
        <f>VLOOKUP(ListadoOficial2023[[#This Row],[Codigo ]],CuadroBasicoGral,3,FALSE)</f>
        <v>#N/A</v>
      </c>
      <c r="G8025" s="164">
        <v>1.56</v>
      </c>
      <c r="H8025" s="113"/>
      <c r="I8025" s="113"/>
    </row>
    <row r="8026" spans="1:9">
      <c r="A8026" s="113">
        <v>170400011</v>
      </c>
      <c r="B8026" s="113" t="s">
        <v>8609</v>
      </c>
      <c r="E8026" s="113" t="s">
        <v>1620</v>
      </c>
      <c r="F8026" s="114" t="e">
        <f>VLOOKUP(ListadoOficial2023[[#This Row],[Codigo ]],CuadroBasicoGral,3,FALSE)</f>
        <v>#N/A</v>
      </c>
      <c r="G8026" s="164">
        <v>2.5</v>
      </c>
      <c r="H8026" s="113"/>
      <c r="I8026" s="113"/>
    </row>
    <row r="8027" spans="1:9">
      <c r="A8027" s="113">
        <v>170400012</v>
      </c>
      <c r="B8027" s="113" t="s">
        <v>8610</v>
      </c>
      <c r="E8027" s="113" t="s">
        <v>1620</v>
      </c>
      <c r="F8027" s="114" t="e">
        <f>VLOOKUP(ListadoOficial2023[[#This Row],[Codigo ]],CuadroBasicoGral,3,FALSE)</f>
        <v>#N/A</v>
      </c>
      <c r="G8027" s="164">
        <v>4.18</v>
      </c>
      <c r="H8027" s="113"/>
      <c r="I8027" s="113"/>
    </row>
    <row r="8028" spans="1:9">
      <c r="A8028" s="113">
        <v>170400013</v>
      </c>
      <c r="B8028" s="113" t="s">
        <v>8611</v>
      </c>
      <c r="E8028" s="113" t="s">
        <v>1620</v>
      </c>
      <c r="F8028" s="114" t="e">
        <f>VLOOKUP(ListadoOficial2023[[#This Row],[Codigo ]],CuadroBasicoGral,3,FALSE)</f>
        <v>#N/A</v>
      </c>
      <c r="G8028" s="164">
        <v>5</v>
      </c>
      <c r="H8028" s="113"/>
      <c r="I8028" s="113"/>
    </row>
    <row r="8029" spans="1:9">
      <c r="A8029" s="113">
        <v>170400014</v>
      </c>
      <c r="B8029" s="113" t="s">
        <v>8612</v>
      </c>
      <c r="E8029" s="113" t="s">
        <v>1620</v>
      </c>
      <c r="F8029" s="114" t="e">
        <f>VLOOKUP(ListadoOficial2023[[#This Row],[Codigo ]],CuadroBasicoGral,3,FALSE)</f>
        <v>#N/A</v>
      </c>
      <c r="G8029" s="164">
        <v>7.7</v>
      </c>
      <c r="H8029" s="113"/>
      <c r="I8029" s="113"/>
    </row>
    <row r="8030" spans="1:9">
      <c r="A8030" s="113">
        <v>170400017</v>
      </c>
      <c r="B8030" s="113" t="s">
        <v>8613</v>
      </c>
      <c r="E8030" s="113" t="s">
        <v>1620</v>
      </c>
      <c r="F8030" s="114" t="e">
        <f>VLOOKUP(ListadoOficial2023[[#This Row],[Codigo ]],CuadroBasicoGral,3,FALSE)</f>
        <v>#N/A</v>
      </c>
      <c r="G8030" s="164">
        <v>2.4700000000000002</v>
      </c>
      <c r="H8030" s="113"/>
      <c r="I8030" s="113"/>
    </row>
    <row r="8031" spans="1:9">
      <c r="A8031" s="113">
        <v>170400018</v>
      </c>
      <c r="B8031" s="113" t="s">
        <v>8614</v>
      </c>
      <c r="E8031" s="113" t="s">
        <v>1620</v>
      </c>
      <c r="F8031" s="114" t="e">
        <f>VLOOKUP(ListadoOficial2023[[#This Row],[Codigo ]],CuadroBasicoGral,3,FALSE)</f>
        <v>#N/A</v>
      </c>
      <c r="G8031" s="164">
        <v>4.13</v>
      </c>
      <c r="H8031" s="113"/>
      <c r="I8031" s="113"/>
    </row>
    <row r="8032" spans="1:9">
      <c r="A8032" s="113">
        <v>170400019</v>
      </c>
      <c r="B8032" s="113" t="s">
        <v>8615</v>
      </c>
      <c r="E8032" s="113" t="s">
        <v>1620</v>
      </c>
      <c r="F8032" s="114" t="e">
        <f>VLOOKUP(ListadoOficial2023[[#This Row],[Codigo ]],CuadroBasicoGral,3,FALSE)</f>
        <v>#N/A</v>
      </c>
      <c r="G8032" s="164">
        <v>5.65</v>
      </c>
      <c r="H8032" s="113"/>
      <c r="I8032" s="113"/>
    </row>
    <row r="8033" spans="1:9">
      <c r="A8033" s="113">
        <v>170400022</v>
      </c>
      <c r="B8033" s="113" t="s">
        <v>2643</v>
      </c>
      <c r="E8033" s="113" t="s">
        <v>1620</v>
      </c>
      <c r="F8033" s="114" t="e">
        <f>VLOOKUP(ListadoOficial2023[[#This Row],[Codigo ]],CuadroBasicoGral,3,FALSE)</f>
        <v>#N/A</v>
      </c>
      <c r="G8033" s="164">
        <v>15.38</v>
      </c>
      <c r="H8033" s="113"/>
      <c r="I8033" s="113"/>
    </row>
    <row r="8034" spans="1:9">
      <c r="A8034" s="113">
        <v>170400026</v>
      </c>
      <c r="B8034" s="113" t="s">
        <v>2112</v>
      </c>
      <c r="E8034" s="113" t="s">
        <v>1620</v>
      </c>
      <c r="F8034" s="114" t="e">
        <f>VLOOKUP(ListadoOficial2023[[#This Row],[Codigo ]],CuadroBasicoGral,3,FALSE)</f>
        <v>#N/A</v>
      </c>
      <c r="G8034" s="164">
        <v>12.17</v>
      </c>
      <c r="H8034" s="113"/>
      <c r="I8034" s="113"/>
    </row>
    <row r="8035" spans="1:9">
      <c r="A8035" s="113">
        <v>170400027</v>
      </c>
      <c r="B8035" s="113" t="s">
        <v>2113</v>
      </c>
      <c r="E8035" s="113" t="s">
        <v>1620</v>
      </c>
      <c r="F8035" s="114" t="e">
        <f>VLOOKUP(ListadoOficial2023[[#This Row],[Codigo ]],CuadroBasicoGral,3,FALSE)</f>
        <v>#N/A</v>
      </c>
      <c r="G8035" s="164">
        <v>4.9400000000000004</v>
      </c>
      <c r="H8035" s="113"/>
      <c r="I8035" s="113"/>
    </row>
    <row r="8036" spans="1:9">
      <c r="A8036" s="113">
        <v>170400028</v>
      </c>
      <c r="B8036" s="113" t="s">
        <v>2581</v>
      </c>
      <c r="E8036" s="113" t="s">
        <v>1620</v>
      </c>
      <c r="F8036" s="114" t="e">
        <f>VLOOKUP(ListadoOficial2023[[#This Row],[Codigo ]],CuadroBasicoGral,3,FALSE)</f>
        <v>#N/A</v>
      </c>
      <c r="G8036" s="164">
        <v>7.46</v>
      </c>
      <c r="H8036" s="113"/>
      <c r="I8036" s="113"/>
    </row>
    <row r="8037" spans="1:9">
      <c r="A8037" s="113">
        <v>170400029</v>
      </c>
      <c r="B8037" s="113" t="s">
        <v>2578</v>
      </c>
      <c r="E8037" s="113" t="s">
        <v>1620</v>
      </c>
      <c r="F8037" s="114" t="e">
        <f>VLOOKUP(ListadoOficial2023[[#This Row],[Codigo ]],CuadroBasicoGral,3,FALSE)</f>
        <v>#N/A</v>
      </c>
      <c r="G8037" s="164">
        <v>11.61</v>
      </c>
      <c r="H8037" s="113"/>
      <c r="I8037" s="113"/>
    </row>
    <row r="8038" spans="1:9">
      <c r="A8038" s="113">
        <v>170400030</v>
      </c>
      <c r="B8038" s="113" t="s">
        <v>8616</v>
      </c>
      <c r="E8038" s="113" t="s">
        <v>1620</v>
      </c>
      <c r="F8038" s="114" t="e">
        <f>VLOOKUP(ListadoOficial2023[[#This Row],[Codigo ]],CuadroBasicoGral,3,FALSE)</f>
        <v>#N/A</v>
      </c>
      <c r="G8038" s="164">
        <v>13.28</v>
      </c>
      <c r="H8038" s="113"/>
      <c r="I8038" s="113"/>
    </row>
    <row r="8039" spans="1:9">
      <c r="A8039" s="113">
        <v>170400031</v>
      </c>
      <c r="B8039" s="113" t="s">
        <v>8617</v>
      </c>
      <c r="E8039" s="113" t="s">
        <v>1620</v>
      </c>
      <c r="F8039" s="114" t="e">
        <f>VLOOKUP(ListadoOficial2023[[#This Row],[Codigo ]],CuadroBasicoGral,3,FALSE)</f>
        <v>#N/A</v>
      </c>
      <c r="G8039" s="164">
        <v>9.6999999999999993</v>
      </c>
      <c r="H8039" s="113"/>
      <c r="I8039" s="113"/>
    </row>
    <row r="8040" spans="1:9">
      <c r="A8040" s="113">
        <v>170400032</v>
      </c>
      <c r="B8040" s="113" t="s">
        <v>2212</v>
      </c>
      <c r="E8040" s="113" t="s">
        <v>1620</v>
      </c>
      <c r="F8040" s="114" t="e">
        <f>VLOOKUP(ListadoOficial2023[[#This Row],[Codigo ]],CuadroBasicoGral,3,FALSE)</f>
        <v>#N/A</v>
      </c>
      <c r="G8040" s="164">
        <v>8.5</v>
      </c>
      <c r="H8040" s="113"/>
      <c r="I8040" s="113"/>
    </row>
    <row r="8041" spans="1:9">
      <c r="A8041" s="113">
        <v>170400033</v>
      </c>
      <c r="B8041" s="113" t="s">
        <v>2644</v>
      </c>
      <c r="E8041" s="113" t="s">
        <v>1620</v>
      </c>
      <c r="F8041" s="114" t="e">
        <f>VLOOKUP(ListadoOficial2023[[#This Row],[Codigo ]],CuadroBasicoGral,3,FALSE)</f>
        <v>#N/A</v>
      </c>
      <c r="G8041" s="164">
        <v>8.52</v>
      </c>
      <c r="H8041" s="113"/>
      <c r="I8041" s="113"/>
    </row>
    <row r="8042" spans="1:9">
      <c r="A8042" s="113">
        <v>170400035</v>
      </c>
      <c r="B8042" s="113" t="s">
        <v>8618</v>
      </c>
      <c r="E8042" s="113" t="s">
        <v>1620</v>
      </c>
      <c r="F8042" s="114" t="e">
        <f>VLOOKUP(ListadoOficial2023[[#This Row],[Codigo ]],CuadroBasicoGral,3,FALSE)</f>
        <v>#N/A</v>
      </c>
      <c r="G8042" s="164">
        <v>3.95</v>
      </c>
      <c r="H8042" s="113"/>
      <c r="I8042" s="113"/>
    </row>
    <row r="8043" spans="1:9">
      <c r="A8043" s="113">
        <v>170400036</v>
      </c>
      <c r="B8043" s="113" t="s">
        <v>8619</v>
      </c>
      <c r="E8043" s="113" t="s">
        <v>1620</v>
      </c>
      <c r="F8043" s="114" t="e">
        <f>VLOOKUP(ListadoOficial2023[[#This Row],[Codigo ]],CuadroBasicoGral,3,FALSE)</f>
        <v>#N/A</v>
      </c>
      <c r="G8043" s="164">
        <v>3.95</v>
      </c>
      <c r="H8043" s="113"/>
      <c r="I8043" s="113"/>
    </row>
    <row r="8044" spans="1:9">
      <c r="A8044" s="113">
        <v>170400037</v>
      </c>
      <c r="B8044" s="113" t="s">
        <v>8620</v>
      </c>
      <c r="E8044" s="113" t="s">
        <v>1620</v>
      </c>
      <c r="F8044" s="114" t="e">
        <f>VLOOKUP(ListadoOficial2023[[#This Row],[Codigo ]],CuadroBasicoGral,3,FALSE)</f>
        <v>#N/A</v>
      </c>
      <c r="G8044" s="164">
        <v>8.65</v>
      </c>
      <c r="H8044" s="113"/>
      <c r="I8044" s="113"/>
    </row>
    <row r="8045" spans="1:9">
      <c r="A8045" s="113">
        <v>170400038</v>
      </c>
      <c r="B8045" s="113" t="s">
        <v>2579</v>
      </c>
      <c r="E8045" s="113" t="s">
        <v>1620</v>
      </c>
      <c r="F8045" s="114" t="e">
        <f>VLOOKUP(ListadoOficial2023[[#This Row],[Codigo ]],CuadroBasicoGral,3,FALSE)</f>
        <v>#N/A</v>
      </c>
      <c r="G8045" s="164">
        <v>17.75</v>
      </c>
      <c r="H8045" s="113"/>
      <c r="I8045" s="113"/>
    </row>
    <row r="8046" spans="1:9">
      <c r="A8046" s="113">
        <v>170400039</v>
      </c>
      <c r="B8046" s="113" t="s">
        <v>2106</v>
      </c>
      <c r="E8046" s="113" t="s">
        <v>1620</v>
      </c>
      <c r="F8046" s="114" t="e">
        <f>VLOOKUP(ListadoOficial2023[[#This Row],[Codigo ]],CuadroBasicoGral,3,FALSE)</f>
        <v>#N/A</v>
      </c>
      <c r="G8046" s="164">
        <v>13.88</v>
      </c>
      <c r="H8046" s="113"/>
      <c r="I8046" s="113"/>
    </row>
    <row r="8047" spans="1:9">
      <c r="A8047" s="113">
        <v>170400040</v>
      </c>
      <c r="B8047" s="113" t="s">
        <v>2580</v>
      </c>
      <c r="E8047" s="113" t="s">
        <v>1620</v>
      </c>
      <c r="F8047" s="114" t="e">
        <f>VLOOKUP(ListadoOficial2023[[#This Row],[Codigo ]],CuadroBasicoGral,3,FALSE)</f>
        <v>#N/A</v>
      </c>
      <c r="G8047" s="164">
        <v>14.09</v>
      </c>
      <c r="H8047" s="113"/>
      <c r="I8047" s="113"/>
    </row>
    <row r="8048" spans="1:9">
      <c r="A8048" s="113">
        <v>170400041</v>
      </c>
      <c r="B8048" s="113" t="s">
        <v>8621</v>
      </c>
      <c r="E8048" s="113" t="s">
        <v>1620</v>
      </c>
      <c r="F8048" s="114" t="e">
        <f>VLOOKUP(ListadoOficial2023[[#This Row],[Codigo ]],CuadroBasicoGral,3,FALSE)</f>
        <v>#N/A</v>
      </c>
      <c r="G8048" s="164">
        <v>14.79</v>
      </c>
      <c r="H8048" s="113"/>
      <c r="I8048" s="113"/>
    </row>
    <row r="8049" spans="1:9">
      <c r="A8049" s="113">
        <v>170400043</v>
      </c>
      <c r="B8049" s="113" t="s">
        <v>8622</v>
      </c>
      <c r="E8049" s="113" t="s">
        <v>1620</v>
      </c>
      <c r="F8049" s="114" t="e">
        <f>VLOOKUP(ListadoOficial2023[[#This Row],[Codigo ]],CuadroBasicoGral,3,FALSE)</f>
        <v>#N/A</v>
      </c>
      <c r="G8049" s="164">
        <v>3.73</v>
      </c>
      <c r="H8049" s="113"/>
      <c r="I8049" s="113"/>
    </row>
    <row r="8050" spans="1:9">
      <c r="A8050" s="113">
        <v>170400044</v>
      </c>
      <c r="B8050" s="113" t="s">
        <v>8623</v>
      </c>
      <c r="E8050" s="113" t="s">
        <v>1620</v>
      </c>
      <c r="F8050" s="114" t="e">
        <f>VLOOKUP(ListadoOficial2023[[#This Row],[Codigo ]],CuadroBasicoGral,3,FALSE)</f>
        <v>#N/A</v>
      </c>
      <c r="G8050" s="164">
        <v>6.41</v>
      </c>
      <c r="H8050" s="113"/>
      <c r="I8050" s="113"/>
    </row>
    <row r="8051" spans="1:9">
      <c r="A8051" s="113">
        <v>170400048</v>
      </c>
      <c r="B8051" s="113" t="s">
        <v>8624</v>
      </c>
      <c r="E8051" s="113" t="s">
        <v>1620</v>
      </c>
      <c r="F8051" s="114" t="e">
        <f>VLOOKUP(ListadoOficial2023[[#This Row],[Codigo ]],CuadroBasicoGral,3,FALSE)</f>
        <v>#N/A</v>
      </c>
      <c r="G8051" s="164">
        <v>2.59</v>
      </c>
      <c r="H8051" s="113"/>
      <c r="I8051" s="113"/>
    </row>
    <row r="8052" spans="1:9">
      <c r="A8052" s="113">
        <v>170400050</v>
      </c>
      <c r="B8052" s="113" t="s">
        <v>2582</v>
      </c>
      <c r="E8052" s="113" t="s">
        <v>102</v>
      </c>
      <c r="F8052" s="114" t="e">
        <f>VLOOKUP(ListadoOficial2023[[#This Row],[Codigo ]],CuadroBasicoGral,3,FALSE)</f>
        <v>#N/A</v>
      </c>
      <c r="G8052" s="164">
        <v>2.99</v>
      </c>
      <c r="H8052" s="113"/>
      <c r="I8052" s="113"/>
    </row>
    <row r="8053" spans="1:9">
      <c r="A8053" s="113">
        <v>170400051</v>
      </c>
      <c r="B8053" s="113" t="s">
        <v>2056</v>
      </c>
      <c r="E8053" s="113" t="s">
        <v>1620</v>
      </c>
      <c r="F8053" s="114" t="e">
        <f>VLOOKUP(ListadoOficial2023[[#This Row],[Codigo ]],CuadroBasicoGral,3,FALSE)</f>
        <v>#N/A</v>
      </c>
      <c r="G8053" s="164">
        <v>3.14</v>
      </c>
      <c r="H8053" s="113"/>
      <c r="I8053" s="113"/>
    </row>
    <row r="8054" spans="1:9">
      <c r="A8054" s="113">
        <v>170400054</v>
      </c>
      <c r="B8054" s="113" t="s">
        <v>2075</v>
      </c>
      <c r="E8054" s="113" t="s">
        <v>2074</v>
      </c>
      <c r="F8054" s="114" t="e">
        <f>VLOOKUP(ListadoOficial2023[[#This Row],[Codigo ]],CuadroBasicoGral,3,FALSE)</f>
        <v>#N/A</v>
      </c>
      <c r="G8054" s="164">
        <v>5.0999999999999996</v>
      </c>
      <c r="H8054" s="113"/>
      <c r="I8054" s="113"/>
    </row>
    <row r="8055" spans="1:9">
      <c r="A8055" s="113">
        <v>170400055</v>
      </c>
      <c r="B8055" s="113" t="s">
        <v>2073</v>
      </c>
      <c r="E8055" s="113" t="s">
        <v>2074</v>
      </c>
      <c r="F8055" s="114" t="e">
        <f>VLOOKUP(ListadoOficial2023[[#This Row],[Codigo ]],CuadroBasicoGral,3,FALSE)</f>
        <v>#N/A</v>
      </c>
      <c r="G8055" s="164">
        <v>4.25</v>
      </c>
      <c r="H8055" s="113"/>
      <c r="I8055" s="113"/>
    </row>
  </sheetData>
  <sheetProtection algorithmName="SHA-512" hashValue="CcXFrwViHHfUBpE36ZvDYT0EUQ01S1Jb+TiOWGj3ReP2UwUYJm7TjOiLdLSnXvFD3KlgmqWm8GRVG/V8JXLgbg==" saltValue="24yqSjixNQ9qe+r46Hn8kA==" spinCount="100000" sheet="1" objects="1" scenarios="1" autoFilter="0"/>
  <pageMargins left="0.7" right="0.7" top="0.75" bottom="0.75" header="0.3" footer="0.3"/>
  <pageSetup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6</vt:i4>
      </vt:variant>
    </vt:vector>
  </HeadingPairs>
  <TitlesOfParts>
    <vt:vector size="11" baseType="lpstr">
      <vt:lpstr>PEDIDO</vt:lpstr>
      <vt:lpstr>REQUISICION-IMPRESION</vt:lpstr>
      <vt:lpstr>PRODUCTO</vt:lpstr>
      <vt:lpstr>C.COST</vt:lpstr>
      <vt:lpstr>BaseMateriales</vt:lpstr>
      <vt:lpstr>'REQUISICION-IMPRESION'!Área_de_impresión</vt:lpstr>
      <vt:lpstr>CENTRO_DE_COSTO</vt:lpstr>
      <vt:lpstr>Cod_Requi_01</vt:lpstr>
      <vt:lpstr>CuadroBasicoGral</vt:lpstr>
      <vt:lpstr>listado</vt:lpstr>
      <vt:lpstr>ListadoDetalle2023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Enfermeria Medicina General. Unidad Medica Soyapango</dc:creator>
  <cp:lastModifiedBy>cristian.maravilla</cp:lastModifiedBy>
  <cp:lastPrinted>2024-01-02T16:18:12Z</cp:lastPrinted>
  <dcterms:created xsi:type="dcterms:W3CDTF">2018-03-30T22:43:34Z</dcterms:created>
  <dcterms:modified xsi:type="dcterms:W3CDTF">2026-07-16T17:11:10Z</dcterms:modified>
</cp:coreProperties>
</file>